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45576</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45576</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45576</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45576</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45576</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45576</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45576</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45576</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45576</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45576</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45576</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45576</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45576</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45576</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45576</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45576</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45576</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45576</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45576</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45576</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45576</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45576</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45576</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45576</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45576</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45576</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45576</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45576</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45576</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17739-2024</t>
        </is>
      </c>
      <c r="B37" s="1" t="n">
        <v>45418</v>
      </c>
      <c r="C37" s="1" t="n">
        <v>45576</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45576</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45576</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45576</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45576</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45576</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45576</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45576</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45576</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45576</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45576</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45576</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45576</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45576</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45576</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45576</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45576</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45576</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45576</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45576</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45576</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45576</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45576</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45576</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45576</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45576</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45576</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45576</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45576</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45576</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45576</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45576</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45576</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45576</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45576</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45576</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45576</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45576</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45576</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45576</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45576</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45576</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45576</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45576</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45576</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45576</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45576</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34584-2024</t>
        </is>
      </c>
      <c r="B85" s="1" t="n">
        <v>45526</v>
      </c>
      <c r="C85" s="1" t="n">
        <v>45576</v>
      </c>
      <c r="D85" t="inlineStr">
        <is>
          <t>GOTLANDS LÄN</t>
        </is>
      </c>
      <c r="E85" t="inlineStr">
        <is>
          <t>GOTLAND</t>
        </is>
      </c>
      <c r="G85" t="n">
        <v>3.4</v>
      </c>
      <c r="H85" t="n">
        <v>3</v>
      </c>
      <c r="I85" t="n">
        <v>1</v>
      </c>
      <c r="J85" t="n">
        <v>3</v>
      </c>
      <c r="K85" t="n">
        <v>1</v>
      </c>
      <c r="L85" t="n">
        <v>0</v>
      </c>
      <c r="M85" t="n">
        <v>0</v>
      </c>
      <c r="N85" t="n">
        <v>0</v>
      </c>
      <c r="O85" t="n">
        <v>4</v>
      </c>
      <c r="P85" t="n">
        <v>1</v>
      </c>
      <c r="Q85" t="n">
        <v>5</v>
      </c>
      <c r="R85" s="2" t="inlineStr">
        <is>
          <t>Garderönn
Dårgräsfjäril
Spillkråka
Svinrot
Blåmossa</t>
        </is>
      </c>
      <c r="S85">
        <f>HYPERLINK("https://klasma.github.io/Logging_0980/artfynd/A 34584-2024 artfynd.xlsx", "A 34584-2024")</f>
        <v/>
      </c>
      <c r="T85">
        <f>HYPERLINK("https://klasma.github.io/Logging_0980/kartor/A 34584-2024 karta.png", "A 34584-2024")</f>
        <v/>
      </c>
      <c r="V85">
        <f>HYPERLINK("https://klasma.github.io/Logging_0980/klagomål/A 34584-2024 FSC-klagomål.docx", "A 34584-2024")</f>
        <v/>
      </c>
      <c r="W85">
        <f>HYPERLINK("https://klasma.github.io/Logging_0980/klagomålsmail/A 34584-2024 FSC-klagomål mail.docx", "A 34584-2024")</f>
        <v/>
      </c>
      <c r="X85">
        <f>HYPERLINK("https://klasma.github.io/Logging_0980/tillsyn/A 34584-2024 tillsynsbegäran.docx", "A 34584-2024")</f>
        <v/>
      </c>
      <c r="Y85">
        <f>HYPERLINK("https://klasma.github.io/Logging_0980/tillsynsmail/A 34584-2024 tillsynsbegäran mail.docx", "A 34584-2024")</f>
        <v/>
      </c>
      <c r="Z85">
        <f>HYPERLINK("https://klasma.github.io/Logging_0980/fåglar/A 34584-2024 prioriterade fågelarter.docx", "A 34584-2024")</f>
        <v/>
      </c>
    </row>
    <row r="86" ht="15" customHeight="1">
      <c r="A86" t="inlineStr">
        <is>
          <t>A 42936-2024</t>
        </is>
      </c>
      <c r="B86" s="1" t="n">
        <v>45567</v>
      </c>
      <c r="C86" s="1" t="n">
        <v>45576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21537-2019</t>
        </is>
      </c>
      <c r="B87" s="1" t="n">
        <v>43580</v>
      </c>
      <c r="C87" s="1" t="n">
        <v>45576</v>
      </c>
      <c r="D87" t="inlineStr">
        <is>
          <t>GOTLANDS LÄN</t>
        </is>
      </c>
      <c r="E87" t="inlineStr">
        <is>
          <t>GOTLAND</t>
        </is>
      </c>
      <c r="G87" t="n">
        <v>5.3</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21537-2019 artfynd.xlsx", "A 21537-2019")</f>
        <v/>
      </c>
      <c r="T87">
        <f>HYPERLINK("https://klasma.github.io/Logging_0980/kartor/A 21537-2019 karta.png", "A 21537-2019")</f>
        <v/>
      </c>
      <c r="V87">
        <f>HYPERLINK("https://klasma.github.io/Logging_0980/klagomål/A 21537-2019 FSC-klagomål.docx", "A 21537-2019")</f>
        <v/>
      </c>
      <c r="W87">
        <f>HYPERLINK("https://klasma.github.io/Logging_0980/klagomålsmail/A 21537-2019 FSC-klagomål mail.docx", "A 21537-2019")</f>
        <v/>
      </c>
      <c r="X87">
        <f>HYPERLINK("https://klasma.github.io/Logging_0980/tillsyn/A 21537-2019 tillsynsbegäran.docx", "A 21537-2019")</f>
        <v/>
      </c>
      <c r="Y87">
        <f>HYPERLINK("https://klasma.github.io/Logging_0980/tillsynsmail/A 21537-2019 tillsynsbegäran mail.docx", "A 21537-2019")</f>
        <v/>
      </c>
    </row>
    <row r="88" ht="15" customHeight="1">
      <c r="A88" t="inlineStr">
        <is>
          <t>A 39839-2019</t>
        </is>
      </c>
      <c r="B88" s="1" t="n">
        <v>43689</v>
      </c>
      <c r="C88" s="1" t="n">
        <v>45576</v>
      </c>
      <c r="D88" t="inlineStr">
        <is>
          <t>GOTLANDS LÄN</t>
        </is>
      </c>
      <c r="E88" t="inlineStr">
        <is>
          <t>GOTLAND</t>
        </is>
      </c>
      <c r="G88" t="n">
        <v>18.9</v>
      </c>
      <c r="H88" t="n">
        <v>1</v>
      </c>
      <c r="I88" t="n">
        <v>1</v>
      </c>
      <c r="J88" t="n">
        <v>3</v>
      </c>
      <c r="K88" t="n">
        <v>0</v>
      </c>
      <c r="L88" t="n">
        <v>0</v>
      </c>
      <c r="M88" t="n">
        <v>0</v>
      </c>
      <c r="N88" t="n">
        <v>0</v>
      </c>
      <c r="O88" t="n">
        <v>3</v>
      </c>
      <c r="P88" t="n">
        <v>0</v>
      </c>
      <c r="Q88" t="n">
        <v>4</v>
      </c>
      <c r="R88" s="2" t="inlineStr">
        <is>
          <t>Apollofjäril
Hårig blombock
Sexfläckig bastardsvärmare
Åttafläckig praktbagge</t>
        </is>
      </c>
      <c r="S88">
        <f>HYPERLINK("https://klasma.github.io/Logging_0980/artfynd/A 39839-2019 artfynd.xlsx", "A 39839-2019")</f>
        <v/>
      </c>
      <c r="T88">
        <f>HYPERLINK("https://klasma.github.io/Logging_0980/kartor/A 39839-2019 karta.png", "A 39839-2019")</f>
        <v/>
      </c>
      <c r="V88">
        <f>HYPERLINK("https://klasma.github.io/Logging_0980/klagomål/A 39839-2019 FSC-klagomål.docx", "A 39839-2019")</f>
        <v/>
      </c>
      <c r="W88">
        <f>HYPERLINK("https://klasma.github.io/Logging_0980/klagomålsmail/A 39839-2019 FSC-klagomål mail.docx", "A 39839-2019")</f>
        <v/>
      </c>
      <c r="X88">
        <f>HYPERLINK("https://klasma.github.io/Logging_0980/tillsyn/A 39839-2019 tillsynsbegäran.docx", "A 39839-2019")</f>
        <v/>
      </c>
      <c r="Y88">
        <f>HYPERLINK("https://klasma.github.io/Logging_0980/tillsynsmail/A 39839-2019 tillsynsbegäran mail.docx", "A 39839-2019")</f>
        <v/>
      </c>
    </row>
    <row r="89" ht="15" customHeight="1">
      <c r="A89" t="inlineStr">
        <is>
          <t>A 64378-2020</t>
        </is>
      </c>
      <c r="B89" s="1" t="n">
        <v>44168</v>
      </c>
      <c r="C89" s="1" t="n">
        <v>45576</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2223-2021</t>
        </is>
      </c>
      <c r="B90" s="1" t="n">
        <v>44211</v>
      </c>
      <c r="C90" s="1" t="n">
        <v>45576</v>
      </c>
      <c r="D90" t="inlineStr">
        <is>
          <t>GOTLANDS LÄN</t>
        </is>
      </c>
      <c r="E90" t="inlineStr">
        <is>
          <t>GOTLAND</t>
        </is>
      </c>
      <c r="G90" t="n">
        <v>2.2</v>
      </c>
      <c r="H90" t="n">
        <v>2</v>
      </c>
      <c r="I90" t="n">
        <v>4</v>
      </c>
      <c r="J90" t="n">
        <v>0</v>
      </c>
      <c r="K90" t="n">
        <v>0</v>
      </c>
      <c r="L90" t="n">
        <v>0</v>
      </c>
      <c r="M90" t="n">
        <v>0</v>
      </c>
      <c r="N90" t="n">
        <v>0</v>
      </c>
      <c r="O90" t="n">
        <v>0</v>
      </c>
      <c r="P90" t="n">
        <v>0</v>
      </c>
      <c r="Q90" t="n">
        <v>4</v>
      </c>
      <c r="R90" s="2" t="inlineStr">
        <is>
          <t>Blåmossa
Granbarkgnagare
Nästrot
Tvåblad</t>
        </is>
      </c>
      <c r="S90">
        <f>HYPERLINK("https://klasma.github.io/Logging_0980/artfynd/A 2223-2021 artfynd.xlsx", "A 2223-2021")</f>
        <v/>
      </c>
      <c r="T90">
        <f>HYPERLINK("https://klasma.github.io/Logging_0980/kartor/A 2223-2021 karta.png", "A 2223-2021")</f>
        <v/>
      </c>
      <c r="V90">
        <f>HYPERLINK("https://klasma.github.io/Logging_0980/klagomål/A 2223-2021 FSC-klagomål.docx", "A 2223-2021")</f>
        <v/>
      </c>
      <c r="W90">
        <f>HYPERLINK("https://klasma.github.io/Logging_0980/klagomålsmail/A 2223-2021 FSC-klagomål mail.docx", "A 2223-2021")</f>
        <v/>
      </c>
      <c r="X90">
        <f>HYPERLINK("https://klasma.github.io/Logging_0980/tillsyn/A 2223-2021 tillsynsbegäran.docx", "A 2223-2021")</f>
        <v/>
      </c>
      <c r="Y90">
        <f>HYPERLINK("https://klasma.github.io/Logging_0980/tillsynsmail/A 2223-2021 tillsynsbegäran mail.docx", "A 2223-2021")</f>
        <v/>
      </c>
    </row>
    <row r="91" ht="15" customHeight="1">
      <c r="A91" t="inlineStr">
        <is>
          <t>A 29331-2021</t>
        </is>
      </c>
      <c r="B91" s="1" t="n">
        <v>44361</v>
      </c>
      <c r="C91" s="1" t="n">
        <v>45576</v>
      </c>
      <c r="D91" t="inlineStr">
        <is>
          <t>GOTLANDS LÄN</t>
        </is>
      </c>
      <c r="E91" t="inlineStr">
        <is>
          <t>GOTLAND</t>
        </is>
      </c>
      <c r="G91" t="n">
        <v>3.7</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29331-2021 artfynd.xlsx", "A 29331-2021")</f>
        <v/>
      </c>
      <c r="T91">
        <f>HYPERLINK("https://klasma.github.io/Logging_0980/kartor/A 29331-2021 karta.png", "A 29331-2021")</f>
        <v/>
      </c>
      <c r="V91">
        <f>HYPERLINK("https://klasma.github.io/Logging_0980/klagomål/A 29331-2021 FSC-klagomål.docx", "A 29331-2021")</f>
        <v/>
      </c>
      <c r="W91">
        <f>HYPERLINK("https://klasma.github.io/Logging_0980/klagomålsmail/A 29331-2021 FSC-klagomål mail.docx", "A 29331-2021")</f>
        <v/>
      </c>
      <c r="X91">
        <f>HYPERLINK("https://klasma.github.io/Logging_0980/tillsyn/A 29331-2021 tillsynsbegäran.docx", "A 29331-2021")</f>
        <v/>
      </c>
      <c r="Y91">
        <f>HYPERLINK("https://klasma.github.io/Logging_0980/tillsynsmail/A 29331-2021 tillsynsbegäran mail.docx", "A 29331-2021")</f>
        <v/>
      </c>
    </row>
    <row r="92" ht="15" customHeight="1">
      <c r="A92" t="inlineStr">
        <is>
          <t>A 44933-2022</t>
        </is>
      </c>
      <c r="B92" s="1" t="n">
        <v>44841</v>
      </c>
      <c r="C92" s="1" t="n">
        <v>45576</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47526-2022</t>
        </is>
      </c>
      <c r="B93" s="1" t="n">
        <v>44853</v>
      </c>
      <c r="C93" s="1" t="n">
        <v>45576</v>
      </c>
      <c r="D93" t="inlineStr">
        <is>
          <t>GOTLANDS LÄN</t>
        </is>
      </c>
      <c r="E93" t="inlineStr">
        <is>
          <t>GOTLAND</t>
        </is>
      </c>
      <c r="G93" t="n">
        <v>9.800000000000001</v>
      </c>
      <c r="H93" t="n">
        <v>3</v>
      </c>
      <c r="I93" t="n">
        <v>0</v>
      </c>
      <c r="J93" t="n">
        <v>2</v>
      </c>
      <c r="K93" t="n">
        <v>0</v>
      </c>
      <c r="L93" t="n">
        <v>0</v>
      </c>
      <c r="M93" t="n">
        <v>0</v>
      </c>
      <c r="N93" t="n">
        <v>0</v>
      </c>
      <c r="O93" t="n">
        <v>2</v>
      </c>
      <c r="P93" t="n">
        <v>0</v>
      </c>
      <c r="Q93" t="n">
        <v>4</v>
      </c>
      <c r="R93" s="2" t="inlineStr">
        <is>
          <t>Dårgräsfjäril
Svinrot
Sankt pers nycklar
Blåsippa</t>
        </is>
      </c>
      <c r="S93">
        <f>HYPERLINK("https://klasma.github.io/Logging_0980/artfynd/A 47526-2022 artfynd.xlsx", "A 47526-2022")</f>
        <v/>
      </c>
      <c r="T93">
        <f>HYPERLINK("https://klasma.github.io/Logging_0980/kartor/A 47526-2022 karta.png", "A 47526-2022")</f>
        <v/>
      </c>
      <c r="V93">
        <f>HYPERLINK("https://klasma.github.io/Logging_0980/klagomål/A 47526-2022 FSC-klagomål.docx", "A 47526-2022")</f>
        <v/>
      </c>
      <c r="W93">
        <f>HYPERLINK("https://klasma.github.io/Logging_0980/klagomålsmail/A 47526-2022 FSC-klagomål mail.docx", "A 47526-2022")</f>
        <v/>
      </c>
      <c r="X93">
        <f>HYPERLINK("https://klasma.github.io/Logging_0980/tillsyn/A 47526-2022 tillsynsbegäran.docx", "A 47526-2022")</f>
        <v/>
      </c>
      <c r="Y93">
        <f>HYPERLINK("https://klasma.github.io/Logging_0980/tillsynsmail/A 47526-2022 tillsynsbegäran mail.docx", "A 47526-2022")</f>
        <v/>
      </c>
    </row>
    <row r="94" ht="15" customHeight="1">
      <c r="A94" t="inlineStr">
        <is>
          <t>A 186-2023</t>
        </is>
      </c>
      <c r="B94" s="1" t="n">
        <v>44928</v>
      </c>
      <c r="C94" s="1" t="n">
        <v>45576</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445-2023</t>
        </is>
      </c>
      <c r="B95" s="1" t="n">
        <v>44929</v>
      </c>
      <c r="C95" s="1" t="n">
        <v>45576</v>
      </c>
      <c r="D95" t="inlineStr">
        <is>
          <t>GOTLANDS LÄN</t>
        </is>
      </c>
      <c r="E95" t="inlineStr">
        <is>
          <t>GOTLAND</t>
        </is>
      </c>
      <c r="G95" t="n">
        <v>4.9</v>
      </c>
      <c r="H95" t="n">
        <v>0</v>
      </c>
      <c r="I95" t="n">
        <v>1</v>
      </c>
      <c r="J95" t="n">
        <v>1</v>
      </c>
      <c r="K95" t="n">
        <v>2</v>
      </c>
      <c r="L95" t="n">
        <v>0</v>
      </c>
      <c r="M95" t="n">
        <v>0</v>
      </c>
      <c r="N95" t="n">
        <v>0</v>
      </c>
      <c r="O95" t="n">
        <v>3</v>
      </c>
      <c r="P95" t="n">
        <v>2</v>
      </c>
      <c r="Q95" t="n">
        <v>4</v>
      </c>
      <c r="R95" s="2" t="inlineStr">
        <is>
          <t>Granrotspindling
Taggfingersvamp
Jordtistel
Rödgul trumpetsvamp</t>
        </is>
      </c>
      <c r="S95">
        <f>HYPERLINK("https://klasma.github.io/Logging_0980/artfynd/A 445-2023 artfynd.xlsx", "A 445-2023")</f>
        <v/>
      </c>
      <c r="T95">
        <f>HYPERLINK("https://klasma.github.io/Logging_0980/kartor/A 445-2023 karta.png", "A 445-2023")</f>
        <v/>
      </c>
      <c r="V95">
        <f>HYPERLINK("https://klasma.github.io/Logging_0980/klagomål/A 445-2023 FSC-klagomål.docx", "A 445-2023")</f>
        <v/>
      </c>
      <c r="W95">
        <f>HYPERLINK("https://klasma.github.io/Logging_0980/klagomålsmail/A 445-2023 FSC-klagomål mail.docx", "A 445-2023")</f>
        <v/>
      </c>
      <c r="X95">
        <f>HYPERLINK("https://klasma.github.io/Logging_0980/tillsyn/A 445-2023 tillsynsbegäran.docx", "A 445-2023")</f>
        <v/>
      </c>
      <c r="Y95">
        <f>HYPERLINK("https://klasma.github.io/Logging_0980/tillsynsmail/A 445-2023 tillsynsbegäran mail.docx", "A 445-2023")</f>
        <v/>
      </c>
    </row>
    <row r="96" ht="15" customHeight="1">
      <c r="A96" t="inlineStr">
        <is>
          <t>A 584-2023</t>
        </is>
      </c>
      <c r="B96" s="1" t="n">
        <v>44930</v>
      </c>
      <c r="C96" s="1" t="n">
        <v>45576</v>
      </c>
      <c r="D96" t="inlineStr">
        <is>
          <t>GOTLANDS LÄN</t>
        </is>
      </c>
      <c r="E96" t="inlineStr">
        <is>
          <t>GOTLAND</t>
        </is>
      </c>
      <c r="G96" t="n">
        <v>27.2</v>
      </c>
      <c r="H96" t="n">
        <v>0</v>
      </c>
      <c r="I96" t="n">
        <v>2</v>
      </c>
      <c r="J96" t="n">
        <v>1</v>
      </c>
      <c r="K96" t="n">
        <v>1</v>
      </c>
      <c r="L96" t="n">
        <v>0</v>
      </c>
      <c r="M96" t="n">
        <v>0</v>
      </c>
      <c r="N96" t="n">
        <v>0</v>
      </c>
      <c r="O96" t="n">
        <v>2</v>
      </c>
      <c r="P96" t="n">
        <v>1</v>
      </c>
      <c r="Q96" t="n">
        <v>4</v>
      </c>
      <c r="R96" s="2" t="inlineStr">
        <is>
          <t>Granrotspindling
Gulfotad denisespindling
Rödgul trumpetsvamp
Vågbandad barkbock</t>
        </is>
      </c>
      <c r="S96">
        <f>HYPERLINK("https://klasma.github.io/Logging_0980/artfynd/A 584-2023 artfynd.xlsx", "A 584-2023")</f>
        <v/>
      </c>
      <c r="T96">
        <f>HYPERLINK("https://klasma.github.io/Logging_0980/kartor/A 584-2023 karta.png", "A 584-2023")</f>
        <v/>
      </c>
      <c r="V96">
        <f>HYPERLINK("https://klasma.github.io/Logging_0980/klagomål/A 584-2023 FSC-klagomål.docx", "A 584-2023")</f>
        <v/>
      </c>
      <c r="W96">
        <f>HYPERLINK("https://klasma.github.io/Logging_0980/klagomålsmail/A 584-2023 FSC-klagomål mail.docx", "A 584-2023")</f>
        <v/>
      </c>
      <c r="X96">
        <f>HYPERLINK("https://klasma.github.io/Logging_0980/tillsyn/A 584-2023 tillsynsbegäran.docx", "A 584-2023")</f>
        <v/>
      </c>
      <c r="Y96">
        <f>HYPERLINK("https://klasma.github.io/Logging_0980/tillsynsmail/A 584-2023 tillsynsbegäran mail.docx", "A 584-2023")</f>
        <v/>
      </c>
    </row>
    <row r="97" ht="15" customHeight="1">
      <c r="A97" t="inlineStr">
        <is>
          <t>A 6159-2023</t>
        </is>
      </c>
      <c r="B97" s="1" t="n">
        <v>44964</v>
      </c>
      <c r="C97" s="1" t="n">
        <v>45576</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8265-2023</t>
        </is>
      </c>
      <c r="B98" s="1" t="n">
        <v>44974</v>
      </c>
      <c r="C98" s="1" t="n">
        <v>45576</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43197-2023</t>
        </is>
      </c>
      <c r="B99" s="1" t="n">
        <v>45183</v>
      </c>
      <c r="C99" s="1" t="n">
        <v>45576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46969-2023</t>
        </is>
      </c>
      <c r="B100" s="1" t="n">
        <v>45195</v>
      </c>
      <c r="C100" s="1" t="n">
        <v>45576</v>
      </c>
      <c r="D100" t="inlineStr">
        <is>
          <t>GOTLANDS LÄN</t>
        </is>
      </c>
      <c r="E100" t="inlineStr">
        <is>
          <t>GOTLAND</t>
        </is>
      </c>
      <c r="G100" t="n">
        <v>7.3</v>
      </c>
      <c r="H100" t="n">
        <v>1</v>
      </c>
      <c r="I100" t="n">
        <v>1</v>
      </c>
      <c r="J100" t="n">
        <v>2</v>
      </c>
      <c r="K100" t="n">
        <v>0</v>
      </c>
      <c r="L100" t="n">
        <v>0</v>
      </c>
      <c r="M100" t="n">
        <v>0</v>
      </c>
      <c r="N100" t="n">
        <v>0</v>
      </c>
      <c r="O100" t="n">
        <v>2</v>
      </c>
      <c r="P100" t="n">
        <v>0</v>
      </c>
      <c r="Q100" t="n">
        <v>4</v>
      </c>
      <c r="R100" s="2" t="inlineStr">
        <is>
          <t>Backtimjan
Solvända
Svavelriska
Nattviol</t>
        </is>
      </c>
      <c r="S100">
        <f>HYPERLINK("https://klasma.github.io/Logging_0980/artfynd/A 46969-2023 artfynd.xlsx", "A 46969-2023")</f>
        <v/>
      </c>
      <c r="T100">
        <f>HYPERLINK("https://klasma.github.io/Logging_0980/kartor/A 46969-2023 karta.png", "A 46969-2023")</f>
        <v/>
      </c>
      <c r="V100">
        <f>HYPERLINK("https://klasma.github.io/Logging_0980/klagomål/A 46969-2023 FSC-klagomål.docx", "A 46969-2023")</f>
        <v/>
      </c>
      <c r="W100">
        <f>HYPERLINK("https://klasma.github.io/Logging_0980/klagomålsmail/A 46969-2023 FSC-klagomål mail.docx", "A 46969-2023")</f>
        <v/>
      </c>
      <c r="X100">
        <f>HYPERLINK("https://klasma.github.io/Logging_0980/tillsyn/A 46969-2023 tillsynsbegäran.docx", "A 46969-2023")</f>
        <v/>
      </c>
      <c r="Y100">
        <f>HYPERLINK("https://klasma.github.io/Logging_0980/tillsynsmail/A 46969-2023 tillsynsbegäran mail.docx", "A 46969-2023")</f>
        <v/>
      </c>
    </row>
    <row r="101" ht="15" customHeight="1">
      <c r="A101" t="inlineStr">
        <is>
          <t>A 45682-2023</t>
        </is>
      </c>
      <c r="B101" s="1" t="n">
        <v>45195</v>
      </c>
      <c r="C101" s="1" t="n">
        <v>45576</v>
      </c>
      <c r="D101" t="inlineStr">
        <is>
          <t>GOTLANDS LÄN</t>
        </is>
      </c>
      <c r="E101" t="inlineStr">
        <is>
          <t>GOTLAND</t>
        </is>
      </c>
      <c r="G101" t="n">
        <v>13.9</v>
      </c>
      <c r="H101" t="n">
        <v>2</v>
      </c>
      <c r="I101" t="n">
        <v>2</v>
      </c>
      <c r="J101" t="n">
        <v>1</v>
      </c>
      <c r="K101" t="n">
        <v>0</v>
      </c>
      <c r="L101" t="n">
        <v>0</v>
      </c>
      <c r="M101" t="n">
        <v>0</v>
      </c>
      <c r="N101" t="n">
        <v>0</v>
      </c>
      <c r="O101" t="n">
        <v>1</v>
      </c>
      <c r="P101" t="n">
        <v>0</v>
      </c>
      <c r="Q101" t="n">
        <v>4</v>
      </c>
      <c r="R101" s="2" t="inlineStr">
        <is>
          <t>Loppstarr
Flugblomster
Kalktallört
Dactylorhiza incarnata subsp. incarnata</t>
        </is>
      </c>
      <c r="S101">
        <f>HYPERLINK("https://klasma.github.io/Logging_0980/artfynd/A 45682-2023 artfynd.xlsx", "A 45682-2023")</f>
        <v/>
      </c>
      <c r="T101">
        <f>HYPERLINK("https://klasma.github.io/Logging_0980/kartor/A 45682-2023 karta.png", "A 45682-2023")</f>
        <v/>
      </c>
      <c r="V101">
        <f>HYPERLINK("https://klasma.github.io/Logging_0980/klagomål/A 45682-2023 FSC-klagomål.docx", "A 45682-2023")</f>
        <v/>
      </c>
      <c r="W101">
        <f>HYPERLINK("https://klasma.github.io/Logging_0980/klagomålsmail/A 45682-2023 FSC-klagomål mail.docx", "A 45682-2023")</f>
        <v/>
      </c>
      <c r="X101">
        <f>HYPERLINK("https://klasma.github.io/Logging_0980/tillsyn/A 45682-2023 tillsynsbegäran.docx", "A 45682-2023")</f>
        <v/>
      </c>
      <c r="Y101">
        <f>HYPERLINK("https://klasma.github.io/Logging_0980/tillsynsmail/A 45682-2023 tillsynsbegäran mail.docx", "A 45682-2023")</f>
        <v/>
      </c>
    </row>
    <row r="102" ht="15" customHeight="1">
      <c r="A102" t="inlineStr">
        <is>
          <t>A 5904-2024</t>
        </is>
      </c>
      <c r="B102" s="1" t="n">
        <v>45335</v>
      </c>
      <c r="C102" s="1" t="n">
        <v>45576</v>
      </c>
      <c r="D102" t="inlineStr">
        <is>
          <t>GOTLANDS LÄN</t>
        </is>
      </c>
      <c r="E102" t="inlineStr">
        <is>
          <t>GOTLAND</t>
        </is>
      </c>
      <c r="G102" t="n">
        <v>6.4</v>
      </c>
      <c r="H102" t="n">
        <v>1</v>
      </c>
      <c r="I102" t="n">
        <v>2</v>
      </c>
      <c r="J102" t="n">
        <v>1</v>
      </c>
      <c r="K102" t="n">
        <v>0</v>
      </c>
      <c r="L102" t="n">
        <v>0</v>
      </c>
      <c r="M102" t="n">
        <v>0</v>
      </c>
      <c r="N102" t="n">
        <v>0</v>
      </c>
      <c r="O102" t="n">
        <v>1</v>
      </c>
      <c r="P102" t="n">
        <v>0</v>
      </c>
      <c r="Q102" t="n">
        <v>4</v>
      </c>
      <c r="R102" s="2" t="inlineStr">
        <is>
          <t>Backstarr
Blåmossa
Kattfotslav
Sankt pers nycklar</t>
        </is>
      </c>
      <c r="S102">
        <f>HYPERLINK("https://klasma.github.io/Logging_0980/artfynd/A 5904-2024 artfynd.xlsx", "A 5904-2024")</f>
        <v/>
      </c>
      <c r="T102">
        <f>HYPERLINK("https://klasma.github.io/Logging_0980/kartor/A 5904-2024 karta.png", "A 5904-2024")</f>
        <v/>
      </c>
      <c r="V102">
        <f>HYPERLINK("https://klasma.github.io/Logging_0980/klagomål/A 5904-2024 FSC-klagomål.docx", "A 5904-2024")</f>
        <v/>
      </c>
      <c r="W102">
        <f>HYPERLINK("https://klasma.github.io/Logging_0980/klagomålsmail/A 5904-2024 FSC-klagomål mail.docx", "A 5904-2024")</f>
        <v/>
      </c>
      <c r="X102">
        <f>HYPERLINK("https://klasma.github.io/Logging_0980/tillsyn/A 5904-2024 tillsynsbegäran.docx", "A 5904-2024")</f>
        <v/>
      </c>
      <c r="Y102">
        <f>HYPERLINK("https://klasma.github.io/Logging_0980/tillsynsmail/A 5904-2024 tillsynsbegäran mail.docx", "A 5904-2024")</f>
        <v/>
      </c>
    </row>
    <row r="103" ht="15" customHeight="1">
      <c r="A103" t="inlineStr">
        <is>
          <t>A 14354-2024</t>
        </is>
      </c>
      <c r="B103" s="1" t="n">
        <v>45393</v>
      </c>
      <c r="C103" s="1" t="n">
        <v>45576</v>
      </c>
      <c r="D103" t="inlineStr">
        <is>
          <t>GOTLANDS LÄN</t>
        </is>
      </c>
      <c r="E103" t="inlineStr">
        <is>
          <t>GOTLAND</t>
        </is>
      </c>
      <c r="G103" t="n">
        <v>2.4</v>
      </c>
      <c r="H103" t="n">
        <v>1</v>
      </c>
      <c r="I103" t="n">
        <v>0</v>
      </c>
      <c r="J103" t="n">
        <v>4</v>
      </c>
      <c r="K103" t="n">
        <v>0</v>
      </c>
      <c r="L103" t="n">
        <v>0</v>
      </c>
      <c r="M103" t="n">
        <v>0</v>
      </c>
      <c r="N103" t="n">
        <v>0</v>
      </c>
      <c r="O103" t="n">
        <v>4</v>
      </c>
      <c r="P103" t="n">
        <v>0</v>
      </c>
      <c r="Q103" t="n">
        <v>4</v>
      </c>
      <c r="R103" s="2" t="inlineStr">
        <is>
          <t>Dårgräsfjäril
Smedbock
Svinrot
Ängsskära</t>
        </is>
      </c>
      <c r="S103">
        <f>HYPERLINK("https://klasma.github.io/Logging_0980/artfynd/A 14354-2024 artfynd.xlsx", "A 14354-2024")</f>
        <v/>
      </c>
      <c r="T103">
        <f>HYPERLINK("https://klasma.github.io/Logging_0980/kartor/A 14354-2024 karta.png", "A 14354-2024")</f>
        <v/>
      </c>
      <c r="V103">
        <f>HYPERLINK("https://klasma.github.io/Logging_0980/klagomål/A 14354-2024 FSC-klagomål.docx", "A 14354-2024")</f>
        <v/>
      </c>
      <c r="W103">
        <f>HYPERLINK("https://klasma.github.io/Logging_0980/klagomålsmail/A 14354-2024 FSC-klagomål mail.docx", "A 14354-2024")</f>
        <v/>
      </c>
      <c r="X103">
        <f>HYPERLINK("https://klasma.github.io/Logging_0980/tillsyn/A 14354-2024 tillsynsbegäran.docx", "A 14354-2024")</f>
        <v/>
      </c>
      <c r="Y103">
        <f>HYPERLINK("https://klasma.github.io/Logging_0980/tillsynsmail/A 14354-2024 tillsynsbegäran mail.docx", "A 14354-2024")</f>
        <v/>
      </c>
    </row>
    <row r="104" ht="15" customHeight="1">
      <c r="A104" t="inlineStr">
        <is>
          <t>A 25768-2024</t>
        </is>
      </c>
      <c r="B104" s="1" t="n">
        <v>45466</v>
      </c>
      <c r="C104" s="1" t="n">
        <v>45576</v>
      </c>
      <c r="D104" t="inlineStr">
        <is>
          <t>GOTLANDS LÄN</t>
        </is>
      </c>
      <c r="E104" t="inlineStr">
        <is>
          <t>GOTLAND</t>
        </is>
      </c>
      <c r="G104" t="n">
        <v>4.6</v>
      </c>
      <c r="H104" t="n">
        <v>4</v>
      </c>
      <c r="I104" t="n">
        <v>2</v>
      </c>
      <c r="J104" t="n">
        <v>0</v>
      </c>
      <c r="K104" t="n">
        <v>0</v>
      </c>
      <c r="L104" t="n">
        <v>0</v>
      </c>
      <c r="M104" t="n">
        <v>0</v>
      </c>
      <c r="N104" t="n">
        <v>0</v>
      </c>
      <c r="O104" t="n">
        <v>0</v>
      </c>
      <c r="P104" t="n">
        <v>0</v>
      </c>
      <c r="Q104" t="n">
        <v>4</v>
      </c>
      <c r="R104" s="2" t="inlineStr">
        <is>
          <t>Nästrot
Tvåblad
Fläcknycklar
Nattviol</t>
        </is>
      </c>
      <c r="S104">
        <f>HYPERLINK("https://klasma.github.io/Logging_0980/artfynd/A 25768-2024 artfynd.xlsx", "A 25768-2024")</f>
        <v/>
      </c>
      <c r="T104">
        <f>HYPERLINK("https://klasma.github.io/Logging_0980/kartor/A 25768-2024 karta.png", "A 25768-2024")</f>
        <v/>
      </c>
      <c r="V104">
        <f>HYPERLINK("https://klasma.github.io/Logging_0980/klagomål/A 25768-2024 FSC-klagomål.docx", "A 25768-2024")</f>
        <v/>
      </c>
      <c r="W104">
        <f>HYPERLINK("https://klasma.github.io/Logging_0980/klagomålsmail/A 25768-2024 FSC-klagomål mail.docx", "A 25768-2024")</f>
        <v/>
      </c>
      <c r="X104">
        <f>HYPERLINK("https://klasma.github.io/Logging_0980/tillsyn/A 25768-2024 tillsynsbegäran.docx", "A 25768-2024")</f>
        <v/>
      </c>
      <c r="Y104">
        <f>HYPERLINK("https://klasma.github.io/Logging_0980/tillsynsmail/A 25768-2024 tillsynsbegäran mail.docx", "A 25768-2024")</f>
        <v/>
      </c>
    </row>
    <row r="105" ht="15" customHeight="1">
      <c r="A105" t="inlineStr">
        <is>
          <t>A 34100-2024</t>
        </is>
      </c>
      <c r="B105" s="1" t="n">
        <v>45523</v>
      </c>
      <c r="C105" s="1" t="n">
        <v>45576</v>
      </c>
      <c r="D105" t="inlineStr">
        <is>
          <t>GOTLANDS LÄN</t>
        </is>
      </c>
      <c r="E105" t="inlineStr">
        <is>
          <t>GOTLAND</t>
        </is>
      </c>
      <c r="F105" t="inlineStr">
        <is>
          <t>Övriga statliga verk och myndigheter</t>
        </is>
      </c>
      <c r="G105" t="n">
        <v>8.5</v>
      </c>
      <c r="H105" t="n">
        <v>1</v>
      </c>
      <c r="I105" t="n">
        <v>1</v>
      </c>
      <c r="J105" t="n">
        <v>2</v>
      </c>
      <c r="K105" t="n">
        <v>0</v>
      </c>
      <c r="L105" t="n">
        <v>0</v>
      </c>
      <c r="M105" t="n">
        <v>0</v>
      </c>
      <c r="N105" t="n">
        <v>0</v>
      </c>
      <c r="O105" t="n">
        <v>2</v>
      </c>
      <c r="P105" t="n">
        <v>0</v>
      </c>
      <c r="Q105" t="n">
        <v>4</v>
      </c>
      <c r="R105" s="2" t="inlineStr">
        <is>
          <t>Majviva
Ängsstarr
Kärrlilja
Dactylorhiza incarnata subsp. incarnata</t>
        </is>
      </c>
      <c r="S105">
        <f>HYPERLINK("https://klasma.github.io/Logging_0980/artfynd/A 34100-2024 artfynd.xlsx", "A 34100-2024")</f>
        <v/>
      </c>
      <c r="T105">
        <f>HYPERLINK("https://klasma.github.io/Logging_0980/kartor/A 34100-2024 karta.png", "A 34100-2024")</f>
        <v/>
      </c>
      <c r="V105">
        <f>HYPERLINK("https://klasma.github.io/Logging_0980/klagomål/A 34100-2024 FSC-klagomål.docx", "A 34100-2024")</f>
        <v/>
      </c>
      <c r="W105">
        <f>HYPERLINK("https://klasma.github.io/Logging_0980/klagomålsmail/A 34100-2024 FSC-klagomål mail.docx", "A 34100-2024")</f>
        <v/>
      </c>
      <c r="X105">
        <f>HYPERLINK("https://klasma.github.io/Logging_0980/tillsyn/A 34100-2024 tillsynsbegäran.docx", "A 34100-2024")</f>
        <v/>
      </c>
      <c r="Y105">
        <f>HYPERLINK("https://klasma.github.io/Logging_0980/tillsynsmail/A 34100-2024 tillsynsbegäran mail.docx", "A 34100-2024")</f>
        <v/>
      </c>
    </row>
    <row r="106" ht="15" customHeight="1">
      <c r="A106" t="inlineStr">
        <is>
          <t>A 34171-2024</t>
        </is>
      </c>
      <c r="B106" s="1" t="n">
        <v>45524</v>
      </c>
      <c r="C106" s="1" t="n">
        <v>45576</v>
      </c>
      <c r="D106" t="inlineStr">
        <is>
          <t>GOTLANDS LÄN</t>
        </is>
      </c>
      <c r="E106" t="inlineStr">
        <is>
          <t>GOTLAND</t>
        </is>
      </c>
      <c r="G106" t="n">
        <v>6.6</v>
      </c>
      <c r="H106" t="n">
        <v>0</v>
      </c>
      <c r="I106" t="n">
        <v>1</v>
      </c>
      <c r="J106" t="n">
        <v>1</v>
      </c>
      <c r="K106" t="n">
        <v>1</v>
      </c>
      <c r="L106" t="n">
        <v>1</v>
      </c>
      <c r="M106" t="n">
        <v>0</v>
      </c>
      <c r="N106" t="n">
        <v>0</v>
      </c>
      <c r="O106" t="n">
        <v>3</v>
      </c>
      <c r="P106" t="n">
        <v>2</v>
      </c>
      <c r="Q106" t="n">
        <v>4</v>
      </c>
      <c r="R106" s="2" t="inlineStr">
        <is>
          <t>Ädellav
Mörk kraterlav
Orangepudrad klotterlav
Strävlosta</t>
        </is>
      </c>
      <c r="S106">
        <f>HYPERLINK("https://klasma.github.io/Logging_0980/artfynd/A 34171-2024 artfynd.xlsx", "A 34171-2024")</f>
        <v/>
      </c>
      <c r="T106">
        <f>HYPERLINK("https://klasma.github.io/Logging_0980/kartor/A 34171-2024 karta.png", "A 34171-2024")</f>
        <v/>
      </c>
      <c r="V106">
        <f>HYPERLINK("https://klasma.github.io/Logging_0980/klagomål/A 34171-2024 FSC-klagomål.docx", "A 34171-2024")</f>
        <v/>
      </c>
      <c r="W106">
        <f>HYPERLINK("https://klasma.github.io/Logging_0980/klagomålsmail/A 34171-2024 FSC-klagomål mail.docx", "A 34171-2024")</f>
        <v/>
      </c>
      <c r="X106">
        <f>HYPERLINK("https://klasma.github.io/Logging_0980/tillsyn/A 34171-2024 tillsynsbegäran.docx", "A 34171-2024")</f>
        <v/>
      </c>
      <c r="Y106">
        <f>HYPERLINK("https://klasma.github.io/Logging_0980/tillsynsmail/A 34171-2024 tillsynsbegäran mail.docx", "A 34171-2024")</f>
        <v/>
      </c>
    </row>
    <row r="107" ht="15" customHeight="1">
      <c r="A107" t="inlineStr">
        <is>
          <t>A 21897-2019</t>
        </is>
      </c>
      <c r="B107" s="1" t="n">
        <v>43584</v>
      </c>
      <c r="C107" s="1" t="n">
        <v>45576</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45576</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45576</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45576</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45576</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45576</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45576</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45576</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45576</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45576</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45576</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45576</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45576</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45576</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45576</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45576</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45576</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45576</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45576</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45576</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45576</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45576</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45576</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45576</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45576</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45576</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45576</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45576</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45576</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45576</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45576</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45576</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45576</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45576</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45576</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45576</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45576</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45576</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45576</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45576</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45576</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45576</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45576</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45576</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45576</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45576</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45576</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45576</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45576</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45576</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45576</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45576</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45576</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45576</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45576</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45576</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45576</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45576</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45576</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45576</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45576</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45576</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45576</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45576</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45576</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45576</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45576</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45576</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45576</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45576</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45576</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45576</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45576</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45576</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45576</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45576</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45576</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45576</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45576</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45576</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45576</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45576</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45576</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45576</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45576</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45576</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45576</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45576</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45576</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45576</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45576</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45576</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45576</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45576</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45576</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45576</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45576</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45576</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45576</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45576</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45576</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45576</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45576</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45576</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45576</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45576</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45576</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45576</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45576</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45576</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45576</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45576</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45576</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45576</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45576</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45576</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45576</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45576</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45576</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45576</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45576</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45576</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45576</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45576</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45576</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45576</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45576</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45576</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45576</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45576</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45576</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45576</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45576</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45576</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45576</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45576</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45576</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45576</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45576</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45576</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45576</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44468-2024</t>
        </is>
      </c>
      <c r="B248" s="1" t="n">
        <v>45574</v>
      </c>
      <c r="C248" s="1" t="n">
        <v>45576</v>
      </c>
      <c r="D248" t="inlineStr">
        <is>
          <t>GOTLANDS LÄN</t>
        </is>
      </c>
      <c r="E248" t="inlineStr">
        <is>
          <t>GOTLAND</t>
        </is>
      </c>
      <c r="G248" t="n">
        <v>7</v>
      </c>
      <c r="H248" t="n">
        <v>0</v>
      </c>
      <c r="I248" t="n">
        <v>0</v>
      </c>
      <c r="J248" t="n">
        <v>0</v>
      </c>
      <c r="K248" t="n">
        <v>0</v>
      </c>
      <c r="L248" t="n">
        <v>0</v>
      </c>
      <c r="M248" t="n">
        <v>1</v>
      </c>
      <c r="N248" t="n">
        <v>0</v>
      </c>
      <c r="O248" t="n">
        <v>1</v>
      </c>
      <c r="P248" t="n">
        <v>1</v>
      </c>
      <c r="Q248" t="n">
        <v>1</v>
      </c>
      <c r="R248" s="2" t="inlineStr">
        <is>
          <t>Skogsalm</t>
        </is>
      </c>
      <c r="S248">
        <f>HYPERLINK("https://klasma.github.io/Logging_0980/artfynd/A 44468-2024 artfynd.xlsx", "A 44468-2024")</f>
        <v/>
      </c>
      <c r="T248">
        <f>HYPERLINK("https://klasma.github.io/Logging_0980/kartor/A 44468-2024 karta.png", "A 44468-2024")</f>
        <v/>
      </c>
      <c r="V248">
        <f>HYPERLINK("https://klasma.github.io/Logging_0980/klagomål/A 44468-2024 FSC-klagomål.docx", "A 44468-2024")</f>
        <v/>
      </c>
      <c r="W248">
        <f>HYPERLINK("https://klasma.github.io/Logging_0980/klagomålsmail/A 44468-2024 FSC-klagomål mail.docx", "A 44468-2024")</f>
        <v/>
      </c>
      <c r="X248">
        <f>HYPERLINK("https://klasma.github.io/Logging_0980/tillsyn/A 44468-2024 tillsynsbegäran.docx", "A 44468-2024")</f>
        <v/>
      </c>
      <c r="Y248">
        <f>HYPERLINK("https://klasma.github.io/Logging_0980/tillsynsmail/A 44468-2024 tillsynsbegäran mail.docx", "A 44468-2024")</f>
        <v/>
      </c>
    </row>
    <row r="249" ht="15" customHeight="1">
      <c r="A249" t="inlineStr">
        <is>
          <t>A 19159-2019</t>
        </is>
      </c>
      <c r="B249" s="1" t="n">
        <v>43564</v>
      </c>
      <c r="C249" s="1" t="n">
        <v>45576</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21380-2019</t>
        </is>
      </c>
      <c r="B250" s="1" t="n">
        <v>43579</v>
      </c>
      <c r="C250" s="1" t="n">
        <v>45576</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21894-2019</t>
        </is>
      </c>
      <c r="B251" s="1" t="n">
        <v>43584</v>
      </c>
      <c r="C251" s="1" t="n">
        <v>45576</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21925-2019</t>
        </is>
      </c>
      <c r="B252" s="1" t="n">
        <v>43584</v>
      </c>
      <c r="C252" s="1" t="n">
        <v>45576</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22457-2019</t>
        </is>
      </c>
      <c r="B253" s="1" t="n">
        <v>43587</v>
      </c>
      <c r="C253" s="1" t="n">
        <v>45576</v>
      </c>
      <c r="D253" t="inlineStr">
        <is>
          <t>GOTLANDS LÄN</t>
        </is>
      </c>
      <c r="E253" t="inlineStr">
        <is>
          <t>GOTLAND</t>
        </is>
      </c>
      <c r="G253" t="n">
        <v>0.3</v>
      </c>
      <c r="H253" t="n">
        <v>0</v>
      </c>
      <c r="I253" t="n">
        <v>0</v>
      </c>
      <c r="J253" t="n">
        <v>0</v>
      </c>
      <c r="K253" t="n">
        <v>0</v>
      </c>
      <c r="L253" t="n">
        <v>0</v>
      </c>
      <c r="M253" t="n">
        <v>0</v>
      </c>
      <c r="N253" t="n">
        <v>0</v>
      </c>
      <c r="O253" t="n">
        <v>0</v>
      </c>
      <c r="P253" t="n">
        <v>0</v>
      </c>
      <c r="Q253" t="n">
        <v>0</v>
      </c>
      <c r="R253" s="2" t="inlineStr"/>
    </row>
    <row r="254" ht="15" customHeight="1">
      <c r="A254" t="inlineStr">
        <is>
          <t>A 23044-2019</t>
        </is>
      </c>
      <c r="B254" s="1" t="n">
        <v>43591</v>
      </c>
      <c r="C254" s="1" t="n">
        <v>45576</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26595-2019</t>
        </is>
      </c>
      <c r="B255" s="1" t="n">
        <v>43612</v>
      </c>
      <c r="C255" s="1" t="n">
        <v>45576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27795-2019</t>
        </is>
      </c>
      <c r="B256" s="1" t="n">
        <v>43612</v>
      </c>
      <c r="C256" s="1" t="n">
        <v>45576</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28977-2019</t>
        </is>
      </c>
      <c r="B257" s="1" t="n">
        <v>43628</v>
      </c>
      <c r="C257" s="1" t="n">
        <v>45576</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29470-2019</t>
        </is>
      </c>
      <c r="B258" s="1" t="n">
        <v>43629</v>
      </c>
      <c r="C258" s="1" t="n">
        <v>45576</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29469-2019</t>
        </is>
      </c>
      <c r="B259" s="1" t="n">
        <v>43629</v>
      </c>
      <c r="C259" s="1" t="n">
        <v>45576</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30033-2019</t>
        </is>
      </c>
      <c r="B260" s="1" t="n">
        <v>43630</v>
      </c>
      <c r="C260" s="1" t="n">
        <v>45576</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31396-2019</t>
        </is>
      </c>
      <c r="B261" s="1" t="n">
        <v>43636</v>
      </c>
      <c r="C261" s="1" t="n">
        <v>45576</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32061-2019</t>
        </is>
      </c>
      <c r="B262" s="1" t="n">
        <v>43643</v>
      </c>
      <c r="C262" s="1" t="n">
        <v>45576</v>
      </c>
      <c r="D262" t="inlineStr">
        <is>
          <t>GOTLANDS LÄN</t>
        </is>
      </c>
      <c r="E262" t="inlineStr">
        <is>
          <t>GOTLAND</t>
        </is>
      </c>
      <c r="G262" t="n">
        <v>7.5</v>
      </c>
      <c r="H262" t="n">
        <v>0</v>
      </c>
      <c r="I262" t="n">
        <v>0</v>
      </c>
      <c r="J262" t="n">
        <v>0</v>
      </c>
      <c r="K262" t="n">
        <v>0</v>
      </c>
      <c r="L262" t="n">
        <v>0</v>
      </c>
      <c r="M262" t="n">
        <v>0</v>
      </c>
      <c r="N262" t="n">
        <v>0</v>
      </c>
      <c r="O262" t="n">
        <v>0</v>
      </c>
      <c r="P262" t="n">
        <v>0</v>
      </c>
      <c r="Q262" t="n">
        <v>0</v>
      </c>
      <c r="R262" s="2" t="inlineStr"/>
    </row>
    <row r="263" ht="15" customHeight="1">
      <c r="A263" t="inlineStr">
        <is>
          <t>A 32949-2019</t>
        </is>
      </c>
      <c r="B263" s="1" t="n">
        <v>43648</v>
      </c>
      <c r="C263" s="1" t="n">
        <v>45576</v>
      </c>
      <c r="D263" t="inlineStr">
        <is>
          <t>GOTLANDS LÄN</t>
        </is>
      </c>
      <c r="E263" t="inlineStr">
        <is>
          <t>GOTLAND</t>
        </is>
      </c>
      <c r="G263" t="n">
        <v>0.9</v>
      </c>
      <c r="H263" t="n">
        <v>0</v>
      </c>
      <c r="I263" t="n">
        <v>0</v>
      </c>
      <c r="J263" t="n">
        <v>0</v>
      </c>
      <c r="K263" t="n">
        <v>0</v>
      </c>
      <c r="L263" t="n">
        <v>0</v>
      </c>
      <c r="M263" t="n">
        <v>0</v>
      </c>
      <c r="N263" t="n">
        <v>0</v>
      </c>
      <c r="O263" t="n">
        <v>0</v>
      </c>
      <c r="P263" t="n">
        <v>0</v>
      </c>
      <c r="Q263" t="n">
        <v>0</v>
      </c>
      <c r="R263" s="2" t="inlineStr"/>
    </row>
    <row r="264" ht="15" customHeight="1">
      <c r="A264" t="inlineStr">
        <is>
          <t>A 32964-2019</t>
        </is>
      </c>
      <c r="B264" s="1" t="n">
        <v>43648</v>
      </c>
      <c r="C264" s="1" t="n">
        <v>45576</v>
      </c>
      <c r="D264" t="inlineStr">
        <is>
          <t>GOTLANDS LÄN</t>
        </is>
      </c>
      <c r="E264" t="inlineStr">
        <is>
          <t>GOTLAND</t>
        </is>
      </c>
      <c r="G264" t="n">
        <v>8.9</v>
      </c>
      <c r="H264" t="n">
        <v>0</v>
      </c>
      <c r="I264" t="n">
        <v>0</v>
      </c>
      <c r="J264" t="n">
        <v>0</v>
      </c>
      <c r="K264" t="n">
        <v>0</v>
      </c>
      <c r="L264" t="n">
        <v>0</v>
      </c>
      <c r="M264" t="n">
        <v>0</v>
      </c>
      <c r="N264" t="n">
        <v>0</v>
      </c>
      <c r="O264" t="n">
        <v>0</v>
      </c>
      <c r="P264" t="n">
        <v>0</v>
      </c>
      <c r="Q264" t="n">
        <v>0</v>
      </c>
      <c r="R264" s="2" t="inlineStr"/>
    </row>
    <row r="265" ht="15" customHeight="1">
      <c r="A265" t="inlineStr">
        <is>
          <t>A 32970-2019</t>
        </is>
      </c>
      <c r="B265" s="1" t="n">
        <v>43648</v>
      </c>
      <c r="C265" s="1" t="n">
        <v>45576</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33673-2019</t>
        </is>
      </c>
      <c r="B266" s="1" t="n">
        <v>43651</v>
      </c>
      <c r="C266" s="1" t="n">
        <v>45576</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33668-2019</t>
        </is>
      </c>
      <c r="B267" s="1" t="n">
        <v>43651</v>
      </c>
      <c r="C267" s="1" t="n">
        <v>45576</v>
      </c>
      <c r="D267" t="inlineStr">
        <is>
          <t>GOTLANDS LÄN</t>
        </is>
      </c>
      <c r="E267" t="inlineStr">
        <is>
          <t>GOTLAND</t>
        </is>
      </c>
      <c r="G267" t="n">
        <v>9.4</v>
      </c>
      <c r="H267" t="n">
        <v>0</v>
      </c>
      <c r="I267" t="n">
        <v>0</v>
      </c>
      <c r="J267" t="n">
        <v>0</v>
      </c>
      <c r="K267" t="n">
        <v>0</v>
      </c>
      <c r="L267" t="n">
        <v>0</v>
      </c>
      <c r="M267" t="n">
        <v>0</v>
      </c>
      <c r="N267" t="n">
        <v>0</v>
      </c>
      <c r="O267" t="n">
        <v>0</v>
      </c>
      <c r="P267" t="n">
        <v>0</v>
      </c>
      <c r="Q267" t="n">
        <v>0</v>
      </c>
      <c r="R267" s="2" t="inlineStr"/>
    </row>
    <row r="268" ht="15" customHeight="1">
      <c r="A268" t="inlineStr">
        <is>
          <t>A 33674-2019</t>
        </is>
      </c>
      <c r="B268" s="1" t="n">
        <v>43651</v>
      </c>
      <c r="C268" s="1" t="n">
        <v>45576</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33646-2019</t>
        </is>
      </c>
      <c r="B269" s="1" t="n">
        <v>43651</v>
      </c>
      <c r="C269" s="1" t="n">
        <v>45576</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34790-2019</t>
        </is>
      </c>
      <c r="B270" s="1" t="n">
        <v>43658</v>
      </c>
      <c r="C270" s="1" t="n">
        <v>45576</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36344-2019</t>
        </is>
      </c>
      <c r="B271" s="1" t="n">
        <v>43661</v>
      </c>
      <c r="C271" s="1" t="n">
        <v>45576</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36072-2019</t>
        </is>
      </c>
      <c r="B272" s="1" t="n">
        <v>43668</v>
      </c>
      <c r="C272" s="1" t="n">
        <v>45576</v>
      </c>
      <c r="D272" t="inlineStr">
        <is>
          <t>GOTLANDS LÄN</t>
        </is>
      </c>
      <c r="E272" t="inlineStr">
        <is>
          <t>GOTLAND</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37028-2019</t>
        </is>
      </c>
      <c r="B273" s="1" t="n">
        <v>43675</v>
      </c>
      <c r="C273" s="1" t="n">
        <v>45576</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40205-2019</t>
        </is>
      </c>
      <c r="B274" s="1" t="n">
        <v>43693</v>
      </c>
      <c r="C274" s="1" t="n">
        <v>45576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46423-2019</t>
        </is>
      </c>
      <c r="B275" s="1" t="n">
        <v>43719</v>
      </c>
      <c r="C275" s="1" t="n">
        <v>45576</v>
      </c>
      <c r="D275" t="inlineStr">
        <is>
          <t>GOTLANDS LÄN</t>
        </is>
      </c>
      <c r="E275" t="inlineStr">
        <is>
          <t>GOTLAND</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47141-2019</t>
        </is>
      </c>
      <c r="B276" s="1" t="n">
        <v>43721</v>
      </c>
      <c r="C276" s="1" t="n">
        <v>45576</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48459-2019</t>
        </is>
      </c>
      <c r="B277" s="1" t="n">
        <v>43727</v>
      </c>
      <c r="C277" s="1" t="n">
        <v>45576</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49769-2019</t>
        </is>
      </c>
      <c r="B278" s="1" t="n">
        <v>43733</v>
      </c>
      <c r="C278" s="1" t="n">
        <v>45576</v>
      </c>
      <c r="D278" t="inlineStr">
        <is>
          <t>GOTLANDS LÄN</t>
        </is>
      </c>
      <c r="E278" t="inlineStr">
        <is>
          <t>GOTLAND</t>
        </is>
      </c>
      <c r="G278" t="n">
        <v>22.3</v>
      </c>
      <c r="H278" t="n">
        <v>0</v>
      </c>
      <c r="I278" t="n">
        <v>0</v>
      </c>
      <c r="J278" t="n">
        <v>0</v>
      </c>
      <c r="K278" t="n">
        <v>0</v>
      </c>
      <c r="L278" t="n">
        <v>0</v>
      </c>
      <c r="M278" t="n">
        <v>0</v>
      </c>
      <c r="N278" t="n">
        <v>0</v>
      </c>
      <c r="O278" t="n">
        <v>0</v>
      </c>
      <c r="P278" t="n">
        <v>0</v>
      </c>
      <c r="Q278" t="n">
        <v>0</v>
      </c>
      <c r="R278" s="2" t="inlineStr"/>
    </row>
    <row r="279" ht="15" customHeight="1">
      <c r="A279" t="inlineStr">
        <is>
          <t>A 50463-2019</t>
        </is>
      </c>
      <c r="B279" s="1" t="n">
        <v>43735</v>
      </c>
      <c r="C279" s="1" t="n">
        <v>45576</v>
      </c>
      <c r="D279" t="inlineStr">
        <is>
          <t>GOTLANDS LÄN</t>
        </is>
      </c>
      <c r="E279" t="inlineStr">
        <is>
          <t>GOTLAND</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50632-2019</t>
        </is>
      </c>
      <c r="B280" s="1" t="n">
        <v>43737</v>
      </c>
      <c r="C280" s="1" t="n">
        <v>45576</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51577-2019</t>
        </is>
      </c>
      <c r="B281" s="1" t="n">
        <v>43740</v>
      </c>
      <c r="C281" s="1" t="n">
        <v>45576</v>
      </c>
      <c r="D281" t="inlineStr">
        <is>
          <t>GOTLANDS LÄN</t>
        </is>
      </c>
      <c r="E281" t="inlineStr">
        <is>
          <t>GOTLAND</t>
        </is>
      </c>
      <c r="G281" t="n">
        <v>6.5</v>
      </c>
      <c r="H281" t="n">
        <v>0</v>
      </c>
      <c r="I281" t="n">
        <v>0</v>
      </c>
      <c r="J281" t="n">
        <v>0</v>
      </c>
      <c r="K281" t="n">
        <v>0</v>
      </c>
      <c r="L281" t="n">
        <v>0</v>
      </c>
      <c r="M281" t="n">
        <v>0</v>
      </c>
      <c r="N281" t="n">
        <v>0</v>
      </c>
      <c r="O281" t="n">
        <v>0</v>
      </c>
      <c r="P281" t="n">
        <v>0</v>
      </c>
      <c r="Q281" t="n">
        <v>0</v>
      </c>
      <c r="R281" s="2" t="inlineStr"/>
    </row>
    <row r="282" ht="15" customHeight="1">
      <c r="A282" t="inlineStr">
        <is>
          <t>A 53783-2019</t>
        </is>
      </c>
      <c r="B282" s="1" t="n">
        <v>43750</v>
      </c>
      <c r="C282" s="1" t="n">
        <v>45576</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56238-2019</t>
        </is>
      </c>
      <c r="B283" s="1" t="n">
        <v>43762</v>
      </c>
      <c r="C283" s="1" t="n">
        <v>45576</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56845-2019</t>
        </is>
      </c>
      <c r="B284" s="1" t="n">
        <v>43765</v>
      </c>
      <c r="C284" s="1" t="n">
        <v>45576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60700-2019</t>
        </is>
      </c>
      <c r="B285" s="1" t="n">
        <v>43781</v>
      </c>
      <c r="C285" s="1" t="n">
        <v>45576</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62212-2019</t>
        </is>
      </c>
      <c r="B286" s="1" t="n">
        <v>43788</v>
      </c>
      <c r="C286" s="1" t="n">
        <v>45576</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62209-2019</t>
        </is>
      </c>
      <c r="B287" s="1" t="n">
        <v>43788</v>
      </c>
      <c r="C287" s="1" t="n">
        <v>45576</v>
      </c>
      <c r="D287" t="inlineStr">
        <is>
          <t>GOTLANDS LÄN</t>
        </is>
      </c>
      <c r="E287" t="inlineStr">
        <is>
          <t>GOTLAND</t>
        </is>
      </c>
      <c r="G287" t="n">
        <v>4.8</v>
      </c>
      <c r="H287" t="n">
        <v>0</v>
      </c>
      <c r="I287" t="n">
        <v>0</v>
      </c>
      <c r="J287" t="n">
        <v>0</v>
      </c>
      <c r="K287" t="n">
        <v>0</v>
      </c>
      <c r="L287" t="n">
        <v>0</v>
      </c>
      <c r="M287" t="n">
        <v>0</v>
      </c>
      <c r="N287" t="n">
        <v>0</v>
      </c>
      <c r="O287" t="n">
        <v>0</v>
      </c>
      <c r="P287" t="n">
        <v>0</v>
      </c>
      <c r="Q287" t="n">
        <v>0</v>
      </c>
      <c r="R287" s="2" t="inlineStr"/>
    </row>
    <row r="288" ht="15" customHeight="1">
      <c r="A288" t="inlineStr">
        <is>
          <t>A 62218-2019</t>
        </is>
      </c>
      <c r="B288" s="1" t="n">
        <v>43788</v>
      </c>
      <c r="C288" s="1" t="n">
        <v>45576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63366-2019</t>
        </is>
      </c>
      <c r="B289" s="1" t="n">
        <v>43794</v>
      </c>
      <c r="C289" s="1" t="n">
        <v>45576</v>
      </c>
      <c r="D289" t="inlineStr">
        <is>
          <t>GOTLANDS LÄN</t>
        </is>
      </c>
      <c r="E289" t="inlineStr">
        <is>
          <t>GOTLAND</t>
        </is>
      </c>
      <c r="G289" t="n">
        <v>16.4</v>
      </c>
      <c r="H289" t="n">
        <v>0</v>
      </c>
      <c r="I289" t="n">
        <v>0</v>
      </c>
      <c r="J289" t="n">
        <v>0</v>
      </c>
      <c r="K289" t="n">
        <v>0</v>
      </c>
      <c r="L289" t="n">
        <v>0</v>
      </c>
      <c r="M289" t="n">
        <v>0</v>
      </c>
      <c r="N289" t="n">
        <v>0</v>
      </c>
      <c r="O289" t="n">
        <v>0</v>
      </c>
      <c r="P289" t="n">
        <v>0</v>
      </c>
      <c r="Q289" t="n">
        <v>0</v>
      </c>
      <c r="R289" s="2" t="inlineStr"/>
    </row>
    <row r="290" ht="15" customHeight="1">
      <c r="A290" t="inlineStr">
        <is>
          <t>A 63747-2019</t>
        </is>
      </c>
      <c r="B290" s="1" t="n">
        <v>43795</v>
      </c>
      <c r="C290" s="1" t="n">
        <v>45576</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63751-2019</t>
        </is>
      </c>
      <c r="B291" s="1" t="n">
        <v>43795</v>
      </c>
      <c r="C291" s="1" t="n">
        <v>45576</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66960-2019</t>
        </is>
      </c>
      <c r="B292" s="1" t="n">
        <v>43810</v>
      </c>
      <c r="C292" s="1" t="n">
        <v>45576</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67079-2019</t>
        </is>
      </c>
      <c r="B293" s="1" t="n">
        <v>43811</v>
      </c>
      <c r="C293" s="1" t="n">
        <v>45576</v>
      </c>
      <c r="D293" t="inlineStr">
        <is>
          <t>GOTLANDS LÄN</t>
        </is>
      </c>
      <c r="E293" t="inlineStr">
        <is>
          <t>GOTLAND</t>
        </is>
      </c>
      <c r="G293" t="n">
        <v>18.7</v>
      </c>
      <c r="H293" t="n">
        <v>0</v>
      </c>
      <c r="I293" t="n">
        <v>0</v>
      </c>
      <c r="J293" t="n">
        <v>0</v>
      </c>
      <c r="K293" t="n">
        <v>0</v>
      </c>
      <c r="L293" t="n">
        <v>0</v>
      </c>
      <c r="M293" t="n">
        <v>0</v>
      </c>
      <c r="N293" t="n">
        <v>0</v>
      </c>
      <c r="O293" t="n">
        <v>0</v>
      </c>
      <c r="P293" t="n">
        <v>0</v>
      </c>
      <c r="Q293" t="n">
        <v>0</v>
      </c>
      <c r="R293" s="2" t="inlineStr"/>
    </row>
    <row r="294" ht="15" customHeight="1">
      <c r="A294" t="inlineStr">
        <is>
          <t>A 67737-2019</t>
        </is>
      </c>
      <c r="B294" s="1" t="n">
        <v>43815</v>
      </c>
      <c r="C294" s="1" t="n">
        <v>45576</v>
      </c>
      <c r="D294" t="inlineStr">
        <is>
          <t>GOTLANDS LÄN</t>
        </is>
      </c>
      <c r="E294" t="inlineStr">
        <is>
          <t>GOTLAND</t>
        </is>
      </c>
      <c r="G294" t="n">
        <v>22.1</v>
      </c>
      <c r="H294" t="n">
        <v>0</v>
      </c>
      <c r="I294" t="n">
        <v>0</v>
      </c>
      <c r="J294" t="n">
        <v>0</v>
      </c>
      <c r="K294" t="n">
        <v>0</v>
      </c>
      <c r="L294" t="n">
        <v>0</v>
      </c>
      <c r="M294" t="n">
        <v>0</v>
      </c>
      <c r="N294" t="n">
        <v>0</v>
      </c>
      <c r="O294" t="n">
        <v>0</v>
      </c>
      <c r="P294" t="n">
        <v>0</v>
      </c>
      <c r="Q294" t="n">
        <v>0</v>
      </c>
      <c r="R294" s="2" t="inlineStr"/>
    </row>
    <row r="295" ht="15" customHeight="1">
      <c r="A295" t="inlineStr">
        <is>
          <t>A 67791-2019</t>
        </is>
      </c>
      <c r="B295" s="1" t="n">
        <v>43815</v>
      </c>
      <c r="C295" s="1" t="n">
        <v>45576</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67743-2019</t>
        </is>
      </c>
      <c r="B296" s="1" t="n">
        <v>43815</v>
      </c>
      <c r="C296" s="1" t="n">
        <v>45576</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972-2020</t>
        </is>
      </c>
      <c r="B297" s="1" t="n">
        <v>43819</v>
      </c>
      <c r="C297" s="1" t="n">
        <v>45576</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68750-2019</t>
        </is>
      </c>
      <c r="B298" s="1" t="n">
        <v>43819</v>
      </c>
      <c r="C298" s="1" t="n">
        <v>45576</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164-2020</t>
        </is>
      </c>
      <c r="B299" s="1" t="n">
        <v>43833</v>
      </c>
      <c r="C299" s="1" t="n">
        <v>45576</v>
      </c>
      <c r="D299" t="inlineStr">
        <is>
          <t>GOTLANDS LÄN</t>
        </is>
      </c>
      <c r="E299" t="inlineStr">
        <is>
          <t>GOTLAND</t>
        </is>
      </c>
      <c r="F299" t="inlineStr">
        <is>
          <t>Kyrkan</t>
        </is>
      </c>
      <c r="G299" t="n">
        <v>6.2</v>
      </c>
      <c r="H299" t="n">
        <v>0</v>
      </c>
      <c r="I299" t="n">
        <v>0</v>
      </c>
      <c r="J299" t="n">
        <v>0</v>
      </c>
      <c r="K299" t="n">
        <v>0</v>
      </c>
      <c r="L299" t="n">
        <v>0</v>
      </c>
      <c r="M299" t="n">
        <v>0</v>
      </c>
      <c r="N299" t="n">
        <v>0</v>
      </c>
      <c r="O299" t="n">
        <v>0</v>
      </c>
      <c r="P299" t="n">
        <v>0</v>
      </c>
      <c r="Q299" t="n">
        <v>0</v>
      </c>
      <c r="R299" s="2" t="inlineStr"/>
    </row>
    <row r="300" ht="15" customHeight="1">
      <c r="A300" t="inlineStr">
        <is>
          <t>A 768-2020</t>
        </is>
      </c>
      <c r="B300" s="1" t="n">
        <v>43838</v>
      </c>
      <c r="C300" s="1" t="n">
        <v>45576</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1384-2020</t>
        </is>
      </c>
      <c r="B301" s="1" t="n">
        <v>43843</v>
      </c>
      <c r="C301" s="1" t="n">
        <v>45576</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1541-2020</t>
        </is>
      </c>
      <c r="B302" s="1" t="n">
        <v>43843</v>
      </c>
      <c r="C302" s="1" t="n">
        <v>45576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2675-2020</t>
        </is>
      </c>
      <c r="B303" s="1" t="n">
        <v>43849</v>
      </c>
      <c r="C303" s="1" t="n">
        <v>45576</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4409-2020</t>
        </is>
      </c>
      <c r="B304" s="1" t="n">
        <v>43850</v>
      </c>
      <c r="C304" s="1" t="n">
        <v>45576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5724-2020</t>
        </is>
      </c>
      <c r="B305" s="1" t="n">
        <v>43862</v>
      </c>
      <c r="C305" s="1" t="n">
        <v>45576</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5731-2020</t>
        </is>
      </c>
      <c r="B306" s="1" t="n">
        <v>43862</v>
      </c>
      <c r="C306" s="1" t="n">
        <v>45576</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5723-2020</t>
        </is>
      </c>
      <c r="B307" s="1" t="n">
        <v>43862</v>
      </c>
      <c r="C307" s="1" t="n">
        <v>45576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5727-2020</t>
        </is>
      </c>
      <c r="B308" s="1" t="n">
        <v>43862</v>
      </c>
      <c r="C308" s="1" t="n">
        <v>45576</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6226-2020</t>
        </is>
      </c>
      <c r="B309" s="1" t="n">
        <v>43865</v>
      </c>
      <c r="C309" s="1" t="n">
        <v>45576</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6611-2020</t>
        </is>
      </c>
      <c r="B310" s="1" t="n">
        <v>43867</v>
      </c>
      <c r="C310" s="1" t="n">
        <v>45576</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8217-2020</t>
        </is>
      </c>
      <c r="B311" s="1" t="n">
        <v>43874</v>
      </c>
      <c r="C311" s="1" t="n">
        <v>45576</v>
      </c>
      <c r="D311" t="inlineStr">
        <is>
          <t>GOTLANDS LÄN</t>
        </is>
      </c>
      <c r="E311" t="inlineStr">
        <is>
          <t>GOTLAND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8872-2020</t>
        </is>
      </c>
      <c r="B312" s="1" t="n">
        <v>43878</v>
      </c>
      <c r="C312" s="1" t="n">
        <v>45576</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9502-2020</t>
        </is>
      </c>
      <c r="B313" s="1" t="n">
        <v>43880</v>
      </c>
      <c r="C313" s="1" t="n">
        <v>45576</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10932-2020</t>
        </is>
      </c>
      <c r="B314" s="1" t="n">
        <v>43889</v>
      </c>
      <c r="C314" s="1" t="n">
        <v>45576</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10931-2020</t>
        </is>
      </c>
      <c r="B315" s="1" t="n">
        <v>43889</v>
      </c>
      <c r="C315" s="1" t="n">
        <v>45576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12309-2020</t>
        </is>
      </c>
      <c r="B316" s="1" t="n">
        <v>43895</v>
      </c>
      <c r="C316" s="1" t="n">
        <v>45576</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13940-2020</t>
        </is>
      </c>
      <c r="B317" s="1" t="n">
        <v>43903</v>
      </c>
      <c r="C317" s="1" t="n">
        <v>45576</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13930-2020</t>
        </is>
      </c>
      <c r="B318" s="1" t="n">
        <v>43906</v>
      </c>
      <c r="C318" s="1" t="n">
        <v>45576</v>
      </c>
      <c r="D318" t="inlineStr">
        <is>
          <t>GOTLANDS LÄN</t>
        </is>
      </c>
      <c r="E318" t="inlineStr">
        <is>
          <t>GOTLAND</t>
        </is>
      </c>
      <c r="G318" t="n">
        <v>4</v>
      </c>
      <c r="H318" t="n">
        <v>0</v>
      </c>
      <c r="I318" t="n">
        <v>0</v>
      </c>
      <c r="J318" t="n">
        <v>0</v>
      </c>
      <c r="K318" t="n">
        <v>0</v>
      </c>
      <c r="L318" t="n">
        <v>0</v>
      </c>
      <c r="M318" t="n">
        <v>0</v>
      </c>
      <c r="N318" t="n">
        <v>0</v>
      </c>
      <c r="O318" t="n">
        <v>0</v>
      </c>
      <c r="P318" t="n">
        <v>0</v>
      </c>
      <c r="Q318" t="n">
        <v>0</v>
      </c>
      <c r="R318" s="2" t="inlineStr"/>
    </row>
    <row r="319" ht="15" customHeight="1">
      <c r="A319" t="inlineStr">
        <is>
          <t>A 13995-2020</t>
        </is>
      </c>
      <c r="B319" s="1" t="n">
        <v>43906</v>
      </c>
      <c r="C319" s="1" t="n">
        <v>45576</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13987-2020</t>
        </is>
      </c>
      <c r="B320" s="1" t="n">
        <v>43906</v>
      </c>
      <c r="C320" s="1" t="n">
        <v>45576</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14073-2020</t>
        </is>
      </c>
      <c r="B321" s="1" t="n">
        <v>43907</v>
      </c>
      <c r="C321" s="1" t="n">
        <v>45576</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14074-2020</t>
        </is>
      </c>
      <c r="B322" s="1" t="n">
        <v>43907</v>
      </c>
      <c r="C322" s="1" t="n">
        <v>45576</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16452-2020</t>
        </is>
      </c>
      <c r="B323" s="1" t="n">
        <v>43909</v>
      </c>
      <c r="C323" s="1" t="n">
        <v>45576</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14995-2020</t>
        </is>
      </c>
      <c r="B324" s="1" t="n">
        <v>43910</v>
      </c>
      <c r="C324" s="1" t="n">
        <v>45576</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15202-2020</t>
        </is>
      </c>
      <c r="B325" s="1" t="n">
        <v>43913</v>
      </c>
      <c r="C325" s="1" t="n">
        <v>45576</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15197-2020</t>
        </is>
      </c>
      <c r="B326" s="1" t="n">
        <v>43913</v>
      </c>
      <c r="C326" s="1" t="n">
        <v>45576</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15888-2020</t>
        </is>
      </c>
      <c r="B327" s="1" t="n">
        <v>43915</v>
      </c>
      <c r="C327" s="1" t="n">
        <v>45576</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16133-2020</t>
        </is>
      </c>
      <c r="B328" s="1" t="n">
        <v>43916</v>
      </c>
      <c r="C328" s="1" t="n">
        <v>45576</v>
      </c>
      <c r="D328" t="inlineStr">
        <is>
          <t>GOTLANDS LÄN</t>
        </is>
      </c>
      <c r="E328" t="inlineStr">
        <is>
          <t>GOTLAND</t>
        </is>
      </c>
      <c r="G328" t="n">
        <v>6.7</v>
      </c>
      <c r="H328" t="n">
        <v>0</v>
      </c>
      <c r="I328" t="n">
        <v>0</v>
      </c>
      <c r="J328" t="n">
        <v>0</v>
      </c>
      <c r="K328" t="n">
        <v>0</v>
      </c>
      <c r="L328" t="n">
        <v>0</v>
      </c>
      <c r="M328" t="n">
        <v>0</v>
      </c>
      <c r="N328" t="n">
        <v>0</v>
      </c>
      <c r="O328" t="n">
        <v>0</v>
      </c>
      <c r="P328" t="n">
        <v>0</v>
      </c>
      <c r="Q328" t="n">
        <v>0</v>
      </c>
      <c r="R328" s="2" t="inlineStr"/>
    </row>
    <row r="329" ht="15" customHeight="1">
      <c r="A329" t="inlineStr">
        <is>
          <t>A 17403-2020</t>
        </is>
      </c>
      <c r="B329" s="1" t="n">
        <v>43917</v>
      </c>
      <c r="C329" s="1" t="n">
        <v>45576</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17869-2020</t>
        </is>
      </c>
      <c r="B330" s="1" t="n">
        <v>43924</v>
      </c>
      <c r="C330" s="1" t="n">
        <v>45576</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19900-2020</t>
        </is>
      </c>
      <c r="B331" s="1" t="n">
        <v>43942</v>
      </c>
      <c r="C331" s="1" t="n">
        <v>45576</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21568-2020</t>
        </is>
      </c>
      <c r="B332" s="1" t="n">
        <v>43956</v>
      </c>
      <c r="C332" s="1" t="n">
        <v>45576</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22093-2020</t>
        </is>
      </c>
      <c r="B333" s="1" t="n">
        <v>43959</v>
      </c>
      <c r="C333" s="1" t="n">
        <v>45576</v>
      </c>
      <c r="D333" t="inlineStr">
        <is>
          <t>GOTLANDS LÄN</t>
        </is>
      </c>
      <c r="E333" t="inlineStr">
        <is>
          <t>GOTLAND</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22329-2020</t>
        </is>
      </c>
      <c r="B334" s="1" t="n">
        <v>43962</v>
      </c>
      <c r="C334" s="1" t="n">
        <v>45576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22333-2020</t>
        </is>
      </c>
      <c r="B335" s="1" t="n">
        <v>43962</v>
      </c>
      <c r="C335" s="1" t="n">
        <v>45576</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23498-2020</t>
        </is>
      </c>
      <c r="B336" s="1" t="n">
        <v>43969</v>
      </c>
      <c r="C336" s="1" t="n">
        <v>45576</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23728-2020</t>
        </is>
      </c>
      <c r="B337" s="1" t="n">
        <v>43970</v>
      </c>
      <c r="C337" s="1" t="n">
        <v>45576</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24537-2020</t>
        </is>
      </c>
      <c r="B338" s="1" t="n">
        <v>43977</v>
      </c>
      <c r="C338" s="1" t="n">
        <v>45576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25039-2020</t>
        </is>
      </c>
      <c r="B339" s="1" t="n">
        <v>43979</v>
      </c>
      <c r="C339" s="1" t="n">
        <v>45576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26117-2020</t>
        </is>
      </c>
      <c r="B340" s="1" t="n">
        <v>43985</v>
      </c>
      <c r="C340" s="1" t="n">
        <v>45576</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27322-2020</t>
        </is>
      </c>
      <c r="B341" s="1" t="n">
        <v>43992</v>
      </c>
      <c r="C341" s="1" t="n">
        <v>45576</v>
      </c>
      <c r="D341" t="inlineStr">
        <is>
          <t>GOTLANDS LÄN</t>
        </is>
      </c>
      <c r="E341" t="inlineStr">
        <is>
          <t>GOTLAND</t>
        </is>
      </c>
      <c r="F341" t="inlineStr">
        <is>
          <t>Övriga statliga verk och myndigheter</t>
        </is>
      </c>
      <c r="G341" t="n">
        <v>7.4</v>
      </c>
      <c r="H341" t="n">
        <v>0</v>
      </c>
      <c r="I341" t="n">
        <v>0</v>
      </c>
      <c r="J341" t="n">
        <v>0</v>
      </c>
      <c r="K341" t="n">
        <v>0</v>
      </c>
      <c r="L341" t="n">
        <v>0</v>
      </c>
      <c r="M341" t="n">
        <v>0</v>
      </c>
      <c r="N341" t="n">
        <v>0</v>
      </c>
      <c r="O341" t="n">
        <v>0</v>
      </c>
      <c r="P341" t="n">
        <v>0</v>
      </c>
      <c r="Q341" t="n">
        <v>0</v>
      </c>
      <c r="R341" s="2" t="inlineStr"/>
    </row>
    <row r="342" ht="15" customHeight="1">
      <c r="A342" t="inlineStr">
        <is>
          <t>A 27334-2020</t>
        </is>
      </c>
      <c r="B342" s="1" t="n">
        <v>43992</v>
      </c>
      <c r="C342" s="1" t="n">
        <v>45576</v>
      </c>
      <c r="D342" t="inlineStr">
        <is>
          <t>GOTLANDS LÄN</t>
        </is>
      </c>
      <c r="E342" t="inlineStr">
        <is>
          <t>GOTLAND</t>
        </is>
      </c>
      <c r="F342" t="inlineStr">
        <is>
          <t>Övriga statliga verk och myndigheter</t>
        </is>
      </c>
      <c r="G342" t="n">
        <v>5.4</v>
      </c>
      <c r="H342" t="n">
        <v>0</v>
      </c>
      <c r="I342" t="n">
        <v>0</v>
      </c>
      <c r="J342" t="n">
        <v>0</v>
      </c>
      <c r="K342" t="n">
        <v>0</v>
      </c>
      <c r="L342" t="n">
        <v>0</v>
      </c>
      <c r="M342" t="n">
        <v>0</v>
      </c>
      <c r="N342" t="n">
        <v>0</v>
      </c>
      <c r="O342" t="n">
        <v>0</v>
      </c>
      <c r="P342" t="n">
        <v>0</v>
      </c>
      <c r="Q342" t="n">
        <v>0</v>
      </c>
      <c r="R342" s="2" t="inlineStr"/>
    </row>
    <row r="343" ht="15" customHeight="1">
      <c r="A343" t="inlineStr">
        <is>
          <t>A 27723-2020</t>
        </is>
      </c>
      <c r="B343" s="1" t="n">
        <v>43994</v>
      </c>
      <c r="C343" s="1" t="n">
        <v>45576</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27719-2020</t>
        </is>
      </c>
      <c r="B344" s="1" t="n">
        <v>43994</v>
      </c>
      <c r="C344" s="1" t="n">
        <v>45576</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27713-2020</t>
        </is>
      </c>
      <c r="B345" s="1" t="n">
        <v>43994</v>
      </c>
      <c r="C345" s="1" t="n">
        <v>45576</v>
      </c>
      <c r="D345" t="inlineStr">
        <is>
          <t>GOTLANDS LÄN</t>
        </is>
      </c>
      <c r="E345" t="inlineStr">
        <is>
          <t>GOTLAND</t>
        </is>
      </c>
      <c r="F345" t="inlineStr">
        <is>
          <t>Övriga statliga verk och myndigheter</t>
        </is>
      </c>
      <c r="G345" t="n">
        <v>0.8</v>
      </c>
      <c r="H345" t="n">
        <v>0</v>
      </c>
      <c r="I345" t="n">
        <v>0</v>
      </c>
      <c r="J345" t="n">
        <v>0</v>
      </c>
      <c r="K345" t="n">
        <v>0</v>
      </c>
      <c r="L345" t="n">
        <v>0</v>
      </c>
      <c r="M345" t="n">
        <v>0</v>
      </c>
      <c r="N345" t="n">
        <v>0</v>
      </c>
      <c r="O345" t="n">
        <v>0</v>
      </c>
      <c r="P345" t="n">
        <v>0</v>
      </c>
      <c r="Q345" t="n">
        <v>0</v>
      </c>
      <c r="R345" s="2" t="inlineStr"/>
    </row>
    <row r="346" ht="15" customHeight="1">
      <c r="A346" t="inlineStr">
        <is>
          <t>A 29529-2020</t>
        </is>
      </c>
      <c r="B346" s="1" t="n">
        <v>44005</v>
      </c>
      <c r="C346" s="1" t="n">
        <v>45576</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29915-2020</t>
        </is>
      </c>
      <c r="B347" s="1" t="n">
        <v>44006</v>
      </c>
      <c r="C347" s="1" t="n">
        <v>45576</v>
      </c>
      <c r="D347" t="inlineStr">
        <is>
          <t>GOTLANDS LÄN</t>
        </is>
      </c>
      <c r="E347" t="inlineStr">
        <is>
          <t>GOTLAND</t>
        </is>
      </c>
      <c r="F347" t="inlineStr">
        <is>
          <t>Kommuner</t>
        </is>
      </c>
      <c r="G347" t="n">
        <v>5.8</v>
      </c>
      <c r="H347" t="n">
        <v>0</v>
      </c>
      <c r="I347" t="n">
        <v>0</v>
      </c>
      <c r="J347" t="n">
        <v>0</v>
      </c>
      <c r="K347" t="n">
        <v>0</v>
      </c>
      <c r="L347" t="n">
        <v>0</v>
      </c>
      <c r="M347" t="n">
        <v>0</v>
      </c>
      <c r="N347" t="n">
        <v>0</v>
      </c>
      <c r="O347" t="n">
        <v>0</v>
      </c>
      <c r="P347" t="n">
        <v>0</v>
      </c>
      <c r="Q347" t="n">
        <v>0</v>
      </c>
      <c r="R347" s="2" t="inlineStr"/>
    </row>
    <row r="348" ht="15" customHeight="1">
      <c r="A348" t="inlineStr">
        <is>
          <t>A 30980-2020</t>
        </is>
      </c>
      <c r="B348" s="1" t="n">
        <v>44011</v>
      </c>
      <c r="C348" s="1" t="n">
        <v>45576</v>
      </c>
      <c r="D348" t="inlineStr">
        <is>
          <t>GOTLANDS LÄN</t>
        </is>
      </c>
      <c r="E348" t="inlineStr">
        <is>
          <t>GOTLAND</t>
        </is>
      </c>
      <c r="G348" t="n">
        <v>17.9</v>
      </c>
      <c r="H348" t="n">
        <v>0</v>
      </c>
      <c r="I348" t="n">
        <v>0</v>
      </c>
      <c r="J348" t="n">
        <v>0</v>
      </c>
      <c r="K348" t="n">
        <v>0</v>
      </c>
      <c r="L348" t="n">
        <v>0</v>
      </c>
      <c r="M348" t="n">
        <v>0</v>
      </c>
      <c r="N348" t="n">
        <v>0</v>
      </c>
      <c r="O348" t="n">
        <v>0</v>
      </c>
      <c r="P348" t="n">
        <v>0</v>
      </c>
      <c r="Q348" t="n">
        <v>0</v>
      </c>
      <c r="R348" s="2" t="inlineStr"/>
    </row>
    <row r="349" ht="15" customHeight="1">
      <c r="A349" t="inlineStr">
        <is>
          <t>A 32804-2020</t>
        </is>
      </c>
      <c r="B349" s="1" t="n">
        <v>44018</v>
      </c>
      <c r="C349" s="1" t="n">
        <v>45576</v>
      </c>
      <c r="D349" t="inlineStr">
        <is>
          <t>GOTLANDS LÄN</t>
        </is>
      </c>
      <c r="E349" t="inlineStr">
        <is>
          <t>GOTLAND</t>
        </is>
      </c>
      <c r="G349" t="n">
        <v>19.3</v>
      </c>
      <c r="H349" t="n">
        <v>0</v>
      </c>
      <c r="I349" t="n">
        <v>0</v>
      </c>
      <c r="J349" t="n">
        <v>0</v>
      </c>
      <c r="K349" t="n">
        <v>0</v>
      </c>
      <c r="L349" t="n">
        <v>0</v>
      </c>
      <c r="M349" t="n">
        <v>0</v>
      </c>
      <c r="N349" t="n">
        <v>0</v>
      </c>
      <c r="O349" t="n">
        <v>0</v>
      </c>
      <c r="P349" t="n">
        <v>0</v>
      </c>
      <c r="Q349" t="n">
        <v>0</v>
      </c>
      <c r="R349" s="2" t="inlineStr"/>
    </row>
    <row r="350" ht="15" customHeight="1">
      <c r="A350" t="inlineStr">
        <is>
          <t>A 32974-2020</t>
        </is>
      </c>
      <c r="B350" s="1" t="n">
        <v>44020</v>
      </c>
      <c r="C350" s="1" t="n">
        <v>45576</v>
      </c>
      <c r="D350" t="inlineStr">
        <is>
          <t>GOTLANDS LÄN</t>
        </is>
      </c>
      <c r="E350" t="inlineStr">
        <is>
          <t>GOTLAND</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35074-2020</t>
        </is>
      </c>
      <c r="B351" s="1" t="n">
        <v>44039</v>
      </c>
      <c r="C351" s="1" t="n">
        <v>45576</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36073-2020</t>
        </is>
      </c>
      <c r="B352" s="1" t="n">
        <v>44048</v>
      </c>
      <c r="C352" s="1" t="n">
        <v>45576</v>
      </c>
      <c r="D352" t="inlineStr">
        <is>
          <t>GOTLANDS LÄN</t>
        </is>
      </c>
      <c r="E352" t="inlineStr">
        <is>
          <t>GOTLAND</t>
        </is>
      </c>
      <c r="G352" t="n">
        <v>10.1</v>
      </c>
      <c r="H352" t="n">
        <v>0</v>
      </c>
      <c r="I352" t="n">
        <v>0</v>
      </c>
      <c r="J352" t="n">
        <v>0</v>
      </c>
      <c r="K352" t="n">
        <v>0</v>
      </c>
      <c r="L352" t="n">
        <v>0</v>
      </c>
      <c r="M352" t="n">
        <v>0</v>
      </c>
      <c r="N352" t="n">
        <v>0</v>
      </c>
      <c r="O352" t="n">
        <v>0</v>
      </c>
      <c r="P352" t="n">
        <v>0</v>
      </c>
      <c r="Q352" t="n">
        <v>0</v>
      </c>
      <c r="R352" s="2" t="inlineStr"/>
    </row>
    <row r="353" ht="15" customHeight="1">
      <c r="A353" t="inlineStr">
        <is>
          <t>A 36076-2020</t>
        </is>
      </c>
      <c r="B353" s="1" t="n">
        <v>44048</v>
      </c>
      <c r="C353" s="1" t="n">
        <v>45576</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36284-2020</t>
        </is>
      </c>
      <c r="B354" s="1" t="n">
        <v>44049</v>
      </c>
      <c r="C354" s="1" t="n">
        <v>45576</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37204-2020</t>
        </is>
      </c>
      <c r="B355" s="1" t="n">
        <v>44054</v>
      </c>
      <c r="C355" s="1" t="n">
        <v>45576</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38709-2020</t>
        </is>
      </c>
      <c r="B356" s="1" t="n">
        <v>44061</v>
      </c>
      <c r="C356" s="1" t="n">
        <v>45576</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39477-2020</t>
        </is>
      </c>
      <c r="B357" s="1" t="n">
        <v>44064</v>
      </c>
      <c r="C357" s="1" t="n">
        <v>45576</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41109-2020</t>
        </is>
      </c>
      <c r="B358" s="1" t="n">
        <v>44069</v>
      </c>
      <c r="C358" s="1" t="n">
        <v>45576</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41576-2020</t>
        </is>
      </c>
      <c r="B359" s="1" t="n">
        <v>44074</v>
      </c>
      <c r="C359" s="1" t="n">
        <v>45576</v>
      </c>
      <c r="D359" t="inlineStr">
        <is>
          <t>GOTLANDS LÄN</t>
        </is>
      </c>
      <c r="E359" t="inlineStr">
        <is>
          <t>GOTLAND</t>
        </is>
      </c>
      <c r="G359" t="n">
        <v>8.4</v>
      </c>
      <c r="H359" t="n">
        <v>0</v>
      </c>
      <c r="I359" t="n">
        <v>0</v>
      </c>
      <c r="J359" t="n">
        <v>0</v>
      </c>
      <c r="K359" t="n">
        <v>0</v>
      </c>
      <c r="L359" t="n">
        <v>0</v>
      </c>
      <c r="M359" t="n">
        <v>0</v>
      </c>
      <c r="N359" t="n">
        <v>0</v>
      </c>
      <c r="O359" t="n">
        <v>0</v>
      </c>
      <c r="P359" t="n">
        <v>0</v>
      </c>
      <c r="Q359" t="n">
        <v>0</v>
      </c>
      <c r="R359" s="2" t="inlineStr"/>
    </row>
    <row r="360" ht="15" customHeight="1">
      <c r="A360" t="inlineStr">
        <is>
          <t>A 45921-2020</t>
        </is>
      </c>
      <c r="B360" s="1" t="n">
        <v>44088</v>
      </c>
      <c r="C360" s="1" t="n">
        <v>45576</v>
      </c>
      <c r="D360" t="inlineStr">
        <is>
          <t>GOTLANDS LÄN</t>
        </is>
      </c>
      <c r="E360" t="inlineStr">
        <is>
          <t>GOTLAND</t>
        </is>
      </c>
      <c r="G360" t="n">
        <v>6.5</v>
      </c>
      <c r="H360" t="n">
        <v>0</v>
      </c>
      <c r="I360" t="n">
        <v>0</v>
      </c>
      <c r="J360" t="n">
        <v>0</v>
      </c>
      <c r="K360" t="n">
        <v>0</v>
      </c>
      <c r="L360" t="n">
        <v>0</v>
      </c>
      <c r="M360" t="n">
        <v>0</v>
      </c>
      <c r="N360" t="n">
        <v>0</v>
      </c>
      <c r="O360" t="n">
        <v>0</v>
      </c>
      <c r="P360" t="n">
        <v>0</v>
      </c>
      <c r="Q360" t="n">
        <v>0</v>
      </c>
      <c r="R360" s="2" t="inlineStr"/>
    </row>
    <row r="361" ht="15" customHeight="1">
      <c r="A361" t="inlineStr">
        <is>
          <t>A 46019-2020</t>
        </is>
      </c>
      <c r="B361" s="1" t="n">
        <v>44091</v>
      </c>
      <c r="C361" s="1" t="n">
        <v>45576</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45576</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53641-2020</t>
        </is>
      </c>
      <c r="B363" s="1" t="n">
        <v>44124</v>
      </c>
      <c r="C363" s="1" t="n">
        <v>45576</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53665-2020</t>
        </is>
      </c>
      <c r="B364" s="1" t="n">
        <v>44124</v>
      </c>
      <c r="C364" s="1" t="n">
        <v>45576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59052-2020</t>
        </is>
      </c>
      <c r="B365" s="1" t="n">
        <v>44147</v>
      </c>
      <c r="C365" s="1" t="n">
        <v>45576</v>
      </c>
      <c r="D365" t="inlineStr">
        <is>
          <t>GOTLANDS LÄN</t>
        </is>
      </c>
      <c r="E365" t="inlineStr">
        <is>
          <t>GOTLAND</t>
        </is>
      </c>
      <c r="G365" t="n">
        <v>3.4</v>
      </c>
      <c r="H365" t="n">
        <v>0</v>
      </c>
      <c r="I365" t="n">
        <v>0</v>
      </c>
      <c r="J365" t="n">
        <v>0</v>
      </c>
      <c r="K365" t="n">
        <v>0</v>
      </c>
      <c r="L365" t="n">
        <v>0</v>
      </c>
      <c r="M365" t="n">
        <v>0</v>
      </c>
      <c r="N365" t="n">
        <v>0</v>
      </c>
      <c r="O365" t="n">
        <v>0</v>
      </c>
      <c r="P365" t="n">
        <v>0</v>
      </c>
      <c r="Q365" t="n">
        <v>0</v>
      </c>
      <c r="R365" s="2" t="inlineStr"/>
    </row>
    <row r="366" ht="15" customHeight="1">
      <c r="A366" t="inlineStr">
        <is>
          <t>A 59630-2020</t>
        </is>
      </c>
      <c r="B366" s="1" t="n">
        <v>44150</v>
      </c>
      <c r="C366" s="1" t="n">
        <v>45576</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60356-2020</t>
        </is>
      </c>
      <c r="B367" s="1" t="n">
        <v>44152</v>
      </c>
      <c r="C367" s="1" t="n">
        <v>45576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62120-2020</t>
        </is>
      </c>
      <c r="B368" s="1" t="n">
        <v>44158</v>
      </c>
      <c r="C368" s="1" t="n">
        <v>45576</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64380-2020</t>
        </is>
      </c>
      <c r="B369" s="1" t="n">
        <v>44168</v>
      </c>
      <c r="C369" s="1" t="n">
        <v>45576</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65126-2020</t>
        </is>
      </c>
      <c r="B370" s="1" t="n">
        <v>44168</v>
      </c>
      <c r="C370" s="1" t="n">
        <v>45576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65537-2020</t>
        </is>
      </c>
      <c r="B371" s="1" t="n">
        <v>44173</v>
      </c>
      <c r="C371" s="1" t="n">
        <v>45576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69643-2020</t>
        </is>
      </c>
      <c r="B372" s="1" t="n">
        <v>44195</v>
      </c>
      <c r="C372" s="1" t="n">
        <v>45576</v>
      </c>
      <c r="D372" t="inlineStr">
        <is>
          <t>GOTLANDS LÄN</t>
        </is>
      </c>
      <c r="E372" t="inlineStr">
        <is>
          <t>GOTLAND</t>
        </is>
      </c>
      <c r="G372" t="n">
        <v>1.5</v>
      </c>
      <c r="H372" t="n">
        <v>0</v>
      </c>
      <c r="I372" t="n">
        <v>0</v>
      </c>
      <c r="J372" t="n">
        <v>0</v>
      </c>
      <c r="K372" t="n">
        <v>0</v>
      </c>
      <c r="L372" t="n">
        <v>0</v>
      </c>
      <c r="M372" t="n">
        <v>0</v>
      </c>
      <c r="N372" t="n">
        <v>0</v>
      </c>
      <c r="O372" t="n">
        <v>0</v>
      </c>
      <c r="P372" t="n">
        <v>0</v>
      </c>
      <c r="Q372" t="n">
        <v>0</v>
      </c>
      <c r="R372" s="2" t="inlineStr"/>
    </row>
    <row r="373" ht="15" customHeight="1">
      <c r="A373" t="inlineStr">
        <is>
          <t>A 14-2021</t>
        </is>
      </c>
      <c r="B373" s="1" t="n">
        <v>44197</v>
      </c>
      <c r="C373" s="1" t="n">
        <v>45576</v>
      </c>
      <c r="D373" t="inlineStr">
        <is>
          <t>GOTLANDS LÄN</t>
        </is>
      </c>
      <c r="E373" t="inlineStr">
        <is>
          <t>GOTLAND</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1229-2021</t>
        </is>
      </c>
      <c r="B374" s="1" t="n">
        <v>44208</v>
      </c>
      <c r="C374" s="1" t="n">
        <v>45576</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45576</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2608-2021</t>
        </is>
      </c>
      <c r="B376" s="1" t="n">
        <v>44214</v>
      </c>
      <c r="C376" s="1" t="n">
        <v>45576</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3319-2021</t>
        </is>
      </c>
      <c r="B377" s="1" t="n">
        <v>44216</v>
      </c>
      <c r="C377" s="1" t="n">
        <v>45576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3172-2021</t>
        </is>
      </c>
      <c r="B378" s="1" t="n">
        <v>44217</v>
      </c>
      <c r="C378" s="1" t="n">
        <v>45576</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3271-2021</t>
        </is>
      </c>
      <c r="B379" s="1" t="n">
        <v>44217</v>
      </c>
      <c r="C379" s="1" t="n">
        <v>45576</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8329-2021</t>
        </is>
      </c>
      <c r="B380" s="1" t="n">
        <v>44244</v>
      </c>
      <c r="C380" s="1" t="n">
        <v>45576</v>
      </c>
      <c r="D380" t="inlineStr">
        <is>
          <t>GOTLANDS LÄN</t>
        </is>
      </c>
      <c r="E380" t="inlineStr">
        <is>
          <t>GOTLAND</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8700-2021</t>
        </is>
      </c>
      <c r="B381" s="1" t="n">
        <v>44246</v>
      </c>
      <c r="C381" s="1" t="n">
        <v>45576</v>
      </c>
      <c r="D381" t="inlineStr">
        <is>
          <t>GOTLANDS LÄN</t>
        </is>
      </c>
      <c r="E381" t="inlineStr">
        <is>
          <t>GOTLAND</t>
        </is>
      </c>
      <c r="G381" t="n">
        <v>0.1</v>
      </c>
      <c r="H381" t="n">
        <v>0</v>
      </c>
      <c r="I381" t="n">
        <v>0</v>
      </c>
      <c r="J381" t="n">
        <v>0</v>
      </c>
      <c r="K381" t="n">
        <v>0</v>
      </c>
      <c r="L381" t="n">
        <v>0</v>
      </c>
      <c r="M381" t="n">
        <v>0</v>
      </c>
      <c r="N381" t="n">
        <v>0</v>
      </c>
      <c r="O381" t="n">
        <v>0</v>
      </c>
      <c r="P381" t="n">
        <v>0</v>
      </c>
      <c r="Q381" t="n">
        <v>0</v>
      </c>
      <c r="R381" s="2" t="inlineStr"/>
    </row>
    <row r="382" ht="15" customHeight="1">
      <c r="A382" t="inlineStr">
        <is>
          <t>A 11400-2021</t>
        </is>
      </c>
      <c r="B382" s="1" t="n">
        <v>44263</v>
      </c>
      <c r="C382" s="1" t="n">
        <v>45576</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11402-2021</t>
        </is>
      </c>
      <c r="B383" s="1" t="n">
        <v>44263</v>
      </c>
      <c r="C383" s="1" t="n">
        <v>45576</v>
      </c>
      <c r="D383" t="inlineStr">
        <is>
          <t>GOTLANDS LÄN</t>
        </is>
      </c>
      <c r="E383" t="inlineStr">
        <is>
          <t>GOTLAND</t>
        </is>
      </c>
      <c r="G383" t="n">
        <v>2.9</v>
      </c>
      <c r="H383" t="n">
        <v>0</v>
      </c>
      <c r="I383" t="n">
        <v>0</v>
      </c>
      <c r="J383" t="n">
        <v>0</v>
      </c>
      <c r="K383" t="n">
        <v>0</v>
      </c>
      <c r="L383" t="n">
        <v>0</v>
      </c>
      <c r="M383" t="n">
        <v>0</v>
      </c>
      <c r="N383" t="n">
        <v>0</v>
      </c>
      <c r="O383" t="n">
        <v>0</v>
      </c>
      <c r="P383" t="n">
        <v>0</v>
      </c>
      <c r="Q383" t="n">
        <v>0</v>
      </c>
      <c r="R383" s="2" t="inlineStr"/>
    </row>
    <row r="384" ht="15" customHeight="1">
      <c r="A384" t="inlineStr">
        <is>
          <t>A 12318-2021</t>
        </is>
      </c>
      <c r="B384" s="1" t="n">
        <v>44266</v>
      </c>
      <c r="C384" s="1" t="n">
        <v>45576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13274-2021</t>
        </is>
      </c>
      <c r="B385" s="1" t="n">
        <v>44272</v>
      </c>
      <c r="C385" s="1" t="n">
        <v>45576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14536-2021</t>
        </is>
      </c>
      <c r="B386" s="1" t="n">
        <v>44279</v>
      </c>
      <c r="C386" s="1" t="n">
        <v>45576</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14804-2021</t>
        </is>
      </c>
      <c r="B387" s="1" t="n">
        <v>44280</v>
      </c>
      <c r="C387" s="1" t="n">
        <v>45576</v>
      </c>
      <c r="D387" t="inlineStr">
        <is>
          <t>GOTLANDS LÄN</t>
        </is>
      </c>
      <c r="E387" t="inlineStr">
        <is>
          <t>GOTLAND</t>
        </is>
      </c>
      <c r="G387" t="n">
        <v>2.2</v>
      </c>
      <c r="H387" t="n">
        <v>0</v>
      </c>
      <c r="I387" t="n">
        <v>0</v>
      </c>
      <c r="J387" t="n">
        <v>0</v>
      </c>
      <c r="K387" t="n">
        <v>0</v>
      </c>
      <c r="L387" t="n">
        <v>0</v>
      </c>
      <c r="M387" t="n">
        <v>0</v>
      </c>
      <c r="N387" t="n">
        <v>0</v>
      </c>
      <c r="O387" t="n">
        <v>0</v>
      </c>
      <c r="P387" t="n">
        <v>0</v>
      </c>
      <c r="Q387" t="n">
        <v>0</v>
      </c>
      <c r="R387" s="2" t="inlineStr"/>
    </row>
    <row r="388" ht="15" customHeight="1">
      <c r="A388" t="inlineStr">
        <is>
          <t>A 15127-2021</t>
        </is>
      </c>
      <c r="B388" s="1" t="n">
        <v>44283</v>
      </c>
      <c r="C388" s="1" t="n">
        <v>45576</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16435-2021</t>
        </is>
      </c>
      <c r="B389" s="1" t="n">
        <v>44293</v>
      </c>
      <c r="C389" s="1" t="n">
        <v>45576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17254-2021</t>
        </is>
      </c>
      <c r="B390" s="1" t="n">
        <v>44298</v>
      </c>
      <c r="C390" s="1" t="n">
        <v>45576</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17227-2021</t>
        </is>
      </c>
      <c r="B391" s="1" t="n">
        <v>44298</v>
      </c>
      <c r="C391" s="1" t="n">
        <v>45576</v>
      </c>
      <c r="D391" t="inlineStr">
        <is>
          <t>GOTLANDS LÄN</t>
        </is>
      </c>
      <c r="E391" t="inlineStr">
        <is>
          <t>GOTLAND</t>
        </is>
      </c>
      <c r="G391" t="n">
        <v>6.2</v>
      </c>
      <c r="H391" t="n">
        <v>0</v>
      </c>
      <c r="I391" t="n">
        <v>0</v>
      </c>
      <c r="J391" t="n">
        <v>0</v>
      </c>
      <c r="K391" t="n">
        <v>0</v>
      </c>
      <c r="L391" t="n">
        <v>0</v>
      </c>
      <c r="M391" t="n">
        <v>0</v>
      </c>
      <c r="N391" t="n">
        <v>0</v>
      </c>
      <c r="O391" t="n">
        <v>0</v>
      </c>
      <c r="P391" t="n">
        <v>0</v>
      </c>
      <c r="Q391" t="n">
        <v>0</v>
      </c>
      <c r="R391" s="2" t="inlineStr"/>
    </row>
    <row r="392" ht="15" customHeight="1">
      <c r="A392" t="inlineStr">
        <is>
          <t>A 17199-2021</t>
        </is>
      </c>
      <c r="B392" s="1" t="n">
        <v>44298</v>
      </c>
      <c r="C392" s="1" t="n">
        <v>45576</v>
      </c>
      <c r="D392" t="inlineStr">
        <is>
          <t>GOTLANDS LÄN</t>
        </is>
      </c>
      <c r="E392" t="inlineStr">
        <is>
          <t>GOTLAND</t>
        </is>
      </c>
      <c r="G392" t="n">
        <v>9.6</v>
      </c>
      <c r="H392" t="n">
        <v>0</v>
      </c>
      <c r="I392" t="n">
        <v>0</v>
      </c>
      <c r="J392" t="n">
        <v>0</v>
      </c>
      <c r="K392" t="n">
        <v>0</v>
      </c>
      <c r="L392" t="n">
        <v>0</v>
      </c>
      <c r="M392" t="n">
        <v>0</v>
      </c>
      <c r="N392" t="n">
        <v>0</v>
      </c>
      <c r="O392" t="n">
        <v>0</v>
      </c>
      <c r="P392" t="n">
        <v>0</v>
      </c>
      <c r="Q392" t="n">
        <v>0</v>
      </c>
      <c r="R392" s="2" t="inlineStr"/>
    </row>
    <row r="393" ht="15" customHeight="1">
      <c r="A393" t="inlineStr">
        <is>
          <t>A 17585-2021</t>
        </is>
      </c>
      <c r="B393" s="1" t="n">
        <v>44299</v>
      </c>
      <c r="C393" s="1" t="n">
        <v>45576</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17920-2021</t>
        </is>
      </c>
      <c r="B394" s="1" t="n">
        <v>44301</v>
      </c>
      <c r="C394" s="1" t="n">
        <v>45576</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18038-2021</t>
        </is>
      </c>
      <c r="B395" s="1" t="n">
        <v>44302</v>
      </c>
      <c r="C395" s="1" t="n">
        <v>45576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19447-2021</t>
        </is>
      </c>
      <c r="B396" s="1" t="n">
        <v>44310</v>
      </c>
      <c r="C396" s="1" t="n">
        <v>45576</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19448-2021</t>
        </is>
      </c>
      <c r="B397" s="1" t="n">
        <v>44310</v>
      </c>
      <c r="C397" s="1" t="n">
        <v>45576</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19892-2021</t>
        </is>
      </c>
      <c r="B398" s="1" t="n">
        <v>44312</v>
      </c>
      <c r="C398" s="1" t="n">
        <v>45576</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19901-2021</t>
        </is>
      </c>
      <c r="B399" s="1" t="n">
        <v>44312</v>
      </c>
      <c r="C399" s="1" t="n">
        <v>45576</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19939-2021</t>
        </is>
      </c>
      <c r="B400" s="1" t="n">
        <v>44313</v>
      </c>
      <c r="C400" s="1" t="n">
        <v>45576</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20111-2021</t>
        </is>
      </c>
      <c r="B401" s="1" t="n">
        <v>44314</v>
      </c>
      <c r="C401" s="1" t="n">
        <v>45576</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21507-2021</t>
        </is>
      </c>
      <c r="B402" s="1" t="n">
        <v>44321</v>
      </c>
      <c r="C402" s="1" t="n">
        <v>45576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22155-2021</t>
        </is>
      </c>
      <c r="B403" s="1" t="n">
        <v>44325</v>
      </c>
      <c r="C403" s="1" t="n">
        <v>45576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23910-2021</t>
        </is>
      </c>
      <c r="B404" s="1" t="n">
        <v>44335</v>
      </c>
      <c r="C404" s="1" t="n">
        <v>45576</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24001-2021</t>
        </is>
      </c>
      <c r="B405" s="1" t="n">
        <v>44335</v>
      </c>
      <c r="C405" s="1" t="n">
        <v>45576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26810-2021</t>
        </is>
      </c>
      <c r="B406" s="1" t="n">
        <v>44349</v>
      </c>
      <c r="C406" s="1" t="n">
        <v>45576</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26857-2021</t>
        </is>
      </c>
      <c r="B407" s="1" t="n">
        <v>44349</v>
      </c>
      <c r="C407" s="1" t="n">
        <v>45576</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26867-2021</t>
        </is>
      </c>
      <c r="B408" s="1" t="n">
        <v>44349</v>
      </c>
      <c r="C408" s="1" t="n">
        <v>45576</v>
      </c>
      <c r="D408" t="inlineStr">
        <is>
          <t>GOTLANDS LÄN</t>
        </is>
      </c>
      <c r="E408" t="inlineStr">
        <is>
          <t>GOTLAND</t>
        </is>
      </c>
      <c r="G408" t="n">
        <v>5.7</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45576</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30055-2021</t>
        </is>
      </c>
      <c r="B410" s="1" t="n">
        <v>44363</v>
      </c>
      <c r="C410" s="1" t="n">
        <v>45576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31264-2021</t>
        </is>
      </c>
      <c r="B411" s="1" t="n">
        <v>44368</v>
      </c>
      <c r="C411" s="1" t="n">
        <v>45576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31981-2021</t>
        </is>
      </c>
      <c r="B412" s="1" t="n">
        <v>44370</v>
      </c>
      <c r="C412" s="1" t="n">
        <v>45576</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32647-2021</t>
        </is>
      </c>
      <c r="B413" s="1" t="n">
        <v>44375</v>
      </c>
      <c r="C413" s="1" t="n">
        <v>45576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32691-2021</t>
        </is>
      </c>
      <c r="B414" s="1" t="n">
        <v>44375</v>
      </c>
      <c r="C414" s="1" t="n">
        <v>45576</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32958-2021</t>
        </is>
      </c>
      <c r="B415" s="1" t="n">
        <v>44376</v>
      </c>
      <c r="C415" s="1" t="n">
        <v>45576</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36313-2021</t>
        </is>
      </c>
      <c r="B416" s="1" t="n">
        <v>44390</v>
      </c>
      <c r="C416" s="1" t="n">
        <v>45576</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37037-2021</t>
        </is>
      </c>
      <c r="B417" s="1" t="n">
        <v>44393</v>
      </c>
      <c r="C417" s="1" t="n">
        <v>45576</v>
      </c>
      <c r="D417" t="inlineStr">
        <is>
          <t>GOTLANDS LÄN</t>
        </is>
      </c>
      <c r="E417" t="inlineStr">
        <is>
          <t>GOTLAND</t>
        </is>
      </c>
      <c r="G417" t="n">
        <v>10.2</v>
      </c>
      <c r="H417" t="n">
        <v>0</v>
      </c>
      <c r="I417" t="n">
        <v>0</v>
      </c>
      <c r="J417" t="n">
        <v>0</v>
      </c>
      <c r="K417" t="n">
        <v>0</v>
      </c>
      <c r="L417" t="n">
        <v>0</v>
      </c>
      <c r="M417" t="n">
        <v>0</v>
      </c>
      <c r="N417" t="n">
        <v>0</v>
      </c>
      <c r="O417" t="n">
        <v>0</v>
      </c>
      <c r="P417" t="n">
        <v>0</v>
      </c>
      <c r="Q417" t="n">
        <v>0</v>
      </c>
      <c r="R417" s="2" t="inlineStr"/>
    </row>
    <row r="418" ht="15" customHeight="1">
      <c r="A418" t="inlineStr">
        <is>
          <t>A 37222-2021</t>
        </is>
      </c>
      <c r="B418" s="1" t="n">
        <v>44396</v>
      </c>
      <c r="C418" s="1" t="n">
        <v>45576</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41346-2021</t>
        </is>
      </c>
      <c r="B419" s="1" t="n">
        <v>44424</v>
      </c>
      <c r="C419" s="1" t="n">
        <v>45576</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42688-2021</t>
        </is>
      </c>
      <c r="B420" s="1" t="n">
        <v>44428</v>
      </c>
      <c r="C420" s="1" t="n">
        <v>45576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44304-2021</t>
        </is>
      </c>
      <c r="B421" s="1" t="n">
        <v>44434</v>
      </c>
      <c r="C421" s="1" t="n">
        <v>45576</v>
      </c>
      <c r="D421" t="inlineStr">
        <is>
          <t>GOTLANDS LÄN</t>
        </is>
      </c>
      <c r="E421" t="inlineStr">
        <is>
          <t>GOTLAND</t>
        </is>
      </c>
      <c r="G421" t="n">
        <v>5.8</v>
      </c>
      <c r="H421" t="n">
        <v>0</v>
      </c>
      <c r="I421" t="n">
        <v>0</v>
      </c>
      <c r="J421" t="n">
        <v>0</v>
      </c>
      <c r="K421" t="n">
        <v>0</v>
      </c>
      <c r="L421" t="n">
        <v>0</v>
      </c>
      <c r="M421" t="n">
        <v>0</v>
      </c>
      <c r="N421" t="n">
        <v>0</v>
      </c>
      <c r="O421" t="n">
        <v>0</v>
      </c>
      <c r="P421" t="n">
        <v>0</v>
      </c>
      <c r="Q421" t="n">
        <v>0</v>
      </c>
      <c r="R421" s="2" t="inlineStr"/>
    </row>
    <row r="422" ht="15" customHeight="1">
      <c r="A422" t="inlineStr">
        <is>
          <t>A 44649-2021</t>
        </is>
      </c>
      <c r="B422" s="1" t="n">
        <v>44437</v>
      </c>
      <c r="C422" s="1" t="n">
        <v>45576</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46362-2021</t>
        </is>
      </c>
      <c r="B423" s="1" t="n">
        <v>44442</v>
      </c>
      <c r="C423" s="1" t="n">
        <v>45576</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46389-2021</t>
        </is>
      </c>
      <c r="B424" s="1" t="n">
        <v>44443</v>
      </c>
      <c r="C424" s="1" t="n">
        <v>45576</v>
      </c>
      <c r="D424" t="inlineStr">
        <is>
          <t>GOTLANDS LÄN</t>
        </is>
      </c>
      <c r="E424" t="inlineStr">
        <is>
          <t>GOTLAND</t>
        </is>
      </c>
      <c r="F424" t="inlineStr">
        <is>
          <t>Kyrkan</t>
        </is>
      </c>
      <c r="G424" t="n">
        <v>2.1</v>
      </c>
      <c r="H424" t="n">
        <v>0</v>
      </c>
      <c r="I424" t="n">
        <v>0</v>
      </c>
      <c r="J424" t="n">
        <v>0</v>
      </c>
      <c r="K424" t="n">
        <v>0</v>
      </c>
      <c r="L424" t="n">
        <v>0</v>
      </c>
      <c r="M424" t="n">
        <v>0</v>
      </c>
      <c r="N424" t="n">
        <v>0</v>
      </c>
      <c r="O424" t="n">
        <v>0</v>
      </c>
      <c r="P424" t="n">
        <v>0</v>
      </c>
      <c r="Q424" t="n">
        <v>0</v>
      </c>
      <c r="R424" s="2" t="inlineStr"/>
    </row>
    <row r="425" ht="15" customHeight="1">
      <c r="A425" t="inlineStr">
        <is>
          <t>A 47369-2021</t>
        </is>
      </c>
      <c r="B425" s="1" t="n">
        <v>44447</v>
      </c>
      <c r="C425" s="1" t="n">
        <v>45576</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50892-2021</t>
        </is>
      </c>
      <c r="B426" s="1" t="n">
        <v>44459</v>
      </c>
      <c r="C426" s="1" t="n">
        <v>45576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v>
      </c>
      <c r="C427" s="1" t="n">
        <v>45576</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53479-2021</t>
        </is>
      </c>
      <c r="B428" s="1" t="n">
        <v>44468</v>
      </c>
      <c r="C428" s="1" t="n">
        <v>45576</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56951-2021</t>
        </is>
      </c>
      <c r="B429" s="1" t="n">
        <v>44482</v>
      </c>
      <c r="C429" s="1" t="n">
        <v>45576</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57219-2021</t>
        </is>
      </c>
      <c r="B430" s="1" t="n">
        <v>44483</v>
      </c>
      <c r="C430" s="1" t="n">
        <v>45576</v>
      </c>
      <c r="D430" t="inlineStr">
        <is>
          <t>GOTLANDS LÄN</t>
        </is>
      </c>
      <c r="E430" t="inlineStr">
        <is>
          <t>GOTLAND</t>
        </is>
      </c>
      <c r="F430" t="inlineStr">
        <is>
          <t>Kyrkan</t>
        </is>
      </c>
      <c r="G430" t="n">
        <v>4</v>
      </c>
      <c r="H430" t="n">
        <v>0</v>
      </c>
      <c r="I430" t="n">
        <v>0</v>
      </c>
      <c r="J430" t="n">
        <v>0</v>
      </c>
      <c r="K430" t="n">
        <v>0</v>
      </c>
      <c r="L430" t="n">
        <v>0</v>
      </c>
      <c r="M430" t="n">
        <v>0</v>
      </c>
      <c r="N430" t="n">
        <v>0</v>
      </c>
      <c r="O430" t="n">
        <v>0</v>
      </c>
      <c r="P430" t="n">
        <v>0</v>
      </c>
      <c r="Q430" t="n">
        <v>0</v>
      </c>
      <c r="R430" s="2" t="inlineStr"/>
    </row>
    <row r="431" ht="15" customHeight="1">
      <c r="A431" t="inlineStr">
        <is>
          <t>A 58224-2021</t>
        </is>
      </c>
      <c r="B431" s="1" t="n">
        <v>44487</v>
      </c>
      <c r="C431" s="1" t="n">
        <v>45576</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58600-2021</t>
        </is>
      </c>
      <c r="B432" s="1" t="n">
        <v>44488</v>
      </c>
      <c r="C432" s="1" t="n">
        <v>45576</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58815-2021</t>
        </is>
      </c>
      <c r="B433" s="1" t="n">
        <v>44489</v>
      </c>
      <c r="C433" s="1" t="n">
        <v>45576</v>
      </c>
      <c r="D433" t="inlineStr">
        <is>
          <t>GOTLANDS LÄN</t>
        </is>
      </c>
      <c r="E433" t="inlineStr">
        <is>
          <t>GOTLAND</t>
        </is>
      </c>
      <c r="G433" t="n">
        <v>4.1</v>
      </c>
      <c r="H433" t="n">
        <v>0</v>
      </c>
      <c r="I433" t="n">
        <v>0</v>
      </c>
      <c r="J433" t="n">
        <v>0</v>
      </c>
      <c r="K433" t="n">
        <v>0</v>
      </c>
      <c r="L433" t="n">
        <v>0</v>
      </c>
      <c r="M433" t="n">
        <v>0</v>
      </c>
      <c r="N433" t="n">
        <v>0</v>
      </c>
      <c r="O433" t="n">
        <v>0</v>
      </c>
      <c r="P433" t="n">
        <v>0</v>
      </c>
      <c r="Q433" t="n">
        <v>0</v>
      </c>
      <c r="R433" s="2" t="inlineStr"/>
    </row>
    <row r="434" ht="15" customHeight="1">
      <c r="A434" t="inlineStr">
        <is>
          <t>A 60607-2021</t>
        </is>
      </c>
      <c r="B434" s="1" t="n">
        <v>44496</v>
      </c>
      <c r="C434" s="1" t="n">
        <v>45576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60675-2021</t>
        </is>
      </c>
      <c r="B435" s="1" t="n">
        <v>44496</v>
      </c>
      <c r="C435" s="1" t="n">
        <v>45576</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62915-2021</t>
        </is>
      </c>
      <c r="B436" s="1" t="n">
        <v>44504</v>
      </c>
      <c r="C436" s="1" t="n">
        <v>45576</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63229-2021</t>
        </is>
      </c>
      <c r="B437" s="1" t="n">
        <v>44508</v>
      </c>
      <c r="C437" s="1" t="n">
        <v>45576</v>
      </c>
      <c r="D437" t="inlineStr">
        <is>
          <t>GOTLANDS LÄN</t>
        </is>
      </c>
      <c r="E437" t="inlineStr">
        <is>
          <t>GOTLAND</t>
        </is>
      </c>
      <c r="F437" t="inlineStr">
        <is>
          <t>Kyrkan</t>
        </is>
      </c>
      <c r="G437" t="n">
        <v>3.8</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45576</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65393-2021</t>
        </is>
      </c>
      <c r="B439" s="1" t="n">
        <v>44515</v>
      </c>
      <c r="C439" s="1" t="n">
        <v>45576</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65901-2021</t>
        </is>
      </c>
      <c r="B440" s="1" t="n">
        <v>44516</v>
      </c>
      <c r="C440" s="1" t="n">
        <v>45576</v>
      </c>
      <c r="D440" t="inlineStr">
        <is>
          <t>GOTLANDS LÄN</t>
        </is>
      </c>
      <c r="E440" t="inlineStr">
        <is>
          <t>GOTLAND</t>
        </is>
      </c>
      <c r="G440" t="n">
        <v>4.9</v>
      </c>
      <c r="H440" t="n">
        <v>0</v>
      </c>
      <c r="I440" t="n">
        <v>0</v>
      </c>
      <c r="J440" t="n">
        <v>0</v>
      </c>
      <c r="K440" t="n">
        <v>0</v>
      </c>
      <c r="L440" t="n">
        <v>0</v>
      </c>
      <c r="M440" t="n">
        <v>0</v>
      </c>
      <c r="N440" t="n">
        <v>0</v>
      </c>
      <c r="O440" t="n">
        <v>0</v>
      </c>
      <c r="P440" t="n">
        <v>0</v>
      </c>
      <c r="Q440" t="n">
        <v>0</v>
      </c>
      <c r="R440" s="2" t="inlineStr"/>
    </row>
    <row r="441" ht="15" customHeight="1">
      <c r="A441" t="inlineStr">
        <is>
          <t>A 69112-2021</t>
        </is>
      </c>
      <c r="B441" s="1" t="n">
        <v>44530</v>
      </c>
      <c r="C441" s="1" t="n">
        <v>45576</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70997-2021</t>
        </is>
      </c>
      <c r="B442" s="1" t="n">
        <v>44538</v>
      </c>
      <c r="C442" s="1" t="n">
        <v>45576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71010-2021</t>
        </is>
      </c>
      <c r="B443" s="1" t="n">
        <v>44538</v>
      </c>
      <c r="C443" s="1" t="n">
        <v>45576</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71620-2021</t>
        </is>
      </c>
      <c r="B444" s="1" t="n">
        <v>44542</v>
      </c>
      <c r="C444" s="1" t="n">
        <v>45576</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72626-2021</t>
        </is>
      </c>
      <c r="B445" s="1" t="n">
        <v>44546</v>
      </c>
      <c r="C445" s="1" t="n">
        <v>45576</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411-2022</t>
        </is>
      </c>
      <c r="B446" s="1" t="n">
        <v>44565</v>
      </c>
      <c r="C446" s="1" t="n">
        <v>45576</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4262-2022</t>
        </is>
      </c>
      <c r="B447" s="1" t="n">
        <v>44588</v>
      </c>
      <c r="C447" s="1" t="n">
        <v>45576</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8055-2022</t>
        </is>
      </c>
      <c r="B448" s="1" t="n">
        <v>44609</v>
      </c>
      <c r="C448" s="1" t="n">
        <v>45576</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8036-2022</t>
        </is>
      </c>
      <c r="B449" s="1" t="n">
        <v>44609</v>
      </c>
      <c r="C449" s="1" t="n">
        <v>45576</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8045-2022</t>
        </is>
      </c>
      <c r="B450" s="1" t="n">
        <v>44609</v>
      </c>
      <c r="C450" s="1" t="n">
        <v>45576</v>
      </c>
      <c r="D450" t="inlineStr">
        <is>
          <t>GOTLANDS LÄN</t>
        </is>
      </c>
      <c r="E450" t="inlineStr">
        <is>
          <t>GOTLAND</t>
        </is>
      </c>
      <c r="G450" t="n">
        <v>7</v>
      </c>
      <c r="H450" t="n">
        <v>0</v>
      </c>
      <c r="I450" t="n">
        <v>0</v>
      </c>
      <c r="J450" t="n">
        <v>0</v>
      </c>
      <c r="K450" t="n">
        <v>0</v>
      </c>
      <c r="L450" t="n">
        <v>0</v>
      </c>
      <c r="M450" t="n">
        <v>0</v>
      </c>
      <c r="N450" t="n">
        <v>0</v>
      </c>
      <c r="O450" t="n">
        <v>0</v>
      </c>
      <c r="P450" t="n">
        <v>0</v>
      </c>
      <c r="Q450" t="n">
        <v>0</v>
      </c>
      <c r="R450" s="2" t="inlineStr"/>
    </row>
    <row r="451" ht="15" customHeight="1">
      <c r="A451" t="inlineStr">
        <is>
          <t>A 10650-2022</t>
        </is>
      </c>
      <c r="B451" s="1" t="n">
        <v>44624</v>
      </c>
      <c r="C451" s="1" t="n">
        <v>45576</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11029-2022</t>
        </is>
      </c>
      <c r="B452" s="1" t="n">
        <v>44628</v>
      </c>
      <c r="C452" s="1" t="n">
        <v>45576</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13498-2022</t>
        </is>
      </c>
      <c r="B453" s="1" t="n">
        <v>44647</v>
      </c>
      <c r="C453" s="1" t="n">
        <v>45576</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13500-2022</t>
        </is>
      </c>
      <c r="B454" s="1" t="n">
        <v>44647</v>
      </c>
      <c r="C454" s="1" t="n">
        <v>45576</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13643-2022</t>
        </is>
      </c>
      <c r="B455" s="1" t="n">
        <v>44648</v>
      </c>
      <c r="C455" s="1" t="n">
        <v>45576</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14413-2022</t>
        </is>
      </c>
      <c r="B456" s="1" t="n">
        <v>44652</v>
      </c>
      <c r="C456" s="1" t="n">
        <v>45576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15713-2022</t>
        </is>
      </c>
      <c r="B457" s="1" t="n">
        <v>44663</v>
      </c>
      <c r="C457" s="1" t="n">
        <v>45576</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15710-2022</t>
        </is>
      </c>
      <c r="B458" s="1" t="n">
        <v>44663</v>
      </c>
      <c r="C458" s="1" t="n">
        <v>45576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16858-2022</t>
        </is>
      </c>
      <c r="B459" s="1" t="n">
        <v>44674</v>
      </c>
      <c r="C459" s="1" t="n">
        <v>45576</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17147-2022</t>
        </is>
      </c>
      <c r="B460" s="1" t="n">
        <v>44677</v>
      </c>
      <c r="C460" s="1" t="n">
        <v>45576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17354-2022</t>
        </is>
      </c>
      <c r="B461" s="1" t="n">
        <v>44678</v>
      </c>
      <c r="C461" s="1" t="n">
        <v>45576</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17381-2022</t>
        </is>
      </c>
      <c r="B462" s="1" t="n">
        <v>44678</v>
      </c>
      <c r="C462" s="1" t="n">
        <v>45576</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v>
      </c>
      <c r="C463" s="1" t="n">
        <v>45576</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20165-2022</t>
        </is>
      </c>
      <c r="B464" s="1" t="n">
        <v>44698</v>
      </c>
      <c r="C464" s="1" t="n">
        <v>45576</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20356-2022</t>
        </is>
      </c>
      <c r="B465" s="1" t="n">
        <v>44699</v>
      </c>
      <c r="C465" s="1" t="n">
        <v>45576</v>
      </c>
      <c r="D465" t="inlineStr">
        <is>
          <t>GOTLANDS LÄN</t>
        </is>
      </c>
      <c r="E465" t="inlineStr">
        <is>
          <t>GOTLAND</t>
        </is>
      </c>
      <c r="F465" t="inlineStr">
        <is>
          <t>Övriga Aktiebolag</t>
        </is>
      </c>
      <c r="G465" t="n">
        <v>4.4</v>
      </c>
      <c r="H465" t="n">
        <v>0</v>
      </c>
      <c r="I465" t="n">
        <v>0</v>
      </c>
      <c r="J465" t="n">
        <v>0</v>
      </c>
      <c r="K465" t="n">
        <v>0</v>
      </c>
      <c r="L465" t="n">
        <v>0</v>
      </c>
      <c r="M465" t="n">
        <v>0</v>
      </c>
      <c r="N465" t="n">
        <v>0</v>
      </c>
      <c r="O465" t="n">
        <v>0</v>
      </c>
      <c r="P465" t="n">
        <v>0</v>
      </c>
      <c r="Q465" t="n">
        <v>0</v>
      </c>
      <c r="R465" s="2" t="inlineStr"/>
    </row>
    <row r="466" ht="15" customHeight="1">
      <c r="A466" t="inlineStr">
        <is>
          <t>A 20990-2022</t>
        </is>
      </c>
      <c r="B466" s="1" t="n">
        <v>44703</v>
      </c>
      <c r="C466" s="1" t="n">
        <v>45576</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20993-2022</t>
        </is>
      </c>
      <c r="B467" s="1" t="n">
        <v>44703</v>
      </c>
      <c r="C467" s="1" t="n">
        <v>45576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v>
      </c>
      <c r="C468" s="1" t="n">
        <v>45576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22287-2022</t>
        </is>
      </c>
      <c r="B469" s="1" t="n">
        <v>44712</v>
      </c>
      <c r="C469" s="1" t="n">
        <v>45576</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22498-2022</t>
        </is>
      </c>
      <c r="B470" s="1" t="n">
        <v>44713</v>
      </c>
      <c r="C470" s="1" t="n">
        <v>45576</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22495-2022</t>
        </is>
      </c>
      <c r="B471" s="1" t="n">
        <v>44713</v>
      </c>
      <c r="C471" s="1" t="n">
        <v>45576</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24123-2022</t>
        </is>
      </c>
      <c r="B472" s="1" t="n">
        <v>44725</v>
      </c>
      <c r="C472" s="1" t="n">
        <v>45576</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24235-2022</t>
        </is>
      </c>
      <c r="B473" s="1" t="n">
        <v>44725</v>
      </c>
      <c r="C473" s="1" t="n">
        <v>45576</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25866-2022</t>
        </is>
      </c>
      <c r="B474" s="1" t="n">
        <v>44733</v>
      </c>
      <c r="C474" s="1" t="n">
        <v>45576</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45576</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29809-2022</t>
        </is>
      </c>
      <c r="B476" s="1" t="n">
        <v>44755</v>
      </c>
      <c r="C476" s="1" t="n">
        <v>45576</v>
      </c>
      <c r="D476" t="inlineStr">
        <is>
          <t>GOTLANDS LÄN</t>
        </is>
      </c>
      <c r="E476" t="inlineStr">
        <is>
          <t>GOTLAND</t>
        </is>
      </c>
      <c r="G476" t="n">
        <v>11.5</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45576</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31239-2022</t>
        </is>
      </c>
      <c r="B478" s="1" t="n">
        <v>44771</v>
      </c>
      <c r="C478" s="1" t="n">
        <v>45576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37569-2022</t>
        </is>
      </c>
      <c r="B479" s="1" t="n">
        <v>44809</v>
      </c>
      <c r="C479" s="1" t="n">
        <v>45576</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39302-2022</t>
        </is>
      </c>
      <c r="B480" s="1" t="n">
        <v>44817</v>
      </c>
      <c r="C480" s="1" t="n">
        <v>45576</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45576</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45576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39764-2022</t>
        </is>
      </c>
      <c r="B483" s="1" t="n">
        <v>44819</v>
      </c>
      <c r="C483" s="1" t="n">
        <v>45576</v>
      </c>
      <c r="D483" t="inlineStr">
        <is>
          <t>GOTLANDS LÄN</t>
        </is>
      </c>
      <c r="E483" t="inlineStr">
        <is>
          <t>GOTLAND</t>
        </is>
      </c>
      <c r="F483" t="inlineStr">
        <is>
          <t>Kyrkan</t>
        </is>
      </c>
      <c r="G483" t="n">
        <v>3.7</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45576</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40478-2022</t>
        </is>
      </c>
      <c r="B485" s="1" t="n">
        <v>44823</v>
      </c>
      <c r="C485" s="1" t="n">
        <v>45576</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43081-2022</t>
        </is>
      </c>
      <c r="B486" s="1" t="n">
        <v>44833</v>
      </c>
      <c r="C486" s="1" t="n">
        <v>45576</v>
      </c>
      <c r="D486" t="inlineStr">
        <is>
          <t>GOTLANDS LÄN</t>
        </is>
      </c>
      <c r="E486" t="inlineStr">
        <is>
          <t>GOTLAND</t>
        </is>
      </c>
      <c r="G486" t="n">
        <v>6.8</v>
      </c>
      <c r="H486" t="n">
        <v>0</v>
      </c>
      <c r="I486" t="n">
        <v>0</v>
      </c>
      <c r="J486" t="n">
        <v>0</v>
      </c>
      <c r="K486" t="n">
        <v>0</v>
      </c>
      <c r="L486" t="n">
        <v>0</v>
      </c>
      <c r="M486" t="n">
        <v>0</v>
      </c>
      <c r="N486" t="n">
        <v>0</v>
      </c>
      <c r="O486" t="n">
        <v>0</v>
      </c>
      <c r="P486" t="n">
        <v>0</v>
      </c>
      <c r="Q486" t="n">
        <v>0</v>
      </c>
      <c r="R486" s="2" t="inlineStr"/>
    </row>
    <row r="487" ht="15" customHeight="1">
      <c r="A487" t="inlineStr">
        <is>
          <t>A 44102-2022</t>
        </is>
      </c>
      <c r="B487" s="1" t="n">
        <v>44839</v>
      </c>
      <c r="C487" s="1" t="n">
        <v>45576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44108-2022</t>
        </is>
      </c>
      <c r="B488" s="1" t="n">
        <v>44839</v>
      </c>
      <c r="C488" s="1" t="n">
        <v>45576</v>
      </c>
      <c r="D488" t="inlineStr">
        <is>
          <t>GOTLANDS LÄN</t>
        </is>
      </c>
      <c r="E488" t="inlineStr">
        <is>
          <t>GOTLAND</t>
        </is>
      </c>
      <c r="G488" t="n">
        <v>12.9</v>
      </c>
      <c r="H488" t="n">
        <v>0</v>
      </c>
      <c r="I488" t="n">
        <v>0</v>
      </c>
      <c r="J488" t="n">
        <v>0</v>
      </c>
      <c r="K488" t="n">
        <v>0</v>
      </c>
      <c r="L488" t="n">
        <v>0</v>
      </c>
      <c r="M488" t="n">
        <v>0</v>
      </c>
      <c r="N488" t="n">
        <v>0</v>
      </c>
      <c r="O488" t="n">
        <v>0</v>
      </c>
      <c r="P488" t="n">
        <v>0</v>
      </c>
      <c r="Q488" t="n">
        <v>0</v>
      </c>
      <c r="R488" s="2" t="inlineStr"/>
    </row>
    <row r="489" ht="15" customHeight="1">
      <c r="A489" t="inlineStr">
        <is>
          <t>A 44207-2022</t>
        </is>
      </c>
      <c r="B489" s="1" t="n">
        <v>44839</v>
      </c>
      <c r="C489" s="1" t="n">
        <v>45576</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44204-2022</t>
        </is>
      </c>
      <c r="B490" s="1" t="n">
        <v>44839</v>
      </c>
      <c r="C490" s="1" t="n">
        <v>45576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44228-2022</t>
        </is>
      </c>
      <c r="B491" s="1" t="n">
        <v>44839</v>
      </c>
      <c r="C491" s="1" t="n">
        <v>45576</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44878-2022</t>
        </is>
      </c>
      <c r="B492" s="1" t="n">
        <v>44839</v>
      </c>
      <c r="C492" s="1" t="n">
        <v>45576</v>
      </c>
      <c r="D492" t="inlineStr">
        <is>
          <t>GOTLANDS LÄN</t>
        </is>
      </c>
      <c r="E492" t="inlineStr">
        <is>
          <t>GOTLAND</t>
        </is>
      </c>
      <c r="G492" t="n">
        <v>4</v>
      </c>
      <c r="H492" t="n">
        <v>0</v>
      </c>
      <c r="I492" t="n">
        <v>0</v>
      </c>
      <c r="J492" t="n">
        <v>0</v>
      </c>
      <c r="K492" t="n">
        <v>0</v>
      </c>
      <c r="L492" t="n">
        <v>0</v>
      </c>
      <c r="M492" t="n">
        <v>0</v>
      </c>
      <c r="N492" t="n">
        <v>0</v>
      </c>
      <c r="O492" t="n">
        <v>0</v>
      </c>
      <c r="P492" t="n">
        <v>0</v>
      </c>
      <c r="Q492" t="n">
        <v>0</v>
      </c>
      <c r="R492" s="2" t="inlineStr"/>
    </row>
    <row r="493" ht="15" customHeight="1">
      <c r="A493" t="inlineStr">
        <is>
          <t>A 44919-2022</t>
        </is>
      </c>
      <c r="B493" s="1" t="n">
        <v>44841</v>
      </c>
      <c r="C493" s="1" t="n">
        <v>45576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44942-2022</t>
        </is>
      </c>
      <c r="B494" s="1" t="n">
        <v>44841</v>
      </c>
      <c r="C494" s="1" t="n">
        <v>45576</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45576</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47231-2022</t>
        </is>
      </c>
      <c r="B496" s="1" t="n">
        <v>44852</v>
      </c>
      <c r="C496" s="1" t="n">
        <v>45576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45576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49812-2022</t>
        </is>
      </c>
      <c r="B498" s="1" t="n">
        <v>44862</v>
      </c>
      <c r="C498" s="1" t="n">
        <v>45576</v>
      </c>
      <c r="D498" t="inlineStr">
        <is>
          <t>GOTLANDS LÄN</t>
        </is>
      </c>
      <c r="E498" t="inlineStr">
        <is>
          <t>GOTLAND</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50810-2022</t>
        </is>
      </c>
      <c r="B499" s="1" t="n">
        <v>44867</v>
      </c>
      <c r="C499" s="1" t="n">
        <v>45576</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51591-2022</t>
        </is>
      </c>
      <c r="B500" s="1" t="n">
        <v>44871</v>
      </c>
      <c r="C500" s="1" t="n">
        <v>45576</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53725-2022</t>
        </is>
      </c>
      <c r="B501" s="1" t="n">
        <v>44875</v>
      </c>
      <c r="C501" s="1" t="n">
        <v>45576</v>
      </c>
      <c r="D501" t="inlineStr">
        <is>
          <t>GOTLANDS LÄN</t>
        </is>
      </c>
      <c r="E501" t="inlineStr">
        <is>
          <t>GOTLAND</t>
        </is>
      </c>
      <c r="F501" t="inlineStr">
        <is>
          <t>Övriga statliga verk och myndigheter</t>
        </is>
      </c>
      <c r="G501" t="n">
        <v>6.2</v>
      </c>
      <c r="H501" t="n">
        <v>0</v>
      </c>
      <c r="I501" t="n">
        <v>0</v>
      </c>
      <c r="J501" t="n">
        <v>0</v>
      </c>
      <c r="K501" t="n">
        <v>0</v>
      </c>
      <c r="L501" t="n">
        <v>0</v>
      </c>
      <c r="M501" t="n">
        <v>0</v>
      </c>
      <c r="N501" t="n">
        <v>0</v>
      </c>
      <c r="O501" t="n">
        <v>0</v>
      </c>
      <c r="P501" t="n">
        <v>0</v>
      </c>
      <c r="Q501" t="n">
        <v>0</v>
      </c>
      <c r="R501" s="2" t="inlineStr"/>
    </row>
    <row r="502" ht="15" customHeight="1">
      <c r="A502" t="inlineStr">
        <is>
          <t>A 53722-2022</t>
        </is>
      </c>
      <c r="B502" s="1" t="n">
        <v>44875</v>
      </c>
      <c r="C502" s="1" t="n">
        <v>45576</v>
      </c>
      <c r="D502" t="inlineStr">
        <is>
          <t>GOTLANDS LÄN</t>
        </is>
      </c>
      <c r="E502" t="inlineStr">
        <is>
          <t>GOTLAND</t>
        </is>
      </c>
      <c r="F502" t="inlineStr">
        <is>
          <t>Övriga statliga verk och myndigheter</t>
        </is>
      </c>
      <c r="G502" t="n">
        <v>8</v>
      </c>
      <c r="H502" t="n">
        <v>0</v>
      </c>
      <c r="I502" t="n">
        <v>0</v>
      </c>
      <c r="J502" t="n">
        <v>0</v>
      </c>
      <c r="K502" t="n">
        <v>0</v>
      </c>
      <c r="L502" t="n">
        <v>0</v>
      </c>
      <c r="M502" t="n">
        <v>0</v>
      </c>
      <c r="N502" t="n">
        <v>0</v>
      </c>
      <c r="O502" t="n">
        <v>0</v>
      </c>
      <c r="P502" t="n">
        <v>0</v>
      </c>
      <c r="Q502" t="n">
        <v>0</v>
      </c>
      <c r="R502" s="2" t="inlineStr"/>
    </row>
    <row r="503" ht="15" customHeight="1">
      <c r="A503" t="inlineStr">
        <is>
          <t>A 53727-2022</t>
        </is>
      </c>
      <c r="B503" s="1" t="n">
        <v>44875</v>
      </c>
      <c r="C503" s="1" t="n">
        <v>45576</v>
      </c>
      <c r="D503" t="inlineStr">
        <is>
          <t>GOTLANDS LÄN</t>
        </is>
      </c>
      <c r="E503" t="inlineStr">
        <is>
          <t>GOTLAND</t>
        </is>
      </c>
      <c r="F503" t="inlineStr">
        <is>
          <t>Övriga statliga verk och myndigheter</t>
        </is>
      </c>
      <c r="G503" t="n">
        <v>3.6</v>
      </c>
      <c r="H503" t="n">
        <v>0</v>
      </c>
      <c r="I503" t="n">
        <v>0</v>
      </c>
      <c r="J503" t="n">
        <v>0</v>
      </c>
      <c r="K503" t="n">
        <v>0</v>
      </c>
      <c r="L503" t="n">
        <v>0</v>
      </c>
      <c r="M503" t="n">
        <v>0</v>
      </c>
      <c r="N503" t="n">
        <v>0</v>
      </c>
      <c r="O503" t="n">
        <v>0</v>
      </c>
      <c r="P503" t="n">
        <v>0</v>
      </c>
      <c r="Q503" t="n">
        <v>0</v>
      </c>
      <c r="R503" s="2" t="inlineStr"/>
    </row>
    <row r="504" ht="15" customHeight="1">
      <c r="A504" t="inlineStr">
        <is>
          <t>A 53225-2022</t>
        </is>
      </c>
      <c r="B504" s="1" t="n">
        <v>44876</v>
      </c>
      <c r="C504" s="1" t="n">
        <v>45576</v>
      </c>
      <c r="D504" t="inlineStr">
        <is>
          <t>GOTLANDS LÄN</t>
        </is>
      </c>
      <c r="E504" t="inlineStr">
        <is>
          <t>GOTLAND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54074-2022</t>
        </is>
      </c>
      <c r="B505" s="1" t="n">
        <v>44881</v>
      </c>
      <c r="C505" s="1" t="n">
        <v>45576</v>
      </c>
      <c r="D505" t="inlineStr">
        <is>
          <t>GOTLANDS LÄN</t>
        </is>
      </c>
      <c r="E505" t="inlineStr">
        <is>
          <t>GOTLAND</t>
        </is>
      </c>
      <c r="G505" t="n">
        <v>0.9</v>
      </c>
      <c r="H505" t="n">
        <v>0</v>
      </c>
      <c r="I505" t="n">
        <v>0</v>
      </c>
      <c r="J505" t="n">
        <v>0</v>
      </c>
      <c r="K505" t="n">
        <v>0</v>
      </c>
      <c r="L505" t="n">
        <v>0</v>
      </c>
      <c r="M505" t="n">
        <v>0</v>
      </c>
      <c r="N505" t="n">
        <v>0</v>
      </c>
      <c r="O505" t="n">
        <v>0</v>
      </c>
      <c r="P505" t="n">
        <v>0</v>
      </c>
      <c r="Q505" t="n">
        <v>0</v>
      </c>
      <c r="R505" s="2" t="inlineStr"/>
    </row>
    <row r="506" ht="15" customHeight="1">
      <c r="A506" t="inlineStr">
        <is>
          <t>A 54073-2022</t>
        </is>
      </c>
      <c r="B506" s="1" t="n">
        <v>44881</v>
      </c>
      <c r="C506" s="1" t="n">
        <v>45576</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54268-2022</t>
        </is>
      </c>
      <c r="B507" s="1" t="n">
        <v>44882</v>
      </c>
      <c r="C507" s="1" t="n">
        <v>45576</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55866-2022</t>
        </is>
      </c>
      <c r="B508" s="1" t="n">
        <v>44888</v>
      </c>
      <c r="C508" s="1" t="n">
        <v>45576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56928-2022</t>
        </is>
      </c>
      <c r="B509" s="1" t="n">
        <v>44894</v>
      </c>
      <c r="C509" s="1" t="n">
        <v>45576</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58388-2022</t>
        </is>
      </c>
      <c r="B510" s="1" t="n">
        <v>44894</v>
      </c>
      <c r="C510" s="1" t="n">
        <v>45576</v>
      </c>
      <c r="D510" t="inlineStr">
        <is>
          <t>GOTLANDS LÄN</t>
        </is>
      </c>
      <c r="E510" t="inlineStr">
        <is>
          <t>GOTLAND</t>
        </is>
      </c>
      <c r="F510" t="inlineStr">
        <is>
          <t>Övriga statliga verk och myndigheter</t>
        </is>
      </c>
      <c r="G510" t="n">
        <v>3.1</v>
      </c>
      <c r="H510" t="n">
        <v>0</v>
      </c>
      <c r="I510" t="n">
        <v>0</v>
      </c>
      <c r="J510" t="n">
        <v>0</v>
      </c>
      <c r="K510" t="n">
        <v>0</v>
      </c>
      <c r="L510" t="n">
        <v>0</v>
      </c>
      <c r="M510" t="n">
        <v>0</v>
      </c>
      <c r="N510" t="n">
        <v>0</v>
      </c>
      <c r="O510" t="n">
        <v>0</v>
      </c>
      <c r="P510" t="n">
        <v>0</v>
      </c>
      <c r="Q510" t="n">
        <v>0</v>
      </c>
      <c r="R510" s="2" t="inlineStr"/>
    </row>
    <row r="511" ht="15" customHeight="1">
      <c r="A511" t="inlineStr">
        <is>
          <t>A 57534-2022</t>
        </is>
      </c>
      <c r="B511" s="1" t="n">
        <v>44896</v>
      </c>
      <c r="C511" s="1" t="n">
        <v>45576</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57522-2022</t>
        </is>
      </c>
      <c r="B512" s="1" t="n">
        <v>44896</v>
      </c>
      <c r="C512" s="1" t="n">
        <v>45576</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57685-2022</t>
        </is>
      </c>
      <c r="B513" s="1" t="n">
        <v>44897</v>
      </c>
      <c r="C513" s="1" t="n">
        <v>45576</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57947-2022</t>
        </is>
      </c>
      <c r="B514" s="1" t="n">
        <v>44900</v>
      </c>
      <c r="C514" s="1" t="n">
        <v>45576</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58479-2022</t>
        </is>
      </c>
      <c r="B515" s="1" t="n">
        <v>44902</v>
      </c>
      <c r="C515" s="1" t="n">
        <v>45576</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58476-2022</t>
        </is>
      </c>
      <c r="B516" s="1" t="n">
        <v>44902</v>
      </c>
      <c r="C516" s="1" t="n">
        <v>45576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59874-2022</t>
        </is>
      </c>
      <c r="B517" s="1" t="n">
        <v>44908</v>
      </c>
      <c r="C517" s="1" t="n">
        <v>45576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60086-2022</t>
        </is>
      </c>
      <c r="B518" s="1" t="n">
        <v>44909</v>
      </c>
      <c r="C518" s="1" t="n">
        <v>45576</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59986-2022</t>
        </is>
      </c>
      <c r="B519" s="1" t="n">
        <v>44909</v>
      </c>
      <c r="C519" s="1" t="n">
        <v>45576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60372-2022</t>
        </is>
      </c>
      <c r="B520" s="1" t="n">
        <v>44910</v>
      </c>
      <c r="C520" s="1" t="n">
        <v>45576</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61100-2022</t>
        </is>
      </c>
      <c r="B521" s="1" t="n">
        <v>44915</v>
      </c>
      <c r="C521" s="1" t="n">
        <v>45576</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61570-2022</t>
        </is>
      </c>
      <c r="B522" s="1" t="n">
        <v>44916</v>
      </c>
      <c r="C522" s="1" t="n">
        <v>45576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61563-2022</t>
        </is>
      </c>
      <c r="B523" s="1" t="n">
        <v>44916</v>
      </c>
      <c r="C523" s="1" t="n">
        <v>45576</v>
      </c>
      <c r="D523" t="inlineStr">
        <is>
          <t>GOTLANDS LÄN</t>
        </is>
      </c>
      <c r="E523" t="inlineStr">
        <is>
          <t>GOTLAND</t>
        </is>
      </c>
      <c r="G523" t="n">
        <v>3.4</v>
      </c>
      <c r="H523" t="n">
        <v>0</v>
      </c>
      <c r="I523" t="n">
        <v>0</v>
      </c>
      <c r="J523" t="n">
        <v>0</v>
      </c>
      <c r="K523" t="n">
        <v>0</v>
      </c>
      <c r="L523" t="n">
        <v>0</v>
      </c>
      <c r="M523" t="n">
        <v>0</v>
      </c>
      <c r="N523" t="n">
        <v>0</v>
      </c>
      <c r="O523" t="n">
        <v>0</v>
      </c>
      <c r="P523" t="n">
        <v>0</v>
      </c>
      <c r="Q523" t="n">
        <v>0</v>
      </c>
      <c r="R523" s="2" t="inlineStr"/>
    </row>
    <row r="524" ht="15" customHeight="1">
      <c r="A524" t="inlineStr">
        <is>
          <t>A 62155-2022</t>
        </is>
      </c>
      <c r="B524" s="1" t="n">
        <v>44922</v>
      </c>
      <c r="C524" s="1" t="n">
        <v>45576</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62164-2022</t>
        </is>
      </c>
      <c r="B525" s="1" t="n">
        <v>44922</v>
      </c>
      <c r="C525" s="1" t="n">
        <v>45576</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62182-2022</t>
        </is>
      </c>
      <c r="B526" s="1" t="n">
        <v>44922</v>
      </c>
      <c r="C526" s="1" t="n">
        <v>45576</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62193-2022</t>
        </is>
      </c>
      <c r="B527" s="1" t="n">
        <v>44922</v>
      </c>
      <c r="C527" s="1" t="n">
        <v>45576</v>
      </c>
      <c r="D527" t="inlineStr">
        <is>
          <t>GOTLANDS LÄN</t>
        </is>
      </c>
      <c r="E527" t="inlineStr">
        <is>
          <t>GOTLAND</t>
        </is>
      </c>
      <c r="G527" t="n">
        <v>5.6</v>
      </c>
      <c r="H527" t="n">
        <v>0</v>
      </c>
      <c r="I527" t="n">
        <v>0</v>
      </c>
      <c r="J527" t="n">
        <v>0</v>
      </c>
      <c r="K527" t="n">
        <v>0</v>
      </c>
      <c r="L527" t="n">
        <v>0</v>
      </c>
      <c r="M527" t="n">
        <v>0</v>
      </c>
      <c r="N527" t="n">
        <v>0</v>
      </c>
      <c r="O527" t="n">
        <v>0</v>
      </c>
      <c r="P527" t="n">
        <v>0</v>
      </c>
      <c r="Q527" t="n">
        <v>0</v>
      </c>
      <c r="R527" s="2" t="inlineStr"/>
    </row>
    <row r="528" ht="15" customHeight="1">
      <c r="A528" t="inlineStr">
        <is>
          <t>A 62151-2022</t>
        </is>
      </c>
      <c r="B528" s="1" t="n">
        <v>44922</v>
      </c>
      <c r="C528" s="1" t="n">
        <v>45576</v>
      </c>
      <c r="D528" t="inlineStr">
        <is>
          <t>GOTLANDS LÄN</t>
        </is>
      </c>
      <c r="E528" t="inlineStr">
        <is>
          <t>GOTLAND</t>
        </is>
      </c>
      <c r="G528" t="n">
        <v>6.5</v>
      </c>
      <c r="H528" t="n">
        <v>0</v>
      </c>
      <c r="I528" t="n">
        <v>0</v>
      </c>
      <c r="J528" t="n">
        <v>0</v>
      </c>
      <c r="K528" t="n">
        <v>0</v>
      </c>
      <c r="L528" t="n">
        <v>0</v>
      </c>
      <c r="M528" t="n">
        <v>0</v>
      </c>
      <c r="N528" t="n">
        <v>0</v>
      </c>
      <c r="O528" t="n">
        <v>0</v>
      </c>
      <c r="P528" t="n">
        <v>0</v>
      </c>
      <c r="Q528" t="n">
        <v>0</v>
      </c>
      <c r="R528" s="2" t="inlineStr"/>
    </row>
    <row r="529" ht="15" customHeight="1">
      <c r="A529" t="inlineStr">
        <is>
          <t>A 62186-2022</t>
        </is>
      </c>
      <c r="B529" s="1" t="n">
        <v>44922</v>
      </c>
      <c r="C529" s="1" t="n">
        <v>45576</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62184-2022</t>
        </is>
      </c>
      <c r="B530" s="1" t="n">
        <v>44922</v>
      </c>
      <c r="C530" s="1" t="n">
        <v>45576</v>
      </c>
      <c r="D530" t="inlineStr">
        <is>
          <t>GOTLANDS LÄN</t>
        </is>
      </c>
      <c r="E530" t="inlineStr">
        <is>
          <t>GOTLAND</t>
        </is>
      </c>
      <c r="G530" t="n">
        <v>4.9</v>
      </c>
      <c r="H530" t="n">
        <v>0</v>
      </c>
      <c r="I530" t="n">
        <v>0</v>
      </c>
      <c r="J530" t="n">
        <v>0</v>
      </c>
      <c r="K530" t="n">
        <v>0</v>
      </c>
      <c r="L530" t="n">
        <v>0</v>
      </c>
      <c r="M530" t="n">
        <v>0</v>
      </c>
      <c r="N530" t="n">
        <v>0</v>
      </c>
      <c r="O530" t="n">
        <v>0</v>
      </c>
      <c r="P530" t="n">
        <v>0</v>
      </c>
      <c r="Q530" t="n">
        <v>0</v>
      </c>
      <c r="R530" s="2" t="inlineStr"/>
    </row>
    <row r="531" ht="15" customHeight="1">
      <c r="A531" t="inlineStr">
        <is>
          <t>A 163-2023</t>
        </is>
      </c>
      <c r="B531" s="1" t="n">
        <v>44928</v>
      </c>
      <c r="C531" s="1" t="n">
        <v>45576</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458-2023</t>
        </is>
      </c>
      <c r="B532" s="1" t="n">
        <v>44929</v>
      </c>
      <c r="C532" s="1" t="n">
        <v>45576</v>
      </c>
      <c r="D532" t="inlineStr">
        <is>
          <t>GOTLANDS LÄN</t>
        </is>
      </c>
      <c r="E532" t="inlineStr">
        <is>
          <t>GOTLAND</t>
        </is>
      </c>
      <c r="G532" t="n">
        <v>3.6</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v>
      </c>
      <c r="C533" s="1" t="n">
        <v>45576</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456-2023</t>
        </is>
      </c>
      <c r="B534" s="1" t="n">
        <v>44929</v>
      </c>
      <c r="C534" s="1" t="n">
        <v>45576</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v>
      </c>
      <c r="C535" s="1" t="n">
        <v>45576</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45576</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45576</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45576</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1284-2023</t>
        </is>
      </c>
      <c r="B539" s="1" t="n">
        <v>44936</v>
      </c>
      <c r="C539" s="1" t="n">
        <v>45576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45576</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1291-2023</t>
        </is>
      </c>
      <c r="B541" s="1" t="n">
        <v>44936</v>
      </c>
      <c r="C541" s="1" t="n">
        <v>45576</v>
      </c>
      <c r="D541" t="inlineStr">
        <is>
          <t>GOTLANDS LÄN</t>
        </is>
      </c>
      <c r="E541" t="inlineStr">
        <is>
          <t>GOTLAND</t>
        </is>
      </c>
      <c r="G541" t="n">
        <v>7.4</v>
      </c>
      <c r="H541" t="n">
        <v>0</v>
      </c>
      <c r="I541" t="n">
        <v>0</v>
      </c>
      <c r="J541" t="n">
        <v>0</v>
      </c>
      <c r="K541" t="n">
        <v>0</v>
      </c>
      <c r="L541" t="n">
        <v>0</v>
      </c>
      <c r="M541" t="n">
        <v>0</v>
      </c>
      <c r="N541" t="n">
        <v>0</v>
      </c>
      <c r="O541" t="n">
        <v>0</v>
      </c>
      <c r="P541" t="n">
        <v>0</v>
      </c>
      <c r="Q541" t="n">
        <v>0</v>
      </c>
      <c r="R541" s="2" t="inlineStr"/>
    </row>
    <row r="542" ht="15" customHeight="1">
      <c r="A542" t="inlineStr">
        <is>
          <t>A 1394-2023</t>
        </is>
      </c>
      <c r="B542" s="1" t="n">
        <v>44936</v>
      </c>
      <c r="C542" s="1" t="n">
        <v>45576</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45576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1681-2023</t>
        </is>
      </c>
      <c r="B544" s="1" t="n">
        <v>44938</v>
      </c>
      <c r="C544" s="1" t="n">
        <v>45576</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45576</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2676-2023</t>
        </is>
      </c>
      <c r="B546" s="1" t="n">
        <v>44944</v>
      </c>
      <c r="C546" s="1" t="n">
        <v>45576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v>
      </c>
      <c r="C547" s="1" t="n">
        <v>45576</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2727-2023</t>
        </is>
      </c>
      <c r="B548" s="1" t="n">
        <v>44944</v>
      </c>
      <c r="C548" s="1" t="n">
        <v>45576</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2719-2023</t>
        </is>
      </c>
      <c r="B549" s="1" t="n">
        <v>44944</v>
      </c>
      <c r="C549" s="1" t="n">
        <v>45576</v>
      </c>
      <c r="D549" t="inlineStr">
        <is>
          <t>GOTLANDS LÄN</t>
        </is>
      </c>
      <c r="E549" t="inlineStr">
        <is>
          <t>GOTLAND</t>
        </is>
      </c>
      <c r="G549" t="n">
        <v>0.5</v>
      </c>
      <c r="H549" t="n">
        <v>0</v>
      </c>
      <c r="I549" t="n">
        <v>0</v>
      </c>
      <c r="J549" t="n">
        <v>0</v>
      </c>
      <c r="K549" t="n">
        <v>0</v>
      </c>
      <c r="L549" t="n">
        <v>0</v>
      </c>
      <c r="M549" t="n">
        <v>0</v>
      </c>
      <c r="N549" t="n">
        <v>0</v>
      </c>
      <c r="O549" t="n">
        <v>0</v>
      </c>
      <c r="P549" t="n">
        <v>0</v>
      </c>
      <c r="Q549" t="n">
        <v>0</v>
      </c>
      <c r="R549" s="2" t="inlineStr"/>
    </row>
    <row r="550" ht="15" customHeight="1">
      <c r="A550" t="inlineStr">
        <is>
          <t>A 2805-2023</t>
        </is>
      </c>
      <c r="B550" s="1" t="n">
        <v>44944</v>
      </c>
      <c r="C550" s="1" t="n">
        <v>45576</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2815-2023</t>
        </is>
      </c>
      <c r="B551" s="1" t="n">
        <v>44944</v>
      </c>
      <c r="C551" s="1" t="n">
        <v>45576</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3230-2023</t>
        </is>
      </c>
      <c r="B552" s="1" t="n">
        <v>44946</v>
      </c>
      <c r="C552" s="1" t="n">
        <v>45576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4378-2023</t>
        </is>
      </c>
      <c r="B553" s="1" t="n">
        <v>44955</v>
      </c>
      <c r="C553" s="1" t="n">
        <v>45576</v>
      </c>
      <c r="D553" t="inlineStr">
        <is>
          <t>GOTLANDS LÄN</t>
        </is>
      </c>
      <c r="E553" t="inlineStr">
        <is>
          <t>GOTLAND</t>
        </is>
      </c>
      <c r="F553" t="inlineStr">
        <is>
          <t>Kyrkan</t>
        </is>
      </c>
      <c r="G553" t="n">
        <v>1.5</v>
      </c>
      <c r="H553" t="n">
        <v>0</v>
      </c>
      <c r="I553" t="n">
        <v>0</v>
      </c>
      <c r="J553" t="n">
        <v>0</v>
      </c>
      <c r="K553" t="n">
        <v>0</v>
      </c>
      <c r="L553" t="n">
        <v>0</v>
      </c>
      <c r="M553" t="n">
        <v>0</v>
      </c>
      <c r="N553" t="n">
        <v>0</v>
      </c>
      <c r="O553" t="n">
        <v>0</v>
      </c>
      <c r="P553" t="n">
        <v>0</v>
      </c>
      <c r="Q553" t="n">
        <v>0</v>
      </c>
      <c r="R553" s="2" t="inlineStr"/>
    </row>
    <row r="554" ht="15" customHeight="1">
      <c r="A554" t="inlineStr">
        <is>
          <t>A 4377-2023</t>
        </is>
      </c>
      <c r="B554" s="1" t="n">
        <v>44955</v>
      </c>
      <c r="C554" s="1" t="n">
        <v>45576</v>
      </c>
      <c r="D554" t="inlineStr">
        <is>
          <t>GOTLANDS LÄN</t>
        </is>
      </c>
      <c r="E554" t="inlineStr">
        <is>
          <t>GOTLAND</t>
        </is>
      </c>
      <c r="F554" t="inlineStr">
        <is>
          <t>Kyrkan</t>
        </is>
      </c>
      <c r="G554" t="n">
        <v>0.6</v>
      </c>
      <c r="H554" t="n">
        <v>0</v>
      </c>
      <c r="I554" t="n">
        <v>0</v>
      </c>
      <c r="J554" t="n">
        <v>0</v>
      </c>
      <c r="K554" t="n">
        <v>0</v>
      </c>
      <c r="L554" t="n">
        <v>0</v>
      </c>
      <c r="M554" t="n">
        <v>0</v>
      </c>
      <c r="N554" t="n">
        <v>0</v>
      </c>
      <c r="O554" t="n">
        <v>0</v>
      </c>
      <c r="P554" t="n">
        <v>0</v>
      </c>
      <c r="Q554" t="n">
        <v>0</v>
      </c>
      <c r="R554" s="2" t="inlineStr"/>
    </row>
    <row r="555" ht="15" customHeight="1">
      <c r="A555" t="inlineStr">
        <is>
          <t>A 4387-2023</t>
        </is>
      </c>
      <c r="B555" s="1" t="n">
        <v>44955</v>
      </c>
      <c r="C555" s="1" t="n">
        <v>45576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4565-2023</t>
        </is>
      </c>
      <c r="B556" s="1" t="n">
        <v>44956</v>
      </c>
      <c r="C556" s="1" t="n">
        <v>45576</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5217-2023</t>
        </is>
      </c>
      <c r="B557" s="1" t="n">
        <v>44959</v>
      </c>
      <c r="C557" s="1" t="n">
        <v>45576</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5379-2023</t>
        </is>
      </c>
      <c r="B558" s="1" t="n">
        <v>44959</v>
      </c>
      <c r="C558" s="1" t="n">
        <v>45576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45576</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v>
      </c>
      <c r="C560" s="1" t="n">
        <v>45576</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6721-2023</t>
        </is>
      </c>
      <c r="B561" s="1" t="n">
        <v>44966</v>
      </c>
      <c r="C561" s="1" t="n">
        <v>45576</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6717-2023</t>
        </is>
      </c>
      <c r="B562" s="1" t="n">
        <v>44966</v>
      </c>
      <c r="C562" s="1" t="n">
        <v>45576</v>
      </c>
      <c r="D562" t="inlineStr">
        <is>
          <t>GOTLANDS LÄN</t>
        </is>
      </c>
      <c r="E562" t="inlineStr">
        <is>
          <t>GOTLAND</t>
        </is>
      </c>
      <c r="F562" t="inlineStr">
        <is>
          <t>Naturvårdsverket</t>
        </is>
      </c>
      <c r="G562" t="n">
        <v>1.4</v>
      </c>
      <c r="H562" t="n">
        <v>0</v>
      </c>
      <c r="I562" t="n">
        <v>0</v>
      </c>
      <c r="J562" t="n">
        <v>0</v>
      </c>
      <c r="K562" t="n">
        <v>0</v>
      </c>
      <c r="L562" t="n">
        <v>0</v>
      </c>
      <c r="M562" t="n">
        <v>0</v>
      </c>
      <c r="N562" t="n">
        <v>0</v>
      </c>
      <c r="O562" t="n">
        <v>0</v>
      </c>
      <c r="P562" t="n">
        <v>0</v>
      </c>
      <c r="Q562" t="n">
        <v>0</v>
      </c>
      <c r="R562" s="2" t="inlineStr"/>
    </row>
    <row r="563" ht="15" customHeight="1">
      <c r="A563" t="inlineStr">
        <is>
          <t>A 7041-2023</t>
        </is>
      </c>
      <c r="B563" s="1" t="n">
        <v>44968</v>
      </c>
      <c r="C563" s="1" t="n">
        <v>45576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7026-2023</t>
        </is>
      </c>
      <c r="B564" s="1" t="n">
        <v>44968</v>
      </c>
      <c r="C564" s="1" t="n">
        <v>45576</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7034-2023</t>
        </is>
      </c>
      <c r="B565" s="1" t="n">
        <v>44968</v>
      </c>
      <c r="C565" s="1" t="n">
        <v>45576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7040-2023</t>
        </is>
      </c>
      <c r="B566" s="1" t="n">
        <v>44968</v>
      </c>
      <c r="C566" s="1" t="n">
        <v>45576</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7042-2023</t>
        </is>
      </c>
      <c r="B567" s="1" t="n">
        <v>44968</v>
      </c>
      <c r="C567" s="1" t="n">
        <v>45576</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8260-2023</t>
        </is>
      </c>
      <c r="B568" s="1" t="n">
        <v>44974</v>
      </c>
      <c r="C568" s="1" t="n">
        <v>45576</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8962-2023</t>
        </is>
      </c>
      <c r="B569" s="1" t="n">
        <v>44979</v>
      </c>
      <c r="C569" s="1" t="n">
        <v>45576</v>
      </c>
      <c r="D569" t="inlineStr">
        <is>
          <t>GOTLANDS LÄN</t>
        </is>
      </c>
      <c r="E569" t="inlineStr">
        <is>
          <t>GOTLAND</t>
        </is>
      </c>
      <c r="G569" t="n">
        <v>5.5</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45576</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10655-2023</t>
        </is>
      </c>
      <c r="B571" s="1" t="n">
        <v>44988</v>
      </c>
      <c r="C571" s="1" t="n">
        <v>45576</v>
      </c>
      <c r="D571" t="inlineStr">
        <is>
          <t>GOTLANDS LÄN</t>
        </is>
      </c>
      <c r="E571" t="inlineStr">
        <is>
          <t>GOTLAND</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10657-2023</t>
        </is>
      </c>
      <c r="B572" s="1" t="n">
        <v>44988</v>
      </c>
      <c r="C572" s="1" t="n">
        <v>45576</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10653-2023</t>
        </is>
      </c>
      <c r="B573" s="1" t="n">
        <v>44988</v>
      </c>
      <c r="C573" s="1" t="n">
        <v>45576</v>
      </c>
      <c r="D573" t="inlineStr">
        <is>
          <t>GOTLANDS LÄN</t>
        </is>
      </c>
      <c r="E573" t="inlineStr">
        <is>
          <t>GOTLAND</t>
        </is>
      </c>
      <c r="F573" t="inlineStr">
        <is>
          <t>Kyrkan</t>
        </is>
      </c>
      <c r="G573" t="n">
        <v>3</v>
      </c>
      <c r="H573" t="n">
        <v>0</v>
      </c>
      <c r="I573" t="n">
        <v>0</v>
      </c>
      <c r="J573" t="n">
        <v>0</v>
      </c>
      <c r="K573" t="n">
        <v>0</v>
      </c>
      <c r="L573" t="n">
        <v>0</v>
      </c>
      <c r="M573" t="n">
        <v>0</v>
      </c>
      <c r="N573" t="n">
        <v>0</v>
      </c>
      <c r="O573" t="n">
        <v>0</v>
      </c>
      <c r="P573" t="n">
        <v>0</v>
      </c>
      <c r="Q573" t="n">
        <v>0</v>
      </c>
      <c r="R573" s="2" t="inlineStr"/>
    </row>
    <row r="574" ht="15" customHeight="1">
      <c r="A574" t="inlineStr">
        <is>
          <t>A 11115-2023</t>
        </is>
      </c>
      <c r="B574" s="1" t="n">
        <v>44992</v>
      </c>
      <c r="C574" s="1" t="n">
        <v>45576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12161-2023</t>
        </is>
      </c>
      <c r="B575" s="1" t="n">
        <v>44998</v>
      </c>
      <c r="C575" s="1" t="n">
        <v>45576</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12155-2023</t>
        </is>
      </c>
      <c r="B576" s="1" t="n">
        <v>44998</v>
      </c>
      <c r="C576" s="1" t="n">
        <v>45576</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12596-2023</t>
        </is>
      </c>
      <c r="B577" s="1" t="n">
        <v>45000</v>
      </c>
      <c r="C577" s="1" t="n">
        <v>45576</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13627-2023</t>
        </is>
      </c>
      <c r="B578" s="1" t="n">
        <v>45006</v>
      </c>
      <c r="C578" s="1" t="n">
        <v>45576</v>
      </c>
      <c r="D578" t="inlineStr">
        <is>
          <t>GOTLANDS LÄN</t>
        </is>
      </c>
      <c r="E578" t="inlineStr">
        <is>
          <t>GOTLAND</t>
        </is>
      </c>
      <c r="G578" t="n">
        <v>10.7</v>
      </c>
      <c r="H578" t="n">
        <v>0</v>
      </c>
      <c r="I578" t="n">
        <v>0</v>
      </c>
      <c r="J578" t="n">
        <v>0</v>
      </c>
      <c r="K578" t="n">
        <v>0</v>
      </c>
      <c r="L578" t="n">
        <v>0</v>
      </c>
      <c r="M578" t="n">
        <v>0</v>
      </c>
      <c r="N578" t="n">
        <v>0</v>
      </c>
      <c r="O578" t="n">
        <v>0</v>
      </c>
      <c r="P578" t="n">
        <v>0</v>
      </c>
      <c r="Q578" t="n">
        <v>0</v>
      </c>
      <c r="R578" s="2" t="inlineStr"/>
    </row>
    <row r="579" ht="15" customHeight="1">
      <c r="A579" t="inlineStr">
        <is>
          <t>A 13910-2023</t>
        </is>
      </c>
      <c r="B579" s="1" t="n">
        <v>45008</v>
      </c>
      <c r="C579" s="1" t="n">
        <v>45576</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v>
      </c>
      <c r="C580" s="1" t="n">
        <v>45576</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14704-2023</t>
        </is>
      </c>
      <c r="B581" s="1" t="n">
        <v>45014</v>
      </c>
      <c r="C581" s="1" t="n">
        <v>45576</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15182-2023</t>
        </is>
      </c>
      <c r="B582" s="1" t="n">
        <v>45016</v>
      </c>
      <c r="C582" s="1" t="n">
        <v>45576</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15216-2023</t>
        </is>
      </c>
      <c r="B583" s="1" t="n">
        <v>45019</v>
      </c>
      <c r="C583" s="1" t="n">
        <v>45576</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15617-2023</t>
        </is>
      </c>
      <c r="B584" s="1" t="n">
        <v>45020</v>
      </c>
      <c r="C584" s="1" t="n">
        <v>45576</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16501-2023</t>
        </is>
      </c>
      <c r="B585" s="1" t="n">
        <v>45029</v>
      </c>
      <c r="C585" s="1" t="n">
        <v>45576</v>
      </c>
      <c r="D585" t="inlineStr">
        <is>
          <t>GOTLANDS LÄN</t>
        </is>
      </c>
      <c r="E585" t="inlineStr">
        <is>
          <t>GOTLAND</t>
        </is>
      </c>
      <c r="G585" t="n">
        <v>3.1</v>
      </c>
      <c r="H585" t="n">
        <v>0</v>
      </c>
      <c r="I585" t="n">
        <v>0</v>
      </c>
      <c r="J585" t="n">
        <v>0</v>
      </c>
      <c r="K585" t="n">
        <v>0</v>
      </c>
      <c r="L585" t="n">
        <v>0</v>
      </c>
      <c r="M585" t="n">
        <v>0</v>
      </c>
      <c r="N585" t="n">
        <v>0</v>
      </c>
      <c r="O585" t="n">
        <v>0</v>
      </c>
      <c r="P585" t="n">
        <v>0</v>
      </c>
      <c r="Q585" t="n">
        <v>0</v>
      </c>
      <c r="R585" s="2" t="inlineStr"/>
    </row>
    <row r="586" ht="15" customHeight="1">
      <c r="A586" t="inlineStr">
        <is>
          <t>A 17080-2023</t>
        </is>
      </c>
      <c r="B586" s="1" t="n">
        <v>45033</v>
      </c>
      <c r="C586" s="1" t="n">
        <v>45576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17901-2023</t>
        </is>
      </c>
      <c r="B587" s="1" t="n">
        <v>45039</v>
      </c>
      <c r="C587" s="1" t="n">
        <v>45576</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18889-2023</t>
        </is>
      </c>
      <c r="B588" s="1" t="n">
        <v>45044</v>
      </c>
      <c r="C588" s="1" t="n">
        <v>45576</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45576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20855-2023</t>
        </is>
      </c>
      <c r="B590" s="1" t="n">
        <v>45058</v>
      </c>
      <c r="C590" s="1" t="n">
        <v>45576</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20856-2023</t>
        </is>
      </c>
      <c r="B591" s="1" t="n">
        <v>45058</v>
      </c>
      <c r="C591" s="1" t="n">
        <v>45576</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20857-2023</t>
        </is>
      </c>
      <c r="B592" s="1" t="n">
        <v>45058</v>
      </c>
      <c r="C592" s="1" t="n">
        <v>45576</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20854-2023</t>
        </is>
      </c>
      <c r="B593" s="1" t="n">
        <v>45058</v>
      </c>
      <c r="C593" s="1" t="n">
        <v>45576</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22275-2023</t>
        </is>
      </c>
      <c r="B594" s="1" t="n">
        <v>45070</v>
      </c>
      <c r="C594" s="1" t="n">
        <v>45576</v>
      </c>
      <c r="D594" t="inlineStr">
        <is>
          <t>GOTLANDS LÄN</t>
        </is>
      </c>
      <c r="E594" t="inlineStr">
        <is>
          <t>GOTLAND</t>
        </is>
      </c>
      <c r="G594" t="n">
        <v>7.2</v>
      </c>
      <c r="H594" t="n">
        <v>0</v>
      </c>
      <c r="I594" t="n">
        <v>0</v>
      </c>
      <c r="J594" t="n">
        <v>0</v>
      </c>
      <c r="K594" t="n">
        <v>0</v>
      </c>
      <c r="L594" t="n">
        <v>0</v>
      </c>
      <c r="M594" t="n">
        <v>0</v>
      </c>
      <c r="N594" t="n">
        <v>0</v>
      </c>
      <c r="O594" t="n">
        <v>0</v>
      </c>
      <c r="P594" t="n">
        <v>0</v>
      </c>
      <c r="Q594" t="n">
        <v>0</v>
      </c>
      <c r="R594" s="2" t="inlineStr"/>
    </row>
    <row r="595" ht="15" customHeight="1">
      <c r="A595" t="inlineStr">
        <is>
          <t>A 22412-2023</t>
        </is>
      </c>
      <c r="B595" s="1" t="n">
        <v>45070</v>
      </c>
      <c r="C595" s="1" t="n">
        <v>45576</v>
      </c>
      <c r="D595" t="inlineStr">
        <is>
          <t>GOTLANDS LÄN</t>
        </is>
      </c>
      <c r="E595" t="inlineStr">
        <is>
          <t>GOTLAND</t>
        </is>
      </c>
      <c r="G595" t="n">
        <v>7.3</v>
      </c>
      <c r="H595" t="n">
        <v>0</v>
      </c>
      <c r="I595" t="n">
        <v>0</v>
      </c>
      <c r="J595" t="n">
        <v>0</v>
      </c>
      <c r="K595" t="n">
        <v>0</v>
      </c>
      <c r="L595" t="n">
        <v>0</v>
      </c>
      <c r="M595" t="n">
        <v>0</v>
      </c>
      <c r="N595" t="n">
        <v>0</v>
      </c>
      <c r="O595" t="n">
        <v>0</v>
      </c>
      <c r="P595" t="n">
        <v>0</v>
      </c>
      <c r="Q595" t="n">
        <v>0</v>
      </c>
      <c r="R595" s="2" t="inlineStr"/>
    </row>
    <row r="596" ht="15" customHeight="1">
      <c r="A596" t="inlineStr">
        <is>
          <t>A 22709-2023</t>
        </is>
      </c>
      <c r="B596" s="1" t="n">
        <v>45071</v>
      </c>
      <c r="C596" s="1" t="n">
        <v>45576</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45576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22708-2023</t>
        </is>
      </c>
      <c r="B598" s="1" t="n">
        <v>45071</v>
      </c>
      <c r="C598" s="1" t="n">
        <v>45576</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22707-2023</t>
        </is>
      </c>
      <c r="B599" s="1" t="n">
        <v>45071</v>
      </c>
      <c r="C599" s="1" t="n">
        <v>45576</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22723-2023</t>
        </is>
      </c>
      <c r="B600" s="1" t="n">
        <v>45071</v>
      </c>
      <c r="C600" s="1" t="n">
        <v>45576</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22706-2023</t>
        </is>
      </c>
      <c r="B601" s="1" t="n">
        <v>45071</v>
      </c>
      <c r="C601" s="1" t="n">
        <v>45576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22890-2023</t>
        </is>
      </c>
      <c r="B602" s="1" t="n">
        <v>45072</v>
      </c>
      <c r="C602" s="1" t="n">
        <v>45576</v>
      </c>
      <c r="D602" t="inlineStr">
        <is>
          <t>GOTLANDS LÄN</t>
        </is>
      </c>
      <c r="E602" t="inlineStr">
        <is>
          <t>GOTLAND</t>
        </is>
      </c>
      <c r="G602" t="n">
        <v>7.5</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45576</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22903-2023</t>
        </is>
      </c>
      <c r="B604" s="1" t="n">
        <v>45072</v>
      </c>
      <c r="C604" s="1" t="n">
        <v>45576</v>
      </c>
      <c r="D604" t="inlineStr">
        <is>
          <t>GOTLANDS LÄN</t>
        </is>
      </c>
      <c r="E604" t="inlineStr">
        <is>
          <t>GOTLAND</t>
        </is>
      </c>
      <c r="G604" t="n">
        <v>0.6</v>
      </c>
      <c r="H604" t="n">
        <v>0</v>
      </c>
      <c r="I604" t="n">
        <v>0</v>
      </c>
      <c r="J604" t="n">
        <v>0</v>
      </c>
      <c r="K604" t="n">
        <v>0</v>
      </c>
      <c r="L604" t="n">
        <v>0</v>
      </c>
      <c r="M604" t="n">
        <v>0</v>
      </c>
      <c r="N604" t="n">
        <v>0</v>
      </c>
      <c r="O604" t="n">
        <v>0</v>
      </c>
      <c r="P604" t="n">
        <v>0</v>
      </c>
      <c r="Q604" t="n">
        <v>0</v>
      </c>
      <c r="R604" s="2" t="inlineStr"/>
    </row>
    <row r="605" ht="15" customHeight="1">
      <c r="A605" t="inlineStr">
        <is>
          <t>A 22897-2023</t>
        </is>
      </c>
      <c r="B605" s="1" t="n">
        <v>45072</v>
      </c>
      <c r="C605" s="1" t="n">
        <v>45576</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23511-2023</t>
        </is>
      </c>
      <c r="B606" s="1" t="n">
        <v>45077</v>
      </c>
      <c r="C606" s="1" t="n">
        <v>45576</v>
      </c>
      <c r="D606" t="inlineStr">
        <is>
          <t>GOTLANDS LÄN</t>
        </is>
      </c>
      <c r="E606" t="inlineStr">
        <is>
          <t>GOTLAND</t>
        </is>
      </c>
      <c r="G606" t="n">
        <v>11.2</v>
      </c>
      <c r="H606" t="n">
        <v>0</v>
      </c>
      <c r="I606" t="n">
        <v>0</v>
      </c>
      <c r="J606" t="n">
        <v>0</v>
      </c>
      <c r="K606" t="n">
        <v>0</v>
      </c>
      <c r="L606" t="n">
        <v>0</v>
      </c>
      <c r="M606" t="n">
        <v>0</v>
      </c>
      <c r="N606" t="n">
        <v>0</v>
      </c>
      <c r="O606" t="n">
        <v>0</v>
      </c>
      <c r="P606" t="n">
        <v>0</v>
      </c>
      <c r="Q606" t="n">
        <v>0</v>
      </c>
      <c r="R606" s="2" t="inlineStr"/>
    </row>
    <row r="607" ht="15" customHeight="1">
      <c r="A607" t="inlineStr">
        <is>
          <t>A 23516-2023</t>
        </is>
      </c>
      <c r="B607" s="1" t="n">
        <v>45077</v>
      </c>
      <c r="C607" s="1" t="n">
        <v>45576</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23858-2023</t>
        </is>
      </c>
      <c r="B608" s="1" t="n">
        <v>45078</v>
      </c>
      <c r="C608" s="1" t="n">
        <v>45576</v>
      </c>
      <c r="D608" t="inlineStr">
        <is>
          <t>GOTLANDS LÄN</t>
        </is>
      </c>
      <c r="E608" t="inlineStr">
        <is>
          <t>GOTLAND</t>
        </is>
      </c>
      <c r="F608" t="inlineStr">
        <is>
          <t>Naturvårdsverket</t>
        </is>
      </c>
      <c r="G608" t="n">
        <v>4.2</v>
      </c>
      <c r="H608" t="n">
        <v>0</v>
      </c>
      <c r="I608" t="n">
        <v>0</v>
      </c>
      <c r="J608" t="n">
        <v>0</v>
      </c>
      <c r="K608" t="n">
        <v>0</v>
      </c>
      <c r="L608" t="n">
        <v>0</v>
      </c>
      <c r="M608" t="n">
        <v>0</v>
      </c>
      <c r="N608" t="n">
        <v>0</v>
      </c>
      <c r="O608" t="n">
        <v>0</v>
      </c>
      <c r="P608" t="n">
        <v>0</v>
      </c>
      <c r="Q608" t="n">
        <v>0</v>
      </c>
      <c r="R608" s="2" t="inlineStr"/>
    </row>
    <row r="609" ht="15" customHeight="1">
      <c r="A609" t="inlineStr">
        <is>
          <t>A 23966-2023</t>
        </is>
      </c>
      <c r="B609" s="1" t="n">
        <v>45078</v>
      </c>
      <c r="C609" s="1" t="n">
        <v>45576</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23978-2023</t>
        </is>
      </c>
      <c r="B610" s="1" t="n">
        <v>45078</v>
      </c>
      <c r="C610" s="1" t="n">
        <v>45576</v>
      </c>
      <c r="D610" t="inlineStr">
        <is>
          <t>GOTLANDS LÄN</t>
        </is>
      </c>
      <c r="E610" t="inlineStr">
        <is>
          <t>GOTLAND</t>
        </is>
      </c>
      <c r="F610" t="inlineStr">
        <is>
          <t>Naturvårdsverket</t>
        </is>
      </c>
      <c r="G610" t="n">
        <v>1.7</v>
      </c>
      <c r="H610" t="n">
        <v>0</v>
      </c>
      <c r="I610" t="n">
        <v>0</v>
      </c>
      <c r="J610" t="n">
        <v>0</v>
      </c>
      <c r="K610" t="n">
        <v>0</v>
      </c>
      <c r="L610" t="n">
        <v>0</v>
      </c>
      <c r="M610" t="n">
        <v>0</v>
      </c>
      <c r="N610" t="n">
        <v>0</v>
      </c>
      <c r="O610" t="n">
        <v>0</v>
      </c>
      <c r="P610" t="n">
        <v>0</v>
      </c>
      <c r="Q610" t="n">
        <v>0</v>
      </c>
      <c r="R610" s="2" t="inlineStr"/>
    </row>
    <row r="611" ht="15" customHeight="1">
      <c r="A611" t="inlineStr">
        <is>
          <t>A 24192-2023</t>
        </is>
      </c>
      <c r="B611" s="1" t="n">
        <v>45079</v>
      </c>
      <c r="C611" s="1" t="n">
        <v>45576</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24719-2023</t>
        </is>
      </c>
      <c r="B612" s="1" t="n">
        <v>45084</v>
      </c>
      <c r="C612" s="1" t="n">
        <v>45576</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24966-2023</t>
        </is>
      </c>
      <c r="B613" s="1" t="n">
        <v>45085</v>
      </c>
      <c r="C613" s="1" t="n">
        <v>45576</v>
      </c>
      <c r="D613" t="inlineStr">
        <is>
          <t>GOTLANDS LÄN</t>
        </is>
      </c>
      <c r="E613" t="inlineStr">
        <is>
          <t>GOTLAND</t>
        </is>
      </c>
      <c r="G613" t="n">
        <v>7</v>
      </c>
      <c r="H613" t="n">
        <v>0</v>
      </c>
      <c r="I613" t="n">
        <v>0</v>
      </c>
      <c r="J613" t="n">
        <v>0</v>
      </c>
      <c r="K613" t="n">
        <v>0</v>
      </c>
      <c r="L613" t="n">
        <v>0</v>
      </c>
      <c r="M613" t="n">
        <v>0</v>
      </c>
      <c r="N613" t="n">
        <v>0</v>
      </c>
      <c r="O613" t="n">
        <v>0</v>
      </c>
      <c r="P613" t="n">
        <v>0</v>
      </c>
      <c r="Q613" t="n">
        <v>0</v>
      </c>
      <c r="R613" s="2" t="inlineStr"/>
    </row>
    <row r="614" ht="15" customHeight="1">
      <c r="A614" t="inlineStr">
        <is>
          <t>A 25129-2023</t>
        </is>
      </c>
      <c r="B614" s="1" t="n">
        <v>45086</v>
      </c>
      <c r="C614" s="1" t="n">
        <v>45576</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27593-2023</t>
        </is>
      </c>
      <c r="B615" s="1" t="n">
        <v>45097</v>
      </c>
      <c r="C615" s="1" t="n">
        <v>45576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27597-2023</t>
        </is>
      </c>
      <c r="B616" s="1" t="n">
        <v>45097</v>
      </c>
      <c r="C616" s="1" t="n">
        <v>45576</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27602-2023</t>
        </is>
      </c>
      <c r="B617" s="1" t="n">
        <v>45097</v>
      </c>
      <c r="C617" s="1" t="n">
        <v>45576</v>
      </c>
      <c r="D617" t="inlineStr">
        <is>
          <t>GOTLANDS LÄN</t>
        </is>
      </c>
      <c r="E617" t="inlineStr">
        <is>
          <t>GOTLAND</t>
        </is>
      </c>
      <c r="G617" t="n">
        <v>2.7</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45576</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28228-2023</t>
        </is>
      </c>
      <c r="B619" s="1" t="n">
        <v>45099</v>
      </c>
      <c r="C619" s="1" t="n">
        <v>45576</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28425-2023</t>
        </is>
      </c>
      <c r="B620" s="1" t="n">
        <v>45102</v>
      </c>
      <c r="C620" s="1" t="n">
        <v>45576</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28486-2023</t>
        </is>
      </c>
      <c r="B621" s="1" t="n">
        <v>45103</v>
      </c>
      <c r="C621" s="1" t="n">
        <v>45576</v>
      </c>
      <c r="D621" t="inlineStr">
        <is>
          <t>GOTLANDS LÄN</t>
        </is>
      </c>
      <c r="E621" t="inlineStr">
        <is>
          <t>GOTLAND</t>
        </is>
      </c>
      <c r="G621" t="n">
        <v>7.7</v>
      </c>
      <c r="H621" t="n">
        <v>0</v>
      </c>
      <c r="I621" t="n">
        <v>0</v>
      </c>
      <c r="J621" t="n">
        <v>0</v>
      </c>
      <c r="K621" t="n">
        <v>0</v>
      </c>
      <c r="L621" t="n">
        <v>0</v>
      </c>
      <c r="M621" t="n">
        <v>0</v>
      </c>
      <c r="N621" t="n">
        <v>0</v>
      </c>
      <c r="O621" t="n">
        <v>0</v>
      </c>
      <c r="P621" t="n">
        <v>0</v>
      </c>
      <c r="Q621" t="n">
        <v>0</v>
      </c>
      <c r="R621" s="2" t="inlineStr"/>
    </row>
    <row r="622" ht="15" customHeight="1">
      <c r="A622" t="inlineStr">
        <is>
          <t>A 28485-2023</t>
        </is>
      </c>
      <c r="B622" s="1" t="n">
        <v>45103</v>
      </c>
      <c r="C622" s="1" t="n">
        <v>45576</v>
      </c>
      <c r="D622" t="inlineStr">
        <is>
          <t>GOTLANDS LÄN</t>
        </is>
      </c>
      <c r="E622" t="inlineStr">
        <is>
          <t>GOTLAND</t>
        </is>
      </c>
      <c r="G622" t="n">
        <v>2.3</v>
      </c>
      <c r="H622" t="n">
        <v>0</v>
      </c>
      <c r="I622" t="n">
        <v>0</v>
      </c>
      <c r="J622" t="n">
        <v>0</v>
      </c>
      <c r="K622" t="n">
        <v>0</v>
      </c>
      <c r="L622" t="n">
        <v>0</v>
      </c>
      <c r="M622" t="n">
        <v>0</v>
      </c>
      <c r="N622" t="n">
        <v>0</v>
      </c>
      <c r="O622" t="n">
        <v>0</v>
      </c>
      <c r="P622" t="n">
        <v>0</v>
      </c>
      <c r="Q622" t="n">
        <v>0</v>
      </c>
      <c r="R622" s="2" t="inlineStr"/>
    </row>
    <row r="623" ht="15" customHeight="1">
      <c r="A623" t="inlineStr">
        <is>
          <t>A 28480-2023</t>
        </is>
      </c>
      <c r="B623" s="1" t="n">
        <v>45103</v>
      </c>
      <c r="C623" s="1" t="n">
        <v>45576</v>
      </c>
      <c r="D623" t="inlineStr">
        <is>
          <t>GOTLANDS LÄN</t>
        </is>
      </c>
      <c r="E623" t="inlineStr">
        <is>
          <t>GOTLAND</t>
        </is>
      </c>
      <c r="G623" t="n">
        <v>5.7</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45576</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28560-2023</t>
        </is>
      </c>
      <c r="B625" s="1" t="n">
        <v>45103</v>
      </c>
      <c r="C625" s="1" t="n">
        <v>45576</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29126-2023</t>
        </is>
      </c>
      <c r="B626" s="1" t="n">
        <v>45105</v>
      </c>
      <c r="C626" s="1" t="n">
        <v>45576</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29499-2023</t>
        </is>
      </c>
      <c r="B627" s="1" t="n">
        <v>45106</v>
      </c>
      <c r="C627" s="1" t="n">
        <v>45576</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30164-2023</t>
        </is>
      </c>
      <c r="B628" s="1" t="n">
        <v>45110</v>
      </c>
      <c r="C628" s="1" t="n">
        <v>45576</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30815-2023</t>
        </is>
      </c>
      <c r="B629" s="1" t="n">
        <v>45112</v>
      </c>
      <c r="C629" s="1" t="n">
        <v>45576</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32737-2023</t>
        </is>
      </c>
      <c r="B630" s="1" t="n">
        <v>45122</v>
      </c>
      <c r="C630" s="1" t="n">
        <v>45576</v>
      </c>
      <c r="D630" t="inlineStr">
        <is>
          <t>GOTLANDS LÄN</t>
        </is>
      </c>
      <c r="E630" t="inlineStr">
        <is>
          <t>GOTLAND</t>
        </is>
      </c>
      <c r="F630" t="inlineStr">
        <is>
          <t>Kyrkan</t>
        </is>
      </c>
      <c r="G630" t="n">
        <v>15.4</v>
      </c>
      <c r="H630" t="n">
        <v>0</v>
      </c>
      <c r="I630" t="n">
        <v>0</v>
      </c>
      <c r="J630" t="n">
        <v>0</v>
      </c>
      <c r="K630" t="n">
        <v>0</v>
      </c>
      <c r="L630" t="n">
        <v>0</v>
      </c>
      <c r="M630" t="n">
        <v>0</v>
      </c>
      <c r="N630" t="n">
        <v>0</v>
      </c>
      <c r="O630" t="n">
        <v>0</v>
      </c>
      <c r="P630" t="n">
        <v>0</v>
      </c>
      <c r="Q630" t="n">
        <v>0</v>
      </c>
      <c r="R630" s="2" t="inlineStr"/>
    </row>
    <row r="631" ht="15" customHeight="1">
      <c r="A631" t="inlineStr">
        <is>
          <t>A 32783-2023</t>
        </is>
      </c>
      <c r="B631" s="1" t="n">
        <v>45124</v>
      </c>
      <c r="C631" s="1" t="n">
        <v>45576</v>
      </c>
      <c r="D631" t="inlineStr">
        <is>
          <t>GOTLANDS LÄN</t>
        </is>
      </c>
      <c r="E631" t="inlineStr">
        <is>
          <t>GOTLAND</t>
        </is>
      </c>
      <c r="G631" t="n">
        <v>17.8</v>
      </c>
      <c r="H631" t="n">
        <v>0</v>
      </c>
      <c r="I631" t="n">
        <v>0</v>
      </c>
      <c r="J631" t="n">
        <v>0</v>
      </c>
      <c r="K631" t="n">
        <v>0</v>
      </c>
      <c r="L631" t="n">
        <v>0</v>
      </c>
      <c r="M631" t="n">
        <v>0</v>
      </c>
      <c r="N631" t="n">
        <v>0</v>
      </c>
      <c r="O631" t="n">
        <v>0</v>
      </c>
      <c r="P631" t="n">
        <v>0</v>
      </c>
      <c r="Q631" t="n">
        <v>0</v>
      </c>
      <c r="R631" s="2" t="inlineStr"/>
    </row>
    <row r="632" ht="15" customHeight="1">
      <c r="A632" t="inlineStr">
        <is>
          <t>A 34081-2023</t>
        </is>
      </c>
      <c r="B632" s="1" t="n">
        <v>45125</v>
      </c>
      <c r="C632" s="1" t="n">
        <v>45576</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45576</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35478-2023</t>
        </is>
      </c>
      <c r="B634" s="1" t="n">
        <v>45146</v>
      </c>
      <c r="C634" s="1" t="n">
        <v>45576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35512-2023</t>
        </is>
      </c>
      <c r="B635" s="1" t="n">
        <v>45147</v>
      </c>
      <c r="C635" s="1" t="n">
        <v>45576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35595-2023</t>
        </is>
      </c>
      <c r="B636" s="1" t="n">
        <v>45147</v>
      </c>
      <c r="C636" s="1" t="n">
        <v>45576</v>
      </c>
      <c r="D636" t="inlineStr">
        <is>
          <t>GOTLANDS LÄN</t>
        </is>
      </c>
      <c r="E636" t="inlineStr">
        <is>
          <t>GOTLAND</t>
        </is>
      </c>
      <c r="G636" t="n">
        <v>4.2</v>
      </c>
      <c r="H636" t="n">
        <v>0</v>
      </c>
      <c r="I636" t="n">
        <v>0</v>
      </c>
      <c r="J636" t="n">
        <v>0</v>
      </c>
      <c r="K636" t="n">
        <v>0</v>
      </c>
      <c r="L636" t="n">
        <v>0</v>
      </c>
      <c r="M636" t="n">
        <v>0</v>
      </c>
      <c r="N636" t="n">
        <v>0</v>
      </c>
      <c r="O636" t="n">
        <v>0</v>
      </c>
      <c r="P636" t="n">
        <v>0</v>
      </c>
      <c r="Q636" t="n">
        <v>0</v>
      </c>
      <c r="R636" s="2" t="inlineStr"/>
    </row>
    <row r="637" ht="15" customHeight="1">
      <c r="A637" t="inlineStr">
        <is>
          <t>A 35592-2023</t>
        </is>
      </c>
      <c r="B637" s="1" t="n">
        <v>45147</v>
      </c>
      <c r="C637" s="1" t="n">
        <v>45576</v>
      </c>
      <c r="D637" t="inlineStr">
        <is>
          <t>GOTLANDS LÄN</t>
        </is>
      </c>
      <c r="E637" t="inlineStr">
        <is>
          <t>GOTLAND</t>
        </is>
      </c>
      <c r="G637" t="n">
        <v>5.1</v>
      </c>
      <c r="H637" t="n">
        <v>0</v>
      </c>
      <c r="I637" t="n">
        <v>0</v>
      </c>
      <c r="J637" t="n">
        <v>0</v>
      </c>
      <c r="K637" t="n">
        <v>0</v>
      </c>
      <c r="L637" t="n">
        <v>0</v>
      </c>
      <c r="M637" t="n">
        <v>0</v>
      </c>
      <c r="N637" t="n">
        <v>0</v>
      </c>
      <c r="O637" t="n">
        <v>0</v>
      </c>
      <c r="P637" t="n">
        <v>0</v>
      </c>
      <c r="Q637" t="n">
        <v>0</v>
      </c>
      <c r="R637" s="2" t="inlineStr"/>
    </row>
    <row r="638" ht="15" customHeight="1">
      <c r="A638" t="inlineStr">
        <is>
          <t>A 37591-2023</t>
        </is>
      </c>
      <c r="B638" s="1" t="n">
        <v>45159</v>
      </c>
      <c r="C638" s="1" t="n">
        <v>45576</v>
      </c>
      <c r="D638" t="inlineStr">
        <is>
          <t>GOTLANDS LÄN</t>
        </is>
      </c>
      <c r="E638" t="inlineStr">
        <is>
          <t>GOTLAND</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38234-2023</t>
        </is>
      </c>
      <c r="B639" s="1" t="n">
        <v>45161</v>
      </c>
      <c r="C639" s="1" t="n">
        <v>45576</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38237-2023</t>
        </is>
      </c>
      <c r="B640" s="1" t="n">
        <v>45161</v>
      </c>
      <c r="C640" s="1" t="n">
        <v>45576</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38165-2023</t>
        </is>
      </c>
      <c r="B641" s="1" t="n">
        <v>45161</v>
      </c>
      <c r="C641" s="1" t="n">
        <v>45576</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45576</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39436-2023</t>
        </is>
      </c>
      <c r="B643" s="1" t="n">
        <v>45166</v>
      </c>
      <c r="C643" s="1" t="n">
        <v>45576</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39371-2023</t>
        </is>
      </c>
      <c r="B644" s="1" t="n">
        <v>45166</v>
      </c>
      <c r="C644" s="1" t="n">
        <v>45576</v>
      </c>
      <c r="D644" t="inlineStr">
        <is>
          <t>GOTLANDS LÄN</t>
        </is>
      </c>
      <c r="E644" t="inlineStr">
        <is>
          <t>GOTLAND</t>
        </is>
      </c>
      <c r="G644" t="n">
        <v>8.4</v>
      </c>
      <c r="H644" t="n">
        <v>0</v>
      </c>
      <c r="I644" t="n">
        <v>0</v>
      </c>
      <c r="J644" t="n">
        <v>0</v>
      </c>
      <c r="K644" t="n">
        <v>0</v>
      </c>
      <c r="L644" t="n">
        <v>0</v>
      </c>
      <c r="M644" t="n">
        <v>0</v>
      </c>
      <c r="N644" t="n">
        <v>0</v>
      </c>
      <c r="O644" t="n">
        <v>0</v>
      </c>
      <c r="P644" t="n">
        <v>0</v>
      </c>
      <c r="Q644" t="n">
        <v>0</v>
      </c>
      <c r="R644" s="2" t="inlineStr"/>
    </row>
    <row r="645" ht="15" customHeight="1">
      <c r="A645" t="inlineStr">
        <is>
          <t>A 39711-2023</t>
        </is>
      </c>
      <c r="B645" s="1" t="n">
        <v>45166</v>
      </c>
      <c r="C645" s="1" t="n">
        <v>45576</v>
      </c>
      <c r="D645" t="inlineStr">
        <is>
          <t>GOTLANDS LÄN</t>
        </is>
      </c>
      <c r="E645" t="inlineStr">
        <is>
          <t>GOTLAND</t>
        </is>
      </c>
      <c r="G645" t="n">
        <v>5.5</v>
      </c>
      <c r="H645" t="n">
        <v>0</v>
      </c>
      <c r="I645" t="n">
        <v>0</v>
      </c>
      <c r="J645" t="n">
        <v>0</v>
      </c>
      <c r="K645" t="n">
        <v>0</v>
      </c>
      <c r="L645" t="n">
        <v>0</v>
      </c>
      <c r="M645" t="n">
        <v>0</v>
      </c>
      <c r="N645" t="n">
        <v>0</v>
      </c>
      <c r="O645" t="n">
        <v>0</v>
      </c>
      <c r="P645" t="n">
        <v>0</v>
      </c>
      <c r="Q645" t="n">
        <v>0</v>
      </c>
      <c r="R645" s="2" t="inlineStr"/>
    </row>
    <row r="646" ht="15" customHeight="1">
      <c r="A646" t="inlineStr">
        <is>
          <t>A 41038-2023</t>
        </is>
      </c>
      <c r="B646" s="1" t="n">
        <v>45173</v>
      </c>
      <c r="C646" s="1" t="n">
        <v>45576</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41378-2023</t>
        </is>
      </c>
      <c r="B647" s="1" t="n">
        <v>45174</v>
      </c>
      <c r="C647" s="1" t="n">
        <v>45576</v>
      </c>
      <c r="D647" t="inlineStr">
        <is>
          <t>GOTLANDS LÄN</t>
        </is>
      </c>
      <c r="E647" t="inlineStr">
        <is>
          <t>GOTLAND</t>
        </is>
      </c>
      <c r="G647" t="n">
        <v>1.6</v>
      </c>
      <c r="H647" t="n">
        <v>0</v>
      </c>
      <c r="I647" t="n">
        <v>0</v>
      </c>
      <c r="J647" t="n">
        <v>0</v>
      </c>
      <c r="K647" t="n">
        <v>0</v>
      </c>
      <c r="L647" t="n">
        <v>0</v>
      </c>
      <c r="M647" t="n">
        <v>0</v>
      </c>
      <c r="N647" t="n">
        <v>0</v>
      </c>
      <c r="O647" t="n">
        <v>0</v>
      </c>
      <c r="P647" t="n">
        <v>0</v>
      </c>
      <c r="Q647" t="n">
        <v>0</v>
      </c>
      <c r="R647" s="2" t="inlineStr"/>
    </row>
    <row r="648" ht="15" customHeight="1">
      <c r="A648" t="inlineStr">
        <is>
          <t>A 41336-2023</t>
        </is>
      </c>
      <c r="B648" s="1" t="n">
        <v>45174</v>
      </c>
      <c r="C648" s="1" t="n">
        <v>45576</v>
      </c>
      <c r="D648" t="inlineStr">
        <is>
          <t>GOTLANDS LÄN</t>
        </is>
      </c>
      <c r="E648" t="inlineStr">
        <is>
          <t>GOTLAND</t>
        </is>
      </c>
      <c r="G648" t="n">
        <v>2.1</v>
      </c>
      <c r="H648" t="n">
        <v>0</v>
      </c>
      <c r="I648" t="n">
        <v>0</v>
      </c>
      <c r="J648" t="n">
        <v>0</v>
      </c>
      <c r="K648" t="n">
        <v>0</v>
      </c>
      <c r="L648" t="n">
        <v>0</v>
      </c>
      <c r="M648" t="n">
        <v>0</v>
      </c>
      <c r="N648" t="n">
        <v>0</v>
      </c>
      <c r="O648" t="n">
        <v>0</v>
      </c>
      <c r="P648" t="n">
        <v>0</v>
      </c>
      <c r="Q648" t="n">
        <v>0</v>
      </c>
      <c r="R648" s="2" t="inlineStr"/>
    </row>
    <row r="649" ht="15" customHeight="1">
      <c r="A649" t="inlineStr">
        <is>
          <t>A 41697-2023</t>
        </is>
      </c>
      <c r="B649" s="1" t="n">
        <v>45176</v>
      </c>
      <c r="C649" s="1" t="n">
        <v>45576</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41893-2023</t>
        </is>
      </c>
      <c r="B650" s="1" t="n">
        <v>45176</v>
      </c>
      <c r="C650" s="1" t="n">
        <v>45576</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42007-2023</t>
        </is>
      </c>
      <c r="B651" s="1" t="n">
        <v>45177</v>
      </c>
      <c r="C651" s="1" t="n">
        <v>45576</v>
      </c>
      <c r="D651" t="inlineStr">
        <is>
          <t>GOTLANDS LÄN</t>
        </is>
      </c>
      <c r="E651" t="inlineStr">
        <is>
          <t>GOTLAND</t>
        </is>
      </c>
      <c r="G651" t="n">
        <v>0.8</v>
      </c>
      <c r="H651" t="n">
        <v>0</v>
      </c>
      <c r="I651" t="n">
        <v>0</v>
      </c>
      <c r="J651" t="n">
        <v>0</v>
      </c>
      <c r="K651" t="n">
        <v>0</v>
      </c>
      <c r="L651" t="n">
        <v>0</v>
      </c>
      <c r="M651" t="n">
        <v>0</v>
      </c>
      <c r="N651" t="n">
        <v>0</v>
      </c>
      <c r="O651" t="n">
        <v>0</v>
      </c>
      <c r="P651" t="n">
        <v>0</v>
      </c>
      <c r="Q651" t="n">
        <v>0</v>
      </c>
      <c r="R651" s="2" t="inlineStr"/>
    </row>
    <row r="652" ht="15" customHeight="1">
      <c r="A652" t="inlineStr">
        <is>
          <t>A 42097-2023</t>
        </is>
      </c>
      <c r="B652" s="1" t="n">
        <v>45177</v>
      </c>
      <c r="C652" s="1" t="n">
        <v>45576</v>
      </c>
      <c r="D652" t="inlineStr">
        <is>
          <t>GOTLANDS LÄN</t>
        </is>
      </c>
      <c r="E652" t="inlineStr">
        <is>
          <t>GOTLAND</t>
        </is>
      </c>
      <c r="G652" t="n">
        <v>3.9</v>
      </c>
      <c r="H652" t="n">
        <v>0</v>
      </c>
      <c r="I652" t="n">
        <v>0</v>
      </c>
      <c r="J652" t="n">
        <v>0</v>
      </c>
      <c r="K652" t="n">
        <v>0</v>
      </c>
      <c r="L652" t="n">
        <v>0</v>
      </c>
      <c r="M652" t="n">
        <v>0</v>
      </c>
      <c r="N652" t="n">
        <v>0</v>
      </c>
      <c r="O652" t="n">
        <v>0</v>
      </c>
      <c r="P652" t="n">
        <v>0</v>
      </c>
      <c r="Q652" t="n">
        <v>0</v>
      </c>
      <c r="R652" s="2" t="inlineStr"/>
    </row>
    <row r="653" ht="15" customHeight="1">
      <c r="A653" t="inlineStr">
        <is>
          <t>A 42201-2023</t>
        </is>
      </c>
      <c r="B653" s="1" t="n">
        <v>45179</v>
      </c>
      <c r="C653" s="1" t="n">
        <v>45576</v>
      </c>
      <c r="D653" t="inlineStr">
        <is>
          <t>GOTLANDS LÄN</t>
        </is>
      </c>
      <c r="E653" t="inlineStr">
        <is>
          <t>GOTLAND</t>
        </is>
      </c>
      <c r="G653" t="n">
        <v>11.9</v>
      </c>
      <c r="H653" t="n">
        <v>0</v>
      </c>
      <c r="I653" t="n">
        <v>0</v>
      </c>
      <c r="J653" t="n">
        <v>0</v>
      </c>
      <c r="K653" t="n">
        <v>0</v>
      </c>
      <c r="L653" t="n">
        <v>0</v>
      </c>
      <c r="M653" t="n">
        <v>0</v>
      </c>
      <c r="N653" t="n">
        <v>0</v>
      </c>
      <c r="O653" t="n">
        <v>0</v>
      </c>
      <c r="P653" t="n">
        <v>0</v>
      </c>
      <c r="Q653" t="n">
        <v>0</v>
      </c>
      <c r="R653" s="2" t="inlineStr"/>
    </row>
    <row r="654" ht="15" customHeight="1">
      <c r="A654" t="inlineStr">
        <is>
          <t>A 42338-2023</t>
        </is>
      </c>
      <c r="B654" s="1" t="n">
        <v>45180</v>
      </c>
      <c r="C654" s="1" t="n">
        <v>45576</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42465-2023</t>
        </is>
      </c>
      <c r="B655" s="1" t="n">
        <v>45180</v>
      </c>
      <c r="C655" s="1" t="n">
        <v>45576</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43223-2023</t>
        </is>
      </c>
      <c r="B656" s="1" t="n">
        <v>45183</v>
      </c>
      <c r="C656" s="1" t="n">
        <v>45576</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43200-2023</t>
        </is>
      </c>
      <c r="B657" s="1" t="n">
        <v>45183</v>
      </c>
      <c r="C657" s="1" t="n">
        <v>45576</v>
      </c>
      <c r="D657" t="inlineStr">
        <is>
          <t>GOTLANDS LÄN</t>
        </is>
      </c>
      <c r="E657" t="inlineStr">
        <is>
          <t>GOTLAND</t>
        </is>
      </c>
      <c r="G657" t="n">
        <v>0.5</v>
      </c>
      <c r="H657" t="n">
        <v>0</v>
      </c>
      <c r="I657" t="n">
        <v>0</v>
      </c>
      <c r="J657" t="n">
        <v>0</v>
      </c>
      <c r="K657" t="n">
        <v>0</v>
      </c>
      <c r="L657" t="n">
        <v>0</v>
      </c>
      <c r="M657" t="n">
        <v>0</v>
      </c>
      <c r="N657" t="n">
        <v>0</v>
      </c>
      <c r="O657" t="n">
        <v>0</v>
      </c>
      <c r="P657" t="n">
        <v>0</v>
      </c>
      <c r="Q657" t="n">
        <v>0</v>
      </c>
      <c r="R657" s="2" t="inlineStr"/>
    </row>
    <row r="658" ht="15" customHeight="1">
      <c r="A658" t="inlineStr">
        <is>
          <t>A 43226-2023</t>
        </is>
      </c>
      <c r="B658" s="1" t="n">
        <v>45183</v>
      </c>
      <c r="C658" s="1" t="n">
        <v>45576</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43231-2023</t>
        </is>
      </c>
      <c r="B659" s="1" t="n">
        <v>45183</v>
      </c>
      <c r="C659" s="1" t="n">
        <v>45576</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43220-2023</t>
        </is>
      </c>
      <c r="B660" s="1" t="n">
        <v>45183</v>
      </c>
      <c r="C660" s="1" t="n">
        <v>45576</v>
      </c>
      <c r="D660" t="inlineStr">
        <is>
          <t>GOTLANDS LÄN</t>
        </is>
      </c>
      <c r="E660" t="inlineStr">
        <is>
          <t>GOTLAND</t>
        </is>
      </c>
      <c r="G660" t="n">
        <v>3.3</v>
      </c>
      <c r="H660" t="n">
        <v>0</v>
      </c>
      <c r="I660" t="n">
        <v>0</v>
      </c>
      <c r="J660" t="n">
        <v>0</v>
      </c>
      <c r="K660" t="n">
        <v>0</v>
      </c>
      <c r="L660" t="n">
        <v>0</v>
      </c>
      <c r="M660" t="n">
        <v>0</v>
      </c>
      <c r="N660" t="n">
        <v>0</v>
      </c>
      <c r="O660" t="n">
        <v>0</v>
      </c>
      <c r="P660" t="n">
        <v>0</v>
      </c>
      <c r="Q660" t="n">
        <v>0</v>
      </c>
      <c r="R660" s="2" t="inlineStr"/>
    </row>
    <row r="661" ht="15" customHeight="1">
      <c r="A661" t="inlineStr">
        <is>
          <t>A 43224-2023</t>
        </is>
      </c>
      <c r="B661" s="1" t="n">
        <v>45183</v>
      </c>
      <c r="C661" s="1" t="n">
        <v>45576</v>
      </c>
      <c r="D661" t="inlineStr">
        <is>
          <t>GOTLANDS LÄN</t>
        </is>
      </c>
      <c r="E661" t="inlineStr">
        <is>
          <t>GOTLAND</t>
        </is>
      </c>
      <c r="G661" t="n">
        <v>1.1</v>
      </c>
      <c r="H661" t="n">
        <v>0</v>
      </c>
      <c r="I661" t="n">
        <v>0</v>
      </c>
      <c r="J661" t="n">
        <v>0</v>
      </c>
      <c r="K661" t="n">
        <v>0</v>
      </c>
      <c r="L661" t="n">
        <v>0</v>
      </c>
      <c r="M661" t="n">
        <v>0</v>
      </c>
      <c r="N661" t="n">
        <v>0</v>
      </c>
      <c r="O661" t="n">
        <v>0</v>
      </c>
      <c r="P661" t="n">
        <v>0</v>
      </c>
      <c r="Q661" t="n">
        <v>0</v>
      </c>
      <c r="R661" s="2" t="inlineStr"/>
    </row>
    <row r="662" ht="15" customHeight="1">
      <c r="A662" t="inlineStr">
        <is>
          <t>A 43229-2023</t>
        </is>
      </c>
      <c r="B662" s="1" t="n">
        <v>45183</v>
      </c>
      <c r="C662" s="1" t="n">
        <v>45576</v>
      </c>
      <c r="D662" t="inlineStr">
        <is>
          <t>GOTLANDS LÄN</t>
        </is>
      </c>
      <c r="E662" t="inlineStr">
        <is>
          <t>GOTLAND</t>
        </is>
      </c>
      <c r="G662" t="n">
        <v>7.1</v>
      </c>
      <c r="H662" t="n">
        <v>0</v>
      </c>
      <c r="I662" t="n">
        <v>0</v>
      </c>
      <c r="J662" t="n">
        <v>0</v>
      </c>
      <c r="K662" t="n">
        <v>0</v>
      </c>
      <c r="L662" t="n">
        <v>0</v>
      </c>
      <c r="M662" t="n">
        <v>0</v>
      </c>
      <c r="N662" t="n">
        <v>0</v>
      </c>
      <c r="O662" t="n">
        <v>0</v>
      </c>
      <c r="P662" t="n">
        <v>0</v>
      </c>
      <c r="Q662" t="n">
        <v>0</v>
      </c>
      <c r="R662" s="2" t="inlineStr"/>
    </row>
    <row r="663" ht="15" customHeight="1">
      <c r="A663" t="inlineStr">
        <is>
          <t>A 43901-2023</t>
        </is>
      </c>
      <c r="B663" s="1" t="n">
        <v>45187</v>
      </c>
      <c r="C663" s="1" t="n">
        <v>45576</v>
      </c>
      <c r="D663" t="inlineStr">
        <is>
          <t>GOTLANDS LÄN</t>
        </is>
      </c>
      <c r="E663" t="inlineStr">
        <is>
          <t>GOTLAND</t>
        </is>
      </c>
      <c r="G663" t="n">
        <v>5.4</v>
      </c>
      <c r="H663" t="n">
        <v>0</v>
      </c>
      <c r="I663" t="n">
        <v>0</v>
      </c>
      <c r="J663" t="n">
        <v>0</v>
      </c>
      <c r="K663" t="n">
        <v>0</v>
      </c>
      <c r="L663" t="n">
        <v>0</v>
      </c>
      <c r="M663" t="n">
        <v>0</v>
      </c>
      <c r="N663" t="n">
        <v>0</v>
      </c>
      <c r="O663" t="n">
        <v>0</v>
      </c>
      <c r="P663" t="n">
        <v>0</v>
      </c>
      <c r="Q663" t="n">
        <v>0</v>
      </c>
      <c r="R663" s="2" t="inlineStr"/>
    </row>
    <row r="664" ht="15" customHeight="1">
      <c r="A664" t="inlineStr">
        <is>
          <t>A 44189-2023</t>
        </is>
      </c>
      <c r="B664" s="1" t="n">
        <v>45188</v>
      </c>
      <c r="C664" s="1" t="n">
        <v>45576</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44888-2023</t>
        </is>
      </c>
      <c r="B665" s="1" t="n">
        <v>45190</v>
      </c>
      <c r="C665" s="1" t="n">
        <v>45576</v>
      </c>
      <c r="D665" t="inlineStr">
        <is>
          <t>GOTLANDS LÄN</t>
        </is>
      </c>
      <c r="E665" t="inlineStr">
        <is>
          <t>GOTLAND</t>
        </is>
      </c>
      <c r="G665" t="n">
        <v>6.1</v>
      </c>
      <c r="H665" t="n">
        <v>0</v>
      </c>
      <c r="I665" t="n">
        <v>0</v>
      </c>
      <c r="J665" t="n">
        <v>0</v>
      </c>
      <c r="K665" t="n">
        <v>0</v>
      </c>
      <c r="L665" t="n">
        <v>0</v>
      </c>
      <c r="M665" t="n">
        <v>0</v>
      </c>
      <c r="N665" t="n">
        <v>0</v>
      </c>
      <c r="O665" t="n">
        <v>0</v>
      </c>
      <c r="P665" t="n">
        <v>0</v>
      </c>
      <c r="Q665" t="n">
        <v>0</v>
      </c>
      <c r="R665" s="2" t="inlineStr"/>
    </row>
    <row r="666" ht="15" customHeight="1">
      <c r="A666" t="inlineStr">
        <is>
          <t>A 44941-2023</t>
        </is>
      </c>
      <c r="B666" s="1" t="n">
        <v>45190</v>
      </c>
      <c r="C666" s="1" t="n">
        <v>45576</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44953-2023</t>
        </is>
      </c>
      <c r="B667" s="1" t="n">
        <v>45190</v>
      </c>
      <c r="C667" s="1" t="n">
        <v>45576</v>
      </c>
      <c r="D667" t="inlineStr">
        <is>
          <t>GOTLANDS LÄN</t>
        </is>
      </c>
      <c r="E667" t="inlineStr">
        <is>
          <t>GOTLAND</t>
        </is>
      </c>
      <c r="G667" t="n">
        <v>3.7</v>
      </c>
      <c r="H667" t="n">
        <v>0</v>
      </c>
      <c r="I667" t="n">
        <v>0</v>
      </c>
      <c r="J667" t="n">
        <v>0</v>
      </c>
      <c r="K667" t="n">
        <v>0</v>
      </c>
      <c r="L667" t="n">
        <v>0</v>
      </c>
      <c r="M667" t="n">
        <v>0</v>
      </c>
      <c r="N667" t="n">
        <v>0</v>
      </c>
      <c r="O667" t="n">
        <v>0</v>
      </c>
      <c r="P667" t="n">
        <v>0</v>
      </c>
      <c r="Q667" t="n">
        <v>0</v>
      </c>
      <c r="R667" s="2" t="inlineStr"/>
    </row>
    <row r="668" ht="15" customHeight="1">
      <c r="A668" t="inlineStr">
        <is>
          <t>A 44918-2023</t>
        </is>
      </c>
      <c r="B668" s="1" t="n">
        <v>45190</v>
      </c>
      <c r="C668" s="1" t="n">
        <v>45576</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44949-2023</t>
        </is>
      </c>
      <c r="B669" s="1" t="n">
        <v>45190</v>
      </c>
      <c r="C669" s="1" t="n">
        <v>45576</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45168-2023</t>
        </is>
      </c>
      <c r="B670" s="1" t="n">
        <v>45191</v>
      </c>
      <c r="C670" s="1" t="n">
        <v>45576</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45600-2023</t>
        </is>
      </c>
      <c r="B671" s="1" t="n">
        <v>45194</v>
      </c>
      <c r="C671" s="1" t="n">
        <v>45576</v>
      </c>
      <c r="D671" t="inlineStr">
        <is>
          <t>GOTLANDS LÄN</t>
        </is>
      </c>
      <c r="E671" t="inlineStr">
        <is>
          <t>GOTLAND</t>
        </is>
      </c>
      <c r="G671" t="n">
        <v>6.1</v>
      </c>
      <c r="H671" t="n">
        <v>0</v>
      </c>
      <c r="I671" t="n">
        <v>0</v>
      </c>
      <c r="J671" t="n">
        <v>0</v>
      </c>
      <c r="K671" t="n">
        <v>0</v>
      </c>
      <c r="L671" t="n">
        <v>0</v>
      </c>
      <c r="M671" t="n">
        <v>0</v>
      </c>
      <c r="N671" t="n">
        <v>0</v>
      </c>
      <c r="O671" t="n">
        <v>0</v>
      </c>
      <c r="P671" t="n">
        <v>0</v>
      </c>
      <c r="Q671" t="n">
        <v>0</v>
      </c>
      <c r="R671" s="2" t="inlineStr"/>
    </row>
    <row r="672" ht="15" customHeight="1">
      <c r="A672" t="inlineStr">
        <is>
          <t>A 45692-2023</t>
        </is>
      </c>
      <c r="B672" s="1" t="n">
        <v>45195</v>
      </c>
      <c r="C672" s="1" t="n">
        <v>45576</v>
      </c>
      <c r="D672" t="inlineStr">
        <is>
          <t>GOTLANDS LÄN</t>
        </is>
      </c>
      <c r="E672" t="inlineStr">
        <is>
          <t>GOTLAND</t>
        </is>
      </c>
      <c r="G672" t="n">
        <v>5.3</v>
      </c>
      <c r="H672" t="n">
        <v>0</v>
      </c>
      <c r="I672" t="n">
        <v>0</v>
      </c>
      <c r="J672" t="n">
        <v>0</v>
      </c>
      <c r="K672" t="n">
        <v>0</v>
      </c>
      <c r="L672" t="n">
        <v>0</v>
      </c>
      <c r="M672" t="n">
        <v>0</v>
      </c>
      <c r="N672" t="n">
        <v>0</v>
      </c>
      <c r="O672" t="n">
        <v>0</v>
      </c>
      <c r="P672" t="n">
        <v>0</v>
      </c>
      <c r="Q672" t="n">
        <v>0</v>
      </c>
      <c r="R672" s="2" t="inlineStr"/>
    </row>
    <row r="673" ht="15" customHeight="1">
      <c r="A673" t="inlineStr">
        <is>
          <t>A 46402-2023</t>
        </is>
      </c>
      <c r="B673" s="1" t="n">
        <v>45197</v>
      </c>
      <c r="C673" s="1" t="n">
        <v>45576</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46396-2023</t>
        </is>
      </c>
      <c r="B674" s="1" t="n">
        <v>45197</v>
      </c>
      <c r="C674" s="1" t="n">
        <v>45576</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46400-2023</t>
        </is>
      </c>
      <c r="B675" s="1" t="n">
        <v>45197</v>
      </c>
      <c r="C675" s="1" t="n">
        <v>45576</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47322-2023</t>
        </is>
      </c>
      <c r="B676" s="1" t="n">
        <v>45202</v>
      </c>
      <c r="C676" s="1" t="n">
        <v>45576</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47762-2023</t>
        </is>
      </c>
      <c r="B677" s="1" t="n">
        <v>45203</v>
      </c>
      <c r="C677" s="1" t="n">
        <v>45576</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49411-2023</t>
        </is>
      </c>
      <c r="B678" s="1" t="n">
        <v>45205</v>
      </c>
      <c r="C678" s="1" t="n">
        <v>45576</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48503-2023</t>
        </is>
      </c>
      <c r="B679" s="1" t="n">
        <v>45207</v>
      </c>
      <c r="C679" s="1" t="n">
        <v>45576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48504-2023</t>
        </is>
      </c>
      <c r="B680" s="1" t="n">
        <v>45207</v>
      </c>
      <c r="C680" s="1" t="n">
        <v>45576</v>
      </c>
      <c r="D680" t="inlineStr">
        <is>
          <t>GOTLANDS LÄN</t>
        </is>
      </c>
      <c r="E680" t="inlineStr">
        <is>
          <t>GOTLAND</t>
        </is>
      </c>
      <c r="G680" t="n">
        <v>2.3</v>
      </c>
      <c r="H680" t="n">
        <v>0</v>
      </c>
      <c r="I680" t="n">
        <v>0</v>
      </c>
      <c r="J680" t="n">
        <v>0</v>
      </c>
      <c r="K680" t="n">
        <v>0</v>
      </c>
      <c r="L680" t="n">
        <v>0</v>
      </c>
      <c r="M680" t="n">
        <v>0</v>
      </c>
      <c r="N680" t="n">
        <v>0</v>
      </c>
      <c r="O680" t="n">
        <v>0</v>
      </c>
      <c r="P680" t="n">
        <v>0</v>
      </c>
      <c r="Q680" t="n">
        <v>0</v>
      </c>
      <c r="R680" s="2" t="inlineStr"/>
    </row>
    <row r="681" ht="15" customHeight="1">
      <c r="A681" t="inlineStr">
        <is>
          <t>A 48745-2023</t>
        </is>
      </c>
      <c r="B681" s="1" t="n">
        <v>45208</v>
      </c>
      <c r="C681" s="1" t="n">
        <v>45576</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49693-2023</t>
        </is>
      </c>
      <c r="B682" s="1" t="n">
        <v>45212</v>
      </c>
      <c r="C682" s="1" t="n">
        <v>45576</v>
      </c>
      <c r="D682" t="inlineStr">
        <is>
          <t>GOTLANDS LÄN</t>
        </is>
      </c>
      <c r="E682" t="inlineStr">
        <is>
          <t>GOTLAND</t>
        </is>
      </c>
      <c r="G682" t="n">
        <v>2.4</v>
      </c>
      <c r="H682" t="n">
        <v>0</v>
      </c>
      <c r="I682" t="n">
        <v>0</v>
      </c>
      <c r="J682" t="n">
        <v>0</v>
      </c>
      <c r="K682" t="n">
        <v>0</v>
      </c>
      <c r="L682" t="n">
        <v>0</v>
      </c>
      <c r="M682" t="n">
        <v>0</v>
      </c>
      <c r="N682" t="n">
        <v>0</v>
      </c>
      <c r="O682" t="n">
        <v>0</v>
      </c>
      <c r="P682" t="n">
        <v>0</v>
      </c>
      <c r="Q682" t="n">
        <v>0</v>
      </c>
      <c r="R682" s="2" t="inlineStr"/>
    </row>
    <row r="683" ht="15" customHeight="1">
      <c r="A683" t="inlineStr">
        <is>
          <t>A 49697-2023</t>
        </is>
      </c>
      <c r="B683" s="1" t="n">
        <v>45212</v>
      </c>
      <c r="C683" s="1" t="n">
        <v>45576</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49846-2023</t>
        </is>
      </c>
      <c r="B684" s="1" t="n">
        <v>45212</v>
      </c>
      <c r="C684" s="1" t="n">
        <v>45576</v>
      </c>
      <c r="D684" t="inlineStr">
        <is>
          <t>GOTLANDS LÄN</t>
        </is>
      </c>
      <c r="E684" t="inlineStr">
        <is>
          <t>GOTLAND</t>
        </is>
      </c>
      <c r="G684" t="n">
        <v>16.9</v>
      </c>
      <c r="H684" t="n">
        <v>0</v>
      </c>
      <c r="I684" t="n">
        <v>0</v>
      </c>
      <c r="J684" t="n">
        <v>0</v>
      </c>
      <c r="K684" t="n">
        <v>0</v>
      </c>
      <c r="L684" t="n">
        <v>0</v>
      </c>
      <c r="M684" t="n">
        <v>0</v>
      </c>
      <c r="N684" t="n">
        <v>0</v>
      </c>
      <c r="O684" t="n">
        <v>0</v>
      </c>
      <c r="P684" t="n">
        <v>0</v>
      </c>
      <c r="Q684" t="n">
        <v>0</v>
      </c>
      <c r="R684" s="2" t="inlineStr"/>
    </row>
    <row r="685" ht="15" customHeight="1">
      <c r="A685" t="inlineStr">
        <is>
          <t>A 49884-2023</t>
        </is>
      </c>
      <c r="B685" s="1" t="n">
        <v>45213</v>
      </c>
      <c r="C685" s="1" t="n">
        <v>45576</v>
      </c>
      <c r="D685" t="inlineStr">
        <is>
          <t>GOTLANDS LÄN</t>
        </is>
      </c>
      <c r="E685" t="inlineStr">
        <is>
          <t>GOTLAND</t>
        </is>
      </c>
      <c r="G685" t="n">
        <v>8.9</v>
      </c>
      <c r="H685" t="n">
        <v>0</v>
      </c>
      <c r="I685" t="n">
        <v>0</v>
      </c>
      <c r="J685" t="n">
        <v>0</v>
      </c>
      <c r="K685" t="n">
        <v>0</v>
      </c>
      <c r="L685" t="n">
        <v>0</v>
      </c>
      <c r="M685" t="n">
        <v>0</v>
      </c>
      <c r="N685" t="n">
        <v>0</v>
      </c>
      <c r="O685" t="n">
        <v>0</v>
      </c>
      <c r="P685" t="n">
        <v>0</v>
      </c>
      <c r="Q685" t="n">
        <v>0</v>
      </c>
      <c r="R685" s="2" t="inlineStr"/>
    </row>
    <row r="686" ht="15" customHeight="1">
      <c r="A686" t="inlineStr">
        <is>
          <t>A 49962-2023</t>
        </is>
      </c>
      <c r="B686" s="1" t="n">
        <v>45215</v>
      </c>
      <c r="C686" s="1" t="n">
        <v>45576</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49966-2023</t>
        </is>
      </c>
      <c r="B687" s="1" t="n">
        <v>45215</v>
      </c>
      <c r="C687" s="1" t="n">
        <v>45576</v>
      </c>
      <c r="D687" t="inlineStr">
        <is>
          <t>GOTLANDS LÄN</t>
        </is>
      </c>
      <c r="E687" t="inlineStr">
        <is>
          <t>GOTLAND</t>
        </is>
      </c>
      <c r="G687" t="n">
        <v>5</v>
      </c>
      <c r="H687" t="n">
        <v>0</v>
      </c>
      <c r="I687" t="n">
        <v>0</v>
      </c>
      <c r="J687" t="n">
        <v>0</v>
      </c>
      <c r="K687" t="n">
        <v>0</v>
      </c>
      <c r="L687" t="n">
        <v>0</v>
      </c>
      <c r="M687" t="n">
        <v>0</v>
      </c>
      <c r="N687" t="n">
        <v>0</v>
      </c>
      <c r="O687" t="n">
        <v>0</v>
      </c>
      <c r="P687" t="n">
        <v>0</v>
      </c>
      <c r="Q687" t="n">
        <v>0</v>
      </c>
      <c r="R687" s="2" t="inlineStr"/>
    </row>
    <row r="688" ht="15" customHeight="1">
      <c r="A688" t="inlineStr">
        <is>
          <t>A 49964-2023</t>
        </is>
      </c>
      <c r="B688" s="1" t="n">
        <v>45215</v>
      </c>
      <c r="C688" s="1" t="n">
        <v>45576</v>
      </c>
      <c r="D688" t="inlineStr">
        <is>
          <t>GOTLANDS LÄN</t>
        </is>
      </c>
      <c r="E688" t="inlineStr">
        <is>
          <t>GOTLAND</t>
        </is>
      </c>
      <c r="G688" t="n">
        <v>3.1</v>
      </c>
      <c r="H688" t="n">
        <v>0</v>
      </c>
      <c r="I688" t="n">
        <v>0</v>
      </c>
      <c r="J688" t="n">
        <v>0</v>
      </c>
      <c r="K688" t="n">
        <v>0</v>
      </c>
      <c r="L688" t="n">
        <v>0</v>
      </c>
      <c r="M688" t="n">
        <v>0</v>
      </c>
      <c r="N688" t="n">
        <v>0</v>
      </c>
      <c r="O688" t="n">
        <v>0</v>
      </c>
      <c r="P688" t="n">
        <v>0</v>
      </c>
      <c r="Q688" t="n">
        <v>0</v>
      </c>
      <c r="R688" s="2" t="inlineStr"/>
    </row>
    <row r="689" ht="15" customHeight="1">
      <c r="A689" t="inlineStr">
        <is>
          <t>A 49968-2023</t>
        </is>
      </c>
      <c r="B689" s="1" t="n">
        <v>45215</v>
      </c>
      <c r="C689" s="1" t="n">
        <v>45576</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50566-2023</t>
        </is>
      </c>
      <c r="B690" s="1" t="n">
        <v>45217</v>
      </c>
      <c r="C690" s="1" t="n">
        <v>45576</v>
      </c>
      <c r="D690" t="inlineStr">
        <is>
          <t>GOTLANDS LÄN</t>
        </is>
      </c>
      <c r="E690" t="inlineStr">
        <is>
          <t>GOTLAND</t>
        </is>
      </c>
      <c r="G690" t="n">
        <v>5.8</v>
      </c>
      <c r="H690" t="n">
        <v>0</v>
      </c>
      <c r="I690" t="n">
        <v>0</v>
      </c>
      <c r="J690" t="n">
        <v>0</v>
      </c>
      <c r="K690" t="n">
        <v>0</v>
      </c>
      <c r="L690" t="n">
        <v>0</v>
      </c>
      <c r="M690" t="n">
        <v>0</v>
      </c>
      <c r="N690" t="n">
        <v>0</v>
      </c>
      <c r="O690" t="n">
        <v>0</v>
      </c>
      <c r="P690" t="n">
        <v>0</v>
      </c>
      <c r="Q690" t="n">
        <v>0</v>
      </c>
      <c r="R690" s="2" t="inlineStr"/>
    </row>
    <row r="691" ht="15" customHeight="1">
      <c r="A691" t="inlineStr">
        <is>
          <t>A 51035-2023</t>
        </is>
      </c>
      <c r="B691" s="1" t="n">
        <v>45218</v>
      </c>
      <c r="C691" s="1" t="n">
        <v>45576</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51782-2023</t>
        </is>
      </c>
      <c r="B692" s="1" t="n">
        <v>45222</v>
      </c>
      <c r="C692" s="1" t="n">
        <v>45576</v>
      </c>
      <c r="D692" t="inlineStr">
        <is>
          <t>GOTLANDS LÄN</t>
        </is>
      </c>
      <c r="E692" t="inlineStr">
        <is>
          <t>GOTLAND</t>
        </is>
      </c>
      <c r="G692" t="n">
        <v>1.2</v>
      </c>
      <c r="H692" t="n">
        <v>0</v>
      </c>
      <c r="I692" t="n">
        <v>0</v>
      </c>
      <c r="J692" t="n">
        <v>0</v>
      </c>
      <c r="K692" t="n">
        <v>0</v>
      </c>
      <c r="L692" t="n">
        <v>0</v>
      </c>
      <c r="M692" t="n">
        <v>0</v>
      </c>
      <c r="N692" t="n">
        <v>0</v>
      </c>
      <c r="O692" t="n">
        <v>0</v>
      </c>
      <c r="P692" t="n">
        <v>0</v>
      </c>
      <c r="Q692" t="n">
        <v>0</v>
      </c>
      <c r="R692" s="2" t="inlineStr"/>
    </row>
    <row r="693" ht="15" customHeight="1">
      <c r="A693" t="inlineStr">
        <is>
          <t>A 52684-2023</t>
        </is>
      </c>
      <c r="B693" s="1" t="n">
        <v>45225</v>
      </c>
      <c r="C693" s="1" t="n">
        <v>45576</v>
      </c>
      <c r="D693" t="inlineStr">
        <is>
          <t>GOTLANDS LÄN</t>
        </is>
      </c>
      <c r="E693" t="inlineStr">
        <is>
          <t>GOTLAND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53913-2023</t>
        </is>
      </c>
      <c r="B694" s="1" t="n">
        <v>45231</v>
      </c>
      <c r="C694" s="1" t="n">
        <v>45576</v>
      </c>
      <c r="D694" t="inlineStr">
        <is>
          <t>GOTLANDS LÄN</t>
        </is>
      </c>
      <c r="E694" t="inlineStr">
        <is>
          <t>GOTLAND</t>
        </is>
      </c>
      <c r="G694" t="n">
        <v>6.2</v>
      </c>
      <c r="H694" t="n">
        <v>0</v>
      </c>
      <c r="I694" t="n">
        <v>0</v>
      </c>
      <c r="J694" t="n">
        <v>0</v>
      </c>
      <c r="K694" t="n">
        <v>0</v>
      </c>
      <c r="L694" t="n">
        <v>0</v>
      </c>
      <c r="M694" t="n">
        <v>0</v>
      </c>
      <c r="N694" t="n">
        <v>0</v>
      </c>
      <c r="O694" t="n">
        <v>0</v>
      </c>
      <c r="P694" t="n">
        <v>0</v>
      </c>
      <c r="Q694" t="n">
        <v>0</v>
      </c>
      <c r="R694" s="2" t="inlineStr"/>
    </row>
    <row r="695" ht="15" customHeight="1">
      <c r="A695" t="inlineStr">
        <is>
          <t>A 56115-2023</t>
        </is>
      </c>
      <c r="B695" s="1" t="n">
        <v>45236</v>
      </c>
      <c r="C695" s="1" t="n">
        <v>45576</v>
      </c>
      <c r="D695" t="inlineStr">
        <is>
          <t>GOTLANDS LÄN</t>
        </is>
      </c>
      <c r="E695" t="inlineStr">
        <is>
          <t>GOTLAND</t>
        </is>
      </c>
      <c r="G695" t="n">
        <v>2</v>
      </c>
      <c r="H695" t="n">
        <v>0</v>
      </c>
      <c r="I695" t="n">
        <v>0</v>
      </c>
      <c r="J695" t="n">
        <v>0</v>
      </c>
      <c r="K695" t="n">
        <v>0</v>
      </c>
      <c r="L695" t="n">
        <v>0</v>
      </c>
      <c r="M695" t="n">
        <v>0</v>
      </c>
      <c r="N695" t="n">
        <v>0</v>
      </c>
      <c r="O695" t="n">
        <v>0</v>
      </c>
      <c r="P695" t="n">
        <v>0</v>
      </c>
      <c r="Q695" t="n">
        <v>0</v>
      </c>
      <c r="R695" s="2" t="inlineStr"/>
    </row>
    <row r="696" ht="15" customHeight="1">
      <c r="A696" t="inlineStr">
        <is>
          <t>A 57356-2023</t>
        </is>
      </c>
      <c r="B696" s="1" t="n">
        <v>45240</v>
      </c>
      <c r="C696" s="1" t="n">
        <v>45576</v>
      </c>
      <c r="D696" t="inlineStr">
        <is>
          <t>GOTLANDS LÄN</t>
        </is>
      </c>
      <c r="E696" t="inlineStr">
        <is>
          <t>GOTLAND</t>
        </is>
      </c>
      <c r="G696" t="n">
        <v>6.4</v>
      </c>
      <c r="H696" t="n">
        <v>0</v>
      </c>
      <c r="I696" t="n">
        <v>0</v>
      </c>
      <c r="J696" t="n">
        <v>0</v>
      </c>
      <c r="K696" t="n">
        <v>0</v>
      </c>
      <c r="L696" t="n">
        <v>0</v>
      </c>
      <c r="M696" t="n">
        <v>0</v>
      </c>
      <c r="N696" t="n">
        <v>0</v>
      </c>
      <c r="O696" t="n">
        <v>0</v>
      </c>
      <c r="P696" t="n">
        <v>0</v>
      </c>
      <c r="Q696" t="n">
        <v>0</v>
      </c>
      <c r="R696" s="2" t="inlineStr"/>
    </row>
    <row r="697" ht="15" customHeight="1">
      <c r="A697" t="inlineStr">
        <is>
          <t>A 56303-2023</t>
        </is>
      </c>
      <c r="B697" s="1" t="n">
        <v>45242</v>
      </c>
      <c r="C697" s="1" t="n">
        <v>45576</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56568-2023</t>
        </is>
      </c>
      <c r="B698" s="1" t="n">
        <v>45243</v>
      </c>
      <c r="C698" s="1" t="n">
        <v>45576</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56877-2023</t>
        </is>
      </c>
      <c r="B699" s="1" t="n">
        <v>45244</v>
      </c>
      <c r="C699" s="1" t="n">
        <v>45576</v>
      </c>
      <c r="D699" t="inlineStr">
        <is>
          <t>GOTLANDS LÄN</t>
        </is>
      </c>
      <c r="E699" t="inlineStr">
        <is>
          <t>GOTLAND</t>
        </is>
      </c>
      <c r="G699" t="n">
        <v>5.8</v>
      </c>
      <c r="H699" t="n">
        <v>0</v>
      </c>
      <c r="I699" t="n">
        <v>0</v>
      </c>
      <c r="J699" t="n">
        <v>0</v>
      </c>
      <c r="K699" t="n">
        <v>0</v>
      </c>
      <c r="L699" t="n">
        <v>0</v>
      </c>
      <c r="M699" t="n">
        <v>0</v>
      </c>
      <c r="N699" t="n">
        <v>0</v>
      </c>
      <c r="O699" t="n">
        <v>0</v>
      </c>
      <c r="P699" t="n">
        <v>0</v>
      </c>
      <c r="Q699" t="n">
        <v>0</v>
      </c>
      <c r="R699" s="2" t="inlineStr"/>
    </row>
    <row r="700" ht="15" customHeight="1">
      <c r="A700" t="inlineStr">
        <is>
          <t>A 57573-2023</t>
        </is>
      </c>
      <c r="B700" s="1" t="n">
        <v>45246</v>
      </c>
      <c r="C700" s="1" t="n">
        <v>45576</v>
      </c>
      <c r="D700" t="inlineStr">
        <is>
          <t>GOTLANDS LÄN</t>
        </is>
      </c>
      <c r="E700" t="inlineStr">
        <is>
          <t>GOTLAND</t>
        </is>
      </c>
      <c r="G700" t="n">
        <v>1.7</v>
      </c>
      <c r="H700" t="n">
        <v>0</v>
      </c>
      <c r="I700" t="n">
        <v>0</v>
      </c>
      <c r="J700" t="n">
        <v>0</v>
      </c>
      <c r="K700" t="n">
        <v>0</v>
      </c>
      <c r="L700" t="n">
        <v>0</v>
      </c>
      <c r="M700" t="n">
        <v>0</v>
      </c>
      <c r="N700" t="n">
        <v>0</v>
      </c>
      <c r="O700" t="n">
        <v>0</v>
      </c>
      <c r="P700" t="n">
        <v>0</v>
      </c>
      <c r="Q700" t="n">
        <v>0</v>
      </c>
      <c r="R700" s="2" t="inlineStr"/>
    </row>
    <row r="701" ht="15" customHeight="1">
      <c r="A701" t="inlineStr">
        <is>
          <t>A 57652-2023</t>
        </is>
      </c>
      <c r="B701" s="1" t="n">
        <v>45246</v>
      </c>
      <c r="C701" s="1" t="n">
        <v>45576</v>
      </c>
      <c r="D701" t="inlineStr">
        <is>
          <t>GOTLANDS LÄN</t>
        </is>
      </c>
      <c r="E701" t="inlineStr">
        <is>
          <t>GOTLAND</t>
        </is>
      </c>
      <c r="G701" t="n">
        <v>7.2</v>
      </c>
      <c r="H701" t="n">
        <v>0</v>
      </c>
      <c r="I701" t="n">
        <v>0</v>
      </c>
      <c r="J701" t="n">
        <v>0</v>
      </c>
      <c r="K701" t="n">
        <v>0</v>
      </c>
      <c r="L701" t="n">
        <v>0</v>
      </c>
      <c r="M701" t="n">
        <v>0</v>
      </c>
      <c r="N701" t="n">
        <v>0</v>
      </c>
      <c r="O701" t="n">
        <v>0</v>
      </c>
      <c r="P701" t="n">
        <v>0</v>
      </c>
      <c r="Q701" t="n">
        <v>0</v>
      </c>
      <c r="R701" s="2" t="inlineStr"/>
    </row>
    <row r="702" ht="15" customHeight="1">
      <c r="A702" t="inlineStr">
        <is>
          <t>A 57765-2023</t>
        </is>
      </c>
      <c r="B702" s="1" t="n">
        <v>45246</v>
      </c>
      <c r="C702" s="1" t="n">
        <v>45576</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58132-2023</t>
        </is>
      </c>
      <c r="B703" s="1" t="n">
        <v>45250</v>
      </c>
      <c r="C703" s="1" t="n">
        <v>45576</v>
      </c>
      <c r="D703" t="inlineStr">
        <is>
          <t>GOTLANDS LÄN</t>
        </is>
      </c>
      <c r="E703" t="inlineStr">
        <is>
          <t>GOTLAND</t>
        </is>
      </c>
      <c r="G703" t="n">
        <v>3.1</v>
      </c>
      <c r="H703" t="n">
        <v>0</v>
      </c>
      <c r="I703" t="n">
        <v>0</v>
      </c>
      <c r="J703" t="n">
        <v>0</v>
      </c>
      <c r="K703" t="n">
        <v>0</v>
      </c>
      <c r="L703" t="n">
        <v>0</v>
      </c>
      <c r="M703" t="n">
        <v>0</v>
      </c>
      <c r="N703" t="n">
        <v>0</v>
      </c>
      <c r="O703" t="n">
        <v>0</v>
      </c>
      <c r="P703" t="n">
        <v>0</v>
      </c>
      <c r="Q703" t="n">
        <v>0</v>
      </c>
      <c r="R703" s="2" t="inlineStr"/>
    </row>
    <row r="704" ht="15" customHeight="1">
      <c r="A704" t="inlineStr">
        <is>
          <t>A 59559-2023</t>
        </is>
      </c>
      <c r="B704" s="1" t="n">
        <v>45254</v>
      </c>
      <c r="C704" s="1" t="n">
        <v>45576</v>
      </c>
      <c r="D704" t="inlineStr">
        <is>
          <t>GOTLANDS LÄN</t>
        </is>
      </c>
      <c r="E704" t="inlineStr">
        <is>
          <t>GOTLAND</t>
        </is>
      </c>
      <c r="G704" t="n">
        <v>1</v>
      </c>
      <c r="H704" t="n">
        <v>0</v>
      </c>
      <c r="I704" t="n">
        <v>0</v>
      </c>
      <c r="J704" t="n">
        <v>0</v>
      </c>
      <c r="K704" t="n">
        <v>0</v>
      </c>
      <c r="L704" t="n">
        <v>0</v>
      </c>
      <c r="M704" t="n">
        <v>0</v>
      </c>
      <c r="N704" t="n">
        <v>0</v>
      </c>
      <c r="O704" t="n">
        <v>0</v>
      </c>
      <c r="P704" t="n">
        <v>0</v>
      </c>
      <c r="Q704" t="n">
        <v>0</v>
      </c>
      <c r="R704" s="2" t="inlineStr"/>
    </row>
    <row r="705" ht="15" customHeight="1">
      <c r="A705" t="inlineStr">
        <is>
          <t>A 59554-2023</t>
        </is>
      </c>
      <c r="B705" s="1" t="n">
        <v>45254</v>
      </c>
      <c r="C705" s="1" t="n">
        <v>45576</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60269-2023</t>
        </is>
      </c>
      <c r="B706" s="1" t="n">
        <v>45258</v>
      </c>
      <c r="C706" s="1" t="n">
        <v>45576</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60273-2023</t>
        </is>
      </c>
      <c r="B707" s="1" t="n">
        <v>45258</v>
      </c>
      <c r="C707" s="1" t="n">
        <v>45576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60709-2023</t>
        </is>
      </c>
      <c r="B708" s="1" t="n">
        <v>45260</v>
      </c>
      <c r="C708" s="1" t="n">
        <v>45576</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61175-2023</t>
        </is>
      </c>
      <c r="B709" s="1" t="n">
        <v>45263</v>
      </c>
      <c r="C709" s="1" t="n">
        <v>45576</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61386-2023</t>
        </is>
      </c>
      <c r="B710" s="1" t="n">
        <v>45264</v>
      </c>
      <c r="C710" s="1" t="n">
        <v>45576</v>
      </c>
      <c r="D710" t="inlineStr">
        <is>
          <t>GOTLANDS LÄN</t>
        </is>
      </c>
      <c r="E710" t="inlineStr">
        <is>
          <t>GOTLAND</t>
        </is>
      </c>
      <c r="G710" t="n">
        <v>0.7</v>
      </c>
      <c r="H710" t="n">
        <v>0</v>
      </c>
      <c r="I710" t="n">
        <v>0</v>
      </c>
      <c r="J710" t="n">
        <v>0</v>
      </c>
      <c r="K710" t="n">
        <v>0</v>
      </c>
      <c r="L710" t="n">
        <v>0</v>
      </c>
      <c r="M710" t="n">
        <v>0</v>
      </c>
      <c r="N710" t="n">
        <v>0</v>
      </c>
      <c r="O710" t="n">
        <v>0</v>
      </c>
      <c r="P710" t="n">
        <v>0</v>
      </c>
      <c r="Q710" t="n">
        <v>0</v>
      </c>
      <c r="R710" s="2" t="inlineStr"/>
    </row>
    <row r="711" ht="15" customHeight="1">
      <c r="A711" t="inlineStr">
        <is>
          <t>A 61694-2023</t>
        </is>
      </c>
      <c r="B711" s="1" t="n">
        <v>45264</v>
      </c>
      <c r="C711" s="1" t="n">
        <v>45576</v>
      </c>
      <c r="D711" t="inlineStr">
        <is>
          <t>GOTLANDS LÄN</t>
        </is>
      </c>
      <c r="E711" t="inlineStr">
        <is>
          <t>GOTLAND</t>
        </is>
      </c>
      <c r="G711" t="n">
        <v>4.6</v>
      </c>
      <c r="H711" t="n">
        <v>0</v>
      </c>
      <c r="I711" t="n">
        <v>0</v>
      </c>
      <c r="J711" t="n">
        <v>0</v>
      </c>
      <c r="K711" t="n">
        <v>0</v>
      </c>
      <c r="L711" t="n">
        <v>0</v>
      </c>
      <c r="M711" t="n">
        <v>0</v>
      </c>
      <c r="N711" t="n">
        <v>0</v>
      </c>
      <c r="O711" t="n">
        <v>0</v>
      </c>
      <c r="P711" t="n">
        <v>0</v>
      </c>
      <c r="Q711" t="n">
        <v>0</v>
      </c>
      <c r="R711" s="2" t="inlineStr"/>
    </row>
    <row r="712" ht="15" customHeight="1">
      <c r="A712" t="inlineStr">
        <is>
          <t>A 61596-2023</t>
        </is>
      </c>
      <c r="B712" s="1" t="n">
        <v>45265</v>
      </c>
      <c r="C712" s="1" t="n">
        <v>45576</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61634-2023</t>
        </is>
      </c>
      <c r="B713" s="1" t="n">
        <v>45265</v>
      </c>
      <c r="C713" s="1" t="n">
        <v>45576</v>
      </c>
      <c r="D713" t="inlineStr">
        <is>
          <t>GOTLANDS LÄN</t>
        </is>
      </c>
      <c r="E713" t="inlineStr">
        <is>
          <t>GOTLAND</t>
        </is>
      </c>
      <c r="G713" t="n">
        <v>7.4</v>
      </c>
      <c r="H713" t="n">
        <v>0</v>
      </c>
      <c r="I713" t="n">
        <v>0</v>
      </c>
      <c r="J713" t="n">
        <v>0</v>
      </c>
      <c r="K713" t="n">
        <v>0</v>
      </c>
      <c r="L713" t="n">
        <v>0</v>
      </c>
      <c r="M713" t="n">
        <v>0</v>
      </c>
      <c r="N713" t="n">
        <v>0</v>
      </c>
      <c r="O713" t="n">
        <v>0</v>
      </c>
      <c r="P713" t="n">
        <v>0</v>
      </c>
      <c r="Q713" t="n">
        <v>0</v>
      </c>
      <c r="R713" s="2" t="inlineStr"/>
    </row>
    <row r="714" ht="15" customHeight="1">
      <c r="A714" t="inlineStr">
        <is>
          <t>A 63246-2023</t>
        </is>
      </c>
      <c r="B714" s="1" t="n">
        <v>45273</v>
      </c>
      <c r="C714" s="1" t="n">
        <v>45576</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63303-2023</t>
        </is>
      </c>
      <c r="B715" s="1" t="n">
        <v>45274</v>
      </c>
      <c r="C715" s="1" t="n">
        <v>45576</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63516-2023</t>
        </is>
      </c>
      <c r="B716" s="1" t="n">
        <v>45274</v>
      </c>
      <c r="C716" s="1" t="n">
        <v>45576</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63773-2023</t>
        </is>
      </c>
      <c r="B717" s="1" t="n">
        <v>45278</v>
      </c>
      <c r="C717" s="1" t="n">
        <v>45576</v>
      </c>
      <c r="D717" t="inlineStr">
        <is>
          <t>GOTLANDS LÄN</t>
        </is>
      </c>
      <c r="E717" t="inlineStr">
        <is>
          <t>GOTLAND</t>
        </is>
      </c>
      <c r="G717" t="n">
        <v>8.5</v>
      </c>
      <c r="H717" t="n">
        <v>0</v>
      </c>
      <c r="I717" t="n">
        <v>0</v>
      </c>
      <c r="J717" t="n">
        <v>0</v>
      </c>
      <c r="K717" t="n">
        <v>0</v>
      </c>
      <c r="L717" t="n">
        <v>0</v>
      </c>
      <c r="M717" t="n">
        <v>0</v>
      </c>
      <c r="N717" t="n">
        <v>0</v>
      </c>
      <c r="O717" t="n">
        <v>0</v>
      </c>
      <c r="P717" t="n">
        <v>0</v>
      </c>
      <c r="Q717" t="n">
        <v>0</v>
      </c>
      <c r="R717" s="2" t="inlineStr"/>
    </row>
    <row r="718" ht="15" customHeight="1">
      <c r="A718" t="inlineStr">
        <is>
          <t>A 63763-2023</t>
        </is>
      </c>
      <c r="B718" s="1" t="n">
        <v>45278</v>
      </c>
      <c r="C718" s="1" t="n">
        <v>45576</v>
      </c>
      <c r="D718" t="inlineStr">
        <is>
          <t>GOTLANDS LÄN</t>
        </is>
      </c>
      <c r="E718" t="inlineStr">
        <is>
          <t>GOTLAND</t>
        </is>
      </c>
      <c r="G718" t="n">
        <v>0.5</v>
      </c>
      <c r="H718" t="n">
        <v>0</v>
      </c>
      <c r="I718" t="n">
        <v>0</v>
      </c>
      <c r="J718" t="n">
        <v>0</v>
      </c>
      <c r="K718" t="n">
        <v>0</v>
      </c>
      <c r="L718" t="n">
        <v>0</v>
      </c>
      <c r="M718" t="n">
        <v>0</v>
      </c>
      <c r="N718" t="n">
        <v>0</v>
      </c>
      <c r="O718" t="n">
        <v>0</v>
      </c>
      <c r="P718" t="n">
        <v>0</v>
      </c>
      <c r="Q718" t="n">
        <v>0</v>
      </c>
      <c r="R718" s="2" t="inlineStr"/>
    </row>
    <row r="719" ht="15" customHeight="1">
      <c r="A719" t="inlineStr">
        <is>
          <t>A 63996-2023</t>
        </is>
      </c>
      <c r="B719" s="1" t="n">
        <v>45278</v>
      </c>
      <c r="C719" s="1" t="n">
        <v>45576</v>
      </c>
      <c r="D719" t="inlineStr">
        <is>
          <t>GOTLANDS LÄN</t>
        </is>
      </c>
      <c r="E719" t="inlineStr">
        <is>
          <t>GOTLAND</t>
        </is>
      </c>
      <c r="G719" t="n">
        <v>3.8</v>
      </c>
      <c r="H719" t="n">
        <v>0</v>
      </c>
      <c r="I719" t="n">
        <v>0</v>
      </c>
      <c r="J719" t="n">
        <v>0</v>
      </c>
      <c r="K719" t="n">
        <v>0</v>
      </c>
      <c r="L719" t="n">
        <v>0</v>
      </c>
      <c r="M719" t="n">
        <v>0</v>
      </c>
      <c r="N719" t="n">
        <v>0</v>
      </c>
      <c r="O719" t="n">
        <v>0</v>
      </c>
      <c r="P719" t="n">
        <v>0</v>
      </c>
      <c r="Q719" t="n">
        <v>0</v>
      </c>
      <c r="R719" s="2" t="inlineStr"/>
    </row>
    <row r="720" ht="15" customHeight="1">
      <c r="A720" t="inlineStr">
        <is>
          <t>A 64555-2023</t>
        </is>
      </c>
      <c r="B720" s="1" t="n">
        <v>45281</v>
      </c>
      <c r="C720" s="1" t="n">
        <v>45576</v>
      </c>
      <c r="D720" t="inlineStr">
        <is>
          <t>GOTLANDS LÄN</t>
        </is>
      </c>
      <c r="E720" t="inlineStr">
        <is>
          <t>GOTLAND</t>
        </is>
      </c>
      <c r="G720" t="n">
        <v>3.5</v>
      </c>
      <c r="H720" t="n">
        <v>0</v>
      </c>
      <c r="I720" t="n">
        <v>0</v>
      </c>
      <c r="J720" t="n">
        <v>0</v>
      </c>
      <c r="K720" t="n">
        <v>0</v>
      </c>
      <c r="L720" t="n">
        <v>0</v>
      </c>
      <c r="M720" t="n">
        <v>0</v>
      </c>
      <c r="N720" t="n">
        <v>0</v>
      </c>
      <c r="O720" t="n">
        <v>0</v>
      </c>
      <c r="P720" t="n">
        <v>0</v>
      </c>
      <c r="Q720" t="n">
        <v>0</v>
      </c>
      <c r="R720" s="2" t="inlineStr"/>
    </row>
    <row r="721" ht="15" customHeight="1">
      <c r="A721" t="inlineStr">
        <is>
          <t>A 64660-2023</t>
        </is>
      </c>
      <c r="B721" s="1" t="n">
        <v>45281</v>
      </c>
      <c r="C721" s="1" t="n">
        <v>45576</v>
      </c>
      <c r="D721" t="inlineStr">
        <is>
          <t>GOTLANDS LÄN</t>
        </is>
      </c>
      <c r="E721" t="inlineStr">
        <is>
          <t>GOTLAND</t>
        </is>
      </c>
      <c r="G721" t="n">
        <v>6.3</v>
      </c>
      <c r="H721" t="n">
        <v>0</v>
      </c>
      <c r="I721" t="n">
        <v>0</v>
      </c>
      <c r="J721" t="n">
        <v>0</v>
      </c>
      <c r="K721" t="n">
        <v>0</v>
      </c>
      <c r="L721" t="n">
        <v>0</v>
      </c>
      <c r="M721" t="n">
        <v>0</v>
      </c>
      <c r="N721" t="n">
        <v>0</v>
      </c>
      <c r="O721" t="n">
        <v>0</v>
      </c>
      <c r="P721" t="n">
        <v>0</v>
      </c>
      <c r="Q721" t="n">
        <v>0</v>
      </c>
      <c r="R721" s="2" t="inlineStr"/>
    </row>
    <row r="722" ht="15" customHeight="1">
      <c r="A722" t="inlineStr">
        <is>
          <t>A 64831-2023</t>
        </is>
      </c>
      <c r="B722" s="1" t="n">
        <v>45282</v>
      </c>
      <c r="C722" s="1" t="n">
        <v>45576</v>
      </c>
      <c r="D722" t="inlineStr">
        <is>
          <t>GOTLANDS LÄN</t>
        </is>
      </c>
      <c r="E722" t="inlineStr">
        <is>
          <t>GOTLAND</t>
        </is>
      </c>
      <c r="G722" t="n">
        <v>1.9</v>
      </c>
      <c r="H722" t="n">
        <v>0</v>
      </c>
      <c r="I722" t="n">
        <v>0</v>
      </c>
      <c r="J722" t="n">
        <v>0</v>
      </c>
      <c r="K722" t="n">
        <v>0</v>
      </c>
      <c r="L722" t="n">
        <v>0</v>
      </c>
      <c r="M722" t="n">
        <v>0</v>
      </c>
      <c r="N722" t="n">
        <v>0</v>
      </c>
      <c r="O722" t="n">
        <v>0</v>
      </c>
      <c r="P722" t="n">
        <v>0</v>
      </c>
      <c r="Q722" t="n">
        <v>0</v>
      </c>
      <c r="R722" s="2" t="inlineStr"/>
    </row>
    <row r="723" ht="15" customHeight="1">
      <c r="A723" t="inlineStr">
        <is>
          <t>A 64838-2023</t>
        </is>
      </c>
      <c r="B723" s="1" t="n">
        <v>45282</v>
      </c>
      <c r="C723" s="1" t="n">
        <v>45576</v>
      </c>
      <c r="D723" t="inlineStr">
        <is>
          <t>GOTLANDS LÄN</t>
        </is>
      </c>
      <c r="E723" t="inlineStr">
        <is>
          <t>GOTLAND</t>
        </is>
      </c>
      <c r="G723" t="n">
        <v>7.5</v>
      </c>
      <c r="H723" t="n">
        <v>0</v>
      </c>
      <c r="I723" t="n">
        <v>0</v>
      </c>
      <c r="J723" t="n">
        <v>0</v>
      </c>
      <c r="K723" t="n">
        <v>0</v>
      </c>
      <c r="L723" t="n">
        <v>0</v>
      </c>
      <c r="M723" t="n">
        <v>0</v>
      </c>
      <c r="N723" t="n">
        <v>0</v>
      </c>
      <c r="O723" t="n">
        <v>0</v>
      </c>
      <c r="P723" t="n">
        <v>0</v>
      </c>
      <c r="Q723" t="n">
        <v>0</v>
      </c>
      <c r="R723" s="2" t="inlineStr"/>
    </row>
    <row r="724" ht="15" customHeight="1">
      <c r="A724" t="inlineStr">
        <is>
          <t>A 64969-2023</t>
        </is>
      </c>
      <c r="B724" s="1" t="n">
        <v>45284</v>
      </c>
      <c r="C724" s="1" t="n">
        <v>45576</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65088-2023</t>
        </is>
      </c>
      <c r="B725" s="1" t="n">
        <v>45287</v>
      </c>
      <c r="C725" s="1" t="n">
        <v>45576</v>
      </c>
      <c r="D725" t="inlineStr">
        <is>
          <t>GOTLANDS LÄN</t>
        </is>
      </c>
      <c r="E725" t="inlineStr">
        <is>
          <t>GOTLAND</t>
        </is>
      </c>
      <c r="G725" t="n">
        <v>2.5</v>
      </c>
      <c r="H725" t="n">
        <v>0</v>
      </c>
      <c r="I725" t="n">
        <v>0</v>
      </c>
      <c r="J725" t="n">
        <v>0</v>
      </c>
      <c r="K725" t="n">
        <v>0</v>
      </c>
      <c r="L725" t="n">
        <v>0</v>
      </c>
      <c r="M725" t="n">
        <v>0</v>
      </c>
      <c r="N725" t="n">
        <v>0</v>
      </c>
      <c r="O725" t="n">
        <v>0</v>
      </c>
      <c r="P725" t="n">
        <v>0</v>
      </c>
      <c r="Q725" t="n">
        <v>0</v>
      </c>
      <c r="R725" s="2" t="inlineStr"/>
    </row>
    <row r="726" ht="15" customHeight="1">
      <c r="A726" t="inlineStr">
        <is>
          <t>A 65097-2023</t>
        </is>
      </c>
      <c r="B726" s="1" t="n">
        <v>45287</v>
      </c>
      <c r="C726" s="1" t="n">
        <v>45576</v>
      </c>
      <c r="D726" t="inlineStr">
        <is>
          <t>GOTLANDS LÄN</t>
        </is>
      </c>
      <c r="E726" t="inlineStr">
        <is>
          <t>GOTLAND</t>
        </is>
      </c>
      <c r="G726" t="n">
        <v>15.4</v>
      </c>
      <c r="H726" t="n">
        <v>0</v>
      </c>
      <c r="I726" t="n">
        <v>0</v>
      </c>
      <c r="J726" t="n">
        <v>0</v>
      </c>
      <c r="K726" t="n">
        <v>0</v>
      </c>
      <c r="L726" t="n">
        <v>0</v>
      </c>
      <c r="M726" t="n">
        <v>0</v>
      </c>
      <c r="N726" t="n">
        <v>0</v>
      </c>
      <c r="O726" t="n">
        <v>0</v>
      </c>
      <c r="P726" t="n">
        <v>0</v>
      </c>
      <c r="Q726" t="n">
        <v>0</v>
      </c>
      <c r="R726" s="2" t="inlineStr"/>
    </row>
    <row r="727" ht="15" customHeight="1">
      <c r="A727" t="inlineStr">
        <is>
          <t>A 65249-2023</t>
        </is>
      </c>
      <c r="B727" s="1" t="n">
        <v>45290</v>
      </c>
      <c r="C727" s="1" t="n">
        <v>45576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98-2024</t>
        </is>
      </c>
      <c r="B728" s="1" t="n">
        <v>45293</v>
      </c>
      <c r="C728" s="1" t="n">
        <v>45576</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450-2024</t>
        </is>
      </c>
      <c r="B729" s="1" t="n">
        <v>45296</v>
      </c>
      <c r="C729" s="1" t="n">
        <v>45576</v>
      </c>
      <c r="D729" t="inlineStr">
        <is>
          <t>GOTLANDS LÄN</t>
        </is>
      </c>
      <c r="E729" t="inlineStr">
        <is>
          <t>GOTLAND</t>
        </is>
      </c>
      <c r="G729" t="n">
        <v>10.1</v>
      </c>
      <c r="H729" t="n">
        <v>0</v>
      </c>
      <c r="I729" t="n">
        <v>0</v>
      </c>
      <c r="J729" t="n">
        <v>0</v>
      </c>
      <c r="K729" t="n">
        <v>0</v>
      </c>
      <c r="L729" t="n">
        <v>0</v>
      </c>
      <c r="M729" t="n">
        <v>0</v>
      </c>
      <c r="N729" t="n">
        <v>0</v>
      </c>
      <c r="O729" t="n">
        <v>0</v>
      </c>
      <c r="P729" t="n">
        <v>0</v>
      </c>
      <c r="Q729" t="n">
        <v>0</v>
      </c>
      <c r="R729" s="2" t="inlineStr"/>
    </row>
    <row r="730" ht="15" customHeight="1">
      <c r="A730" t="inlineStr">
        <is>
          <t>A 533-2024</t>
        </is>
      </c>
      <c r="B730" s="1" t="n">
        <v>45299</v>
      </c>
      <c r="C730" s="1" t="n">
        <v>45576</v>
      </c>
      <c r="D730" t="inlineStr">
        <is>
          <t>GOTLANDS LÄN</t>
        </is>
      </c>
      <c r="E730" t="inlineStr">
        <is>
          <t>GOTLAND</t>
        </is>
      </c>
      <c r="G730" t="n">
        <v>7.1</v>
      </c>
      <c r="H730" t="n">
        <v>0</v>
      </c>
      <c r="I730" t="n">
        <v>0</v>
      </c>
      <c r="J730" t="n">
        <v>0</v>
      </c>
      <c r="K730" t="n">
        <v>0</v>
      </c>
      <c r="L730" t="n">
        <v>0</v>
      </c>
      <c r="M730" t="n">
        <v>0</v>
      </c>
      <c r="N730" t="n">
        <v>0</v>
      </c>
      <c r="O730" t="n">
        <v>0</v>
      </c>
      <c r="P730" t="n">
        <v>0</v>
      </c>
      <c r="Q730" t="n">
        <v>0</v>
      </c>
      <c r="R730" s="2" t="inlineStr"/>
    </row>
    <row r="731" ht="15" customHeight="1">
      <c r="A731" t="inlineStr">
        <is>
          <t>A 796-2024</t>
        </is>
      </c>
      <c r="B731" s="1" t="n">
        <v>45300</v>
      </c>
      <c r="C731" s="1" t="n">
        <v>45576</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873-2024</t>
        </is>
      </c>
      <c r="B732" s="1" t="n">
        <v>45301</v>
      </c>
      <c r="C732" s="1" t="n">
        <v>45576</v>
      </c>
      <c r="D732" t="inlineStr">
        <is>
          <t>GOTLANDS LÄN</t>
        </is>
      </c>
      <c r="E732" t="inlineStr">
        <is>
          <t>GOTLAND</t>
        </is>
      </c>
      <c r="G732" t="n">
        <v>2.7</v>
      </c>
      <c r="H732" t="n">
        <v>0</v>
      </c>
      <c r="I732" t="n">
        <v>0</v>
      </c>
      <c r="J732" t="n">
        <v>0</v>
      </c>
      <c r="K732" t="n">
        <v>0</v>
      </c>
      <c r="L732" t="n">
        <v>0</v>
      </c>
      <c r="M732" t="n">
        <v>0</v>
      </c>
      <c r="N732" t="n">
        <v>0</v>
      </c>
      <c r="O732" t="n">
        <v>0</v>
      </c>
      <c r="P732" t="n">
        <v>0</v>
      </c>
      <c r="Q732" t="n">
        <v>0</v>
      </c>
      <c r="R732" s="2" t="inlineStr"/>
    </row>
    <row r="733" ht="15" customHeight="1">
      <c r="A733" t="inlineStr">
        <is>
          <t>A 876-2024</t>
        </is>
      </c>
      <c r="B733" s="1" t="n">
        <v>45301</v>
      </c>
      <c r="C733" s="1" t="n">
        <v>45576</v>
      </c>
      <c r="D733" t="inlineStr">
        <is>
          <t>GOTLANDS LÄN</t>
        </is>
      </c>
      <c r="E733" t="inlineStr">
        <is>
          <t>GOTLAND</t>
        </is>
      </c>
      <c r="G733" t="n">
        <v>5.3</v>
      </c>
      <c r="H733" t="n">
        <v>0</v>
      </c>
      <c r="I733" t="n">
        <v>0</v>
      </c>
      <c r="J733" t="n">
        <v>0</v>
      </c>
      <c r="K733" t="n">
        <v>0</v>
      </c>
      <c r="L733" t="n">
        <v>0</v>
      </c>
      <c r="M733" t="n">
        <v>0</v>
      </c>
      <c r="N733" t="n">
        <v>0</v>
      </c>
      <c r="O733" t="n">
        <v>0</v>
      </c>
      <c r="P733" t="n">
        <v>0</v>
      </c>
      <c r="Q733" t="n">
        <v>0</v>
      </c>
      <c r="R733" s="2" t="inlineStr"/>
    </row>
    <row r="734" ht="15" customHeight="1">
      <c r="A734" t="inlineStr">
        <is>
          <t>A 999-2024</t>
        </is>
      </c>
      <c r="B734" s="1" t="n">
        <v>45301</v>
      </c>
      <c r="C734" s="1" t="n">
        <v>45576</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1010-2024</t>
        </is>
      </c>
      <c r="B735" s="1" t="n">
        <v>45301</v>
      </c>
      <c r="C735" s="1" t="n">
        <v>45576</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1000-2024</t>
        </is>
      </c>
      <c r="B736" s="1" t="n">
        <v>45301</v>
      </c>
      <c r="C736" s="1" t="n">
        <v>45576</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1008-2024</t>
        </is>
      </c>
      <c r="B737" s="1" t="n">
        <v>45301</v>
      </c>
      <c r="C737" s="1" t="n">
        <v>45576</v>
      </c>
      <c r="D737" t="inlineStr">
        <is>
          <t>GOTLANDS LÄN</t>
        </is>
      </c>
      <c r="E737" t="inlineStr">
        <is>
          <t>GOTLAND</t>
        </is>
      </c>
      <c r="G737" t="n">
        <v>2.3</v>
      </c>
      <c r="H737" t="n">
        <v>0</v>
      </c>
      <c r="I737" t="n">
        <v>0</v>
      </c>
      <c r="J737" t="n">
        <v>0</v>
      </c>
      <c r="K737" t="n">
        <v>0</v>
      </c>
      <c r="L737" t="n">
        <v>0</v>
      </c>
      <c r="M737" t="n">
        <v>0</v>
      </c>
      <c r="N737" t="n">
        <v>0</v>
      </c>
      <c r="O737" t="n">
        <v>0</v>
      </c>
      <c r="P737" t="n">
        <v>0</v>
      </c>
      <c r="Q737" t="n">
        <v>0</v>
      </c>
      <c r="R737" s="2" t="inlineStr"/>
    </row>
    <row r="738" ht="15" customHeight="1">
      <c r="A738" t="inlineStr">
        <is>
          <t>A 1066-2024</t>
        </is>
      </c>
      <c r="B738" s="1" t="n">
        <v>45302</v>
      </c>
      <c r="C738" s="1" t="n">
        <v>45576</v>
      </c>
      <c r="D738" t="inlineStr">
        <is>
          <t>GOTLANDS LÄN</t>
        </is>
      </c>
      <c r="E738" t="inlineStr">
        <is>
          <t>GOTLAND</t>
        </is>
      </c>
      <c r="G738" t="n">
        <v>1.4</v>
      </c>
      <c r="H738" t="n">
        <v>0</v>
      </c>
      <c r="I738" t="n">
        <v>0</v>
      </c>
      <c r="J738" t="n">
        <v>0</v>
      </c>
      <c r="K738" t="n">
        <v>0</v>
      </c>
      <c r="L738" t="n">
        <v>0</v>
      </c>
      <c r="M738" t="n">
        <v>0</v>
      </c>
      <c r="N738" t="n">
        <v>0</v>
      </c>
      <c r="O738" t="n">
        <v>0</v>
      </c>
      <c r="P738" t="n">
        <v>0</v>
      </c>
      <c r="Q738" t="n">
        <v>0</v>
      </c>
      <c r="R738" s="2" t="inlineStr"/>
    </row>
    <row r="739" ht="15" customHeight="1">
      <c r="A739" t="inlineStr">
        <is>
          <t>A 1321-2024</t>
        </is>
      </c>
      <c r="B739" s="1" t="n">
        <v>45303</v>
      </c>
      <c r="C739" s="1" t="n">
        <v>45576</v>
      </c>
      <c r="D739" t="inlineStr">
        <is>
          <t>GOTLANDS LÄN</t>
        </is>
      </c>
      <c r="E739" t="inlineStr">
        <is>
          <t>GOTLAND</t>
        </is>
      </c>
      <c r="G739" t="n">
        <v>5.5</v>
      </c>
      <c r="H739" t="n">
        <v>0</v>
      </c>
      <c r="I739" t="n">
        <v>0</v>
      </c>
      <c r="J739" t="n">
        <v>0</v>
      </c>
      <c r="K739" t="n">
        <v>0</v>
      </c>
      <c r="L739" t="n">
        <v>0</v>
      </c>
      <c r="M739" t="n">
        <v>0</v>
      </c>
      <c r="N739" t="n">
        <v>0</v>
      </c>
      <c r="O739" t="n">
        <v>0</v>
      </c>
      <c r="P739" t="n">
        <v>0</v>
      </c>
      <c r="Q739" t="n">
        <v>0</v>
      </c>
      <c r="R739" s="2" t="inlineStr"/>
    </row>
    <row r="740" ht="15" customHeight="1">
      <c r="A740" t="inlineStr">
        <is>
          <t>A 1477-2024</t>
        </is>
      </c>
      <c r="B740" s="1" t="n">
        <v>45305</v>
      </c>
      <c r="C740" s="1" t="n">
        <v>45576</v>
      </c>
      <c r="D740" t="inlineStr">
        <is>
          <t>GOTLANDS LÄN</t>
        </is>
      </c>
      <c r="E740" t="inlineStr">
        <is>
          <t>GOTLAND</t>
        </is>
      </c>
      <c r="G740" t="n">
        <v>6.9</v>
      </c>
      <c r="H740" t="n">
        <v>0</v>
      </c>
      <c r="I740" t="n">
        <v>0</v>
      </c>
      <c r="J740" t="n">
        <v>0</v>
      </c>
      <c r="K740" t="n">
        <v>0</v>
      </c>
      <c r="L740" t="n">
        <v>0</v>
      </c>
      <c r="M740" t="n">
        <v>0</v>
      </c>
      <c r="N740" t="n">
        <v>0</v>
      </c>
      <c r="O740" t="n">
        <v>0</v>
      </c>
      <c r="P740" t="n">
        <v>0</v>
      </c>
      <c r="Q740" t="n">
        <v>0</v>
      </c>
      <c r="R740" s="2" t="inlineStr"/>
    </row>
    <row r="741" ht="15" customHeight="1">
      <c r="A741" t="inlineStr">
        <is>
          <t>A 2010-2024</t>
        </is>
      </c>
      <c r="B741" s="1" t="n">
        <v>45308</v>
      </c>
      <c r="C741" s="1" t="n">
        <v>45576</v>
      </c>
      <c r="D741" t="inlineStr">
        <is>
          <t>GOTLANDS LÄN</t>
        </is>
      </c>
      <c r="E741" t="inlineStr">
        <is>
          <t>GOTLAND</t>
        </is>
      </c>
      <c r="G741" t="n">
        <v>5.1</v>
      </c>
      <c r="H741" t="n">
        <v>0</v>
      </c>
      <c r="I741" t="n">
        <v>0</v>
      </c>
      <c r="J741" t="n">
        <v>0</v>
      </c>
      <c r="K741" t="n">
        <v>0</v>
      </c>
      <c r="L741" t="n">
        <v>0</v>
      </c>
      <c r="M741" t="n">
        <v>0</v>
      </c>
      <c r="N741" t="n">
        <v>0</v>
      </c>
      <c r="O741" t="n">
        <v>0</v>
      </c>
      <c r="P741" t="n">
        <v>0</v>
      </c>
      <c r="Q741" t="n">
        <v>0</v>
      </c>
      <c r="R741" s="2" t="inlineStr"/>
    </row>
    <row r="742" ht="15" customHeight="1">
      <c r="A742" t="inlineStr">
        <is>
          <t>A 2774-2024</t>
        </is>
      </c>
      <c r="B742" s="1" t="n">
        <v>45314</v>
      </c>
      <c r="C742" s="1" t="n">
        <v>45576</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2821-2024</t>
        </is>
      </c>
      <c r="B743" s="1" t="n">
        <v>45314</v>
      </c>
      <c r="C743" s="1" t="n">
        <v>45576</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2825-2024</t>
        </is>
      </c>
      <c r="B744" s="1" t="n">
        <v>45314</v>
      </c>
      <c r="C744" s="1" t="n">
        <v>45576</v>
      </c>
      <c r="D744" t="inlineStr">
        <is>
          <t>GOTLANDS LÄN</t>
        </is>
      </c>
      <c r="E744" t="inlineStr">
        <is>
          <t>GOTLAND</t>
        </is>
      </c>
      <c r="G744" t="n">
        <v>4.8</v>
      </c>
      <c r="H744" t="n">
        <v>0</v>
      </c>
      <c r="I744" t="n">
        <v>0</v>
      </c>
      <c r="J744" t="n">
        <v>0</v>
      </c>
      <c r="K744" t="n">
        <v>0</v>
      </c>
      <c r="L744" t="n">
        <v>0</v>
      </c>
      <c r="M744" t="n">
        <v>0</v>
      </c>
      <c r="N744" t="n">
        <v>0</v>
      </c>
      <c r="O744" t="n">
        <v>0</v>
      </c>
      <c r="P744" t="n">
        <v>0</v>
      </c>
      <c r="Q744" t="n">
        <v>0</v>
      </c>
      <c r="R744" s="2" t="inlineStr"/>
    </row>
    <row r="745" ht="15" customHeight="1">
      <c r="A745" t="inlineStr">
        <is>
          <t>A 2819-2024</t>
        </is>
      </c>
      <c r="B745" s="1" t="n">
        <v>45314</v>
      </c>
      <c r="C745" s="1" t="n">
        <v>45576</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3004-2024</t>
        </is>
      </c>
      <c r="B746" s="1" t="n">
        <v>45315</v>
      </c>
      <c r="C746" s="1" t="n">
        <v>45576</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3689-2024</t>
        </is>
      </c>
      <c r="B747" s="1" t="n">
        <v>45321</v>
      </c>
      <c r="C747" s="1" t="n">
        <v>45576</v>
      </c>
      <c r="D747" t="inlineStr">
        <is>
          <t>GOTLANDS LÄN</t>
        </is>
      </c>
      <c r="E747" t="inlineStr">
        <is>
          <t>GOTLAND</t>
        </is>
      </c>
      <c r="G747" t="n">
        <v>4.5</v>
      </c>
      <c r="H747" t="n">
        <v>0</v>
      </c>
      <c r="I747" t="n">
        <v>0</v>
      </c>
      <c r="J747" t="n">
        <v>0</v>
      </c>
      <c r="K747" t="n">
        <v>0</v>
      </c>
      <c r="L747" t="n">
        <v>0</v>
      </c>
      <c r="M747" t="n">
        <v>0</v>
      </c>
      <c r="N747" t="n">
        <v>0</v>
      </c>
      <c r="O747" t="n">
        <v>0</v>
      </c>
      <c r="P747" t="n">
        <v>0</v>
      </c>
      <c r="Q747" t="n">
        <v>0</v>
      </c>
      <c r="R747" s="2" t="inlineStr"/>
    </row>
    <row r="748" ht="15" customHeight="1">
      <c r="A748" t="inlineStr">
        <is>
          <t>A 3707-2024</t>
        </is>
      </c>
      <c r="B748" s="1" t="n">
        <v>45321</v>
      </c>
      <c r="C748" s="1" t="n">
        <v>45576</v>
      </c>
      <c r="D748" t="inlineStr">
        <is>
          <t>GOTLANDS LÄN</t>
        </is>
      </c>
      <c r="E748" t="inlineStr">
        <is>
          <t>GOTLAND</t>
        </is>
      </c>
      <c r="G748" t="n">
        <v>12.2</v>
      </c>
      <c r="H748" t="n">
        <v>0</v>
      </c>
      <c r="I748" t="n">
        <v>0</v>
      </c>
      <c r="J748" t="n">
        <v>0</v>
      </c>
      <c r="K748" t="n">
        <v>0</v>
      </c>
      <c r="L748" t="n">
        <v>0</v>
      </c>
      <c r="M748" t="n">
        <v>0</v>
      </c>
      <c r="N748" t="n">
        <v>0</v>
      </c>
      <c r="O748" t="n">
        <v>0</v>
      </c>
      <c r="P748" t="n">
        <v>0</v>
      </c>
      <c r="Q748" t="n">
        <v>0</v>
      </c>
      <c r="R748" s="2" t="inlineStr"/>
    </row>
    <row r="749" ht="15" customHeight="1">
      <c r="A749" t="inlineStr">
        <is>
          <t>A 3964-2024</t>
        </is>
      </c>
      <c r="B749" s="1" t="n">
        <v>45322</v>
      </c>
      <c r="C749" s="1" t="n">
        <v>45576</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4259-2024</t>
        </is>
      </c>
      <c r="B750" s="1" t="n">
        <v>45324</v>
      </c>
      <c r="C750" s="1" t="n">
        <v>45576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4421-2024</t>
        </is>
      </c>
      <c r="B751" s="1" t="n">
        <v>45327</v>
      </c>
      <c r="C751" s="1" t="n">
        <v>45576</v>
      </c>
      <c r="D751" t="inlineStr">
        <is>
          <t>GOTLANDS LÄN</t>
        </is>
      </c>
      <c r="E751" t="inlineStr">
        <is>
          <t>GOTLAND</t>
        </is>
      </c>
      <c r="G751" t="n">
        <v>5.1</v>
      </c>
      <c r="H751" t="n">
        <v>0</v>
      </c>
      <c r="I751" t="n">
        <v>0</v>
      </c>
      <c r="J751" t="n">
        <v>0</v>
      </c>
      <c r="K751" t="n">
        <v>0</v>
      </c>
      <c r="L751" t="n">
        <v>0</v>
      </c>
      <c r="M751" t="n">
        <v>0</v>
      </c>
      <c r="N751" t="n">
        <v>0</v>
      </c>
      <c r="O751" t="n">
        <v>0</v>
      </c>
      <c r="P751" t="n">
        <v>0</v>
      </c>
      <c r="Q751" t="n">
        <v>0</v>
      </c>
      <c r="R751" s="2" t="inlineStr"/>
    </row>
    <row r="752" ht="15" customHeight="1">
      <c r="A752" t="inlineStr">
        <is>
          <t>A 4483-2024</t>
        </is>
      </c>
      <c r="B752" s="1" t="n">
        <v>45327</v>
      </c>
      <c r="C752" s="1" t="n">
        <v>45576</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4689-2024</t>
        </is>
      </c>
      <c r="B753" s="1" t="n">
        <v>45328</v>
      </c>
      <c r="C753" s="1" t="n">
        <v>45576</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4868-2024</t>
        </is>
      </c>
      <c r="B754" s="1" t="n">
        <v>45329</v>
      </c>
      <c r="C754" s="1" t="n">
        <v>45576</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5413-2024</t>
        </is>
      </c>
      <c r="B755" s="1" t="n">
        <v>45331</v>
      </c>
      <c r="C755" s="1" t="n">
        <v>45576</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5751-2024</t>
        </is>
      </c>
      <c r="B756" s="1" t="n">
        <v>45335</v>
      </c>
      <c r="C756" s="1" t="n">
        <v>45576</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5905-2024</t>
        </is>
      </c>
      <c r="B757" s="1" t="n">
        <v>45335</v>
      </c>
      <c r="C757" s="1" t="n">
        <v>45576</v>
      </c>
      <c r="D757" t="inlineStr">
        <is>
          <t>GOTLANDS LÄN</t>
        </is>
      </c>
      <c r="E757" t="inlineStr">
        <is>
          <t>GOTLAND</t>
        </is>
      </c>
      <c r="G757" t="n">
        <v>3</v>
      </c>
      <c r="H757" t="n">
        <v>0</v>
      </c>
      <c r="I757" t="n">
        <v>0</v>
      </c>
      <c r="J757" t="n">
        <v>0</v>
      </c>
      <c r="K757" t="n">
        <v>0</v>
      </c>
      <c r="L757" t="n">
        <v>0</v>
      </c>
      <c r="M757" t="n">
        <v>0</v>
      </c>
      <c r="N757" t="n">
        <v>0</v>
      </c>
      <c r="O757" t="n">
        <v>0</v>
      </c>
      <c r="P757" t="n">
        <v>0</v>
      </c>
      <c r="Q757" t="n">
        <v>0</v>
      </c>
      <c r="R757" s="2" t="inlineStr"/>
    </row>
    <row r="758" ht="15" customHeight="1">
      <c r="A758" t="inlineStr">
        <is>
          <t>A 5943-2024</t>
        </is>
      </c>
      <c r="B758" s="1" t="n">
        <v>45336</v>
      </c>
      <c r="C758" s="1" t="n">
        <v>45576</v>
      </c>
      <c r="D758" t="inlineStr">
        <is>
          <t>GOTLANDS LÄN</t>
        </is>
      </c>
      <c r="E758" t="inlineStr">
        <is>
          <t>GOTLAND</t>
        </is>
      </c>
      <c r="G758" t="n">
        <v>4.3</v>
      </c>
      <c r="H758" t="n">
        <v>0</v>
      </c>
      <c r="I758" t="n">
        <v>0</v>
      </c>
      <c r="J758" t="n">
        <v>0</v>
      </c>
      <c r="K758" t="n">
        <v>0</v>
      </c>
      <c r="L758" t="n">
        <v>0</v>
      </c>
      <c r="M758" t="n">
        <v>0</v>
      </c>
      <c r="N758" t="n">
        <v>0</v>
      </c>
      <c r="O758" t="n">
        <v>0</v>
      </c>
      <c r="P758" t="n">
        <v>0</v>
      </c>
      <c r="Q758" t="n">
        <v>0</v>
      </c>
      <c r="R758" s="2" t="inlineStr"/>
    </row>
    <row r="759" ht="15" customHeight="1">
      <c r="A759" t="inlineStr">
        <is>
          <t>A 6099-2024</t>
        </is>
      </c>
      <c r="B759" s="1" t="n">
        <v>45337</v>
      </c>
      <c r="C759" s="1" t="n">
        <v>45576</v>
      </c>
      <c r="D759" t="inlineStr">
        <is>
          <t>GOTLANDS LÄN</t>
        </is>
      </c>
      <c r="E759" t="inlineStr">
        <is>
          <t>GOTLAND</t>
        </is>
      </c>
      <c r="G759" t="n">
        <v>12.6</v>
      </c>
      <c r="H759" t="n">
        <v>0</v>
      </c>
      <c r="I759" t="n">
        <v>0</v>
      </c>
      <c r="J759" t="n">
        <v>0</v>
      </c>
      <c r="K759" t="n">
        <v>0</v>
      </c>
      <c r="L759" t="n">
        <v>0</v>
      </c>
      <c r="M759" t="n">
        <v>0</v>
      </c>
      <c r="N759" t="n">
        <v>0</v>
      </c>
      <c r="O759" t="n">
        <v>0</v>
      </c>
      <c r="P759" t="n">
        <v>0</v>
      </c>
      <c r="Q759" t="n">
        <v>0</v>
      </c>
      <c r="R759" s="2" t="inlineStr"/>
    </row>
    <row r="760" ht="15" customHeight="1">
      <c r="A760" t="inlineStr">
        <is>
          <t>A 6141-2024</t>
        </is>
      </c>
      <c r="B760" s="1" t="n">
        <v>45337</v>
      </c>
      <c r="C760" s="1" t="n">
        <v>45576</v>
      </c>
      <c r="D760" t="inlineStr">
        <is>
          <t>GOTLANDS LÄN</t>
        </is>
      </c>
      <c r="E760" t="inlineStr">
        <is>
          <t>GOTLAND</t>
        </is>
      </c>
      <c r="G760" t="n">
        <v>6.1</v>
      </c>
      <c r="H760" t="n">
        <v>0</v>
      </c>
      <c r="I760" t="n">
        <v>0</v>
      </c>
      <c r="J760" t="n">
        <v>0</v>
      </c>
      <c r="K760" t="n">
        <v>0</v>
      </c>
      <c r="L760" t="n">
        <v>0</v>
      </c>
      <c r="M760" t="n">
        <v>0</v>
      </c>
      <c r="N760" t="n">
        <v>0</v>
      </c>
      <c r="O760" t="n">
        <v>0</v>
      </c>
      <c r="P760" t="n">
        <v>0</v>
      </c>
      <c r="Q760" t="n">
        <v>0</v>
      </c>
      <c r="R760" s="2" t="inlineStr"/>
    </row>
    <row r="761" ht="15" customHeight="1">
      <c r="A761" t="inlineStr">
        <is>
          <t>A 6153-2024</t>
        </is>
      </c>
      <c r="B761" s="1" t="n">
        <v>45337</v>
      </c>
      <c r="C761" s="1" t="n">
        <v>45576</v>
      </c>
      <c r="D761" t="inlineStr">
        <is>
          <t>GOTLANDS LÄN</t>
        </is>
      </c>
      <c r="E761" t="inlineStr">
        <is>
          <t>GOTLAND</t>
        </is>
      </c>
      <c r="G761" t="n">
        <v>14.2</v>
      </c>
      <c r="H761" t="n">
        <v>0</v>
      </c>
      <c r="I761" t="n">
        <v>0</v>
      </c>
      <c r="J761" t="n">
        <v>0</v>
      </c>
      <c r="K761" t="n">
        <v>0</v>
      </c>
      <c r="L761" t="n">
        <v>0</v>
      </c>
      <c r="M761" t="n">
        <v>0</v>
      </c>
      <c r="N761" t="n">
        <v>0</v>
      </c>
      <c r="O761" t="n">
        <v>0</v>
      </c>
      <c r="P761" t="n">
        <v>0</v>
      </c>
      <c r="Q761" t="n">
        <v>0</v>
      </c>
      <c r="R761" s="2" t="inlineStr"/>
    </row>
    <row r="762" ht="15" customHeight="1">
      <c r="A762" t="inlineStr">
        <is>
          <t>A 6138-2024</t>
        </is>
      </c>
      <c r="B762" s="1" t="n">
        <v>45337</v>
      </c>
      <c r="C762" s="1" t="n">
        <v>45576</v>
      </c>
      <c r="D762" t="inlineStr">
        <is>
          <t>GOTLANDS LÄN</t>
        </is>
      </c>
      <c r="E762" t="inlineStr">
        <is>
          <t>GOTLAND</t>
        </is>
      </c>
      <c r="G762" t="n">
        <v>24.8</v>
      </c>
      <c r="H762" t="n">
        <v>0</v>
      </c>
      <c r="I762" t="n">
        <v>0</v>
      </c>
      <c r="J762" t="n">
        <v>0</v>
      </c>
      <c r="K762" t="n">
        <v>0</v>
      </c>
      <c r="L762" t="n">
        <v>0</v>
      </c>
      <c r="M762" t="n">
        <v>0</v>
      </c>
      <c r="N762" t="n">
        <v>0</v>
      </c>
      <c r="O762" t="n">
        <v>0</v>
      </c>
      <c r="P762" t="n">
        <v>0</v>
      </c>
      <c r="Q762" t="n">
        <v>0</v>
      </c>
      <c r="R762" s="2" t="inlineStr"/>
    </row>
    <row r="763" ht="15" customHeight="1">
      <c r="A763" t="inlineStr">
        <is>
          <t>A 7497-2024</t>
        </is>
      </c>
      <c r="B763" s="1" t="n">
        <v>45347</v>
      </c>
      <c r="C763" s="1" t="n">
        <v>45576</v>
      </c>
      <c r="D763" t="inlineStr">
        <is>
          <t>GOTLANDS LÄN</t>
        </is>
      </c>
      <c r="E763" t="inlineStr">
        <is>
          <t>GOTLAND</t>
        </is>
      </c>
      <c r="G763" t="n">
        <v>18.5</v>
      </c>
      <c r="H763" t="n">
        <v>0</v>
      </c>
      <c r="I763" t="n">
        <v>0</v>
      </c>
      <c r="J763" t="n">
        <v>0</v>
      </c>
      <c r="K763" t="n">
        <v>0</v>
      </c>
      <c r="L763" t="n">
        <v>0</v>
      </c>
      <c r="M763" t="n">
        <v>0</v>
      </c>
      <c r="N763" t="n">
        <v>0</v>
      </c>
      <c r="O763" t="n">
        <v>0</v>
      </c>
      <c r="P763" t="n">
        <v>0</v>
      </c>
      <c r="Q763" t="n">
        <v>0</v>
      </c>
      <c r="R763" s="2" t="inlineStr"/>
    </row>
    <row r="764" ht="15" customHeight="1">
      <c r="A764" t="inlineStr">
        <is>
          <t>A 7837-2024</t>
        </is>
      </c>
      <c r="B764" s="1" t="n">
        <v>45349</v>
      </c>
      <c r="C764" s="1" t="n">
        <v>45576</v>
      </c>
      <c r="D764" t="inlineStr">
        <is>
          <t>GOTLANDS LÄN</t>
        </is>
      </c>
      <c r="E764" t="inlineStr">
        <is>
          <t>GOTLAND</t>
        </is>
      </c>
      <c r="G764" t="n">
        <v>5</v>
      </c>
      <c r="H764" t="n">
        <v>0</v>
      </c>
      <c r="I764" t="n">
        <v>0</v>
      </c>
      <c r="J764" t="n">
        <v>0</v>
      </c>
      <c r="K764" t="n">
        <v>0</v>
      </c>
      <c r="L764" t="n">
        <v>0</v>
      </c>
      <c r="M764" t="n">
        <v>0</v>
      </c>
      <c r="N764" t="n">
        <v>0</v>
      </c>
      <c r="O764" t="n">
        <v>0</v>
      </c>
      <c r="P764" t="n">
        <v>0</v>
      </c>
      <c r="Q764" t="n">
        <v>0</v>
      </c>
      <c r="R764" s="2" t="inlineStr"/>
    </row>
    <row r="765" ht="15" customHeight="1">
      <c r="A765" t="inlineStr">
        <is>
          <t>A 7835-2024</t>
        </is>
      </c>
      <c r="B765" s="1" t="n">
        <v>45349</v>
      </c>
      <c r="C765" s="1" t="n">
        <v>45576</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8460-2024</t>
        </is>
      </c>
      <c r="B766" s="1" t="n">
        <v>45355</v>
      </c>
      <c r="C766" s="1" t="n">
        <v>45576</v>
      </c>
      <c r="D766" t="inlineStr">
        <is>
          <t>GOTLANDS LÄN</t>
        </is>
      </c>
      <c r="E766" t="inlineStr">
        <is>
          <t>GOTLAND</t>
        </is>
      </c>
      <c r="G766" t="n">
        <v>2.6</v>
      </c>
      <c r="H766" t="n">
        <v>0</v>
      </c>
      <c r="I766" t="n">
        <v>0</v>
      </c>
      <c r="J766" t="n">
        <v>0</v>
      </c>
      <c r="K766" t="n">
        <v>0</v>
      </c>
      <c r="L766" t="n">
        <v>0</v>
      </c>
      <c r="M766" t="n">
        <v>0</v>
      </c>
      <c r="N766" t="n">
        <v>0</v>
      </c>
      <c r="O766" t="n">
        <v>0</v>
      </c>
      <c r="P766" t="n">
        <v>0</v>
      </c>
      <c r="Q766" t="n">
        <v>0</v>
      </c>
      <c r="R766" s="2" t="inlineStr"/>
    </row>
    <row r="767" ht="15" customHeight="1">
      <c r="A767" t="inlineStr">
        <is>
          <t>A 9947-2024</t>
        </is>
      </c>
      <c r="B767" s="1" t="n">
        <v>45363</v>
      </c>
      <c r="C767" s="1" t="n">
        <v>45576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10051-2024</t>
        </is>
      </c>
      <c r="B768" s="1" t="n">
        <v>45364</v>
      </c>
      <c r="C768" s="1" t="n">
        <v>45576</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10503-2024</t>
        </is>
      </c>
      <c r="B769" s="1" t="n">
        <v>45366</v>
      </c>
      <c r="C769" s="1" t="n">
        <v>45576</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10656-2024</t>
        </is>
      </c>
      <c r="B770" s="1" t="n">
        <v>45368</v>
      </c>
      <c r="C770" s="1" t="n">
        <v>45576</v>
      </c>
      <c r="D770" t="inlineStr">
        <is>
          <t>GOTLANDS LÄN</t>
        </is>
      </c>
      <c r="E770" t="inlineStr">
        <is>
          <t>GOTLAND</t>
        </is>
      </c>
      <c r="G770" t="n">
        <v>1.5</v>
      </c>
      <c r="H770" t="n">
        <v>0</v>
      </c>
      <c r="I770" t="n">
        <v>0</v>
      </c>
      <c r="J770" t="n">
        <v>0</v>
      </c>
      <c r="K770" t="n">
        <v>0</v>
      </c>
      <c r="L770" t="n">
        <v>0</v>
      </c>
      <c r="M770" t="n">
        <v>0</v>
      </c>
      <c r="N770" t="n">
        <v>0</v>
      </c>
      <c r="O770" t="n">
        <v>0</v>
      </c>
      <c r="P770" t="n">
        <v>0</v>
      </c>
      <c r="Q770" t="n">
        <v>0</v>
      </c>
      <c r="R770" s="2" t="inlineStr"/>
    </row>
    <row r="771" ht="15" customHeight="1">
      <c r="A771" t="inlineStr">
        <is>
          <t>A 11013-2024</t>
        </is>
      </c>
      <c r="B771" s="1" t="n">
        <v>45370</v>
      </c>
      <c r="C771" s="1" t="n">
        <v>45576</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11254-2024</t>
        </is>
      </c>
      <c r="B772" s="1" t="n">
        <v>45371</v>
      </c>
      <c r="C772" s="1" t="n">
        <v>45576</v>
      </c>
      <c r="D772" t="inlineStr">
        <is>
          <t>GOTLANDS LÄN</t>
        </is>
      </c>
      <c r="E772" t="inlineStr">
        <is>
          <t>GOTLAND</t>
        </is>
      </c>
      <c r="G772" t="n">
        <v>5.6</v>
      </c>
      <c r="H772" t="n">
        <v>0</v>
      </c>
      <c r="I772" t="n">
        <v>0</v>
      </c>
      <c r="J772" t="n">
        <v>0</v>
      </c>
      <c r="K772" t="n">
        <v>0</v>
      </c>
      <c r="L772" t="n">
        <v>0</v>
      </c>
      <c r="M772" t="n">
        <v>0</v>
      </c>
      <c r="N772" t="n">
        <v>0</v>
      </c>
      <c r="O772" t="n">
        <v>0</v>
      </c>
      <c r="P772" t="n">
        <v>0</v>
      </c>
      <c r="Q772" t="n">
        <v>0</v>
      </c>
      <c r="R772" s="2" t="inlineStr"/>
    </row>
    <row r="773" ht="15" customHeight="1">
      <c r="A773" t="inlineStr">
        <is>
          <t>A 11634-2024</t>
        </is>
      </c>
      <c r="B773" s="1" t="n">
        <v>45373</v>
      </c>
      <c r="C773" s="1" t="n">
        <v>45576</v>
      </c>
      <c r="D773" t="inlineStr">
        <is>
          <t>GOTLANDS LÄN</t>
        </is>
      </c>
      <c r="E773" t="inlineStr">
        <is>
          <t>GOTLAND</t>
        </is>
      </c>
      <c r="G773" t="n">
        <v>3</v>
      </c>
      <c r="H773" t="n">
        <v>0</v>
      </c>
      <c r="I773" t="n">
        <v>0</v>
      </c>
      <c r="J773" t="n">
        <v>0</v>
      </c>
      <c r="K773" t="n">
        <v>0</v>
      </c>
      <c r="L773" t="n">
        <v>0</v>
      </c>
      <c r="M773" t="n">
        <v>0</v>
      </c>
      <c r="N773" t="n">
        <v>0</v>
      </c>
      <c r="O773" t="n">
        <v>0</v>
      </c>
      <c r="P773" t="n">
        <v>0</v>
      </c>
      <c r="Q773" t="n">
        <v>0</v>
      </c>
      <c r="R773" s="2" t="inlineStr"/>
    </row>
    <row r="774" ht="15" customHeight="1">
      <c r="A774" t="inlineStr">
        <is>
          <t>A 11722-2024</t>
        </is>
      </c>
      <c r="B774" s="1" t="n">
        <v>45373</v>
      </c>
      <c r="C774" s="1" t="n">
        <v>45576</v>
      </c>
      <c r="D774" t="inlineStr">
        <is>
          <t>GOTLANDS LÄN</t>
        </is>
      </c>
      <c r="E774" t="inlineStr">
        <is>
          <t>GOTLAND</t>
        </is>
      </c>
      <c r="G774" t="n">
        <v>0.9</v>
      </c>
      <c r="H774" t="n">
        <v>0</v>
      </c>
      <c r="I774" t="n">
        <v>0</v>
      </c>
      <c r="J774" t="n">
        <v>0</v>
      </c>
      <c r="K774" t="n">
        <v>0</v>
      </c>
      <c r="L774" t="n">
        <v>0</v>
      </c>
      <c r="M774" t="n">
        <v>0</v>
      </c>
      <c r="N774" t="n">
        <v>0</v>
      </c>
      <c r="O774" t="n">
        <v>0</v>
      </c>
      <c r="P774" t="n">
        <v>0</v>
      </c>
      <c r="Q774" t="n">
        <v>0</v>
      </c>
      <c r="R774" s="2" t="inlineStr"/>
    </row>
    <row r="775" ht="15" customHeight="1">
      <c r="A775" t="inlineStr">
        <is>
          <t>A 11590-2024</t>
        </is>
      </c>
      <c r="B775" s="1" t="n">
        <v>45373</v>
      </c>
      <c r="C775" s="1" t="n">
        <v>45576</v>
      </c>
      <c r="D775" t="inlineStr">
        <is>
          <t>GOTLANDS LÄN</t>
        </is>
      </c>
      <c r="E775" t="inlineStr">
        <is>
          <t>GOTLAND</t>
        </is>
      </c>
      <c r="G775" t="n">
        <v>2.9</v>
      </c>
      <c r="H775" t="n">
        <v>0</v>
      </c>
      <c r="I775" t="n">
        <v>0</v>
      </c>
      <c r="J775" t="n">
        <v>0</v>
      </c>
      <c r="K775" t="n">
        <v>0</v>
      </c>
      <c r="L775" t="n">
        <v>0</v>
      </c>
      <c r="M775" t="n">
        <v>0</v>
      </c>
      <c r="N775" t="n">
        <v>0</v>
      </c>
      <c r="O775" t="n">
        <v>0</v>
      </c>
      <c r="P775" t="n">
        <v>0</v>
      </c>
      <c r="Q775" t="n">
        <v>0</v>
      </c>
      <c r="R775" s="2" t="inlineStr"/>
    </row>
    <row r="776" ht="15" customHeight="1">
      <c r="A776" t="inlineStr">
        <is>
          <t>A 11598-2024</t>
        </is>
      </c>
      <c r="B776" s="1" t="n">
        <v>45373</v>
      </c>
      <c r="C776" s="1" t="n">
        <v>45576</v>
      </c>
      <c r="D776" t="inlineStr">
        <is>
          <t>GOTLANDS LÄN</t>
        </is>
      </c>
      <c r="E776" t="inlineStr">
        <is>
          <t>GOTLAND</t>
        </is>
      </c>
      <c r="G776" t="n">
        <v>0.3</v>
      </c>
      <c r="H776" t="n">
        <v>0</v>
      </c>
      <c r="I776" t="n">
        <v>0</v>
      </c>
      <c r="J776" t="n">
        <v>0</v>
      </c>
      <c r="K776" t="n">
        <v>0</v>
      </c>
      <c r="L776" t="n">
        <v>0</v>
      </c>
      <c r="M776" t="n">
        <v>0</v>
      </c>
      <c r="N776" t="n">
        <v>0</v>
      </c>
      <c r="O776" t="n">
        <v>0</v>
      </c>
      <c r="P776" t="n">
        <v>0</v>
      </c>
      <c r="Q776" t="n">
        <v>0</v>
      </c>
      <c r="R776" s="2" t="inlineStr"/>
    </row>
    <row r="777" ht="15" customHeight="1">
      <c r="A777" t="inlineStr">
        <is>
          <t>A 11863-2024</t>
        </is>
      </c>
      <c r="B777" s="1" t="n">
        <v>45376</v>
      </c>
      <c r="C777" s="1" t="n">
        <v>45576</v>
      </c>
      <c r="D777" t="inlineStr">
        <is>
          <t>GOTLANDS LÄN</t>
        </is>
      </c>
      <c r="E777" t="inlineStr">
        <is>
          <t>GOTLAND</t>
        </is>
      </c>
      <c r="G777" t="n">
        <v>3.2</v>
      </c>
      <c r="H777" t="n">
        <v>0</v>
      </c>
      <c r="I777" t="n">
        <v>0</v>
      </c>
      <c r="J777" t="n">
        <v>0</v>
      </c>
      <c r="K777" t="n">
        <v>0</v>
      </c>
      <c r="L777" t="n">
        <v>0</v>
      </c>
      <c r="M777" t="n">
        <v>0</v>
      </c>
      <c r="N777" t="n">
        <v>0</v>
      </c>
      <c r="O777" t="n">
        <v>0</v>
      </c>
      <c r="P777" t="n">
        <v>0</v>
      </c>
      <c r="Q777" t="n">
        <v>0</v>
      </c>
      <c r="R777" s="2" t="inlineStr"/>
    </row>
    <row r="778" ht="15" customHeight="1">
      <c r="A778" t="inlineStr">
        <is>
          <t>A 11868-2024</t>
        </is>
      </c>
      <c r="B778" s="1" t="n">
        <v>45376</v>
      </c>
      <c r="C778" s="1" t="n">
        <v>45576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11874-2024</t>
        </is>
      </c>
      <c r="B779" s="1" t="n">
        <v>45376</v>
      </c>
      <c r="C779" s="1" t="n">
        <v>45576</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12208-2024</t>
        </is>
      </c>
      <c r="B780" s="1" t="n">
        <v>45378</v>
      </c>
      <c r="C780" s="1" t="n">
        <v>45576</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12210-2024</t>
        </is>
      </c>
      <c r="B781" s="1" t="n">
        <v>45378</v>
      </c>
      <c r="C781" s="1" t="n">
        <v>45576</v>
      </c>
      <c r="D781" t="inlineStr">
        <is>
          <t>GOTLANDS LÄN</t>
        </is>
      </c>
      <c r="E781" t="inlineStr">
        <is>
          <t>GOTLAND</t>
        </is>
      </c>
      <c r="G781" t="n">
        <v>4.1</v>
      </c>
      <c r="H781" t="n">
        <v>0</v>
      </c>
      <c r="I781" t="n">
        <v>0</v>
      </c>
      <c r="J781" t="n">
        <v>0</v>
      </c>
      <c r="K781" t="n">
        <v>0</v>
      </c>
      <c r="L781" t="n">
        <v>0</v>
      </c>
      <c r="M781" t="n">
        <v>0</v>
      </c>
      <c r="N781" t="n">
        <v>0</v>
      </c>
      <c r="O781" t="n">
        <v>0</v>
      </c>
      <c r="P781" t="n">
        <v>0</v>
      </c>
      <c r="Q781" t="n">
        <v>0</v>
      </c>
      <c r="R781" s="2" t="inlineStr"/>
    </row>
    <row r="782" ht="15" customHeight="1">
      <c r="A782" t="inlineStr">
        <is>
          <t>A 12207-2024</t>
        </is>
      </c>
      <c r="B782" s="1" t="n">
        <v>45378</v>
      </c>
      <c r="C782" s="1" t="n">
        <v>45576</v>
      </c>
      <c r="D782" t="inlineStr">
        <is>
          <t>GOTLANDS LÄN</t>
        </is>
      </c>
      <c r="E782" t="inlineStr">
        <is>
          <t>GOTLAND</t>
        </is>
      </c>
      <c r="G782" t="n">
        <v>3.9</v>
      </c>
      <c r="H782" t="n">
        <v>0</v>
      </c>
      <c r="I782" t="n">
        <v>0</v>
      </c>
      <c r="J782" t="n">
        <v>0</v>
      </c>
      <c r="K782" t="n">
        <v>0</v>
      </c>
      <c r="L782" t="n">
        <v>0</v>
      </c>
      <c r="M782" t="n">
        <v>0</v>
      </c>
      <c r="N782" t="n">
        <v>0</v>
      </c>
      <c r="O782" t="n">
        <v>0</v>
      </c>
      <c r="P782" t="n">
        <v>0</v>
      </c>
      <c r="Q782" t="n">
        <v>0</v>
      </c>
      <c r="R782" s="2" t="inlineStr"/>
    </row>
    <row r="783" ht="15" customHeight="1">
      <c r="A783" t="inlineStr">
        <is>
          <t>A 12209-2024</t>
        </is>
      </c>
      <c r="B783" s="1" t="n">
        <v>45378</v>
      </c>
      <c r="C783" s="1" t="n">
        <v>45576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12312-2024</t>
        </is>
      </c>
      <c r="B784" s="1" t="n">
        <v>45378</v>
      </c>
      <c r="C784" s="1" t="n">
        <v>45576</v>
      </c>
      <c r="D784" t="inlineStr">
        <is>
          <t>GOTLANDS LÄN</t>
        </is>
      </c>
      <c r="E784" t="inlineStr">
        <is>
          <t>GOTLAND</t>
        </is>
      </c>
      <c r="G784" t="n">
        <v>1.8</v>
      </c>
      <c r="H784" t="n">
        <v>0</v>
      </c>
      <c r="I784" t="n">
        <v>0</v>
      </c>
      <c r="J784" t="n">
        <v>0</v>
      </c>
      <c r="K784" t="n">
        <v>0</v>
      </c>
      <c r="L784" t="n">
        <v>0</v>
      </c>
      <c r="M784" t="n">
        <v>0</v>
      </c>
      <c r="N784" t="n">
        <v>0</v>
      </c>
      <c r="O784" t="n">
        <v>0</v>
      </c>
      <c r="P784" t="n">
        <v>0</v>
      </c>
      <c r="Q784" t="n">
        <v>0</v>
      </c>
      <c r="R784" s="2" t="inlineStr"/>
    </row>
    <row r="785" ht="15" customHeight="1">
      <c r="A785" t="inlineStr">
        <is>
          <t>A 12389-2024</t>
        </is>
      </c>
      <c r="B785" s="1" t="n">
        <v>45379</v>
      </c>
      <c r="C785" s="1" t="n">
        <v>45576</v>
      </c>
      <c r="D785" t="inlineStr">
        <is>
          <t>GOTLANDS LÄN</t>
        </is>
      </c>
      <c r="E785" t="inlineStr">
        <is>
          <t>GOTLAND</t>
        </is>
      </c>
      <c r="G785" t="n">
        <v>6.4</v>
      </c>
      <c r="H785" t="n">
        <v>0</v>
      </c>
      <c r="I785" t="n">
        <v>0</v>
      </c>
      <c r="J785" t="n">
        <v>0</v>
      </c>
      <c r="K785" t="n">
        <v>0</v>
      </c>
      <c r="L785" t="n">
        <v>0</v>
      </c>
      <c r="M785" t="n">
        <v>0</v>
      </c>
      <c r="N785" t="n">
        <v>0</v>
      </c>
      <c r="O785" t="n">
        <v>0</v>
      </c>
      <c r="P785" t="n">
        <v>0</v>
      </c>
      <c r="Q785" t="n">
        <v>0</v>
      </c>
      <c r="R785" s="2" t="inlineStr"/>
    </row>
    <row r="786" ht="15" customHeight="1">
      <c r="A786" t="inlineStr">
        <is>
          <t>A 12390-2024</t>
        </is>
      </c>
      <c r="B786" s="1" t="n">
        <v>45379</v>
      </c>
      <c r="C786" s="1" t="n">
        <v>45576</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13531-2024</t>
        </is>
      </c>
      <c r="B787" s="1" t="n">
        <v>45387</v>
      </c>
      <c r="C787" s="1" t="n">
        <v>45576</v>
      </c>
      <c r="D787" t="inlineStr">
        <is>
          <t>GOTLANDS LÄN</t>
        </is>
      </c>
      <c r="E787" t="inlineStr">
        <is>
          <t>GOTLAND</t>
        </is>
      </c>
      <c r="G787" t="n">
        <v>17.7</v>
      </c>
      <c r="H787" t="n">
        <v>0</v>
      </c>
      <c r="I787" t="n">
        <v>0</v>
      </c>
      <c r="J787" t="n">
        <v>0</v>
      </c>
      <c r="K787" t="n">
        <v>0</v>
      </c>
      <c r="L787" t="n">
        <v>0</v>
      </c>
      <c r="M787" t="n">
        <v>0</v>
      </c>
      <c r="N787" t="n">
        <v>0</v>
      </c>
      <c r="O787" t="n">
        <v>0</v>
      </c>
      <c r="P787" t="n">
        <v>0</v>
      </c>
      <c r="Q787" t="n">
        <v>0</v>
      </c>
      <c r="R787" s="2" t="inlineStr"/>
    </row>
    <row r="788" ht="15" customHeight="1">
      <c r="A788" t="inlineStr">
        <is>
          <t>A 13655-2024</t>
        </is>
      </c>
      <c r="B788" s="1" t="n">
        <v>45390</v>
      </c>
      <c r="C788" s="1" t="n">
        <v>45576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14139-2024</t>
        </is>
      </c>
      <c r="B789" s="1" t="n">
        <v>45392</v>
      </c>
      <c r="C789" s="1" t="n">
        <v>45576</v>
      </c>
      <c r="D789" t="inlineStr">
        <is>
          <t>GOTLANDS LÄN</t>
        </is>
      </c>
      <c r="E789" t="inlineStr">
        <is>
          <t>GOTLAND</t>
        </is>
      </c>
      <c r="G789" t="n">
        <v>3.1</v>
      </c>
      <c r="H789" t="n">
        <v>0</v>
      </c>
      <c r="I789" t="n">
        <v>0</v>
      </c>
      <c r="J789" t="n">
        <v>0</v>
      </c>
      <c r="K789" t="n">
        <v>0</v>
      </c>
      <c r="L789" t="n">
        <v>0</v>
      </c>
      <c r="M789" t="n">
        <v>0</v>
      </c>
      <c r="N789" t="n">
        <v>0</v>
      </c>
      <c r="O789" t="n">
        <v>0</v>
      </c>
      <c r="P789" t="n">
        <v>0</v>
      </c>
      <c r="Q789" t="n">
        <v>0</v>
      </c>
      <c r="R789" s="2" t="inlineStr"/>
    </row>
    <row r="790" ht="15" customHeight="1">
      <c r="A790" t="inlineStr">
        <is>
          <t>A 14141-2024</t>
        </is>
      </c>
      <c r="B790" s="1" t="n">
        <v>45392</v>
      </c>
      <c r="C790" s="1" t="n">
        <v>45576</v>
      </c>
      <c r="D790" t="inlineStr">
        <is>
          <t>GOTLANDS LÄN</t>
        </is>
      </c>
      <c r="E790" t="inlineStr">
        <is>
          <t>GOTLAND</t>
        </is>
      </c>
      <c r="G790" t="n">
        <v>5.3</v>
      </c>
      <c r="H790" t="n">
        <v>0</v>
      </c>
      <c r="I790" t="n">
        <v>0</v>
      </c>
      <c r="J790" t="n">
        <v>0</v>
      </c>
      <c r="K790" t="n">
        <v>0</v>
      </c>
      <c r="L790" t="n">
        <v>0</v>
      </c>
      <c r="M790" t="n">
        <v>0</v>
      </c>
      <c r="N790" t="n">
        <v>0</v>
      </c>
      <c r="O790" t="n">
        <v>0</v>
      </c>
      <c r="P790" t="n">
        <v>0</v>
      </c>
      <c r="Q790" t="n">
        <v>0</v>
      </c>
      <c r="R790" s="2" t="inlineStr"/>
    </row>
    <row r="791" ht="15" customHeight="1">
      <c r="A791" t="inlineStr">
        <is>
          <t>A 14427-2024</t>
        </is>
      </c>
      <c r="B791" s="1" t="n">
        <v>45394</v>
      </c>
      <c r="C791" s="1" t="n">
        <v>45576</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14593-2024</t>
        </is>
      </c>
      <c r="B792" s="1" t="n">
        <v>45395</v>
      </c>
      <c r="C792" s="1" t="n">
        <v>45576</v>
      </c>
      <c r="D792" t="inlineStr">
        <is>
          <t>GOTLANDS LÄN</t>
        </is>
      </c>
      <c r="E792" t="inlineStr">
        <is>
          <t>GOTLAND</t>
        </is>
      </c>
      <c r="G792" t="n">
        <v>5.4</v>
      </c>
      <c r="H792" t="n">
        <v>0</v>
      </c>
      <c r="I792" t="n">
        <v>0</v>
      </c>
      <c r="J792" t="n">
        <v>0</v>
      </c>
      <c r="K792" t="n">
        <v>0</v>
      </c>
      <c r="L792" t="n">
        <v>0</v>
      </c>
      <c r="M792" t="n">
        <v>0</v>
      </c>
      <c r="N792" t="n">
        <v>0</v>
      </c>
      <c r="O792" t="n">
        <v>0</v>
      </c>
      <c r="P792" t="n">
        <v>0</v>
      </c>
      <c r="Q792" t="n">
        <v>0</v>
      </c>
      <c r="R792" s="2" t="inlineStr"/>
    </row>
    <row r="793" ht="15" customHeight="1">
      <c r="A793" t="inlineStr">
        <is>
          <t>A 14797-2024</t>
        </is>
      </c>
      <c r="B793" s="1" t="n">
        <v>45397</v>
      </c>
      <c r="C793" s="1" t="n">
        <v>45576</v>
      </c>
      <c r="D793" t="inlineStr">
        <is>
          <t>GOTLANDS LÄN</t>
        </is>
      </c>
      <c r="E793" t="inlineStr">
        <is>
          <t>GOTLAND</t>
        </is>
      </c>
      <c r="G793" t="n">
        <v>8.1</v>
      </c>
      <c r="H793" t="n">
        <v>0</v>
      </c>
      <c r="I793" t="n">
        <v>0</v>
      </c>
      <c r="J793" t="n">
        <v>0</v>
      </c>
      <c r="K793" t="n">
        <v>0</v>
      </c>
      <c r="L793" t="n">
        <v>0</v>
      </c>
      <c r="M793" t="n">
        <v>0</v>
      </c>
      <c r="N793" t="n">
        <v>0</v>
      </c>
      <c r="O793" t="n">
        <v>0</v>
      </c>
      <c r="P793" t="n">
        <v>0</v>
      </c>
      <c r="Q793" t="n">
        <v>0</v>
      </c>
      <c r="R793" s="2" t="inlineStr"/>
    </row>
    <row r="794" ht="15" customHeight="1">
      <c r="A794" t="inlineStr">
        <is>
          <t>A 15595-2024</t>
        </is>
      </c>
      <c r="B794" s="1" t="n">
        <v>45401</v>
      </c>
      <c r="C794" s="1" t="n">
        <v>45576</v>
      </c>
      <c r="D794" t="inlineStr">
        <is>
          <t>GOTLANDS LÄN</t>
        </is>
      </c>
      <c r="E794" t="inlineStr">
        <is>
          <t>GOTLAND</t>
        </is>
      </c>
      <c r="G794" t="n">
        <v>6.4</v>
      </c>
      <c r="H794" t="n">
        <v>0</v>
      </c>
      <c r="I794" t="n">
        <v>0</v>
      </c>
      <c r="J794" t="n">
        <v>0</v>
      </c>
      <c r="K794" t="n">
        <v>0</v>
      </c>
      <c r="L794" t="n">
        <v>0</v>
      </c>
      <c r="M794" t="n">
        <v>0</v>
      </c>
      <c r="N794" t="n">
        <v>0</v>
      </c>
      <c r="O794" t="n">
        <v>0</v>
      </c>
      <c r="P794" t="n">
        <v>0</v>
      </c>
      <c r="Q794" t="n">
        <v>0</v>
      </c>
      <c r="R794" s="2" t="inlineStr"/>
    </row>
    <row r="795" ht="15" customHeight="1">
      <c r="A795" t="inlineStr">
        <is>
          <t>A 15434-2024</t>
        </is>
      </c>
      <c r="B795" s="1" t="n">
        <v>45401</v>
      </c>
      <c r="C795" s="1" t="n">
        <v>45576</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15885-2024</t>
        </is>
      </c>
      <c r="B796" s="1" t="n">
        <v>45405</v>
      </c>
      <c r="C796" s="1" t="n">
        <v>45576</v>
      </c>
      <c r="D796" t="inlineStr">
        <is>
          <t>GOTLANDS LÄN</t>
        </is>
      </c>
      <c r="E796" t="inlineStr">
        <is>
          <t>GOTLAND</t>
        </is>
      </c>
      <c r="G796" t="n">
        <v>0.8</v>
      </c>
      <c r="H796" t="n">
        <v>0</v>
      </c>
      <c r="I796" t="n">
        <v>0</v>
      </c>
      <c r="J796" t="n">
        <v>0</v>
      </c>
      <c r="K796" t="n">
        <v>0</v>
      </c>
      <c r="L796" t="n">
        <v>0</v>
      </c>
      <c r="M796" t="n">
        <v>0</v>
      </c>
      <c r="N796" t="n">
        <v>0</v>
      </c>
      <c r="O796" t="n">
        <v>0</v>
      </c>
      <c r="P796" t="n">
        <v>0</v>
      </c>
      <c r="Q796" t="n">
        <v>0</v>
      </c>
      <c r="R796" s="2" t="inlineStr"/>
    </row>
    <row r="797" ht="15" customHeight="1">
      <c r="A797" t="inlineStr">
        <is>
          <t>A 16322-2024</t>
        </is>
      </c>
      <c r="B797" s="1" t="n">
        <v>45407</v>
      </c>
      <c r="C797" s="1" t="n">
        <v>45576</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16361-2024</t>
        </is>
      </c>
      <c r="B798" s="1" t="n">
        <v>45407</v>
      </c>
      <c r="C798" s="1" t="n">
        <v>45576</v>
      </c>
      <c r="D798" t="inlineStr">
        <is>
          <t>GOTLANDS LÄN</t>
        </is>
      </c>
      <c r="E798" t="inlineStr">
        <is>
          <t>GOTLAND</t>
        </is>
      </c>
      <c r="G798" t="n">
        <v>6</v>
      </c>
      <c r="H798" t="n">
        <v>0</v>
      </c>
      <c r="I798" t="n">
        <v>0</v>
      </c>
      <c r="J798" t="n">
        <v>0</v>
      </c>
      <c r="K798" t="n">
        <v>0</v>
      </c>
      <c r="L798" t="n">
        <v>0</v>
      </c>
      <c r="M798" t="n">
        <v>0</v>
      </c>
      <c r="N798" t="n">
        <v>0</v>
      </c>
      <c r="O798" t="n">
        <v>0</v>
      </c>
      <c r="P798" t="n">
        <v>0</v>
      </c>
      <c r="Q798" t="n">
        <v>0</v>
      </c>
      <c r="R798" s="2" t="inlineStr"/>
    </row>
    <row r="799" ht="15" customHeight="1">
      <c r="A799" t="inlineStr">
        <is>
          <t>A 16328-2024</t>
        </is>
      </c>
      <c r="B799" s="1" t="n">
        <v>45407</v>
      </c>
      <c r="C799" s="1" t="n">
        <v>45576</v>
      </c>
      <c r="D799" t="inlineStr">
        <is>
          <t>GOTLANDS LÄN</t>
        </is>
      </c>
      <c r="E799" t="inlineStr">
        <is>
          <t>GOTLAND</t>
        </is>
      </c>
      <c r="G799" t="n">
        <v>1.7</v>
      </c>
      <c r="H799" t="n">
        <v>0</v>
      </c>
      <c r="I799" t="n">
        <v>0</v>
      </c>
      <c r="J799" t="n">
        <v>0</v>
      </c>
      <c r="K799" t="n">
        <v>0</v>
      </c>
      <c r="L799" t="n">
        <v>0</v>
      </c>
      <c r="M799" t="n">
        <v>0</v>
      </c>
      <c r="N799" t="n">
        <v>0</v>
      </c>
      <c r="O799" t="n">
        <v>0</v>
      </c>
      <c r="P799" t="n">
        <v>0</v>
      </c>
      <c r="Q799" t="n">
        <v>0</v>
      </c>
      <c r="R799" s="2" t="inlineStr"/>
    </row>
    <row r="800" ht="15" customHeight="1">
      <c r="A800" t="inlineStr">
        <is>
          <t>A 17087-2024</t>
        </is>
      </c>
      <c r="B800" s="1" t="n">
        <v>45412</v>
      </c>
      <c r="C800" s="1" t="n">
        <v>45576</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17089-2024</t>
        </is>
      </c>
      <c r="B801" s="1" t="n">
        <v>45412</v>
      </c>
      <c r="C801" s="1" t="n">
        <v>45576</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17085-2024</t>
        </is>
      </c>
      <c r="B802" s="1" t="n">
        <v>45412</v>
      </c>
      <c r="C802" s="1" t="n">
        <v>45576</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17532-2024</t>
        </is>
      </c>
      <c r="B803" s="1" t="n">
        <v>45415</v>
      </c>
      <c r="C803" s="1" t="n">
        <v>45576</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17541-2024</t>
        </is>
      </c>
      <c r="B804" s="1" t="n">
        <v>45415</v>
      </c>
      <c r="C804" s="1" t="n">
        <v>45576</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17616-2024</t>
        </is>
      </c>
      <c r="B805" s="1" t="n">
        <v>45416</v>
      </c>
      <c r="C805" s="1" t="n">
        <v>45576</v>
      </c>
      <c r="D805" t="inlineStr">
        <is>
          <t>GOTLANDS LÄN</t>
        </is>
      </c>
      <c r="E805" t="inlineStr">
        <is>
          <t>GOTLAND</t>
        </is>
      </c>
      <c r="G805" t="n">
        <v>2.7</v>
      </c>
      <c r="H805" t="n">
        <v>0</v>
      </c>
      <c r="I805" t="n">
        <v>0</v>
      </c>
      <c r="J805" t="n">
        <v>0</v>
      </c>
      <c r="K805" t="n">
        <v>0</v>
      </c>
      <c r="L805" t="n">
        <v>0</v>
      </c>
      <c r="M805" t="n">
        <v>0</v>
      </c>
      <c r="N805" t="n">
        <v>0</v>
      </c>
      <c r="O805" t="n">
        <v>0</v>
      </c>
      <c r="P805" t="n">
        <v>0</v>
      </c>
      <c r="Q805" t="n">
        <v>0</v>
      </c>
      <c r="R805" s="2" t="inlineStr"/>
    </row>
    <row r="806" ht="15" customHeight="1">
      <c r="A806" t="inlineStr">
        <is>
          <t>A 17617-2024</t>
        </is>
      </c>
      <c r="B806" s="1" t="n">
        <v>45416</v>
      </c>
      <c r="C806" s="1" t="n">
        <v>45576</v>
      </c>
      <c r="D806" t="inlineStr">
        <is>
          <t>GOTLANDS LÄN</t>
        </is>
      </c>
      <c r="E806" t="inlineStr">
        <is>
          <t>GOTLAND</t>
        </is>
      </c>
      <c r="G806" t="n">
        <v>1.6</v>
      </c>
      <c r="H806" t="n">
        <v>0</v>
      </c>
      <c r="I806" t="n">
        <v>0</v>
      </c>
      <c r="J806" t="n">
        <v>0</v>
      </c>
      <c r="K806" t="n">
        <v>0</v>
      </c>
      <c r="L806" t="n">
        <v>0</v>
      </c>
      <c r="M806" t="n">
        <v>0</v>
      </c>
      <c r="N806" t="n">
        <v>0</v>
      </c>
      <c r="O806" t="n">
        <v>0</v>
      </c>
      <c r="P806" t="n">
        <v>0</v>
      </c>
      <c r="Q806" t="n">
        <v>0</v>
      </c>
      <c r="R806" s="2" t="inlineStr"/>
    </row>
    <row r="807" ht="15" customHeight="1">
      <c r="A807" t="inlineStr">
        <is>
          <t>A 17688-2024</t>
        </is>
      </c>
      <c r="B807" s="1" t="n">
        <v>45418</v>
      </c>
      <c r="C807" s="1" t="n">
        <v>45576</v>
      </c>
      <c r="D807" t="inlineStr">
        <is>
          <t>GOTLANDS LÄN</t>
        </is>
      </c>
      <c r="E807" t="inlineStr">
        <is>
          <t>GOTLAND</t>
        </is>
      </c>
      <c r="G807" t="n">
        <v>1.2</v>
      </c>
      <c r="H807" t="n">
        <v>0</v>
      </c>
      <c r="I807" t="n">
        <v>0</v>
      </c>
      <c r="J807" t="n">
        <v>0</v>
      </c>
      <c r="K807" t="n">
        <v>0</v>
      </c>
      <c r="L807" t="n">
        <v>0</v>
      </c>
      <c r="M807" t="n">
        <v>0</v>
      </c>
      <c r="N807" t="n">
        <v>0</v>
      </c>
      <c r="O807" t="n">
        <v>0</v>
      </c>
      <c r="P807" t="n">
        <v>0</v>
      </c>
      <c r="Q807" t="n">
        <v>0</v>
      </c>
      <c r="R807" s="2" t="inlineStr"/>
    </row>
    <row r="808" ht="15" customHeight="1">
      <c r="A808" t="inlineStr">
        <is>
          <t>A 17691-2024</t>
        </is>
      </c>
      <c r="B808" s="1" t="n">
        <v>45418</v>
      </c>
      <c r="C808" s="1" t="n">
        <v>45576</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17743-2024</t>
        </is>
      </c>
      <c r="B809" s="1" t="n">
        <v>45418</v>
      </c>
      <c r="C809" s="1" t="n">
        <v>45576</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17786-2024</t>
        </is>
      </c>
      <c r="B810" s="1" t="n">
        <v>45418</v>
      </c>
      <c r="C810" s="1" t="n">
        <v>45576</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17682-2024</t>
        </is>
      </c>
      <c r="B811" s="1" t="n">
        <v>45418</v>
      </c>
      <c r="C811" s="1" t="n">
        <v>45576</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17686-2024</t>
        </is>
      </c>
      <c r="B812" s="1" t="n">
        <v>45418</v>
      </c>
      <c r="C812" s="1" t="n">
        <v>45576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17724-2024</t>
        </is>
      </c>
      <c r="B813" s="1" t="n">
        <v>45418</v>
      </c>
      <c r="C813" s="1" t="n">
        <v>45576</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17742-2024</t>
        </is>
      </c>
      <c r="B814" s="1" t="n">
        <v>45418</v>
      </c>
      <c r="C814" s="1" t="n">
        <v>45576</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18056-2024</t>
        </is>
      </c>
      <c r="B815" s="1" t="n">
        <v>45420</v>
      </c>
      <c r="C815" s="1" t="n">
        <v>45576</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18380-2024</t>
        </is>
      </c>
      <c r="B816" s="1" t="n">
        <v>45424</v>
      </c>
      <c r="C816" s="1" t="n">
        <v>45576</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18896-2024</t>
        </is>
      </c>
      <c r="B817" s="1" t="n">
        <v>45427</v>
      </c>
      <c r="C817" s="1" t="n">
        <v>45576</v>
      </c>
      <c r="D817" t="inlineStr">
        <is>
          <t>GOTLANDS LÄN</t>
        </is>
      </c>
      <c r="E817" t="inlineStr">
        <is>
          <t>GOTLAND</t>
        </is>
      </c>
      <c r="G817" t="n">
        <v>5.1</v>
      </c>
      <c r="H817" t="n">
        <v>0</v>
      </c>
      <c r="I817" t="n">
        <v>0</v>
      </c>
      <c r="J817" t="n">
        <v>0</v>
      </c>
      <c r="K817" t="n">
        <v>0</v>
      </c>
      <c r="L817" t="n">
        <v>0</v>
      </c>
      <c r="M817" t="n">
        <v>0</v>
      </c>
      <c r="N817" t="n">
        <v>0</v>
      </c>
      <c r="O817" t="n">
        <v>0</v>
      </c>
      <c r="P817" t="n">
        <v>0</v>
      </c>
      <c r="Q817" t="n">
        <v>0</v>
      </c>
      <c r="R817" s="2" t="inlineStr"/>
    </row>
    <row r="818" ht="15" customHeight="1">
      <c r="A818" t="inlineStr">
        <is>
          <t>A 20290-2024</t>
        </is>
      </c>
      <c r="B818" s="1" t="n">
        <v>45435</v>
      </c>
      <c r="C818" s="1" t="n">
        <v>45576</v>
      </c>
      <c r="D818" t="inlineStr">
        <is>
          <t>GOTLANDS LÄN</t>
        </is>
      </c>
      <c r="E818" t="inlineStr">
        <is>
          <t>GOTLAND</t>
        </is>
      </c>
      <c r="G818" t="n">
        <v>10.9</v>
      </c>
      <c r="H818" t="n">
        <v>0</v>
      </c>
      <c r="I818" t="n">
        <v>0</v>
      </c>
      <c r="J818" t="n">
        <v>0</v>
      </c>
      <c r="K818" t="n">
        <v>0</v>
      </c>
      <c r="L818" t="n">
        <v>0</v>
      </c>
      <c r="M818" t="n">
        <v>0</v>
      </c>
      <c r="N818" t="n">
        <v>0</v>
      </c>
      <c r="O818" t="n">
        <v>0</v>
      </c>
      <c r="P818" t="n">
        <v>0</v>
      </c>
      <c r="Q818" t="n">
        <v>0</v>
      </c>
      <c r="R818" s="2" t="inlineStr"/>
    </row>
    <row r="819" ht="15" customHeight="1">
      <c r="A819" t="inlineStr">
        <is>
          <t>A 20292-2024</t>
        </is>
      </c>
      <c r="B819" s="1" t="n">
        <v>45435</v>
      </c>
      <c r="C819" s="1" t="n">
        <v>45576</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21164-2024</t>
        </is>
      </c>
      <c r="B820" s="1" t="n">
        <v>45440</v>
      </c>
      <c r="C820" s="1" t="n">
        <v>45576</v>
      </c>
      <c r="D820" t="inlineStr">
        <is>
          <t>GOTLANDS LÄN</t>
        </is>
      </c>
      <c r="E820" t="inlineStr">
        <is>
          <t>GOTLAND</t>
        </is>
      </c>
      <c r="G820" t="n">
        <v>6.3</v>
      </c>
      <c r="H820" t="n">
        <v>0</v>
      </c>
      <c r="I820" t="n">
        <v>0</v>
      </c>
      <c r="J820" t="n">
        <v>0</v>
      </c>
      <c r="K820" t="n">
        <v>0</v>
      </c>
      <c r="L820" t="n">
        <v>0</v>
      </c>
      <c r="M820" t="n">
        <v>0</v>
      </c>
      <c r="N820" t="n">
        <v>0</v>
      </c>
      <c r="O820" t="n">
        <v>0</v>
      </c>
      <c r="P820" t="n">
        <v>0</v>
      </c>
      <c r="Q820" t="n">
        <v>0</v>
      </c>
      <c r="R820" s="2" t="inlineStr"/>
    </row>
    <row r="821" ht="15" customHeight="1">
      <c r="A821" t="inlineStr">
        <is>
          <t>A 21154-2024</t>
        </is>
      </c>
      <c r="B821" s="1" t="n">
        <v>45440</v>
      </c>
      <c r="C821" s="1" t="n">
        <v>45576</v>
      </c>
      <c r="D821" t="inlineStr">
        <is>
          <t>GOTLANDS LÄN</t>
        </is>
      </c>
      <c r="E821" t="inlineStr">
        <is>
          <t>GOTLAND</t>
        </is>
      </c>
      <c r="G821" t="n">
        <v>2.4</v>
      </c>
      <c r="H821" t="n">
        <v>0</v>
      </c>
      <c r="I821" t="n">
        <v>0</v>
      </c>
      <c r="J821" t="n">
        <v>0</v>
      </c>
      <c r="K821" t="n">
        <v>0</v>
      </c>
      <c r="L821" t="n">
        <v>0</v>
      </c>
      <c r="M821" t="n">
        <v>0</v>
      </c>
      <c r="N821" t="n">
        <v>0</v>
      </c>
      <c r="O821" t="n">
        <v>0</v>
      </c>
      <c r="P821" t="n">
        <v>0</v>
      </c>
      <c r="Q821" t="n">
        <v>0</v>
      </c>
      <c r="R821" s="2" t="inlineStr"/>
    </row>
    <row r="822" ht="15" customHeight="1">
      <c r="A822" t="inlineStr">
        <is>
          <t>A 21420-2024</t>
        </is>
      </c>
      <c r="B822" s="1" t="n">
        <v>45441</v>
      </c>
      <c r="C822" s="1" t="n">
        <v>45576</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21493-2024</t>
        </is>
      </c>
      <c r="B823" s="1" t="n">
        <v>45441</v>
      </c>
      <c r="C823" s="1" t="n">
        <v>45576</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21500-2024</t>
        </is>
      </c>
      <c r="B824" s="1" t="n">
        <v>45441</v>
      </c>
      <c r="C824" s="1" t="n">
        <v>45576</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21817-2024</t>
        </is>
      </c>
      <c r="B825" s="1" t="n">
        <v>45442</v>
      </c>
      <c r="C825" s="1" t="n">
        <v>45576</v>
      </c>
      <c r="D825" t="inlineStr">
        <is>
          <t>GOTLANDS LÄN</t>
        </is>
      </c>
      <c r="E825" t="inlineStr">
        <is>
          <t>GOTLAND</t>
        </is>
      </c>
      <c r="G825" t="n">
        <v>3.7</v>
      </c>
      <c r="H825" t="n">
        <v>0</v>
      </c>
      <c r="I825" t="n">
        <v>0</v>
      </c>
      <c r="J825" t="n">
        <v>0</v>
      </c>
      <c r="K825" t="n">
        <v>0</v>
      </c>
      <c r="L825" t="n">
        <v>0</v>
      </c>
      <c r="M825" t="n">
        <v>0</v>
      </c>
      <c r="N825" t="n">
        <v>0</v>
      </c>
      <c r="O825" t="n">
        <v>0</v>
      </c>
      <c r="P825" t="n">
        <v>0</v>
      </c>
      <c r="Q825" t="n">
        <v>0</v>
      </c>
      <c r="R825" s="2" t="inlineStr"/>
    </row>
    <row r="826" ht="15" customHeight="1">
      <c r="A826" t="inlineStr">
        <is>
          <t>A 21792-2024</t>
        </is>
      </c>
      <c r="B826" s="1" t="n">
        <v>45442</v>
      </c>
      <c r="C826" s="1" t="n">
        <v>45576</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22031-2024</t>
        </is>
      </c>
      <c r="B827" s="1" t="n">
        <v>45443</v>
      </c>
      <c r="C827" s="1" t="n">
        <v>45576</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22860-2024</t>
        </is>
      </c>
      <c r="B828" s="1" t="n">
        <v>45448</v>
      </c>
      <c r="C828" s="1" t="n">
        <v>45576</v>
      </c>
      <c r="D828" t="inlineStr">
        <is>
          <t>GOTLANDS LÄN</t>
        </is>
      </c>
      <c r="E828" t="inlineStr">
        <is>
          <t>GOTLAND</t>
        </is>
      </c>
      <c r="G828" t="n">
        <v>2.4</v>
      </c>
      <c r="H828" t="n">
        <v>0</v>
      </c>
      <c r="I828" t="n">
        <v>0</v>
      </c>
      <c r="J828" t="n">
        <v>0</v>
      </c>
      <c r="K828" t="n">
        <v>0</v>
      </c>
      <c r="L828" t="n">
        <v>0</v>
      </c>
      <c r="M828" t="n">
        <v>0</v>
      </c>
      <c r="N828" t="n">
        <v>0</v>
      </c>
      <c r="O828" t="n">
        <v>0</v>
      </c>
      <c r="P828" t="n">
        <v>0</v>
      </c>
      <c r="Q828" t="n">
        <v>0</v>
      </c>
      <c r="R828" s="2" t="inlineStr"/>
    </row>
    <row r="829" ht="15" customHeight="1">
      <c r="A829" t="inlineStr">
        <is>
          <t>A 22851-2024</t>
        </is>
      </c>
      <c r="B829" s="1" t="n">
        <v>45448</v>
      </c>
      <c r="C829" s="1" t="n">
        <v>45576</v>
      </c>
      <c r="D829" t="inlineStr">
        <is>
          <t>GOTLANDS LÄN</t>
        </is>
      </c>
      <c r="E829" t="inlineStr">
        <is>
          <t>GOTLAND</t>
        </is>
      </c>
      <c r="G829" t="n">
        <v>5.2</v>
      </c>
      <c r="H829" t="n">
        <v>0</v>
      </c>
      <c r="I829" t="n">
        <v>0</v>
      </c>
      <c r="J829" t="n">
        <v>0</v>
      </c>
      <c r="K829" t="n">
        <v>0</v>
      </c>
      <c r="L829" t="n">
        <v>0</v>
      </c>
      <c r="M829" t="n">
        <v>0</v>
      </c>
      <c r="N829" t="n">
        <v>0</v>
      </c>
      <c r="O829" t="n">
        <v>0</v>
      </c>
      <c r="P829" t="n">
        <v>0</v>
      </c>
      <c r="Q829" t="n">
        <v>0</v>
      </c>
      <c r="R829" s="2" t="inlineStr"/>
    </row>
    <row r="830" ht="15" customHeight="1">
      <c r="A830" t="inlineStr">
        <is>
          <t>A 22883-2024</t>
        </is>
      </c>
      <c r="B830" s="1" t="n">
        <v>45448</v>
      </c>
      <c r="C830" s="1" t="n">
        <v>45576</v>
      </c>
      <c r="D830" t="inlineStr">
        <is>
          <t>GOTLANDS LÄN</t>
        </is>
      </c>
      <c r="E830" t="inlineStr">
        <is>
          <t>GOTLAND</t>
        </is>
      </c>
      <c r="G830" t="n">
        <v>0.5</v>
      </c>
      <c r="H830" t="n">
        <v>0</v>
      </c>
      <c r="I830" t="n">
        <v>0</v>
      </c>
      <c r="J830" t="n">
        <v>0</v>
      </c>
      <c r="K830" t="n">
        <v>0</v>
      </c>
      <c r="L830" t="n">
        <v>0</v>
      </c>
      <c r="M830" t="n">
        <v>0</v>
      </c>
      <c r="N830" t="n">
        <v>0</v>
      </c>
      <c r="O830" t="n">
        <v>0</v>
      </c>
      <c r="P830" t="n">
        <v>0</v>
      </c>
      <c r="Q830" t="n">
        <v>0</v>
      </c>
      <c r="R830" s="2" t="inlineStr"/>
    </row>
    <row r="831" ht="15" customHeight="1">
      <c r="A831" t="inlineStr">
        <is>
          <t>A 23518-2024</t>
        </is>
      </c>
      <c r="B831" s="1" t="n">
        <v>45453</v>
      </c>
      <c r="C831" s="1" t="n">
        <v>45576</v>
      </c>
      <c r="D831" t="inlineStr">
        <is>
          <t>GOTLANDS LÄN</t>
        </is>
      </c>
      <c r="E831" t="inlineStr">
        <is>
          <t>GOTLAND</t>
        </is>
      </c>
      <c r="G831" t="n">
        <v>1.9</v>
      </c>
      <c r="H831" t="n">
        <v>0</v>
      </c>
      <c r="I831" t="n">
        <v>0</v>
      </c>
      <c r="J831" t="n">
        <v>0</v>
      </c>
      <c r="K831" t="n">
        <v>0</v>
      </c>
      <c r="L831" t="n">
        <v>0</v>
      </c>
      <c r="M831" t="n">
        <v>0</v>
      </c>
      <c r="N831" t="n">
        <v>0</v>
      </c>
      <c r="O831" t="n">
        <v>0</v>
      </c>
      <c r="P831" t="n">
        <v>0</v>
      </c>
      <c r="Q831" t="n">
        <v>0</v>
      </c>
      <c r="R831" s="2" t="inlineStr"/>
    </row>
    <row r="832" ht="15" customHeight="1">
      <c r="A832" t="inlineStr">
        <is>
          <t>A 23658-2024</t>
        </is>
      </c>
      <c r="B832" s="1" t="n">
        <v>45454</v>
      </c>
      <c r="C832" s="1" t="n">
        <v>45576</v>
      </c>
      <c r="D832" t="inlineStr">
        <is>
          <t>GOTLANDS LÄN</t>
        </is>
      </c>
      <c r="E832" t="inlineStr">
        <is>
          <t>GOTLAND</t>
        </is>
      </c>
      <c r="G832" t="n">
        <v>4.8</v>
      </c>
      <c r="H832" t="n">
        <v>0</v>
      </c>
      <c r="I832" t="n">
        <v>0</v>
      </c>
      <c r="J832" t="n">
        <v>0</v>
      </c>
      <c r="K832" t="n">
        <v>0</v>
      </c>
      <c r="L832" t="n">
        <v>0</v>
      </c>
      <c r="M832" t="n">
        <v>0</v>
      </c>
      <c r="N832" t="n">
        <v>0</v>
      </c>
      <c r="O832" t="n">
        <v>0</v>
      </c>
      <c r="P832" t="n">
        <v>0</v>
      </c>
      <c r="Q832" t="n">
        <v>0</v>
      </c>
      <c r="R832" s="2" t="inlineStr"/>
    </row>
    <row r="833" ht="15" customHeight="1">
      <c r="A833" t="inlineStr">
        <is>
          <t>A 23617-2024</t>
        </is>
      </c>
      <c r="B833" s="1" t="n">
        <v>45454</v>
      </c>
      <c r="C833" s="1" t="n">
        <v>45576</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24358-2024</t>
        </is>
      </c>
      <c r="B834" s="1" t="n">
        <v>45457</v>
      </c>
      <c r="C834" s="1" t="n">
        <v>45576</v>
      </c>
      <c r="D834" t="inlineStr">
        <is>
          <t>GOTLANDS LÄN</t>
        </is>
      </c>
      <c r="E834" t="inlineStr">
        <is>
          <t>GOTLAND</t>
        </is>
      </c>
      <c r="G834" t="n">
        <v>1.1</v>
      </c>
      <c r="H834" t="n">
        <v>0</v>
      </c>
      <c r="I834" t="n">
        <v>0</v>
      </c>
      <c r="J834" t="n">
        <v>0</v>
      </c>
      <c r="K834" t="n">
        <v>0</v>
      </c>
      <c r="L834" t="n">
        <v>0</v>
      </c>
      <c r="M834" t="n">
        <v>0</v>
      </c>
      <c r="N834" t="n">
        <v>0</v>
      </c>
      <c r="O834" t="n">
        <v>0</v>
      </c>
      <c r="P834" t="n">
        <v>0</v>
      </c>
      <c r="Q834" t="n">
        <v>0</v>
      </c>
      <c r="R834" s="2" t="inlineStr"/>
    </row>
    <row r="835" ht="15" customHeight="1">
      <c r="A835" t="inlineStr">
        <is>
          <t>A 24746-2024</t>
        </is>
      </c>
      <c r="B835" s="1" t="n">
        <v>45460</v>
      </c>
      <c r="C835" s="1" t="n">
        <v>45576</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24825-2024</t>
        </is>
      </c>
      <c r="B836" s="1" t="n">
        <v>45461</v>
      </c>
      <c r="C836" s="1" t="n">
        <v>45576</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25463-2024</t>
        </is>
      </c>
      <c r="B837" s="1" t="n">
        <v>45463</v>
      </c>
      <c r="C837" s="1" t="n">
        <v>45576</v>
      </c>
      <c r="D837" t="inlineStr">
        <is>
          <t>GOTLANDS LÄN</t>
        </is>
      </c>
      <c r="E837" t="inlineStr">
        <is>
          <t>GOTLAND</t>
        </is>
      </c>
      <c r="G837" t="n">
        <v>17.3</v>
      </c>
      <c r="H837" t="n">
        <v>0</v>
      </c>
      <c r="I837" t="n">
        <v>0</v>
      </c>
      <c r="J837" t="n">
        <v>0</v>
      </c>
      <c r="K837" t="n">
        <v>0</v>
      </c>
      <c r="L837" t="n">
        <v>0</v>
      </c>
      <c r="M837" t="n">
        <v>0</v>
      </c>
      <c r="N837" t="n">
        <v>0</v>
      </c>
      <c r="O837" t="n">
        <v>0</v>
      </c>
      <c r="P837" t="n">
        <v>0</v>
      </c>
      <c r="Q837" t="n">
        <v>0</v>
      </c>
      <c r="R837" s="2" t="inlineStr"/>
    </row>
    <row r="838" ht="15" customHeight="1">
      <c r="A838" t="inlineStr">
        <is>
          <t>A 25739-2024</t>
        </is>
      </c>
      <c r="B838" s="1" t="n">
        <v>45465</v>
      </c>
      <c r="C838" s="1" t="n">
        <v>45576</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25740-2024</t>
        </is>
      </c>
      <c r="B839" s="1" t="n">
        <v>45465</v>
      </c>
      <c r="C839" s="1" t="n">
        <v>45576</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26221-2024</t>
        </is>
      </c>
      <c r="B840" s="1" t="n">
        <v>45468</v>
      </c>
      <c r="C840" s="1" t="n">
        <v>45576</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26194-2024</t>
        </is>
      </c>
      <c r="B841" s="1" t="n">
        <v>45468</v>
      </c>
      <c r="C841" s="1" t="n">
        <v>45576</v>
      </c>
      <c r="D841" t="inlineStr">
        <is>
          <t>GOTLANDS LÄN</t>
        </is>
      </c>
      <c r="E841" t="inlineStr">
        <is>
          <t>GOTLAND</t>
        </is>
      </c>
      <c r="G841" t="n">
        <v>3.6</v>
      </c>
      <c r="H841" t="n">
        <v>0</v>
      </c>
      <c r="I841" t="n">
        <v>0</v>
      </c>
      <c r="J841" t="n">
        <v>0</v>
      </c>
      <c r="K841" t="n">
        <v>0</v>
      </c>
      <c r="L841" t="n">
        <v>0</v>
      </c>
      <c r="M841" t="n">
        <v>0</v>
      </c>
      <c r="N841" t="n">
        <v>0</v>
      </c>
      <c r="O841" t="n">
        <v>0</v>
      </c>
      <c r="P841" t="n">
        <v>0</v>
      </c>
      <c r="Q841" t="n">
        <v>0</v>
      </c>
      <c r="R841" s="2" t="inlineStr"/>
    </row>
    <row r="842" ht="15" customHeight="1">
      <c r="A842" t="inlineStr">
        <is>
          <t>A 26206-2024</t>
        </is>
      </c>
      <c r="B842" s="1" t="n">
        <v>45468</v>
      </c>
      <c r="C842" s="1" t="n">
        <v>45576</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26110-2024</t>
        </is>
      </c>
      <c r="B843" s="1" t="n">
        <v>45468</v>
      </c>
      <c r="C843" s="1" t="n">
        <v>45576</v>
      </c>
      <c r="D843" t="inlineStr">
        <is>
          <t>GOTLANDS LÄN</t>
        </is>
      </c>
      <c r="E843" t="inlineStr">
        <is>
          <t>GOTLAND</t>
        </is>
      </c>
      <c r="G843" t="n">
        <v>6.6</v>
      </c>
      <c r="H843" t="n">
        <v>0</v>
      </c>
      <c r="I843" t="n">
        <v>0</v>
      </c>
      <c r="J843" t="n">
        <v>0</v>
      </c>
      <c r="K843" t="n">
        <v>0</v>
      </c>
      <c r="L843" t="n">
        <v>0</v>
      </c>
      <c r="M843" t="n">
        <v>0</v>
      </c>
      <c r="N843" t="n">
        <v>0</v>
      </c>
      <c r="O843" t="n">
        <v>0</v>
      </c>
      <c r="P843" t="n">
        <v>0</v>
      </c>
      <c r="Q843" t="n">
        <v>0</v>
      </c>
      <c r="R843" s="2" t="inlineStr"/>
    </row>
    <row r="844" ht="15" customHeight="1">
      <c r="A844" t="inlineStr">
        <is>
          <t>A 26891-2024</t>
        </is>
      </c>
      <c r="B844" s="1" t="n">
        <v>45470</v>
      </c>
      <c r="C844" s="1" t="n">
        <v>45576</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27850-2024</t>
        </is>
      </c>
      <c r="B845" s="1" t="n">
        <v>45475</v>
      </c>
      <c r="C845" s="1" t="n">
        <v>45576</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27694-2024</t>
        </is>
      </c>
      <c r="B846" s="1" t="n">
        <v>45475</v>
      </c>
      <c r="C846" s="1" t="n">
        <v>45576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27696-2024</t>
        </is>
      </c>
      <c r="B847" s="1" t="n">
        <v>45475</v>
      </c>
      <c r="C847" s="1" t="n">
        <v>45576</v>
      </c>
      <c r="D847" t="inlineStr">
        <is>
          <t>GOTLANDS LÄN</t>
        </is>
      </c>
      <c r="E847" t="inlineStr">
        <is>
          <t>GOTLAND</t>
        </is>
      </c>
      <c r="G847" t="n">
        <v>2.1</v>
      </c>
      <c r="H847" t="n">
        <v>0</v>
      </c>
      <c r="I847" t="n">
        <v>0</v>
      </c>
      <c r="J847" t="n">
        <v>0</v>
      </c>
      <c r="K847" t="n">
        <v>0</v>
      </c>
      <c r="L847" t="n">
        <v>0</v>
      </c>
      <c r="M847" t="n">
        <v>0</v>
      </c>
      <c r="N847" t="n">
        <v>0</v>
      </c>
      <c r="O847" t="n">
        <v>0</v>
      </c>
      <c r="P847" t="n">
        <v>0</v>
      </c>
      <c r="Q847" t="n">
        <v>0</v>
      </c>
      <c r="R847" s="2" t="inlineStr"/>
    </row>
    <row r="848" ht="15" customHeight="1">
      <c r="A848" t="inlineStr">
        <is>
          <t>A 28285-2024</t>
        </is>
      </c>
      <c r="B848" s="1" t="n">
        <v>45477</v>
      </c>
      <c r="C848" s="1" t="n">
        <v>45576</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28309-2024</t>
        </is>
      </c>
      <c r="B849" s="1" t="n">
        <v>45477</v>
      </c>
      <c r="C849" s="1" t="n">
        <v>45576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28328-2024</t>
        </is>
      </c>
      <c r="B850" s="1" t="n">
        <v>45477</v>
      </c>
      <c r="C850" s="1" t="n">
        <v>45576</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30365-2024</t>
        </is>
      </c>
      <c r="B851" s="1" t="n">
        <v>45491</v>
      </c>
      <c r="C851" s="1" t="n">
        <v>45576</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30595-2024</t>
        </is>
      </c>
      <c r="B852" s="1" t="n">
        <v>45493</v>
      </c>
      <c r="C852" s="1" t="n">
        <v>45576</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30596-2024</t>
        </is>
      </c>
      <c r="B853" s="1" t="n">
        <v>45493</v>
      </c>
      <c r="C853" s="1" t="n">
        <v>45576</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30597-2024</t>
        </is>
      </c>
      <c r="B854" s="1" t="n">
        <v>45493</v>
      </c>
      <c r="C854" s="1" t="n">
        <v>45576</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30956-2024</t>
        </is>
      </c>
      <c r="B855" s="1" t="n">
        <v>45499</v>
      </c>
      <c r="C855" s="1" t="n">
        <v>45576</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30954-2024</t>
        </is>
      </c>
      <c r="B856" s="1" t="n">
        <v>45499</v>
      </c>
      <c r="C856" s="1" t="n">
        <v>45576</v>
      </c>
      <c r="D856" t="inlineStr">
        <is>
          <t>GOTLANDS LÄN</t>
        </is>
      </c>
      <c r="E856" t="inlineStr">
        <is>
          <t>GOTLAND</t>
        </is>
      </c>
      <c r="G856" t="n">
        <v>3.6</v>
      </c>
      <c r="H856" t="n">
        <v>0</v>
      </c>
      <c r="I856" t="n">
        <v>0</v>
      </c>
      <c r="J856" t="n">
        <v>0</v>
      </c>
      <c r="K856" t="n">
        <v>0</v>
      </c>
      <c r="L856" t="n">
        <v>0</v>
      </c>
      <c r="M856" t="n">
        <v>0</v>
      </c>
      <c r="N856" t="n">
        <v>0</v>
      </c>
      <c r="O856" t="n">
        <v>0</v>
      </c>
      <c r="P856" t="n">
        <v>0</v>
      </c>
      <c r="Q856" t="n">
        <v>0</v>
      </c>
      <c r="R856" s="2" t="inlineStr"/>
    </row>
    <row r="857" ht="15" customHeight="1">
      <c r="A857" t="inlineStr">
        <is>
          <t>A 31352-2024</t>
        </is>
      </c>
      <c r="B857" s="1" t="n">
        <v>45505</v>
      </c>
      <c r="C857" s="1" t="n">
        <v>45576</v>
      </c>
      <c r="D857" t="inlineStr">
        <is>
          <t>GOTLANDS LÄN</t>
        </is>
      </c>
      <c r="E857" t="inlineStr">
        <is>
          <t>GOTLAND</t>
        </is>
      </c>
      <c r="G857" t="n">
        <v>5.4</v>
      </c>
      <c r="H857" t="n">
        <v>0</v>
      </c>
      <c r="I857" t="n">
        <v>0</v>
      </c>
      <c r="J857" t="n">
        <v>0</v>
      </c>
      <c r="K857" t="n">
        <v>0</v>
      </c>
      <c r="L857" t="n">
        <v>0</v>
      </c>
      <c r="M857" t="n">
        <v>0</v>
      </c>
      <c r="N857" t="n">
        <v>0</v>
      </c>
      <c r="O857" t="n">
        <v>0</v>
      </c>
      <c r="P857" t="n">
        <v>0</v>
      </c>
      <c r="Q857" t="n">
        <v>0</v>
      </c>
      <c r="R857" s="2" t="inlineStr"/>
    </row>
    <row r="858" ht="15" customHeight="1">
      <c r="A858" t="inlineStr">
        <is>
          <t>A 31401-2024</t>
        </is>
      </c>
      <c r="B858" s="1" t="n">
        <v>45505</v>
      </c>
      <c r="C858" s="1" t="n">
        <v>45576</v>
      </c>
      <c r="D858" t="inlineStr">
        <is>
          <t>GOTLANDS LÄN</t>
        </is>
      </c>
      <c r="E858" t="inlineStr">
        <is>
          <t>GOTLAND</t>
        </is>
      </c>
      <c r="G858" t="n">
        <v>4.9</v>
      </c>
      <c r="H858" t="n">
        <v>0</v>
      </c>
      <c r="I858" t="n">
        <v>0</v>
      </c>
      <c r="J858" t="n">
        <v>0</v>
      </c>
      <c r="K858" t="n">
        <v>0</v>
      </c>
      <c r="L858" t="n">
        <v>0</v>
      </c>
      <c r="M858" t="n">
        <v>0</v>
      </c>
      <c r="N858" t="n">
        <v>0</v>
      </c>
      <c r="O858" t="n">
        <v>0</v>
      </c>
      <c r="P858" t="n">
        <v>0</v>
      </c>
      <c r="Q858" t="n">
        <v>0</v>
      </c>
      <c r="R858" s="2" t="inlineStr"/>
    </row>
    <row r="859" ht="15" customHeight="1">
      <c r="A859" t="inlineStr">
        <is>
          <t>A 31802-2024</t>
        </is>
      </c>
      <c r="B859" s="1" t="n">
        <v>45509</v>
      </c>
      <c r="C859" s="1" t="n">
        <v>45576</v>
      </c>
      <c r="D859" t="inlineStr">
        <is>
          <t>GOTLANDS LÄN</t>
        </is>
      </c>
      <c r="E859" t="inlineStr">
        <is>
          <t>GOTLAND</t>
        </is>
      </c>
      <c r="G859" t="n">
        <v>2.8</v>
      </c>
      <c r="H859" t="n">
        <v>0</v>
      </c>
      <c r="I859" t="n">
        <v>0</v>
      </c>
      <c r="J859" t="n">
        <v>0</v>
      </c>
      <c r="K859" t="n">
        <v>0</v>
      </c>
      <c r="L859" t="n">
        <v>0</v>
      </c>
      <c r="M859" t="n">
        <v>0</v>
      </c>
      <c r="N859" t="n">
        <v>0</v>
      </c>
      <c r="O859" t="n">
        <v>0</v>
      </c>
      <c r="P859" t="n">
        <v>0</v>
      </c>
      <c r="Q859" t="n">
        <v>0</v>
      </c>
      <c r="R859" s="2" t="inlineStr"/>
    </row>
    <row r="860" ht="15" customHeight="1">
      <c r="A860" t="inlineStr">
        <is>
          <t>A 32322-2024</t>
        </is>
      </c>
      <c r="B860" s="1" t="n">
        <v>45512</v>
      </c>
      <c r="C860" s="1" t="n">
        <v>45576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32326-2024</t>
        </is>
      </c>
      <c r="B861" s="1" t="n">
        <v>45512</v>
      </c>
      <c r="C861" s="1" t="n">
        <v>45576</v>
      </c>
      <c r="D861" t="inlineStr">
        <is>
          <t>GOTLANDS LÄN</t>
        </is>
      </c>
      <c r="E861" t="inlineStr">
        <is>
          <t>GOTLAND</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32330-2024</t>
        </is>
      </c>
      <c r="B862" s="1" t="n">
        <v>45512</v>
      </c>
      <c r="C862" s="1" t="n">
        <v>45576</v>
      </c>
      <c r="D862" t="inlineStr">
        <is>
          <t>GOTLANDS LÄN</t>
        </is>
      </c>
      <c r="E862" t="inlineStr">
        <is>
          <t>GOTLAND</t>
        </is>
      </c>
      <c r="G862" t="n">
        <v>2.6</v>
      </c>
      <c r="H862" t="n">
        <v>0</v>
      </c>
      <c r="I862" t="n">
        <v>0</v>
      </c>
      <c r="J862" t="n">
        <v>0</v>
      </c>
      <c r="K862" t="n">
        <v>0</v>
      </c>
      <c r="L862" t="n">
        <v>0</v>
      </c>
      <c r="M862" t="n">
        <v>0</v>
      </c>
      <c r="N862" t="n">
        <v>0</v>
      </c>
      <c r="O862" t="n">
        <v>0</v>
      </c>
      <c r="P862" t="n">
        <v>0</v>
      </c>
      <c r="Q862" t="n">
        <v>0</v>
      </c>
      <c r="R862" s="2" t="inlineStr"/>
    </row>
    <row r="863" ht="15" customHeight="1">
      <c r="A863" t="inlineStr">
        <is>
          <t>A 32669-2024</t>
        </is>
      </c>
      <c r="B863" s="1" t="n">
        <v>45514</v>
      </c>
      <c r="C863" s="1" t="n">
        <v>45576</v>
      </c>
      <c r="D863" t="inlineStr">
        <is>
          <t>GOTLANDS LÄN</t>
        </is>
      </c>
      <c r="E863" t="inlineStr">
        <is>
          <t>GOTLAND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33518-2024</t>
        </is>
      </c>
      <c r="B864" s="1" t="n">
        <v>45519</v>
      </c>
      <c r="C864" s="1" t="n">
        <v>45576</v>
      </c>
      <c r="D864" t="inlineStr">
        <is>
          <t>GOTLANDS LÄN</t>
        </is>
      </c>
      <c r="E864" t="inlineStr">
        <is>
          <t>GOTLAND</t>
        </is>
      </c>
      <c r="G864" t="n">
        <v>7.2</v>
      </c>
      <c r="H864" t="n">
        <v>0</v>
      </c>
      <c r="I864" t="n">
        <v>0</v>
      </c>
      <c r="J864" t="n">
        <v>0</v>
      </c>
      <c r="K864" t="n">
        <v>0</v>
      </c>
      <c r="L864" t="n">
        <v>0</v>
      </c>
      <c r="M864" t="n">
        <v>0</v>
      </c>
      <c r="N864" t="n">
        <v>0</v>
      </c>
      <c r="O864" t="n">
        <v>0</v>
      </c>
      <c r="P864" t="n">
        <v>0</v>
      </c>
      <c r="Q864" t="n">
        <v>0</v>
      </c>
      <c r="R864" s="2" t="inlineStr"/>
    </row>
    <row r="865" ht="15" customHeight="1">
      <c r="A865" t="inlineStr">
        <is>
          <t>A 33853-2024</t>
        </is>
      </c>
      <c r="B865" s="1" t="n">
        <v>45520</v>
      </c>
      <c r="C865" s="1" t="n">
        <v>45576</v>
      </c>
      <c r="D865" t="inlineStr">
        <is>
          <t>GOTLANDS LÄN</t>
        </is>
      </c>
      <c r="E865" t="inlineStr">
        <is>
          <t>GOTLAND</t>
        </is>
      </c>
      <c r="G865" t="n">
        <v>3.9</v>
      </c>
      <c r="H865" t="n">
        <v>0</v>
      </c>
      <c r="I865" t="n">
        <v>0</v>
      </c>
      <c r="J865" t="n">
        <v>0</v>
      </c>
      <c r="K865" t="n">
        <v>0</v>
      </c>
      <c r="L865" t="n">
        <v>0</v>
      </c>
      <c r="M865" t="n">
        <v>0</v>
      </c>
      <c r="N865" t="n">
        <v>0</v>
      </c>
      <c r="O865" t="n">
        <v>0</v>
      </c>
      <c r="P865" t="n">
        <v>0</v>
      </c>
      <c r="Q865" t="n">
        <v>0</v>
      </c>
      <c r="R865" s="2" t="inlineStr"/>
    </row>
    <row r="866" ht="15" customHeight="1">
      <c r="A866" t="inlineStr">
        <is>
          <t>A 33876-2024</t>
        </is>
      </c>
      <c r="B866" s="1" t="n">
        <v>45521</v>
      </c>
      <c r="C866" s="1" t="n">
        <v>45576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33928-2024</t>
        </is>
      </c>
      <c r="B867" s="1" t="n">
        <v>45523</v>
      </c>
      <c r="C867" s="1" t="n">
        <v>45576</v>
      </c>
      <c r="D867" t="inlineStr">
        <is>
          <t>GOTLANDS LÄN</t>
        </is>
      </c>
      <c r="E867" t="inlineStr">
        <is>
          <t>GOTLAND</t>
        </is>
      </c>
      <c r="G867" t="n">
        <v>0.7</v>
      </c>
      <c r="H867" t="n">
        <v>0</v>
      </c>
      <c r="I867" t="n">
        <v>0</v>
      </c>
      <c r="J867" t="n">
        <v>0</v>
      </c>
      <c r="K867" t="n">
        <v>0</v>
      </c>
      <c r="L867" t="n">
        <v>0</v>
      </c>
      <c r="M867" t="n">
        <v>0</v>
      </c>
      <c r="N867" t="n">
        <v>0</v>
      </c>
      <c r="O867" t="n">
        <v>0</v>
      </c>
      <c r="P867" t="n">
        <v>0</v>
      </c>
      <c r="Q867" t="n">
        <v>0</v>
      </c>
      <c r="R867" s="2" t="inlineStr"/>
    </row>
    <row r="868" ht="15" customHeight="1">
      <c r="A868" t="inlineStr">
        <is>
          <t>A 34167-2024</t>
        </is>
      </c>
      <c r="B868" s="1" t="n">
        <v>45524</v>
      </c>
      <c r="C868" s="1" t="n">
        <v>45576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34157-2024</t>
        </is>
      </c>
      <c r="B869" s="1" t="n">
        <v>45524</v>
      </c>
      <c r="C869" s="1" t="n">
        <v>45576</v>
      </c>
      <c r="D869" t="inlineStr">
        <is>
          <t>GOTLANDS LÄN</t>
        </is>
      </c>
      <c r="E869" t="inlineStr">
        <is>
          <t>GOTLAND</t>
        </is>
      </c>
      <c r="G869" t="n">
        <v>3.3</v>
      </c>
      <c r="H869" t="n">
        <v>0</v>
      </c>
      <c r="I869" t="n">
        <v>0</v>
      </c>
      <c r="J869" t="n">
        <v>0</v>
      </c>
      <c r="K869" t="n">
        <v>0</v>
      </c>
      <c r="L869" t="n">
        <v>0</v>
      </c>
      <c r="M869" t="n">
        <v>0</v>
      </c>
      <c r="N869" t="n">
        <v>0</v>
      </c>
      <c r="O869" t="n">
        <v>0</v>
      </c>
      <c r="P869" t="n">
        <v>0</v>
      </c>
      <c r="Q869" t="n">
        <v>0</v>
      </c>
      <c r="R869" s="2" t="inlineStr"/>
    </row>
    <row r="870" ht="15" customHeight="1">
      <c r="A870" t="inlineStr">
        <is>
          <t>A 34142-2024</t>
        </is>
      </c>
      <c r="B870" s="1" t="n">
        <v>45524</v>
      </c>
      <c r="C870" s="1" t="n">
        <v>45576</v>
      </c>
      <c r="D870" t="inlineStr">
        <is>
          <t>GOTLANDS LÄN</t>
        </is>
      </c>
      <c r="E870" t="inlineStr">
        <is>
          <t>GOTLAND</t>
        </is>
      </c>
      <c r="G870" t="n">
        <v>6</v>
      </c>
      <c r="H870" t="n">
        <v>0</v>
      </c>
      <c r="I870" t="n">
        <v>0</v>
      </c>
      <c r="J870" t="n">
        <v>0</v>
      </c>
      <c r="K870" t="n">
        <v>0</v>
      </c>
      <c r="L870" t="n">
        <v>0</v>
      </c>
      <c r="M870" t="n">
        <v>0</v>
      </c>
      <c r="N870" t="n">
        <v>0</v>
      </c>
      <c r="O870" t="n">
        <v>0</v>
      </c>
      <c r="P870" t="n">
        <v>0</v>
      </c>
      <c r="Q870" t="n">
        <v>0</v>
      </c>
      <c r="R870" s="2" t="inlineStr"/>
    </row>
    <row r="871" ht="15" customHeight="1">
      <c r="A871" t="inlineStr">
        <is>
          <t>A 34154-2024</t>
        </is>
      </c>
      <c r="B871" s="1" t="n">
        <v>45524</v>
      </c>
      <c r="C871" s="1" t="n">
        <v>45576</v>
      </c>
      <c r="D871" t="inlineStr">
        <is>
          <t>GOTLANDS LÄN</t>
        </is>
      </c>
      <c r="E871" t="inlineStr">
        <is>
          <t>GOTLAND</t>
        </is>
      </c>
      <c r="G871" t="n">
        <v>9.9</v>
      </c>
      <c r="H871" t="n">
        <v>0</v>
      </c>
      <c r="I871" t="n">
        <v>0</v>
      </c>
      <c r="J871" t="n">
        <v>0</v>
      </c>
      <c r="K871" t="n">
        <v>0</v>
      </c>
      <c r="L871" t="n">
        <v>0</v>
      </c>
      <c r="M871" t="n">
        <v>0</v>
      </c>
      <c r="N871" t="n">
        <v>0</v>
      </c>
      <c r="O871" t="n">
        <v>0</v>
      </c>
      <c r="P871" t="n">
        <v>0</v>
      </c>
      <c r="Q871" t="n">
        <v>0</v>
      </c>
      <c r="R871" s="2" t="inlineStr"/>
    </row>
    <row r="872" ht="15" customHeight="1">
      <c r="A872" t="inlineStr">
        <is>
          <t>A 34170-2024</t>
        </is>
      </c>
      <c r="B872" s="1" t="n">
        <v>45524</v>
      </c>
      <c r="C872" s="1" t="n">
        <v>45576</v>
      </c>
      <c r="D872" t="inlineStr">
        <is>
          <t>GOTLANDS LÄN</t>
        </is>
      </c>
      <c r="E872" t="inlineStr">
        <is>
          <t>GOTLAND</t>
        </is>
      </c>
      <c r="G872" t="n">
        <v>3.2</v>
      </c>
      <c r="H872" t="n">
        <v>0</v>
      </c>
      <c r="I872" t="n">
        <v>0</v>
      </c>
      <c r="J872" t="n">
        <v>0</v>
      </c>
      <c r="K872" t="n">
        <v>0</v>
      </c>
      <c r="L872" t="n">
        <v>0</v>
      </c>
      <c r="M872" t="n">
        <v>0</v>
      </c>
      <c r="N872" t="n">
        <v>0</v>
      </c>
      <c r="O872" t="n">
        <v>0</v>
      </c>
      <c r="P872" t="n">
        <v>0</v>
      </c>
      <c r="Q872" t="n">
        <v>0</v>
      </c>
      <c r="R872" s="2" t="inlineStr"/>
    </row>
    <row r="873" ht="15" customHeight="1">
      <c r="A873" t="inlineStr">
        <is>
          <t>A 34312-2024</t>
        </is>
      </c>
      <c r="B873" s="1" t="n">
        <v>45524</v>
      </c>
      <c r="C873" s="1" t="n">
        <v>45576</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35093-2024</t>
        </is>
      </c>
      <c r="B874" s="1" t="n">
        <v>45527</v>
      </c>
      <c r="C874" s="1" t="n">
        <v>45576</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36539-2024</t>
        </is>
      </c>
      <c r="B875" s="1" t="n">
        <v>45537</v>
      </c>
      <c r="C875" s="1" t="n">
        <v>45576</v>
      </c>
      <c r="D875" t="inlineStr">
        <is>
          <t>GOTLANDS LÄN</t>
        </is>
      </c>
      <c r="E875" t="inlineStr">
        <is>
          <t>GOTLAND</t>
        </is>
      </c>
      <c r="G875" t="n">
        <v>5.9</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45576</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37202-2024</t>
        </is>
      </c>
      <c r="B877" s="1" t="n">
        <v>45539</v>
      </c>
      <c r="C877" s="1" t="n">
        <v>45576</v>
      </c>
      <c r="D877" t="inlineStr">
        <is>
          <t>GOTLANDS LÄN</t>
        </is>
      </c>
      <c r="E877" t="inlineStr">
        <is>
          <t>GOTLAND</t>
        </is>
      </c>
      <c r="G877" t="n">
        <v>0.3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45576</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45576</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37440-2024</t>
        </is>
      </c>
      <c r="B880" s="1" t="n">
        <v>45540</v>
      </c>
      <c r="C880" s="1" t="n">
        <v>45576</v>
      </c>
      <c r="D880" t="inlineStr">
        <is>
          <t>GOTLANDS LÄN</t>
        </is>
      </c>
      <c r="E880" t="inlineStr">
        <is>
          <t>GOTLAND</t>
        </is>
      </c>
      <c r="G880" t="n">
        <v>1</v>
      </c>
      <c r="H880" t="n">
        <v>0</v>
      </c>
      <c r="I880" t="n">
        <v>0</v>
      </c>
      <c r="J880" t="n">
        <v>0</v>
      </c>
      <c r="K880" t="n">
        <v>0</v>
      </c>
      <c r="L880" t="n">
        <v>0</v>
      </c>
      <c r="M880" t="n">
        <v>0</v>
      </c>
      <c r="N880" t="n">
        <v>0</v>
      </c>
      <c r="O880" t="n">
        <v>0</v>
      </c>
      <c r="P880" t="n">
        <v>0</v>
      </c>
      <c r="Q880" t="n">
        <v>0</v>
      </c>
      <c r="R880" s="2" t="inlineStr"/>
    </row>
    <row r="881" ht="15" customHeight="1">
      <c r="A881" t="inlineStr">
        <is>
          <t>A 37728-2024</t>
        </is>
      </c>
      <c r="B881" s="1" t="n">
        <v>45541</v>
      </c>
      <c r="C881" s="1" t="n">
        <v>45576</v>
      </c>
      <c r="D881" t="inlineStr">
        <is>
          <t>GOTLANDS LÄN</t>
        </is>
      </c>
      <c r="E881" t="inlineStr">
        <is>
          <t>GOTLAND</t>
        </is>
      </c>
      <c r="G881" t="n">
        <v>0.4</v>
      </c>
      <c r="H881" t="n">
        <v>0</v>
      </c>
      <c r="I881" t="n">
        <v>0</v>
      </c>
      <c r="J881" t="n">
        <v>0</v>
      </c>
      <c r="K881" t="n">
        <v>0</v>
      </c>
      <c r="L881" t="n">
        <v>0</v>
      </c>
      <c r="M881" t="n">
        <v>0</v>
      </c>
      <c r="N881" t="n">
        <v>0</v>
      </c>
      <c r="O881" t="n">
        <v>0</v>
      </c>
      <c r="P881" t="n">
        <v>0</v>
      </c>
      <c r="Q881" t="n">
        <v>0</v>
      </c>
      <c r="R881" s="2" t="inlineStr"/>
    </row>
    <row r="882" ht="15" customHeight="1">
      <c r="A882" t="inlineStr">
        <is>
          <t>A 37808-2024</t>
        </is>
      </c>
      <c r="B882" s="1" t="n">
        <v>45543</v>
      </c>
      <c r="C882" s="1" t="n">
        <v>45576</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39311-2024</t>
        </is>
      </c>
      <c r="B883" s="1" t="n">
        <v>45551</v>
      </c>
      <c r="C883" s="1" t="n">
        <v>45576</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40805-2024</t>
        </is>
      </c>
      <c r="B884" s="1" t="n">
        <v>45558</v>
      </c>
      <c r="C884" s="1" t="n">
        <v>45576</v>
      </c>
      <c r="D884" t="inlineStr">
        <is>
          <t>GOTLANDS LÄN</t>
        </is>
      </c>
      <c r="E884" t="inlineStr">
        <is>
          <t>GOTLAND</t>
        </is>
      </c>
      <c r="G884" t="n">
        <v>13.2</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45576</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45576</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41467-2024</t>
        </is>
      </c>
      <c r="B887" s="1" t="n">
        <v>45560</v>
      </c>
      <c r="C887" s="1" t="n">
        <v>45576</v>
      </c>
      <c r="D887" t="inlineStr">
        <is>
          <t>GOTLANDS LÄN</t>
        </is>
      </c>
      <c r="E887" t="inlineStr">
        <is>
          <t>GOTLAND</t>
        </is>
      </c>
      <c r="G887" t="n">
        <v>9</v>
      </c>
      <c r="H887" t="n">
        <v>0</v>
      </c>
      <c r="I887" t="n">
        <v>0</v>
      </c>
      <c r="J887" t="n">
        <v>0</v>
      </c>
      <c r="K887" t="n">
        <v>0</v>
      </c>
      <c r="L887" t="n">
        <v>0</v>
      </c>
      <c r="M887" t="n">
        <v>0</v>
      </c>
      <c r="N887" t="n">
        <v>0</v>
      </c>
      <c r="O887" t="n">
        <v>0</v>
      </c>
      <c r="P887" t="n">
        <v>0</v>
      </c>
      <c r="Q887" t="n">
        <v>0</v>
      </c>
      <c r="R887" s="2" t="inlineStr"/>
    </row>
    <row r="888" ht="15" customHeight="1">
      <c r="A888" t="inlineStr">
        <is>
          <t>A 42041-2024</t>
        </is>
      </c>
      <c r="B888" s="1" t="n">
        <v>45561</v>
      </c>
      <c r="C888" s="1" t="n">
        <v>45576</v>
      </c>
      <c r="D888" t="inlineStr">
        <is>
          <t>GOTLANDS LÄN</t>
        </is>
      </c>
      <c r="E888" t="inlineStr">
        <is>
          <t>GOTLAND</t>
        </is>
      </c>
      <c r="G888" t="n">
        <v>3.2</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45576</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45576</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45576</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45576</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43788-2024</t>
        </is>
      </c>
      <c r="B894" s="1" t="n">
        <v>45571</v>
      </c>
      <c r="C894" s="1" t="n">
        <v>45576</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45576</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45576</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44416-2024</t>
        </is>
      </c>
      <c r="B897" s="1" t="n">
        <v>45573</v>
      </c>
      <c r="C897" s="1" t="n">
        <v>45576</v>
      </c>
      <c r="D897" t="inlineStr">
        <is>
          <t>GOTLANDS LÄN</t>
        </is>
      </c>
      <c r="E897" t="inlineStr">
        <is>
          <t>GOTLAND</t>
        </is>
      </c>
      <c r="G897" t="n">
        <v>0.8</v>
      </c>
      <c r="H897" t="n">
        <v>0</v>
      </c>
      <c r="I897" t="n">
        <v>0</v>
      </c>
      <c r="J897" t="n">
        <v>0</v>
      </c>
      <c r="K897" t="n">
        <v>0</v>
      </c>
      <c r="L897" t="n">
        <v>0</v>
      </c>
      <c r="M897" t="n">
        <v>0</v>
      </c>
      <c r="N897" t="n">
        <v>0</v>
      </c>
      <c r="O897" t="n">
        <v>0</v>
      </c>
      <c r="P897" t="n">
        <v>0</v>
      </c>
      <c r="Q897" t="n">
        <v>0</v>
      </c>
      <c r="R897" s="2" t="inlineStr"/>
    </row>
    <row r="898" ht="15" customHeight="1">
      <c r="A898" t="inlineStr">
        <is>
          <t>A 44513-2024</t>
        </is>
      </c>
      <c r="B898" s="1" t="n">
        <v>45574</v>
      </c>
      <c r="C898" s="1" t="n">
        <v>45576</v>
      </c>
      <c r="D898" t="inlineStr">
        <is>
          <t>GOTLANDS LÄN</t>
        </is>
      </c>
      <c r="E898" t="inlineStr">
        <is>
          <t>GOTLAND</t>
        </is>
      </c>
      <c r="G898" t="n">
        <v>6.1</v>
      </c>
      <c r="H898" t="n">
        <v>0</v>
      </c>
      <c r="I898" t="n">
        <v>0</v>
      </c>
      <c r="J898" t="n">
        <v>0</v>
      </c>
      <c r="K898" t="n">
        <v>0</v>
      </c>
      <c r="L898" t="n">
        <v>0</v>
      </c>
      <c r="M898" t="n">
        <v>0</v>
      </c>
      <c r="N898" t="n">
        <v>0</v>
      </c>
      <c r="O898" t="n">
        <v>0</v>
      </c>
      <c r="P898" t="n">
        <v>0</v>
      </c>
      <c r="Q898" t="n">
        <v>0</v>
      </c>
      <c r="R898" s="2" t="inlineStr"/>
    </row>
    <row r="899" ht="15" customHeight="1">
      <c r="A899" t="inlineStr">
        <is>
          <t>A 44879-2024</t>
        </is>
      </c>
      <c r="B899" s="1" t="n">
        <v>45575</v>
      </c>
      <c r="C899" s="1" t="n">
        <v>45576</v>
      </c>
      <c r="D899" t="inlineStr">
        <is>
          <t>GOTLANDS LÄN</t>
        </is>
      </c>
      <c r="E899" t="inlineStr">
        <is>
          <t>GOTLAND</t>
        </is>
      </c>
      <c r="G899" t="n">
        <v>18.9</v>
      </c>
      <c r="H899" t="n">
        <v>0</v>
      </c>
      <c r="I899" t="n">
        <v>0</v>
      </c>
      <c r="J899" t="n">
        <v>0</v>
      </c>
      <c r="K899" t="n">
        <v>0</v>
      </c>
      <c r="L899" t="n">
        <v>0</v>
      </c>
      <c r="M899" t="n">
        <v>0</v>
      </c>
      <c r="N899" t="n">
        <v>0</v>
      </c>
      <c r="O899" t="n">
        <v>0</v>
      </c>
      <c r="P899" t="n">
        <v>0</v>
      </c>
      <c r="Q899" t="n">
        <v>0</v>
      </c>
      <c r="R899" s="2" t="inlineStr"/>
    </row>
    <row r="900" ht="15" customHeight="1">
      <c r="A900" t="inlineStr">
        <is>
          <t>A 45084-2024</t>
        </is>
      </c>
      <c r="B900" s="1" t="n">
        <v>45575</v>
      </c>
      <c r="C900" s="1" t="n">
        <v>45576</v>
      </c>
      <c r="D900" t="inlineStr">
        <is>
          <t>GOTLANDS LÄN</t>
        </is>
      </c>
      <c r="E900" t="inlineStr">
        <is>
          <t>GOTLAND</t>
        </is>
      </c>
      <c r="G900" t="n">
        <v>6.8</v>
      </c>
      <c r="H900" t="n">
        <v>0</v>
      </c>
      <c r="I900" t="n">
        <v>0</v>
      </c>
      <c r="J900" t="n">
        <v>0</v>
      </c>
      <c r="K900" t="n">
        <v>0</v>
      </c>
      <c r="L900" t="n">
        <v>0</v>
      </c>
      <c r="M900" t="n">
        <v>0</v>
      </c>
      <c r="N900" t="n">
        <v>0</v>
      </c>
      <c r="O900" t="n">
        <v>0</v>
      </c>
      <c r="P900" t="n">
        <v>0</v>
      </c>
      <c r="Q900" t="n">
        <v>0</v>
      </c>
      <c r="R900" s="2" t="inlineStr"/>
    </row>
    <row r="901" ht="15" customHeight="1">
      <c r="A901" t="inlineStr">
        <is>
          <t>A 45071-2024</t>
        </is>
      </c>
      <c r="B901" s="1" t="n">
        <v>45575</v>
      </c>
      <c r="C901" s="1" t="n">
        <v>45576</v>
      </c>
      <c r="D901" t="inlineStr">
        <is>
          <t>GOTLANDS LÄN</t>
        </is>
      </c>
      <c r="E901" t="inlineStr">
        <is>
          <t>GOTLAND</t>
        </is>
      </c>
      <c r="G901" t="n">
        <v>7.9</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45576</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45576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44892-2024</t>
        </is>
      </c>
      <c r="B904" s="1" t="n">
        <v>45575</v>
      </c>
      <c r="C904" s="1" t="n">
        <v>45576</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c r="A905" t="inlineStr">
        <is>
          <t>A 45127-2024</t>
        </is>
      </c>
      <c r="B905" s="1" t="n">
        <v>45575</v>
      </c>
      <c r="C905" s="1" t="n">
        <v>45576</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2024-10-11T13:00:03Z</dcterms:created>
  <dcterms:modified xmlns:dcterms="http://purl.org/dc/terms/" xmlns:xsi="http://www.w3.org/2001/XMLSchema-instance" xsi:type="dcterms:W3CDTF">2024-10-11T13:00:04Z</dcterms:modified>
</cp:coreProperties>
</file>