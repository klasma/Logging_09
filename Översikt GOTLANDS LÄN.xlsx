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45926</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45926</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922-2023</t>
        </is>
      </c>
      <c r="B9" s="1" t="n">
        <v>44932</v>
      </c>
      <c r="C9" s="1" t="n">
        <v>45926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45926</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45926</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45926</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45926</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45926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45926</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45926</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45926</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45926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61697-2023</t>
        </is>
      </c>
      <c r="B21" s="1" t="n">
        <v>45265</v>
      </c>
      <c r="C21" s="1" t="n">
        <v>45926</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25779-2022</t>
        </is>
      </c>
      <c r="B22" s="1" t="n">
        <v>44733</v>
      </c>
      <c r="C22" s="1" t="n">
        <v>45926</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45926</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2222-2024</t>
        </is>
      </c>
      <c r="B24" s="1" t="n">
        <v>45309</v>
      </c>
      <c r="C24" s="1" t="n">
        <v>45926</v>
      </c>
      <c r="D24" t="inlineStr">
        <is>
          <t>GOTLANDS LÄN</t>
        </is>
      </c>
      <c r="E24" t="inlineStr">
        <is>
          <t>GOTLAND</t>
        </is>
      </c>
      <c r="F24" t="inlineStr">
        <is>
          <t>Kyrkan</t>
        </is>
      </c>
      <c r="G24" t="n">
        <v>10.6</v>
      </c>
      <c r="H24" t="n">
        <v>0</v>
      </c>
      <c r="I24" t="n">
        <v>6</v>
      </c>
      <c r="J24" t="n">
        <v>3</v>
      </c>
      <c r="K24" t="n">
        <v>5</v>
      </c>
      <c r="L24" t="n">
        <v>0</v>
      </c>
      <c r="M24" t="n">
        <v>0</v>
      </c>
      <c r="N24" t="n">
        <v>0</v>
      </c>
      <c r="O24" t="n">
        <v>8</v>
      </c>
      <c r="P24" t="n">
        <v>5</v>
      </c>
      <c r="Q24" t="n">
        <v>14</v>
      </c>
      <c r="R24" s="2" t="inlineStr">
        <is>
          <t>Granrotsspindling
Gulsträngad fagerspindling
Svartgrön spindling
Tvillingspindling
Vit taggsvamp
Denisespindling
Odörspindling
Svinrot
Anisspindling
Blå slemspindling
Diskvaxskivling
Fransig jordstjärna
Olivspindling
Rödfläckig zontaggsvamp</t>
        </is>
      </c>
      <c r="S24">
        <f>HYPERLINK("https://klasma.github.io/Logging_0980/artfynd/A 2222-2024 artfynd.xlsx", "A 2222-2024")</f>
        <v/>
      </c>
      <c r="T24">
        <f>HYPERLINK("https://klasma.github.io/Logging_0980/kartor/A 2222-2024 karta.png", "A 2222-2024")</f>
        <v/>
      </c>
      <c r="V24">
        <f>HYPERLINK("https://klasma.github.io/Logging_0980/klagomål/A 2222-2024 FSC-klagomål.docx", "A 2222-2024")</f>
        <v/>
      </c>
      <c r="W24">
        <f>HYPERLINK("https://klasma.github.io/Logging_0980/klagomålsmail/A 2222-2024 FSC-klagomål mail.docx", "A 2222-2024")</f>
        <v/>
      </c>
      <c r="X24">
        <f>HYPERLINK("https://klasma.github.io/Logging_0980/tillsyn/A 2222-2024 tillsynsbegäran.docx", "A 2222-2024")</f>
        <v/>
      </c>
      <c r="Y24">
        <f>HYPERLINK("https://klasma.github.io/Logging_0980/tillsynsmail/A 2222-2024 tillsynsbegäran mail.docx", "A 2222-2024")</f>
        <v/>
      </c>
    </row>
    <row r="25" ht="15" customHeight="1">
      <c r="A25" t="inlineStr">
        <is>
          <t>A 33728-2025</t>
        </is>
      </c>
      <c r="B25" s="1" t="n">
        <v>45842.29344907407</v>
      </c>
      <c r="C25" s="1" t="n">
        <v>45926</v>
      </c>
      <c r="D25" t="inlineStr">
        <is>
          <t>GOTLANDS LÄN</t>
        </is>
      </c>
      <c r="E25" t="inlineStr">
        <is>
          <t>GOTLAND</t>
        </is>
      </c>
      <c r="G25" t="n">
        <v>9.5</v>
      </c>
      <c r="H25" t="n">
        <v>3</v>
      </c>
      <c r="I25" t="n">
        <v>3</v>
      </c>
      <c r="J25" t="n">
        <v>6</v>
      </c>
      <c r="K25" t="n">
        <v>3</v>
      </c>
      <c r="L25" t="n">
        <v>2</v>
      </c>
      <c r="M25" t="n">
        <v>0</v>
      </c>
      <c r="N25" t="n">
        <v>0</v>
      </c>
      <c r="O25" t="n">
        <v>11</v>
      </c>
      <c r="P25" t="n">
        <v>5</v>
      </c>
      <c r="Q25" t="n">
        <v>14</v>
      </c>
      <c r="R25" s="2" t="inlineStr">
        <is>
          <t>Ask
Sienamusseron
Gotlandsmåra
Läderdoftande fingersvamp
Mörkfjällig olivspindling
Axveronika
Backtimjan
Duvhök
Jordtistel
Svartfläckig blåvinge
Svinrot
Olivspindling
Skogsknipprot
Svavelriska</t>
        </is>
      </c>
      <c r="S25">
        <f>HYPERLINK("https://klasma.github.io/Logging_0980/artfynd/A 33728-2025 artfynd.xlsx", "A 33728-2025")</f>
        <v/>
      </c>
      <c r="T25">
        <f>HYPERLINK("https://klasma.github.io/Logging_0980/kartor/A 33728-2025 karta.png", "A 33728-2025")</f>
        <v/>
      </c>
      <c r="V25">
        <f>HYPERLINK("https://klasma.github.io/Logging_0980/klagomål/A 33728-2025 FSC-klagomål.docx", "A 33728-2025")</f>
        <v/>
      </c>
      <c r="W25">
        <f>HYPERLINK("https://klasma.github.io/Logging_0980/klagomålsmail/A 33728-2025 FSC-klagomål mail.docx", "A 33728-2025")</f>
        <v/>
      </c>
      <c r="X25">
        <f>HYPERLINK("https://klasma.github.io/Logging_0980/tillsyn/A 33728-2025 tillsynsbegäran.docx", "A 33728-2025")</f>
        <v/>
      </c>
      <c r="Y25">
        <f>HYPERLINK("https://klasma.github.io/Logging_0980/tillsynsmail/A 33728-2025 tillsynsbegäran mail.docx", "A 33728-2025")</f>
        <v/>
      </c>
      <c r="Z25">
        <f>HYPERLINK("https://klasma.github.io/Logging_0980/fåglar/A 33728-2025 prioriterade fågelarter.docx", "A 33728-2025")</f>
        <v/>
      </c>
    </row>
    <row r="26" ht="15" customHeight="1">
      <c r="A26" t="inlineStr">
        <is>
          <t>A 35141-2022</t>
        </is>
      </c>
      <c r="B26" s="1" t="n">
        <v>44797.53318287037</v>
      </c>
      <c r="C26" s="1" t="n">
        <v>45926</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45926</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2804-2023</t>
        </is>
      </c>
      <c r="B28" s="1" t="n">
        <v>44944</v>
      </c>
      <c r="C28" s="1" t="n">
        <v>45926</v>
      </c>
      <c r="D28" t="inlineStr">
        <is>
          <t>GOTLANDS LÄN</t>
        </is>
      </c>
      <c r="E28" t="inlineStr">
        <is>
          <t>GOTLAND</t>
        </is>
      </c>
      <c r="G28" t="n">
        <v>7.6</v>
      </c>
      <c r="H28" t="n">
        <v>2</v>
      </c>
      <c r="I28" t="n">
        <v>4</v>
      </c>
      <c r="J28" t="n">
        <v>4</v>
      </c>
      <c r="K28" t="n">
        <v>3</v>
      </c>
      <c r="L28" t="n">
        <v>0</v>
      </c>
      <c r="M28" t="n">
        <v>0</v>
      </c>
      <c r="N28" t="n">
        <v>0</v>
      </c>
      <c r="O28" t="n">
        <v>7</v>
      </c>
      <c r="P28" t="n">
        <v>3</v>
      </c>
      <c r="Q28" t="n">
        <v>13</v>
      </c>
      <c r="R28" s="2" t="inlineStr">
        <is>
          <t>Granrotsspindling
Narrspindling
Violettfläckig spindling
Ekticka
Granticka
Oxtungssvamp
Svinrot
Blå slemspindling
Fransig jordstjärna
Rödgul trumpetsvamp
Svavelriska
Sankt pers nycklar
Blåsippa</t>
        </is>
      </c>
      <c r="S28">
        <f>HYPERLINK("https://klasma.github.io/Logging_0980/artfynd/A 2804-2023 artfynd.xlsx", "A 2804-2023")</f>
        <v/>
      </c>
      <c r="T28">
        <f>HYPERLINK("https://klasma.github.io/Logging_0980/kartor/A 2804-2023 karta.png", "A 2804-2023")</f>
        <v/>
      </c>
      <c r="V28">
        <f>HYPERLINK("https://klasma.github.io/Logging_0980/klagomål/A 2804-2023 FSC-klagomål.docx", "A 2804-2023")</f>
        <v/>
      </c>
      <c r="W28">
        <f>HYPERLINK("https://klasma.github.io/Logging_0980/klagomålsmail/A 2804-2023 FSC-klagomål mail.docx", "A 2804-2023")</f>
        <v/>
      </c>
      <c r="X28">
        <f>HYPERLINK("https://klasma.github.io/Logging_0980/tillsyn/A 2804-2023 tillsynsbegäran.docx", "A 2804-2023")</f>
        <v/>
      </c>
      <c r="Y28">
        <f>HYPERLINK("https://klasma.github.io/Logging_0980/tillsynsmail/A 2804-2023 tillsynsbegäran mail.docx", "A 2804-2023")</f>
        <v/>
      </c>
    </row>
    <row r="29" ht="15" customHeight="1">
      <c r="A29" t="inlineStr">
        <is>
          <t>A 30236-2025</t>
        </is>
      </c>
      <c r="B29" s="1" t="n">
        <v>45827</v>
      </c>
      <c r="C29" s="1" t="n">
        <v>45926</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445-2023</t>
        </is>
      </c>
      <c r="B30" s="1" t="n">
        <v>44929</v>
      </c>
      <c r="C30" s="1" t="n">
        <v>45926</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45926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45926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45926</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45926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15068-2025</t>
        </is>
      </c>
      <c r="B36" s="1" t="n">
        <v>45743</v>
      </c>
      <c r="C36" s="1" t="n">
        <v>45926</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45926</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45926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45926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45926</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584-2023</t>
        </is>
      </c>
      <c r="B41" s="1" t="n">
        <v>44930</v>
      </c>
      <c r="C41" s="1" t="n">
        <v>45926</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33153-2024</t>
        </is>
      </c>
      <c r="B42" s="1" t="n">
        <v>45518</v>
      </c>
      <c r="C42" s="1" t="n">
        <v>45926</v>
      </c>
      <c r="D42" t="inlineStr">
        <is>
          <t>GOTLANDS LÄN</t>
        </is>
      </c>
      <c r="E42" t="inlineStr">
        <is>
          <t>GOTLAND</t>
        </is>
      </c>
      <c r="G42" t="n">
        <v>10.3</v>
      </c>
      <c r="H42" t="n">
        <v>2</v>
      </c>
      <c r="I42" t="n">
        <v>7</v>
      </c>
      <c r="J42" t="n">
        <v>3</v>
      </c>
      <c r="K42" t="n">
        <v>0</v>
      </c>
      <c r="L42" t="n">
        <v>0</v>
      </c>
      <c r="M42" t="n">
        <v>0</v>
      </c>
      <c r="N42" t="n">
        <v>0</v>
      </c>
      <c r="O42" t="n">
        <v>3</v>
      </c>
      <c r="P42" t="n">
        <v>0</v>
      </c>
      <c r="Q42" t="n">
        <v>10</v>
      </c>
      <c r="R42" s="2" t="inlineStr">
        <is>
          <t>Jordtistel
Odörspindling
Svart taggsvamp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14354-2024</t>
        </is>
      </c>
      <c r="B43" s="1" t="n">
        <v>45393</v>
      </c>
      <c r="C43" s="1" t="n">
        <v>45926</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17766-2024</t>
        </is>
      </c>
      <c r="B44" s="1" t="n">
        <v>45418</v>
      </c>
      <c r="C44" s="1" t="n">
        <v>45926</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1719-2025</t>
        </is>
      </c>
      <c r="B45" s="1" t="n">
        <v>45671</v>
      </c>
      <c r="C45" s="1" t="n">
        <v>45926</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59132-2024</t>
        </is>
      </c>
      <c r="B46" s="1" t="n">
        <v>45637</v>
      </c>
      <c r="C46" s="1" t="n">
        <v>45926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45926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45926</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45926</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45926</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45926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45926</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45926</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45248-2024</t>
        </is>
      </c>
      <c r="B54" s="1" t="n">
        <v>45576</v>
      </c>
      <c r="C54" s="1" t="n">
        <v>45926</v>
      </c>
      <c r="D54" t="inlineStr">
        <is>
          <t>GOTLANDS LÄN</t>
        </is>
      </c>
      <c r="E54" t="inlineStr">
        <is>
          <t>GOTLAND</t>
        </is>
      </c>
      <c r="G54" t="n">
        <v>9.4</v>
      </c>
      <c r="H54" t="n">
        <v>0</v>
      </c>
      <c r="I54" t="n">
        <v>3</v>
      </c>
      <c r="J54" t="n">
        <v>1</v>
      </c>
      <c r="K54" t="n">
        <v>1</v>
      </c>
      <c r="L54" t="n">
        <v>1</v>
      </c>
      <c r="M54" t="n">
        <v>1</v>
      </c>
      <c r="N54" t="n">
        <v>0</v>
      </c>
      <c r="O54" t="n">
        <v>4</v>
      </c>
      <c r="P54" t="n">
        <v>3</v>
      </c>
      <c r="Q54" t="n">
        <v>7</v>
      </c>
      <c r="R54" s="2" t="inlineStr">
        <is>
          <t>Lundalm
Ask
Mjölspindling
Oxtungssvamp
Myskmadra
Stinkbrosking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27280-2023</t>
        </is>
      </c>
      <c r="B55" s="1" t="n">
        <v>45096</v>
      </c>
      <c r="C55" s="1" t="n">
        <v>45926</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18541-2024</t>
        </is>
      </c>
      <c r="B56" s="1" t="n">
        <v>45425</v>
      </c>
      <c r="C56" s="1" t="n">
        <v>45926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45926</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45926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45926</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45926</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45926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45926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45926</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45926</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45926</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45926</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45926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2213-2023</t>
        </is>
      </c>
      <c r="B68" s="1" t="n">
        <v>44942</v>
      </c>
      <c r="C68" s="1" t="n">
        <v>45926</v>
      </c>
      <c r="D68" t="inlineStr">
        <is>
          <t>GOTLANDS LÄN</t>
        </is>
      </c>
      <c r="E68" t="inlineStr">
        <is>
          <t>GOTLAND</t>
        </is>
      </c>
      <c r="G68" t="n">
        <v>2.7</v>
      </c>
      <c r="H68" t="n">
        <v>1</v>
      </c>
      <c r="I68" t="n">
        <v>0</v>
      </c>
      <c r="J68" t="n">
        <v>4</v>
      </c>
      <c r="K68" t="n">
        <v>1</v>
      </c>
      <c r="L68" t="n">
        <v>0</v>
      </c>
      <c r="M68" t="n">
        <v>0</v>
      </c>
      <c r="N68" t="n">
        <v>0</v>
      </c>
      <c r="O68" t="n">
        <v>5</v>
      </c>
      <c r="P68" t="n">
        <v>1</v>
      </c>
      <c r="Q68" t="n">
        <v>5</v>
      </c>
      <c r="R68" s="2" t="inlineStr">
        <is>
          <t>Garderönn
Backtimjan
Odörspindling
Smedbock
Svinrot</t>
        </is>
      </c>
      <c r="S68">
        <f>HYPERLINK("https://klasma.github.io/Logging_0980/artfynd/A 2213-2023 artfynd.xlsx", "A 2213-2023")</f>
        <v/>
      </c>
      <c r="T68">
        <f>HYPERLINK("https://klasma.github.io/Logging_0980/kartor/A 2213-2023 karta.png", "A 2213-2023")</f>
        <v/>
      </c>
      <c r="V68">
        <f>HYPERLINK("https://klasma.github.io/Logging_0980/klagomål/A 2213-2023 FSC-klagomål.docx", "A 2213-2023")</f>
        <v/>
      </c>
      <c r="W68">
        <f>HYPERLINK("https://klasma.github.io/Logging_0980/klagomålsmail/A 2213-2023 FSC-klagomål mail.docx", "A 2213-2023")</f>
        <v/>
      </c>
      <c r="X68">
        <f>HYPERLINK("https://klasma.github.io/Logging_0980/tillsyn/A 2213-2023 tillsynsbegäran.docx", "A 2213-2023")</f>
        <v/>
      </c>
      <c r="Y68">
        <f>HYPERLINK("https://klasma.github.io/Logging_0980/tillsynsmail/A 2213-2023 tillsynsbegäran mail.docx", "A 2213-2023")</f>
        <v/>
      </c>
    </row>
    <row r="69" ht="15" customHeight="1">
      <c r="A69" t="inlineStr">
        <is>
          <t>A 16375-2025</t>
        </is>
      </c>
      <c r="B69" s="1" t="n">
        <v>45751.41064814815</v>
      </c>
      <c r="C69" s="1" t="n">
        <v>45926</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42936-2024</t>
        </is>
      </c>
      <c r="B70" s="1" t="n">
        <v>45567</v>
      </c>
      <c r="C70" s="1" t="n">
        <v>45926</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54055-2022</t>
        </is>
      </c>
      <c r="B71" s="1" t="n">
        <v>44881</v>
      </c>
      <c r="C71" s="1" t="n">
        <v>45926</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32326-2024</t>
        </is>
      </c>
      <c r="B72" s="1" t="n">
        <v>45512</v>
      </c>
      <c r="C72" s="1" t="n">
        <v>45926</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35293-2025</t>
        </is>
      </c>
      <c r="B73" s="1" t="n">
        <v>45854.39438657407</v>
      </c>
      <c r="C73" s="1" t="n">
        <v>45926</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29331-2021</t>
        </is>
      </c>
      <c r="B74" s="1" t="n">
        <v>44361</v>
      </c>
      <c r="C74" s="1" t="n">
        <v>45926</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45926</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45926</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45926</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54523-2023</t>
        </is>
      </c>
      <c r="B78" s="1" t="n">
        <v>45233</v>
      </c>
      <c r="C78" s="1" t="n">
        <v>45926</v>
      </c>
      <c r="D78" t="inlineStr">
        <is>
          <t>GOTLANDS LÄN</t>
        </is>
      </c>
      <c r="E78" t="inlineStr">
        <is>
          <t>GOTLAND</t>
        </is>
      </c>
      <c r="G78" t="n">
        <v>3.7</v>
      </c>
      <c r="H78" t="n">
        <v>2</v>
      </c>
      <c r="I78" t="n">
        <v>0</v>
      </c>
      <c r="J78" t="n">
        <v>1</v>
      </c>
      <c r="K78" t="n">
        <v>1</v>
      </c>
      <c r="L78" t="n">
        <v>0</v>
      </c>
      <c r="M78" t="n">
        <v>0</v>
      </c>
      <c r="N78" t="n">
        <v>0</v>
      </c>
      <c r="O78" t="n">
        <v>2</v>
      </c>
      <c r="P78" t="n">
        <v>1</v>
      </c>
      <c r="Q78" t="n">
        <v>4</v>
      </c>
      <c r="R78" s="2" t="inlineStr">
        <is>
          <t>Sommarklynne
Åkerkulla
Brudsporre
Kärrknipprot</t>
        </is>
      </c>
      <c r="S78">
        <f>HYPERLINK("https://klasma.github.io/Logging_0980/artfynd/A 54523-2023 artfynd.xlsx", "A 54523-2023")</f>
        <v/>
      </c>
      <c r="T78">
        <f>HYPERLINK("https://klasma.github.io/Logging_0980/kartor/A 54523-2023 karta.png", "A 54523-2023")</f>
        <v/>
      </c>
      <c r="V78">
        <f>HYPERLINK("https://klasma.github.io/Logging_0980/klagomål/A 54523-2023 FSC-klagomål.docx", "A 54523-2023")</f>
        <v/>
      </c>
      <c r="W78">
        <f>HYPERLINK("https://klasma.github.io/Logging_0980/klagomålsmail/A 54523-2023 FSC-klagomål mail.docx", "A 54523-2023")</f>
        <v/>
      </c>
      <c r="X78">
        <f>HYPERLINK("https://klasma.github.io/Logging_0980/tillsyn/A 54523-2023 tillsynsbegäran.docx", "A 54523-2023")</f>
        <v/>
      </c>
      <c r="Y78">
        <f>HYPERLINK("https://klasma.github.io/Logging_0980/tillsynsmail/A 54523-2023 tillsynsbegäran mail.docx", "A 54523-2023")</f>
        <v/>
      </c>
    </row>
    <row r="79" ht="15" customHeight="1">
      <c r="A79" t="inlineStr">
        <is>
          <t>A 2485-2025</t>
        </is>
      </c>
      <c r="B79" s="1" t="n">
        <v>45673</v>
      </c>
      <c r="C79" s="1" t="n">
        <v>45926</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8265-2023</t>
        </is>
      </c>
      <c r="B80" s="1" t="n">
        <v>44974</v>
      </c>
      <c r="C80" s="1" t="n">
        <v>45926</v>
      </c>
      <c r="D80" t="inlineStr">
        <is>
          <t>GOTLANDS LÄN</t>
        </is>
      </c>
      <c r="E80" t="inlineStr">
        <is>
          <t>GOTLAND</t>
        </is>
      </c>
      <c r="G80" t="n">
        <v>3.3</v>
      </c>
      <c r="H80" t="n">
        <v>4</v>
      </c>
      <c r="I80" t="n">
        <v>3</v>
      </c>
      <c r="J80" t="n">
        <v>0</v>
      </c>
      <c r="K80" t="n">
        <v>0</v>
      </c>
      <c r="L80" t="n">
        <v>0</v>
      </c>
      <c r="M80" t="n">
        <v>0</v>
      </c>
      <c r="N80" t="n">
        <v>0</v>
      </c>
      <c r="O80" t="n">
        <v>0</v>
      </c>
      <c r="P80" t="n">
        <v>0</v>
      </c>
      <c r="Q80" t="n">
        <v>4</v>
      </c>
      <c r="R80" s="2" t="inlineStr">
        <is>
          <t>Flugblomster
Purpurknipprot
Tvåblad
Salepsrot</t>
        </is>
      </c>
      <c r="S80">
        <f>HYPERLINK("https://klasma.github.io/Logging_0980/artfynd/A 8265-2023 artfynd.xlsx", "A 8265-2023")</f>
        <v/>
      </c>
      <c r="T80">
        <f>HYPERLINK("https://klasma.github.io/Logging_0980/kartor/A 8265-2023 karta.png", "A 8265-2023")</f>
        <v/>
      </c>
      <c r="V80">
        <f>HYPERLINK("https://klasma.github.io/Logging_0980/klagomål/A 8265-2023 FSC-klagomål.docx", "A 8265-2023")</f>
        <v/>
      </c>
      <c r="W80">
        <f>HYPERLINK("https://klasma.github.io/Logging_0980/klagomålsmail/A 8265-2023 FSC-klagomål mail.docx", "A 8265-2023")</f>
        <v/>
      </c>
      <c r="X80">
        <f>HYPERLINK("https://klasma.github.io/Logging_0980/tillsyn/A 8265-2023 tillsynsbegäran.docx", "A 8265-2023")</f>
        <v/>
      </c>
      <c r="Y80">
        <f>HYPERLINK("https://klasma.github.io/Logging_0980/tillsynsmail/A 8265-2023 tillsynsbegäran mail.docx", "A 8265-2023")</f>
        <v/>
      </c>
    </row>
    <row r="81" ht="15" customHeight="1">
      <c r="A81" t="inlineStr">
        <is>
          <t>A 6159-2023</t>
        </is>
      </c>
      <c r="B81" s="1" t="n">
        <v>44964</v>
      </c>
      <c r="C81" s="1" t="n">
        <v>45926</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45926</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40099-2025</t>
        </is>
      </c>
      <c r="B83" s="1" t="n">
        <v>45894.48462962963</v>
      </c>
      <c r="C83" s="1" t="n">
        <v>45926</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5904-2024</t>
        </is>
      </c>
      <c r="B84" s="1" t="n">
        <v>45335</v>
      </c>
      <c r="C84" s="1" t="n">
        <v>45926</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44933-2022</t>
        </is>
      </c>
      <c r="B85" s="1" t="n">
        <v>44841</v>
      </c>
      <c r="C85" s="1" t="n">
        <v>45926</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20833-2024</t>
        </is>
      </c>
      <c r="B86" s="1" t="n">
        <v>45439</v>
      </c>
      <c r="C86" s="1" t="n">
        <v>45926</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64378-2020</t>
        </is>
      </c>
      <c r="B87" s="1" t="n">
        <v>44168</v>
      </c>
      <c r="C87" s="1" t="n">
        <v>45926</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45926</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45926</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45926</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45926</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45926</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45926</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73144-2021</t>
        </is>
      </c>
      <c r="B94" s="1" t="n">
        <v>44550</v>
      </c>
      <c r="C94" s="1" t="n">
        <v>45926</v>
      </c>
      <c r="D94" t="inlineStr">
        <is>
          <t>GOTLANDS LÄN</t>
        </is>
      </c>
      <c r="E94" t="inlineStr">
        <is>
          <t>GOTLAND</t>
        </is>
      </c>
      <c r="G94" t="n">
        <v>1.9</v>
      </c>
      <c r="H94" t="n">
        <v>0</v>
      </c>
      <c r="I94" t="n">
        <v>1</v>
      </c>
      <c r="J94" t="n">
        <v>1</v>
      </c>
      <c r="K94" t="n">
        <v>1</v>
      </c>
      <c r="L94" t="n">
        <v>0</v>
      </c>
      <c r="M94" t="n">
        <v>0</v>
      </c>
      <c r="N94" t="n">
        <v>0</v>
      </c>
      <c r="O94" t="n">
        <v>2</v>
      </c>
      <c r="P94" t="n">
        <v>1</v>
      </c>
      <c r="Q94" t="n">
        <v>3</v>
      </c>
      <c r="R94" s="2" t="inlineStr">
        <is>
          <t>Skogskorn
Igelkott
Kambräken</t>
        </is>
      </c>
      <c r="S94">
        <f>HYPERLINK("https://klasma.github.io/Logging_0980/artfynd/A 73144-2021 artfynd.xlsx", "A 73144-2021")</f>
        <v/>
      </c>
      <c r="T94">
        <f>HYPERLINK("https://klasma.github.io/Logging_0980/kartor/A 73144-2021 karta.png", "A 73144-2021")</f>
        <v/>
      </c>
      <c r="V94">
        <f>HYPERLINK("https://klasma.github.io/Logging_0980/klagomål/A 73144-2021 FSC-klagomål.docx", "A 73144-2021")</f>
        <v/>
      </c>
      <c r="W94">
        <f>HYPERLINK("https://klasma.github.io/Logging_0980/klagomålsmail/A 73144-2021 FSC-klagomål mail.docx", "A 73144-2021")</f>
        <v/>
      </c>
      <c r="X94">
        <f>HYPERLINK("https://klasma.github.io/Logging_0980/tillsyn/A 73144-2021 tillsynsbegäran.docx", "A 73144-2021")</f>
        <v/>
      </c>
      <c r="Y94">
        <f>HYPERLINK("https://klasma.github.io/Logging_0980/tillsynsmail/A 73144-2021 tillsynsbegäran mail.docx", "A 73144-2021")</f>
        <v/>
      </c>
    </row>
    <row r="95" ht="15" customHeight="1">
      <c r="A95" t="inlineStr">
        <is>
          <t>A 17982-2023</t>
        </is>
      </c>
      <c r="B95" s="1" t="n">
        <v>45040</v>
      </c>
      <c r="C95" s="1" t="n">
        <v>45926</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2332-2021</t>
        </is>
      </c>
      <c r="B96" s="1" t="n">
        <v>44214</v>
      </c>
      <c r="C96" s="1" t="n">
        <v>45926</v>
      </c>
      <c r="D96" t="inlineStr">
        <is>
          <t>GOTLANDS LÄN</t>
        </is>
      </c>
      <c r="E96" t="inlineStr">
        <is>
          <t>GOTLAND</t>
        </is>
      </c>
      <c r="G96" t="n">
        <v>2.3</v>
      </c>
      <c r="H96" t="n">
        <v>2</v>
      </c>
      <c r="I96" t="n">
        <v>0</v>
      </c>
      <c r="J96" t="n">
        <v>1</v>
      </c>
      <c r="K96" t="n">
        <v>0</v>
      </c>
      <c r="L96" t="n">
        <v>0</v>
      </c>
      <c r="M96" t="n">
        <v>0</v>
      </c>
      <c r="N96" t="n">
        <v>0</v>
      </c>
      <c r="O96" t="n">
        <v>1</v>
      </c>
      <c r="P96" t="n">
        <v>0</v>
      </c>
      <c r="Q96" t="n">
        <v>3</v>
      </c>
      <c r="R96" s="2" t="inlineStr">
        <is>
          <t>Korpnopping
Sankt pers nycklar
Blåsippa</t>
        </is>
      </c>
      <c r="S96">
        <f>HYPERLINK("https://klasma.github.io/Logging_0980/artfynd/A 2332-2021 artfynd.xlsx", "A 2332-2021")</f>
        <v/>
      </c>
      <c r="T96">
        <f>HYPERLINK("https://klasma.github.io/Logging_0980/kartor/A 2332-2021 karta.png", "A 2332-2021")</f>
        <v/>
      </c>
      <c r="V96">
        <f>HYPERLINK("https://klasma.github.io/Logging_0980/klagomål/A 2332-2021 FSC-klagomål.docx", "A 2332-2021")</f>
        <v/>
      </c>
      <c r="W96">
        <f>HYPERLINK("https://klasma.github.io/Logging_0980/klagomålsmail/A 2332-2021 FSC-klagomål mail.docx", "A 2332-2021")</f>
        <v/>
      </c>
      <c r="X96">
        <f>HYPERLINK("https://klasma.github.io/Logging_0980/tillsyn/A 2332-2021 tillsynsbegäran.docx", "A 2332-2021")</f>
        <v/>
      </c>
      <c r="Y96">
        <f>HYPERLINK("https://klasma.github.io/Logging_0980/tillsynsmail/A 2332-2021 tillsynsbegäran mail.docx", "A 2332-2021")</f>
        <v/>
      </c>
    </row>
    <row r="97" ht="15" customHeight="1">
      <c r="A97" t="inlineStr">
        <is>
          <t>A 13499-2022</t>
        </is>
      </c>
      <c r="B97" s="1" t="n">
        <v>44647.79203703703</v>
      </c>
      <c r="C97" s="1" t="n">
        <v>45926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45926</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43013-2022</t>
        </is>
      </c>
      <c r="B99" s="1" t="n">
        <v>44833</v>
      </c>
      <c r="C99" s="1" t="n">
        <v>45926</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53552-2021</t>
        </is>
      </c>
      <c r="B100" s="1" t="n">
        <v>44468</v>
      </c>
      <c r="C100" s="1" t="n">
        <v>45926</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45926</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48126-2022</t>
        </is>
      </c>
      <c r="B102" s="1" t="n">
        <v>44857</v>
      </c>
      <c r="C102" s="1" t="n">
        <v>45926</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30490-2025</t>
        </is>
      </c>
      <c r="B103" s="1" t="n">
        <v>45830</v>
      </c>
      <c r="C103" s="1" t="n">
        <v>45926</v>
      </c>
      <c r="D103" t="inlineStr">
        <is>
          <t>GOTLANDS LÄN</t>
        </is>
      </c>
      <c r="E103" t="inlineStr">
        <is>
          <t>GOTLAND</t>
        </is>
      </c>
      <c r="G103" t="n">
        <v>7.9</v>
      </c>
      <c r="H103" t="n">
        <v>1</v>
      </c>
      <c r="I103" t="n">
        <v>0</v>
      </c>
      <c r="J103" t="n">
        <v>2</v>
      </c>
      <c r="K103" t="n">
        <v>0</v>
      </c>
      <c r="L103" t="n">
        <v>0</v>
      </c>
      <c r="M103" t="n">
        <v>0</v>
      </c>
      <c r="N103" t="n">
        <v>0</v>
      </c>
      <c r="O103" t="n">
        <v>2</v>
      </c>
      <c r="P103" t="n">
        <v>0</v>
      </c>
      <c r="Q103" t="n">
        <v>3</v>
      </c>
      <c r="R103" s="2" t="inlineStr">
        <is>
          <t>Klasefibbla
Majviva
Nattviol</t>
        </is>
      </c>
      <c r="S103">
        <f>HYPERLINK("https://klasma.github.io/Logging_0980/artfynd/A 30490-2025 artfynd.xlsx", "A 30490-2025")</f>
        <v/>
      </c>
      <c r="T103">
        <f>HYPERLINK("https://klasma.github.io/Logging_0980/kartor/A 30490-2025 karta.png", "A 30490-2025")</f>
        <v/>
      </c>
      <c r="V103">
        <f>HYPERLINK("https://klasma.github.io/Logging_0980/klagomål/A 30490-2025 FSC-klagomål.docx", "A 30490-2025")</f>
        <v/>
      </c>
      <c r="W103">
        <f>HYPERLINK("https://klasma.github.io/Logging_0980/klagomålsmail/A 30490-2025 FSC-klagomål mail.docx", "A 30490-2025")</f>
        <v/>
      </c>
      <c r="X103">
        <f>HYPERLINK("https://klasma.github.io/Logging_0980/tillsyn/A 30490-2025 tillsynsbegäran.docx", "A 30490-2025")</f>
        <v/>
      </c>
      <c r="Y103">
        <f>HYPERLINK("https://klasma.github.io/Logging_0980/tillsynsmail/A 30490-2025 tillsynsbegäran mail.docx", "A 30490-2025")</f>
        <v/>
      </c>
    </row>
    <row r="104" ht="15" customHeight="1">
      <c r="A104" t="inlineStr">
        <is>
          <t>A 17975-2024</t>
        </is>
      </c>
      <c r="B104" s="1" t="n">
        <v>45419.85546296297</v>
      </c>
      <c r="C104" s="1" t="n">
        <v>45926</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45926</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55334-2024</t>
        </is>
      </c>
      <c r="B106" s="1" t="n">
        <v>45621</v>
      </c>
      <c r="C106" s="1" t="n">
        <v>45926</v>
      </c>
      <c r="D106" t="inlineStr">
        <is>
          <t>GOTLANDS LÄN</t>
        </is>
      </c>
      <c r="E106" t="inlineStr">
        <is>
          <t>GOTLAND</t>
        </is>
      </c>
      <c r="G106" t="n">
        <v>21.7</v>
      </c>
      <c r="H106" t="n">
        <v>0</v>
      </c>
      <c r="I106" t="n">
        <v>3</v>
      </c>
      <c r="J106" t="n">
        <v>0</v>
      </c>
      <c r="K106" t="n">
        <v>0</v>
      </c>
      <c r="L106" t="n">
        <v>0</v>
      </c>
      <c r="M106" t="n">
        <v>0</v>
      </c>
      <c r="N106" t="n">
        <v>0</v>
      </c>
      <c r="O106" t="n">
        <v>0</v>
      </c>
      <c r="P106" t="n">
        <v>0</v>
      </c>
      <c r="Q106" t="n">
        <v>3</v>
      </c>
      <c r="R106" s="2" t="inlineStr">
        <is>
          <t>Anisspindling
Besk kastanjemusseron
Svavelriska</t>
        </is>
      </c>
      <c r="S106">
        <f>HYPERLINK("https://klasma.github.io/Logging_0980/artfynd/A 55334-2024 artfynd.xlsx", "A 55334-2024")</f>
        <v/>
      </c>
      <c r="T106">
        <f>HYPERLINK("https://klasma.github.io/Logging_0980/kartor/A 55334-2024 karta.png", "A 55334-2024")</f>
        <v/>
      </c>
      <c r="V106">
        <f>HYPERLINK("https://klasma.github.io/Logging_0980/klagomål/A 55334-2024 FSC-klagomål.docx", "A 55334-2024")</f>
        <v/>
      </c>
      <c r="W106">
        <f>HYPERLINK("https://klasma.github.io/Logging_0980/klagomålsmail/A 55334-2024 FSC-klagomål mail.docx", "A 55334-2024")</f>
        <v/>
      </c>
      <c r="X106">
        <f>HYPERLINK("https://klasma.github.io/Logging_0980/tillsyn/A 55334-2024 tillsynsbegäran.docx", "A 55334-2024")</f>
        <v/>
      </c>
      <c r="Y106">
        <f>HYPERLINK("https://klasma.github.io/Logging_0980/tillsynsmail/A 55334-2024 tillsynsbegäran mail.docx", "A 55334-2024")</f>
        <v/>
      </c>
    </row>
    <row r="107" ht="15" customHeight="1">
      <c r="A107" t="inlineStr">
        <is>
          <t>A 20831-2024</t>
        </is>
      </c>
      <c r="B107" s="1" t="n">
        <v>45439</v>
      </c>
      <c r="C107" s="1" t="n">
        <v>45926</v>
      </c>
      <c r="D107" t="inlineStr">
        <is>
          <t>GOTLANDS LÄN</t>
        </is>
      </c>
      <c r="E107" t="inlineStr">
        <is>
          <t>GOTLAND</t>
        </is>
      </c>
      <c r="G107" t="n">
        <v>2.9</v>
      </c>
      <c r="H107" t="n">
        <v>2</v>
      </c>
      <c r="I107" t="n">
        <v>1</v>
      </c>
      <c r="J107" t="n">
        <v>2</v>
      </c>
      <c r="K107" t="n">
        <v>0</v>
      </c>
      <c r="L107" t="n">
        <v>0</v>
      </c>
      <c r="M107" t="n">
        <v>0</v>
      </c>
      <c r="N107" t="n">
        <v>0</v>
      </c>
      <c r="O107" t="n">
        <v>2</v>
      </c>
      <c r="P107" t="n">
        <v>0</v>
      </c>
      <c r="Q107" t="n">
        <v>3</v>
      </c>
      <c r="R107" s="2" t="inlineStr">
        <is>
          <t>Dårgräsfjäril
Svinrot
Skogsknipprot</t>
        </is>
      </c>
      <c r="S107">
        <f>HYPERLINK("https://klasma.github.io/Logging_0980/artfynd/A 20831-2024 artfynd.xlsx", "A 20831-2024")</f>
        <v/>
      </c>
      <c r="T107">
        <f>HYPERLINK("https://klasma.github.io/Logging_0980/kartor/A 20831-2024 karta.png", "A 20831-2024")</f>
        <v/>
      </c>
      <c r="V107">
        <f>HYPERLINK("https://klasma.github.io/Logging_0980/klagomål/A 20831-2024 FSC-klagomål.docx", "A 20831-2024")</f>
        <v/>
      </c>
      <c r="W107">
        <f>HYPERLINK("https://klasma.github.io/Logging_0980/klagomålsmail/A 20831-2024 FSC-klagomål mail.docx", "A 20831-2024")</f>
        <v/>
      </c>
      <c r="X107">
        <f>HYPERLINK("https://klasma.github.io/Logging_0980/tillsyn/A 20831-2024 tillsynsbegäran.docx", "A 20831-2024")</f>
        <v/>
      </c>
      <c r="Y107">
        <f>HYPERLINK("https://klasma.github.io/Logging_0980/tillsynsmail/A 20831-2024 tillsynsbegäran mail.docx", "A 20831-2024")</f>
        <v/>
      </c>
    </row>
    <row r="108" ht="15" customHeight="1">
      <c r="A108" t="inlineStr">
        <is>
          <t>A 29870-2021</t>
        </is>
      </c>
      <c r="B108" s="1" t="n">
        <v>44362</v>
      </c>
      <c r="C108" s="1" t="n">
        <v>45926</v>
      </c>
      <c r="D108" t="inlineStr">
        <is>
          <t>GOTLANDS LÄN</t>
        </is>
      </c>
      <c r="E108" t="inlineStr">
        <is>
          <t>GOTLAND</t>
        </is>
      </c>
      <c r="G108" t="n">
        <v>2.4</v>
      </c>
      <c r="H108" t="n">
        <v>0</v>
      </c>
      <c r="I108" t="n">
        <v>1</v>
      </c>
      <c r="J108" t="n">
        <v>0</v>
      </c>
      <c r="K108" t="n">
        <v>1</v>
      </c>
      <c r="L108" t="n">
        <v>0</v>
      </c>
      <c r="M108" t="n">
        <v>0</v>
      </c>
      <c r="N108" t="n">
        <v>0</v>
      </c>
      <c r="O108" t="n">
        <v>1</v>
      </c>
      <c r="P108" t="n">
        <v>1</v>
      </c>
      <c r="Q108" t="n">
        <v>2</v>
      </c>
      <c r="R108" s="2" t="inlineStr">
        <is>
          <t>Blåfotad fagerspindling
Olivspindling</t>
        </is>
      </c>
      <c r="S108">
        <f>HYPERLINK("https://klasma.github.io/Logging_0980/artfynd/A 29870-2021 artfynd.xlsx", "A 29870-2021")</f>
        <v/>
      </c>
      <c r="T108">
        <f>HYPERLINK("https://klasma.github.io/Logging_0980/kartor/A 29870-2021 karta.png", "A 29870-2021")</f>
        <v/>
      </c>
      <c r="V108">
        <f>HYPERLINK("https://klasma.github.io/Logging_0980/klagomål/A 29870-2021 FSC-klagomål.docx", "A 29870-2021")</f>
        <v/>
      </c>
      <c r="W108">
        <f>HYPERLINK("https://klasma.github.io/Logging_0980/klagomålsmail/A 29870-2021 FSC-klagomål mail.docx", "A 29870-2021")</f>
        <v/>
      </c>
      <c r="X108">
        <f>HYPERLINK("https://klasma.github.io/Logging_0980/tillsyn/A 29870-2021 tillsynsbegäran.docx", "A 29870-2021")</f>
        <v/>
      </c>
      <c r="Y108">
        <f>HYPERLINK("https://klasma.github.io/Logging_0980/tillsynsmail/A 29870-2021 tillsynsbegäran mail.docx", "A 29870-2021")</f>
        <v/>
      </c>
    </row>
    <row r="109" ht="15" customHeight="1">
      <c r="A109" t="inlineStr">
        <is>
          <t>A 26857-2021</t>
        </is>
      </c>
      <c r="B109" s="1" t="n">
        <v>44349.60091435185</v>
      </c>
      <c r="C109" s="1" t="n">
        <v>45926</v>
      </c>
      <c r="D109" t="inlineStr">
        <is>
          <t>GOTLANDS LÄN</t>
        </is>
      </c>
      <c r="E109" t="inlineStr">
        <is>
          <t>GOTLAND</t>
        </is>
      </c>
      <c r="G109" t="n">
        <v>1.9</v>
      </c>
      <c r="H109" t="n">
        <v>0</v>
      </c>
      <c r="I109" t="n">
        <v>0</v>
      </c>
      <c r="J109" t="n">
        <v>2</v>
      </c>
      <c r="K109" t="n">
        <v>0</v>
      </c>
      <c r="L109" t="n">
        <v>0</v>
      </c>
      <c r="M109" t="n">
        <v>0</v>
      </c>
      <c r="N109" t="n">
        <v>0</v>
      </c>
      <c r="O109" t="n">
        <v>2</v>
      </c>
      <c r="P109" t="n">
        <v>0</v>
      </c>
      <c r="Q109" t="n">
        <v>2</v>
      </c>
      <c r="R109" s="2" t="inlineStr">
        <is>
          <t>Jordtistel
Solvända</t>
        </is>
      </c>
      <c r="S109">
        <f>HYPERLINK("https://klasma.github.io/Logging_0980/artfynd/A 26857-2021 artfynd.xlsx", "A 26857-2021")</f>
        <v/>
      </c>
      <c r="T109">
        <f>HYPERLINK("https://klasma.github.io/Logging_0980/kartor/A 26857-2021 karta.png", "A 26857-2021")</f>
        <v/>
      </c>
      <c r="V109">
        <f>HYPERLINK("https://klasma.github.io/Logging_0980/klagomål/A 26857-2021 FSC-klagomål.docx", "A 26857-2021")</f>
        <v/>
      </c>
      <c r="W109">
        <f>HYPERLINK("https://klasma.github.io/Logging_0980/klagomålsmail/A 26857-2021 FSC-klagomål mail.docx", "A 26857-2021")</f>
        <v/>
      </c>
      <c r="X109">
        <f>HYPERLINK("https://klasma.github.io/Logging_0980/tillsyn/A 26857-2021 tillsynsbegäran.docx", "A 26857-2021")</f>
        <v/>
      </c>
      <c r="Y109">
        <f>HYPERLINK("https://klasma.github.io/Logging_0980/tillsynsmail/A 26857-2021 tillsynsbegäran mail.docx", "A 26857-2021")</f>
        <v/>
      </c>
    </row>
    <row r="110" ht="15" customHeight="1">
      <c r="A110" t="inlineStr">
        <is>
          <t>A 51737-2021</t>
        </is>
      </c>
      <c r="B110" s="1" t="n">
        <v>44462.57368055556</v>
      </c>
      <c r="C110" s="1" t="n">
        <v>45926</v>
      </c>
      <c r="D110" t="inlineStr">
        <is>
          <t>GOTLANDS LÄN</t>
        </is>
      </c>
      <c r="E110" t="inlineStr">
        <is>
          <t>GOTLAND</t>
        </is>
      </c>
      <c r="G110" t="n">
        <v>8.6</v>
      </c>
      <c r="H110" t="n">
        <v>0</v>
      </c>
      <c r="I110" t="n">
        <v>1</v>
      </c>
      <c r="J110" t="n">
        <v>1</v>
      </c>
      <c r="K110" t="n">
        <v>0</v>
      </c>
      <c r="L110" t="n">
        <v>0</v>
      </c>
      <c r="M110" t="n">
        <v>0</v>
      </c>
      <c r="N110" t="n">
        <v>0</v>
      </c>
      <c r="O110" t="n">
        <v>1</v>
      </c>
      <c r="P110" t="n">
        <v>0</v>
      </c>
      <c r="Q110" t="n">
        <v>2</v>
      </c>
      <c r="R110" s="2" t="inlineStr">
        <is>
          <t>Igelkott
Kambräken</t>
        </is>
      </c>
      <c r="S110">
        <f>HYPERLINK("https://klasma.github.io/Logging_0980/artfynd/A 51737-2021 artfynd.xlsx", "A 51737-2021")</f>
        <v/>
      </c>
      <c r="T110">
        <f>HYPERLINK("https://klasma.github.io/Logging_0980/kartor/A 51737-2021 karta.png", "A 51737-2021")</f>
        <v/>
      </c>
      <c r="V110">
        <f>HYPERLINK("https://klasma.github.io/Logging_0980/klagomål/A 51737-2021 FSC-klagomål.docx", "A 51737-2021")</f>
        <v/>
      </c>
      <c r="W110">
        <f>HYPERLINK("https://klasma.github.io/Logging_0980/klagomålsmail/A 51737-2021 FSC-klagomål mail.docx", "A 51737-2021")</f>
        <v/>
      </c>
      <c r="X110">
        <f>HYPERLINK("https://klasma.github.io/Logging_0980/tillsyn/A 51737-2021 tillsynsbegäran.docx", "A 51737-2021")</f>
        <v/>
      </c>
      <c r="Y110">
        <f>HYPERLINK("https://klasma.github.io/Logging_0980/tillsynsmail/A 51737-2021 tillsynsbegäran mail.docx", "A 51737-2021")</f>
        <v/>
      </c>
    </row>
    <row r="111" ht="15" customHeight="1">
      <c r="A111" t="inlineStr">
        <is>
          <t>A 16429-2021</t>
        </is>
      </c>
      <c r="B111" s="1" t="n">
        <v>44293</v>
      </c>
      <c r="C111" s="1" t="n">
        <v>45926</v>
      </c>
      <c r="D111" t="inlineStr">
        <is>
          <t>GOTLANDS LÄN</t>
        </is>
      </c>
      <c r="E111" t="inlineStr">
        <is>
          <t>GOTLAND</t>
        </is>
      </c>
      <c r="G111" t="n">
        <v>3.4</v>
      </c>
      <c r="H111" t="n">
        <v>0</v>
      </c>
      <c r="I111" t="n">
        <v>0</v>
      </c>
      <c r="J111" t="n">
        <v>1</v>
      </c>
      <c r="K111" t="n">
        <v>1</v>
      </c>
      <c r="L111" t="n">
        <v>0</v>
      </c>
      <c r="M111" t="n">
        <v>0</v>
      </c>
      <c r="N111" t="n">
        <v>0</v>
      </c>
      <c r="O111" t="n">
        <v>2</v>
      </c>
      <c r="P111" t="n">
        <v>1</v>
      </c>
      <c r="Q111" t="n">
        <v>2</v>
      </c>
      <c r="R111" s="2" t="inlineStr">
        <is>
          <t>Gotlandsmåra
Barrviolspindling</t>
        </is>
      </c>
      <c r="S111">
        <f>HYPERLINK("https://klasma.github.io/Logging_0980/artfynd/A 16429-2021 artfynd.xlsx", "A 16429-2021")</f>
        <v/>
      </c>
      <c r="T111">
        <f>HYPERLINK("https://klasma.github.io/Logging_0980/kartor/A 16429-2021 karta.png", "A 16429-2021")</f>
        <v/>
      </c>
      <c r="V111">
        <f>HYPERLINK("https://klasma.github.io/Logging_0980/klagomål/A 16429-2021 FSC-klagomål.docx", "A 16429-2021")</f>
        <v/>
      </c>
      <c r="W111">
        <f>HYPERLINK("https://klasma.github.io/Logging_0980/klagomålsmail/A 16429-2021 FSC-klagomål mail.docx", "A 16429-2021")</f>
        <v/>
      </c>
      <c r="X111">
        <f>HYPERLINK("https://klasma.github.io/Logging_0980/tillsyn/A 16429-2021 tillsynsbegäran.docx", "A 16429-2021")</f>
        <v/>
      </c>
      <c r="Y111">
        <f>HYPERLINK("https://klasma.github.io/Logging_0980/tillsynsmail/A 16429-2021 tillsynsbegäran mail.docx", "A 16429-2021")</f>
        <v/>
      </c>
    </row>
    <row r="112" ht="15" customHeight="1">
      <c r="A112" t="inlineStr">
        <is>
          <t>A 9930-2021</t>
        </is>
      </c>
      <c r="B112" s="1" t="n">
        <v>44252</v>
      </c>
      <c r="C112" s="1" t="n">
        <v>45926</v>
      </c>
      <c r="D112" t="inlineStr">
        <is>
          <t>GOTLANDS LÄN</t>
        </is>
      </c>
      <c r="E112" t="inlineStr">
        <is>
          <t>GOTLAND</t>
        </is>
      </c>
      <c r="G112" t="n">
        <v>1.9</v>
      </c>
      <c r="H112" t="n">
        <v>0</v>
      </c>
      <c r="I112" t="n">
        <v>0</v>
      </c>
      <c r="J112" t="n">
        <v>0</v>
      </c>
      <c r="K112" t="n">
        <v>0</v>
      </c>
      <c r="L112" t="n">
        <v>1</v>
      </c>
      <c r="M112" t="n">
        <v>1</v>
      </c>
      <c r="N112" t="n">
        <v>0</v>
      </c>
      <c r="O112" t="n">
        <v>2</v>
      </c>
      <c r="P112" t="n">
        <v>2</v>
      </c>
      <c r="Q112" t="n">
        <v>2</v>
      </c>
      <c r="R112" s="2" t="inlineStr">
        <is>
          <t>Lundalm
Ask</t>
        </is>
      </c>
      <c r="S112">
        <f>HYPERLINK("https://klasma.github.io/Logging_0980/artfynd/A 9930-2021 artfynd.xlsx", "A 9930-2021")</f>
        <v/>
      </c>
      <c r="T112">
        <f>HYPERLINK("https://klasma.github.io/Logging_0980/kartor/A 9930-2021 karta.png", "A 9930-2021")</f>
        <v/>
      </c>
      <c r="V112">
        <f>HYPERLINK("https://klasma.github.io/Logging_0980/klagomål/A 9930-2021 FSC-klagomål.docx", "A 9930-2021")</f>
        <v/>
      </c>
      <c r="W112">
        <f>HYPERLINK("https://klasma.github.io/Logging_0980/klagomålsmail/A 9930-2021 FSC-klagomål mail.docx", "A 9930-2021")</f>
        <v/>
      </c>
      <c r="X112">
        <f>HYPERLINK("https://klasma.github.io/Logging_0980/tillsyn/A 9930-2021 tillsynsbegäran.docx", "A 9930-2021")</f>
        <v/>
      </c>
      <c r="Y112">
        <f>HYPERLINK("https://klasma.github.io/Logging_0980/tillsynsmail/A 9930-2021 tillsynsbegäran mail.docx", "A 9930-2021")</f>
        <v/>
      </c>
    </row>
    <row r="113" ht="15" customHeight="1">
      <c r="A113" t="inlineStr">
        <is>
          <t>A 60665-2021</t>
        </is>
      </c>
      <c r="B113" s="1" t="n">
        <v>44496</v>
      </c>
      <c r="C113" s="1" t="n">
        <v>45926</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55649-2024</t>
        </is>
      </c>
      <c r="B114" s="1" t="n">
        <v>45622.63053240741</v>
      </c>
      <c r="C114" s="1" t="n">
        <v>45926</v>
      </c>
      <c r="D114" t="inlineStr">
        <is>
          <t>GOTLANDS LÄN</t>
        </is>
      </c>
      <c r="E114" t="inlineStr">
        <is>
          <t>GOTLAND</t>
        </is>
      </c>
      <c r="G114" t="n">
        <v>4.6</v>
      </c>
      <c r="H114" t="n">
        <v>2</v>
      </c>
      <c r="I114" t="n">
        <v>0</v>
      </c>
      <c r="J114" t="n">
        <v>0</v>
      </c>
      <c r="K114" t="n">
        <v>0</v>
      </c>
      <c r="L114" t="n">
        <v>0</v>
      </c>
      <c r="M114" t="n">
        <v>0</v>
      </c>
      <c r="N114" t="n">
        <v>0</v>
      </c>
      <c r="O114" t="n">
        <v>0</v>
      </c>
      <c r="P114" t="n">
        <v>0</v>
      </c>
      <c r="Q114" t="n">
        <v>2</v>
      </c>
      <c r="R114" s="2" t="inlineStr">
        <is>
          <t>Sankt pers nycklar
Blåsippa</t>
        </is>
      </c>
      <c r="S114">
        <f>HYPERLINK("https://klasma.github.io/Logging_0980/artfynd/A 55649-2024 artfynd.xlsx", "A 55649-2024")</f>
        <v/>
      </c>
      <c r="T114">
        <f>HYPERLINK("https://klasma.github.io/Logging_0980/kartor/A 55649-2024 karta.png", "A 55649-2024")</f>
        <v/>
      </c>
      <c r="V114">
        <f>HYPERLINK("https://klasma.github.io/Logging_0980/klagomål/A 55649-2024 FSC-klagomål.docx", "A 55649-2024")</f>
        <v/>
      </c>
      <c r="W114">
        <f>HYPERLINK("https://klasma.github.io/Logging_0980/klagomålsmail/A 55649-2024 FSC-klagomål mail.docx", "A 55649-2024")</f>
        <v/>
      </c>
      <c r="X114">
        <f>HYPERLINK("https://klasma.github.io/Logging_0980/tillsyn/A 55649-2024 tillsynsbegäran.docx", "A 55649-2024")</f>
        <v/>
      </c>
      <c r="Y114">
        <f>HYPERLINK("https://klasma.github.io/Logging_0980/tillsynsmail/A 55649-2024 tillsynsbegäran mail.docx", "A 55649-2024")</f>
        <v/>
      </c>
    </row>
    <row r="115" ht="15" customHeight="1">
      <c r="A115" t="inlineStr">
        <is>
          <t>A 21879-2025</t>
        </is>
      </c>
      <c r="B115" s="1" t="n">
        <v>45784.40533564815</v>
      </c>
      <c r="C115" s="1" t="n">
        <v>45926</v>
      </c>
      <c r="D115" t="inlineStr">
        <is>
          <t>GOTLANDS LÄN</t>
        </is>
      </c>
      <c r="E115" t="inlineStr">
        <is>
          <t>GOTLAND</t>
        </is>
      </c>
      <c r="G115" t="n">
        <v>11.1</v>
      </c>
      <c r="H115" t="n">
        <v>0</v>
      </c>
      <c r="I115" t="n">
        <v>1</v>
      </c>
      <c r="J115" t="n">
        <v>0</v>
      </c>
      <c r="K115" t="n">
        <v>0</v>
      </c>
      <c r="L115" t="n">
        <v>1</v>
      </c>
      <c r="M115" t="n">
        <v>0</v>
      </c>
      <c r="N115" t="n">
        <v>0</v>
      </c>
      <c r="O115" t="n">
        <v>1</v>
      </c>
      <c r="P115" t="n">
        <v>1</v>
      </c>
      <c r="Q115" t="n">
        <v>2</v>
      </c>
      <c r="R115" s="2" t="inlineStr">
        <is>
          <t>Ask
Murgröna</t>
        </is>
      </c>
      <c r="S115">
        <f>HYPERLINK("https://klasma.github.io/Logging_0980/artfynd/A 21879-2025 artfynd.xlsx", "A 21879-2025")</f>
        <v/>
      </c>
      <c r="T115">
        <f>HYPERLINK("https://klasma.github.io/Logging_0980/kartor/A 21879-2025 karta.png", "A 21879-2025")</f>
        <v/>
      </c>
      <c r="V115">
        <f>HYPERLINK("https://klasma.github.io/Logging_0980/klagomål/A 21879-2025 FSC-klagomål.docx", "A 21879-2025")</f>
        <v/>
      </c>
      <c r="W115">
        <f>HYPERLINK("https://klasma.github.io/Logging_0980/klagomålsmail/A 21879-2025 FSC-klagomål mail.docx", "A 21879-2025")</f>
        <v/>
      </c>
      <c r="X115">
        <f>HYPERLINK("https://klasma.github.io/Logging_0980/tillsyn/A 21879-2025 tillsynsbegäran.docx", "A 21879-2025")</f>
        <v/>
      </c>
      <c r="Y115">
        <f>HYPERLINK("https://klasma.github.io/Logging_0980/tillsynsmail/A 21879-2025 tillsynsbegäran mail.docx", "A 21879-2025")</f>
        <v/>
      </c>
    </row>
    <row r="116" ht="15" customHeight="1">
      <c r="A116" t="inlineStr">
        <is>
          <t>A 20218-2022</t>
        </is>
      </c>
      <c r="B116" s="1" t="n">
        <v>44698</v>
      </c>
      <c r="C116" s="1" t="n">
        <v>45926</v>
      </c>
      <c r="D116" t="inlineStr">
        <is>
          <t>GOTLANDS LÄN</t>
        </is>
      </c>
      <c r="E116" t="inlineStr">
        <is>
          <t>GOTLAND</t>
        </is>
      </c>
      <c r="G116" t="n">
        <v>4.3</v>
      </c>
      <c r="H116" t="n">
        <v>0</v>
      </c>
      <c r="I116" t="n">
        <v>1</v>
      </c>
      <c r="J116" t="n">
        <v>1</v>
      </c>
      <c r="K116" t="n">
        <v>0</v>
      </c>
      <c r="L116" t="n">
        <v>0</v>
      </c>
      <c r="M116" t="n">
        <v>0</v>
      </c>
      <c r="N116" t="n">
        <v>0</v>
      </c>
      <c r="O116" t="n">
        <v>1</v>
      </c>
      <c r="P116" t="n">
        <v>0</v>
      </c>
      <c r="Q116" t="n">
        <v>2</v>
      </c>
      <c r="R116" s="2" t="inlineStr">
        <is>
          <t>Flattoppad klubbsvamp
Rödgul trumpetsvamp</t>
        </is>
      </c>
      <c r="S116">
        <f>HYPERLINK("https://klasma.github.io/Logging_0980/artfynd/A 20218-2022 artfynd.xlsx", "A 20218-2022")</f>
        <v/>
      </c>
      <c r="T116">
        <f>HYPERLINK("https://klasma.github.io/Logging_0980/kartor/A 20218-2022 karta.png", "A 20218-2022")</f>
        <v/>
      </c>
      <c r="V116">
        <f>HYPERLINK("https://klasma.github.io/Logging_0980/klagomål/A 20218-2022 FSC-klagomål.docx", "A 20218-2022")</f>
        <v/>
      </c>
      <c r="W116">
        <f>HYPERLINK("https://klasma.github.io/Logging_0980/klagomålsmail/A 20218-2022 FSC-klagomål mail.docx", "A 20218-2022")</f>
        <v/>
      </c>
      <c r="X116">
        <f>HYPERLINK("https://klasma.github.io/Logging_0980/tillsyn/A 20218-2022 tillsynsbegäran.docx", "A 20218-2022")</f>
        <v/>
      </c>
      <c r="Y116">
        <f>HYPERLINK("https://klasma.github.io/Logging_0980/tillsynsmail/A 20218-2022 tillsynsbegäran mail.docx", "A 20218-2022")</f>
        <v/>
      </c>
    </row>
    <row r="117" ht="15" customHeight="1">
      <c r="A117" t="inlineStr">
        <is>
          <t>A 26077-2024</t>
        </is>
      </c>
      <c r="B117" s="1" t="n">
        <v>45467</v>
      </c>
      <c r="C117" s="1" t="n">
        <v>45926</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58701-2020</t>
        </is>
      </c>
      <c r="B118" s="1" t="n">
        <v>44146</v>
      </c>
      <c r="C118" s="1" t="n">
        <v>45926</v>
      </c>
      <c r="D118" t="inlineStr">
        <is>
          <t>GOTLANDS LÄN</t>
        </is>
      </c>
      <c r="E118" t="inlineStr">
        <is>
          <t>GOTLAND</t>
        </is>
      </c>
      <c r="G118" t="n">
        <v>5.5</v>
      </c>
      <c r="H118" t="n">
        <v>0</v>
      </c>
      <c r="I118" t="n">
        <v>0</v>
      </c>
      <c r="J118" t="n">
        <v>1</v>
      </c>
      <c r="K118" t="n">
        <v>1</v>
      </c>
      <c r="L118" t="n">
        <v>0</v>
      </c>
      <c r="M118" t="n">
        <v>0</v>
      </c>
      <c r="N118" t="n">
        <v>0</v>
      </c>
      <c r="O118" t="n">
        <v>2</v>
      </c>
      <c r="P118" t="n">
        <v>1</v>
      </c>
      <c r="Q118" t="n">
        <v>2</v>
      </c>
      <c r="R118" s="2" t="inlineStr">
        <is>
          <t>Vit taggsvamp
Odörspindling</t>
        </is>
      </c>
      <c r="S118">
        <f>HYPERLINK("https://klasma.github.io/Logging_0980/artfynd/A 58701-2020 artfynd.xlsx", "A 58701-2020")</f>
        <v/>
      </c>
      <c r="T118">
        <f>HYPERLINK("https://klasma.github.io/Logging_0980/kartor/A 58701-2020 karta.png", "A 58701-2020")</f>
        <v/>
      </c>
      <c r="V118">
        <f>HYPERLINK("https://klasma.github.io/Logging_0980/klagomål/A 58701-2020 FSC-klagomål.docx", "A 58701-2020")</f>
        <v/>
      </c>
      <c r="W118">
        <f>HYPERLINK("https://klasma.github.io/Logging_0980/klagomålsmail/A 58701-2020 FSC-klagomål mail.docx", "A 58701-2020")</f>
        <v/>
      </c>
      <c r="X118">
        <f>HYPERLINK("https://klasma.github.io/Logging_0980/tillsyn/A 58701-2020 tillsynsbegäran.docx", "A 58701-2020")</f>
        <v/>
      </c>
      <c r="Y118">
        <f>HYPERLINK("https://klasma.github.io/Logging_0980/tillsynsmail/A 58701-2020 tillsynsbegäran mail.docx", "A 58701-2020")</f>
        <v/>
      </c>
    </row>
    <row r="119" ht="15" customHeight="1">
      <c r="A119" t="inlineStr">
        <is>
          <t>A 28261-2024</t>
        </is>
      </c>
      <c r="B119" s="1" t="n">
        <v>45477</v>
      </c>
      <c r="C119" s="1" t="n">
        <v>45926</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28261-2024 artfynd.xlsx", "A 28261-2024")</f>
        <v/>
      </c>
      <c r="T119">
        <f>HYPERLINK("https://klasma.github.io/Logging_0980/kartor/A 28261-2024 karta.png", "A 28261-2024")</f>
        <v/>
      </c>
      <c r="V119">
        <f>HYPERLINK("https://klasma.github.io/Logging_0980/klagomål/A 28261-2024 FSC-klagomål.docx", "A 28261-2024")</f>
        <v/>
      </c>
      <c r="W119">
        <f>HYPERLINK("https://klasma.github.io/Logging_0980/klagomålsmail/A 28261-2024 FSC-klagomål mail.docx", "A 28261-2024")</f>
        <v/>
      </c>
      <c r="X119">
        <f>HYPERLINK("https://klasma.github.io/Logging_0980/tillsyn/A 28261-2024 tillsynsbegäran.docx", "A 28261-2024")</f>
        <v/>
      </c>
      <c r="Y119">
        <f>HYPERLINK("https://klasma.github.io/Logging_0980/tillsynsmail/A 28261-2024 tillsynsbegäran mail.docx", "A 28261-2024")</f>
        <v/>
      </c>
    </row>
    <row r="120" ht="15" customHeight="1">
      <c r="A120" t="inlineStr">
        <is>
          <t>A 7070-2022</t>
        </is>
      </c>
      <c r="B120" s="1" t="n">
        <v>44603</v>
      </c>
      <c r="C120" s="1" t="n">
        <v>45926</v>
      </c>
      <c r="D120" t="inlineStr">
        <is>
          <t>GOTLANDS LÄN</t>
        </is>
      </c>
      <c r="E120" t="inlineStr">
        <is>
          <t>GOTLAND</t>
        </is>
      </c>
      <c r="G120" t="n">
        <v>2.6</v>
      </c>
      <c r="H120" t="n">
        <v>0</v>
      </c>
      <c r="I120" t="n">
        <v>2</v>
      </c>
      <c r="J120" t="n">
        <v>0</v>
      </c>
      <c r="K120" t="n">
        <v>0</v>
      </c>
      <c r="L120" t="n">
        <v>0</v>
      </c>
      <c r="M120" t="n">
        <v>0</v>
      </c>
      <c r="N120" t="n">
        <v>0</v>
      </c>
      <c r="O120" t="n">
        <v>0</v>
      </c>
      <c r="P120" t="n">
        <v>0</v>
      </c>
      <c r="Q120" t="n">
        <v>2</v>
      </c>
      <c r="R120" s="2" t="inlineStr">
        <is>
          <t>Blåmossa
Kattfotslav</t>
        </is>
      </c>
      <c r="S120">
        <f>HYPERLINK("https://klasma.github.io/Logging_0980/artfynd/A 7070-2022 artfynd.xlsx", "A 7070-2022")</f>
        <v/>
      </c>
      <c r="T120">
        <f>HYPERLINK("https://klasma.github.io/Logging_0980/kartor/A 7070-2022 karta.png", "A 7070-2022")</f>
        <v/>
      </c>
      <c r="V120">
        <f>HYPERLINK("https://klasma.github.io/Logging_0980/klagomål/A 7070-2022 FSC-klagomål.docx", "A 7070-2022")</f>
        <v/>
      </c>
      <c r="W120">
        <f>HYPERLINK("https://klasma.github.io/Logging_0980/klagomålsmail/A 7070-2022 FSC-klagomål mail.docx", "A 7070-2022")</f>
        <v/>
      </c>
      <c r="X120">
        <f>HYPERLINK("https://klasma.github.io/Logging_0980/tillsyn/A 7070-2022 tillsynsbegäran.docx", "A 7070-2022")</f>
        <v/>
      </c>
      <c r="Y120">
        <f>HYPERLINK("https://klasma.github.io/Logging_0980/tillsynsmail/A 7070-2022 tillsynsbegäran mail.docx", "A 7070-2022")</f>
        <v/>
      </c>
    </row>
    <row r="121" ht="15" customHeight="1">
      <c r="A121" t="inlineStr">
        <is>
          <t>A 64263-2020</t>
        </is>
      </c>
      <c r="B121" s="1" t="n">
        <v>44168</v>
      </c>
      <c r="C121" s="1" t="n">
        <v>45926</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12914-2025</t>
        </is>
      </c>
      <c r="B122" s="1" t="n">
        <v>45733</v>
      </c>
      <c r="C122" s="1" t="n">
        <v>45926</v>
      </c>
      <c r="D122" t="inlineStr">
        <is>
          <t>GOTLANDS LÄN</t>
        </is>
      </c>
      <c r="E122" t="inlineStr">
        <is>
          <t>GOTLAND</t>
        </is>
      </c>
      <c r="G122" t="n">
        <v>24.8</v>
      </c>
      <c r="H122" t="n">
        <v>2</v>
      </c>
      <c r="I122" t="n">
        <v>1</v>
      </c>
      <c r="J122" t="n">
        <v>0</v>
      </c>
      <c r="K122" t="n">
        <v>0</v>
      </c>
      <c r="L122" t="n">
        <v>0</v>
      </c>
      <c r="M122" t="n">
        <v>0</v>
      </c>
      <c r="N122" t="n">
        <v>0</v>
      </c>
      <c r="O122" t="n">
        <v>0</v>
      </c>
      <c r="P122" t="n">
        <v>0</v>
      </c>
      <c r="Q122" t="n">
        <v>2</v>
      </c>
      <c r="R122" s="2" t="inlineStr">
        <is>
          <t>Purpurknipprot
Brudsporre</t>
        </is>
      </c>
      <c r="S122">
        <f>HYPERLINK("https://klasma.github.io/Logging_0980/artfynd/A 12914-2025 artfynd.xlsx", "A 12914-2025")</f>
        <v/>
      </c>
      <c r="T122">
        <f>HYPERLINK("https://klasma.github.io/Logging_0980/kartor/A 12914-2025 karta.png", "A 12914-2025")</f>
        <v/>
      </c>
      <c r="V122">
        <f>HYPERLINK("https://klasma.github.io/Logging_0980/klagomål/A 12914-2025 FSC-klagomål.docx", "A 12914-2025")</f>
        <v/>
      </c>
      <c r="W122">
        <f>HYPERLINK("https://klasma.github.io/Logging_0980/klagomålsmail/A 12914-2025 FSC-klagomål mail.docx", "A 12914-2025")</f>
        <v/>
      </c>
      <c r="X122">
        <f>HYPERLINK("https://klasma.github.io/Logging_0980/tillsyn/A 12914-2025 tillsynsbegäran.docx", "A 12914-2025")</f>
        <v/>
      </c>
      <c r="Y122">
        <f>HYPERLINK("https://klasma.github.io/Logging_0980/tillsynsmail/A 12914-2025 tillsynsbegäran mail.docx", "A 12914-2025")</f>
        <v/>
      </c>
    </row>
    <row r="123" ht="15" customHeight="1">
      <c r="A123" t="inlineStr">
        <is>
          <t>A 43219-2023</t>
        </is>
      </c>
      <c r="B123" s="1" t="n">
        <v>45183</v>
      </c>
      <c r="C123" s="1" t="n">
        <v>45926</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13627-2023</t>
        </is>
      </c>
      <c r="B124" s="1" t="n">
        <v>45006</v>
      </c>
      <c r="C124" s="1" t="n">
        <v>45926</v>
      </c>
      <c r="D124" t="inlineStr">
        <is>
          <t>GOTLANDS LÄN</t>
        </is>
      </c>
      <c r="E124" t="inlineStr">
        <is>
          <t>GOTLAND</t>
        </is>
      </c>
      <c r="G124" t="n">
        <v>10.7</v>
      </c>
      <c r="H124" t="n">
        <v>0</v>
      </c>
      <c r="I124" t="n">
        <v>0</v>
      </c>
      <c r="J124" t="n">
        <v>1</v>
      </c>
      <c r="K124" t="n">
        <v>1</v>
      </c>
      <c r="L124" t="n">
        <v>0</v>
      </c>
      <c r="M124" t="n">
        <v>0</v>
      </c>
      <c r="N124" t="n">
        <v>0</v>
      </c>
      <c r="O124" t="n">
        <v>2</v>
      </c>
      <c r="P124" t="n">
        <v>1</v>
      </c>
      <c r="Q124" t="n">
        <v>2</v>
      </c>
      <c r="R124" s="2" t="inlineStr">
        <is>
          <t>Sammetsbockrot
Igelkott</t>
        </is>
      </c>
      <c r="S124">
        <f>HYPERLINK("https://klasma.github.io/Logging_0980/artfynd/A 13627-2023 artfynd.xlsx", "A 13627-2023")</f>
        <v/>
      </c>
      <c r="T124">
        <f>HYPERLINK("https://klasma.github.io/Logging_0980/kartor/A 13627-2023 karta.png", "A 13627-2023")</f>
        <v/>
      </c>
      <c r="V124">
        <f>HYPERLINK("https://klasma.github.io/Logging_0980/klagomål/A 13627-2023 FSC-klagomål.docx", "A 13627-2023")</f>
        <v/>
      </c>
      <c r="W124">
        <f>HYPERLINK("https://klasma.github.io/Logging_0980/klagomålsmail/A 13627-2023 FSC-klagomål mail.docx", "A 13627-2023")</f>
        <v/>
      </c>
      <c r="X124">
        <f>HYPERLINK("https://klasma.github.io/Logging_0980/tillsyn/A 13627-2023 tillsynsbegäran.docx", "A 13627-2023")</f>
        <v/>
      </c>
      <c r="Y124">
        <f>HYPERLINK("https://klasma.github.io/Logging_0980/tillsynsmail/A 13627-2023 tillsynsbegäran mail.docx", "A 13627-2023")</f>
        <v/>
      </c>
    </row>
    <row r="125" ht="15" customHeight="1">
      <c r="A125" t="inlineStr">
        <is>
          <t>A 54357-2024</t>
        </is>
      </c>
      <c r="B125" s="1" t="n">
        <v>45617.40662037037</v>
      </c>
      <c r="C125" s="1" t="n">
        <v>45926</v>
      </c>
      <c r="D125" t="inlineStr">
        <is>
          <t>GOTLANDS LÄN</t>
        </is>
      </c>
      <c r="E125" t="inlineStr">
        <is>
          <t>GOTLAND</t>
        </is>
      </c>
      <c r="G125" t="n">
        <v>1.5</v>
      </c>
      <c r="H125" t="n">
        <v>1</v>
      </c>
      <c r="I125" t="n">
        <v>0</v>
      </c>
      <c r="J125" t="n">
        <v>1</v>
      </c>
      <c r="K125" t="n">
        <v>0</v>
      </c>
      <c r="L125" t="n">
        <v>0</v>
      </c>
      <c r="M125" t="n">
        <v>0</v>
      </c>
      <c r="N125" t="n">
        <v>0</v>
      </c>
      <c r="O125" t="n">
        <v>1</v>
      </c>
      <c r="P125" t="n">
        <v>0</v>
      </c>
      <c r="Q125" t="n">
        <v>2</v>
      </c>
      <c r="R125" s="2" t="inlineStr">
        <is>
          <t>Loppstarr
Fläcknycklar</t>
        </is>
      </c>
      <c r="S125">
        <f>HYPERLINK("https://klasma.github.io/Logging_0980/artfynd/A 54357-2024 artfynd.xlsx", "A 54357-2024")</f>
        <v/>
      </c>
      <c r="T125">
        <f>HYPERLINK("https://klasma.github.io/Logging_0980/kartor/A 54357-2024 karta.png", "A 54357-2024")</f>
        <v/>
      </c>
      <c r="V125">
        <f>HYPERLINK("https://klasma.github.io/Logging_0980/klagomål/A 54357-2024 FSC-klagomål.docx", "A 54357-2024")</f>
        <v/>
      </c>
      <c r="W125">
        <f>HYPERLINK("https://klasma.github.io/Logging_0980/klagomålsmail/A 54357-2024 FSC-klagomål mail.docx", "A 54357-2024")</f>
        <v/>
      </c>
      <c r="X125">
        <f>HYPERLINK("https://klasma.github.io/Logging_0980/tillsyn/A 54357-2024 tillsynsbegäran.docx", "A 54357-2024")</f>
        <v/>
      </c>
      <c r="Y125">
        <f>HYPERLINK("https://klasma.github.io/Logging_0980/tillsynsmail/A 54357-2024 tillsynsbegäran mail.docx", "A 54357-2024")</f>
        <v/>
      </c>
    </row>
    <row r="126" ht="15" customHeight="1">
      <c r="A126" t="inlineStr">
        <is>
          <t>A 28276-2024</t>
        </is>
      </c>
      <c r="B126" s="1" t="n">
        <v>45477</v>
      </c>
      <c r="C126" s="1" t="n">
        <v>45926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41238-2025</t>
        </is>
      </c>
      <c r="B127" s="1" t="n">
        <v>45898</v>
      </c>
      <c r="C127" s="1" t="n">
        <v>45926</v>
      </c>
      <c r="D127" t="inlineStr">
        <is>
          <t>GOTLANDS LÄN</t>
        </is>
      </c>
      <c r="E127" t="inlineStr">
        <is>
          <t>GOTLAND</t>
        </is>
      </c>
      <c r="G127" t="n">
        <v>7.1</v>
      </c>
      <c r="H127" t="n">
        <v>1</v>
      </c>
      <c r="I127" t="n">
        <v>2</v>
      </c>
      <c r="J127" t="n">
        <v>0</v>
      </c>
      <c r="K127" t="n">
        <v>0</v>
      </c>
      <c r="L127" t="n">
        <v>0</v>
      </c>
      <c r="M127" t="n">
        <v>0</v>
      </c>
      <c r="N127" t="n">
        <v>0</v>
      </c>
      <c r="O127" t="n">
        <v>0</v>
      </c>
      <c r="P127" t="n">
        <v>0</v>
      </c>
      <c r="Q127" t="n">
        <v>2</v>
      </c>
      <c r="R127" s="2" t="inlineStr">
        <is>
          <t>Granbarkgnagare
Skogsknipprot</t>
        </is>
      </c>
      <c r="S127">
        <f>HYPERLINK("https://klasma.github.io/Logging_0980/artfynd/A 41238-2025 artfynd.xlsx", "A 41238-2025")</f>
        <v/>
      </c>
      <c r="T127">
        <f>HYPERLINK("https://klasma.github.io/Logging_0980/kartor/A 41238-2025 karta.png", "A 41238-2025")</f>
        <v/>
      </c>
      <c r="V127">
        <f>HYPERLINK("https://klasma.github.io/Logging_0980/klagomål/A 41238-2025 FSC-klagomål.docx", "A 41238-2025")</f>
        <v/>
      </c>
      <c r="W127">
        <f>HYPERLINK("https://klasma.github.io/Logging_0980/klagomålsmail/A 41238-2025 FSC-klagomål mail.docx", "A 41238-2025")</f>
        <v/>
      </c>
      <c r="X127">
        <f>HYPERLINK("https://klasma.github.io/Logging_0980/tillsyn/A 41238-2025 tillsynsbegäran.docx", "A 41238-2025")</f>
        <v/>
      </c>
      <c r="Y127">
        <f>HYPERLINK("https://klasma.github.io/Logging_0980/tillsynsmail/A 41238-2025 tillsynsbegäran mail.docx", "A 41238-2025")</f>
        <v/>
      </c>
    </row>
    <row r="128" ht="15" customHeight="1">
      <c r="A128" t="inlineStr">
        <is>
          <t>A 20838-2024</t>
        </is>
      </c>
      <c r="B128" s="1" t="n">
        <v>45439</v>
      </c>
      <c r="C128" s="1" t="n">
        <v>45926</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24-2021</t>
        </is>
      </c>
      <c r="B129" s="1" t="n">
        <v>44197</v>
      </c>
      <c r="C129" s="1" t="n">
        <v>45926</v>
      </c>
      <c r="D129" t="inlineStr">
        <is>
          <t>GOTLANDS LÄN</t>
        </is>
      </c>
      <c r="E129" t="inlineStr">
        <is>
          <t>GOTLAND</t>
        </is>
      </c>
      <c r="F129" t="inlineStr">
        <is>
          <t>Kyrkan</t>
        </is>
      </c>
      <c r="G129" t="n">
        <v>1.7</v>
      </c>
      <c r="H129" t="n">
        <v>0</v>
      </c>
      <c r="I129" t="n">
        <v>1</v>
      </c>
      <c r="J129" t="n">
        <v>0</v>
      </c>
      <c r="K129" t="n">
        <v>0</v>
      </c>
      <c r="L129" t="n">
        <v>0</v>
      </c>
      <c r="M129" t="n">
        <v>0</v>
      </c>
      <c r="N129" t="n">
        <v>0</v>
      </c>
      <c r="O129" t="n">
        <v>0</v>
      </c>
      <c r="P129" t="n">
        <v>0</v>
      </c>
      <c r="Q129" t="n">
        <v>1</v>
      </c>
      <c r="R129" s="2" t="inlineStr">
        <is>
          <t>Svavelriska</t>
        </is>
      </c>
      <c r="S129">
        <f>HYPERLINK("https://klasma.github.io/Logging_0980/artfynd/A 24-2021 artfynd.xlsx", "A 24-2021")</f>
        <v/>
      </c>
      <c r="T129">
        <f>HYPERLINK("https://klasma.github.io/Logging_0980/kartor/A 24-2021 karta.png", "A 24-2021")</f>
        <v/>
      </c>
      <c r="V129">
        <f>HYPERLINK("https://klasma.github.io/Logging_0980/klagomål/A 24-2021 FSC-klagomål.docx", "A 24-2021")</f>
        <v/>
      </c>
      <c r="W129">
        <f>HYPERLINK("https://klasma.github.io/Logging_0980/klagomålsmail/A 24-2021 FSC-klagomål mail.docx", "A 24-2021")</f>
        <v/>
      </c>
      <c r="X129">
        <f>HYPERLINK("https://klasma.github.io/Logging_0980/tillsyn/A 24-2021 tillsynsbegäran.docx", "A 24-2021")</f>
        <v/>
      </c>
      <c r="Y129">
        <f>HYPERLINK("https://klasma.github.io/Logging_0980/tillsynsmail/A 24-2021 tillsynsbegäran mail.docx", "A 24-2021")</f>
        <v/>
      </c>
    </row>
    <row r="130" ht="15" customHeight="1">
      <c r="A130" t="inlineStr">
        <is>
          <t>A 46362-2021</t>
        </is>
      </c>
      <c r="B130" s="1" t="n">
        <v>44442</v>
      </c>
      <c r="C130" s="1" t="n">
        <v>45926</v>
      </c>
      <c r="D130" t="inlineStr">
        <is>
          <t>GOTLANDS LÄN</t>
        </is>
      </c>
      <c r="E130" t="inlineStr">
        <is>
          <t>GOTLAND</t>
        </is>
      </c>
      <c r="G130" t="n">
        <v>2.1</v>
      </c>
      <c r="H130" t="n">
        <v>0</v>
      </c>
      <c r="I130" t="n">
        <v>0</v>
      </c>
      <c r="J130" t="n">
        <v>1</v>
      </c>
      <c r="K130" t="n">
        <v>0</v>
      </c>
      <c r="L130" t="n">
        <v>0</v>
      </c>
      <c r="M130" t="n">
        <v>0</v>
      </c>
      <c r="N130" t="n">
        <v>0</v>
      </c>
      <c r="O130" t="n">
        <v>1</v>
      </c>
      <c r="P130" t="n">
        <v>0</v>
      </c>
      <c r="Q130" t="n">
        <v>1</v>
      </c>
      <c r="R130" s="2" t="inlineStr">
        <is>
          <t>Igelkott</t>
        </is>
      </c>
      <c r="S130">
        <f>HYPERLINK("https://klasma.github.io/Logging_0980/artfynd/A 46362-2021 artfynd.xlsx", "A 46362-2021")</f>
        <v/>
      </c>
      <c r="T130">
        <f>HYPERLINK("https://klasma.github.io/Logging_0980/kartor/A 46362-2021 karta.png", "A 46362-2021")</f>
        <v/>
      </c>
      <c r="V130">
        <f>HYPERLINK("https://klasma.github.io/Logging_0980/klagomål/A 46362-2021 FSC-klagomål.docx", "A 46362-2021")</f>
        <v/>
      </c>
      <c r="W130">
        <f>HYPERLINK("https://klasma.github.io/Logging_0980/klagomålsmail/A 46362-2021 FSC-klagomål mail.docx", "A 46362-2021")</f>
        <v/>
      </c>
      <c r="X130">
        <f>HYPERLINK("https://klasma.github.io/Logging_0980/tillsyn/A 46362-2021 tillsynsbegäran.docx", "A 46362-2021")</f>
        <v/>
      </c>
      <c r="Y130">
        <f>HYPERLINK("https://klasma.github.io/Logging_0980/tillsynsmail/A 46362-2021 tillsynsbegäran mail.docx", "A 46362-2021")</f>
        <v/>
      </c>
    </row>
    <row r="131" ht="15" customHeight="1">
      <c r="A131" t="inlineStr">
        <is>
          <t>A 35467-2021</t>
        </is>
      </c>
      <c r="B131" s="1" t="n">
        <v>44385</v>
      </c>
      <c r="C131" s="1" t="n">
        <v>45926</v>
      </c>
      <c r="D131" t="inlineStr">
        <is>
          <t>GOTLANDS LÄN</t>
        </is>
      </c>
      <c r="E131" t="inlineStr">
        <is>
          <t>GOTLAND</t>
        </is>
      </c>
      <c r="G131" t="n">
        <v>12.7</v>
      </c>
      <c r="H131" t="n">
        <v>0</v>
      </c>
      <c r="I131" t="n">
        <v>0</v>
      </c>
      <c r="J131" t="n">
        <v>1</v>
      </c>
      <c r="K131" t="n">
        <v>0</v>
      </c>
      <c r="L131" t="n">
        <v>0</v>
      </c>
      <c r="M131" t="n">
        <v>0</v>
      </c>
      <c r="N131" t="n">
        <v>0</v>
      </c>
      <c r="O131" t="n">
        <v>1</v>
      </c>
      <c r="P131" t="n">
        <v>0</v>
      </c>
      <c r="Q131" t="n">
        <v>1</v>
      </c>
      <c r="R131" s="2" t="inlineStr">
        <is>
          <t>Loppstarr</t>
        </is>
      </c>
      <c r="S131">
        <f>HYPERLINK("https://klasma.github.io/Logging_0980/artfynd/A 35467-2021 artfynd.xlsx", "A 35467-2021")</f>
        <v/>
      </c>
      <c r="T131">
        <f>HYPERLINK("https://klasma.github.io/Logging_0980/kartor/A 35467-2021 karta.png", "A 35467-2021")</f>
        <v/>
      </c>
      <c r="V131">
        <f>HYPERLINK("https://klasma.github.io/Logging_0980/klagomål/A 35467-2021 FSC-klagomål.docx", "A 35467-2021")</f>
        <v/>
      </c>
      <c r="W131">
        <f>HYPERLINK("https://klasma.github.io/Logging_0980/klagomålsmail/A 35467-2021 FSC-klagomål mail.docx", "A 35467-2021")</f>
        <v/>
      </c>
      <c r="X131">
        <f>HYPERLINK("https://klasma.github.io/Logging_0980/tillsyn/A 35467-2021 tillsynsbegäran.docx", "A 35467-2021")</f>
        <v/>
      </c>
      <c r="Y131">
        <f>HYPERLINK("https://klasma.github.io/Logging_0980/tillsynsmail/A 35467-2021 tillsynsbegäran mail.docx", "A 35467-2021")</f>
        <v/>
      </c>
    </row>
    <row r="132" ht="15" customHeight="1">
      <c r="A132" t="inlineStr">
        <is>
          <t>A 7485-2021</t>
        </is>
      </c>
      <c r="B132" s="1" t="n">
        <v>44238</v>
      </c>
      <c r="C132" s="1" t="n">
        <v>45926</v>
      </c>
      <c r="D132" t="inlineStr">
        <is>
          <t>GOTLANDS LÄN</t>
        </is>
      </c>
      <c r="E132" t="inlineStr">
        <is>
          <t>GOTLAND</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HYPERLINK("https://klasma.github.io/Logging_0980/artfynd/A 7485-2021 artfynd.xlsx", "A 7485-2021")</f>
        <v/>
      </c>
      <c r="T132">
        <f>HYPERLINK("https://klasma.github.io/Logging_0980/kartor/A 7485-2021 karta.png", "A 7485-2021")</f>
        <v/>
      </c>
      <c r="V132">
        <f>HYPERLINK("https://klasma.github.io/Logging_0980/klagomål/A 7485-2021 FSC-klagomål.docx", "A 7485-2021")</f>
        <v/>
      </c>
      <c r="W132">
        <f>HYPERLINK("https://klasma.github.io/Logging_0980/klagomålsmail/A 7485-2021 FSC-klagomål mail.docx", "A 7485-2021")</f>
        <v/>
      </c>
      <c r="X132">
        <f>HYPERLINK("https://klasma.github.io/Logging_0980/tillsyn/A 7485-2021 tillsynsbegäran.docx", "A 7485-2021")</f>
        <v/>
      </c>
      <c r="Y132">
        <f>HYPERLINK("https://klasma.github.io/Logging_0980/tillsynsmail/A 7485-2021 tillsynsbegäran mail.docx", "A 7485-2021")</f>
        <v/>
      </c>
      <c r="Z132">
        <f>HYPERLINK("https://klasma.github.io/Logging_0980/fåglar/A 7485-2021 prioriterade fågelarter.docx", "A 7485-2021")</f>
        <v/>
      </c>
    </row>
    <row r="133" ht="15" customHeight="1">
      <c r="A133" t="inlineStr">
        <is>
          <t>A 13939-2021</t>
        </is>
      </c>
      <c r="B133" s="1" t="n">
        <v>44277</v>
      </c>
      <c r="C133" s="1" t="n">
        <v>45926</v>
      </c>
      <c r="D133" t="inlineStr">
        <is>
          <t>GOTLANDS LÄN</t>
        </is>
      </c>
      <c r="E133" t="inlineStr">
        <is>
          <t>GOTLAND</t>
        </is>
      </c>
      <c r="G133" t="n">
        <v>1</v>
      </c>
      <c r="H133" t="n">
        <v>0</v>
      </c>
      <c r="I133" t="n">
        <v>0</v>
      </c>
      <c r="J133" t="n">
        <v>1</v>
      </c>
      <c r="K133" t="n">
        <v>0</v>
      </c>
      <c r="L133" t="n">
        <v>0</v>
      </c>
      <c r="M133" t="n">
        <v>0</v>
      </c>
      <c r="N133" t="n">
        <v>0</v>
      </c>
      <c r="O133" t="n">
        <v>1</v>
      </c>
      <c r="P133" t="n">
        <v>0</v>
      </c>
      <c r="Q133" t="n">
        <v>1</v>
      </c>
      <c r="R133" s="2" t="inlineStr">
        <is>
          <t>Axveronika</t>
        </is>
      </c>
      <c r="S133">
        <f>HYPERLINK("https://klasma.github.io/Logging_0980/artfynd/A 13939-2021 artfynd.xlsx", "A 13939-2021")</f>
        <v/>
      </c>
      <c r="T133">
        <f>HYPERLINK("https://klasma.github.io/Logging_0980/kartor/A 13939-2021 karta.png", "A 13939-2021")</f>
        <v/>
      </c>
      <c r="V133">
        <f>HYPERLINK("https://klasma.github.io/Logging_0980/klagomål/A 13939-2021 FSC-klagomål.docx", "A 13939-2021")</f>
        <v/>
      </c>
      <c r="W133">
        <f>HYPERLINK("https://klasma.github.io/Logging_0980/klagomålsmail/A 13939-2021 FSC-klagomål mail.docx", "A 13939-2021")</f>
        <v/>
      </c>
      <c r="X133">
        <f>HYPERLINK("https://klasma.github.io/Logging_0980/tillsyn/A 13939-2021 tillsynsbegäran.docx", "A 13939-2021")</f>
        <v/>
      </c>
      <c r="Y133">
        <f>HYPERLINK("https://klasma.github.io/Logging_0980/tillsynsmail/A 13939-2021 tillsynsbegäran mail.docx", "A 13939-2021")</f>
        <v/>
      </c>
    </row>
    <row r="134" ht="15" customHeight="1">
      <c r="A134" t="inlineStr">
        <is>
          <t>A 63576-2021</t>
        </is>
      </c>
      <c r="B134" s="1" t="n">
        <v>44508</v>
      </c>
      <c r="C134" s="1" t="n">
        <v>45926</v>
      </c>
      <c r="D134" t="inlineStr">
        <is>
          <t>GOTLANDS LÄN</t>
        </is>
      </c>
      <c r="E134" t="inlineStr">
        <is>
          <t>GOTLAND</t>
        </is>
      </c>
      <c r="F134" t="inlineStr">
        <is>
          <t>Kyrkan</t>
        </is>
      </c>
      <c r="G134" t="n">
        <v>4.1</v>
      </c>
      <c r="H134" t="n">
        <v>1</v>
      </c>
      <c r="I134" t="n">
        <v>0</v>
      </c>
      <c r="J134" t="n">
        <v>1</v>
      </c>
      <c r="K134" t="n">
        <v>0</v>
      </c>
      <c r="L134" t="n">
        <v>0</v>
      </c>
      <c r="M134" t="n">
        <v>0</v>
      </c>
      <c r="N134" t="n">
        <v>0</v>
      </c>
      <c r="O134" t="n">
        <v>1</v>
      </c>
      <c r="P134" t="n">
        <v>0</v>
      </c>
      <c r="Q134" t="n">
        <v>1</v>
      </c>
      <c r="R134" s="2" t="inlineStr">
        <is>
          <t>Dårgräsfjäril</t>
        </is>
      </c>
      <c r="S134">
        <f>HYPERLINK("https://klasma.github.io/Logging_0980/artfynd/A 63576-2021 artfynd.xlsx", "A 63576-2021")</f>
        <v/>
      </c>
      <c r="T134">
        <f>HYPERLINK("https://klasma.github.io/Logging_0980/kartor/A 63576-2021 karta.png", "A 63576-2021")</f>
        <v/>
      </c>
      <c r="V134">
        <f>HYPERLINK("https://klasma.github.io/Logging_0980/klagomål/A 63576-2021 FSC-klagomål.docx", "A 63576-2021")</f>
        <v/>
      </c>
      <c r="W134">
        <f>HYPERLINK("https://klasma.github.io/Logging_0980/klagomålsmail/A 63576-2021 FSC-klagomål mail.docx", "A 63576-2021")</f>
        <v/>
      </c>
      <c r="X134">
        <f>HYPERLINK("https://klasma.github.io/Logging_0980/tillsyn/A 63576-2021 tillsynsbegäran.docx", "A 63576-2021")</f>
        <v/>
      </c>
      <c r="Y134">
        <f>HYPERLINK("https://klasma.github.io/Logging_0980/tillsynsmail/A 63576-2021 tillsynsbegäran mail.docx", "A 63576-2021")</f>
        <v/>
      </c>
    </row>
    <row r="135" ht="15" customHeight="1">
      <c r="A135" t="inlineStr">
        <is>
          <t>A 24245-2022</t>
        </is>
      </c>
      <c r="B135" s="1" t="n">
        <v>44725</v>
      </c>
      <c r="C135" s="1" t="n">
        <v>45926</v>
      </c>
      <c r="D135" t="inlineStr">
        <is>
          <t>GOTLANDS LÄN</t>
        </is>
      </c>
      <c r="E135" t="inlineStr">
        <is>
          <t>GOTLAND</t>
        </is>
      </c>
      <c r="G135" t="n">
        <v>4.9</v>
      </c>
      <c r="H135" t="n">
        <v>0</v>
      </c>
      <c r="I135" t="n">
        <v>0</v>
      </c>
      <c r="J135" t="n">
        <v>0</v>
      </c>
      <c r="K135" t="n">
        <v>0</v>
      </c>
      <c r="L135" t="n">
        <v>1</v>
      </c>
      <c r="M135" t="n">
        <v>0</v>
      </c>
      <c r="N135" t="n">
        <v>0</v>
      </c>
      <c r="O135" t="n">
        <v>1</v>
      </c>
      <c r="P135" t="n">
        <v>1</v>
      </c>
      <c r="Q135" t="n">
        <v>1</v>
      </c>
      <c r="R135" s="2" t="inlineStr">
        <is>
          <t>Slät taggsvamp</t>
        </is>
      </c>
      <c r="S135">
        <f>HYPERLINK("https://klasma.github.io/Logging_0980/artfynd/A 24245-2022 artfynd.xlsx", "A 24245-2022")</f>
        <v/>
      </c>
      <c r="T135">
        <f>HYPERLINK("https://klasma.github.io/Logging_0980/kartor/A 24245-2022 karta.png", "A 24245-2022")</f>
        <v/>
      </c>
      <c r="V135">
        <f>HYPERLINK("https://klasma.github.io/Logging_0980/klagomål/A 24245-2022 FSC-klagomål.docx", "A 24245-2022")</f>
        <v/>
      </c>
      <c r="W135">
        <f>HYPERLINK("https://klasma.github.io/Logging_0980/klagomålsmail/A 24245-2022 FSC-klagomål mail.docx", "A 24245-2022")</f>
        <v/>
      </c>
      <c r="X135">
        <f>HYPERLINK("https://klasma.github.io/Logging_0980/tillsyn/A 24245-2022 tillsynsbegäran.docx", "A 24245-2022")</f>
        <v/>
      </c>
      <c r="Y135">
        <f>HYPERLINK("https://klasma.github.io/Logging_0980/tillsynsmail/A 24245-2022 tillsynsbegäran mail.docx", "A 24245-2022")</f>
        <v/>
      </c>
    </row>
    <row r="136" ht="15" customHeight="1">
      <c r="A136" t="inlineStr">
        <is>
          <t>A 21466-2025</t>
        </is>
      </c>
      <c r="B136" s="1" t="n">
        <v>45782</v>
      </c>
      <c r="C136" s="1" t="n">
        <v>45926</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49304-2024</t>
        </is>
      </c>
      <c r="B137" s="1" t="n">
        <v>45595.54996527778</v>
      </c>
      <c r="C137" s="1" t="n">
        <v>45926</v>
      </c>
      <c r="D137" t="inlineStr">
        <is>
          <t>GOTLANDS LÄN</t>
        </is>
      </c>
      <c r="E137" t="inlineStr">
        <is>
          <t>GOTLAND</t>
        </is>
      </c>
      <c r="G137" t="n">
        <v>10.8</v>
      </c>
      <c r="H137" t="n">
        <v>0</v>
      </c>
      <c r="I137" t="n">
        <v>0</v>
      </c>
      <c r="J137" t="n">
        <v>1</v>
      </c>
      <c r="K137" t="n">
        <v>0</v>
      </c>
      <c r="L137" t="n">
        <v>0</v>
      </c>
      <c r="M137" t="n">
        <v>0</v>
      </c>
      <c r="N137" t="n">
        <v>0</v>
      </c>
      <c r="O137" t="n">
        <v>1</v>
      </c>
      <c r="P137" t="n">
        <v>0</v>
      </c>
      <c r="Q137" t="n">
        <v>1</v>
      </c>
      <c r="R137" s="2" t="inlineStr">
        <is>
          <t>Åkerranunkel</t>
        </is>
      </c>
      <c r="S137">
        <f>HYPERLINK("https://klasma.github.io/Logging_0980/artfynd/A 49304-2024 artfynd.xlsx", "A 49304-2024")</f>
        <v/>
      </c>
      <c r="T137">
        <f>HYPERLINK("https://klasma.github.io/Logging_0980/kartor/A 49304-2024 karta.png", "A 49304-2024")</f>
        <v/>
      </c>
      <c r="V137">
        <f>HYPERLINK("https://klasma.github.io/Logging_0980/klagomål/A 49304-2024 FSC-klagomål.docx", "A 49304-2024")</f>
        <v/>
      </c>
      <c r="W137">
        <f>HYPERLINK("https://klasma.github.io/Logging_0980/klagomålsmail/A 49304-2024 FSC-klagomål mail.docx", "A 49304-2024")</f>
        <v/>
      </c>
      <c r="X137">
        <f>HYPERLINK("https://klasma.github.io/Logging_0980/tillsyn/A 49304-2024 tillsynsbegäran.docx", "A 49304-2024")</f>
        <v/>
      </c>
      <c r="Y137">
        <f>HYPERLINK("https://klasma.github.io/Logging_0980/tillsynsmail/A 49304-2024 tillsynsbegäran mail.docx", "A 49304-2024")</f>
        <v/>
      </c>
    </row>
    <row r="138" ht="15" customHeight="1">
      <c r="A138" t="inlineStr">
        <is>
          <t>A 22782-2023</t>
        </is>
      </c>
      <c r="B138" s="1" t="n">
        <v>45072</v>
      </c>
      <c r="C138" s="1" t="n">
        <v>45926</v>
      </c>
      <c r="D138" t="inlineStr">
        <is>
          <t>GOTLANDS LÄN</t>
        </is>
      </c>
      <c r="E138" t="inlineStr">
        <is>
          <t>GOTLAND</t>
        </is>
      </c>
      <c r="F138" t="inlineStr">
        <is>
          <t>Kyrkan</t>
        </is>
      </c>
      <c r="G138" t="n">
        <v>3.1</v>
      </c>
      <c r="H138" t="n">
        <v>1</v>
      </c>
      <c r="I138" t="n">
        <v>0</v>
      </c>
      <c r="J138" t="n">
        <v>0</v>
      </c>
      <c r="K138" t="n">
        <v>0</v>
      </c>
      <c r="L138" t="n">
        <v>0</v>
      </c>
      <c r="M138" t="n">
        <v>0</v>
      </c>
      <c r="N138" t="n">
        <v>0</v>
      </c>
      <c r="O138" t="n">
        <v>0</v>
      </c>
      <c r="P138" t="n">
        <v>0</v>
      </c>
      <c r="Q138" t="n">
        <v>1</v>
      </c>
      <c r="R138" s="2" t="inlineStr">
        <is>
          <t>Ängsnycklar × skogsnycklar</t>
        </is>
      </c>
      <c r="S138">
        <f>HYPERLINK("https://klasma.github.io/Logging_0980/artfynd/A 22782-2023 artfynd.xlsx", "A 22782-2023")</f>
        <v/>
      </c>
      <c r="T138">
        <f>HYPERLINK("https://klasma.github.io/Logging_0980/kartor/A 22782-2023 karta.png", "A 22782-2023")</f>
        <v/>
      </c>
      <c r="V138">
        <f>HYPERLINK("https://klasma.github.io/Logging_0980/klagomål/A 22782-2023 FSC-klagomål.docx", "A 22782-2023")</f>
        <v/>
      </c>
      <c r="W138">
        <f>HYPERLINK("https://klasma.github.io/Logging_0980/klagomålsmail/A 22782-2023 FSC-klagomål mail.docx", "A 22782-2023")</f>
        <v/>
      </c>
      <c r="X138">
        <f>HYPERLINK("https://klasma.github.io/Logging_0980/tillsyn/A 22782-2023 tillsynsbegäran.docx", "A 22782-2023")</f>
        <v/>
      </c>
      <c r="Y138">
        <f>HYPERLINK("https://klasma.github.io/Logging_0980/tillsynsmail/A 22782-2023 tillsynsbegäran mail.docx", "A 22782-2023")</f>
        <v/>
      </c>
    </row>
    <row r="139" ht="15" customHeight="1">
      <c r="A139" t="inlineStr">
        <is>
          <t>A 44088-2022</t>
        </is>
      </c>
      <c r="B139" s="1" t="n">
        <v>44839</v>
      </c>
      <c r="C139" s="1" t="n">
        <v>45926</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10440-2024</t>
        </is>
      </c>
      <c r="B140" s="1" t="n">
        <v>45366.32818287037</v>
      </c>
      <c r="C140" s="1" t="n">
        <v>45926</v>
      </c>
      <c r="D140" t="inlineStr">
        <is>
          <t>GOTLANDS LÄN</t>
        </is>
      </c>
      <c r="E140" t="inlineStr">
        <is>
          <t>GOTLAND</t>
        </is>
      </c>
      <c r="G140" t="n">
        <v>2.5</v>
      </c>
      <c r="H140" t="n">
        <v>1</v>
      </c>
      <c r="I140" t="n">
        <v>0</v>
      </c>
      <c r="J140" t="n">
        <v>1</v>
      </c>
      <c r="K140" t="n">
        <v>0</v>
      </c>
      <c r="L140" t="n">
        <v>0</v>
      </c>
      <c r="M140" t="n">
        <v>0</v>
      </c>
      <c r="N140" t="n">
        <v>0</v>
      </c>
      <c r="O140" t="n">
        <v>1</v>
      </c>
      <c r="P140" t="n">
        <v>0</v>
      </c>
      <c r="Q140" t="n">
        <v>1</v>
      </c>
      <c r="R140" s="2" t="inlineStr">
        <is>
          <t>Mindre hackspett</t>
        </is>
      </c>
      <c r="S140">
        <f>HYPERLINK("https://klasma.github.io/Logging_0980/artfynd/A 10440-2024 artfynd.xlsx", "A 10440-2024")</f>
        <v/>
      </c>
      <c r="T140">
        <f>HYPERLINK("https://klasma.github.io/Logging_0980/kartor/A 10440-2024 karta.png", "A 10440-2024")</f>
        <v/>
      </c>
      <c r="V140">
        <f>HYPERLINK("https://klasma.github.io/Logging_0980/klagomål/A 10440-2024 FSC-klagomål.docx", "A 10440-2024")</f>
        <v/>
      </c>
      <c r="W140">
        <f>HYPERLINK("https://klasma.github.io/Logging_0980/klagomålsmail/A 10440-2024 FSC-klagomål mail.docx", "A 10440-2024")</f>
        <v/>
      </c>
      <c r="X140">
        <f>HYPERLINK("https://klasma.github.io/Logging_0980/tillsyn/A 10440-2024 tillsynsbegäran.docx", "A 10440-2024")</f>
        <v/>
      </c>
      <c r="Y140">
        <f>HYPERLINK("https://klasma.github.io/Logging_0980/tillsynsmail/A 10440-2024 tillsynsbegäran mail.docx", "A 10440-2024")</f>
        <v/>
      </c>
      <c r="Z140">
        <f>HYPERLINK("https://klasma.github.io/Logging_0980/fåglar/A 10440-2024 prioriterade fågelarter.docx", "A 10440-2024")</f>
        <v/>
      </c>
    </row>
    <row r="141" ht="15" customHeight="1">
      <c r="A141" t="inlineStr">
        <is>
          <t>A 8725-2025</t>
        </is>
      </c>
      <c r="B141" s="1" t="n">
        <v>45712</v>
      </c>
      <c r="C141" s="1" t="n">
        <v>45926</v>
      </c>
      <c r="D141" t="inlineStr">
        <is>
          <t>GOTLANDS LÄN</t>
        </is>
      </c>
      <c r="E141" t="inlineStr">
        <is>
          <t>GOTLAND</t>
        </is>
      </c>
      <c r="G141" t="n">
        <v>4.4</v>
      </c>
      <c r="H141" t="n">
        <v>1</v>
      </c>
      <c r="I141" t="n">
        <v>0</v>
      </c>
      <c r="J141" t="n">
        <v>1</v>
      </c>
      <c r="K141" t="n">
        <v>0</v>
      </c>
      <c r="L141" t="n">
        <v>0</v>
      </c>
      <c r="M141" t="n">
        <v>0</v>
      </c>
      <c r="N141" t="n">
        <v>0</v>
      </c>
      <c r="O141" t="n">
        <v>1</v>
      </c>
      <c r="P141" t="n">
        <v>0</v>
      </c>
      <c r="Q141" t="n">
        <v>1</v>
      </c>
      <c r="R141" s="2" t="inlineStr">
        <is>
          <t>Spillkråka</t>
        </is>
      </c>
      <c r="S141">
        <f>HYPERLINK("https://klasma.github.io/Logging_0980/artfynd/A 8725-2025 artfynd.xlsx", "A 8725-2025")</f>
        <v/>
      </c>
      <c r="T141">
        <f>HYPERLINK("https://klasma.github.io/Logging_0980/kartor/A 8725-2025 karta.png", "A 8725-2025")</f>
        <v/>
      </c>
      <c r="V141">
        <f>HYPERLINK("https://klasma.github.io/Logging_0980/klagomål/A 8725-2025 FSC-klagomål.docx", "A 8725-2025")</f>
        <v/>
      </c>
      <c r="W141">
        <f>HYPERLINK("https://klasma.github.io/Logging_0980/klagomålsmail/A 8725-2025 FSC-klagomål mail.docx", "A 8725-2025")</f>
        <v/>
      </c>
      <c r="X141">
        <f>HYPERLINK("https://klasma.github.io/Logging_0980/tillsyn/A 8725-2025 tillsynsbegäran.docx", "A 8725-2025")</f>
        <v/>
      </c>
      <c r="Y141">
        <f>HYPERLINK("https://klasma.github.io/Logging_0980/tillsynsmail/A 8725-2025 tillsynsbegäran mail.docx", "A 8725-2025")</f>
        <v/>
      </c>
      <c r="Z141">
        <f>HYPERLINK("https://klasma.github.io/Logging_0980/fåglar/A 8725-2025 prioriterade fågelarter.docx", "A 8725-2025")</f>
        <v/>
      </c>
    </row>
    <row r="142" ht="15" customHeight="1">
      <c r="A142" t="inlineStr">
        <is>
          <t>A 44308-2021</t>
        </is>
      </c>
      <c r="B142" s="1" t="n">
        <v>44434</v>
      </c>
      <c r="C142" s="1" t="n">
        <v>45926</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1477-2024</t>
        </is>
      </c>
      <c r="B143" s="1" t="n">
        <v>45305.37987268518</v>
      </c>
      <c r="C143" s="1" t="n">
        <v>45926</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46527-2023</t>
        </is>
      </c>
      <c r="B144" s="1" t="n">
        <v>45197</v>
      </c>
      <c r="C144" s="1" t="n">
        <v>45926</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26461-2025</t>
        </is>
      </c>
      <c r="B145" s="1" t="n">
        <v>45807.43337962963</v>
      </c>
      <c r="C145" s="1" t="n">
        <v>45926</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17723-2021</t>
        </is>
      </c>
      <c r="B146" s="1" t="n">
        <v>44300</v>
      </c>
      <c r="C146" s="1" t="n">
        <v>45926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7637-2025</t>
        </is>
      </c>
      <c r="B147" s="1" t="n">
        <v>45705.77181712963</v>
      </c>
      <c r="C147" s="1" t="n">
        <v>45926</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6303-2024</t>
        </is>
      </c>
      <c r="B148" s="1" t="n">
        <v>45338.35376157407</v>
      </c>
      <c r="C148" s="1" t="n">
        <v>45926</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45926</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27168-2022</t>
        </is>
      </c>
      <c r="B150" s="1" t="n">
        <v>44741</v>
      </c>
      <c r="C150" s="1" t="n">
        <v>45926</v>
      </c>
      <c r="D150" t="inlineStr">
        <is>
          <t>GOTLANDS LÄN</t>
        </is>
      </c>
      <c r="E150" t="inlineStr">
        <is>
          <t>GOTLAND</t>
        </is>
      </c>
      <c r="G150" t="n">
        <v>2.2</v>
      </c>
      <c r="H150" t="n">
        <v>1</v>
      </c>
      <c r="I150" t="n">
        <v>1</v>
      </c>
      <c r="J150" t="n">
        <v>0</v>
      </c>
      <c r="K150" t="n">
        <v>0</v>
      </c>
      <c r="L150" t="n">
        <v>0</v>
      </c>
      <c r="M150" t="n">
        <v>0</v>
      </c>
      <c r="N150" t="n">
        <v>0</v>
      </c>
      <c r="O150" t="n">
        <v>0</v>
      </c>
      <c r="P150" t="n">
        <v>0</v>
      </c>
      <c r="Q150" t="n">
        <v>1</v>
      </c>
      <c r="R150" s="2" t="inlineStr">
        <is>
          <t>Purpurknipprot</t>
        </is>
      </c>
      <c r="S150">
        <f>HYPERLINK("https://klasma.github.io/Logging_0980/artfynd/A 27168-2022 artfynd.xlsx", "A 27168-2022")</f>
        <v/>
      </c>
      <c r="T150">
        <f>HYPERLINK("https://klasma.github.io/Logging_0980/kartor/A 27168-2022 karta.png", "A 27168-2022")</f>
        <v/>
      </c>
      <c r="V150">
        <f>HYPERLINK("https://klasma.github.io/Logging_0980/klagomål/A 27168-2022 FSC-klagomål.docx", "A 27168-2022")</f>
        <v/>
      </c>
      <c r="W150">
        <f>HYPERLINK("https://klasma.github.io/Logging_0980/klagomålsmail/A 27168-2022 FSC-klagomål mail.docx", "A 27168-2022")</f>
        <v/>
      </c>
      <c r="X150">
        <f>HYPERLINK("https://klasma.github.io/Logging_0980/tillsyn/A 27168-2022 tillsynsbegäran.docx", "A 27168-2022")</f>
        <v/>
      </c>
      <c r="Y150">
        <f>HYPERLINK("https://klasma.github.io/Logging_0980/tillsynsmail/A 27168-2022 tillsynsbegäran mail.docx", "A 27168-2022")</f>
        <v/>
      </c>
    </row>
    <row r="151" ht="15" customHeight="1">
      <c r="A151" t="inlineStr">
        <is>
          <t>A 25977-2024</t>
        </is>
      </c>
      <c r="B151" s="1" t="n">
        <v>45467.69356481481</v>
      </c>
      <c r="C151" s="1" t="n">
        <v>45926</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45926</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61796-2022</t>
        </is>
      </c>
      <c r="B153" s="1" t="n">
        <v>44917</v>
      </c>
      <c r="C153" s="1" t="n">
        <v>45926</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14915-2025</t>
        </is>
      </c>
      <c r="B154" s="1" t="n">
        <v>45743.53121527778</v>
      </c>
      <c r="C154" s="1" t="n">
        <v>45926</v>
      </c>
      <c r="D154" t="inlineStr">
        <is>
          <t>GOTLANDS LÄN</t>
        </is>
      </c>
      <c r="E154" t="inlineStr">
        <is>
          <t>GOTLAND</t>
        </is>
      </c>
      <c r="G154" t="n">
        <v>5.9</v>
      </c>
      <c r="H154" t="n">
        <v>0</v>
      </c>
      <c r="I154" t="n">
        <v>0</v>
      </c>
      <c r="J154" t="n">
        <v>1</v>
      </c>
      <c r="K154" t="n">
        <v>0</v>
      </c>
      <c r="L154" t="n">
        <v>0</v>
      </c>
      <c r="M154" t="n">
        <v>0</v>
      </c>
      <c r="N154" t="n">
        <v>0</v>
      </c>
      <c r="O154" t="n">
        <v>1</v>
      </c>
      <c r="P154" t="n">
        <v>0</v>
      </c>
      <c r="Q154" t="n">
        <v>1</v>
      </c>
      <c r="R154" s="2" t="inlineStr">
        <is>
          <t>Igelkott</t>
        </is>
      </c>
      <c r="S154">
        <f>HYPERLINK("https://klasma.github.io/Logging_0980/artfynd/A 14915-2025 artfynd.xlsx", "A 14915-2025")</f>
        <v/>
      </c>
      <c r="T154">
        <f>HYPERLINK("https://klasma.github.io/Logging_0980/kartor/A 14915-2025 karta.png", "A 14915-2025")</f>
        <v/>
      </c>
      <c r="V154">
        <f>HYPERLINK("https://klasma.github.io/Logging_0980/klagomål/A 14915-2025 FSC-klagomål.docx", "A 14915-2025")</f>
        <v/>
      </c>
      <c r="W154">
        <f>HYPERLINK("https://klasma.github.io/Logging_0980/klagomålsmail/A 14915-2025 FSC-klagomål mail.docx", "A 14915-2025")</f>
        <v/>
      </c>
      <c r="X154">
        <f>HYPERLINK("https://klasma.github.io/Logging_0980/tillsyn/A 14915-2025 tillsynsbegäran.docx", "A 14915-2025")</f>
        <v/>
      </c>
      <c r="Y154">
        <f>HYPERLINK("https://klasma.github.io/Logging_0980/tillsynsmail/A 14915-2025 tillsynsbegäran mail.docx", "A 14915-2025")</f>
        <v/>
      </c>
    </row>
    <row r="155" ht="15" customHeight="1">
      <c r="A155" t="inlineStr">
        <is>
          <t>A 10218-2025</t>
        </is>
      </c>
      <c r="B155" s="1" t="n">
        <v>45720</v>
      </c>
      <c r="C155" s="1" t="n">
        <v>45926</v>
      </c>
      <c r="D155" t="inlineStr">
        <is>
          <t>GOTLANDS LÄN</t>
        </is>
      </c>
      <c r="E155" t="inlineStr">
        <is>
          <t>GOTLAND</t>
        </is>
      </c>
      <c r="G155" t="n">
        <v>8.1</v>
      </c>
      <c r="H155" t="n">
        <v>0</v>
      </c>
      <c r="I155" t="n">
        <v>1</v>
      </c>
      <c r="J155" t="n">
        <v>0</v>
      </c>
      <c r="K155" t="n">
        <v>0</v>
      </c>
      <c r="L155" t="n">
        <v>0</v>
      </c>
      <c r="M155" t="n">
        <v>0</v>
      </c>
      <c r="N155" t="n">
        <v>0</v>
      </c>
      <c r="O155" t="n">
        <v>0</v>
      </c>
      <c r="P155" t="n">
        <v>0</v>
      </c>
      <c r="Q155" t="n">
        <v>1</v>
      </c>
      <c r="R155" s="2" t="inlineStr">
        <is>
          <t>Kalktallört</t>
        </is>
      </c>
      <c r="S155">
        <f>HYPERLINK("https://klasma.github.io/Logging_0980/artfynd/A 10218-2025 artfynd.xlsx", "A 10218-2025")</f>
        <v/>
      </c>
      <c r="T155">
        <f>HYPERLINK("https://klasma.github.io/Logging_0980/kartor/A 10218-2025 karta.png", "A 10218-2025")</f>
        <v/>
      </c>
      <c r="V155">
        <f>HYPERLINK("https://klasma.github.io/Logging_0980/klagomål/A 10218-2025 FSC-klagomål.docx", "A 10218-2025")</f>
        <v/>
      </c>
      <c r="W155">
        <f>HYPERLINK("https://klasma.github.io/Logging_0980/klagomålsmail/A 10218-2025 FSC-klagomål mail.docx", "A 10218-2025")</f>
        <v/>
      </c>
      <c r="X155">
        <f>HYPERLINK("https://klasma.github.io/Logging_0980/tillsyn/A 10218-2025 tillsynsbegäran.docx", "A 10218-2025")</f>
        <v/>
      </c>
      <c r="Y155">
        <f>HYPERLINK("https://klasma.github.io/Logging_0980/tillsynsmail/A 10218-2025 tillsynsbegäran mail.docx", "A 10218-2025")</f>
        <v/>
      </c>
    </row>
    <row r="156" ht="15" customHeight="1">
      <c r="A156" t="inlineStr">
        <is>
          <t>A 65927-2021</t>
        </is>
      </c>
      <c r="B156" s="1" t="n">
        <v>44516</v>
      </c>
      <c r="C156" s="1" t="n">
        <v>45926</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12379-2024</t>
        </is>
      </c>
      <c r="B157" s="1" t="n">
        <v>45379.28155092592</v>
      </c>
      <c r="C157" s="1" t="n">
        <v>45926</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947-2023</t>
        </is>
      </c>
      <c r="B158" s="1" t="n">
        <v>44934</v>
      </c>
      <c r="C158" s="1" t="n">
        <v>45926</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45926</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45926</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37591-2023</t>
        </is>
      </c>
      <c r="B161" s="1" t="n">
        <v>45159</v>
      </c>
      <c r="C161" s="1" t="n">
        <v>45926</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45926</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61561-2023</t>
        </is>
      </c>
      <c r="B163" s="1" t="n">
        <v>45265</v>
      </c>
      <c r="C163" s="1" t="n">
        <v>45926</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34142-2024</t>
        </is>
      </c>
      <c r="B164" s="1" t="n">
        <v>45524.36521990741</v>
      </c>
      <c r="C164" s="1" t="n">
        <v>45926</v>
      </c>
      <c r="D164" t="inlineStr">
        <is>
          <t>GOTLANDS LÄN</t>
        </is>
      </c>
      <c r="E164" t="inlineStr">
        <is>
          <t>GOTLAND</t>
        </is>
      </c>
      <c r="G164" t="n">
        <v>6</v>
      </c>
      <c r="H164" t="n">
        <v>0</v>
      </c>
      <c r="I164" t="n">
        <v>0</v>
      </c>
      <c r="J164" t="n">
        <v>1</v>
      </c>
      <c r="K164" t="n">
        <v>0</v>
      </c>
      <c r="L164" t="n">
        <v>0</v>
      </c>
      <c r="M164" t="n">
        <v>0</v>
      </c>
      <c r="N164" t="n">
        <v>0</v>
      </c>
      <c r="O164" t="n">
        <v>1</v>
      </c>
      <c r="P164" t="n">
        <v>0</v>
      </c>
      <c r="Q164" t="n">
        <v>1</v>
      </c>
      <c r="R164" s="2" t="inlineStr">
        <is>
          <t>Igelkott</t>
        </is>
      </c>
      <c r="S164">
        <f>HYPERLINK("https://klasma.github.io/Logging_0980/artfynd/A 34142-2024 artfynd.xlsx", "A 34142-2024")</f>
        <v/>
      </c>
      <c r="T164">
        <f>HYPERLINK("https://klasma.github.io/Logging_0980/kartor/A 34142-2024 karta.png", "A 34142-2024")</f>
        <v/>
      </c>
      <c r="V164">
        <f>HYPERLINK("https://klasma.github.io/Logging_0980/klagomål/A 34142-2024 FSC-klagomål.docx", "A 34142-2024")</f>
        <v/>
      </c>
      <c r="W164">
        <f>HYPERLINK("https://klasma.github.io/Logging_0980/klagomålsmail/A 34142-2024 FSC-klagomål mail.docx", "A 34142-2024")</f>
        <v/>
      </c>
      <c r="X164">
        <f>HYPERLINK("https://klasma.github.io/Logging_0980/tillsyn/A 34142-2024 tillsynsbegäran.docx", "A 34142-2024")</f>
        <v/>
      </c>
      <c r="Y164">
        <f>HYPERLINK("https://klasma.github.io/Logging_0980/tillsynsmail/A 34142-2024 tillsynsbegäran mail.docx", "A 34142-2024")</f>
        <v/>
      </c>
    </row>
    <row r="165" ht="15" customHeight="1">
      <c r="A165" t="inlineStr">
        <is>
          <t>A 9862-2024</t>
        </is>
      </c>
      <c r="B165" s="1" t="n">
        <v>45363</v>
      </c>
      <c r="C165" s="1" t="n">
        <v>45926</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45926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12324-2025</t>
        </is>
      </c>
      <c r="B167" s="1" t="n">
        <v>45730</v>
      </c>
      <c r="C167" s="1" t="n">
        <v>45926</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63299-2020</t>
        </is>
      </c>
      <c r="B168" s="1" t="n">
        <v>44165</v>
      </c>
      <c r="C168" s="1" t="n">
        <v>45926</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39812-2025</t>
        </is>
      </c>
      <c r="B169" s="1" t="n">
        <v>45891</v>
      </c>
      <c r="C169" s="1" t="n">
        <v>45926</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49847-2023</t>
        </is>
      </c>
      <c r="B170" s="1" t="n">
        <v>45212</v>
      </c>
      <c r="C170" s="1" t="n">
        <v>45926</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2476-2025</t>
        </is>
      </c>
      <c r="B171" s="1" t="n">
        <v>45673</v>
      </c>
      <c r="C171" s="1" t="n">
        <v>45926</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20429-2025</t>
        </is>
      </c>
      <c r="B172" s="1" t="n">
        <v>45775.47728009259</v>
      </c>
      <c r="C172" s="1" t="n">
        <v>45926</v>
      </c>
      <c r="D172" t="inlineStr">
        <is>
          <t>GOTLANDS LÄN</t>
        </is>
      </c>
      <c r="E172" t="inlineStr">
        <is>
          <t>GOTLAND</t>
        </is>
      </c>
      <c r="G172" t="n">
        <v>1.4</v>
      </c>
      <c r="H172" t="n">
        <v>1</v>
      </c>
      <c r="I172" t="n">
        <v>0</v>
      </c>
      <c r="J172" t="n">
        <v>0</v>
      </c>
      <c r="K172" t="n">
        <v>0</v>
      </c>
      <c r="L172" t="n">
        <v>0</v>
      </c>
      <c r="M172" t="n">
        <v>0</v>
      </c>
      <c r="N172" t="n">
        <v>0</v>
      </c>
      <c r="O172" t="n">
        <v>0</v>
      </c>
      <c r="P172" t="n">
        <v>0</v>
      </c>
      <c r="Q172" t="n">
        <v>1</v>
      </c>
      <c r="R172" s="2" t="inlineStr">
        <is>
          <t>Äkta lopplummer</t>
        </is>
      </c>
      <c r="S172">
        <f>HYPERLINK("https://klasma.github.io/Logging_0980/artfynd/A 20429-2025 artfynd.xlsx", "A 20429-2025")</f>
        <v/>
      </c>
      <c r="T172">
        <f>HYPERLINK("https://klasma.github.io/Logging_0980/kartor/A 20429-2025 karta.png", "A 20429-2025")</f>
        <v/>
      </c>
      <c r="V172">
        <f>HYPERLINK("https://klasma.github.io/Logging_0980/klagomål/A 20429-2025 FSC-klagomål.docx", "A 20429-2025")</f>
        <v/>
      </c>
      <c r="W172">
        <f>HYPERLINK("https://klasma.github.io/Logging_0980/klagomålsmail/A 20429-2025 FSC-klagomål mail.docx", "A 20429-2025")</f>
        <v/>
      </c>
      <c r="X172">
        <f>HYPERLINK("https://klasma.github.io/Logging_0980/tillsyn/A 20429-2025 tillsynsbegäran.docx", "A 20429-2025")</f>
        <v/>
      </c>
      <c r="Y172">
        <f>HYPERLINK("https://klasma.github.io/Logging_0980/tillsynsmail/A 20429-2025 tillsynsbegäran mail.docx", "A 20429-2025")</f>
        <v/>
      </c>
    </row>
    <row r="173" ht="15" customHeight="1">
      <c r="A173" t="inlineStr">
        <is>
          <t>A 447-2023</t>
        </is>
      </c>
      <c r="B173" s="1" t="n">
        <v>44929</v>
      </c>
      <c r="C173" s="1" t="n">
        <v>45926</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44619-2025</t>
        </is>
      </c>
      <c r="B174" s="1" t="n">
        <v>45917</v>
      </c>
      <c r="C174" s="1" t="n">
        <v>45926</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Ögonpyrola</t>
        </is>
      </c>
      <c r="S174">
        <f>HYPERLINK("https://klasma.github.io/Logging_0980/artfynd/A 44619-2025 artfynd.xlsx", "A 44619-2025")</f>
        <v/>
      </c>
      <c r="T174">
        <f>HYPERLINK("https://klasma.github.io/Logging_0980/kartor/A 44619-2025 karta.png", "A 44619-2025")</f>
        <v/>
      </c>
      <c r="V174">
        <f>HYPERLINK("https://klasma.github.io/Logging_0980/klagomål/A 44619-2025 FSC-klagomål.docx", "A 44619-2025")</f>
        <v/>
      </c>
      <c r="W174">
        <f>HYPERLINK("https://klasma.github.io/Logging_0980/klagomålsmail/A 44619-2025 FSC-klagomål mail.docx", "A 44619-2025")</f>
        <v/>
      </c>
      <c r="X174">
        <f>HYPERLINK("https://klasma.github.io/Logging_0980/tillsyn/A 44619-2025 tillsynsbegäran.docx", "A 44619-2025")</f>
        <v/>
      </c>
      <c r="Y174">
        <f>HYPERLINK("https://klasma.github.io/Logging_0980/tillsynsmail/A 44619-2025 tillsynsbegäran mail.docx", "A 44619-2025")</f>
        <v/>
      </c>
    </row>
    <row r="175" ht="15" customHeight="1">
      <c r="A175" t="inlineStr">
        <is>
          <t>A 34809-2024</t>
        </is>
      </c>
      <c r="B175" s="1" t="n">
        <v>45526</v>
      </c>
      <c r="C175" s="1" t="n">
        <v>45926</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10995-2023</t>
        </is>
      </c>
      <c r="B176" s="1" t="n">
        <v>44986</v>
      </c>
      <c r="C176" s="1" t="n">
        <v>45926</v>
      </c>
      <c r="D176" t="inlineStr">
        <is>
          <t>GOTLANDS LÄN</t>
        </is>
      </c>
      <c r="E176" t="inlineStr">
        <is>
          <t>GOTLAND</t>
        </is>
      </c>
      <c r="G176" t="n">
        <v>2.8</v>
      </c>
      <c r="H176" t="n">
        <v>0</v>
      </c>
      <c r="I176" t="n">
        <v>0</v>
      </c>
      <c r="J176" t="n">
        <v>0</v>
      </c>
      <c r="K176" t="n">
        <v>1</v>
      </c>
      <c r="L176" t="n">
        <v>0</v>
      </c>
      <c r="M176" t="n">
        <v>0</v>
      </c>
      <c r="N176" t="n">
        <v>0</v>
      </c>
      <c r="O176" t="n">
        <v>1</v>
      </c>
      <c r="P176" t="n">
        <v>1</v>
      </c>
      <c r="Q176" t="n">
        <v>1</v>
      </c>
      <c r="R176" s="2" t="inlineStr">
        <is>
          <t>Violettfläckig spindling</t>
        </is>
      </c>
      <c r="S176">
        <f>HYPERLINK("https://klasma.github.io/Logging_0980/artfynd/A 10995-2023 artfynd.xlsx", "A 10995-2023")</f>
        <v/>
      </c>
      <c r="T176">
        <f>HYPERLINK("https://klasma.github.io/Logging_0980/kartor/A 10995-2023 karta.png", "A 10995-2023")</f>
        <v/>
      </c>
      <c r="V176">
        <f>HYPERLINK("https://klasma.github.io/Logging_0980/klagomål/A 10995-2023 FSC-klagomål.docx", "A 10995-2023")</f>
        <v/>
      </c>
      <c r="W176">
        <f>HYPERLINK("https://klasma.github.io/Logging_0980/klagomålsmail/A 10995-2023 FSC-klagomål mail.docx", "A 10995-2023")</f>
        <v/>
      </c>
      <c r="X176">
        <f>HYPERLINK("https://klasma.github.io/Logging_0980/tillsyn/A 10995-2023 tillsynsbegäran.docx", "A 10995-2023")</f>
        <v/>
      </c>
      <c r="Y176">
        <f>HYPERLINK("https://klasma.github.io/Logging_0980/tillsynsmail/A 10995-2023 tillsynsbegäran mail.docx", "A 10995-2023")</f>
        <v/>
      </c>
    </row>
    <row r="177" ht="15" customHeight="1">
      <c r="A177" t="inlineStr">
        <is>
          <t>A 12924-2025</t>
        </is>
      </c>
      <c r="B177" s="1" t="n">
        <v>45734</v>
      </c>
      <c r="C177" s="1" t="n">
        <v>45926</v>
      </c>
      <c r="D177" t="inlineStr">
        <is>
          <t>GOTLANDS LÄN</t>
        </is>
      </c>
      <c r="E177" t="inlineStr">
        <is>
          <t>GOTLAND</t>
        </is>
      </c>
      <c r="G177" t="n">
        <v>11.7</v>
      </c>
      <c r="H177" t="n">
        <v>0</v>
      </c>
      <c r="I177" t="n">
        <v>0</v>
      </c>
      <c r="J177" t="n">
        <v>0</v>
      </c>
      <c r="K177" t="n">
        <v>1</v>
      </c>
      <c r="L177" t="n">
        <v>0</v>
      </c>
      <c r="M177" t="n">
        <v>0</v>
      </c>
      <c r="N177" t="n">
        <v>0</v>
      </c>
      <c r="O177" t="n">
        <v>1</v>
      </c>
      <c r="P177" t="n">
        <v>1</v>
      </c>
      <c r="Q177" t="n">
        <v>1</v>
      </c>
      <c r="R177" s="2" t="inlineStr">
        <is>
          <t>Gotlandsmåra</t>
        </is>
      </c>
      <c r="S177">
        <f>HYPERLINK("https://klasma.github.io/Logging_0980/artfynd/A 12924-2025 artfynd.xlsx", "A 12924-2025")</f>
        <v/>
      </c>
      <c r="T177">
        <f>HYPERLINK("https://klasma.github.io/Logging_0980/kartor/A 12924-2025 karta.png", "A 12924-2025")</f>
        <v/>
      </c>
      <c r="V177">
        <f>HYPERLINK("https://klasma.github.io/Logging_0980/klagomål/A 12924-2025 FSC-klagomål.docx", "A 12924-2025")</f>
        <v/>
      </c>
      <c r="W177">
        <f>HYPERLINK("https://klasma.github.io/Logging_0980/klagomålsmail/A 12924-2025 FSC-klagomål mail.docx", "A 12924-2025")</f>
        <v/>
      </c>
      <c r="X177">
        <f>HYPERLINK("https://klasma.github.io/Logging_0980/tillsyn/A 12924-2025 tillsynsbegäran.docx", "A 12924-2025")</f>
        <v/>
      </c>
      <c r="Y177">
        <f>HYPERLINK("https://klasma.github.io/Logging_0980/tillsynsmail/A 12924-2025 tillsynsbegäran mail.docx", "A 12924-2025")</f>
        <v/>
      </c>
    </row>
    <row r="178" ht="15" customHeight="1">
      <c r="A178" t="inlineStr">
        <is>
          <t>A 19901-2021</t>
        </is>
      </c>
      <c r="B178" s="1" t="n">
        <v>44312</v>
      </c>
      <c r="C178" s="1" t="n">
        <v>45926</v>
      </c>
      <c r="D178" t="inlineStr">
        <is>
          <t>GOTLANDS LÄN</t>
        </is>
      </c>
      <c r="E178" t="inlineStr">
        <is>
          <t>GOTLAND</t>
        </is>
      </c>
      <c r="G178" t="n">
        <v>4.5</v>
      </c>
      <c r="H178" t="n">
        <v>0</v>
      </c>
      <c r="I178" t="n">
        <v>0</v>
      </c>
      <c r="J178" t="n">
        <v>0</v>
      </c>
      <c r="K178" t="n">
        <v>0</v>
      </c>
      <c r="L178" t="n">
        <v>0</v>
      </c>
      <c r="M178" t="n">
        <v>0</v>
      </c>
      <c r="N178" t="n">
        <v>0</v>
      </c>
      <c r="O178" t="n">
        <v>0</v>
      </c>
      <c r="P178" t="n">
        <v>0</v>
      </c>
      <c r="Q178" t="n">
        <v>0</v>
      </c>
      <c r="R178" s="2" t="inlineStr"/>
    </row>
    <row r="179" ht="15" customHeight="1">
      <c r="A179" t="inlineStr">
        <is>
          <t>A 36313-2021</t>
        </is>
      </c>
      <c r="B179" s="1" t="n">
        <v>44390</v>
      </c>
      <c r="C179" s="1" t="n">
        <v>45926</v>
      </c>
      <c r="D179" t="inlineStr">
        <is>
          <t>GOTLANDS LÄN</t>
        </is>
      </c>
      <c r="E179" t="inlineStr">
        <is>
          <t>GOTLAND</t>
        </is>
      </c>
      <c r="G179" t="n">
        <v>2.2</v>
      </c>
      <c r="H179" t="n">
        <v>0</v>
      </c>
      <c r="I179" t="n">
        <v>0</v>
      </c>
      <c r="J179" t="n">
        <v>0</v>
      </c>
      <c r="K179" t="n">
        <v>0</v>
      </c>
      <c r="L179" t="n">
        <v>0</v>
      </c>
      <c r="M179" t="n">
        <v>0</v>
      </c>
      <c r="N179" t="n">
        <v>0</v>
      </c>
      <c r="O179" t="n">
        <v>0</v>
      </c>
      <c r="P179" t="n">
        <v>0</v>
      </c>
      <c r="Q179" t="n">
        <v>0</v>
      </c>
      <c r="R179" s="2" t="inlineStr"/>
    </row>
    <row r="180" ht="15" customHeight="1">
      <c r="A180" t="inlineStr">
        <is>
          <t>A 31981-2021</t>
        </is>
      </c>
      <c r="B180" s="1" t="n">
        <v>44370</v>
      </c>
      <c r="C180" s="1" t="n">
        <v>45926</v>
      </c>
      <c r="D180" t="inlineStr">
        <is>
          <t>GOTLANDS LÄN</t>
        </is>
      </c>
      <c r="E180" t="inlineStr">
        <is>
          <t>GOTLAND</t>
        </is>
      </c>
      <c r="G180" t="n">
        <v>6.1</v>
      </c>
      <c r="H180" t="n">
        <v>0</v>
      </c>
      <c r="I180" t="n">
        <v>0</v>
      </c>
      <c r="J180" t="n">
        <v>0</v>
      </c>
      <c r="K180" t="n">
        <v>0</v>
      </c>
      <c r="L180" t="n">
        <v>0</v>
      </c>
      <c r="M180" t="n">
        <v>0</v>
      </c>
      <c r="N180" t="n">
        <v>0</v>
      </c>
      <c r="O180" t="n">
        <v>0</v>
      </c>
      <c r="P180" t="n">
        <v>0</v>
      </c>
      <c r="Q180" t="n">
        <v>0</v>
      </c>
      <c r="R180" s="2" t="inlineStr"/>
    </row>
    <row r="181" ht="15" customHeight="1">
      <c r="A181" t="inlineStr">
        <is>
          <t>A 18038-2021</t>
        </is>
      </c>
      <c r="B181" s="1" t="n">
        <v>44302</v>
      </c>
      <c r="C181" s="1" t="n">
        <v>45926</v>
      </c>
      <c r="D181" t="inlineStr">
        <is>
          <t>GOTLANDS LÄN</t>
        </is>
      </c>
      <c r="E181" t="inlineStr">
        <is>
          <t>GOTLAND</t>
        </is>
      </c>
      <c r="G181" t="n">
        <v>1.7</v>
      </c>
      <c r="H181" t="n">
        <v>0</v>
      </c>
      <c r="I181" t="n">
        <v>0</v>
      </c>
      <c r="J181" t="n">
        <v>0</v>
      </c>
      <c r="K181" t="n">
        <v>0</v>
      </c>
      <c r="L181" t="n">
        <v>0</v>
      </c>
      <c r="M181" t="n">
        <v>0</v>
      </c>
      <c r="N181" t="n">
        <v>0</v>
      </c>
      <c r="O181" t="n">
        <v>0</v>
      </c>
      <c r="P181" t="n">
        <v>0</v>
      </c>
      <c r="Q181" t="n">
        <v>0</v>
      </c>
      <c r="R181" s="2" t="inlineStr"/>
    </row>
    <row r="182" ht="15" customHeight="1">
      <c r="A182" t="inlineStr">
        <is>
          <t>A 50892-2021</t>
        </is>
      </c>
      <c r="B182" s="1" t="n">
        <v>44459</v>
      </c>
      <c r="C182" s="1" t="n">
        <v>45926</v>
      </c>
      <c r="D182" t="inlineStr">
        <is>
          <t>GOTLANDS LÄN</t>
        </is>
      </c>
      <c r="E182" t="inlineStr">
        <is>
          <t>GOTLAND</t>
        </is>
      </c>
      <c r="G182" t="n">
        <v>0.8</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45926</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59052-2020</t>
        </is>
      </c>
      <c r="B184" s="1" t="n">
        <v>44147</v>
      </c>
      <c r="C184" s="1" t="n">
        <v>45926</v>
      </c>
      <c r="D184" t="inlineStr">
        <is>
          <t>GOTLANDS LÄN</t>
        </is>
      </c>
      <c r="E184" t="inlineStr">
        <is>
          <t>GOTLAND</t>
        </is>
      </c>
      <c r="G184" t="n">
        <v>3.4</v>
      </c>
      <c r="H184" t="n">
        <v>0</v>
      </c>
      <c r="I184" t="n">
        <v>0</v>
      </c>
      <c r="J184" t="n">
        <v>0</v>
      </c>
      <c r="K184" t="n">
        <v>0</v>
      </c>
      <c r="L184" t="n">
        <v>0</v>
      </c>
      <c r="M184" t="n">
        <v>0</v>
      </c>
      <c r="N184" t="n">
        <v>0</v>
      </c>
      <c r="O184" t="n">
        <v>0</v>
      </c>
      <c r="P184" t="n">
        <v>0</v>
      </c>
      <c r="Q184" t="n">
        <v>0</v>
      </c>
      <c r="R184" s="2" t="inlineStr"/>
    </row>
    <row r="185" ht="15" customHeight="1">
      <c r="A185" t="inlineStr">
        <is>
          <t>A 17199-2021</t>
        </is>
      </c>
      <c r="B185" s="1" t="n">
        <v>44298</v>
      </c>
      <c r="C185" s="1" t="n">
        <v>45926</v>
      </c>
      <c r="D185" t="inlineStr">
        <is>
          <t>GOTLANDS LÄN</t>
        </is>
      </c>
      <c r="E185" t="inlineStr">
        <is>
          <t>GOTLAND</t>
        </is>
      </c>
      <c r="G185" t="n">
        <v>9.6</v>
      </c>
      <c r="H185" t="n">
        <v>0</v>
      </c>
      <c r="I185" t="n">
        <v>0</v>
      </c>
      <c r="J185" t="n">
        <v>0</v>
      </c>
      <c r="K185" t="n">
        <v>0</v>
      </c>
      <c r="L185" t="n">
        <v>0</v>
      </c>
      <c r="M185" t="n">
        <v>0</v>
      </c>
      <c r="N185" t="n">
        <v>0</v>
      </c>
      <c r="O185" t="n">
        <v>0</v>
      </c>
      <c r="P185" t="n">
        <v>0</v>
      </c>
      <c r="Q185" t="n">
        <v>0</v>
      </c>
      <c r="R185" s="2" t="inlineStr"/>
    </row>
    <row r="186" ht="15" customHeight="1">
      <c r="A186" t="inlineStr">
        <is>
          <t>A 11400-2021</t>
        </is>
      </c>
      <c r="B186" s="1" t="n">
        <v>44263</v>
      </c>
      <c r="C186" s="1" t="n">
        <v>45926</v>
      </c>
      <c r="D186" t="inlineStr">
        <is>
          <t>GOTLANDS LÄN</t>
        </is>
      </c>
      <c r="E186" t="inlineStr">
        <is>
          <t>GOTLAND</t>
        </is>
      </c>
      <c r="G186" t="n">
        <v>5.6</v>
      </c>
      <c r="H186" t="n">
        <v>0</v>
      </c>
      <c r="I186" t="n">
        <v>0</v>
      </c>
      <c r="J186" t="n">
        <v>0</v>
      </c>
      <c r="K186" t="n">
        <v>0</v>
      </c>
      <c r="L186" t="n">
        <v>0</v>
      </c>
      <c r="M186" t="n">
        <v>0</v>
      </c>
      <c r="N186" t="n">
        <v>0</v>
      </c>
      <c r="O186" t="n">
        <v>0</v>
      </c>
      <c r="P186" t="n">
        <v>0</v>
      </c>
      <c r="Q186" t="n">
        <v>0</v>
      </c>
      <c r="R186" s="2" t="inlineStr"/>
    </row>
    <row r="187" ht="15" customHeight="1">
      <c r="A187" t="inlineStr">
        <is>
          <t>A 8329-2021</t>
        </is>
      </c>
      <c r="B187" s="1" t="n">
        <v>44244</v>
      </c>
      <c r="C187" s="1" t="n">
        <v>45926</v>
      </c>
      <c r="D187" t="inlineStr">
        <is>
          <t>GOTLANDS LÄN</t>
        </is>
      </c>
      <c r="E187" t="inlineStr">
        <is>
          <t>GOTLAND</t>
        </is>
      </c>
      <c r="F187" t="inlineStr">
        <is>
          <t>Kyrkan</t>
        </is>
      </c>
      <c r="G187" t="n">
        <v>4.5</v>
      </c>
      <c r="H187" t="n">
        <v>0</v>
      </c>
      <c r="I187" t="n">
        <v>0</v>
      </c>
      <c r="J187" t="n">
        <v>0</v>
      </c>
      <c r="K187" t="n">
        <v>0</v>
      </c>
      <c r="L187" t="n">
        <v>0</v>
      </c>
      <c r="M187" t="n">
        <v>0</v>
      </c>
      <c r="N187" t="n">
        <v>0</v>
      </c>
      <c r="O187" t="n">
        <v>0</v>
      </c>
      <c r="P187" t="n">
        <v>0</v>
      </c>
      <c r="Q187" t="n">
        <v>0</v>
      </c>
      <c r="R187" s="2" t="inlineStr"/>
    </row>
    <row r="188" ht="15" customHeight="1">
      <c r="A188" t="inlineStr">
        <is>
          <t>A 53665-2020</t>
        </is>
      </c>
      <c r="B188" s="1" t="n">
        <v>44124.55001157407</v>
      </c>
      <c r="C188" s="1" t="n">
        <v>45926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44108-2022</t>
        </is>
      </c>
      <c r="B189" s="1" t="n">
        <v>44839.38159722222</v>
      </c>
      <c r="C189" s="1" t="n">
        <v>45926</v>
      </c>
      <c r="D189" t="inlineStr">
        <is>
          <t>GOTLANDS LÄN</t>
        </is>
      </c>
      <c r="E189" t="inlineStr">
        <is>
          <t>GOTLAND</t>
        </is>
      </c>
      <c r="G189" t="n">
        <v>12.9</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45926</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45926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45926</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45926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45926</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45926</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45926</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45926</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45926</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45926</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45926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45926</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45926</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45926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45926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45926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45926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45926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45926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45926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45926</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45926</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45926</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45926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45926</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45926</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45926</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45926</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45926</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45926</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45926</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45926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45926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45926</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45926</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45926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45926</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45926</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56951-2021</t>
        </is>
      </c>
      <c r="B228" s="1" t="n">
        <v>44482.37388888889</v>
      </c>
      <c r="C228" s="1" t="n">
        <v>45926</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37037-2021</t>
        </is>
      </c>
      <c r="B229" s="1" t="n">
        <v>44393.84688657407</v>
      </c>
      <c r="C229" s="1" t="n">
        <v>45926</v>
      </c>
      <c r="D229" t="inlineStr">
        <is>
          <t>GOTLANDS LÄN</t>
        </is>
      </c>
      <c r="E229" t="inlineStr">
        <is>
          <t>GOTLAND</t>
        </is>
      </c>
      <c r="G229" t="n">
        <v>10.2</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45926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44942-2022</t>
        </is>
      </c>
      <c r="B231" s="1" t="n">
        <v>44841</v>
      </c>
      <c r="C231" s="1" t="n">
        <v>45926</v>
      </c>
      <c r="D231" t="inlineStr">
        <is>
          <t>GOTLANDS LÄN</t>
        </is>
      </c>
      <c r="E231" t="inlineStr">
        <is>
          <t>GOTLAND</t>
        </is>
      </c>
      <c r="G231" t="n">
        <v>2</v>
      </c>
      <c r="H231" t="n">
        <v>0</v>
      </c>
      <c r="I231" t="n">
        <v>0</v>
      </c>
      <c r="J231" t="n">
        <v>0</v>
      </c>
      <c r="K231" t="n">
        <v>0</v>
      </c>
      <c r="L231" t="n">
        <v>0</v>
      </c>
      <c r="M231" t="n">
        <v>0</v>
      </c>
      <c r="N231" t="n">
        <v>0</v>
      </c>
      <c r="O231" t="n">
        <v>0</v>
      </c>
      <c r="P231" t="n">
        <v>0</v>
      </c>
      <c r="Q231" t="n">
        <v>0</v>
      </c>
      <c r="R231" s="2" t="inlineStr"/>
    </row>
    <row r="232" ht="15" customHeight="1">
      <c r="A232" t="inlineStr">
        <is>
          <t>A 58476-2022</t>
        </is>
      </c>
      <c r="B232" s="1" t="n">
        <v>44902</v>
      </c>
      <c r="C232" s="1" t="n">
        <v>45926</v>
      </c>
      <c r="D232" t="inlineStr">
        <is>
          <t>GOTLANDS LÄN</t>
        </is>
      </c>
      <c r="E232" t="inlineStr">
        <is>
          <t>GOTLAND</t>
        </is>
      </c>
      <c r="G232" t="n">
        <v>0.9</v>
      </c>
      <c r="H232" t="n">
        <v>0</v>
      </c>
      <c r="I232" t="n">
        <v>0</v>
      </c>
      <c r="J232" t="n">
        <v>0</v>
      </c>
      <c r="K232" t="n">
        <v>0</v>
      </c>
      <c r="L232" t="n">
        <v>0</v>
      </c>
      <c r="M232" t="n">
        <v>0</v>
      </c>
      <c r="N232" t="n">
        <v>0</v>
      </c>
      <c r="O232" t="n">
        <v>0</v>
      </c>
      <c r="P232" t="n">
        <v>0</v>
      </c>
      <c r="Q232" t="n">
        <v>0</v>
      </c>
      <c r="R232" s="2" t="inlineStr"/>
    </row>
    <row r="233" ht="15" customHeight="1">
      <c r="A233" t="inlineStr">
        <is>
          <t>A 27095-2022</t>
        </is>
      </c>
      <c r="B233" s="1" t="n">
        <v>44741</v>
      </c>
      <c r="C233" s="1" t="n">
        <v>45926</v>
      </c>
      <c r="D233" t="inlineStr">
        <is>
          <t>GOTLANDS LÄN</t>
        </is>
      </c>
      <c r="E233" t="inlineStr">
        <is>
          <t>GOTLAND</t>
        </is>
      </c>
      <c r="F233" t="inlineStr">
        <is>
          <t>Övriga Aktiebolag</t>
        </is>
      </c>
      <c r="G233" t="n">
        <v>2.9</v>
      </c>
      <c r="H233" t="n">
        <v>0</v>
      </c>
      <c r="I233" t="n">
        <v>0</v>
      </c>
      <c r="J233" t="n">
        <v>0</v>
      </c>
      <c r="K233" t="n">
        <v>0</v>
      </c>
      <c r="L233" t="n">
        <v>0</v>
      </c>
      <c r="M233" t="n">
        <v>0</v>
      </c>
      <c r="N233" t="n">
        <v>0</v>
      </c>
      <c r="O233" t="n">
        <v>0</v>
      </c>
      <c r="P233" t="n">
        <v>0</v>
      </c>
      <c r="Q233" t="n">
        <v>0</v>
      </c>
      <c r="R233" s="2" t="inlineStr"/>
    </row>
    <row r="234" ht="15" customHeight="1">
      <c r="A234" t="inlineStr">
        <is>
          <t>A 458-2023</t>
        </is>
      </c>
      <c r="B234" s="1" t="n">
        <v>44929</v>
      </c>
      <c r="C234" s="1" t="n">
        <v>45926</v>
      </c>
      <c r="D234" t="inlineStr">
        <is>
          <t>GOTLANDS LÄN</t>
        </is>
      </c>
      <c r="E234" t="inlineStr">
        <is>
          <t>GOTLAND</t>
        </is>
      </c>
      <c r="G234" t="n">
        <v>3.6</v>
      </c>
      <c r="H234" t="n">
        <v>0</v>
      </c>
      <c r="I234" t="n">
        <v>0</v>
      </c>
      <c r="J234" t="n">
        <v>0</v>
      </c>
      <c r="K234" t="n">
        <v>0</v>
      </c>
      <c r="L234" t="n">
        <v>0</v>
      </c>
      <c r="M234" t="n">
        <v>0</v>
      </c>
      <c r="N234" t="n">
        <v>0</v>
      </c>
      <c r="O234" t="n">
        <v>0</v>
      </c>
      <c r="P234" t="n">
        <v>0</v>
      </c>
      <c r="Q234" t="n">
        <v>0</v>
      </c>
      <c r="R234" s="2" t="inlineStr"/>
    </row>
    <row r="235" ht="15" customHeight="1">
      <c r="A235" t="inlineStr">
        <is>
          <t>A 1291-2023</t>
        </is>
      </c>
      <c r="B235" s="1" t="n">
        <v>44936.47561342592</v>
      </c>
      <c r="C235" s="1" t="n">
        <v>45926</v>
      </c>
      <c r="D235" t="inlineStr">
        <is>
          <t>GOTLANDS LÄN</t>
        </is>
      </c>
      <c r="E235" t="inlineStr">
        <is>
          <t>GOTLAND</t>
        </is>
      </c>
      <c r="G235" t="n">
        <v>7.4</v>
      </c>
      <c r="H235" t="n">
        <v>0</v>
      </c>
      <c r="I235" t="n">
        <v>0</v>
      </c>
      <c r="J235" t="n">
        <v>0</v>
      </c>
      <c r="K235" t="n">
        <v>0</v>
      </c>
      <c r="L235" t="n">
        <v>0</v>
      </c>
      <c r="M235" t="n">
        <v>0</v>
      </c>
      <c r="N235" t="n">
        <v>0</v>
      </c>
      <c r="O235" t="n">
        <v>0</v>
      </c>
      <c r="P235" t="n">
        <v>0</v>
      </c>
      <c r="Q235" t="n">
        <v>0</v>
      </c>
      <c r="R235" s="2" t="inlineStr"/>
    </row>
    <row r="236" ht="15" customHeight="1">
      <c r="A236" t="inlineStr">
        <is>
          <t>A 21164-2024</t>
        </is>
      </c>
      <c r="B236" s="1" t="n">
        <v>45440</v>
      </c>
      <c r="C236" s="1" t="n">
        <v>45926</v>
      </c>
      <c r="D236" t="inlineStr">
        <is>
          <t>GOTLANDS LÄN</t>
        </is>
      </c>
      <c r="E236" t="inlineStr">
        <is>
          <t>GOTLAND</t>
        </is>
      </c>
      <c r="G236" t="n">
        <v>6.3</v>
      </c>
      <c r="H236" t="n">
        <v>0</v>
      </c>
      <c r="I236" t="n">
        <v>0</v>
      </c>
      <c r="J236" t="n">
        <v>0</v>
      </c>
      <c r="K236" t="n">
        <v>0</v>
      </c>
      <c r="L236" t="n">
        <v>0</v>
      </c>
      <c r="M236" t="n">
        <v>0</v>
      </c>
      <c r="N236" t="n">
        <v>0</v>
      </c>
      <c r="O236" t="n">
        <v>0</v>
      </c>
      <c r="P236" t="n">
        <v>0</v>
      </c>
      <c r="Q236" t="n">
        <v>0</v>
      </c>
      <c r="R236" s="2" t="inlineStr"/>
    </row>
    <row r="237" ht="15" customHeight="1">
      <c r="A237" t="inlineStr">
        <is>
          <t>A 17541-2024</t>
        </is>
      </c>
      <c r="B237" s="1" t="n">
        <v>45415</v>
      </c>
      <c r="C237" s="1" t="n">
        <v>45926</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883-2025</t>
        </is>
      </c>
      <c r="B238" s="1" t="n">
        <v>45665</v>
      </c>
      <c r="C238" s="1" t="n">
        <v>45926</v>
      </c>
      <c r="D238" t="inlineStr">
        <is>
          <t>GOTLANDS LÄN</t>
        </is>
      </c>
      <c r="E238" t="inlineStr">
        <is>
          <t>GOTLAND</t>
        </is>
      </c>
      <c r="G238" t="n">
        <v>1.3</v>
      </c>
      <c r="H238" t="n">
        <v>0</v>
      </c>
      <c r="I238" t="n">
        <v>0</v>
      </c>
      <c r="J238" t="n">
        <v>0</v>
      </c>
      <c r="K238" t="n">
        <v>0</v>
      </c>
      <c r="L238" t="n">
        <v>0</v>
      </c>
      <c r="M238" t="n">
        <v>0</v>
      </c>
      <c r="N238" t="n">
        <v>0</v>
      </c>
      <c r="O238" t="n">
        <v>0</v>
      </c>
      <c r="P238" t="n">
        <v>0</v>
      </c>
      <c r="Q238" t="n">
        <v>0</v>
      </c>
      <c r="R238" s="2" t="inlineStr"/>
    </row>
    <row r="239" ht="15" customHeight="1">
      <c r="A239" t="inlineStr">
        <is>
          <t>A 13910-2025</t>
        </is>
      </c>
      <c r="B239" s="1" t="n">
        <v>45737</v>
      </c>
      <c r="C239" s="1" t="n">
        <v>45926</v>
      </c>
      <c r="D239" t="inlineStr">
        <is>
          <t>GOTLANDS LÄN</t>
        </is>
      </c>
      <c r="E239" t="inlineStr">
        <is>
          <t>GOTLAND</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20794-2025</t>
        </is>
      </c>
      <c r="B240" s="1" t="n">
        <v>45776</v>
      </c>
      <c r="C240" s="1" t="n">
        <v>45926</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45926</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45926</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61596-2023</t>
        </is>
      </c>
      <c r="B243" s="1" t="n">
        <v>45265</v>
      </c>
      <c r="C243" s="1" t="n">
        <v>45926</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12599-2025</t>
        </is>
      </c>
      <c r="B244" s="1" t="n">
        <v>45733.29546296296</v>
      </c>
      <c r="C244" s="1" t="n">
        <v>45926</v>
      </c>
      <c r="D244" t="inlineStr">
        <is>
          <t>GOTLANDS LÄN</t>
        </is>
      </c>
      <c r="E244" t="inlineStr">
        <is>
          <t>GOTLAND</t>
        </is>
      </c>
      <c r="G244" t="n">
        <v>4.7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45926</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5891-2025</t>
        </is>
      </c>
      <c r="B246" s="1" t="n">
        <v>45695.38327546296</v>
      </c>
      <c r="C246" s="1" t="n">
        <v>45926</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45926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20805-2025</t>
        </is>
      </c>
      <c r="B248" s="1" t="n">
        <v>45776</v>
      </c>
      <c r="C248" s="1" t="n">
        <v>45926</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45926</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21389-2025</t>
        </is>
      </c>
      <c r="B250" s="1" t="n">
        <v>45782</v>
      </c>
      <c r="C250" s="1" t="n">
        <v>45926</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22883-2024</t>
        </is>
      </c>
      <c r="B251" s="1" t="n">
        <v>45448.66368055555</v>
      </c>
      <c r="C251" s="1" t="n">
        <v>45926</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14804-2021</t>
        </is>
      </c>
      <c r="B252" s="1" t="n">
        <v>44280</v>
      </c>
      <c r="C252" s="1" t="n">
        <v>45926</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19002-2025</t>
        </is>
      </c>
      <c r="B253" s="1" t="n">
        <v>45764</v>
      </c>
      <c r="C253" s="1" t="n">
        <v>45926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2719-2023</t>
        </is>
      </c>
      <c r="B254" s="1" t="n">
        <v>44944.55361111111</v>
      </c>
      <c r="C254" s="1" t="n">
        <v>45926</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17144-2025</t>
        </is>
      </c>
      <c r="B255" s="1" t="n">
        <v>45755.9499537037</v>
      </c>
      <c r="C255" s="1" t="n">
        <v>45926</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45926</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45926</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45926</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9875-2025</t>
        </is>
      </c>
      <c r="B259" s="1" t="n">
        <v>45716</v>
      </c>
      <c r="C259" s="1" t="n">
        <v>45926</v>
      </c>
      <c r="D259" t="inlineStr">
        <is>
          <t>GOTLANDS LÄN</t>
        </is>
      </c>
      <c r="E259" t="inlineStr">
        <is>
          <t>GOTLAND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29809-2022</t>
        </is>
      </c>
      <c r="B260" s="1" t="n">
        <v>44755.8713425926</v>
      </c>
      <c r="C260" s="1" t="n">
        <v>45926</v>
      </c>
      <c r="D260" t="inlineStr">
        <is>
          <t>GOTLANDS LÄN</t>
        </is>
      </c>
      <c r="E260" t="inlineStr">
        <is>
          <t>GOTLAND</t>
        </is>
      </c>
      <c r="G260" t="n">
        <v>11.5</v>
      </c>
      <c r="H260" t="n">
        <v>0</v>
      </c>
      <c r="I260" t="n">
        <v>0</v>
      </c>
      <c r="J260" t="n">
        <v>0</v>
      </c>
      <c r="K260" t="n">
        <v>0</v>
      </c>
      <c r="L260" t="n">
        <v>0</v>
      </c>
      <c r="M260" t="n">
        <v>0</v>
      </c>
      <c r="N260" t="n">
        <v>0</v>
      </c>
      <c r="O260" t="n">
        <v>0</v>
      </c>
      <c r="P260" t="n">
        <v>0</v>
      </c>
      <c r="Q260" t="n">
        <v>0</v>
      </c>
      <c r="R260" s="2" t="inlineStr"/>
    </row>
    <row r="261" ht="15" customHeight="1">
      <c r="A261" t="inlineStr">
        <is>
          <t>A 21651-2025</t>
        </is>
      </c>
      <c r="B261" s="1" t="n">
        <v>45783</v>
      </c>
      <c r="C261" s="1" t="n">
        <v>45926</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44204-2022</t>
        </is>
      </c>
      <c r="B262" s="1" t="n">
        <v>44839</v>
      </c>
      <c r="C262" s="1" t="n">
        <v>45926</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16361-2024</t>
        </is>
      </c>
      <c r="B263" s="1" t="n">
        <v>45407</v>
      </c>
      <c r="C263" s="1" t="n">
        <v>45926</v>
      </c>
      <c r="D263" t="inlineStr">
        <is>
          <t>GOTLANDS LÄN</t>
        </is>
      </c>
      <c r="E263" t="inlineStr">
        <is>
          <t>GOTLAND</t>
        </is>
      </c>
      <c r="G263" t="n">
        <v>6</v>
      </c>
      <c r="H263" t="n">
        <v>0</v>
      </c>
      <c r="I263" t="n">
        <v>0</v>
      </c>
      <c r="J263" t="n">
        <v>0</v>
      </c>
      <c r="K263" t="n">
        <v>0</v>
      </c>
      <c r="L263" t="n">
        <v>0</v>
      </c>
      <c r="M263" t="n">
        <v>0</v>
      </c>
      <c r="N263" t="n">
        <v>0</v>
      </c>
      <c r="O263" t="n">
        <v>0</v>
      </c>
      <c r="P263" t="n">
        <v>0</v>
      </c>
      <c r="Q263" t="n">
        <v>0</v>
      </c>
      <c r="R263" s="2" t="inlineStr"/>
    </row>
    <row r="264" ht="15" customHeight="1">
      <c r="A264" t="inlineStr">
        <is>
          <t>A 2035-2025</t>
        </is>
      </c>
      <c r="B264" s="1" t="n">
        <v>45672</v>
      </c>
      <c r="C264" s="1" t="n">
        <v>45926</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43081-2022</t>
        </is>
      </c>
      <c r="B265" s="1" t="n">
        <v>44833</v>
      </c>
      <c r="C265" s="1" t="n">
        <v>45926</v>
      </c>
      <c r="D265" t="inlineStr">
        <is>
          <t>GOTLANDS LÄN</t>
        </is>
      </c>
      <c r="E265" t="inlineStr">
        <is>
          <t>GOTLAND</t>
        </is>
      </c>
      <c r="G265" t="n">
        <v>6.8</v>
      </c>
      <c r="H265" t="n">
        <v>0</v>
      </c>
      <c r="I265" t="n">
        <v>0</v>
      </c>
      <c r="J265" t="n">
        <v>0</v>
      </c>
      <c r="K265" t="n">
        <v>0</v>
      </c>
      <c r="L265" t="n">
        <v>0</v>
      </c>
      <c r="M265" t="n">
        <v>0</v>
      </c>
      <c r="N265" t="n">
        <v>0</v>
      </c>
      <c r="O265" t="n">
        <v>0</v>
      </c>
      <c r="P265" t="n">
        <v>0</v>
      </c>
      <c r="Q265" t="n">
        <v>0</v>
      </c>
      <c r="R265" s="2" t="inlineStr"/>
    </row>
    <row r="266" ht="15" customHeight="1">
      <c r="A266" t="inlineStr">
        <is>
          <t>A 1175-2025</t>
        </is>
      </c>
      <c r="B266" s="1" t="n">
        <v>45667.34449074074</v>
      </c>
      <c r="C266" s="1" t="n">
        <v>45926</v>
      </c>
      <c r="D266" t="inlineStr">
        <is>
          <t>GOTLANDS LÄN</t>
        </is>
      </c>
      <c r="E266" t="inlineStr">
        <is>
          <t>GOTLAND</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42201-2023</t>
        </is>
      </c>
      <c r="B267" s="1" t="n">
        <v>45179</v>
      </c>
      <c r="C267" s="1" t="n">
        <v>45926</v>
      </c>
      <c r="D267" t="inlineStr">
        <is>
          <t>GOTLANDS LÄN</t>
        </is>
      </c>
      <c r="E267" t="inlineStr">
        <is>
          <t>GOTLAND</t>
        </is>
      </c>
      <c r="G267" t="n">
        <v>11.9</v>
      </c>
      <c r="H267" t="n">
        <v>0</v>
      </c>
      <c r="I267" t="n">
        <v>0</v>
      </c>
      <c r="J267" t="n">
        <v>0</v>
      </c>
      <c r="K267" t="n">
        <v>0</v>
      </c>
      <c r="L267" t="n">
        <v>0</v>
      </c>
      <c r="M267" t="n">
        <v>0</v>
      </c>
      <c r="N267" t="n">
        <v>0</v>
      </c>
      <c r="O267" t="n">
        <v>0</v>
      </c>
      <c r="P267" t="n">
        <v>0</v>
      </c>
      <c r="Q267" t="n">
        <v>0</v>
      </c>
      <c r="R267" s="2" t="inlineStr"/>
    </row>
    <row r="268" ht="15" customHeight="1">
      <c r="A268" t="inlineStr">
        <is>
          <t>A 3150-2025</t>
        </is>
      </c>
      <c r="B268" s="1" t="n">
        <v>45679.28974537037</v>
      </c>
      <c r="C268" s="1" t="n">
        <v>45926</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42041-2024</t>
        </is>
      </c>
      <c r="B269" s="1" t="n">
        <v>45561</v>
      </c>
      <c r="C269" s="1" t="n">
        <v>45926</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56009-2024</t>
        </is>
      </c>
      <c r="B270" s="1" t="n">
        <v>45623.80864583333</v>
      </c>
      <c r="C270" s="1" t="n">
        <v>45926</v>
      </c>
      <c r="D270" t="inlineStr">
        <is>
          <t>GOTLANDS LÄN</t>
        </is>
      </c>
      <c r="E270" t="inlineStr">
        <is>
          <t>GOTLAND</t>
        </is>
      </c>
      <c r="G270" t="n">
        <v>2.8</v>
      </c>
      <c r="H270" t="n">
        <v>0</v>
      </c>
      <c r="I270" t="n">
        <v>0</v>
      </c>
      <c r="J270" t="n">
        <v>0</v>
      </c>
      <c r="K270" t="n">
        <v>0</v>
      </c>
      <c r="L270" t="n">
        <v>0</v>
      </c>
      <c r="M270" t="n">
        <v>0</v>
      </c>
      <c r="N270" t="n">
        <v>0</v>
      </c>
      <c r="O270" t="n">
        <v>0</v>
      </c>
      <c r="P270" t="n">
        <v>0</v>
      </c>
      <c r="Q270" t="n">
        <v>0</v>
      </c>
      <c r="R270" s="2" t="inlineStr"/>
    </row>
    <row r="271" ht="15" customHeight="1">
      <c r="A271" t="inlineStr">
        <is>
          <t>A 54073-2022</t>
        </is>
      </c>
      <c r="B271" s="1" t="n">
        <v>44881.50380787037</v>
      </c>
      <c r="C271" s="1" t="n">
        <v>45926</v>
      </c>
      <c r="D271" t="inlineStr">
        <is>
          <t>GOTLANDS LÄN</t>
        </is>
      </c>
      <c r="E271" t="inlineStr">
        <is>
          <t>GOTLAND</t>
        </is>
      </c>
      <c r="G271" t="n">
        <v>3.8</v>
      </c>
      <c r="H271" t="n">
        <v>0</v>
      </c>
      <c r="I271" t="n">
        <v>0</v>
      </c>
      <c r="J271" t="n">
        <v>0</v>
      </c>
      <c r="K271" t="n">
        <v>0</v>
      </c>
      <c r="L271" t="n">
        <v>0</v>
      </c>
      <c r="M271" t="n">
        <v>0</v>
      </c>
      <c r="N271" t="n">
        <v>0</v>
      </c>
      <c r="O271" t="n">
        <v>0</v>
      </c>
      <c r="P271" t="n">
        <v>0</v>
      </c>
      <c r="Q271" t="n">
        <v>0</v>
      </c>
      <c r="R271" s="2" t="inlineStr"/>
    </row>
    <row r="272" ht="15" customHeight="1">
      <c r="A272" t="inlineStr">
        <is>
          <t>A 3964-2024</t>
        </is>
      </c>
      <c r="B272" s="1" t="n">
        <v>45322</v>
      </c>
      <c r="C272" s="1" t="n">
        <v>45926</v>
      </c>
      <c r="D272" t="inlineStr">
        <is>
          <t>GOTLANDS LÄN</t>
        </is>
      </c>
      <c r="E272" t="inlineStr">
        <is>
          <t>GOTLAND</t>
        </is>
      </c>
      <c r="G272" t="n">
        <v>1.4</v>
      </c>
      <c r="H272" t="n">
        <v>0</v>
      </c>
      <c r="I272" t="n">
        <v>0</v>
      </c>
      <c r="J272" t="n">
        <v>0</v>
      </c>
      <c r="K272" t="n">
        <v>0</v>
      </c>
      <c r="L272" t="n">
        <v>0</v>
      </c>
      <c r="M272" t="n">
        <v>0</v>
      </c>
      <c r="N272" t="n">
        <v>0</v>
      </c>
      <c r="O272" t="n">
        <v>0</v>
      </c>
      <c r="P272" t="n">
        <v>0</v>
      </c>
      <c r="Q272" t="n">
        <v>0</v>
      </c>
      <c r="R272" s="2" t="inlineStr"/>
    </row>
    <row r="273" ht="15" customHeight="1">
      <c r="A273" t="inlineStr">
        <is>
          <t>A 21420-2024</t>
        </is>
      </c>
      <c r="B273" s="1" t="n">
        <v>45441.38293981482</v>
      </c>
      <c r="C273" s="1" t="n">
        <v>45926</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45926</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45926</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18993-2025</t>
        </is>
      </c>
      <c r="B276" s="1" t="n">
        <v>45764</v>
      </c>
      <c r="C276" s="1" t="n">
        <v>45926</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10656-2024</t>
        </is>
      </c>
      <c r="B277" s="1" t="n">
        <v>45368</v>
      </c>
      <c r="C277" s="1" t="n">
        <v>45926</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57356-2023</t>
        </is>
      </c>
      <c r="B278" s="1" t="n">
        <v>45240</v>
      </c>
      <c r="C278" s="1" t="n">
        <v>45926</v>
      </c>
      <c r="D278" t="inlineStr">
        <is>
          <t>GOTLANDS LÄN</t>
        </is>
      </c>
      <c r="E278" t="inlineStr">
        <is>
          <t>GOTLAND</t>
        </is>
      </c>
      <c r="G278" t="n">
        <v>6.4</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45926</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15436-2025</t>
        </is>
      </c>
      <c r="B280" s="1" t="n">
        <v>45747.47462962963</v>
      </c>
      <c r="C280" s="1" t="n">
        <v>45926</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13498-2022</t>
        </is>
      </c>
      <c r="B281" s="1" t="n">
        <v>44647.78866898148</v>
      </c>
      <c r="C281" s="1" t="n">
        <v>45926</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13500-2022</t>
        </is>
      </c>
      <c r="B282" s="1" t="n">
        <v>44647.79513888889</v>
      </c>
      <c r="C282" s="1" t="n">
        <v>45926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7026-2023</t>
        </is>
      </c>
      <c r="B283" s="1" t="n">
        <v>44968.30340277778</v>
      </c>
      <c r="C283" s="1" t="n">
        <v>45926</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23188-2025</t>
        </is>
      </c>
      <c r="B284" s="1" t="n">
        <v>45791</v>
      </c>
      <c r="C284" s="1" t="n">
        <v>45926</v>
      </c>
      <c r="D284" t="inlineStr">
        <is>
          <t>GOTLANDS LÄN</t>
        </is>
      </c>
      <c r="E284" t="inlineStr">
        <is>
          <t>GOTLAND</t>
        </is>
      </c>
      <c r="G284" t="n">
        <v>6.2</v>
      </c>
      <c r="H284" t="n">
        <v>0</v>
      </c>
      <c r="I284" t="n">
        <v>0</v>
      </c>
      <c r="J284" t="n">
        <v>0</v>
      </c>
      <c r="K284" t="n">
        <v>0</v>
      </c>
      <c r="L284" t="n">
        <v>0</v>
      </c>
      <c r="M284" t="n">
        <v>0</v>
      </c>
      <c r="N284" t="n">
        <v>0</v>
      </c>
      <c r="O284" t="n">
        <v>0</v>
      </c>
      <c r="P284" t="n">
        <v>0</v>
      </c>
      <c r="Q284" t="n">
        <v>0</v>
      </c>
      <c r="R284" s="2" t="inlineStr"/>
    </row>
    <row r="285" ht="15" customHeight="1">
      <c r="A285" t="inlineStr">
        <is>
          <t>A 21247-2022</t>
        </is>
      </c>
      <c r="B285" s="1" t="n">
        <v>44705.38832175926</v>
      </c>
      <c r="C285" s="1" t="n">
        <v>45926</v>
      </c>
      <c r="D285" t="inlineStr">
        <is>
          <t>GOTLANDS LÄN</t>
        </is>
      </c>
      <c r="E285" t="inlineStr">
        <is>
          <t>GOTLAND</t>
        </is>
      </c>
      <c r="G285" t="n">
        <v>16.2</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45926</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45926</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49874-2024</t>
        </is>
      </c>
      <c r="B288" s="1" t="n">
        <v>45597.49274305555</v>
      </c>
      <c r="C288" s="1" t="n">
        <v>45926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17780-2022</t>
        </is>
      </c>
      <c r="B289" s="1" t="n">
        <v>44682.82622685185</v>
      </c>
      <c r="C289" s="1" t="n">
        <v>45926</v>
      </c>
      <c r="D289" t="inlineStr">
        <is>
          <t>GOTLANDS LÄN</t>
        </is>
      </c>
      <c r="E289" t="inlineStr">
        <is>
          <t>GOTLAND</t>
        </is>
      </c>
      <c r="G289" t="n">
        <v>2.2</v>
      </c>
      <c r="H289" t="n">
        <v>0</v>
      </c>
      <c r="I289" t="n">
        <v>0</v>
      </c>
      <c r="J289" t="n">
        <v>0</v>
      </c>
      <c r="K289" t="n">
        <v>0</v>
      </c>
      <c r="L289" t="n">
        <v>0</v>
      </c>
      <c r="M289" t="n">
        <v>0</v>
      </c>
      <c r="N289" t="n">
        <v>0</v>
      </c>
      <c r="O289" t="n">
        <v>0</v>
      </c>
      <c r="P289" t="n">
        <v>0</v>
      </c>
      <c r="Q289" t="n">
        <v>0</v>
      </c>
      <c r="R289" s="2" t="inlineStr"/>
    </row>
    <row r="290" ht="15" customHeight="1">
      <c r="A290" t="inlineStr">
        <is>
          <t>A 63516-2023</t>
        </is>
      </c>
      <c r="B290" s="1" t="n">
        <v>45274</v>
      </c>
      <c r="C290" s="1" t="n">
        <v>45926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23856-2025</t>
        </is>
      </c>
      <c r="B291" s="1" t="n">
        <v>45793</v>
      </c>
      <c r="C291" s="1" t="n">
        <v>45926</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23473-2025</t>
        </is>
      </c>
      <c r="B292" s="1" t="n">
        <v>45792</v>
      </c>
      <c r="C292" s="1" t="n">
        <v>45926</v>
      </c>
      <c r="D292" t="inlineStr">
        <is>
          <t>GOTLANDS LÄN</t>
        </is>
      </c>
      <c r="E292" t="inlineStr">
        <is>
          <t>GOTLAND</t>
        </is>
      </c>
      <c r="G292" t="n">
        <v>3.6</v>
      </c>
      <c r="H292" t="n">
        <v>0</v>
      </c>
      <c r="I292" t="n">
        <v>0</v>
      </c>
      <c r="J292" t="n">
        <v>0</v>
      </c>
      <c r="K292" t="n">
        <v>0</v>
      </c>
      <c r="L292" t="n">
        <v>0</v>
      </c>
      <c r="M292" t="n">
        <v>0</v>
      </c>
      <c r="N292" t="n">
        <v>0</v>
      </c>
      <c r="O292" t="n">
        <v>0</v>
      </c>
      <c r="P292" t="n">
        <v>0</v>
      </c>
      <c r="Q292" t="n">
        <v>0</v>
      </c>
      <c r="R292" s="2" t="inlineStr"/>
    </row>
    <row r="293" ht="15" customHeight="1">
      <c r="A293" t="inlineStr">
        <is>
          <t>A 53935-2024</t>
        </is>
      </c>
      <c r="B293" s="1" t="n">
        <v>45615</v>
      </c>
      <c r="C293" s="1" t="n">
        <v>45926</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23698-2025</t>
        </is>
      </c>
      <c r="B294" s="1" t="n">
        <v>45793</v>
      </c>
      <c r="C294" s="1" t="n">
        <v>45926</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15073-2025</t>
        </is>
      </c>
      <c r="B295" s="1" t="n">
        <v>45743</v>
      </c>
      <c r="C295" s="1" t="n">
        <v>45926</v>
      </c>
      <c r="D295" t="inlineStr">
        <is>
          <t>GOTLANDS LÄN</t>
        </is>
      </c>
      <c r="E295" t="inlineStr">
        <is>
          <t>GOTLAND</t>
        </is>
      </c>
      <c r="G295" t="n">
        <v>12.1</v>
      </c>
      <c r="H295" t="n">
        <v>0</v>
      </c>
      <c r="I295" t="n">
        <v>0</v>
      </c>
      <c r="J295" t="n">
        <v>0</v>
      </c>
      <c r="K295" t="n">
        <v>0</v>
      </c>
      <c r="L295" t="n">
        <v>0</v>
      </c>
      <c r="M295" t="n">
        <v>0</v>
      </c>
      <c r="N295" t="n">
        <v>0</v>
      </c>
      <c r="O295" t="n">
        <v>0</v>
      </c>
      <c r="P295" t="n">
        <v>0</v>
      </c>
      <c r="Q295" t="n">
        <v>0</v>
      </c>
      <c r="R295" s="2" t="inlineStr"/>
    </row>
    <row r="296" ht="15" customHeight="1">
      <c r="A296" t="inlineStr">
        <is>
          <t>A 69112-2021</t>
        </is>
      </c>
      <c r="B296" s="1" t="n">
        <v>44530</v>
      </c>
      <c r="C296" s="1" t="n">
        <v>45926</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15075-2025</t>
        </is>
      </c>
      <c r="B297" s="1" t="n">
        <v>45743</v>
      </c>
      <c r="C297" s="1" t="n">
        <v>45926</v>
      </c>
      <c r="D297" t="inlineStr">
        <is>
          <t>GOTLANDS LÄN</t>
        </is>
      </c>
      <c r="E297" t="inlineStr">
        <is>
          <t>GOTLAND</t>
        </is>
      </c>
      <c r="G297" t="n">
        <v>20.9</v>
      </c>
      <c r="H297" t="n">
        <v>0</v>
      </c>
      <c r="I297" t="n">
        <v>0</v>
      </c>
      <c r="J297" t="n">
        <v>0</v>
      </c>
      <c r="K297" t="n">
        <v>0</v>
      </c>
      <c r="L297" t="n">
        <v>0</v>
      </c>
      <c r="M297" t="n">
        <v>0</v>
      </c>
      <c r="N297" t="n">
        <v>0</v>
      </c>
      <c r="O297" t="n">
        <v>0</v>
      </c>
      <c r="P297" t="n">
        <v>0</v>
      </c>
      <c r="Q297" t="n">
        <v>0</v>
      </c>
      <c r="R297" s="2" t="inlineStr"/>
    </row>
    <row r="298" ht="15" customHeight="1">
      <c r="A298" t="inlineStr">
        <is>
          <t>A 21507-2021</t>
        </is>
      </c>
      <c r="B298" s="1" t="n">
        <v>44321</v>
      </c>
      <c r="C298" s="1" t="n">
        <v>45926</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48734-2022</t>
        </is>
      </c>
      <c r="B299" s="1" t="n">
        <v>44855</v>
      </c>
      <c r="C299" s="1" t="n">
        <v>45926</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23516-2023</t>
        </is>
      </c>
      <c r="B300" s="1" t="n">
        <v>45076.93391203704</v>
      </c>
      <c r="C300" s="1" t="n">
        <v>45926</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43231-2023</t>
        </is>
      </c>
      <c r="B301" s="1" t="n">
        <v>45183.47025462963</v>
      </c>
      <c r="C301" s="1" t="n">
        <v>45926</v>
      </c>
      <c r="D301" t="inlineStr">
        <is>
          <t>GOTLANDS LÄN</t>
        </is>
      </c>
      <c r="E301" t="inlineStr">
        <is>
          <t>GOTLAND</t>
        </is>
      </c>
      <c r="G301" t="n">
        <v>3.6</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45926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45926</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58230-2024</t>
        </is>
      </c>
      <c r="B304" s="1" t="n">
        <v>45632.51625</v>
      </c>
      <c r="C304" s="1" t="n">
        <v>45926</v>
      </c>
      <c r="D304" t="inlineStr">
        <is>
          <t>GOTLANDS LÄN</t>
        </is>
      </c>
      <c r="E304" t="inlineStr">
        <is>
          <t>GOTLAND</t>
        </is>
      </c>
      <c r="G304" t="n">
        <v>7.3</v>
      </c>
      <c r="H304" t="n">
        <v>0</v>
      </c>
      <c r="I304" t="n">
        <v>0</v>
      </c>
      <c r="J304" t="n">
        <v>0</v>
      </c>
      <c r="K304" t="n">
        <v>0</v>
      </c>
      <c r="L304" t="n">
        <v>0</v>
      </c>
      <c r="M304" t="n">
        <v>0</v>
      </c>
      <c r="N304" t="n">
        <v>0</v>
      </c>
      <c r="O304" t="n">
        <v>0</v>
      </c>
      <c r="P304" t="n">
        <v>0</v>
      </c>
      <c r="Q304" t="n">
        <v>0</v>
      </c>
      <c r="R304" s="2" t="inlineStr"/>
    </row>
    <row r="305" ht="15" customHeight="1">
      <c r="A305" t="inlineStr">
        <is>
          <t>A 64555-2023</t>
        </is>
      </c>
      <c r="B305" s="1" t="n">
        <v>45281</v>
      </c>
      <c r="C305" s="1" t="n">
        <v>45926</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457-2023</t>
        </is>
      </c>
      <c r="B306" s="1" t="n">
        <v>44929.87238425926</v>
      </c>
      <c r="C306" s="1" t="n">
        <v>45926</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459-2023</t>
        </is>
      </c>
      <c r="B307" s="1" t="n">
        <v>44929.87423611111</v>
      </c>
      <c r="C307" s="1" t="n">
        <v>45926</v>
      </c>
      <c r="D307" t="inlineStr">
        <is>
          <t>GOTLANDS LÄN</t>
        </is>
      </c>
      <c r="E307" t="inlineStr">
        <is>
          <t>GOTLAND</t>
        </is>
      </c>
      <c r="G307" t="n">
        <v>4.2</v>
      </c>
      <c r="H307" t="n">
        <v>0</v>
      </c>
      <c r="I307" t="n">
        <v>0</v>
      </c>
      <c r="J307" t="n">
        <v>0</v>
      </c>
      <c r="K307" t="n">
        <v>0</v>
      </c>
      <c r="L307" t="n">
        <v>0</v>
      </c>
      <c r="M307" t="n">
        <v>0</v>
      </c>
      <c r="N307" t="n">
        <v>0</v>
      </c>
      <c r="O307" t="n">
        <v>0</v>
      </c>
      <c r="P307" t="n">
        <v>0</v>
      </c>
      <c r="Q307" t="n">
        <v>0</v>
      </c>
      <c r="R307" s="2" t="inlineStr"/>
    </row>
    <row r="308" ht="15" customHeight="1">
      <c r="A308" t="inlineStr">
        <is>
          <t>A 57219-2021</t>
        </is>
      </c>
      <c r="B308" s="1" t="n">
        <v>44483</v>
      </c>
      <c r="C308" s="1" t="n">
        <v>45926</v>
      </c>
      <c r="D308" t="inlineStr">
        <is>
          <t>GOTLANDS LÄN</t>
        </is>
      </c>
      <c r="E308" t="inlineStr">
        <is>
          <t>GOTLAND</t>
        </is>
      </c>
      <c r="F308" t="inlineStr">
        <is>
          <t>Kyrkan</t>
        </is>
      </c>
      <c r="G308" t="n">
        <v>4</v>
      </c>
      <c r="H308" t="n">
        <v>0</v>
      </c>
      <c r="I308" t="n">
        <v>0</v>
      </c>
      <c r="J308" t="n">
        <v>0</v>
      </c>
      <c r="K308" t="n">
        <v>0</v>
      </c>
      <c r="L308" t="n">
        <v>0</v>
      </c>
      <c r="M308" t="n">
        <v>0</v>
      </c>
      <c r="N308" t="n">
        <v>0</v>
      </c>
      <c r="O308" t="n">
        <v>0</v>
      </c>
      <c r="P308" t="n">
        <v>0</v>
      </c>
      <c r="Q308" t="n">
        <v>0</v>
      </c>
      <c r="R308" s="2" t="inlineStr"/>
    </row>
    <row r="309" ht="15" customHeight="1">
      <c r="A309" t="inlineStr">
        <is>
          <t>A 5217-2023</t>
        </is>
      </c>
      <c r="B309" s="1" t="n">
        <v>44959.39582175926</v>
      </c>
      <c r="C309" s="1" t="n">
        <v>45926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6796-2025</t>
        </is>
      </c>
      <c r="B310" s="1" t="n">
        <v>45700.66559027778</v>
      </c>
      <c r="C310" s="1" t="n">
        <v>45926</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876-2024</t>
        </is>
      </c>
      <c r="B311" s="1" t="n">
        <v>45301</v>
      </c>
      <c r="C311" s="1" t="n">
        <v>45926</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26891-2024</t>
        </is>
      </c>
      <c r="B312" s="1" t="n">
        <v>45470.65540509259</v>
      </c>
      <c r="C312" s="1" t="n">
        <v>45926</v>
      </c>
      <c r="D312" t="inlineStr">
        <is>
          <t>GOTLANDS LÄN</t>
        </is>
      </c>
      <c r="E312" t="inlineStr">
        <is>
          <t>GOTLAND</t>
        </is>
      </c>
      <c r="G312" t="n">
        <v>0.8</v>
      </c>
      <c r="H312" t="n">
        <v>0</v>
      </c>
      <c r="I312" t="n">
        <v>0</v>
      </c>
      <c r="J312" t="n">
        <v>0</v>
      </c>
      <c r="K312" t="n">
        <v>0</v>
      </c>
      <c r="L312" t="n">
        <v>0</v>
      </c>
      <c r="M312" t="n">
        <v>0</v>
      </c>
      <c r="N312" t="n">
        <v>0</v>
      </c>
      <c r="O312" t="n">
        <v>0</v>
      </c>
      <c r="P312" t="n">
        <v>0</v>
      </c>
      <c r="Q312" t="n">
        <v>0</v>
      </c>
      <c r="R312" s="2" t="inlineStr"/>
    </row>
    <row r="313" ht="15" customHeight="1">
      <c r="A313" t="inlineStr">
        <is>
          <t>A 14536-2021</t>
        </is>
      </c>
      <c r="B313" s="1" t="n">
        <v>44279.66168981481</v>
      </c>
      <c r="C313" s="1" t="n">
        <v>45926</v>
      </c>
      <c r="D313" t="inlineStr">
        <is>
          <t>GOTLANDS LÄN</t>
        </is>
      </c>
      <c r="E313" t="inlineStr">
        <is>
          <t>GOTLAND</t>
        </is>
      </c>
      <c r="G313" t="n">
        <v>8.5</v>
      </c>
      <c r="H313" t="n">
        <v>0</v>
      </c>
      <c r="I313" t="n">
        <v>0</v>
      </c>
      <c r="J313" t="n">
        <v>0</v>
      </c>
      <c r="K313" t="n">
        <v>0</v>
      </c>
      <c r="L313" t="n">
        <v>0</v>
      </c>
      <c r="M313" t="n">
        <v>0</v>
      </c>
      <c r="N313" t="n">
        <v>0</v>
      </c>
      <c r="O313" t="n">
        <v>0</v>
      </c>
      <c r="P313" t="n">
        <v>0</v>
      </c>
      <c r="Q313" t="n">
        <v>0</v>
      </c>
      <c r="R313" s="2" t="inlineStr"/>
    </row>
    <row r="314" ht="15" customHeight="1">
      <c r="A314" t="inlineStr">
        <is>
          <t>A 5923-2023</t>
        </is>
      </c>
      <c r="B314" s="1" t="n">
        <v>44963.69503472222</v>
      </c>
      <c r="C314" s="1" t="n">
        <v>45926</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45926</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45926</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6749-2025</t>
        </is>
      </c>
      <c r="B317" s="1" t="n">
        <v>45700</v>
      </c>
      <c r="C317" s="1" t="n">
        <v>45926</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5943-2024</t>
        </is>
      </c>
      <c r="B318" s="1" t="n">
        <v>45336</v>
      </c>
      <c r="C318" s="1" t="n">
        <v>45926</v>
      </c>
      <c r="D318" t="inlineStr">
        <is>
          <t>GOTLANDS LÄN</t>
        </is>
      </c>
      <c r="E318" t="inlineStr">
        <is>
          <t>GOTLAND</t>
        </is>
      </c>
      <c r="G318" t="n">
        <v>4.3</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45926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4421-2024</t>
        </is>
      </c>
      <c r="B320" s="1" t="n">
        <v>45327.45173611111</v>
      </c>
      <c r="C320" s="1" t="n">
        <v>45926</v>
      </c>
      <c r="D320" t="inlineStr">
        <is>
          <t>GOTLANDS LÄN</t>
        </is>
      </c>
      <c r="E320" t="inlineStr">
        <is>
          <t>GOTLAND</t>
        </is>
      </c>
      <c r="G320" t="n">
        <v>5.1</v>
      </c>
      <c r="H320" t="n">
        <v>0</v>
      </c>
      <c r="I320" t="n">
        <v>0</v>
      </c>
      <c r="J320" t="n">
        <v>0</v>
      </c>
      <c r="K320" t="n">
        <v>0</v>
      </c>
      <c r="L320" t="n">
        <v>0</v>
      </c>
      <c r="M320" t="n">
        <v>0</v>
      </c>
      <c r="N320" t="n">
        <v>0</v>
      </c>
      <c r="O320" t="n">
        <v>0</v>
      </c>
      <c r="P320" t="n">
        <v>0</v>
      </c>
      <c r="Q320" t="n">
        <v>0</v>
      </c>
      <c r="R320" s="2" t="inlineStr"/>
    </row>
    <row r="321" ht="15" customHeight="1">
      <c r="A321" t="inlineStr">
        <is>
          <t>A 1273-2023</t>
        </is>
      </c>
      <c r="B321" s="1" t="n">
        <v>44936</v>
      </c>
      <c r="C321" s="1" t="n">
        <v>45926</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20165-2022</t>
        </is>
      </c>
      <c r="B322" s="1" t="n">
        <v>44698.49854166667</v>
      </c>
      <c r="C322" s="1" t="n">
        <v>45926</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45926</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45926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5462-2025</t>
        </is>
      </c>
      <c r="B325" s="1" t="n">
        <v>45693.29331018519</v>
      </c>
      <c r="C325" s="1" t="n">
        <v>45926</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45926</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43223-2023</t>
        </is>
      </c>
      <c r="B327" s="1" t="n">
        <v>45183.45642361111</v>
      </c>
      <c r="C327" s="1" t="n">
        <v>45926</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61962-2024</t>
        </is>
      </c>
      <c r="B328" s="1" t="n">
        <v>45653.54340277778</v>
      </c>
      <c r="C328" s="1" t="n">
        <v>45926</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45926</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45926</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45926</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59469-2024</t>
        </is>
      </c>
      <c r="B332" s="1" t="n">
        <v>45638</v>
      </c>
      <c r="C332" s="1" t="n">
        <v>45926</v>
      </c>
      <c r="D332" t="inlineStr">
        <is>
          <t>GOTLANDS LÄN</t>
        </is>
      </c>
      <c r="E332" t="inlineStr">
        <is>
          <t>GOTLAND</t>
        </is>
      </c>
      <c r="G332" t="n">
        <v>0.4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45926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45926</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3935-2025</t>
        </is>
      </c>
      <c r="B335" s="1" t="n">
        <v>45684.46070601852</v>
      </c>
      <c r="C335" s="1" t="n">
        <v>45926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53641-2020</t>
        </is>
      </c>
      <c r="B336" s="1" t="n">
        <v>44124</v>
      </c>
      <c r="C336" s="1" t="n">
        <v>45926</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45926</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6696-2023</t>
        </is>
      </c>
      <c r="B338" s="1" t="n">
        <v>44966.66425925926</v>
      </c>
      <c r="C338" s="1" t="n">
        <v>45926</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45926</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45926</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45926</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4990-2025</t>
        </is>
      </c>
      <c r="B342" s="1" t="n">
        <v>45691</v>
      </c>
      <c r="C342" s="1" t="n">
        <v>45926</v>
      </c>
      <c r="D342" t="inlineStr">
        <is>
          <t>GOTLANDS LÄN</t>
        </is>
      </c>
      <c r="E342" t="inlineStr">
        <is>
          <t>GOTLAND</t>
        </is>
      </c>
      <c r="G342" t="n">
        <v>7.7</v>
      </c>
      <c r="H342" t="n">
        <v>0</v>
      </c>
      <c r="I342" t="n">
        <v>0</v>
      </c>
      <c r="J342" t="n">
        <v>0</v>
      </c>
      <c r="K342" t="n">
        <v>0</v>
      </c>
      <c r="L342" t="n">
        <v>0</v>
      </c>
      <c r="M342" t="n">
        <v>0</v>
      </c>
      <c r="N342" t="n">
        <v>0</v>
      </c>
      <c r="O342" t="n">
        <v>0</v>
      </c>
      <c r="P342" t="n">
        <v>0</v>
      </c>
      <c r="Q342" t="n">
        <v>0</v>
      </c>
      <c r="R342" s="2" t="inlineStr"/>
    </row>
    <row r="343" ht="15" customHeight="1">
      <c r="A343" t="inlineStr">
        <is>
          <t>A 21792-2024</t>
        </is>
      </c>
      <c r="B343" s="1" t="n">
        <v>45442.64326388889</v>
      </c>
      <c r="C343" s="1" t="n">
        <v>45926</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38165-2023</t>
        </is>
      </c>
      <c r="B344" s="1" t="n">
        <v>45161</v>
      </c>
      <c r="C344" s="1" t="n">
        <v>45926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17901-2023</t>
        </is>
      </c>
      <c r="B345" s="1" t="n">
        <v>45039</v>
      </c>
      <c r="C345" s="1" t="n">
        <v>45926</v>
      </c>
      <c r="D345" t="inlineStr">
        <is>
          <t>GOTLANDS LÄN</t>
        </is>
      </c>
      <c r="E345" t="inlineStr">
        <is>
          <t>GOTLAND</t>
        </is>
      </c>
      <c r="F345" t="inlineStr">
        <is>
          <t>Kyrkan</t>
        </is>
      </c>
      <c r="G345" t="n">
        <v>0.6</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45926</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45926</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48843-2024</t>
        </is>
      </c>
      <c r="B348" s="1" t="n">
        <v>45593</v>
      </c>
      <c r="C348" s="1" t="n">
        <v>45926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26457-2025</t>
        </is>
      </c>
      <c r="B349" s="1" t="n">
        <v>45807.42773148148</v>
      </c>
      <c r="C349" s="1" t="n">
        <v>45926</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26467-2025</t>
        </is>
      </c>
      <c r="B350" s="1" t="n">
        <v>45807.44640046296</v>
      </c>
      <c r="C350" s="1" t="n">
        <v>45926</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45926</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45926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45926</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45926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26660-2025</t>
        </is>
      </c>
      <c r="B355" s="1" t="n">
        <v>45810.39737268518</v>
      </c>
      <c r="C355" s="1" t="n">
        <v>45926</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48503-2023</t>
        </is>
      </c>
      <c r="B356" s="1" t="n">
        <v>45207</v>
      </c>
      <c r="C356" s="1" t="n">
        <v>45926</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35512-2023</t>
        </is>
      </c>
      <c r="B357" s="1" t="n">
        <v>45147.25623842593</v>
      </c>
      <c r="C357" s="1" t="n">
        <v>45926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27355-2025</t>
        </is>
      </c>
      <c r="B358" s="1" t="n">
        <v>45812</v>
      </c>
      <c r="C358" s="1" t="n">
        <v>45926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27348-2025</t>
        </is>
      </c>
      <c r="B359" s="1" t="n">
        <v>45812.62451388889</v>
      </c>
      <c r="C359" s="1" t="n">
        <v>45926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24825-2024</t>
        </is>
      </c>
      <c r="B360" s="1" t="n">
        <v>45461</v>
      </c>
      <c r="C360" s="1" t="n">
        <v>45926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11874-2024</t>
        </is>
      </c>
      <c r="B361" s="1" t="n">
        <v>45376.46956018519</v>
      </c>
      <c r="C361" s="1" t="n">
        <v>45926</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27371-2025</t>
        </is>
      </c>
      <c r="B362" s="1" t="n">
        <v>45812</v>
      </c>
      <c r="C362" s="1" t="n">
        <v>45926</v>
      </c>
      <c r="D362" t="inlineStr">
        <is>
          <t>GOTLANDS LÄN</t>
        </is>
      </c>
      <c r="E362" t="inlineStr">
        <is>
          <t>GOTLAND</t>
        </is>
      </c>
      <c r="G362" t="n">
        <v>8</v>
      </c>
      <c r="H362" t="n">
        <v>0</v>
      </c>
      <c r="I362" t="n">
        <v>0</v>
      </c>
      <c r="J362" t="n">
        <v>0</v>
      </c>
      <c r="K362" t="n">
        <v>0</v>
      </c>
      <c r="L362" t="n">
        <v>0</v>
      </c>
      <c r="M362" t="n">
        <v>0</v>
      </c>
      <c r="N362" t="n">
        <v>0</v>
      </c>
      <c r="O362" t="n">
        <v>0</v>
      </c>
      <c r="P362" t="n">
        <v>0</v>
      </c>
      <c r="Q362" t="n">
        <v>0</v>
      </c>
      <c r="R362" s="2" t="inlineStr"/>
    </row>
    <row r="363" ht="15" customHeight="1">
      <c r="A363" t="inlineStr">
        <is>
          <t>A 20225-2025</t>
        </is>
      </c>
      <c r="B363" s="1" t="n">
        <v>45772.65802083333</v>
      </c>
      <c r="C363" s="1" t="n">
        <v>45926</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22031-2024</t>
        </is>
      </c>
      <c r="B364" s="1" t="n">
        <v>45443.60075231481</v>
      </c>
      <c r="C364" s="1" t="n">
        <v>45926</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17688-2024</t>
        </is>
      </c>
      <c r="B365" s="1" t="n">
        <v>45418.43575231481</v>
      </c>
      <c r="C365" s="1" t="n">
        <v>45926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1677-2023</t>
        </is>
      </c>
      <c r="B366" s="1" t="n">
        <v>44938</v>
      </c>
      <c r="C366" s="1" t="n">
        <v>45926</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7850-2025</t>
        </is>
      </c>
      <c r="B367" s="1" t="n">
        <v>45706</v>
      </c>
      <c r="C367" s="1" t="n">
        <v>45926</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6739-2025</t>
        </is>
      </c>
      <c r="B368" s="1" t="n">
        <v>45700</v>
      </c>
      <c r="C368" s="1" t="n">
        <v>45926</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64831-2023</t>
        </is>
      </c>
      <c r="B369" s="1" t="n">
        <v>45282.44924768519</v>
      </c>
      <c r="C369" s="1" t="n">
        <v>45926</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27694-2024</t>
        </is>
      </c>
      <c r="B370" s="1" t="n">
        <v>45475</v>
      </c>
      <c r="C370" s="1" t="n">
        <v>45926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456-2023</t>
        </is>
      </c>
      <c r="B371" s="1" t="n">
        <v>44929.87122685185</v>
      </c>
      <c r="C371" s="1" t="n">
        <v>45926</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8444-2025</t>
        </is>
      </c>
      <c r="B372" s="1" t="n">
        <v>45709</v>
      </c>
      <c r="C372" s="1" t="n">
        <v>45926</v>
      </c>
      <c r="D372" t="inlineStr">
        <is>
          <t>GOTLANDS LÄN</t>
        </is>
      </c>
      <c r="E372" t="inlineStr">
        <is>
          <t>GOTLAND</t>
        </is>
      </c>
      <c r="G372" t="n">
        <v>5.2</v>
      </c>
      <c r="H372" t="n">
        <v>0</v>
      </c>
      <c r="I372" t="n">
        <v>0</v>
      </c>
      <c r="J372" t="n">
        <v>0</v>
      </c>
      <c r="K372" t="n">
        <v>0</v>
      </c>
      <c r="L372" t="n">
        <v>0</v>
      </c>
      <c r="M372" t="n">
        <v>0</v>
      </c>
      <c r="N372" t="n">
        <v>0</v>
      </c>
      <c r="O372" t="n">
        <v>0</v>
      </c>
      <c r="P372" t="n">
        <v>0</v>
      </c>
      <c r="Q372" t="n">
        <v>0</v>
      </c>
      <c r="R372" s="2" t="inlineStr"/>
    </row>
    <row r="373" ht="15" customHeight="1">
      <c r="A373" t="inlineStr">
        <is>
          <t>A 19905-2025</t>
        </is>
      </c>
      <c r="B373" s="1" t="n">
        <v>45771</v>
      </c>
      <c r="C373" s="1" t="n">
        <v>45926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45926</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45926</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8260-2023</t>
        </is>
      </c>
      <c r="B376" s="1" t="n">
        <v>44974.61608796296</v>
      </c>
      <c r="C376" s="1" t="n">
        <v>45926</v>
      </c>
      <c r="D376" t="inlineStr">
        <is>
          <t>GOTLANDS LÄN</t>
        </is>
      </c>
      <c r="E376" t="inlineStr">
        <is>
          <t>GOTLAND</t>
        </is>
      </c>
      <c r="G376" t="n">
        <v>2.9</v>
      </c>
      <c r="H376" t="n">
        <v>0</v>
      </c>
      <c r="I376" t="n">
        <v>0</v>
      </c>
      <c r="J376" t="n">
        <v>0</v>
      </c>
      <c r="K376" t="n">
        <v>0</v>
      </c>
      <c r="L376" t="n">
        <v>0</v>
      </c>
      <c r="M376" t="n">
        <v>0</v>
      </c>
      <c r="N376" t="n">
        <v>0</v>
      </c>
      <c r="O376" t="n">
        <v>0</v>
      </c>
      <c r="P376" t="n">
        <v>0</v>
      </c>
      <c r="Q376" t="n">
        <v>0</v>
      </c>
      <c r="R376" s="2" t="inlineStr"/>
    </row>
    <row r="377" ht="15" customHeight="1">
      <c r="A377" t="inlineStr">
        <is>
          <t>A 8036-2022</t>
        </is>
      </c>
      <c r="B377" s="1" t="n">
        <v>44609.44362268518</v>
      </c>
      <c r="C377" s="1" t="n">
        <v>45926</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46375-2024</t>
        </is>
      </c>
      <c r="B378" s="1" t="n">
        <v>45582</v>
      </c>
      <c r="C378" s="1" t="n">
        <v>45926</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62915-2021</t>
        </is>
      </c>
      <c r="B379" s="1" t="n">
        <v>44504</v>
      </c>
      <c r="C379" s="1" t="n">
        <v>45926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22287-2022</t>
        </is>
      </c>
      <c r="B380" s="1" t="n">
        <v>44712</v>
      </c>
      <c r="C380" s="1" t="n">
        <v>45926</v>
      </c>
      <c r="D380" t="inlineStr">
        <is>
          <t>GOTLANDS LÄN</t>
        </is>
      </c>
      <c r="E380" t="inlineStr">
        <is>
          <t>GOTLAND</t>
        </is>
      </c>
      <c r="G380" t="n">
        <v>6.1</v>
      </c>
      <c r="H380" t="n">
        <v>0</v>
      </c>
      <c r="I380" t="n">
        <v>0</v>
      </c>
      <c r="J380" t="n">
        <v>0</v>
      </c>
      <c r="K380" t="n">
        <v>0</v>
      </c>
      <c r="L380" t="n">
        <v>0</v>
      </c>
      <c r="M380" t="n">
        <v>0</v>
      </c>
      <c r="N380" t="n">
        <v>0</v>
      </c>
      <c r="O380" t="n">
        <v>0</v>
      </c>
      <c r="P380" t="n">
        <v>0</v>
      </c>
      <c r="Q380" t="n">
        <v>0</v>
      </c>
      <c r="R380" s="2" t="inlineStr"/>
    </row>
    <row r="381" ht="15" customHeight="1">
      <c r="A381" t="inlineStr">
        <is>
          <t>A 6153-2024</t>
        </is>
      </c>
      <c r="B381" s="1" t="n">
        <v>45337</v>
      </c>
      <c r="C381" s="1" t="n">
        <v>45926</v>
      </c>
      <c r="D381" t="inlineStr">
        <is>
          <t>GOTLANDS LÄN</t>
        </is>
      </c>
      <c r="E381" t="inlineStr">
        <is>
          <t>GOTLAND</t>
        </is>
      </c>
      <c r="G381" t="n">
        <v>14.2</v>
      </c>
      <c r="H381" t="n">
        <v>0</v>
      </c>
      <c r="I381" t="n">
        <v>0</v>
      </c>
      <c r="J381" t="n">
        <v>0</v>
      </c>
      <c r="K381" t="n">
        <v>0</v>
      </c>
      <c r="L381" t="n">
        <v>0</v>
      </c>
      <c r="M381" t="n">
        <v>0</v>
      </c>
      <c r="N381" t="n">
        <v>0</v>
      </c>
      <c r="O381" t="n">
        <v>0</v>
      </c>
      <c r="P381" t="n">
        <v>0</v>
      </c>
      <c r="Q381" t="n">
        <v>0</v>
      </c>
      <c r="R381" s="2" t="inlineStr"/>
    </row>
    <row r="382" ht="15" customHeight="1">
      <c r="A382" t="inlineStr">
        <is>
          <t>A 57534-2022</t>
        </is>
      </c>
      <c r="B382" s="1" t="n">
        <v>44896</v>
      </c>
      <c r="C382" s="1" t="n">
        <v>45926</v>
      </c>
      <c r="D382" t="inlineStr">
        <is>
          <t>GOTLANDS LÄN</t>
        </is>
      </c>
      <c r="E382" t="inlineStr">
        <is>
          <t>GOTLAND</t>
        </is>
      </c>
      <c r="G382" t="n">
        <v>0.6</v>
      </c>
      <c r="H382" t="n">
        <v>0</v>
      </c>
      <c r="I382" t="n">
        <v>0</v>
      </c>
      <c r="J382" t="n">
        <v>0</v>
      </c>
      <c r="K382" t="n">
        <v>0</v>
      </c>
      <c r="L382" t="n">
        <v>0</v>
      </c>
      <c r="M382" t="n">
        <v>0</v>
      </c>
      <c r="N382" t="n">
        <v>0</v>
      </c>
      <c r="O382" t="n">
        <v>0</v>
      </c>
      <c r="P382" t="n">
        <v>0</v>
      </c>
      <c r="Q382" t="n">
        <v>0</v>
      </c>
      <c r="R382" s="2" t="inlineStr"/>
    </row>
    <row r="383" ht="15" customHeight="1">
      <c r="A383" t="inlineStr">
        <is>
          <t>A 7638-2025</t>
        </is>
      </c>
      <c r="B383" s="1" t="n">
        <v>45705.77306712963</v>
      </c>
      <c r="C383" s="1" t="n">
        <v>45926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4377-2023</t>
        </is>
      </c>
      <c r="B384" s="1" t="n">
        <v>44955.5502662037</v>
      </c>
      <c r="C384" s="1" t="n">
        <v>45926</v>
      </c>
      <c r="D384" t="inlineStr">
        <is>
          <t>GOTLANDS LÄN</t>
        </is>
      </c>
      <c r="E384" t="inlineStr">
        <is>
          <t>GOTLAND</t>
        </is>
      </c>
      <c r="F384" t="inlineStr">
        <is>
          <t>Kyrkan</t>
        </is>
      </c>
      <c r="G384" t="n">
        <v>0.6</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45926</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45926</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45692-2023</t>
        </is>
      </c>
      <c r="B387" s="1" t="n">
        <v>45195</v>
      </c>
      <c r="C387" s="1" t="n">
        <v>45926</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37222-2021</t>
        </is>
      </c>
      <c r="B388" s="1" t="n">
        <v>44396</v>
      </c>
      <c r="C388" s="1" t="n">
        <v>45926</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64660-2023</t>
        </is>
      </c>
      <c r="B389" s="1" t="n">
        <v>45281.60122685185</v>
      </c>
      <c r="C389" s="1" t="n">
        <v>45926</v>
      </c>
      <c r="D389" t="inlineStr">
        <is>
          <t>GOTLANDS LÄN</t>
        </is>
      </c>
      <c r="E389" t="inlineStr">
        <is>
          <t>GOTLAND</t>
        </is>
      </c>
      <c r="G389" t="n">
        <v>6.3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45926</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45926</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20855-2023</t>
        </is>
      </c>
      <c r="B392" s="1" t="n">
        <v>45058.82172453704</v>
      </c>
      <c r="C392" s="1" t="n">
        <v>45926</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60709-2023</t>
        </is>
      </c>
      <c r="B393" s="1" t="n">
        <v>45260</v>
      </c>
      <c r="C393" s="1" t="n">
        <v>45926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45926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45926</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65249-2023</t>
        </is>
      </c>
      <c r="B396" s="1" t="n">
        <v>45290</v>
      </c>
      <c r="C396" s="1" t="n">
        <v>45926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30956-2024</t>
        </is>
      </c>
      <c r="B397" s="1" t="n">
        <v>45499.42527777778</v>
      </c>
      <c r="C397" s="1" t="n">
        <v>45926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12596-2023</t>
        </is>
      </c>
      <c r="B398" s="1" t="n">
        <v>45000.43310185185</v>
      </c>
      <c r="C398" s="1" t="n">
        <v>45926</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8045-2022</t>
        </is>
      </c>
      <c r="B399" s="1" t="n">
        <v>44609</v>
      </c>
      <c r="C399" s="1" t="n">
        <v>45926</v>
      </c>
      <c r="D399" t="inlineStr">
        <is>
          <t>GOTLANDS LÄN</t>
        </is>
      </c>
      <c r="E399" t="inlineStr">
        <is>
          <t>GOTLAND</t>
        </is>
      </c>
      <c r="G399" t="n">
        <v>7</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45926</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58132-2023</t>
        </is>
      </c>
      <c r="B401" s="1" t="n">
        <v>45250</v>
      </c>
      <c r="C401" s="1" t="n">
        <v>45926</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22899-2023</t>
        </is>
      </c>
      <c r="B402" s="1" t="n">
        <v>45072</v>
      </c>
      <c r="C402" s="1" t="n">
        <v>45926</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45926</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28285-2024</t>
        </is>
      </c>
      <c r="B404" s="1" t="n">
        <v>45477</v>
      </c>
      <c r="C404" s="1" t="n">
        <v>45926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51963-2024</t>
        </is>
      </c>
      <c r="B405" s="1" t="n">
        <v>45607.64833333333</v>
      </c>
      <c r="C405" s="1" t="n">
        <v>45926</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999-2024</t>
        </is>
      </c>
      <c r="B406" s="1" t="n">
        <v>45301</v>
      </c>
      <c r="C406" s="1" t="n">
        <v>45926</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65901-2021</t>
        </is>
      </c>
      <c r="B407" s="1" t="n">
        <v>44516</v>
      </c>
      <c r="C407" s="1" t="n">
        <v>45926</v>
      </c>
      <c r="D407" t="inlineStr">
        <is>
          <t>GOTLANDS LÄN</t>
        </is>
      </c>
      <c r="E407" t="inlineStr">
        <is>
          <t>GOTLAND</t>
        </is>
      </c>
      <c r="G407" t="n">
        <v>4.9</v>
      </c>
      <c r="H407" t="n">
        <v>0</v>
      </c>
      <c r="I407" t="n">
        <v>0</v>
      </c>
      <c r="J407" t="n">
        <v>0</v>
      </c>
      <c r="K407" t="n">
        <v>0</v>
      </c>
      <c r="L407" t="n">
        <v>0</v>
      </c>
      <c r="M407" t="n">
        <v>0</v>
      </c>
      <c r="N407" t="n">
        <v>0</v>
      </c>
      <c r="O407" t="n">
        <v>0</v>
      </c>
      <c r="P407" t="n">
        <v>0</v>
      </c>
      <c r="Q407" t="n">
        <v>0</v>
      </c>
      <c r="R407" s="2" t="inlineStr"/>
    </row>
    <row r="408" ht="15" customHeight="1">
      <c r="A408" t="inlineStr">
        <is>
          <t>A 47762-2023</t>
        </is>
      </c>
      <c r="B408" s="1" t="n">
        <v>45203.86256944444</v>
      </c>
      <c r="C408" s="1" t="n">
        <v>45926</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29196-2025</t>
        </is>
      </c>
      <c r="B409" s="1" t="n">
        <v>45822</v>
      </c>
      <c r="C409" s="1" t="n">
        <v>45926</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40294-2022</t>
        </is>
      </c>
      <c r="B410" s="1" t="n">
        <v>44821</v>
      </c>
      <c r="C410" s="1" t="n">
        <v>45926</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27602-2023</t>
        </is>
      </c>
      <c r="B411" s="1" t="n">
        <v>45097</v>
      </c>
      <c r="C411" s="1" t="n">
        <v>45926</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58780-2024</t>
        </is>
      </c>
      <c r="B412" s="1" t="n">
        <v>45635.84113425926</v>
      </c>
      <c r="C412" s="1" t="n">
        <v>45926</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12322-2025</t>
        </is>
      </c>
      <c r="B413" s="1" t="n">
        <v>45730</v>
      </c>
      <c r="C413" s="1" t="n">
        <v>45926</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45926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30365-2024</t>
        </is>
      </c>
      <c r="B415" s="1" t="n">
        <v>45491.3716087963</v>
      </c>
      <c r="C415" s="1" t="n">
        <v>45926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2674-2023</t>
        </is>
      </c>
      <c r="B416" s="1" t="n">
        <v>44944</v>
      </c>
      <c r="C416" s="1" t="n">
        <v>45926</v>
      </c>
      <c r="D416" t="inlineStr">
        <is>
          <t>GOTLANDS LÄN</t>
        </is>
      </c>
      <c r="E416" t="inlineStr">
        <is>
          <t>GOTLAND</t>
        </is>
      </c>
      <c r="G416" t="n">
        <v>2.5</v>
      </c>
      <c r="H416" t="n">
        <v>0</v>
      </c>
      <c r="I416" t="n">
        <v>0</v>
      </c>
      <c r="J416" t="n">
        <v>0</v>
      </c>
      <c r="K416" t="n">
        <v>0</v>
      </c>
      <c r="L416" t="n">
        <v>0</v>
      </c>
      <c r="M416" t="n">
        <v>0</v>
      </c>
      <c r="N416" t="n">
        <v>0</v>
      </c>
      <c r="O416" t="n">
        <v>0</v>
      </c>
      <c r="P416" t="n">
        <v>0</v>
      </c>
      <c r="Q416" t="n">
        <v>0</v>
      </c>
      <c r="R416" s="2" t="inlineStr"/>
    </row>
    <row r="417" ht="15" customHeight="1">
      <c r="A417" t="inlineStr">
        <is>
          <t>A 24192-2023</t>
        </is>
      </c>
      <c r="B417" s="1" t="n">
        <v>45079</v>
      </c>
      <c r="C417" s="1" t="n">
        <v>45926</v>
      </c>
      <c r="D417" t="inlineStr">
        <is>
          <t>GOTLANDS LÄN</t>
        </is>
      </c>
      <c r="E417" t="inlineStr">
        <is>
          <t>GOTLAND</t>
        </is>
      </c>
      <c r="G417" t="n">
        <v>2.1</v>
      </c>
      <c r="H417" t="n">
        <v>0</v>
      </c>
      <c r="I417" t="n">
        <v>0</v>
      </c>
      <c r="J417" t="n">
        <v>0</v>
      </c>
      <c r="K417" t="n">
        <v>0</v>
      </c>
      <c r="L417" t="n">
        <v>0</v>
      </c>
      <c r="M417" t="n">
        <v>0</v>
      </c>
      <c r="N417" t="n">
        <v>0</v>
      </c>
      <c r="O417" t="n">
        <v>0</v>
      </c>
      <c r="P417" t="n">
        <v>0</v>
      </c>
      <c r="Q417" t="n">
        <v>0</v>
      </c>
      <c r="R417" s="2" t="inlineStr"/>
    </row>
    <row r="418" ht="15" customHeight="1">
      <c r="A418" t="inlineStr">
        <is>
          <t>A 30282-2022</t>
        </is>
      </c>
      <c r="B418" s="1" t="n">
        <v>44760</v>
      </c>
      <c r="C418" s="1" t="n">
        <v>45926</v>
      </c>
      <c r="D418" t="inlineStr">
        <is>
          <t>GOTLANDS LÄN</t>
        </is>
      </c>
      <c r="E418" t="inlineStr">
        <is>
          <t>GOTLAND</t>
        </is>
      </c>
      <c r="G418" t="n">
        <v>2.6</v>
      </c>
      <c r="H418" t="n">
        <v>0</v>
      </c>
      <c r="I418" t="n">
        <v>0</v>
      </c>
      <c r="J418" t="n">
        <v>0</v>
      </c>
      <c r="K418" t="n">
        <v>0</v>
      </c>
      <c r="L418" t="n">
        <v>0</v>
      </c>
      <c r="M418" t="n">
        <v>0</v>
      </c>
      <c r="N418" t="n">
        <v>0</v>
      </c>
      <c r="O418" t="n">
        <v>0</v>
      </c>
      <c r="P418" t="n">
        <v>0</v>
      </c>
      <c r="Q418" t="n">
        <v>0</v>
      </c>
      <c r="R418" s="2" t="inlineStr"/>
    </row>
    <row r="419" ht="15" customHeight="1">
      <c r="A419" t="inlineStr">
        <is>
          <t>A 7835-2024</t>
        </is>
      </c>
      <c r="B419" s="1" t="n">
        <v>45349.83138888889</v>
      </c>
      <c r="C419" s="1" t="n">
        <v>45926</v>
      </c>
      <c r="D419" t="inlineStr">
        <is>
          <t>GOTLANDS LÄN</t>
        </is>
      </c>
      <c r="E419" t="inlineStr">
        <is>
          <t>GOTLAND</t>
        </is>
      </c>
      <c r="G419" t="n">
        <v>3.8</v>
      </c>
      <c r="H419" t="n">
        <v>0</v>
      </c>
      <c r="I419" t="n">
        <v>0</v>
      </c>
      <c r="J419" t="n">
        <v>0</v>
      </c>
      <c r="K419" t="n">
        <v>0</v>
      </c>
      <c r="L419" t="n">
        <v>0</v>
      </c>
      <c r="M419" t="n">
        <v>0</v>
      </c>
      <c r="N419" t="n">
        <v>0</v>
      </c>
      <c r="O419" t="n">
        <v>0</v>
      </c>
      <c r="P419" t="n">
        <v>0</v>
      </c>
      <c r="Q419" t="n">
        <v>0</v>
      </c>
      <c r="R419" s="2" t="inlineStr"/>
    </row>
    <row r="420" ht="15" customHeight="1">
      <c r="A420" t="inlineStr">
        <is>
          <t>A 61100-2022</t>
        </is>
      </c>
      <c r="B420" s="1" t="n">
        <v>44915</v>
      </c>
      <c r="C420" s="1" t="n">
        <v>45926</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10650-2022</t>
        </is>
      </c>
      <c r="B421" s="1" t="n">
        <v>44624.57945601852</v>
      </c>
      <c r="C421" s="1" t="n">
        <v>45926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43785-2024</t>
        </is>
      </c>
      <c r="B422" s="1" t="n">
        <v>45570</v>
      </c>
      <c r="C422" s="1" t="n">
        <v>45926</v>
      </c>
      <c r="D422" t="inlineStr">
        <is>
          <t>GOTLANDS LÄN</t>
        </is>
      </c>
      <c r="E422" t="inlineStr">
        <is>
          <t>GOTLAND</t>
        </is>
      </c>
      <c r="G422" t="n">
        <v>12.6</v>
      </c>
      <c r="H422" t="n">
        <v>0</v>
      </c>
      <c r="I422" t="n">
        <v>0</v>
      </c>
      <c r="J422" t="n">
        <v>0</v>
      </c>
      <c r="K422" t="n">
        <v>0</v>
      </c>
      <c r="L422" t="n">
        <v>0</v>
      </c>
      <c r="M422" t="n">
        <v>0</v>
      </c>
      <c r="N422" t="n">
        <v>0</v>
      </c>
      <c r="O422" t="n">
        <v>0</v>
      </c>
      <c r="P422" t="n">
        <v>0</v>
      </c>
      <c r="Q422" t="n">
        <v>0</v>
      </c>
      <c r="R422" s="2" t="inlineStr"/>
    </row>
    <row r="423" ht="15" customHeight="1">
      <c r="A423" t="inlineStr">
        <is>
          <t>A 26810-2021</t>
        </is>
      </c>
      <c r="B423" s="1" t="n">
        <v>44349.55087962963</v>
      </c>
      <c r="C423" s="1" t="n">
        <v>45926</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581-2023</t>
        </is>
      </c>
      <c r="B424" s="1" t="n">
        <v>44930</v>
      </c>
      <c r="C424" s="1" t="n">
        <v>45926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10655-2023</t>
        </is>
      </c>
      <c r="B425" s="1" t="n">
        <v>44988.49543981482</v>
      </c>
      <c r="C425" s="1" t="n">
        <v>45926</v>
      </c>
      <c r="D425" t="inlineStr">
        <is>
          <t>GOTLANDS LÄN</t>
        </is>
      </c>
      <c r="E425" t="inlineStr">
        <is>
          <t>GOTLAND</t>
        </is>
      </c>
      <c r="F425" t="inlineStr">
        <is>
          <t>Kyrkan</t>
        </is>
      </c>
      <c r="G425" t="n">
        <v>2</v>
      </c>
      <c r="H425" t="n">
        <v>0</v>
      </c>
      <c r="I425" t="n">
        <v>0</v>
      </c>
      <c r="J425" t="n">
        <v>0</v>
      </c>
      <c r="K425" t="n">
        <v>0</v>
      </c>
      <c r="L425" t="n">
        <v>0</v>
      </c>
      <c r="M425" t="n">
        <v>0</v>
      </c>
      <c r="N425" t="n">
        <v>0</v>
      </c>
      <c r="O425" t="n">
        <v>0</v>
      </c>
      <c r="P425" t="n">
        <v>0</v>
      </c>
      <c r="Q425" t="n">
        <v>0</v>
      </c>
      <c r="R425" s="2" t="inlineStr"/>
    </row>
    <row r="426" ht="15" customHeight="1">
      <c r="A426" t="inlineStr">
        <is>
          <t>A 28425-2023</t>
        </is>
      </c>
      <c r="B426" s="1" t="n">
        <v>45102</v>
      </c>
      <c r="C426" s="1" t="n">
        <v>45926</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44649-2021</t>
        </is>
      </c>
      <c r="B427" s="1" t="n">
        <v>44437</v>
      </c>
      <c r="C427" s="1" t="n">
        <v>45926</v>
      </c>
      <c r="D427" t="inlineStr">
        <is>
          <t>GOTLANDS LÄN</t>
        </is>
      </c>
      <c r="E427" t="inlineStr">
        <is>
          <t>GOTLAND</t>
        </is>
      </c>
      <c r="G427" t="n">
        <v>8.1</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45926</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45926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10746-2025</t>
        </is>
      </c>
      <c r="B430" s="1" t="n">
        <v>45722.42766203704</v>
      </c>
      <c r="C430" s="1" t="n">
        <v>45926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49962-2023</t>
        </is>
      </c>
      <c r="B431" s="1" t="n">
        <v>45215.38775462963</v>
      </c>
      <c r="C431" s="1" t="n">
        <v>45926</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50744-2024</t>
        </is>
      </c>
      <c r="B432" s="1" t="n">
        <v>45602.4187037037</v>
      </c>
      <c r="C432" s="1" t="n">
        <v>45926</v>
      </c>
      <c r="D432" t="inlineStr">
        <is>
          <t>GOTLANDS LÄN</t>
        </is>
      </c>
      <c r="E432" t="inlineStr">
        <is>
          <t>GOTLAND</t>
        </is>
      </c>
      <c r="G432" t="n">
        <v>3.2</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45926</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45926</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43229-2023</t>
        </is>
      </c>
      <c r="B435" s="1" t="n">
        <v>45183.46704861111</v>
      </c>
      <c r="C435" s="1" t="n">
        <v>45926</v>
      </c>
      <c r="D435" t="inlineStr">
        <is>
          <t>GOTLANDS LÄN</t>
        </is>
      </c>
      <c r="E435" t="inlineStr">
        <is>
          <t>GOTLAND</t>
        </is>
      </c>
      <c r="G435" t="n">
        <v>7.1</v>
      </c>
      <c r="H435" t="n">
        <v>0</v>
      </c>
      <c r="I435" t="n">
        <v>0</v>
      </c>
      <c r="J435" t="n">
        <v>0</v>
      </c>
      <c r="K435" t="n">
        <v>0</v>
      </c>
      <c r="L435" t="n">
        <v>0</v>
      </c>
      <c r="M435" t="n">
        <v>0</v>
      </c>
      <c r="N435" t="n">
        <v>0</v>
      </c>
      <c r="O435" t="n">
        <v>0</v>
      </c>
      <c r="P435" t="n">
        <v>0</v>
      </c>
      <c r="Q435" t="n">
        <v>0</v>
      </c>
      <c r="R435" s="2" t="inlineStr"/>
    </row>
    <row r="436" ht="15" customHeight="1">
      <c r="A436" t="inlineStr">
        <is>
          <t>A 30061-2025</t>
        </is>
      </c>
      <c r="B436" s="1" t="n">
        <v>45826.61488425926</v>
      </c>
      <c r="C436" s="1" t="n">
        <v>45926</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41038-2023</t>
        </is>
      </c>
      <c r="B437" s="1" t="n">
        <v>45173.60959490741</v>
      </c>
      <c r="C437" s="1" t="n">
        <v>45926</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30157-2025</t>
        </is>
      </c>
      <c r="B438" s="1" t="n">
        <v>45826</v>
      </c>
      <c r="C438" s="1" t="n">
        <v>45926</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45926</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45926</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45926</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45926</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45926</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45926</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45926</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45084-2024</t>
        </is>
      </c>
      <c r="B446" s="1" t="n">
        <v>45575</v>
      </c>
      <c r="C446" s="1" t="n">
        <v>45926</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24966-2023</t>
        </is>
      </c>
      <c r="B447" s="1" t="n">
        <v>45085</v>
      </c>
      <c r="C447" s="1" t="n">
        <v>45926</v>
      </c>
      <c r="D447" t="inlineStr">
        <is>
          <t>GOTLANDS LÄN</t>
        </is>
      </c>
      <c r="E447" t="inlineStr">
        <is>
          <t>GOTLAND</t>
        </is>
      </c>
      <c r="G447" t="n">
        <v>7</v>
      </c>
      <c r="H447" t="n">
        <v>0</v>
      </c>
      <c r="I447" t="n">
        <v>0</v>
      </c>
      <c r="J447" t="n">
        <v>0</v>
      </c>
      <c r="K447" t="n">
        <v>0</v>
      </c>
      <c r="L447" t="n">
        <v>0</v>
      </c>
      <c r="M447" t="n">
        <v>0</v>
      </c>
      <c r="N447" t="n">
        <v>0</v>
      </c>
      <c r="O447" t="n">
        <v>0</v>
      </c>
      <c r="P447" t="n">
        <v>0</v>
      </c>
      <c r="Q447" t="n">
        <v>0</v>
      </c>
      <c r="R447" s="2" t="inlineStr"/>
    </row>
    <row r="448" ht="15" customHeight="1">
      <c r="A448" t="inlineStr">
        <is>
          <t>A 20356-2022</t>
        </is>
      </c>
      <c r="B448" s="1" t="n">
        <v>44699</v>
      </c>
      <c r="C448" s="1" t="n">
        <v>45926</v>
      </c>
      <c r="D448" t="inlineStr">
        <is>
          <t>GOTLANDS LÄN</t>
        </is>
      </c>
      <c r="E448" t="inlineStr">
        <is>
          <t>GOTLAND</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58160-2024</t>
        </is>
      </c>
      <c r="B449" s="1" t="n">
        <v>45632.44927083333</v>
      </c>
      <c r="C449" s="1" t="n">
        <v>45926</v>
      </c>
      <c r="D449" t="inlineStr">
        <is>
          <t>GOTLANDS LÄN</t>
        </is>
      </c>
      <c r="E449" t="inlineStr">
        <is>
          <t>GOTLAND</t>
        </is>
      </c>
      <c r="G449" t="n">
        <v>5.6</v>
      </c>
      <c r="H449" t="n">
        <v>0</v>
      </c>
      <c r="I449" t="n">
        <v>0</v>
      </c>
      <c r="J449" t="n">
        <v>0</v>
      </c>
      <c r="K449" t="n">
        <v>0</v>
      </c>
      <c r="L449" t="n">
        <v>0</v>
      </c>
      <c r="M449" t="n">
        <v>0</v>
      </c>
      <c r="N449" t="n">
        <v>0</v>
      </c>
      <c r="O449" t="n">
        <v>0</v>
      </c>
      <c r="P449" t="n">
        <v>0</v>
      </c>
      <c r="Q449" t="n">
        <v>0</v>
      </c>
      <c r="R449" s="2" t="inlineStr"/>
    </row>
    <row r="450" ht="15" customHeight="1">
      <c r="A450" t="inlineStr">
        <is>
          <t>A 57652-2023</t>
        </is>
      </c>
      <c r="B450" s="1" t="n">
        <v>45246</v>
      </c>
      <c r="C450" s="1" t="n">
        <v>45926</v>
      </c>
      <c r="D450" t="inlineStr">
        <is>
          <t>GOTLANDS LÄN</t>
        </is>
      </c>
      <c r="E450" t="inlineStr">
        <is>
          <t>GOTLAND</t>
        </is>
      </c>
      <c r="G450" t="n">
        <v>7.2</v>
      </c>
      <c r="H450" t="n">
        <v>0</v>
      </c>
      <c r="I450" t="n">
        <v>0</v>
      </c>
      <c r="J450" t="n">
        <v>0</v>
      </c>
      <c r="K450" t="n">
        <v>0</v>
      </c>
      <c r="L450" t="n">
        <v>0</v>
      </c>
      <c r="M450" t="n">
        <v>0</v>
      </c>
      <c r="N450" t="n">
        <v>0</v>
      </c>
      <c r="O450" t="n">
        <v>0</v>
      </c>
      <c r="P450" t="n">
        <v>0</v>
      </c>
      <c r="Q450" t="n">
        <v>0</v>
      </c>
      <c r="R450" s="2" t="inlineStr"/>
    </row>
    <row r="451" ht="15" customHeight="1">
      <c r="A451" t="inlineStr">
        <is>
          <t>A 4868-2024</t>
        </is>
      </c>
      <c r="B451" s="1" t="n">
        <v>45329</v>
      </c>
      <c r="C451" s="1" t="n">
        <v>45926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46189-2022</t>
        </is>
      </c>
      <c r="B452" s="1" t="n">
        <v>44847</v>
      </c>
      <c r="C452" s="1" t="n">
        <v>45926</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9613-2025</t>
        </is>
      </c>
      <c r="B453" s="1" t="n">
        <v>45715</v>
      </c>
      <c r="C453" s="1" t="n">
        <v>45926</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57522-2022</t>
        </is>
      </c>
      <c r="B454" s="1" t="n">
        <v>44896</v>
      </c>
      <c r="C454" s="1" t="n">
        <v>45926</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14797-2024</t>
        </is>
      </c>
      <c r="B455" s="1" t="n">
        <v>45397.87030092593</v>
      </c>
      <c r="C455" s="1" t="n">
        <v>45926</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5386-2023</t>
        </is>
      </c>
      <c r="B456" s="1" t="n">
        <v>44959</v>
      </c>
      <c r="C456" s="1" t="n">
        <v>45926</v>
      </c>
      <c r="D456" t="inlineStr">
        <is>
          <t>GOTLANDS LÄN</t>
        </is>
      </c>
      <c r="E456" t="inlineStr">
        <is>
          <t>GOTLAND</t>
        </is>
      </c>
      <c r="G456" t="n">
        <v>5.4</v>
      </c>
      <c r="H456" t="n">
        <v>0</v>
      </c>
      <c r="I456" t="n">
        <v>0</v>
      </c>
      <c r="J456" t="n">
        <v>0</v>
      </c>
      <c r="K456" t="n">
        <v>0</v>
      </c>
      <c r="L456" t="n">
        <v>0</v>
      </c>
      <c r="M456" t="n">
        <v>0</v>
      </c>
      <c r="N456" t="n">
        <v>0</v>
      </c>
      <c r="O456" t="n">
        <v>0</v>
      </c>
      <c r="P456" t="n">
        <v>0</v>
      </c>
      <c r="Q456" t="n">
        <v>0</v>
      </c>
      <c r="R456" s="2" t="inlineStr"/>
    </row>
    <row r="457" ht="15" customHeight="1">
      <c r="A457" t="inlineStr">
        <is>
          <t>A 30135-2025</t>
        </is>
      </c>
      <c r="B457" s="1" t="n">
        <v>45826</v>
      </c>
      <c r="C457" s="1" t="n">
        <v>45926</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7837-2024</t>
        </is>
      </c>
      <c r="B458" s="1" t="n">
        <v>45349.83787037037</v>
      </c>
      <c r="C458" s="1" t="n">
        <v>45926</v>
      </c>
      <c r="D458" t="inlineStr">
        <is>
          <t>GOTLANDS LÄN</t>
        </is>
      </c>
      <c r="E458" t="inlineStr">
        <is>
          <t>GOTLAND</t>
        </is>
      </c>
      <c r="G458" t="n">
        <v>5</v>
      </c>
      <c r="H458" t="n">
        <v>0</v>
      </c>
      <c r="I458" t="n">
        <v>0</v>
      </c>
      <c r="J458" t="n">
        <v>0</v>
      </c>
      <c r="K458" t="n">
        <v>0</v>
      </c>
      <c r="L458" t="n">
        <v>0</v>
      </c>
      <c r="M458" t="n">
        <v>0</v>
      </c>
      <c r="N458" t="n">
        <v>0</v>
      </c>
      <c r="O458" t="n">
        <v>0</v>
      </c>
      <c r="P458" t="n">
        <v>0</v>
      </c>
      <c r="Q458" t="n">
        <v>0</v>
      </c>
      <c r="R458" s="2" t="inlineStr"/>
    </row>
    <row r="459" ht="15" customHeight="1">
      <c r="A459" t="inlineStr">
        <is>
          <t>A 58211-2024</t>
        </is>
      </c>
      <c r="B459" s="1" t="n">
        <v>45632.49292824074</v>
      </c>
      <c r="C459" s="1" t="n">
        <v>45926</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16109-2025</t>
        </is>
      </c>
      <c r="B460" s="1" t="n">
        <v>45750</v>
      </c>
      <c r="C460" s="1" t="n">
        <v>45926</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32467-2025</t>
        </is>
      </c>
      <c r="B461" s="1" t="n">
        <v>45838.42111111111</v>
      </c>
      <c r="C461" s="1" t="n">
        <v>45926</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1394-2023</t>
        </is>
      </c>
      <c r="B462" s="1" t="n">
        <v>44936.72997685185</v>
      </c>
      <c r="C462" s="1" t="n">
        <v>45926</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2676-2023</t>
        </is>
      </c>
      <c r="B463" s="1" t="n">
        <v>44944</v>
      </c>
      <c r="C463" s="1" t="n">
        <v>45926</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4387-2023</t>
        </is>
      </c>
      <c r="B464" s="1" t="n">
        <v>44955.73359953704</v>
      </c>
      <c r="C464" s="1" t="n">
        <v>45926</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32378-2025</t>
        </is>
      </c>
      <c r="B465" s="1" t="n">
        <v>45837</v>
      </c>
      <c r="C465" s="1" t="n">
        <v>45926</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32686-2025</t>
        </is>
      </c>
      <c r="B466" s="1" t="n">
        <v>45838</v>
      </c>
      <c r="C466" s="1" t="n">
        <v>45926</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11634-2024</t>
        </is>
      </c>
      <c r="B467" s="1" t="n">
        <v>45373</v>
      </c>
      <c r="C467" s="1" t="n">
        <v>45926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32379-2025</t>
        </is>
      </c>
      <c r="B468" s="1" t="n">
        <v>45837</v>
      </c>
      <c r="C468" s="1" t="n">
        <v>45926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5884-2025</t>
        </is>
      </c>
      <c r="B469" s="1" t="n">
        <v>45695.37482638889</v>
      </c>
      <c r="C469" s="1" t="n">
        <v>45926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49411-2023</t>
        </is>
      </c>
      <c r="B470" s="1" t="n">
        <v>45205</v>
      </c>
      <c r="C470" s="1" t="n">
        <v>45926</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5897-2025</t>
        </is>
      </c>
      <c r="B471" s="1" t="n">
        <v>45695.39273148148</v>
      </c>
      <c r="C471" s="1" t="n">
        <v>45926</v>
      </c>
      <c r="D471" t="inlineStr">
        <is>
          <t>GOTLANDS LÄN</t>
        </is>
      </c>
      <c r="E471" t="inlineStr">
        <is>
          <t>GOTLAND</t>
        </is>
      </c>
      <c r="G471" t="n">
        <v>3.7</v>
      </c>
      <c r="H471" t="n">
        <v>0</v>
      </c>
      <c r="I471" t="n">
        <v>0</v>
      </c>
      <c r="J471" t="n">
        <v>0</v>
      </c>
      <c r="K471" t="n">
        <v>0</v>
      </c>
      <c r="L471" t="n">
        <v>0</v>
      </c>
      <c r="M471" t="n">
        <v>0</v>
      </c>
      <c r="N471" t="n">
        <v>0</v>
      </c>
      <c r="O471" t="n">
        <v>0</v>
      </c>
      <c r="P471" t="n">
        <v>0</v>
      </c>
      <c r="Q471" t="n">
        <v>0</v>
      </c>
      <c r="R471" s="2" t="inlineStr"/>
    </row>
    <row r="472" ht="15" customHeight="1">
      <c r="A472" t="inlineStr">
        <is>
          <t>A 5909-2025</t>
        </is>
      </c>
      <c r="B472" s="1" t="n">
        <v>45695.40634259259</v>
      </c>
      <c r="C472" s="1" t="n">
        <v>45926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37728-2024</t>
        </is>
      </c>
      <c r="B473" s="1" t="n">
        <v>45541</v>
      </c>
      <c r="C473" s="1" t="n">
        <v>45926</v>
      </c>
      <c r="D473" t="inlineStr">
        <is>
          <t>GOTLANDS LÄN</t>
        </is>
      </c>
      <c r="E473" t="inlineStr">
        <is>
          <t>GOTLAND</t>
        </is>
      </c>
      <c r="G473" t="n">
        <v>0.4</v>
      </c>
      <c r="H473" t="n">
        <v>0</v>
      </c>
      <c r="I473" t="n">
        <v>0</v>
      </c>
      <c r="J473" t="n">
        <v>0</v>
      </c>
      <c r="K473" t="n">
        <v>0</v>
      </c>
      <c r="L473" t="n">
        <v>0</v>
      </c>
      <c r="M473" t="n">
        <v>0</v>
      </c>
      <c r="N473" t="n">
        <v>0</v>
      </c>
      <c r="O473" t="n">
        <v>0</v>
      </c>
      <c r="P473" t="n">
        <v>0</v>
      </c>
      <c r="Q473" t="n">
        <v>0</v>
      </c>
      <c r="R473" s="2" t="inlineStr"/>
    </row>
    <row r="474" ht="15" customHeight="1">
      <c r="A474" t="inlineStr">
        <is>
          <t>A 33078-2025</t>
        </is>
      </c>
      <c r="B474" s="1" t="n">
        <v>45840</v>
      </c>
      <c r="C474" s="1" t="n">
        <v>45926</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45926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2241-2025</t>
        </is>
      </c>
      <c r="B476" s="1" t="n">
        <v>45673.48710648148</v>
      </c>
      <c r="C476" s="1" t="n">
        <v>45926</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16373-2025</t>
        </is>
      </c>
      <c r="B477" s="1" t="n">
        <v>45751</v>
      </c>
      <c r="C477" s="1" t="n">
        <v>45926</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22704-2023</t>
        </is>
      </c>
      <c r="B478" s="1" t="n">
        <v>45071</v>
      </c>
      <c r="C478" s="1" t="n">
        <v>45926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33007-2025</t>
        </is>
      </c>
      <c r="B479" s="1" t="n">
        <v>45840</v>
      </c>
      <c r="C479" s="1" t="n">
        <v>45926</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33011-2025</t>
        </is>
      </c>
      <c r="B480" s="1" t="n">
        <v>45840</v>
      </c>
      <c r="C480" s="1" t="n">
        <v>45926</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45926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22275-2023</t>
        </is>
      </c>
      <c r="B482" s="1" t="n">
        <v>45070.39875</v>
      </c>
      <c r="C482" s="1" t="n">
        <v>45926</v>
      </c>
      <c r="D482" t="inlineStr">
        <is>
          <t>GOTLANDS LÄN</t>
        </is>
      </c>
      <c r="E482" t="inlineStr">
        <is>
          <t>GOTLAND</t>
        </is>
      </c>
      <c r="G482" t="n">
        <v>7.2</v>
      </c>
      <c r="H482" t="n">
        <v>0</v>
      </c>
      <c r="I482" t="n">
        <v>0</v>
      </c>
      <c r="J482" t="n">
        <v>0</v>
      </c>
      <c r="K482" t="n">
        <v>0</v>
      </c>
      <c r="L482" t="n">
        <v>0</v>
      </c>
      <c r="M482" t="n">
        <v>0</v>
      </c>
      <c r="N482" t="n">
        <v>0</v>
      </c>
      <c r="O482" t="n">
        <v>0</v>
      </c>
      <c r="P482" t="n">
        <v>0</v>
      </c>
      <c r="Q482" t="n">
        <v>0</v>
      </c>
      <c r="R482" s="2" t="inlineStr"/>
    </row>
    <row r="483" ht="15" customHeight="1">
      <c r="A483" t="inlineStr">
        <is>
          <t>A 25866-2022</t>
        </is>
      </c>
      <c r="B483" s="1" t="n">
        <v>44733</v>
      </c>
      <c r="C483" s="1" t="n">
        <v>45926</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14635-2023</t>
        </is>
      </c>
      <c r="B484" s="1" t="n">
        <v>45013.69365740741</v>
      </c>
      <c r="C484" s="1" t="n">
        <v>45926</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63763-2023</t>
        </is>
      </c>
      <c r="B485" s="1" t="n">
        <v>45278.33944444444</v>
      </c>
      <c r="C485" s="1" t="n">
        <v>45926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7635-2025</t>
        </is>
      </c>
      <c r="B486" s="1" t="n">
        <v>45705</v>
      </c>
      <c r="C486" s="1" t="n">
        <v>45926</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7636-2025</t>
        </is>
      </c>
      <c r="B487" s="1" t="n">
        <v>45705.7687962963</v>
      </c>
      <c r="C487" s="1" t="n">
        <v>45926</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7639-2025</t>
        </is>
      </c>
      <c r="B488" s="1" t="n">
        <v>45705.77465277778</v>
      </c>
      <c r="C488" s="1" t="n">
        <v>45926</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61682-2024</t>
        </is>
      </c>
      <c r="B489" s="1" t="n">
        <v>45647.48824074074</v>
      </c>
      <c r="C489" s="1" t="n">
        <v>45926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15434-2024</t>
        </is>
      </c>
      <c r="B490" s="1" t="n">
        <v>45401.38836805556</v>
      </c>
      <c r="C490" s="1" t="n">
        <v>45926</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7034-2023</t>
        </is>
      </c>
      <c r="B491" s="1" t="n">
        <v>44968.32108796296</v>
      </c>
      <c r="C491" s="1" t="n">
        <v>45926</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7042-2023</t>
        </is>
      </c>
      <c r="B492" s="1" t="n">
        <v>44968</v>
      </c>
      <c r="C492" s="1" t="n">
        <v>45926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2180-2025</t>
        </is>
      </c>
      <c r="B493" s="1" t="n">
        <v>45673</v>
      </c>
      <c r="C493" s="1" t="n">
        <v>45926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39278-2025</t>
        </is>
      </c>
      <c r="B494" s="1" t="n">
        <v>45889</v>
      </c>
      <c r="C494" s="1" t="n">
        <v>45926</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39814-2025</t>
        </is>
      </c>
      <c r="B495" s="1" t="n">
        <v>45891.52694444444</v>
      </c>
      <c r="C495" s="1" t="n">
        <v>45926</v>
      </c>
      <c r="D495" t="inlineStr">
        <is>
          <t>GOTLANDS LÄN</t>
        </is>
      </c>
      <c r="E495" t="inlineStr">
        <is>
          <t>GOTLAND</t>
        </is>
      </c>
      <c r="G495" t="n">
        <v>4.5</v>
      </c>
      <c r="H495" t="n">
        <v>0</v>
      </c>
      <c r="I495" t="n">
        <v>0</v>
      </c>
      <c r="J495" t="n">
        <v>0</v>
      </c>
      <c r="K495" t="n">
        <v>0</v>
      </c>
      <c r="L495" t="n">
        <v>0</v>
      </c>
      <c r="M495" t="n">
        <v>0</v>
      </c>
      <c r="N495" t="n">
        <v>0</v>
      </c>
      <c r="O495" t="n">
        <v>0</v>
      </c>
      <c r="P495" t="n">
        <v>0</v>
      </c>
      <c r="Q495" t="n">
        <v>0</v>
      </c>
      <c r="R495" s="2" t="inlineStr"/>
    </row>
    <row r="496" ht="15" customHeight="1">
      <c r="A496" t="inlineStr">
        <is>
          <t>A 39849-2025</t>
        </is>
      </c>
      <c r="B496" s="1" t="n">
        <v>45891.58502314815</v>
      </c>
      <c r="C496" s="1" t="n">
        <v>45926</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9887-2025</t>
        </is>
      </c>
      <c r="B497" s="1" t="n">
        <v>45716</v>
      </c>
      <c r="C497" s="1" t="n">
        <v>45926</v>
      </c>
      <c r="D497" t="inlineStr">
        <is>
          <t>GOTLANDS LÄN</t>
        </is>
      </c>
      <c r="E497" t="inlineStr">
        <is>
          <t>GOTLAND</t>
        </is>
      </c>
      <c r="G497" t="n">
        <v>7.5</v>
      </c>
      <c r="H497" t="n">
        <v>0</v>
      </c>
      <c r="I497" t="n">
        <v>0</v>
      </c>
      <c r="J497" t="n">
        <v>0</v>
      </c>
      <c r="K497" t="n">
        <v>0</v>
      </c>
      <c r="L497" t="n">
        <v>0</v>
      </c>
      <c r="M497" t="n">
        <v>0</v>
      </c>
      <c r="N497" t="n">
        <v>0</v>
      </c>
      <c r="O497" t="n">
        <v>0</v>
      </c>
      <c r="P497" t="n">
        <v>0</v>
      </c>
      <c r="Q497" t="n">
        <v>0</v>
      </c>
      <c r="R497" s="2" t="inlineStr"/>
    </row>
    <row r="498" ht="15" customHeight="1">
      <c r="A498" t="inlineStr">
        <is>
          <t>A 12209-2024</t>
        </is>
      </c>
      <c r="B498" s="1" t="n">
        <v>45378</v>
      </c>
      <c r="C498" s="1" t="n">
        <v>45926</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12210-2024</t>
        </is>
      </c>
      <c r="B499" s="1" t="n">
        <v>45378</v>
      </c>
      <c r="C499" s="1" t="n">
        <v>45926</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54074-2022</t>
        </is>
      </c>
      <c r="B500" s="1" t="n">
        <v>44881</v>
      </c>
      <c r="C500" s="1" t="n">
        <v>45926</v>
      </c>
      <c r="D500" t="inlineStr">
        <is>
          <t>GOTLANDS LÄN</t>
        </is>
      </c>
      <c r="E500" t="inlineStr">
        <is>
          <t>GOTLAND</t>
        </is>
      </c>
      <c r="G500" t="n">
        <v>0.9</v>
      </c>
      <c r="H500" t="n">
        <v>0</v>
      </c>
      <c r="I500" t="n">
        <v>0</v>
      </c>
      <c r="J500" t="n">
        <v>0</v>
      </c>
      <c r="K500" t="n">
        <v>0</v>
      </c>
      <c r="L500" t="n">
        <v>0</v>
      </c>
      <c r="M500" t="n">
        <v>0</v>
      </c>
      <c r="N500" t="n">
        <v>0</v>
      </c>
      <c r="O500" t="n">
        <v>0</v>
      </c>
      <c r="P500" t="n">
        <v>0</v>
      </c>
      <c r="Q500" t="n">
        <v>0</v>
      </c>
      <c r="R500" s="2" t="inlineStr"/>
    </row>
    <row r="501" ht="15" customHeight="1">
      <c r="A501" t="inlineStr">
        <is>
          <t>A 61694-2023</t>
        </is>
      </c>
      <c r="B501" s="1" t="n">
        <v>45264</v>
      </c>
      <c r="C501" s="1" t="n">
        <v>45926</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59986-2022</t>
        </is>
      </c>
      <c r="B502" s="1" t="n">
        <v>44909</v>
      </c>
      <c r="C502" s="1" t="n">
        <v>45926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15413-2025</t>
        </is>
      </c>
      <c r="B503" s="1" t="n">
        <v>45747.451875</v>
      </c>
      <c r="C503" s="1" t="n">
        <v>45926</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39819-2025</t>
        </is>
      </c>
      <c r="B504" s="1" t="n">
        <v>45891.53418981482</v>
      </c>
      <c r="C504" s="1" t="n">
        <v>45926</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64208-2021</t>
        </is>
      </c>
      <c r="B505" s="1" t="n">
        <v>44510</v>
      </c>
      <c r="C505" s="1" t="n">
        <v>45926</v>
      </c>
      <c r="D505" t="inlineStr">
        <is>
          <t>GOTLANDS LÄN</t>
        </is>
      </c>
      <c r="E505" t="inlineStr">
        <is>
          <t>GOTLAND</t>
        </is>
      </c>
      <c r="G505" t="n">
        <v>4.7</v>
      </c>
      <c r="H505" t="n">
        <v>0</v>
      </c>
      <c r="I505" t="n">
        <v>0</v>
      </c>
      <c r="J505" t="n">
        <v>0</v>
      </c>
      <c r="K505" t="n">
        <v>0</v>
      </c>
      <c r="L505" t="n">
        <v>0</v>
      </c>
      <c r="M505" t="n">
        <v>0</v>
      </c>
      <c r="N505" t="n">
        <v>0</v>
      </c>
      <c r="O505" t="n">
        <v>0</v>
      </c>
      <c r="P505" t="n">
        <v>0</v>
      </c>
      <c r="Q505" t="n">
        <v>0</v>
      </c>
      <c r="R505" s="2" t="inlineStr"/>
    </row>
    <row r="506" ht="15" customHeight="1">
      <c r="A506" t="inlineStr">
        <is>
          <t>A 35096-2025</t>
        </is>
      </c>
      <c r="B506" s="1" t="n">
        <v>45852.54356481481</v>
      </c>
      <c r="C506" s="1" t="n">
        <v>45926</v>
      </c>
      <c r="D506" t="inlineStr">
        <is>
          <t>GOTLANDS LÄN</t>
        </is>
      </c>
      <c r="E506" t="inlineStr">
        <is>
          <t>GOTLAND</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39752-2025</t>
        </is>
      </c>
      <c r="B507" s="1" t="n">
        <v>45891</v>
      </c>
      <c r="C507" s="1" t="n">
        <v>45926</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35123-2025</t>
        </is>
      </c>
      <c r="B508" s="1" t="n">
        <v>45852.614375</v>
      </c>
      <c r="C508" s="1" t="n">
        <v>45926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35142-2025</t>
        </is>
      </c>
      <c r="B509" s="1" t="n">
        <v>45852.65532407408</v>
      </c>
      <c r="C509" s="1" t="n">
        <v>45926</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45926</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35141-2025</t>
        </is>
      </c>
      <c r="B511" s="1" t="n">
        <v>45852.65206018519</v>
      </c>
      <c r="C511" s="1" t="n">
        <v>45926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1446-2025</t>
        </is>
      </c>
      <c r="B512" s="1" t="n">
        <v>45669.86035879629</v>
      </c>
      <c r="C512" s="1" t="n">
        <v>45926</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1462-2025</t>
        </is>
      </c>
      <c r="B513" s="1" t="n">
        <v>45670.36319444444</v>
      </c>
      <c r="C513" s="1" t="n">
        <v>45926</v>
      </c>
      <c r="D513" t="inlineStr">
        <is>
          <t>GOTLANDS LÄN</t>
        </is>
      </c>
      <c r="E513" t="inlineStr">
        <is>
          <t>GOTLAND</t>
        </is>
      </c>
      <c r="G513" t="n">
        <v>2.8</v>
      </c>
      <c r="H513" t="n">
        <v>0</v>
      </c>
      <c r="I513" t="n">
        <v>0</v>
      </c>
      <c r="J513" t="n">
        <v>0</v>
      </c>
      <c r="K513" t="n">
        <v>0</v>
      </c>
      <c r="L513" t="n">
        <v>0</v>
      </c>
      <c r="M513" t="n">
        <v>0</v>
      </c>
      <c r="N513" t="n">
        <v>0</v>
      </c>
      <c r="O513" t="n">
        <v>0</v>
      </c>
      <c r="P513" t="n">
        <v>0</v>
      </c>
      <c r="Q513" t="n">
        <v>0</v>
      </c>
      <c r="R513" s="2" t="inlineStr"/>
    </row>
    <row r="514" ht="15" customHeight="1">
      <c r="A514" t="inlineStr">
        <is>
          <t>A 40372-2025</t>
        </is>
      </c>
      <c r="B514" s="1" t="n">
        <v>45895.5162037037</v>
      </c>
      <c r="C514" s="1" t="n">
        <v>45926</v>
      </c>
      <c r="D514" t="inlineStr">
        <is>
          <t>GOTLANDS LÄN</t>
        </is>
      </c>
      <c r="E514" t="inlineStr">
        <is>
          <t>GOTLAND</t>
        </is>
      </c>
      <c r="G514" t="n">
        <v>3.3</v>
      </c>
      <c r="H514" t="n">
        <v>0</v>
      </c>
      <c r="I514" t="n">
        <v>0</v>
      </c>
      <c r="J514" t="n">
        <v>0</v>
      </c>
      <c r="K514" t="n">
        <v>0</v>
      </c>
      <c r="L514" t="n">
        <v>0</v>
      </c>
      <c r="M514" t="n">
        <v>0</v>
      </c>
      <c r="N514" t="n">
        <v>0</v>
      </c>
      <c r="O514" t="n">
        <v>0</v>
      </c>
      <c r="P514" t="n">
        <v>0</v>
      </c>
      <c r="Q514" t="n">
        <v>0</v>
      </c>
      <c r="R514" s="2" t="inlineStr"/>
    </row>
    <row r="515" ht="15" customHeight="1">
      <c r="A515" t="inlineStr">
        <is>
          <t>A 40373-2025</t>
        </is>
      </c>
      <c r="B515" s="1" t="n">
        <v>45895.51821759259</v>
      </c>
      <c r="C515" s="1" t="n">
        <v>45926</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40103-2025</t>
        </is>
      </c>
      <c r="B516" s="1" t="n">
        <v>45894.4880324074</v>
      </c>
      <c r="C516" s="1" t="n">
        <v>45926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57685-2022</t>
        </is>
      </c>
      <c r="B517" s="1" t="n">
        <v>44897.4777662037</v>
      </c>
      <c r="C517" s="1" t="n">
        <v>45926</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45926</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31802-2024</t>
        </is>
      </c>
      <c r="B519" s="1" t="n">
        <v>45509</v>
      </c>
      <c r="C519" s="1" t="n">
        <v>45926</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45926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35290-2025</t>
        </is>
      </c>
      <c r="B521" s="1" t="n">
        <v>45854.38502314815</v>
      </c>
      <c r="C521" s="1" t="n">
        <v>45926</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45926</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15042-2025</t>
        </is>
      </c>
      <c r="B523" s="1" t="n">
        <v>45743</v>
      </c>
      <c r="C523" s="1" t="n">
        <v>45926</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30104-2025</t>
        </is>
      </c>
      <c r="B524" s="1" t="n">
        <v>45826.68806712963</v>
      </c>
      <c r="C524" s="1" t="n">
        <v>45926</v>
      </c>
      <c r="D524" t="inlineStr">
        <is>
          <t>GOTLANDS LÄN</t>
        </is>
      </c>
      <c r="E524" t="inlineStr">
        <is>
          <t>GOTLAND</t>
        </is>
      </c>
      <c r="G524" t="n">
        <v>15.4</v>
      </c>
      <c r="H524" t="n">
        <v>0</v>
      </c>
      <c r="I524" t="n">
        <v>0</v>
      </c>
      <c r="J524" t="n">
        <v>0</v>
      </c>
      <c r="K524" t="n">
        <v>0</v>
      </c>
      <c r="L524" t="n">
        <v>0</v>
      </c>
      <c r="M524" t="n">
        <v>0</v>
      </c>
      <c r="N524" t="n">
        <v>0</v>
      </c>
      <c r="O524" t="n">
        <v>0</v>
      </c>
      <c r="P524" t="n">
        <v>0</v>
      </c>
      <c r="Q524" t="n">
        <v>0</v>
      </c>
      <c r="R524" s="2" t="inlineStr"/>
    </row>
    <row r="525" ht="15" customHeight="1">
      <c r="A525" t="inlineStr">
        <is>
          <t>A 5905-2024</t>
        </is>
      </c>
      <c r="B525" s="1" t="n">
        <v>45335.88993055555</v>
      </c>
      <c r="C525" s="1" t="n">
        <v>45926</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40499-2025</t>
        </is>
      </c>
      <c r="B526" s="1" t="n">
        <v>45896.32517361111</v>
      </c>
      <c r="C526" s="1" t="n">
        <v>45926</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3431-2025</t>
        </is>
      </c>
      <c r="B527" s="1" t="n">
        <v>45680.42935185185</v>
      </c>
      <c r="C527" s="1" t="n">
        <v>45926</v>
      </c>
      <c r="D527" t="inlineStr">
        <is>
          <t>GOTLANDS LÄN</t>
        </is>
      </c>
      <c r="E527" t="inlineStr">
        <is>
          <t>GOTLAND</t>
        </is>
      </c>
      <c r="G527" t="n">
        <v>4.8</v>
      </c>
      <c r="H527" t="n">
        <v>0</v>
      </c>
      <c r="I527" t="n">
        <v>0</v>
      </c>
      <c r="J527" t="n">
        <v>0</v>
      </c>
      <c r="K527" t="n">
        <v>0</v>
      </c>
      <c r="L527" t="n">
        <v>0</v>
      </c>
      <c r="M527" t="n">
        <v>0</v>
      </c>
      <c r="N527" t="n">
        <v>0</v>
      </c>
      <c r="O527" t="n">
        <v>0</v>
      </c>
      <c r="P527" t="n">
        <v>0</v>
      </c>
      <c r="Q527" t="n">
        <v>0</v>
      </c>
      <c r="R527" s="2" t="inlineStr"/>
    </row>
    <row r="528" ht="15" customHeight="1">
      <c r="A528" t="inlineStr">
        <is>
          <t>A 32669-2024</t>
        </is>
      </c>
      <c r="B528" s="1" t="n">
        <v>45514</v>
      </c>
      <c r="C528" s="1" t="n">
        <v>45926</v>
      </c>
      <c r="D528" t="inlineStr">
        <is>
          <t>GOTLANDS LÄN</t>
        </is>
      </c>
      <c r="E528" t="inlineStr">
        <is>
          <t>GOTLAND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34407-2023</t>
        </is>
      </c>
      <c r="B529" s="1" t="n">
        <v>45132</v>
      </c>
      <c r="C529" s="1" t="n">
        <v>45926</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45926</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41551-2025</t>
        </is>
      </c>
      <c r="B531" s="1" t="n">
        <v>45901.58854166666</v>
      </c>
      <c r="C531" s="1" t="n">
        <v>45926</v>
      </c>
      <c r="D531" t="inlineStr">
        <is>
          <t>GOTLANDS LÄN</t>
        </is>
      </c>
      <c r="E531" t="inlineStr">
        <is>
          <t>GOTLAND</t>
        </is>
      </c>
      <c r="G531" t="n">
        <v>5.6</v>
      </c>
      <c r="H531" t="n">
        <v>0</v>
      </c>
      <c r="I531" t="n">
        <v>0</v>
      </c>
      <c r="J531" t="n">
        <v>0</v>
      </c>
      <c r="K531" t="n">
        <v>0</v>
      </c>
      <c r="L531" t="n">
        <v>0</v>
      </c>
      <c r="M531" t="n">
        <v>0</v>
      </c>
      <c r="N531" t="n">
        <v>0</v>
      </c>
      <c r="O531" t="n">
        <v>0</v>
      </c>
      <c r="P531" t="n">
        <v>0</v>
      </c>
      <c r="Q531" t="n">
        <v>0</v>
      </c>
      <c r="R531" s="2" t="inlineStr"/>
    </row>
    <row r="532" ht="15" customHeight="1">
      <c r="A532" t="inlineStr">
        <is>
          <t>A 32958-2021</t>
        </is>
      </c>
      <c r="B532" s="1" t="n">
        <v>44376</v>
      </c>
      <c r="C532" s="1" t="n">
        <v>45926</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35550-2025</t>
        </is>
      </c>
      <c r="B533" s="1" t="n">
        <v>45856.49324074074</v>
      </c>
      <c r="C533" s="1" t="n">
        <v>45926</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12327-2025</t>
        </is>
      </c>
      <c r="B534" s="1" t="n">
        <v>45730</v>
      </c>
      <c r="C534" s="1" t="n">
        <v>45926</v>
      </c>
      <c r="D534" t="inlineStr">
        <is>
          <t>GOTLANDS LÄN</t>
        </is>
      </c>
      <c r="E534" t="inlineStr">
        <is>
          <t>GOTLAND</t>
        </is>
      </c>
      <c r="G534" t="n">
        <v>1.8</v>
      </c>
      <c r="H534" t="n">
        <v>0</v>
      </c>
      <c r="I534" t="n">
        <v>0</v>
      </c>
      <c r="J534" t="n">
        <v>0</v>
      </c>
      <c r="K534" t="n">
        <v>0</v>
      </c>
      <c r="L534" t="n">
        <v>0</v>
      </c>
      <c r="M534" t="n">
        <v>0</v>
      </c>
      <c r="N534" t="n">
        <v>0</v>
      </c>
      <c r="O534" t="n">
        <v>0</v>
      </c>
      <c r="P534" t="n">
        <v>0</v>
      </c>
      <c r="Q534" t="n">
        <v>0</v>
      </c>
      <c r="R534" s="2" t="inlineStr"/>
    </row>
    <row r="535" ht="15" customHeight="1">
      <c r="A535" t="inlineStr">
        <is>
          <t>A 4420-2025</t>
        </is>
      </c>
      <c r="B535" s="1" t="n">
        <v>45686.47157407407</v>
      </c>
      <c r="C535" s="1" t="n">
        <v>45926</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40235-2025</t>
        </is>
      </c>
      <c r="B536" s="1" t="n">
        <v>45894.74005787037</v>
      </c>
      <c r="C536" s="1" t="n">
        <v>45926</v>
      </c>
      <c r="D536" t="inlineStr">
        <is>
          <t>GOTLANDS LÄN</t>
        </is>
      </c>
      <c r="E536" t="inlineStr">
        <is>
          <t>GOTLAND</t>
        </is>
      </c>
      <c r="G536" t="n">
        <v>10.6</v>
      </c>
      <c r="H536" t="n">
        <v>0</v>
      </c>
      <c r="I536" t="n">
        <v>0</v>
      </c>
      <c r="J536" t="n">
        <v>0</v>
      </c>
      <c r="K536" t="n">
        <v>0</v>
      </c>
      <c r="L536" t="n">
        <v>0</v>
      </c>
      <c r="M536" t="n">
        <v>0</v>
      </c>
      <c r="N536" t="n">
        <v>0</v>
      </c>
      <c r="O536" t="n">
        <v>0</v>
      </c>
      <c r="P536" t="n">
        <v>0</v>
      </c>
      <c r="Q536" t="n">
        <v>0</v>
      </c>
      <c r="R536" s="2" t="inlineStr"/>
    </row>
    <row r="537" ht="15" customHeight="1">
      <c r="A537" t="inlineStr">
        <is>
          <t>A 35537-2025</t>
        </is>
      </c>
      <c r="B537" s="1" t="n">
        <v>45856</v>
      </c>
      <c r="C537" s="1" t="n">
        <v>45926</v>
      </c>
      <c r="D537" t="inlineStr">
        <is>
          <t>GOTLANDS LÄN</t>
        </is>
      </c>
      <c r="E537" t="inlineStr">
        <is>
          <t>GOTLAND</t>
        </is>
      </c>
      <c r="G537" t="n">
        <v>16.8</v>
      </c>
      <c r="H537" t="n">
        <v>0</v>
      </c>
      <c r="I537" t="n">
        <v>0</v>
      </c>
      <c r="J537" t="n">
        <v>0</v>
      </c>
      <c r="K537" t="n">
        <v>0</v>
      </c>
      <c r="L537" t="n">
        <v>0</v>
      </c>
      <c r="M537" t="n">
        <v>0</v>
      </c>
      <c r="N537" t="n">
        <v>0</v>
      </c>
      <c r="O537" t="n">
        <v>0</v>
      </c>
      <c r="P537" t="n">
        <v>0</v>
      </c>
      <c r="Q537" t="n">
        <v>0</v>
      </c>
      <c r="R537" s="2" t="inlineStr"/>
    </row>
    <row r="538" ht="15" customHeight="1">
      <c r="A538" t="inlineStr">
        <is>
          <t>A 41435-2025</t>
        </is>
      </c>
      <c r="B538" s="1" t="n">
        <v>45901.39974537037</v>
      </c>
      <c r="C538" s="1" t="n">
        <v>45926</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7858-2025</t>
        </is>
      </c>
      <c r="B539" s="1" t="n">
        <v>45706.68633101852</v>
      </c>
      <c r="C539" s="1" t="n">
        <v>45926</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46545-2024</t>
        </is>
      </c>
      <c r="B540" s="1" t="n">
        <v>45582.65831018519</v>
      </c>
      <c r="C540" s="1" t="n">
        <v>45926</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14427-2024</t>
        </is>
      </c>
      <c r="B541" s="1" t="n">
        <v>45394</v>
      </c>
      <c r="C541" s="1" t="n">
        <v>45926</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999-2023</t>
        </is>
      </c>
      <c r="B542" s="1" t="n">
        <v>44935</v>
      </c>
      <c r="C542" s="1" t="n">
        <v>45926</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1364-2025</t>
        </is>
      </c>
      <c r="B543" s="1" t="n">
        <v>45667.63929398148</v>
      </c>
      <c r="C543" s="1" t="n">
        <v>45926</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2125-2025</t>
        </is>
      </c>
      <c r="B544" s="1" t="n">
        <v>45672.64940972222</v>
      </c>
      <c r="C544" s="1" t="n">
        <v>45926</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45926</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14141-2024</t>
        </is>
      </c>
      <c r="B546" s="1" t="n">
        <v>45392.85193287037</v>
      </c>
      <c r="C546" s="1" t="n">
        <v>45926</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12155-2023</t>
        </is>
      </c>
      <c r="B547" s="1" t="n">
        <v>44998.49106481481</v>
      </c>
      <c r="C547" s="1" t="n">
        <v>45926</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42608-2025</t>
        </is>
      </c>
      <c r="B548" s="1" t="n">
        <v>45905</v>
      </c>
      <c r="C548" s="1" t="n">
        <v>45926</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49257-2024</t>
        </is>
      </c>
      <c r="B549" s="1" t="n">
        <v>45595.47627314815</v>
      </c>
      <c r="C549" s="1" t="n">
        <v>45926</v>
      </c>
      <c r="D549" t="inlineStr">
        <is>
          <t>GOTLANDS LÄN</t>
        </is>
      </c>
      <c r="E549" t="inlineStr">
        <is>
          <t>GOTLAND</t>
        </is>
      </c>
      <c r="G549" t="n">
        <v>6.3</v>
      </c>
      <c r="H549" t="n">
        <v>0</v>
      </c>
      <c r="I549" t="n">
        <v>0</v>
      </c>
      <c r="J549" t="n">
        <v>0</v>
      </c>
      <c r="K549" t="n">
        <v>0</v>
      </c>
      <c r="L549" t="n">
        <v>0</v>
      </c>
      <c r="M549" t="n">
        <v>0</v>
      </c>
      <c r="N549" t="n">
        <v>0</v>
      </c>
      <c r="O549" t="n">
        <v>0</v>
      </c>
      <c r="P549" t="n">
        <v>0</v>
      </c>
      <c r="Q549" t="n">
        <v>0</v>
      </c>
      <c r="R549" s="2" t="inlineStr"/>
    </row>
    <row r="550" ht="15" customHeight="1">
      <c r="A550" t="inlineStr">
        <is>
          <t>A 49315-2024</t>
        </is>
      </c>
      <c r="B550" s="1" t="n">
        <v>45595</v>
      </c>
      <c r="C550" s="1" t="n">
        <v>45926</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2774-2024</t>
        </is>
      </c>
      <c r="B551" s="1" t="n">
        <v>45314.62375</v>
      </c>
      <c r="C551" s="1" t="n">
        <v>45926</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9947-2024</t>
        </is>
      </c>
      <c r="B552" s="1" t="n">
        <v>45363</v>
      </c>
      <c r="C552" s="1" t="n">
        <v>45926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45926</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2292-2021</t>
        </is>
      </c>
      <c r="B554" s="1" t="n">
        <v>44212</v>
      </c>
      <c r="C554" s="1" t="n">
        <v>45926</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30488-2025</t>
        </is>
      </c>
      <c r="B555" s="1" t="n">
        <v>45830</v>
      </c>
      <c r="C555" s="1" t="n">
        <v>45926</v>
      </c>
      <c r="D555" t="inlineStr">
        <is>
          <t>GOTLANDS LÄN</t>
        </is>
      </c>
      <c r="E555" t="inlineStr">
        <is>
          <t>GOTLAND</t>
        </is>
      </c>
      <c r="F555" t="inlineStr">
        <is>
          <t>Kyrkan</t>
        </is>
      </c>
      <c r="G555" t="n">
        <v>3.9</v>
      </c>
      <c r="H555" t="n">
        <v>0</v>
      </c>
      <c r="I555" t="n">
        <v>0</v>
      </c>
      <c r="J555" t="n">
        <v>0</v>
      </c>
      <c r="K555" t="n">
        <v>0</v>
      </c>
      <c r="L555" t="n">
        <v>0</v>
      </c>
      <c r="M555" t="n">
        <v>0</v>
      </c>
      <c r="N555" t="n">
        <v>0</v>
      </c>
      <c r="O555" t="n">
        <v>0</v>
      </c>
      <c r="P555" t="n">
        <v>0</v>
      </c>
      <c r="Q555" t="n">
        <v>0</v>
      </c>
      <c r="R555" s="2" t="inlineStr"/>
    </row>
    <row r="556" ht="15" customHeight="1">
      <c r="A556" t="inlineStr">
        <is>
          <t>A 15216-2025</t>
        </is>
      </c>
      <c r="B556" s="1" t="n">
        <v>45744</v>
      </c>
      <c r="C556" s="1" t="n">
        <v>45926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15001-2025</t>
        </is>
      </c>
      <c r="B557" s="1" t="n">
        <v>45743</v>
      </c>
      <c r="C557" s="1" t="n">
        <v>45926</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43790-2024</t>
        </is>
      </c>
      <c r="B558" s="1" t="n">
        <v>45571</v>
      </c>
      <c r="C558" s="1" t="n">
        <v>45926</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17847-2025</t>
        </is>
      </c>
      <c r="B559" s="1" t="n">
        <v>45758</v>
      </c>
      <c r="C559" s="1" t="n">
        <v>45926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36319-2025</t>
        </is>
      </c>
      <c r="B560" s="1" t="n">
        <v>45868</v>
      </c>
      <c r="C560" s="1" t="n">
        <v>45926</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42607-2025</t>
        </is>
      </c>
      <c r="B561" s="1" t="n">
        <v>45905</v>
      </c>
      <c r="C561" s="1" t="n">
        <v>45926</v>
      </c>
      <c r="D561" t="inlineStr">
        <is>
          <t>GOTLANDS LÄN</t>
        </is>
      </c>
      <c r="E561" t="inlineStr">
        <is>
          <t>GOTLAND</t>
        </is>
      </c>
      <c r="G561" t="n">
        <v>15.8</v>
      </c>
      <c r="H561" t="n">
        <v>0</v>
      </c>
      <c r="I561" t="n">
        <v>0</v>
      </c>
      <c r="J561" t="n">
        <v>0</v>
      </c>
      <c r="K561" t="n">
        <v>0</v>
      </c>
      <c r="L561" t="n">
        <v>0</v>
      </c>
      <c r="M561" t="n">
        <v>0</v>
      </c>
      <c r="N561" t="n">
        <v>0</v>
      </c>
      <c r="O561" t="n">
        <v>0</v>
      </c>
      <c r="P561" t="n">
        <v>0</v>
      </c>
      <c r="Q561" t="n">
        <v>0</v>
      </c>
      <c r="R561" s="2" t="inlineStr"/>
    </row>
    <row r="562" ht="15" customHeight="1">
      <c r="A562" t="inlineStr">
        <is>
          <t>A 18742-2025</t>
        </is>
      </c>
      <c r="B562" s="1" t="n">
        <v>45763</v>
      </c>
      <c r="C562" s="1" t="n">
        <v>45926</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35129-2025</t>
        </is>
      </c>
      <c r="B563" s="1" t="n">
        <v>45852.63224537037</v>
      </c>
      <c r="C563" s="1" t="n">
        <v>45926</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44304-2021</t>
        </is>
      </c>
      <c r="B564" s="1" t="n">
        <v>44434</v>
      </c>
      <c r="C564" s="1" t="n">
        <v>45926</v>
      </c>
      <c r="D564" t="inlineStr">
        <is>
          <t>GOTLANDS LÄN</t>
        </is>
      </c>
      <c r="E564" t="inlineStr">
        <is>
          <t>GOTLAND</t>
        </is>
      </c>
      <c r="G564" t="n">
        <v>5.8</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45926</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56115-2023</t>
        </is>
      </c>
      <c r="B566" s="1" t="n">
        <v>45236</v>
      </c>
      <c r="C566" s="1" t="n">
        <v>45926</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64969-2023</t>
        </is>
      </c>
      <c r="B567" s="1" t="n">
        <v>45284.54009259259</v>
      </c>
      <c r="C567" s="1" t="n">
        <v>45926</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33853-2024</t>
        </is>
      </c>
      <c r="B568" s="1" t="n">
        <v>45520.64298611111</v>
      </c>
      <c r="C568" s="1" t="n">
        <v>45926</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45926</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18223-2025</t>
        </is>
      </c>
      <c r="B570" s="1" t="n">
        <v>45761</v>
      </c>
      <c r="C570" s="1" t="n">
        <v>45926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46949-2024</t>
        </is>
      </c>
      <c r="B571" s="1" t="n">
        <v>45585</v>
      </c>
      <c r="C571" s="1" t="n">
        <v>45926</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24001-2021</t>
        </is>
      </c>
      <c r="B572" s="1" t="n">
        <v>44335</v>
      </c>
      <c r="C572" s="1" t="n">
        <v>45926</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43951-2025</t>
        </is>
      </c>
      <c r="B573" s="1" t="n">
        <v>45915.38119212963</v>
      </c>
      <c r="C573" s="1" t="n">
        <v>45926</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39479-2022</t>
        </is>
      </c>
      <c r="B574" s="1" t="n">
        <v>44818</v>
      </c>
      <c r="C574" s="1" t="n">
        <v>45926</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39496-2022</t>
        </is>
      </c>
      <c r="B575" s="1" t="n">
        <v>44818</v>
      </c>
      <c r="C575" s="1" t="n">
        <v>45926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10652-2025</t>
        </is>
      </c>
      <c r="B576" s="1" t="n">
        <v>45721.68640046296</v>
      </c>
      <c r="C576" s="1" t="n">
        <v>45926</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43911-2025</t>
        </is>
      </c>
      <c r="B577" s="1" t="n">
        <v>45914.3881712963</v>
      </c>
      <c r="C577" s="1" t="n">
        <v>45926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10813-2025</t>
        </is>
      </c>
      <c r="B578" s="1" t="n">
        <v>45722.54163194444</v>
      </c>
      <c r="C578" s="1" t="n">
        <v>45926</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1066-2024</t>
        </is>
      </c>
      <c r="B579" s="1" t="n">
        <v>45302.285</v>
      </c>
      <c r="C579" s="1" t="n">
        <v>45926</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37202-2024</t>
        </is>
      </c>
      <c r="B580" s="1" t="n">
        <v>45539.67310185185</v>
      </c>
      <c r="C580" s="1" t="n">
        <v>45926</v>
      </c>
      <c r="D580" t="inlineStr">
        <is>
          <t>GOTLANDS LÄN</t>
        </is>
      </c>
      <c r="E580" t="inlineStr">
        <is>
          <t>GOTLAND</t>
        </is>
      </c>
      <c r="G580" t="n">
        <v>0.3</v>
      </c>
      <c r="H580" t="n">
        <v>0</v>
      </c>
      <c r="I580" t="n">
        <v>0</v>
      </c>
      <c r="J580" t="n">
        <v>0</v>
      </c>
      <c r="K580" t="n">
        <v>0</v>
      </c>
      <c r="L580" t="n">
        <v>0</v>
      </c>
      <c r="M580" t="n">
        <v>0</v>
      </c>
      <c r="N580" t="n">
        <v>0</v>
      </c>
      <c r="O580" t="n">
        <v>0</v>
      </c>
      <c r="P580" t="n">
        <v>0</v>
      </c>
      <c r="Q580" t="n">
        <v>0</v>
      </c>
      <c r="R580" s="2" t="inlineStr"/>
    </row>
    <row r="581" ht="15" customHeight="1">
      <c r="A581" t="inlineStr">
        <is>
          <t>A 44405-2025</t>
        </is>
      </c>
      <c r="B581" s="1" t="n">
        <v>45916.52405092592</v>
      </c>
      <c r="C581" s="1" t="n">
        <v>45926</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46389-2021</t>
        </is>
      </c>
      <c r="B582" s="1" t="n">
        <v>44443</v>
      </c>
      <c r="C582" s="1" t="n">
        <v>45926</v>
      </c>
      <c r="D582" t="inlineStr">
        <is>
          <t>GOTLANDS LÄN</t>
        </is>
      </c>
      <c r="E582" t="inlineStr">
        <is>
          <t>GOTLAND</t>
        </is>
      </c>
      <c r="F582" t="inlineStr">
        <is>
          <t>Kyrkan</t>
        </is>
      </c>
      <c r="G582" t="n">
        <v>2.1</v>
      </c>
      <c r="H582" t="n">
        <v>0</v>
      </c>
      <c r="I582" t="n">
        <v>0</v>
      </c>
      <c r="J582" t="n">
        <v>0</v>
      </c>
      <c r="K582" t="n">
        <v>0</v>
      </c>
      <c r="L582" t="n">
        <v>0</v>
      </c>
      <c r="M582" t="n">
        <v>0</v>
      </c>
      <c r="N582" t="n">
        <v>0</v>
      </c>
      <c r="O582" t="n">
        <v>0</v>
      </c>
      <c r="P582" t="n">
        <v>0</v>
      </c>
      <c r="Q582" t="n">
        <v>0</v>
      </c>
      <c r="R582" s="2" t="inlineStr"/>
    </row>
    <row r="583" ht="15" customHeight="1">
      <c r="A583" t="inlineStr">
        <is>
          <t>A 30815-2023</t>
        </is>
      </c>
      <c r="B583" s="1" t="n">
        <v>45112</v>
      </c>
      <c r="C583" s="1" t="n">
        <v>45926</v>
      </c>
      <c r="D583" t="inlineStr">
        <is>
          <t>GOTLANDS LÄN</t>
        </is>
      </c>
      <c r="E583" t="inlineStr">
        <is>
          <t>GOTLAND</t>
        </is>
      </c>
      <c r="G583" t="n">
        <v>6</v>
      </c>
      <c r="H583" t="n">
        <v>0</v>
      </c>
      <c r="I583" t="n">
        <v>0</v>
      </c>
      <c r="J583" t="n">
        <v>0</v>
      </c>
      <c r="K583" t="n">
        <v>0</v>
      </c>
      <c r="L583" t="n">
        <v>0</v>
      </c>
      <c r="M583" t="n">
        <v>0</v>
      </c>
      <c r="N583" t="n">
        <v>0</v>
      </c>
      <c r="O583" t="n">
        <v>0</v>
      </c>
      <c r="P583" t="n">
        <v>0</v>
      </c>
      <c r="Q583" t="n">
        <v>0</v>
      </c>
      <c r="R583" s="2" t="inlineStr"/>
    </row>
    <row r="584" ht="15" customHeight="1">
      <c r="A584" t="inlineStr">
        <is>
          <t>A 46400-2023</t>
        </is>
      </c>
      <c r="B584" s="1" t="n">
        <v>45197.49290509259</v>
      </c>
      <c r="C584" s="1" t="n">
        <v>45926</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44410-2025</t>
        </is>
      </c>
      <c r="B585" s="1" t="n">
        <v>45916.53699074074</v>
      </c>
      <c r="C585" s="1" t="n">
        <v>45926</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10492-2023</t>
        </is>
      </c>
      <c r="B586" s="1" t="n">
        <v>44987</v>
      </c>
      <c r="C586" s="1" t="n">
        <v>45926</v>
      </c>
      <c r="D586" t="inlineStr">
        <is>
          <t>GOTLANDS LÄN</t>
        </is>
      </c>
      <c r="E586" t="inlineStr">
        <is>
          <t>GOTLAND</t>
        </is>
      </c>
      <c r="G586" t="n">
        <v>1</v>
      </c>
      <c r="H586" t="n">
        <v>0</v>
      </c>
      <c r="I586" t="n">
        <v>0</v>
      </c>
      <c r="J586" t="n">
        <v>0</v>
      </c>
      <c r="K586" t="n">
        <v>0</v>
      </c>
      <c r="L586" t="n">
        <v>0</v>
      </c>
      <c r="M586" t="n">
        <v>0</v>
      </c>
      <c r="N586" t="n">
        <v>0</v>
      </c>
      <c r="O586" t="n">
        <v>0</v>
      </c>
      <c r="P586" t="n">
        <v>0</v>
      </c>
      <c r="Q586" t="n">
        <v>0</v>
      </c>
      <c r="R586" s="2" t="inlineStr"/>
    </row>
    <row r="587" ht="15" customHeight="1">
      <c r="A587" t="inlineStr">
        <is>
          <t>A 44949-2023</t>
        </is>
      </c>
      <c r="B587" s="1" t="n">
        <v>45190.69520833333</v>
      </c>
      <c r="C587" s="1" t="n">
        <v>45926</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17682-2024</t>
        </is>
      </c>
      <c r="B588" s="1" t="n">
        <v>45418.42966435185</v>
      </c>
      <c r="C588" s="1" t="n">
        <v>45926</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61897-2024</t>
        </is>
      </c>
      <c r="B589" s="1" t="n">
        <v>45652.75685185185</v>
      </c>
      <c r="C589" s="1" t="n">
        <v>45926</v>
      </c>
      <c r="D589" t="inlineStr">
        <is>
          <t>GOTLANDS LÄN</t>
        </is>
      </c>
      <c r="E589" t="inlineStr">
        <is>
          <t>GOTLAND</t>
        </is>
      </c>
      <c r="G589" t="n">
        <v>6.4</v>
      </c>
      <c r="H589" t="n">
        <v>0</v>
      </c>
      <c r="I589" t="n">
        <v>0</v>
      </c>
      <c r="J589" t="n">
        <v>0</v>
      </c>
      <c r="K589" t="n">
        <v>0</v>
      </c>
      <c r="L589" t="n">
        <v>0</v>
      </c>
      <c r="M589" t="n">
        <v>0</v>
      </c>
      <c r="N589" t="n">
        <v>0</v>
      </c>
      <c r="O589" t="n">
        <v>0</v>
      </c>
      <c r="P589" t="n">
        <v>0</v>
      </c>
      <c r="Q589" t="n">
        <v>0</v>
      </c>
      <c r="R589" s="2" t="inlineStr"/>
    </row>
    <row r="590" ht="15" customHeight="1">
      <c r="A590" t="inlineStr">
        <is>
          <t>A 44919-2022</t>
        </is>
      </c>
      <c r="B590" s="1" t="n">
        <v>44841</v>
      </c>
      <c r="C590" s="1" t="n">
        <v>45926</v>
      </c>
      <c r="D590" t="inlineStr">
        <is>
          <t>GOTLANDS LÄN</t>
        </is>
      </c>
      <c r="E590" t="inlineStr">
        <is>
          <t>GOTLAND</t>
        </is>
      </c>
      <c r="G590" t="n">
        <v>2.2</v>
      </c>
      <c r="H590" t="n">
        <v>0</v>
      </c>
      <c r="I590" t="n">
        <v>0</v>
      </c>
      <c r="J590" t="n">
        <v>0</v>
      </c>
      <c r="K590" t="n">
        <v>0</v>
      </c>
      <c r="L590" t="n">
        <v>0</v>
      </c>
      <c r="M590" t="n">
        <v>0</v>
      </c>
      <c r="N590" t="n">
        <v>0</v>
      </c>
      <c r="O590" t="n">
        <v>0</v>
      </c>
      <c r="P590" t="n">
        <v>0</v>
      </c>
      <c r="Q590" t="n">
        <v>0</v>
      </c>
      <c r="R590" s="2" t="inlineStr"/>
    </row>
    <row r="591" ht="15" customHeight="1">
      <c r="A591" t="inlineStr">
        <is>
          <t>A 12032-2025</t>
        </is>
      </c>
      <c r="B591" s="1" t="n">
        <v>45728.64472222222</v>
      </c>
      <c r="C591" s="1" t="n">
        <v>45926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10158-2025</t>
        </is>
      </c>
      <c r="B592" s="1" t="n">
        <v>45719</v>
      </c>
      <c r="C592" s="1" t="n">
        <v>45926</v>
      </c>
      <c r="D592" t="inlineStr">
        <is>
          <t>GOTLANDS LÄN</t>
        </is>
      </c>
      <c r="E592" t="inlineStr">
        <is>
          <t>GOTLAND</t>
        </is>
      </c>
      <c r="G592" t="n">
        <v>3.5</v>
      </c>
      <c r="H592" t="n">
        <v>0</v>
      </c>
      <c r="I592" t="n">
        <v>0</v>
      </c>
      <c r="J592" t="n">
        <v>0</v>
      </c>
      <c r="K592" t="n">
        <v>0</v>
      </c>
      <c r="L592" t="n">
        <v>0</v>
      </c>
      <c r="M592" t="n">
        <v>0</v>
      </c>
      <c r="N592" t="n">
        <v>0</v>
      </c>
      <c r="O592" t="n">
        <v>0</v>
      </c>
      <c r="P592" t="n">
        <v>0</v>
      </c>
      <c r="Q592" t="n">
        <v>0</v>
      </c>
      <c r="R592" s="2" t="inlineStr"/>
    </row>
    <row r="593" ht="15" customHeight="1">
      <c r="A593" t="inlineStr">
        <is>
          <t>A 16501-2023</t>
        </is>
      </c>
      <c r="B593" s="1" t="n">
        <v>45029</v>
      </c>
      <c r="C593" s="1" t="n">
        <v>45926</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45926</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45926</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45926</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45926</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45536-2025</t>
        </is>
      </c>
      <c r="B598" s="1" t="n">
        <v>45922</v>
      </c>
      <c r="C598" s="1" t="n">
        <v>45926</v>
      </c>
      <c r="D598" t="inlineStr">
        <is>
          <t>GOTLANDS LÄN</t>
        </is>
      </c>
      <c r="E598" t="inlineStr">
        <is>
          <t>GOTLAND</t>
        </is>
      </c>
      <c r="G598" t="n">
        <v>10.4</v>
      </c>
      <c r="H598" t="n">
        <v>0</v>
      </c>
      <c r="I598" t="n">
        <v>0</v>
      </c>
      <c r="J598" t="n">
        <v>0</v>
      </c>
      <c r="K598" t="n">
        <v>0</v>
      </c>
      <c r="L598" t="n">
        <v>0</v>
      </c>
      <c r="M598" t="n">
        <v>0</v>
      </c>
      <c r="N598" t="n">
        <v>0</v>
      </c>
      <c r="O598" t="n">
        <v>0</v>
      </c>
      <c r="P598" t="n">
        <v>0</v>
      </c>
      <c r="Q598" t="n">
        <v>0</v>
      </c>
      <c r="R598" s="2" t="inlineStr"/>
    </row>
    <row r="599" ht="15" customHeight="1">
      <c r="A599" t="inlineStr">
        <is>
          <t>A 17343-2025</t>
        </is>
      </c>
      <c r="B599" s="1" t="n">
        <v>45756.6687037037</v>
      </c>
      <c r="C599" s="1" t="n">
        <v>45926</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18938-2025</t>
        </is>
      </c>
      <c r="B600" s="1" t="n">
        <v>45764.49172453704</v>
      </c>
      <c r="C600" s="1" t="n">
        <v>45926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c r="A601" t="inlineStr">
        <is>
          <t>A 20307-2025</t>
        </is>
      </c>
      <c r="B601" s="1" t="n">
        <v>45774.95546296296</v>
      </c>
      <c r="C601" s="1" t="n">
        <v>45926</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2025-09-26T11:59:44Z</dcterms:created>
  <dcterms:modified xmlns:dcterms="http://purl.org/dc/terms/" xmlns:xsi="http://www.w3.org/2001/XMLSchema-instance" xsi:type="dcterms:W3CDTF">2025-09-26T11:59:44Z</dcterms:modified>
</cp:coreProperties>
</file>