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45809</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45809</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45809</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45809</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3475-2025</t>
        </is>
      </c>
      <c r="B56" s="1" t="n">
        <v>45680</v>
      </c>
      <c r="C56" s="1" t="n">
        <v>45809</v>
      </c>
      <c r="D56" t="inlineStr">
        <is>
          <t>GOTLANDS LÄN</t>
        </is>
      </c>
      <c r="E56" t="inlineStr">
        <is>
          <t>GOTLAND</t>
        </is>
      </c>
      <c r="G56" t="n">
        <v>4.6</v>
      </c>
      <c r="H56" t="n">
        <v>2</v>
      </c>
      <c r="I56" t="n">
        <v>3</v>
      </c>
      <c r="J56" t="n">
        <v>2</v>
      </c>
      <c r="K56" t="n">
        <v>2</v>
      </c>
      <c r="L56" t="n">
        <v>0</v>
      </c>
      <c r="M56" t="n">
        <v>0</v>
      </c>
      <c r="N56" t="n">
        <v>0</v>
      </c>
      <c r="O56" t="n">
        <v>5</v>
      </c>
      <c r="P56" t="n">
        <v>2</v>
      </c>
      <c r="Q56" t="n">
        <v>9</v>
      </c>
      <c r="R56" s="2" t="inlineStr">
        <is>
          <t>Gulsträngad fagerspindling
Tvillingspindling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row>
    <row r="57" ht="15" customHeight="1">
      <c r="A57" t="inlineStr">
        <is>
          <t>A 15850-2025</t>
        </is>
      </c>
      <c r="B57" s="1" t="n">
        <v>45749</v>
      </c>
      <c r="C57" s="1" t="n">
        <v>45809</v>
      </c>
      <c r="D57" t="inlineStr">
        <is>
          <t>GOTLANDS LÄN</t>
        </is>
      </c>
      <c r="E57" t="inlineStr">
        <is>
          <t>GOTLAND</t>
        </is>
      </c>
      <c r="G57" t="n">
        <v>5.1</v>
      </c>
      <c r="H57" t="n">
        <v>2</v>
      </c>
      <c r="I57" t="n">
        <v>3</v>
      </c>
      <c r="J57" t="n">
        <v>2</v>
      </c>
      <c r="K57" t="n">
        <v>2</v>
      </c>
      <c r="L57" t="n">
        <v>0</v>
      </c>
      <c r="M57" t="n">
        <v>0</v>
      </c>
      <c r="N57" t="n">
        <v>0</v>
      </c>
      <c r="O57" t="n">
        <v>5</v>
      </c>
      <c r="P57" t="n">
        <v>2</v>
      </c>
      <c r="Q57" t="n">
        <v>9</v>
      </c>
      <c r="R57" s="2" t="inlineStr">
        <is>
          <t>Gulsträngad fagerspindling
Tvillingspindling
Odörspindling
Svinrot
Trollspindling
Anisspindling
Mindre märgborre
Skogsknipprot
Sankt pers nycklar</t>
        </is>
      </c>
      <c r="S57">
        <f>HYPERLINK("https://klasma.github.io/Logging_090980/artfynd/A 15850-2025 artfynd.xlsx", "A 15850-2025")</f>
        <v/>
      </c>
      <c r="T57">
        <f>HYPERLINK("https://klasma.github.io/Logging_090980/kartor/A 15850-2025 karta.png", "A 15850-2025")</f>
        <v/>
      </c>
      <c r="V57">
        <f>HYPERLINK("https://klasma.github.io/Logging_090980/klagomål/A 15850-2025 FSC-klagomål.docx", "A 15850-2025")</f>
        <v/>
      </c>
      <c r="W57">
        <f>HYPERLINK("https://klasma.github.io/Logging_090980/klagomålsmail/A 15850-2025 FSC-klagomål mail.docx", "A 15850-2025")</f>
        <v/>
      </c>
      <c r="X57">
        <f>HYPERLINK("https://klasma.github.io/Logging_090980/tillsyn/A 15850-2025 tillsynsbegäran.docx", "A 15850-2025")</f>
        <v/>
      </c>
      <c r="Y57">
        <f>HYPERLINK("https://klasma.github.io/Logging_090980/tillsynsmail/A 15850-2025 tillsynsbegäran mail.docx", "A 15850-2025")</f>
        <v/>
      </c>
    </row>
    <row r="58" ht="15" customHeight="1">
      <c r="A58" t="inlineStr">
        <is>
          <t>A 32960-2019</t>
        </is>
      </c>
      <c r="B58" s="1" t="n">
        <v>43648</v>
      </c>
      <c r="C58" s="1" t="n">
        <v>45809</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45809</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45809</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45809</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45809</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45809</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45809</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45809</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45809</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45809</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45809</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45809</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45809</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45809</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45809</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45809</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45809</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45809</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45809</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45809</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45809</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45809</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45809</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45809</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45809</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45809</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45809</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45809</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45809</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45809</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45809</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45809</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45809</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45809</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45809</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45809</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45809</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45809</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45809</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45809</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45809</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45809</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45809</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45809</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45809</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45809</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45809</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45809</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45809</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45809</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45809</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45809</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45809</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45809</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45809</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45809</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45809</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45809</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45809</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45809</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45809</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45809</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45809</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45809</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45809</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45809</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45809</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45809</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45809</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45809</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45809</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45809</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45809</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45809</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45809</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45809</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45809</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45809</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45809</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45809</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45809</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45809</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45809</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45809</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45809</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45809</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45809</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45809</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45809</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45809</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45809</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45809</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45809</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45809</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45809</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45809</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45809</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45809</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45809</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45809</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45809</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45809</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45809</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45809</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45809</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45809</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45809</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45809</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45809</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45809</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45809</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45809</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45809</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45809</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45809</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45809</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45809</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45809</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45809</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45809</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45809</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45809</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45809</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45809</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45809</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45809</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45809</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45809</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45809</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45809</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45809</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45809</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45809</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45809</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45809</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45809</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45809</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45809</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45809</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45809</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45809</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45809</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45809</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45809</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45809</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45809</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45809</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45809</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45809</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45809</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45809</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45809</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45809</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45809</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45809</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45809</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45809</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45809</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45809</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45809</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45809</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45809</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45809</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45809</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45809</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45809</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45809</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45809</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45809</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45809</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45809</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45809</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45809</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45809</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45809</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45809</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45809</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45809</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45809</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45809</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45809</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45809</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45809</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45809</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45809</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45809</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45809</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45809</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45809</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45809</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45809</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45809</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45809</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45809</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45809</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45809</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45809</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45809</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45809</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45809</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45809</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45809</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45809</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45809</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45809</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45809</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45809</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45809</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45809</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45809</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45809</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45809</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45809</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45809</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45809</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45809</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45809</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45809</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45809</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45809</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45809</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45809</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45809</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45809</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45809</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45809</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45809</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45809</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45809</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45809</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45809</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45809</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45809</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45809</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26461-2025</t>
        </is>
      </c>
      <c r="B293" s="1" t="n">
        <v>45807</v>
      </c>
      <c r="C293" s="1" t="n">
        <v>45809</v>
      </c>
      <c r="D293" t="inlineStr">
        <is>
          <t>GOTLANDS LÄN</t>
        </is>
      </c>
      <c r="E293" t="inlineStr">
        <is>
          <t>GOTLAND</t>
        </is>
      </c>
      <c r="G293" t="n">
        <v>4.1</v>
      </c>
      <c r="H293" t="n">
        <v>0</v>
      </c>
      <c r="I293" t="n">
        <v>0</v>
      </c>
      <c r="J293" t="n">
        <v>0</v>
      </c>
      <c r="K293" t="n">
        <v>1</v>
      </c>
      <c r="L293" t="n">
        <v>0</v>
      </c>
      <c r="M293" t="n">
        <v>0</v>
      </c>
      <c r="N293" t="n">
        <v>0</v>
      </c>
      <c r="O293" t="n">
        <v>1</v>
      </c>
      <c r="P293" t="n">
        <v>1</v>
      </c>
      <c r="Q293" t="n">
        <v>1</v>
      </c>
      <c r="R293" s="2" t="inlineStr">
        <is>
          <t>Gotlandsmåra</t>
        </is>
      </c>
      <c r="S293">
        <f>HYPERLINK("https://klasma.github.io/Logging_090980/artfynd/A 26461-2025 artfynd.xlsx", "A 26461-2025")</f>
        <v/>
      </c>
      <c r="T293">
        <f>HYPERLINK("https://klasma.github.io/Logging_090980/kartor/A 26461-2025 karta.png", "A 26461-2025")</f>
        <v/>
      </c>
      <c r="V293">
        <f>HYPERLINK("https://klasma.github.io/Logging_090980/klagomål/A 26461-2025 FSC-klagomål.docx", "A 26461-2025")</f>
        <v/>
      </c>
      <c r="W293">
        <f>HYPERLINK("https://klasma.github.io/Logging_090980/klagomålsmail/A 26461-2025 FSC-klagomål mail.docx", "A 26461-2025")</f>
        <v/>
      </c>
      <c r="X293">
        <f>HYPERLINK("https://klasma.github.io/Logging_090980/tillsyn/A 26461-2025 tillsynsbegäran.docx", "A 26461-2025")</f>
        <v/>
      </c>
      <c r="Y293">
        <f>HYPERLINK("https://klasma.github.io/Logging_090980/tillsynsmail/A 26461-2025 tillsynsbegäran mail.docx", "A 26461-2025")</f>
        <v/>
      </c>
    </row>
    <row r="294" ht="15" customHeight="1">
      <c r="A294" t="inlineStr">
        <is>
          <t>A 19159-2019</t>
        </is>
      </c>
      <c r="B294" s="1" t="n">
        <v>43564</v>
      </c>
      <c r="C294" s="1" t="n">
        <v>45809</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21380-2019</t>
        </is>
      </c>
      <c r="B295" s="1" t="n">
        <v>43579</v>
      </c>
      <c r="C295" s="1" t="n">
        <v>45809</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21894-2019</t>
        </is>
      </c>
      <c r="B296" s="1" t="n">
        <v>43584</v>
      </c>
      <c r="C296" s="1" t="n">
        <v>45809</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21925-2019</t>
        </is>
      </c>
      <c r="B297" s="1" t="n">
        <v>43584</v>
      </c>
      <c r="C297" s="1" t="n">
        <v>45809</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22457-2019</t>
        </is>
      </c>
      <c r="B298" s="1" t="n">
        <v>43587</v>
      </c>
      <c r="C298" s="1" t="n">
        <v>45809</v>
      </c>
      <c r="D298" t="inlineStr">
        <is>
          <t>GOTLANDS LÄN</t>
        </is>
      </c>
      <c r="E298" t="inlineStr">
        <is>
          <t>GOTLAND</t>
        </is>
      </c>
      <c r="G298" t="n">
        <v>0.3</v>
      </c>
      <c r="H298" t="n">
        <v>0</v>
      </c>
      <c r="I298" t="n">
        <v>0</v>
      </c>
      <c r="J298" t="n">
        <v>0</v>
      </c>
      <c r="K298" t="n">
        <v>0</v>
      </c>
      <c r="L298" t="n">
        <v>0</v>
      </c>
      <c r="M298" t="n">
        <v>0</v>
      </c>
      <c r="N298" t="n">
        <v>0</v>
      </c>
      <c r="O298" t="n">
        <v>0</v>
      </c>
      <c r="P298" t="n">
        <v>0</v>
      </c>
      <c r="Q298" t="n">
        <v>0</v>
      </c>
      <c r="R298" s="2" t="inlineStr"/>
    </row>
    <row r="299" ht="15" customHeight="1">
      <c r="A299" t="inlineStr">
        <is>
          <t>A 23044-2019</t>
        </is>
      </c>
      <c r="B299" s="1" t="n">
        <v>43591</v>
      </c>
      <c r="C299" s="1" t="n">
        <v>45809</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26595-2019</t>
        </is>
      </c>
      <c r="B300" s="1" t="n">
        <v>43612</v>
      </c>
      <c r="C300" s="1" t="n">
        <v>45809</v>
      </c>
      <c r="D300" t="inlineStr">
        <is>
          <t>GOTLANDS LÄN</t>
        </is>
      </c>
      <c r="E300" t="inlineStr">
        <is>
          <t>GOTLAND</t>
        </is>
      </c>
      <c r="G300" t="n">
        <v>0.2</v>
      </c>
      <c r="H300" t="n">
        <v>0</v>
      </c>
      <c r="I300" t="n">
        <v>0</v>
      </c>
      <c r="J300" t="n">
        <v>0</v>
      </c>
      <c r="K300" t="n">
        <v>0</v>
      </c>
      <c r="L300" t="n">
        <v>0</v>
      </c>
      <c r="M300" t="n">
        <v>0</v>
      </c>
      <c r="N300" t="n">
        <v>0</v>
      </c>
      <c r="O300" t="n">
        <v>0</v>
      </c>
      <c r="P300" t="n">
        <v>0</v>
      </c>
      <c r="Q300" t="n">
        <v>0</v>
      </c>
      <c r="R300" s="2" t="inlineStr"/>
    </row>
    <row r="301" ht="15" customHeight="1">
      <c r="A301" t="inlineStr">
        <is>
          <t>A 27795-2019</t>
        </is>
      </c>
      <c r="B301" s="1" t="n">
        <v>43612</v>
      </c>
      <c r="C301" s="1" t="n">
        <v>45809</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28977-2019</t>
        </is>
      </c>
      <c r="B302" s="1" t="n">
        <v>43628</v>
      </c>
      <c r="C302" s="1" t="n">
        <v>45809</v>
      </c>
      <c r="D302" t="inlineStr">
        <is>
          <t>GOTLANDS LÄN</t>
        </is>
      </c>
      <c r="E302" t="inlineStr">
        <is>
          <t>GOTLAND</t>
        </is>
      </c>
      <c r="G302" t="n">
        <v>4.6</v>
      </c>
      <c r="H302" t="n">
        <v>0</v>
      </c>
      <c r="I302" t="n">
        <v>0</v>
      </c>
      <c r="J302" t="n">
        <v>0</v>
      </c>
      <c r="K302" t="n">
        <v>0</v>
      </c>
      <c r="L302" t="n">
        <v>0</v>
      </c>
      <c r="M302" t="n">
        <v>0</v>
      </c>
      <c r="N302" t="n">
        <v>0</v>
      </c>
      <c r="O302" t="n">
        <v>0</v>
      </c>
      <c r="P302" t="n">
        <v>0</v>
      </c>
      <c r="Q302" t="n">
        <v>0</v>
      </c>
      <c r="R302" s="2" t="inlineStr"/>
    </row>
    <row r="303" ht="15" customHeight="1">
      <c r="A303" t="inlineStr">
        <is>
          <t>A 29470-2019</t>
        </is>
      </c>
      <c r="B303" s="1" t="n">
        <v>43629</v>
      </c>
      <c r="C303" s="1" t="n">
        <v>45809</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29469-2019</t>
        </is>
      </c>
      <c r="B304" s="1" t="n">
        <v>43629</v>
      </c>
      <c r="C304" s="1" t="n">
        <v>45809</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30033-2019</t>
        </is>
      </c>
      <c r="B305" s="1" t="n">
        <v>43630</v>
      </c>
      <c r="C305" s="1" t="n">
        <v>45809</v>
      </c>
      <c r="D305" t="inlineStr">
        <is>
          <t>GOTLANDS LÄN</t>
        </is>
      </c>
      <c r="E305" t="inlineStr">
        <is>
          <t>GOTLAND</t>
        </is>
      </c>
      <c r="G305" t="n">
        <v>3.3</v>
      </c>
      <c r="H305" t="n">
        <v>0</v>
      </c>
      <c r="I305" t="n">
        <v>0</v>
      </c>
      <c r="J305" t="n">
        <v>0</v>
      </c>
      <c r="K305" t="n">
        <v>0</v>
      </c>
      <c r="L305" t="n">
        <v>0</v>
      </c>
      <c r="M305" t="n">
        <v>0</v>
      </c>
      <c r="N305" t="n">
        <v>0</v>
      </c>
      <c r="O305" t="n">
        <v>0</v>
      </c>
      <c r="P305" t="n">
        <v>0</v>
      </c>
      <c r="Q305" t="n">
        <v>0</v>
      </c>
      <c r="R305" s="2" t="inlineStr"/>
    </row>
    <row r="306" ht="15" customHeight="1">
      <c r="A306" t="inlineStr">
        <is>
          <t>A 31396-2019</t>
        </is>
      </c>
      <c r="B306" s="1" t="n">
        <v>43636</v>
      </c>
      <c r="C306" s="1" t="n">
        <v>45809</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32061-2019</t>
        </is>
      </c>
      <c r="B307" s="1" t="n">
        <v>43643</v>
      </c>
      <c r="C307" s="1" t="n">
        <v>45809</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45809</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45809</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45809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45809</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45809</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45809</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45809</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45809</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45809</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45809</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45809</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45809</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45809</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45809</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45809</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45809</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45809</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45809</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45809</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45809</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45809</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45809</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45809</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45809</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45809</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45809</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45809</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45809</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45809</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45809</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45809</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45809</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45809</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45809</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45809</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45809</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45809</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45809</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45809</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45809</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45809</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45809</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45809</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45809</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45809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45809</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45809</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45809</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45809</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45809</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45809</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45809</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45809</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45809</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45809</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45809</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45809</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45809</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45809</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45809</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45809</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45809</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45809</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45809</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45809</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45809</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45809</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45809</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45809</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45809</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45809</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45809</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45809</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45809</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45809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45809</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45809</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45809</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45809</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45809</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45809</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45809</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45809</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45809</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45809</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45809</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45809</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45809</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45809</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45809</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45809</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45809</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45809</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45809</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45809</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45809</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45809</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45809</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45809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45809</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45809</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45809</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45809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45809</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45809</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45809</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45809</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45809</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45809</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45809</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45809</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45809</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45809</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45809</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45809</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45809</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45809</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45809</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45809</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45809</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45809</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45809</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45809</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45809</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45809</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45809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45809</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45809</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45809</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45809</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45809</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45809</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45809</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45809</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45809</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45809</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45809</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45809</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45809</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45809</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45809</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45809</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45809</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45809</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45809</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45809</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45809</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45809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45809</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45809</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45809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45809</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45809</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45809</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45809</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45809</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45809</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45809</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45809</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45809</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45809</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45809</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45809</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45809</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45809</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45809</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45809</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45809</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45809</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45809</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45809</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45809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45809</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45809</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45809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45809</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45809</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45809</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45809</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45809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45809</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45809</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45809</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45809</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45809</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45809</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45809</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45809</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45809</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45809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45809</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45809</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45809</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45809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45809</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45809</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45809</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45809</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45809</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45809</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45809</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45809</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45809</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45809</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45809</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45809</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45809</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45809</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45809</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45809</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45809</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45809</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45809</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45809</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45809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45809</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45809</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45809</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45809</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45809</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45809</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45809</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45809</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45809</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45809</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45809</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45809</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45809</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45809</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45809</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45809</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45809</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45809</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45809</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45809</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45809</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45809</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45809</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45809</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45809</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45809</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45809</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45809</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45809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45809</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45809</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45809</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45809</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45809</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45809</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45809</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45809</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45809</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45809</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45809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45809</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45809</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45809</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45809</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45809</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45809</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45809</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45809</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45809</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45809</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45809</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45809</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45809</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45809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45809</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45809</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45809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45809</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45809</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45809</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45809</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45809</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45809</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45809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45809</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45809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45809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45809</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45809</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45809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45809</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45809</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45809</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45809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45809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45809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45809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45809</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45809</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45809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45809</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45809</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45809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45809</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45809</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45809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45809</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45809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45809</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45809</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45809</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45809</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45809</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45809</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45809</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45809</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45809</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45809</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45809</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45809</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45809</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45809</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45809</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45809</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45809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45809</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45809</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45809</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45809</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45809</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45809</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45809</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45809</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45809</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45809</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45809</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45809</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45809</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45809</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45809</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45809</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45809</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45809</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45809</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45809</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45809</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45809</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45809</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45809</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45809</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45809</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45809</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45809</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45809</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45809</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45809</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45809</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45809</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45809</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45809</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45809</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45809</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45809</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45809</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45809</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45809</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45809</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45809</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45809</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45809</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45809</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45809</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45809</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45809</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45809</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45809</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45809</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45809</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45809</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45809</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45809</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45809</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45809</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45809</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45809</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45809</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45809</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45809</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45809</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45809</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45809</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45809</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45809</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45809</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45809</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45809</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45809</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45809</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45809</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45809</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45809</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45809</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45809</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45809</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45809</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45809</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45809</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45809</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45809</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45809</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45809</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45809</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45809</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45809</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45809</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45809</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45809</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45809</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45809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45809</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45809</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45809</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45809</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45809</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45809</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45809</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45809</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45809</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45809</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45809</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45809</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45809</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45809</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45809</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45809</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45809</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45809</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45809</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45809</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45809</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45809</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45809</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45809</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45809</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45809</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45809</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45809</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45809</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45809</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45809</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45809</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45809</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45809</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45809</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45809</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45809</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45809</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45809</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45809</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45809</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45809</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45809</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45809</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45809</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45809</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45809</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45809</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45809</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45809</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45809</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45809</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45809</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45809</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45809</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45809</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45809</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45809</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45809</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45809</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45809</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45809</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45809</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45809</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45809</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45809</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45809</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45809</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45809</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45809</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45809</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45809</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45809</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45809</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45809</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45809</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45809</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45809</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45809</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45809</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45809</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45809</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45809</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45809</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45809</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45809</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45809</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45809</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45809</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45809</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45809</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45809</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45809</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45809</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45809</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45809</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45809</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45809</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45809</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45809</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45809</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45809</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45809</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45809</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45809</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45809</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45809</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45809</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45809</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45809</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45809</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45809</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45809</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45809</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45809</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45809</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45809</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45809</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45809</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45809</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45809</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45809</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45809</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45809</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45809</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45809</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45809</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45809</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45809</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45809</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45809</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45809</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45809</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45809</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45809</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45809</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45809</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45809</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45809</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45809</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45809</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45809</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45809</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45809</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45809</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45809</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45809</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45809</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45809</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45809</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45809</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45809</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45809</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45809</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45809</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45809</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45809</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45809</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45809</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45809</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45809</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45809</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45809</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45809</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45809</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45809</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45809</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45809</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45809</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45809</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45809</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45809</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45809</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45809</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45809</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45809</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45809</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45809</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45809</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45809</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45809</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45809</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45809</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45809</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45809</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45809</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45809</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45809</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45809</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45809</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45809</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45809</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45809</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45809</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45809</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45809</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45809</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45809</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45809</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45809</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45809</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45809</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45809</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45809</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45809</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45809</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45809</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45809</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45809</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45809</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45809</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45809</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45809</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45809</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45809</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45809</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45809</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45809</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45809</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45809</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45809</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45809</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45809</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45809</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45809</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45809</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45809</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45809</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45809</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45809</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45809</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45809</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45809</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45809</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45809</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45809</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45809</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45809</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45809</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45809</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45809</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45809</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45809</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45809</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45809</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45809</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45809</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45809</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45809</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45809</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45809</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45809</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45809</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45809</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45809</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45809</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45809</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45809</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45809</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45809</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45809</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45809</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45809</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45809</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45809</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45809</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45809</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45809</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45809</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45809</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45809</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45809</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45809</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45809</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45809</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45809</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45809</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45809</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45809</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45809</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45809</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45809</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45809</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45809</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45809</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45809</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45809</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45809</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45809</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45809</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45809</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45809</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45809</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45809</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45809</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45809</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45809</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45809</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45809</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45809</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45809</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45809</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45809</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45809</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45809</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45809</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45809</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45809</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45809</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45809</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45809</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45809</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45809</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45809</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45809</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45809</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45809</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45809</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45809</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45809</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45809</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45809</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45809</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45809</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45809</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45809</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45809</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45809</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45809</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45809</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45809</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45809</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45809</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45809</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45809</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45809</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45809</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45809</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45809</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45809</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45809</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45809</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45809</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45809</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45809</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45809</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45809</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45809</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45809</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45809</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45809</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45809</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45809</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45809</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45809</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45809</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45809</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45809</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45809</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45809</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45809</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45809</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45809</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45809</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45809</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45809</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45809</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45809</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45809</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45809</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45809</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45809</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45809</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45809</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45809</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45809</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45809</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45809</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45809</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45809</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45809</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45809</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45809</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45809</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45809</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45809</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45809</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45809</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45809</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45809</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45809</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45809</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45809</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45809</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45809</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45809</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45809</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45809</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45809</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45809</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45809</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45809</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45809</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45809</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45809</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45809</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45809</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45809</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45809</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45809</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45809</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45809</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45809</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45809</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45809</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45809</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45809</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45809</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45809</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45809</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c r="A1142" t="inlineStr">
        <is>
          <t>A 26467-2025</t>
        </is>
      </c>
      <c r="B1142" s="1" t="n">
        <v>45807</v>
      </c>
      <c r="C1142" s="1" t="n">
        <v>45809</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2025-06-01T11:51:37Z</dcterms:created>
  <dcterms:modified xmlns:dcterms="http://purl.org/dc/terms/" xmlns:xsi="http://www.w3.org/2001/XMLSchema-instance" xsi:type="dcterms:W3CDTF">2025-06-01T11:51:38Z</dcterms:modified>
</cp:coreProperties>
</file>