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46123</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46123</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46123</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46123</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6913-2025</t>
        </is>
      </c>
      <c r="B22" s="1" t="n">
        <v>45701.43809027778</v>
      </c>
      <c r="C22" s="1" t="n">
        <v>46123</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34100-2024</t>
        </is>
      </c>
      <c r="B23" s="1" t="n">
        <v>45523</v>
      </c>
      <c r="C23" s="1" t="n">
        <v>46123</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24575-2025</t>
        </is>
      </c>
      <c r="B24" s="1" t="n">
        <v>45798</v>
      </c>
      <c r="C24" s="1" t="n">
        <v>46123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46123</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46123</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46123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46123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25779-2022</t>
        </is>
      </c>
      <c r="B30" s="1" t="n">
        <v>44733</v>
      </c>
      <c r="C30" s="1" t="n">
        <v>46123</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46123</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46123</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46123</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46123</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46123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63872-2021</t>
        </is>
      </c>
      <c r="B36" s="1" t="n">
        <v>44509</v>
      </c>
      <c r="C36" s="1" t="n">
        <v>46123</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46123</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3324-2023</t>
        </is>
      </c>
      <c r="B38" s="1" t="n">
        <v>44949</v>
      </c>
      <c r="C38" s="1" t="n">
        <v>46123</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61664-2023</t>
        </is>
      </c>
      <c r="B39" s="1" t="n">
        <v>45265</v>
      </c>
      <c r="C39" s="1" t="n">
        <v>46123</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46123</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46123</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46123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46123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14354-2024</t>
        </is>
      </c>
      <c r="B46" s="1" t="n">
        <v>45393</v>
      </c>
      <c r="C46" s="1" t="n">
        <v>46123</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584-2023</t>
        </is>
      </c>
      <c r="B47" s="1" t="n">
        <v>44930</v>
      </c>
      <c r="C47" s="1" t="n">
        <v>46123</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22404-2024</t>
        </is>
      </c>
      <c r="B48" s="1" t="n">
        <v>45446</v>
      </c>
      <c r="C48" s="1" t="n">
        <v>46123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1719-2025</t>
        </is>
      </c>
      <c r="B49" s="1" t="n">
        <v>45671</v>
      </c>
      <c r="C49" s="1" t="n">
        <v>46123</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46123</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27280-2023</t>
        </is>
      </c>
      <c r="B51" s="1" t="n">
        <v>45096</v>
      </c>
      <c r="C51" s="1" t="n">
        <v>46123</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46123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45248-2024</t>
        </is>
      </c>
      <c r="B53" s="1" t="n">
        <v>45576</v>
      </c>
      <c r="C53" s="1" t="n">
        <v>46123</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46123</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46123</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2649-2023</t>
        </is>
      </c>
      <c r="B58" s="1" t="n">
        <v>44943</v>
      </c>
      <c r="C58" s="1" t="n">
        <v>46123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46123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46123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46123</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46123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46123</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46123</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46123</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46123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46123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46123</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46123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46123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46123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46123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46123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46123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32326-2024</t>
        </is>
      </c>
      <c r="B78" s="1" t="n">
        <v>45512</v>
      </c>
      <c r="C78" s="1" t="n">
        <v>46123</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16375-2025</t>
        </is>
      </c>
      <c r="B79" s="1" t="n">
        <v>45751.41064814815</v>
      </c>
      <c r="C79" s="1" t="n">
        <v>46123</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46123</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46123</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35293-2025</t>
        </is>
      </c>
      <c r="B82" s="1" t="n">
        <v>45854.39438657407</v>
      </c>
      <c r="C82" s="1" t="n">
        <v>46123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46123</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46123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42936-2024</t>
        </is>
      </c>
      <c r="B85" s="1" t="n">
        <v>45567</v>
      </c>
      <c r="C85" s="1" t="n">
        <v>46123</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46123</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10274-2026</t>
        </is>
      </c>
      <c r="B87" s="1" t="n">
        <v>46076.58261574074</v>
      </c>
      <c r="C87" s="1" t="n">
        <v>46123</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56717-2024</t>
        </is>
      </c>
      <c r="B90" s="1" t="n">
        <v>45628.3166550926</v>
      </c>
      <c r="C90" s="1" t="n">
        <v>46123</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46123</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46123</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46123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46123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46123</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1971-2023</t>
        </is>
      </c>
      <c r="B96" s="1" t="n">
        <v>44939</v>
      </c>
      <c r="C96" s="1" t="n">
        <v>46123</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46123</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57463-2025</t>
        </is>
      </c>
      <c r="B98" s="1" t="n">
        <v>45980.54174768519</v>
      </c>
      <c r="C98" s="1" t="n">
        <v>46123</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46123</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20833-2024</t>
        </is>
      </c>
      <c r="B100" s="1" t="n">
        <v>45439</v>
      </c>
      <c r="C100" s="1" t="n">
        <v>46123</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13203-2026</t>
        </is>
      </c>
      <c r="B101" s="1" t="n">
        <v>46093</v>
      </c>
      <c r="C101" s="1" t="n">
        <v>46123</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46123</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46123</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46123</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48126-2022</t>
        </is>
      </c>
      <c r="B110" s="1" t="n">
        <v>44857</v>
      </c>
      <c r="C110" s="1" t="n">
        <v>46123</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13499-2022</t>
        </is>
      </c>
      <c r="B111" s="1" t="n">
        <v>44647.79203703703</v>
      </c>
      <c r="C111" s="1" t="n">
        <v>46123</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46123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46123</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46123</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17975-2024</t>
        </is>
      </c>
      <c r="B115" s="1" t="n">
        <v>45419.85546296297</v>
      </c>
      <c r="C115" s="1" t="n">
        <v>46123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30490-2025</t>
        </is>
      </c>
      <c r="B116" s="1" t="n">
        <v>45830</v>
      </c>
      <c r="C116" s="1" t="n">
        <v>46123</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17982-2023</t>
        </is>
      </c>
      <c r="B117" s="1" t="n">
        <v>45040</v>
      </c>
      <c r="C117" s="1" t="n">
        <v>46123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46123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46123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46123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46123</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46123</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46123</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46123</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46123</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46123</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46123</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46123</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46123</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46123</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46123</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46123</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43219-2023</t>
        </is>
      </c>
      <c r="B138" s="1" t="n">
        <v>45183</v>
      </c>
      <c r="C138" s="1" t="n">
        <v>46123</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46123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46123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17723-2021</t>
        </is>
      </c>
      <c r="B141" s="1" t="n">
        <v>44300</v>
      </c>
      <c r="C141" s="1" t="n">
        <v>46123</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10995-2023</t>
        </is>
      </c>
      <c r="B142" s="1" t="n">
        <v>44986</v>
      </c>
      <c r="C142" s="1" t="n">
        <v>46123</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63576-2021</t>
        </is>
      </c>
      <c r="B143" s="1" t="n">
        <v>44508</v>
      </c>
      <c r="C143" s="1" t="n">
        <v>46123</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39812-2025</t>
        </is>
      </c>
      <c r="B144" s="1" t="n">
        <v>45891</v>
      </c>
      <c r="C144" s="1" t="n">
        <v>46123</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6303-2024</t>
        </is>
      </c>
      <c r="B145" s="1" t="n">
        <v>45338.35376157407</v>
      </c>
      <c r="C145" s="1" t="n">
        <v>46123</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46123</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46123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24245-2022</t>
        </is>
      </c>
      <c r="B148" s="1" t="n">
        <v>44725</v>
      </c>
      <c r="C148" s="1" t="n">
        <v>46123</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46123</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27589-2023</t>
        </is>
      </c>
      <c r="B150" s="1" t="n">
        <v>45097</v>
      </c>
      <c r="C150" s="1" t="n">
        <v>46123</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35467-2021</t>
        </is>
      </c>
      <c r="B151" s="1" t="n">
        <v>44385</v>
      </c>
      <c r="C151" s="1" t="n">
        <v>46123</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21466-2025</t>
        </is>
      </c>
      <c r="B152" s="1" t="n">
        <v>45782</v>
      </c>
      <c r="C152" s="1" t="n">
        <v>46123</v>
      </c>
      <c r="D152" t="inlineStr">
        <is>
          <t>GOTLANDS LÄN</t>
        </is>
      </c>
      <c r="E152" t="inlineStr">
        <is>
          <t>GOTLAND</t>
        </is>
      </c>
      <c r="F152" t="inlineStr">
        <is>
          <t>Övriga statliga verk och myndigheter</t>
        </is>
      </c>
      <c r="G152" t="n">
        <v>1.7</v>
      </c>
      <c r="H152" t="n">
        <v>1</v>
      </c>
      <c r="I152" t="n">
        <v>0</v>
      </c>
      <c r="J152" t="n">
        <v>0</v>
      </c>
      <c r="K152" t="n">
        <v>0</v>
      </c>
      <c r="L152" t="n">
        <v>0</v>
      </c>
      <c r="M152" t="n">
        <v>0</v>
      </c>
      <c r="N152" t="n">
        <v>0</v>
      </c>
      <c r="O152" t="n">
        <v>0</v>
      </c>
      <c r="P152" t="n">
        <v>0</v>
      </c>
      <c r="Q152" t="n">
        <v>1</v>
      </c>
      <c r="R152" s="2" t="inlineStr">
        <is>
          <t>Blåsippa</t>
        </is>
      </c>
      <c r="S152">
        <f>HYPERLINK("https://klasma.github.io/Logging_0980/artfynd/A 21466-2025 artfynd.xlsx", "A 21466-2025")</f>
        <v/>
      </c>
      <c r="T152">
        <f>HYPERLINK("https://klasma.github.io/Logging_0980/kartor/A 21466-2025 karta.png", "A 21466-2025")</f>
        <v/>
      </c>
      <c r="V152">
        <f>HYPERLINK("https://klasma.github.io/Logging_0980/klagomål/A 21466-2025 FSC-klagomål.docx", "A 21466-2025")</f>
        <v/>
      </c>
      <c r="W152">
        <f>HYPERLINK("https://klasma.github.io/Logging_0980/klagomålsmail/A 21466-2025 FSC-klagomål mail.docx", "A 21466-2025")</f>
        <v/>
      </c>
      <c r="X152">
        <f>HYPERLINK("https://klasma.github.io/Logging_0980/tillsyn/A 21466-2025 tillsynsbegäran.docx", "A 21466-2025")</f>
        <v/>
      </c>
      <c r="Y152">
        <f>HYPERLINK("https://klasma.github.io/Logging_0980/tillsynsmail/A 21466-2025 tillsynsbegäran mail.docx", "A 21466-2025")</f>
        <v/>
      </c>
    </row>
    <row r="153" ht="15" customHeight="1">
      <c r="A153" t="inlineStr">
        <is>
          <t>A 44619-2025</t>
        </is>
      </c>
      <c r="B153" s="1" t="n">
        <v>45917</v>
      </c>
      <c r="C153" s="1" t="n">
        <v>46123</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65927-2021</t>
        </is>
      </c>
      <c r="B154" s="1" t="n">
        <v>44516</v>
      </c>
      <c r="C154" s="1" t="n">
        <v>46123</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46123</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44308-2021</t>
        </is>
      </c>
      <c r="B156" s="1" t="n">
        <v>44434</v>
      </c>
      <c r="C156" s="1" t="n">
        <v>46123</v>
      </c>
      <c r="D156" t="inlineStr">
        <is>
          <t>GOTLANDS LÄN</t>
        </is>
      </c>
      <c r="E156" t="inlineStr">
        <is>
          <t>GOTLAND</t>
        </is>
      </c>
      <c r="G156" t="n">
        <v>5.9</v>
      </c>
      <c r="H156" t="n">
        <v>0</v>
      </c>
      <c r="I156" t="n">
        <v>1</v>
      </c>
      <c r="J156" t="n">
        <v>0</v>
      </c>
      <c r="K156" t="n">
        <v>0</v>
      </c>
      <c r="L156" t="n">
        <v>0</v>
      </c>
      <c r="M156" t="n">
        <v>0</v>
      </c>
      <c r="N156" t="n">
        <v>0</v>
      </c>
      <c r="O156" t="n">
        <v>0</v>
      </c>
      <c r="P156" t="n">
        <v>0</v>
      </c>
      <c r="Q156" t="n">
        <v>1</v>
      </c>
      <c r="R156" s="2" t="inlineStr">
        <is>
          <t>Svavelriska</t>
        </is>
      </c>
      <c r="S156">
        <f>HYPERLINK("https://klasma.github.io/Logging_0980/artfynd/A 44308-2021 artfynd.xlsx", "A 44308-2021")</f>
        <v/>
      </c>
      <c r="T156">
        <f>HYPERLINK("https://klasma.github.io/Logging_0980/kartor/A 44308-2021 karta.png", "A 44308-2021")</f>
        <v/>
      </c>
      <c r="V156">
        <f>HYPERLINK("https://klasma.github.io/Logging_0980/klagomål/A 44308-2021 FSC-klagomål.docx", "A 44308-2021")</f>
        <v/>
      </c>
      <c r="W156">
        <f>HYPERLINK("https://klasma.github.io/Logging_0980/klagomålsmail/A 44308-2021 FSC-klagomål mail.docx", "A 44308-2021")</f>
        <v/>
      </c>
      <c r="X156">
        <f>HYPERLINK("https://klasma.github.io/Logging_0980/tillsyn/A 44308-2021 tillsynsbegäran.docx", "A 44308-2021")</f>
        <v/>
      </c>
      <c r="Y156">
        <f>HYPERLINK("https://klasma.github.io/Logging_0980/tillsynsmail/A 44308-2021 tillsynsbegäran mail.docx", "A 44308-2021")</f>
        <v/>
      </c>
    </row>
    <row r="157" ht="15" customHeight="1">
      <c r="A157" t="inlineStr">
        <is>
          <t>A 61561-2023</t>
        </is>
      </c>
      <c r="B157" s="1" t="n">
        <v>45265</v>
      </c>
      <c r="C157" s="1" t="n">
        <v>46123</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46527-2023</t>
        </is>
      </c>
      <c r="B158" s="1" t="n">
        <v>45197</v>
      </c>
      <c r="C158" s="1" t="n">
        <v>46123</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10440-2024</t>
        </is>
      </c>
      <c r="B159" s="1" t="n">
        <v>45366.32818287037</v>
      </c>
      <c r="C159" s="1" t="n">
        <v>46123</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49726-2025</t>
        </is>
      </c>
      <c r="B160" s="1" t="n">
        <v>45939.84466435185</v>
      </c>
      <c r="C160" s="1" t="n">
        <v>46123</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12324-2025</t>
        </is>
      </c>
      <c r="B161" s="1" t="n">
        <v>45730</v>
      </c>
      <c r="C161" s="1" t="n">
        <v>46123</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26461-2025</t>
        </is>
      </c>
      <c r="B162" s="1" t="n">
        <v>45807.43337962963</v>
      </c>
      <c r="C162" s="1" t="n">
        <v>46123</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2476-2025</t>
        </is>
      </c>
      <c r="B163" s="1" t="n">
        <v>45673</v>
      </c>
      <c r="C163" s="1" t="n">
        <v>46123</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46123</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46123</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46123</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46123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9862-2024</t>
        </is>
      </c>
      <c r="B168" s="1" t="n">
        <v>45363</v>
      </c>
      <c r="C168" s="1" t="n">
        <v>46123</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22782-2023</t>
        </is>
      </c>
      <c r="B169" s="1" t="n">
        <v>45072</v>
      </c>
      <c r="C169" s="1" t="n">
        <v>46123</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34141-2024</t>
        </is>
      </c>
      <c r="B170" s="1" t="n">
        <v>45524.36229166666</v>
      </c>
      <c r="C170" s="1" t="n">
        <v>46123</v>
      </c>
      <c r="D170" t="inlineStr">
        <is>
          <t>GOTLANDS LÄN</t>
        </is>
      </c>
      <c r="E170" t="inlineStr">
        <is>
          <t>GOTLAND</t>
        </is>
      </c>
      <c r="G170" t="n">
        <v>0.9</v>
      </c>
      <c r="H170" t="n">
        <v>0</v>
      </c>
      <c r="I170" t="n">
        <v>1</v>
      </c>
      <c r="J170" t="n">
        <v>0</v>
      </c>
      <c r="K170" t="n">
        <v>0</v>
      </c>
      <c r="L170" t="n">
        <v>0</v>
      </c>
      <c r="M170" t="n">
        <v>0</v>
      </c>
      <c r="N170" t="n">
        <v>0</v>
      </c>
      <c r="O170" t="n">
        <v>0</v>
      </c>
      <c r="P170" t="n">
        <v>0</v>
      </c>
      <c r="Q170" t="n">
        <v>1</v>
      </c>
      <c r="R170" s="2" t="inlineStr">
        <is>
          <t>Strävlosta</t>
        </is>
      </c>
      <c r="S170">
        <f>HYPERLINK("https://klasma.github.io/Logging_0980/artfynd/A 34141-2024 artfynd.xlsx", "A 34141-2024")</f>
        <v/>
      </c>
      <c r="T170">
        <f>HYPERLINK("https://klasma.github.io/Logging_0980/kartor/A 34141-2024 karta.png", "A 34141-2024")</f>
        <v/>
      </c>
      <c r="V170">
        <f>HYPERLINK("https://klasma.github.io/Logging_0980/klagomål/A 34141-2024 FSC-klagomål.docx", "A 34141-2024")</f>
        <v/>
      </c>
      <c r="W170">
        <f>HYPERLINK("https://klasma.github.io/Logging_0980/klagomålsmail/A 34141-2024 FSC-klagomål mail.docx", "A 34141-2024")</f>
        <v/>
      </c>
      <c r="X170">
        <f>HYPERLINK("https://klasma.github.io/Logging_0980/tillsyn/A 34141-2024 tillsynsbegäran.docx", "A 34141-2024")</f>
        <v/>
      </c>
      <c r="Y170">
        <f>HYPERLINK("https://klasma.github.io/Logging_0980/tillsynsmail/A 34141-2024 tillsynsbegäran mail.docx", "A 34141-2024")</f>
        <v/>
      </c>
    </row>
    <row r="171" ht="15" customHeight="1">
      <c r="A171" t="inlineStr">
        <is>
          <t>A 44088-2022</t>
        </is>
      </c>
      <c r="B171" s="1" t="n">
        <v>44839</v>
      </c>
      <c r="C171" s="1" t="n">
        <v>46123</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11708-2026</t>
        </is>
      </c>
      <c r="B172" s="1" t="n">
        <v>46084</v>
      </c>
      <c r="C172" s="1" t="n">
        <v>46123</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1477-2024</t>
        </is>
      </c>
      <c r="B173" s="1" t="n">
        <v>45305.37987268518</v>
      </c>
      <c r="C173" s="1" t="n">
        <v>46123</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12924-2025</t>
        </is>
      </c>
      <c r="B174" s="1" t="n">
        <v>45734</v>
      </c>
      <c r="C174" s="1" t="n">
        <v>46123</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13482-2026</t>
        </is>
      </c>
      <c r="B175" s="1" t="n">
        <v>46094</v>
      </c>
      <c r="C175" s="1" t="n">
        <v>46123</v>
      </c>
      <c r="D175" t="inlineStr">
        <is>
          <t>GOTLANDS LÄN</t>
        </is>
      </c>
      <c r="E175" t="inlineStr">
        <is>
          <t>GOTLAND</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HYPERLINK("https://klasma.github.io/Logging_0980/artfynd/A 13482-2026 artfynd.xlsx", "A 13482-2026")</f>
        <v/>
      </c>
      <c r="T175">
        <f>HYPERLINK("https://klasma.github.io/Logging_0980/kartor/A 13482-2026 karta.png", "A 13482-2026")</f>
        <v/>
      </c>
      <c r="V175">
        <f>HYPERLINK("https://klasma.github.io/Logging_0980/klagomål/A 13482-2026 FSC-klagomål.docx", "A 13482-2026")</f>
        <v/>
      </c>
      <c r="W175">
        <f>HYPERLINK("https://klasma.github.io/Logging_0980/klagomålsmail/A 13482-2026 FSC-klagomål mail.docx", "A 13482-2026")</f>
        <v/>
      </c>
      <c r="X175">
        <f>HYPERLINK("https://klasma.github.io/Logging_0980/tillsyn/A 13482-2026 tillsynsbegäran.docx", "A 13482-2026")</f>
        <v/>
      </c>
      <c r="Y175">
        <f>HYPERLINK("https://klasma.github.io/Logging_0980/tillsynsmail/A 13482-2026 tillsynsbegäran mail.docx", "A 13482-2026")</f>
        <v/>
      </c>
      <c r="Z175">
        <f>HYPERLINK("https://klasma.github.io/Logging_0980/fåglar/A 13482-2026 prioriterade fågelarter.docx", "A 13482-2026")</f>
        <v/>
      </c>
    </row>
    <row r="176" ht="15" customHeight="1">
      <c r="A176" t="inlineStr">
        <is>
          <t>A 7637-2025</t>
        </is>
      </c>
      <c r="B176" s="1" t="n">
        <v>45705.77181712963</v>
      </c>
      <c r="C176" s="1" t="n">
        <v>46123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46123</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46123</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46123</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46123</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46123</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10013-2026</t>
        </is>
      </c>
      <c r="B184" s="1" t="n">
        <v>46073</v>
      </c>
      <c r="C184" s="1" t="n">
        <v>46123</v>
      </c>
      <c r="D184" t="inlineStr">
        <is>
          <t>GOTLANDS LÄN</t>
        </is>
      </c>
      <c r="E184" t="inlineStr">
        <is>
          <t>GOTLAND</t>
        </is>
      </c>
      <c r="G184" t="n">
        <v>10.5</v>
      </c>
      <c r="H184" t="n">
        <v>0</v>
      </c>
      <c r="I184" t="n">
        <v>0</v>
      </c>
      <c r="J184" t="n">
        <v>0</v>
      </c>
      <c r="K184" t="n">
        <v>1</v>
      </c>
      <c r="L184" t="n">
        <v>0</v>
      </c>
      <c r="M184" t="n">
        <v>0</v>
      </c>
      <c r="N184" t="n">
        <v>0</v>
      </c>
      <c r="O184" t="n">
        <v>1</v>
      </c>
      <c r="P184" t="n">
        <v>1</v>
      </c>
      <c r="Q184" t="n">
        <v>1</v>
      </c>
      <c r="R184" s="2" t="inlineStr">
        <is>
          <t>Skogskorn</t>
        </is>
      </c>
      <c r="S184">
        <f>HYPERLINK("https://klasma.github.io/Logging_0980/artfynd/A 10013-2026 artfynd.xlsx", "A 10013-2026")</f>
        <v/>
      </c>
      <c r="T184">
        <f>HYPERLINK("https://klasma.github.io/Logging_0980/kartor/A 10013-2026 karta.png", "A 10013-2026")</f>
        <v/>
      </c>
      <c r="V184">
        <f>HYPERLINK("https://klasma.github.io/Logging_0980/klagomål/A 10013-2026 FSC-klagomål.docx", "A 10013-2026")</f>
        <v/>
      </c>
      <c r="W184">
        <f>HYPERLINK("https://klasma.github.io/Logging_0980/klagomålsmail/A 10013-2026 FSC-klagomål mail.docx", "A 10013-2026")</f>
        <v/>
      </c>
      <c r="X184">
        <f>HYPERLINK("https://klasma.github.io/Logging_0980/tillsyn/A 10013-2026 tillsynsbegäran.docx", "A 10013-2026")</f>
        <v/>
      </c>
      <c r="Y184">
        <f>HYPERLINK("https://klasma.github.io/Logging_0980/tillsynsmail/A 10013-2026 tillsynsbegäran mail.docx", "A 10013-2026")</f>
        <v/>
      </c>
    </row>
    <row r="185" ht="15" customHeight="1">
      <c r="A185" t="inlineStr">
        <is>
          <t>A 63149-2025</t>
        </is>
      </c>
      <c r="B185" s="1" t="n">
        <v>46010</v>
      </c>
      <c r="C185" s="1" t="n">
        <v>46123</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Anisspindling</t>
        </is>
      </c>
      <c r="S185">
        <f>HYPERLINK("https://klasma.github.io/Logging_0980/artfynd/A 63149-2025 artfynd.xlsx", "A 63149-2025")</f>
        <v/>
      </c>
      <c r="T185">
        <f>HYPERLINK("https://klasma.github.io/Logging_0980/kartor/A 63149-2025 karta.png", "A 63149-2025")</f>
        <v/>
      </c>
      <c r="V185">
        <f>HYPERLINK("https://klasma.github.io/Logging_0980/klagomål/A 63149-2025 FSC-klagomål.docx", "A 63149-2025")</f>
        <v/>
      </c>
      <c r="W185">
        <f>HYPERLINK("https://klasma.github.io/Logging_0980/klagomålsmail/A 63149-2025 FSC-klagomål mail.docx", "A 63149-2025")</f>
        <v/>
      </c>
      <c r="X185">
        <f>HYPERLINK("https://klasma.github.io/Logging_0980/tillsyn/A 63149-2025 tillsynsbegäran.docx", "A 63149-2025")</f>
        <v/>
      </c>
      <c r="Y185">
        <f>HYPERLINK("https://klasma.github.io/Logging_0980/tillsynsmail/A 63149-2025 tillsynsbegäran mail.docx", "A 63149-2025")</f>
        <v/>
      </c>
    </row>
    <row r="186" ht="15" customHeight="1">
      <c r="A186" t="inlineStr">
        <is>
          <t>A 17854-2026</t>
        </is>
      </c>
      <c r="B186" s="1" t="n">
        <v>46121</v>
      </c>
      <c r="C186" s="1" t="n">
        <v>46123</v>
      </c>
      <c r="D186" t="inlineStr">
        <is>
          <t>GOTLANDS LÄN</t>
        </is>
      </c>
      <c r="E186" t="inlineStr">
        <is>
          <t>GOTLAND</t>
        </is>
      </c>
      <c r="G186" t="n">
        <v>6.6</v>
      </c>
      <c r="H186" t="n">
        <v>0</v>
      </c>
      <c r="I186" t="n">
        <v>1</v>
      </c>
      <c r="J186" t="n">
        <v>0</v>
      </c>
      <c r="K186" t="n">
        <v>0</v>
      </c>
      <c r="L186" t="n">
        <v>0</v>
      </c>
      <c r="M186" t="n">
        <v>0</v>
      </c>
      <c r="N186" t="n">
        <v>0</v>
      </c>
      <c r="O186" t="n">
        <v>0</v>
      </c>
      <c r="P186" t="n">
        <v>0</v>
      </c>
      <c r="Q186" t="n">
        <v>1</v>
      </c>
      <c r="R186" s="2" t="inlineStr">
        <is>
          <t>Blå slemspindling</t>
        </is>
      </c>
      <c r="S186">
        <f>HYPERLINK("https://klasma.github.io/Logging_0980/artfynd/A 17854-2026 artfynd.xlsx", "A 17854-2026")</f>
        <v/>
      </c>
      <c r="T186">
        <f>HYPERLINK("https://klasma.github.io/Logging_0980/kartor/A 17854-2026 karta.png", "A 17854-2026")</f>
        <v/>
      </c>
      <c r="V186">
        <f>HYPERLINK("https://klasma.github.io/Logging_0980/klagomål/A 17854-2026 FSC-klagomål.docx", "A 17854-2026")</f>
        <v/>
      </c>
      <c r="W186">
        <f>HYPERLINK("https://klasma.github.io/Logging_0980/klagomålsmail/A 17854-2026 FSC-klagomål mail.docx", "A 17854-2026")</f>
        <v/>
      </c>
      <c r="X186">
        <f>HYPERLINK("https://klasma.github.io/Logging_0980/tillsyn/A 17854-2026 tillsynsbegäran.docx", "A 17854-2026")</f>
        <v/>
      </c>
      <c r="Y186">
        <f>HYPERLINK("https://klasma.github.io/Logging_0980/tillsynsmail/A 17854-2026 tillsynsbegäran mail.docx", "A 17854-2026")</f>
        <v/>
      </c>
    </row>
    <row r="187" ht="15" customHeight="1">
      <c r="A187" t="inlineStr">
        <is>
          <t>A 49847-2023</t>
        </is>
      </c>
      <c r="B187" s="1" t="n">
        <v>45212</v>
      </c>
      <c r="C187" s="1" t="n">
        <v>46123</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19901-2021</t>
        </is>
      </c>
      <c r="B188" s="1" t="n">
        <v>44312</v>
      </c>
      <c r="C188" s="1" t="n">
        <v>46123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46123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46123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46123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46123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46123</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46123</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46123</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46123</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46123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46123</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39909-2021</t>
        </is>
      </c>
      <c r="B201" s="1" t="n">
        <v>44417.82444444444</v>
      </c>
      <c r="C201" s="1" t="n">
        <v>46123</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46123</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17920-2021</t>
        </is>
      </c>
      <c r="B203" s="1" t="n">
        <v>44301</v>
      </c>
      <c r="C203" s="1" t="n">
        <v>46123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46123</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46123</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46123</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46123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46123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46123</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47369-2021</t>
        </is>
      </c>
      <c r="B211" s="1" t="n">
        <v>44447</v>
      </c>
      <c r="C211" s="1" t="n">
        <v>46123</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46123</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46123</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46123</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46123</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46123</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46123</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46123</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46123</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46123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46123</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46123</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46123</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46123</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12599-2025</t>
        </is>
      </c>
      <c r="B225" s="1" t="n">
        <v>45733.29546296296</v>
      </c>
      <c r="C225" s="1" t="n">
        <v>46123</v>
      </c>
      <c r="D225" t="inlineStr">
        <is>
          <t>GOTLANDS LÄN</t>
        </is>
      </c>
      <c r="E225" t="inlineStr">
        <is>
          <t>GOTLAND</t>
        </is>
      </c>
      <c r="G225" t="n">
        <v>4.7</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46123</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24001-2021</t>
        </is>
      </c>
      <c r="B227" s="1" t="n">
        <v>44335</v>
      </c>
      <c r="C227" s="1" t="n">
        <v>46123</v>
      </c>
      <c r="D227" t="inlineStr">
        <is>
          <t>GOTLANDS LÄN</t>
        </is>
      </c>
      <c r="E227" t="inlineStr">
        <is>
          <t>GOTLAND</t>
        </is>
      </c>
      <c r="G227" t="n">
        <v>3.4</v>
      </c>
      <c r="H227" t="n">
        <v>0</v>
      </c>
      <c r="I227" t="n">
        <v>0</v>
      </c>
      <c r="J227" t="n">
        <v>0</v>
      </c>
      <c r="K227" t="n">
        <v>0</v>
      </c>
      <c r="L227" t="n">
        <v>0</v>
      </c>
      <c r="M227" t="n">
        <v>0</v>
      </c>
      <c r="N227" t="n">
        <v>0</v>
      </c>
      <c r="O227" t="n">
        <v>0</v>
      </c>
      <c r="P227" t="n">
        <v>0</v>
      </c>
      <c r="Q227" t="n">
        <v>0</v>
      </c>
      <c r="R227" s="2" t="inlineStr"/>
    </row>
    <row r="228" ht="15" customHeight="1">
      <c r="A228" t="inlineStr">
        <is>
          <t>A 39479-2022</t>
        </is>
      </c>
      <c r="B228" s="1" t="n">
        <v>44818</v>
      </c>
      <c r="C228" s="1" t="n">
        <v>46123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39496-2022</t>
        </is>
      </c>
      <c r="B229" s="1" t="n">
        <v>44818</v>
      </c>
      <c r="C229" s="1" t="n">
        <v>46123</v>
      </c>
      <c r="D229" t="inlineStr">
        <is>
          <t>GOTLANDS LÄN</t>
        </is>
      </c>
      <c r="E229" t="inlineStr">
        <is>
          <t>GOTLAND</t>
        </is>
      </c>
      <c r="G229" t="n">
        <v>2.4</v>
      </c>
      <c r="H229" t="n">
        <v>0</v>
      </c>
      <c r="I229" t="n">
        <v>0</v>
      </c>
      <c r="J229" t="n">
        <v>0</v>
      </c>
      <c r="K229" t="n">
        <v>0</v>
      </c>
      <c r="L229" t="n">
        <v>0</v>
      </c>
      <c r="M229" t="n">
        <v>0</v>
      </c>
      <c r="N229" t="n">
        <v>0</v>
      </c>
      <c r="O229" t="n">
        <v>0</v>
      </c>
      <c r="P229" t="n">
        <v>0</v>
      </c>
      <c r="Q229" t="n">
        <v>0</v>
      </c>
      <c r="R229" s="2" t="inlineStr"/>
    </row>
    <row r="230" ht="15" customHeight="1">
      <c r="A230" t="inlineStr">
        <is>
          <t>A 49693-2023</t>
        </is>
      </c>
      <c r="B230" s="1" t="n">
        <v>45212.38138888889</v>
      </c>
      <c r="C230" s="1" t="n">
        <v>46123</v>
      </c>
      <c r="D230" t="inlineStr">
        <is>
          <t>GOTLANDS LÄN</t>
        </is>
      </c>
      <c r="E230" t="inlineStr">
        <is>
          <t>GOTLAND</t>
        </is>
      </c>
      <c r="G230" t="n">
        <v>2.4</v>
      </c>
      <c r="H230" t="n">
        <v>0</v>
      </c>
      <c r="I230" t="n">
        <v>0</v>
      </c>
      <c r="J230" t="n">
        <v>0</v>
      </c>
      <c r="K230" t="n">
        <v>0</v>
      </c>
      <c r="L230" t="n">
        <v>0</v>
      </c>
      <c r="M230" t="n">
        <v>0</v>
      </c>
      <c r="N230" t="n">
        <v>0</v>
      </c>
      <c r="O230" t="n">
        <v>0</v>
      </c>
      <c r="P230" t="n">
        <v>0</v>
      </c>
      <c r="Q230" t="n">
        <v>0</v>
      </c>
      <c r="R230" s="2" t="inlineStr"/>
    </row>
    <row r="231" ht="15" customHeight="1">
      <c r="A231" t="inlineStr">
        <is>
          <t>A 49697-2023</t>
        </is>
      </c>
      <c r="B231" s="1" t="n">
        <v>45212.38909722222</v>
      </c>
      <c r="C231" s="1" t="n">
        <v>46123</v>
      </c>
      <c r="D231" t="inlineStr">
        <is>
          <t>GOTLANDS LÄN</t>
        </is>
      </c>
      <c r="E231" t="inlineStr">
        <is>
          <t>GOTLAND</t>
        </is>
      </c>
      <c r="G231" t="n">
        <v>4.4</v>
      </c>
      <c r="H231" t="n">
        <v>0</v>
      </c>
      <c r="I231" t="n">
        <v>0</v>
      </c>
      <c r="J231" t="n">
        <v>0</v>
      </c>
      <c r="K231" t="n">
        <v>0</v>
      </c>
      <c r="L231" t="n">
        <v>0</v>
      </c>
      <c r="M231" t="n">
        <v>0</v>
      </c>
      <c r="N231" t="n">
        <v>0</v>
      </c>
      <c r="O231" t="n">
        <v>0</v>
      </c>
      <c r="P231" t="n">
        <v>0</v>
      </c>
      <c r="Q231" t="n">
        <v>0</v>
      </c>
      <c r="R231" s="2" t="inlineStr"/>
    </row>
    <row r="232" ht="15" customHeight="1">
      <c r="A232" t="inlineStr">
        <is>
          <t>A 46389-2021</t>
        </is>
      </c>
      <c r="B232" s="1" t="n">
        <v>44443</v>
      </c>
      <c r="C232" s="1" t="n">
        <v>46123</v>
      </c>
      <c r="D232" t="inlineStr">
        <is>
          <t>GOTLANDS LÄN</t>
        </is>
      </c>
      <c r="E232" t="inlineStr">
        <is>
          <t>GOTLAND</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34312-2024</t>
        </is>
      </c>
      <c r="B233" s="1" t="n">
        <v>45524.69703703704</v>
      </c>
      <c r="C233" s="1" t="n">
        <v>46123</v>
      </c>
      <c r="D233" t="inlineStr">
        <is>
          <t>GOTLANDS LÄN</t>
        </is>
      </c>
      <c r="E233" t="inlineStr">
        <is>
          <t>GOTLAND</t>
        </is>
      </c>
      <c r="G233" t="n">
        <v>2</v>
      </c>
      <c r="H233" t="n">
        <v>0</v>
      </c>
      <c r="I233" t="n">
        <v>0</v>
      </c>
      <c r="J233" t="n">
        <v>0</v>
      </c>
      <c r="K233" t="n">
        <v>0</v>
      </c>
      <c r="L233" t="n">
        <v>0</v>
      </c>
      <c r="M233" t="n">
        <v>0</v>
      </c>
      <c r="N233" t="n">
        <v>0</v>
      </c>
      <c r="O233" t="n">
        <v>0</v>
      </c>
      <c r="P233" t="n">
        <v>0</v>
      </c>
      <c r="Q233" t="n">
        <v>0</v>
      </c>
      <c r="R233" s="2" t="inlineStr"/>
    </row>
    <row r="234" ht="15" customHeight="1">
      <c r="A234" t="inlineStr">
        <is>
          <t>A 44949-2023</t>
        </is>
      </c>
      <c r="B234" s="1" t="n">
        <v>45190.69520833333</v>
      </c>
      <c r="C234" s="1" t="n">
        <v>46123</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48503-2023</t>
        </is>
      </c>
      <c r="B235" s="1" t="n">
        <v>45207</v>
      </c>
      <c r="C235" s="1" t="n">
        <v>46123</v>
      </c>
      <c r="D235" t="inlineStr">
        <is>
          <t>GOTLANDS LÄN</t>
        </is>
      </c>
      <c r="E235" t="inlineStr">
        <is>
          <t>GOTLAND</t>
        </is>
      </c>
      <c r="G235" t="n">
        <v>1.6</v>
      </c>
      <c r="H235" t="n">
        <v>0</v>
      </c>
      <c r="I235" t="n">
        <v>0</v>
      </c>
      <c r="J235" t="n">
        <v>0</v>
      </c>
      <c r="K235" t="n">
        <v>0</v>
      </c>
      <c r="L235" t="n">
        <v>0</v>
      </c>
      <c r="M235" t="n">
        <v>0</v>
      </c>
      <c r="N235" t="n">
        <v>0</v>
      </c>
      <c r="O235" t="n">
        <v>0</v>
      </c>
      <c r="P235" t="n">
        <v>0</v>
      </c>
      <c r="Q235" t="n">
        <v>0</v>
      </c>
      <c r="R235" s="2" t="inlineStr"/>
    </row>
    <row r="236" ht="15" customHeight="1">
      <c r="A236" t="inlineStr">
        <is>
          <t>A 17682-2024</t>
        </is>
      </c>
      <c r="B236" s="1" t="n">
        <v>45418.42966435185</v>
      </c>
      <c r="C236" s="1" t="n">
        <v>46123</v>
      </c>
      <c r="D236" t="inlineStr">
        <is>
          <t>GOTLANDS LÄN</t>
        </is>
      </c>
      <c r="E236" t="inlineStr">
        <is>
          <t>GOTLAND</t>
        </is>
      </c>
      <c r="G236" t="n">
        <v>2.9</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46123</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61897-2024</t>
        </is>
      </c>
      <c r="B238" s="1" t="n">
        <v>45652.75685185185</v>
      </c>
      <c r="C238" s="1" t="n">
        <v>46123</v>
      </c>
      <c r="D238" t="inlineStr">
        <is>
          <t>GOTLANDS LÄN</t>
        </is>
      </c>
      <c r="E238" t="inlineStr">
        <is>
          <t>GOTLAND</t>
        </is>
      </c>
      <c r="G238" t="n">
        <v>6.4</v>
      </c>
      <c r="H238" t="n">
        <v>0</v>
      </c>
      <c r="I238" t="n">
        <v>0</v>
      </c>
      <c r="J238" t="n">
        <v>0</v>
      </c>
      <c r="K238" t="n">
        <v>0</v>
      </c>
      <c r="L238" t="n">
        <v>0</v>
      </c>
      <c r="M238" t="n">
        <v>0</v>
      </c>
      <c r="N238" t="n">
        <v>0</v>
      </c>
      <c r="O238" t="n">
        <v>0</v>
      </c>
      <c r="P238" t="n">
        <v>0</v>
      </c>
      <c r="Q238" t="n">
        <v>0</v>
      </c>
      <c r="R238" s="2" t="inlineStr"/>
    </row>
    <row r="239" ht="15" customHeight="1">
      <c r="A239" t="inlineStr">
        <is>
          <t>A 12032-2025</t>
        </is>
      </c>
      <c r="B239" s="1" t="n">
        <v>45728.64472222222</v>
      </c>
      <c r="C239" s="1" t="n">
        <v>46123</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24825-2024</t>
        </is>
      </c>
      <c r="B240" s="1" t="n">
        <v>45461</v>
      </c>
      <c r="C240" s="1" t="n">
        <v>46123</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46123</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13498-2022</t>
        </is>
      </c>
      <c r="B242" s="1" t="n">
        <v>44647.78866898148</v>
      </c>
      <c r="C242" s="1" t="n">
        <v>46123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13500-2022</t>
        </is>
      </c>
      <c r="B243" s="1" t="n">
        <v>44647.79513888889</v>
      </c>
      <c r="C243" s="1" t="n">
        <v>46123</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22031-2024</t>
        </is>
      </c>
      <c r="B244" s="1" t="n">
        <v>45443.60075231481</v>
      </c>
      <c r="C244" s="1" t="n">
        <v>46123</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17688-2024</t>
        </is>
      </c>
      <c r="B245" s="1" t="n">
        <v>45418.43575231481</v>
      </c>
      <c r="C245" s="1" t="n">
        <v>46123</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46123</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21507-2021</t>
        </is>
      </c>
      <c r="B247" s="1" t="n">
        <v>44321</v>
      </c>
      <c r="C247" s="1" t="n">
        <v>46123</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27694-2024</t>
        </is>
      </c>
      <c r="B248" s="1" t="n">
        <v>45475</v>
      </c>
      <c r="C248" s="1" t="n">
        <v>46123</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46123</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57219-2021</t>
        </is>
      </c>
      <c r="B250" s="1" t="n">
        <v>44483</v>
      </c>
      <c r="C250" s="1" t="n">
        <v>46123</v>
      </c>
      <c r="D250" t="inlineStr">
        <is>
          <t>GOTLANDS LÄN</t>
        </is>
      </c>
      <c r="E250" t="inlineStr">
        <is>
          <t>GOTLAND</t>
        </is>
      </c>
      <c r="F250" t="inlineStr">
        <is>
          <t>Kyrkan</t>
        </is>
      </c>
      <c r="G250" t="n">
        <v>4</v>
      </c>
      <c r="H250" t="n">
        <v>0</v>
      </c>
      <c r="I250" t="n">
        <v>0</v>
      </c>
      <c r="J250" t="n">
        <v>0</v>
      </c>
      <c r="K250" t="n">
        <v>0</v>
      </c>
      <c r="L250" t="n">
        <v>0</v>
      </c>
      <c r="M250" t="n">
        <v>0</v>
      </c>
      <c r="N250" t="n">
        <v>0</v>
      </c>
      <c r="O250" t="n">
        <v>0</v>
      </c>
      <c r="P250" t="n">
        <v>0</v>
      </c>
      <c r="Q250" t="n">
        <v>0</v>
      </c>
      <c r="R250" s="2" t="inlineStr"/>
    </row>
    <row r="251" ht="15" customHeight="1">
      <c r="A251" t="inlineStr">
        <is>
          <t>A 39764-2022</t>
        </is>
      </c>
      <c r="B251" s="1" t="n">
        <v>44819</v>
      </c>
      <c r="C251" s="1" t="n">
        <v>46123</v>
      </c>
      <c r="D251" t="inlineStr">
        <is>
          <t>GOTLANDS LÄN</t>
        </is>
      </c>
      <c r="E251" t="inlineStr">
        <is>
          <t>GOTLAND</t>
        </is>
      </c>
      <c r="F251" t="inlineStr">
        <is>
          <t>Kyrkan</t>
        </is>
      </c>
      <c r="G251" t="n">
        <v>3.7</v>
      </c>
      <c r="H251" t="n">
        <v>0</v>
      </c>
      <c r="I251" t="n">
        <v>0</v>
      </c>
      <c r="J251" t="n">
        <v>0</v>
      </c>
      <c r="K251" t="n">
        <v>0</v>
      </c>
      <c r="L251" t="n">
        <v>0</v>
      </c>
      <c r="M251" t="n">
        <v>0</v>
      </c>
      <c r="N251" t="n">
        <v>0</v>
      </c>
      <c r="O251" t="n">
        <v>0</v>
      </c>
      <c r="P251" t="n">
        <v>0</v>
      </c>
      <c r="Q251" t="n">
        <v>0</v>
      </c>
      <c r="R251" s="2" t="inlineStr"/>
    </row>
    <row r="252" ht="15" customHeight="1">
      <c r="A252" t="inlineStr">
        <is>
          <t>A 6099-2024</t>
        </is>
      </c>
      <c r="B252" s="1" t="n">
        <v>45337</v>
      </c>
      <c r="C252" s="1" t="n">
        <v>46123</v>
      </c>
      <c r="D252" t="inlineStr">
        <is>
          <t>GOTLANDS LÄN</t>
        </is>
      </c>
      <c r="E252" t="inlineStr">
        <is>
          <t>GOTLAND</t>
        </is>
      </c>
      <c r="G252" t="n">
        <v>12.6</v>
      </c>
      <c r="H252" t="n">
        <v>0</v>
      </c>
      <c r="I252" t="n">
        <v>0</v>
      </c>
      <c r="J252" t="n">
        <v>0</v>
      </c>
      <c r="K252" t="n">
        <v>0</v>
      </c>
      <c r="L252" t="n">
        <v>0</v>
      </c>
      <c r="M252" t="n">
        <v>0</v>
      </c>
      <c r="N252" t="n">
        <v>0</v>
      </c>
      <c r="O252" t="n">
        <v>0</v>
      </c>
      <c r="P252" t="n">
        <v>0</v>
      </c>
      <c r="Q252" t="n">
        <v>0</v>
      </c>
      <c r="R252" s="2" t="inlineStr"/>
    </row>
    <row r="253" ht="15" customHeight="1">
      <c r="A253" t="inlineStr">
        <is>
          <t>A 8260-2023</t>
        </is>
      </c>
      <c r="B253" s="1" t="n">
        <v>44974.61608796296</v>
      </c>
      <c r="C253" s="1" t="n">
        <v>46123</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17901-2023</t>
        </is>
      </c>
      <c r="B254" s="1" t="n">
        <v>45039</v>
      </c>
      <c r="C254" s="1" t="n">
        <v>46123</v>
      </c>
      <c r="D254" t="inlineStr">
        <is>
          <t>GOTLANDS LÄN</t>
        </is>
      </c>
      <c r="E254" t="inlineStr">
        <is>
          <t>GOTLAND</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46123</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456-2023</t>
        </is>
      </c>
      <c r="B256" s="1" t="n">
        <v>44929.87122685185</v>
      </c>
      <c r="C256" s="1" t="n">
        <v>46123</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21164-2024</t>
        </is>
      </c>
      <c r="B257" s="1" t="n">
        <v>45440</v>
      </c>
      <c r="C257" s="1" t="n">
        <v>46123</v>
      </c>
      <c r="D257" t="inlineStr">
        <is>
          <t>GOTLANDS LÄN</t>
        </is>
      </c>
      <c r="E257" t="inlineStr">
        <is>
          <t>GOTLAND</t>
        </is>
      </c>
      <c r="G257" t="n">
        <v>6.3</v>
      </c>
      <c r="H257" t="n">
        <v>0</v>
      </c>
      <c r="I257" t="n">
        <v>0</v>
      </c>
      <c r="J257" t="n">
        <v>0</v>
      </c>
      <c r="K257" t="n">
        <v>0</v>
      </c>
      <c r="L257" t="n">
        <v>0</v>
      </c>
      <c r="M257" t="n">
        <v>0</v>
      </c>
      <c r="N257" t="n">
        <v>0</v>
      </c>
      <c r="O257" t="n">
        <v>0</v>
      </c>
      <c r="P257" t="n">
        <v>0</v>
      </c>
      <c r="Q257" t="n">
        <v>0</v>
      </c>
      <c r="R257" s="2" t="inlineStr"/>
    </row>
    <row r="258" ht="15" customHeight="1">
      <c r="A258" t="inlineStr">
        <is>
          <t>A 17541-2024</t>
        </is>
      </c>
      <c r="B258" s="1" t="n">
        <v>45415</v>
      </c>
      <c r="C258" s="1" t="n">
        <v>46123</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883-2025</t>
        </is>
      </c>
      <c r="B259" s="1" t="n">
        <v>45665</v>
      </c>
      <c r="C259" s="1" t="n">
        <v>46123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39814-2025</t>
        </is>
      </c>
      <c r="B260" s="1" t="n">
        <v>45891.52694444444</v>
      </c>
      <c r="C260" s="1" t="n">
        <v>46123</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13910-2025</t>
        </is>
      </c>
      <c r="B261" s="1" t="n">
        <v>45737</v>
      </c>
      <c r="C261" s="1" t="n">
        <v>46123</v>
      </c>
      <c r="D261" t="inlineStr">
        <is>
          <t>GOTLANDS LÄN</t>
        </is>
      </c>
      <c r="E261" t="inlineStr">
        <is>
          <t>GOTLAND</t>
        </is>
      </c>
      <c r="F261" t="inlineStr">
        <is>
          <t>Kommuner</t>
        </is>
      </c>
      <c r="G261" t="n">
        <v>3.2</v>
      </c>
      <c r="H261" t="n">
        <v>0</v>
      </c>
      <c r="I261" t="n">
        <v>0</v>
      </c>
      <c r="J261" t="n">
        <v>0</v>
      </c>
      <c r="K261" t="n">
        <v>0</v>
      </c>
      <c r="L261" t="n">
        <v>0</v>
      </c>
      <c r="M261" t="n">
        <v>0</v>
      </c>
      <c r="N261" t="n">
        <v>0</v>
      </c>
      <c r="O261" t="n">
        <v>0</v>
      </c>
      <c r="P261" t="n">
        <v>0</v>
      </c>
      <c r="Q261" t="n">
        <v>0</v>
      </c>
      <c r="R261" s="2" t="inlineStr"/>
    </row>
    <row r="262" ht="15" customHeight="1">
      <c r="A262" t="inlineStr">
        <is>
          <t>A 39819-2025</t>
        </is>
      </c>
      <c r="B262" s="1" t="n">
        <v>45891.53418981482</v>
      </c>
      <c r="C262" s="1" t="n">
        <v>46123</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39752-2025</t>
        </is>
      </c>
      <c r="B263" s="1" t="n">
        <v>45891</v>
      </c>
      <c r="C263" s="1" t="n">
        <v>46123</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39816-2025</t>
        </is>
      </c>
      <c r="B264" s="1" t="n">
        <v>45891</v>
      </c>
      <c r="C264" s="1" t="n">
        <v>46123</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22287-2022</t>
        </is>
      </c>
      <c r="B265" s="1" t="n">
        <v>44712</v>
      </c>
      <c r="C265" s="1" t="n">
        <v>46123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40372-2025</t>
        </is>
      </c>
      <c r="B266" s="1" t="n">
        <v>45895.5162037037</v>
      </c>
      <c r="C266" s="1" t="n">
        <v>46123</v>
      </c>
      <c r="D266" t="inlineStr">
        <is>
          <t>GOTLANDS LÄN</t>
        </is>
      </c>
      <c r="E266" t="inlineStr">
        <is>
          <t>GOTLAND</t>
        </is>
      </c>
      <c r="G266" t="n">
        <v>3.3</v>
      </c>
      <c r="H266" t="n">
        <v>0</v>
      </c>
      <c r="I266" t="n">
        <v>0</v>
      </c>
      <c r="J266" t="n">
        <v>0</v>
      </c>
      <c r="K266" t="n">
        <v>0</v>
      </c>
      <c r="L266" t="n">
        <v>0</v>
      </c>
      <c r="M266" t="n">
        <v>0</v>
      </c>
      <c r="N266" t="n">
        <v>0</v>
      </c>
      <c r="O266" t="n">
        <v>0</v>
      </c>
      <c r="P266" t="n">
        <v>0</v>
      </c>
      <c r="Q266" t="n">
        <v>0</v>
      </c>
      <c r="R266" s="2" t="inlineStr"/>
    </row>
    <row r="267" ht="15" customHeight="1">
      <c r="A267" t="inlineStr">
        <is>
          <t>A 40373-2025</t>
        </is>
      </c>
      <c r="B267" s="1" t="n">
        <v>45895.51821759259</v>
      </c>
      <c r="C267" s="1" t="n">
        <v>46123</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57534-2022</t>
        </is>
      </c>
      <c r="B268" s="1" t="n">
        <v>44896</v>
      </c>
      <c r="C268" s="1" t="n">
        <v>46123</v>
      </c>
      <c r="D268" t="inlineStr">
        <is>
          <t>GOTLANDS LÄN</t>
        </is>
      </c>
      <c r="E268" t="inlineStr">
        <is>
          <t>GOTLAND</t>
        </is>
      </c>
      <c r="G268" t="n">
        <v>0.6</v>
      </c>
      <c r="H268" t="n">
        <v>0</v>
      </c>
      <c r="I268" t="n">
        <v>0</v>
      </c>
      <c r="J268" t="n">
        <v>0</v>
      </c>
      <c r="K268" t="n">
        <v>0</v>
      </c>
      <c r="L268" t="n">
        <v>0</v>
      </c>
      <c r="M268" t="n">
        <v>0</v>
      </c>
      <c r="N268" t="n">
        <v>0</v>
      </c>
      <c r="O268" t="n">
        <v>0</v>
      </c>
      <c r="P268" t="n">
        <v>0</v>
      </c>
      <c r="Q268" t="n">
        <v>0</v>
      </c>
      <c r="R268" s="2" t="inlineStr"/>
    </row>
    <row r="269" ht="15" customHeight="1">
      <c r="A269" t="inlineStr">
        <is>
          <t>A 40103-2025</t>
        </is>
      </c>
      <c r="B269" s="1" t="n">
        <v>45894.4880324074</v>
      </c>
      <c r="C269" s="1" t="n">
        <v>46123</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58476-2022</t>
        </is>
      </c>
      <c r="B270" s="1" t="n">
        <v>44902</v>
      </c>
      <c r="C270" s="1" t="n">
        <v>46123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46123</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46123</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41551-2025</t>
        </is>
      </c>
      <c r="B273" s="1" t="n">
        <v>45901.58854166666</v>
      </c>
      <c r="C273" s="1" t="n">
        <v>46123</v>
      </c>
      <c r="D273" t="inlineStr">
        <is>
          <t>GOTLANDS LÄN</t>
        </is>
      </c>
      <c r="E273" t="inlineStr">
        <is>
          <t>GOTLAND</t>
        </is>
      </c>
      <c r="G273" t="n">
        <v>5.6</v>
      </c>
      <c r="H273" t="n">
        <v>0</v>
      </c>
      <c r="I273" t="n">
        <v>0</v>
      </c>
      <c r="J273" t="n">
        <v>0</v>
      </c>
      <c r="K273" t="n">
        <v>0</v>
      </c>
      <c r="L273" t="n">
        <v>0</v>
      </c>
      <c r="M273" t="n">
        <v>0</v>
      </c>
      <c r="N273" t="n">
        <v>0</v>
      </c>
      <c r="O273" t="n">
        <v>0</v>
      </c>
      <c r="P273" t="n">
        <v>0</v>
      </c>
      <c r="Q273" t="n">
        <v>0</v>
      </c>
      <c r="R273" s="2" t="inlineStr"/>
    </row>
    <row r="274" ht="15" customHeight="1">
      <c r="A274" t="inlineStr">
        <is>
          <t>A 63229-2021</t>
        </is>
      </c>
      <c r="B274" s="1" t="n">
        <v>44508.34518518519</v>
      </c>
      <c r="C274" s="1" t="n">
        <v>46123</v>
      </c>
      <c r="D274" t="inlineStr">
        <is>
          <t>GOTLANDS LÄN</t>
        </is>
      </c>
      <c r="E274" t="inlineStr">
        <is>
          <t>GOTLAND</t>
        </is>
      </c>
      <c r="F274" t="inlineStr">
        <is>
          <t>Kyrkan</t>
        </is>
      </c>
      <c r="G274" t="n">
        <v>3.8</v>
      </c>
      <c r="H274" t="n">
        <v>0</v>
      </c>
      <c r="I274" t="n">
        <v>0</v>
      </c>
      <c r="J274" t="n">
        <v>0</v>
      </c>
      <c r="K274" t="n">
        <v>0</v>
      </c>
      <c r="L274" t="n">
        <v>0</v>
      </c>
      <c r="M274" t="n">
        <v>0</v>
      </c>
      <c r="N274" t="n">
        <v>0</v>
      </c>
      <c r="O274" t="n">
        <v>0</v>
      </c>
      <c r="P274" t="n">
        <v>0</v>
      </c>
      <c r="Q274" t="n">
        <v>0</v>
      </c>
      <c r="R274" s="2" t="inlineStr"/>
    </row>
    <row r="275" ht="15" customHeight="1">
      <c r="A275" t="inlineStr">
        <is>
          <t>A 61596-2023</t>
        </is>
      </c>
      <c r="B275" s="1" t="n">
        <v>45265</v>
      </c>
      <c r="C275" s="1" t="n">
        <v>46123</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39278-2025</t>
        </is>
      </c>
      <c r="B276" s="1" t="n">
        <v>45889</v>
      </c>
      <c r="C276" s="1" t="n">
        <v>46123</v>
      </c>
      <c r="D276" t="inlineStr">
        <is>
          <t>GOTLANDS LÄN</t>
        </is>
      </c>
      <c r="E276" t="inlineStr">
        <is>
          <t>GOTLAND</t>
        </is>
      </c>
      <c r="G276" t="n">
        <v>3.7</v>
      </c>
      <c r="H276" t="n">
        <v>0</v>
      </c>
      <c r="I276" t="n">
        <v>0</v>
      </c>
      <c r="J276" t="n">
        <v>0</v>
      </c>
      <c r="K276" t="n">
        <v>0</v>
      </c>
      <c r="L276" t="n">
        <v>0</v>
      </c>
      <c r="M276" t="n">
        <v>0</v>
      </c>
      <c r="N276" t="n">
        <v>0</v>
      </c>
      <c r="O276" t="n">
        <v>0</v>
      </c>
      <c r="P276" t="n">
        <v>0</v>
      </c>
      <c r="Q276" t="n">
        <v>0</v>
      </c>
      <c r="R276" s="2" t="inlineStr"/>
    </row>
    <row r="277" ht="15" customHeight="1">
      <c r="A277" t="inlineStr">
        <is>
          <t>A 873-2024</t>
        </is>
      </c>
      <c r="B277" s="1" t="n">
        <v>45301</v>
      </c>
      <c r="C277" s="1" t="n">
        <v>46123</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44228-2022</t>
        </is>
      </c>
      <c r="B278" s="1" t="n">
        <v>44839.51599537037</v>
      </c>
      <c r="C278" s="1" t="n">
        <v>46123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20794-2025</t>
        </is>
      </c>
      <c r="B279" s="1" t="n">
        <v>45776</v>
      </c>
      <c r="C279" s="1" t="n">
        <v>46123</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61386-2023</t>
        </is>
      </c>
      <c r="B280" s="1" t="n">
        <v>45264</v>
      </c>
      <c r="C280" s="1" t="n">
        <v>46123</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46123</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20805-2025</t>
        </is>
      </c>
      <c r="B282" s="1" t="n">
        <v>45776</v>
      </c>
      <c r="C282" s="1" t="n">
        <v>46123</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20855-2023</t>
        </is>
      </c>
      <c r="B283" s="1" t="n">
        <v>45058.82172453704</v>
      </c>
      <c r="C283" s="1" t="n">
        <v>46123</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21389-2025</t>
        </is>
      </c>
      <c r="B284" s="1" t="n">
        <v>45782</v>
      </c>
      <c r="C284" s="1" t="n">
        <v>46123</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46123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46123</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60709-2023</t>
        </is>
      </c>
      <c r="B287" s="1" t="n">
        <v>45260</v>
      </c>
      <c r="C287" s="1" t="n">
        <v>46123</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46123</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1000-2024</t>
        </is>
      </c>
      <c r="B289" s="1" t="n">
        <v>45301.63371527778</v>
      </c>
      <c r="C289" s="1" t="n">
        <v>46123</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1010-2024</t>
        </is>
      </c>
      <c r="B290" s="1" t="n">
        <v>45301</v>
      </c>
      <c r="C290" s="1" t="n">
        <v>46123</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65249-2023</t>
        </is>
      </c>
      <c r="B291" s="1" t="n">
        <v>45290</v>
      </c>
      <c r="C291" s="1" t="n">
        <v>46123</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30956-2024</t>
        </is>
      </c>
      <c r="B292" s="1" t="n">
        <v>45499.42527777778</v>
      </c>
      <c r="C292" s="1" t="n">
        <v>46123</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16373-2025</t>
        </is>
      </c>
      <c r="B293" s="1" t="n">
        <v>45751</v>
      </c>
      <c r="C293" s="1" t="n">
        <v>46123</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12596-2023</t>
        </is>
      </c>
      <c r="B294" s="1" t="n">
        <v>45000.43310185185</v>
      </c>
      <c r="C294" s="1" t="n">
        <v>46123</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8045-2022</t>
        </is>
      </c>
      <c r="B295" s="1" t="n">
        <v>44609</v>
      </c>
      <c r="C295" s="1" t="n">
        <v>46123</v>
      </c>
      <c r="D295" t="inlineStr">
        <is>
          <t>GOTLANDS LÄN</t>
        </is>
      </c>
      <c r="E295" t="inlineStr">
        <is>
          <t>GOTLAND</t>
        </is>
      </c>
      <c r="G295" t="n">
        <v>7</v>
      </c>
      <c r="H295" t="n">
        <v>0</v>
      </c>
      <c r="I295" t="n">
        <v>0</v>
      </c>
      <c r="J295" t="n">
        <v>0</v>
      </c>
      <c r="K295" t="n">
        <v>0</v>
      </c>
      <c r="L295" t="n">
        <v>0</v>
      </c>
      <c r="M295" t="n">
        <v>0</v>
      </c>
      <c r="N295" t="n">
        <v>0</v>
      </c>
      <c r="O295" t="n">
        <v>0</v>
      </c>
      <c r="P295" t="n">
        <v>0</v>
      </c>
      <c r="Q295" t="n">
        <v>0</v>
      </c>
      <c r="R295" s="2" t="inlineStr"/>
    </row>
    <row r="296" ht="15" customHeight="1">
      <c r="A296" t="inlineStr">
        <is>
          <t>A 10158-2025</t>
        </is>
      </c>
      <c r="B296" s="1" t="n">
        <v>45719</v>
      </c>
      <c r="C296" s="1" t="n">
        <v>46123</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999-2024</t>
        </is>
      </c>
      <c r="B297" s="1" t="n">
        <v>45301</v>
      </c>
      <c r="C297" s="1" t="n">
        <v>46123</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65901-2021</t>
        </is>
      </c>
      <c r="B298" s="1" t="n">
        <v>44516</v>
      </c>
      <c r="C298" s="1" t="n">
        <v>46123</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56009-2024</t>
        </is>
      </c>
      <c r="B299" s="1" t="n">
        <v>45623.80864583333</v>
      </c>
      <c r="C299" s="1" t="n">
        <v>46123</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54073-2022</t>
        </is>
      </c>
      <c r="B300" s="1" t="n">
        <v>44881.50380787037</v>
      </c>
      <c r="C300" s="1" t="n">
        <v>46123</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46123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46123</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40294-2022</t>
        </is>
      </c>
      <c r="B303" s="1" t="n">
        <v>44821</v>
      </c>
      <c r="C303" s="1" t="n">
        <v>46123</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3964-2024</t>
        </is>
      </c>
      <c r="B304" s="1" t="n">
        <v>45322</v>
      </c>
      <c r="C304" s="1" t="n">
        <v>46123</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27602-2023</t>
        </is>
      </c>
      <c r="B305" s="1" t="n">
        <v>45097</v>
      </c>
      <c r="C305" s="1" t="n">
        <v>46123</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46123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12322-2025</t>
        </is>
      </c>
      <c r="B307" s="1" t="n">
        <v>45730</v>
      </c>
      <c r="C307" s="1" t="n">
        <v>46123</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45106-2024</t>
        </is>
      </c>
      <c r="B308" s="1" t="n">
        <v>45575</v>
      </c>
      <c r="C308" s="1" t="n">
        <v>46123</v>
      </c>
      <c r="D308" t="inlineStr">
        <is>
          <t>GOTLANDS LÄN</t>
        </is>
      </c>
      <c r="E308" t="inlineStr">
        <is>
          <t>GOTLAND</t>
        </is>
      </c>
      <c r="G308" t="n">
        <v>10</v>
      </c>
      <c r="H308" t="n">
        <v>0</v>
      </c>
      <c r="I308" t="n">
        <v>0</v>
      </c>
      <c r="J308" t="n">
        <v>0</v>
      </c>
      <c r="K308" t="n">
        <v>0</v>
      </c>
      <c r="L308" t="n">
        <v>0</v>
      </c>
      <c r="M308" t="n">
        <v>0</v>
      </c>
      <c r="N308" t="n">
        <v>0</v>
      </c>
      <c r="O308" t="n">
        <v>0</v>
      </c>
      <c r="P308" t="n">
        <v>0</v>
      </c>
      <c r="Q308" t="n">
        <v>0</v>
      </c>
      <c r="R308" s="2" t="inlineStr"/>
    </row>
    <row r="309" ht="15" customHeight="1">
      <c r="A309" t="inlineStr">
        <is>
          <t>A 45112-2024</t>
        </is>
      </c>
      <c r="B309" s="1" t="n">
        <v>45575</v>
      </c>
      <c r="C309" s="1" t="n">
        <v>46123</v>
      </c>
      <c r="D309" t="inlineStr">
        <is>
          <t>GOTLANDS LÄN</t>
        </is>
      </c>
      <c r="E309" t="inlineStr">
        <is>
          <t>GOTLAND</t>
        </is>
      </c>
      <c r="G309" t="n">
        <v>5.1</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46123</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46123</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7026-2023</t>
        </is>
      </c>
      <c r="B312" s="1" t="n">
        <v>44968.30340277778</v>
      </c>
      <c r="C312" s="1" t="n">
        <v>46123</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24192-2023</t>
        </is>
      </c>
      <c r="B313" s="1" t="n">
        <v>45079</v>
      </c>
      <c r="C313" s="1" t="n">
        <v>46123</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30282-2022</t>
        </is>
      </c>
      <c r="B314" s="1" t="n">
        <v>44760</v>
      </c>
      <c r="C314" s="1" t="n">
        <v>46123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21651-2025</t>
        </is>
      </c>
      <c r="B315" s="1" t="n">
        <v>45783</v>
      </c>
      <c r="C315" s="1" t="n">
        <v>46123</v>
      </c>
      <c r="D315" t="inlineStr">
        <is>
          <t>GOTLANDS LÄN</t>
        </is>
      </c>
      <c r="E315" t="inlineStr">
        <is>
          <t>GOTLAND</t>
        </is>
      </c>
      <c r="G315" t="n">
        <v>4.2</v>
      </c>
      <c r="H315" t="n">
        <v>0</v>
      </c>
      <c r="I315" t="n">
        <v>0</v>
      </c>
      <c r="J315" t="n">
        <v>0</v>
      </c>
      <c r="K315" t="n">
        <v>0</v>
      </c>
      <c r="L315" t="n">
        <v>0</v>
      </c>
      <c r="M315" t="n">
        <v>0</v>
      </c>
      <c r="N315" t="n">
        <v>0</v>
      </c>
      <c r="O315" t="n">
        <v>0</v>
      </c>
      <c r="P315" t="n">
        <v>0</v>
      </c>
      <c r="Q315" t="n">
        <v>0</v>
      </c>
      <c r="R315" s="2" t="inlineStr"/>
    </row>
    <row r="316" ht="15" customHeight="1">
      <c r="A316" t="inlineStr">
        <is>
          <t>A 7835-2024</t>
        </is>
      </c>
      <c r="B316" s="1" t="n">
        <v>45349.83138888889</v>
      </c>
      <c r="C316" s="1" t="n">
        <v>46123</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46123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52892-2021</t>
        </is>
      </c>
      <c r="B318" s="1" t="n">
        <v>44467.49048611111</v>
      </c>
      <c r="C318" s="1" t="n">
        <v>46123</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10650-2022</t>
        </is>
      </c>
      <c r="B319" s="1" t="n">
        <v>44624.57945601852</v>
      </c>
      <c r="C319" s="1" t="n">
        <v>46123</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1351-2025</t>
        </is>
      </c>
      <c r="B320" s="1" t="n">
        <v>45667.62246527777</v>
      </c>
      <c r="C320" s="1" t="n">
        <v>46123</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46123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49874-2024</t>
        </is>
      </c>
      <c r="B322" s="1" t="n">
        <v>45597.49274305555</v>
      </c>
      <c r="C322" s="1" t="n">
        <v>46123</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28425-2023</t>
        </is>
      </c>
      <c r="B323" s="1" t="n">
        <v>45102</v>
      </c>
      <c r="C323" s="1" t="n">
        <v>46123</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13037-2025</t>
        </is>
      </c>
      <c r="B324" s="1" t="n">
        <v>45734</v>
      </c>
      <c r="C324" s="1" t="n">
        <v>46123</v>
      </c>
      <c r="D324" t="inlineStr">
        <is>
          <t>GOTLANDS LÄN</t>
        </is>
      </c>
      <c r="E324" t="inlineStr">
        <is>
          <t>GOTLAND</t>
        </is>
      </c>
      <c r="G324" t="n">
        <v>9.5</v>
      </c>
      <c r="H324" t="n">
        <v>0</v>
      </c>
      <c r="I324" t="n">
        <v>0</v>
      </c>
      <c r="J324" t="n">
        <v>0</v>
      </c>
      <c r="K324" t="n">
        <v>0</v>
      </c>
      <c r="L324" t="n">
        <v>0</v>
      </c>
      <c r="M324" t="n">
        <v>0</v>
      </c>
      <c r="N324" t="n">
        <v>0</v>
      </c>
      <c r="O324" t="n">
        <v>0</v>
      </c>
      <c r="P324" t="n">
        <v>0</v>
      </c>
      <c r="Q324" t="n">
        <v>0</v>
      </c>
      <c r="R324" s="2" t="inlineStr"/>
    </row>
    <row r="325" ht="15" customHeight="1">
      <c r="A325" t="inlineStr">
        <is>
          <t>A 51782-2023</t>
        </is>
      </c>
      <c r="B325" s="1" t="n">
        <v>45222.80952546297</v>
      </c>
      <c r="C325" s="1" t="n">
        <v>46123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60675-2021</t>
        </is>
      </c>
      <c r="B326" s="1" t="n">
        <v>44496.64855324074</v>
      </c>
      <c r="C326" s="1" t="n">
        <v>46123</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5217-2023</t>
        </is>
      </c>
      <c r="B327" s="1" t="n">
        <v>44959.39582175926</v>
      </c>
      <c r="C327" s="1" t="n">
        <v>46123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14638-2025</t>
        </is>
      </c>
      <c r="B328" s="1" t="n">
        <v>45742</v>
      </c>
      <c r="C328" s="1" t="n">
        <v>46123</v>
      </c>
      <c r="D328" t="inlineStr">
        <is>
          <t>GOTLANDS LÄN</t>
        </is>
      </c>
      <c r="E328" t="inlineStr">
        <is>
          <t>GOTLAND</t>
        </is>
      </c>
      <c r="G328" t="n">
        <v>13.4</v>
      </c>
      <c r="H328" t="n">
        <v>0</v>
      </c>
      <c r="I328" t="n">
        <v>0</v>
      </c>
      <c r="J328" t="n">
        <v>0</v>
      </c>
      <c r="K328" t="n">
        <v>0</v>
      </c>
      <c r="L328" t="n">
        <v>0</v>
      </c>
      <c r="M328" t="n">
        <v>0</v>
      </c>
      <c r="N328" t="n">
        <v>0</v>
      </c>
      <c r="O328" t="n">
        <v>0</v>
      </c>
      <c r="P328" t="n">
        <v>0</v>
      </c>
      <c r="Q328" t="n">
        <v>0</v>
      </c>
      <c r="R328" s="2" t="inlineStr"/>
    </row>
    <row r="329" ht="15" customHeight="1">
      <c r="A329" t="inlineStr">
        <is>
          <t>A 4421-2024</t>
        </is>
      </c>
      <c r="B329" s="1" t="n">
        <v>45327.45173611111</v>
      </c>
      <c r="C329" s="1" t="n">
        <v>46123</v>
      </c>
      <c r="D329" t="inlineStr">
        <is>
          <t>GOTLANDS LÄN</t>
        </is>
      </c>
      <c r="E329" t="inlineStr">
        <is>
          <t>GOTLAND</t>
        </is>
      </c>
      <c r="G329" t="n">
        <v>5.1</v>
      </c>
      <c r="H329" t="n">
        <v>0</v>
      </c>
      <c r="I329" t="n">
        <v>0</v>
      </c>
      <c r="J329" t="n">
        <v>0</v>
      </c>
      <c r="K329" t="n">
        <v>0</v>
      </c>
      <c r="L329" t="n">
        <v>0</v>
      </c>
      <c r="M329" t="n">
        <v>0</v>
      </c>
      <c r="N329" t="n">
        <v>0</v>
      </c>
      <c r="O329" t="n">
        <v>0</v>
      </c>
      <c r="P329" t="n">
        <v>0</v>
      </c>
      <c r="Q329" t="n">
        <v>0</v>
      </c>
      <c r="R329" s="2" t="inlineStr"/>
    </row>
    <row r="330" ht="15" customHeight="1">
      <c r="A330" t="inlineStr">
        <is>
          <t>A 10746-2025</t>
        </is>
      </c>
      <c r="B330" s="1" t="n">
        <v>45722.42766203704</v>
      </c>
      <c r="C330" s="1" t="n">
        <v>46123</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46123</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20165-2022</t>
        </is>
      </c>
      <c r="B332" s="1" t="n">
        <v>44698.49854166667</v>
      </c>
      <c r="C332" s="1" t="n">
        <v>46123</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31264-2021</t>
        </is>
      </c>
      <c r="B333" s="1" t="n">
        <v>44368</v>
      </c>
      <c r="C333" s="1" t="n">
        <v>46123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46836-2025</t>
        </is>
      </c>
      <c r="B334" s="1" t="n">
        <v>45928.31511574074</v>
      </c>
      <c r="C334" s="1" t="n">
        <v>46123</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33876-2024</t>
        </is>
      </c>
      <c r="B335" s="1" t="n">
        <v>45521.87988425926</v>
      </c>
      <c r="C335" s="1" t="n">
        <v>46123</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47637-2025</t>
        </is>
      </c>
      <c r="B336" s="1" t="n">
        <v>45931.49753472222</v>
      </c>
      <c r="C336" s="1" t="n">
        <v>46123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43223-2023</t>
        </is>
      </c>
      <c r="B337" s="1" t="n">
        <v>45183.45642361111</v>
      </c>
      <c r="C337" s="1" t="n">
        <v>46123</v>
      </c>
      <c r="D337" t="inlineStr">
        <is>
          <t>GOTLANDS LÄN</t>
        </is>
      </c>
      <c r="E337" t="inlineStr">
        <is>
          <t>GOTLAND</t>
        </is>
      </c>
      <c r="G337" t="n">
        <v>1.8</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45653.54340277778</v>
      </c>
      <c r="C338" s="1" t="n">
        <v>46123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43229-2023</t>
        </is>
      </c>
      <c r="B339" s="1" t="n">
        <v>45183.46704861111</v>
      </c>
      <c r="C339" s="1" t="n">
        <v>46123</v>
      </c>
      <c r="D339" t="inlineStr">
        <is>
          <t>GOTLANDS LÄN</t>
        </is>
      </c>
      <c r="E339" t="inlineStr">
        <is>
          <t>GOTLAND</t>
        </is>
      </c>
      <c r="G339" t="n">
        <v>7.1</v>
      </c>
      <c r="H339" t="n">
        <v>0</v>
      </c>
      <c r="I339" t="n">
        <v>0</v>
      </c>
      <c r="J339" t="n">
        <v>0</v>
      </c>
      <c r="K339" t="n">
        <v>0</v>
      </c>
      <c r="L339" t="n">
        <v>0</v>
      </c>
      <c r="M339" t="n">
        <v>0</v>
      </c>
      <c r="N339" t="n">
        <v>0</v>
      </c>
      <c r="O339" t="n">
        <v>0</v>
      </c>
      <c r="P339" t="n">
        <v>0</v>
      </c>
      <c r="Q339" t="n">
        <v>0</v>
      </c>
      <c r="R339" s="2" t="inlineStr"/>
    </row>
    <row r="340" ht="15" customHeight="1">
      <c r="A340" t="inlineStr">
        <is>
          <t>A 27930-2021</t>
        </is>
      </c>
      <c r="B340" s="1" t="n">
        <v>44354</v>
      </c>
      <c r="C340" s="1" t="n">
        <v>46123</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59469-2024</t>
        </is>
      </c>
      <c r="B341" s="1" t="n">
        <v>45638</v>
      </c>
      <c r="C341" s="1" t="n">
        <v>46123</v>
      </c>
      <c r="D341" t="inlineStr">
        <is>
          <t>GOTLANDS LÄN</t>
        </is>
      </c>
      <c r="E341" t="inlineStr">
        <is>
          <t>GOTLAND</t>
        </is>
      </c>
      <c r="G341" t="n">
        <v>0.4</v>
      </c>
      <c r="H341" t="n">
        <v>0</v>
      </c>
      <c r="I341" t="n">
        <v>0</v>
      </c>
      <c r="J341" t="n">
        <v>0</v>
      </c>
      <c r="K341" t="n">
        <v>0</v>
      </c>
      <c r="L341" t="n">
        <v>0</v>
      </c>
      <c r="M341" t="n">
        <v>0</v>
      </c>
      <c r="N341" t="n">
        <v>0</v>
      </c>
      <c r="O341" t="n">
        <v>0</v>
      </c>
      <c r="P341" t="n">
        <v>0</v>
      </c>
      <c r="Q341" t="n">
        <v>0</v>
      </c>
      <c r="R341" s="2" t="inlineStr"/>
    </row>
    <row r="342" ht="15" customHeight="1">
      <c r="A342" t="inlineStr">
        <is>
          <t>A 41038-2023</t>
        </is>
      </c>
      <c r="B342" s="1" t="n">
        <v>45173.60959490741</v>
      </c>
      <c r="C342" s="1" t="n">
        <v>46123</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32378-2025</t>
        </is>
      </c>
      <c r="B343" s="1" t="n">
        <v>45837</v>
      </c>
      <c r="C343" s="1" t="n">
        <v>46123</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46123</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21420-2024</t>
        </is>
      </c>
      <c r="B345" s="1" t="n">
        <v>45441.38293981482</v>
      </c>
      <c r="C345" s="1" t="n">
        <v>46123</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46123</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10656-2024</t>
        </is>
      </c>
      <c r="B347" s="1" t="n">
        <v>45368</v>
      </c>
      <c r="C347" s="1" t="n">
        <v>46123</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46123</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46123</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46123</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46123</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57356-2023</t>
        </is>
      </c>
      <c r="B352" s="1" t="n">
        <v>45240</v>
      </c>
      <c r="C352" s="1" t="n">
        <v>46123</v>
      </c>
      <c r="D352" t="inlineStr">
        <is>
          <t>GOTLANDS LÄN</t>
        </is>
      </c>
      <c r="E352" t="inlineStr">
        <is>
          <t>GOTLAND</t>
        </is>
      </c>
      <c r="G352" t="n">
        <v>6.4</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46123</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24966-2023</t>
        </is>
      </c>
      <c r="B354" s="1" t="n">
        <v>45085</v>
      </c>
      <c r="C354" s="1" t="n">
        <v>46123</v>
      </c>
      <c r="D354" t="inlineStr">
        <is>
          <t>GOTLANDS LÄN</t>
        </is>
      </c>
      <c r="E354" t="inlineStr">
        <is>
          <t>GOTLAND</t>
        </is>
      </c>
      <c r="G354" t="n">
        <v>7</v>
      </c>
      <c r="H354" t="n">
        <v>0</v>
      </c>
      <c r="I354" t="n">
        <v>0</v>
      </c>
      <c r="J354" t="n">
        <v>0</v>
      </c>
      <c r="K354" t="n">
        <v>0</v>
      </c>
      <c r="L354" t="n">
        <v>0</v>
      </c>
      <c r="M354" t="n">
        <v>0</v>
      </c>
      <c r="N354" t="n">
        <v>0</v>
      </c>
      <c r="O354" t="n">
        <v>0</v>
      </c>
      <c r="P354" t="n">
        <v>0</v>
      </c>
      <c r="Q354" t="n">
        <v>0</v>
      </c>
      <c r="R354" s="2" t="inlineStr"/>
    </row>
    <row r="355" ht="15" customHeight="1">
      <c r="A355" t="inlineStr">
        <is>
          <t>A 28506-2023</t>
        </is>
      </c>
      <c r="B355" s="1" t="n">
        <v>45103</v>
      </c>
      <c r="C355" s="1" t="n">
        <v>46123</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33011-2025</t>
        </is>
      </c>
      <c r="B356" s="1" t="n">
        <v>45840</v>
      </c>
      <c r="C356" s="1" t="n">
        <v>46123</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57652-2023</t>
        </is>
      </c>
      <c r="B357" s="1" t="n">
        <v>45246</v>
      </c>
      <c r="C357" s="1" t="n">
        <v>46123</v>
      </c>
      <c r="D357" t="inlineStr">
        <is>
          <t>GOTLANDS LÄN</t>
        </is>
      </c>
      <c r="E357" t="inlineStr">
        <is>
          <t>GOTLAND</t>
        </is>
      </c>
      <c r="G357" t="n">
        <v>7.2</v>
      </c>
      <c r="H357" t="n">
        <v>0</v>
      </c>
      <c r="I357" t="n">
        <v>0</v>
      </c>
      <c r="J357" t="n">
        <v>0</v>
      </c>
      <c r="K357" t="n">
        <v>0</v>
      </c>
      <c r="L357" t="n">
        <v>0</v>
      </c>
      <c r="M357" t="n">
        <v>0</v>
      </c>
      <c r="N357" t="n">
        <v>0</v>
      </c>
      <c r="O357" t="n">
        <v>0</v>
      </c>
      <c r="P357" t="n">
        <v>0</v>
      </c>
      <c r="Q357" t="n">
        <v>0</v>
      </c>
      <c r="R357" s="2" t="inlineStr"/>
    </row>
    <row r="358" ht="15" customHeight="1">
      <c r="A358" t="inlineStr">
        <is>
          <t>A 23188-2025</t>
        </is>
      </c>
      <c r="B358" s="1" t="n">
        <v>45791</v>
      </c>
      <c r="C358" s="1" t="n">
        <v>46123</v>
      </c>
      <c r="D358" t="inlineStr">
        <is>
          <t>GOTLANDS LÄN</t>
        </is>
      </c>
      <c r="E358" t="inlineStr">
        <is>
          <t>GOTLAND</t>
        </is>
      </c>
      <c r="G358" t="n">
        <v>6.2</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46123</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38165-2023</t>
        </is>
      </c>
      <c r="B360" s="1" t="n">
        <v>45161</v>
      </c>
      <c r="C360" s="1" t="n">
        <v>46123</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46189-2022</t>
        </is>
      </c>
      <c r="B361" s="1" t="n">
        <v>44847</v>
      </c>
      <c r="C361" s="1" t="n">
        <v>46123</v>
      </c>
      <c r="D361" t="inlineStr">
        <is>
          <t>GOTLANDS LÄN</t>
        </is>
      </c>
      <c r="E361" t="inlineStr">
        <is>
          <t>GOTLAND</t>
        </is>
      </c>
      <c r="G361" t="n">
        <v>0.4</v>
      </c>
      <c r="H361" t="n">
        <v>0</v>
      </c>
      <c r="I361" t="n">
        <v>0</v>
      </c>
      <c r="J361" t="n">
        <v>0</v>
      </c>
      <c r="K361" t="n">
        <v>0</v>
      </c>
      <c r="L361" t="n">
        <v>0</v>
      </c>
      <c r="M361" t="n">
        <v>0</v>
      </c>
      <c r="N361" t="n">
        <v>0</v>
      </c>
      <c r="O361" t="n">
        <v>0</v>
      </c>
      <c r="P361" t="n">
        <v>0</v>
      </c>
      <c r="Q361" t="n">
        <v>0</v>
      </c>
      <c r="R361" s="2" t="inlineStr"/>
    </row>
    <row r="362" ht="15" customHeight="1">
      <c r="A362" t="inlineStr">
        <is>
          <t>A 57522-2022</t>
        </is>
      </c>
      <c r="B362" s="1" t="n">
        <v>44896</v>
      </c>
      <c r="C362" s="1" t="n">
        <v>46123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14797-2024</t>
        </is>
      </c>
      <c r="B363" s="1" t="n">
        <v>45397.87030092593</v>
      </c>
      <c r="C363" s="1" t="n">
        <v>46123</v>
      </c>
      <c r="D363" t="inlineStr">
        <is>
          <t>GOTLANDS LÄN</t>
        </is>
      </c>
      <c r="E363" t="inlineStr">
        <is>
          <t>GOTLAND</t>
        </is>
      </c>
      <c r="G363" t="n">
        <v>8.1</v>
      </c>
      <c r="H363" t="n">
        <v>0</v>
      </c>
      <c r="I363" t="n">
        <v>0</v>
      </c>
      <c r="J363" t="n">
        <v>0</v>
      </c>
      <c r="K363" t="n">
        <v>0</v>
      </c>
      <c r="L363" t="n">
        <v>0</v>
      </c>
      <c r="M363" t="n">
        <v>0</v>
      </c>
      <c r="N363" t="n">
        <v>0</v>
      </c>
      <c r="O363" t="n">
        <v>0</v>
      </c>
      <c r="P363" t="n">
        <v>0</v>
      </c>
      <c r="Q363" t="n">
        <v>0</v>
      </c>
      <c r="R363" s="2" t="inlineStr"/>
    </row>
    <row r="364" ht="15" customHeight="1">
      <c r="A364" t="inlineStr">
        <is>
          <t>A 7837-2024</t>
        </is>
      </c>
      <c r="B364" s="1" t="n">
        <v>45349.83787037037</v>
      </c>
      <c r="C364" s="1" t="n">
        <v>46123</v>
      </c>
      <c r="D364" t="inlineStr">
        <is>
          <t>GOTLANDS LÄN</t>
        </is>
      </c>
      <c r="E364" t="inlineStr">
        <is>
          <t>GOTLAND</t>
        </is>
      </c>
      <c r="G364" t="n">
        <v>5</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46123</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46123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23856-2025</t>
        </is>
      </c>
      <c r="B367" s="1" t="n">
        <v>45793</v>
      </c>
      <c r="C367" s="1" t="n">
        <v>46123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23473-2025</t>
        </is>
      </c>
      <c r="B368" s="1" t="n">
        <v>45792</v>
      </c>
      <c r="C368" s="1" t="n">
        <v>46123</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1394-2023</t>
        </is>
      </c>
      <c r="B369" s="1" t="n">
        <v>44936.72997685185</v>
      </c>
      <c r="C369" s="1" t="n">
        <v>46123</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50421-2025</t>
        </is>
      </c>
      <c r="B370" s="1" t="n">
        <v>45944.66049768519</v>
      </c>
      <c r="C370" s="1" t="n">
        <v>46123</v>
      </c>
      <c r="D370" t="inlineStr">
        <is>
          <t>GOTLANDS LÄN</t>
        </is>
      </c>
      <c r="E370" t="inlineStr">
        <is>
          <t>GOTLAND</t>
        </is>
      </c>
      <c r="G370" t="n">
        <v>3.9</v>
      </c>
      <c r="H370" t="n">
        <v>0</v>
      </c>
      <c r="I370" t="n">
        <v>0</v>
      </c>
      <c r="J370" t="n">
        <v>0</v>
      </c>
      <c r="K370" t="n">
        <v>0</v>
      </c>
      <c r="L370" t="n">
        <v>0</v>
      </c>
      <c r="M370" t="n">
        <v>0</v>
      </c>
      <c r="N370" t="n">
        <v>0</v>
      </c>
      <c r="O370" t="n">
        <v>0</v>
      </c>
      <c r="P370" t="n">
        <v>0</v>
      </c>
      <c r="Q370" t="n">
        <v>0</v>
      </c>
      <c r="R370" s="2" t="inlineStr"/>
    </row>
    <row r="371" ht="15" customHeight="1">
      <c r="A371" t="inlineStr">
        <is>
          <t>A 2676-2023</t>
        </is>
      </c>
      <c r="B371" s="1" t="n">
        <v>44944</v>
      </c>
      <c r="C371" s="1" t="n">
        <v>46123</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4387-2023</t>
        </is>
      </c>
      <c r="B372" s="1" t="n">
        <v>44955.73359953704</v>
      </c>
      <c r="C372" s="1" t="n">
        <v>46123</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23698-2025</t>
        </is>
      </c>
      <c r="B373" s="1" t="n">
        <v>45793</v>
      </c>
      <c r="C373" s="1" t="n">
        <v>46123</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50431-2025</t>
        </is>
      </c>
      <c r="B374" s="1" t="n">
        <v>45944.68453703704</v>
      </c>
      <c r="C374" s="1" t="n">
        <v>46123</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15073-2025</t>
        </is>
      </c>
      <c r="B375" s="1" t="n">
        <v>45743</v>
      </c>
      <c r="C375" s="1" t="n">
        <v>46123</v>
      </c>
      <c r="D375" t="inlineStr">
        <is>
          <t>GOTLANDS LÄN</t>
        </is>
      </c>
      <c r="E375" t="inlineStr">
        <is>
          <t>GOTLAND</t>
        </is>
      </c>
      <c r="G375" t="n">
        <v>12.1</v>
      </c>
      <c r="H375" t="n">
        <v>0</v>
      </c>
      <c r="I375" t="n">
        <v>0</v>
      </c>
      <c r="J375" t="n">
        <v>0</v>
      </c>
      <c r="K375" t="n">
        <v>0</v>
      </c>
      <c r="L375" t="n">
        <v>0</v>
      </c>
      <c r="M375" t="n">
        <v>0</v>
      </c>
      <c r="N375" t="n">
        <v>0</v>
      </c>
      <c r="O375" t="n">
        <v>0</v>
      </c>
      <c r="P375" t="n">
        <v>0</v>
      </c>
      <c r="Q375" t="n">
        <v>0</v>
      </c>
      <c r="R375" s="2" t="inlineStr"/>
    </row>
    <row r="376" ht="15" customHeight="1">
      <c r="A376" t="inlineStr">
        <is>
          <t>A 49411-2023</t>
        </is>
      </c>
      <c r="B376" s="1" t="n">
        <v>45205</v>
      </c>
      <c r="C376" s="1" t="n">
        <v>46123</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37728-2024</t>
        </is>
      </c>
      <c r="B377" s="1" t="n">
        <v>45541</v>
      </c>
      <c r="C377" s="1" t="n">
        <v>46123</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2241-2025</t>
        </is>
      </c>
      <c r="B378" s="1" t="n">
        <v>45673.48710648148</v>
      </c>
      <c r="C378" s="1" t="n">
        <v>46123</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6749-2025</t>
        </is>
      </c>
      <c r="B379" s="1" t="n">
        <v>45700</v>
      </c>
      <c r="C379" s="1" t="n">
        <v>46123</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5462-2025</t>
        </is>
      </c>
      <c r="B380" s="1" t="n">
        <v>45693.29331018519</v>
      </c>
      <c r="C380" s="1" t="n">
        <v>46123</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46123</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51262-2025</t>
        </is>
      </c>
      <c r="B382" s="1" t="n">
        <v>45949.49872685185</v>
      </c>
      <c r="C382" s="1" t="n">
        <v>46123</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22275-2023</t>
        </is>
      </c>
      <c r="B383" s="1" t="n">
        <v>45070.39875</v>
      </c>
      <c r="C383" s="1" t="n">
        <v>46123</v>
      </c>
      <c r="D383" t="inlineStr">
        <is>
          <t>GOTLANDS LÄN</t>
        </is>
      </c>
      <c r="E383" t="inlineStr">
        <is>
          <t>GOTLAND</t>
        </is>
      </c>
      <c r="G383" t="n">
        <v>7.2</v>
      </c>
      <c r="H383" t="n">
        <v>0</v>
      </c>
      <c r="I383" t="n">
        <v>0</v>
      </c>
      <c r="J383" t="n">
        <v>0</v>
      </c>
      <c r="K383" t="n">
        <v>0</v>
      </c>
      <c r="L383" t="n">
        <v>0</v>
      </c>
      <c r="M383" t="n">
        <v>0</v>
      </c>
      <c r="N383" t="n">
        <v>0</v>
      </c>
      <c r="O383" t="n">
        <v>0</v>
      </c>
      <c r="P383" t="n">
        <v>0</v>
      </c>
      <c r="Q383" t="n">
        <v>0</v>
      </c>
      <c r="R383" s="2" t="inlineStr"/>
    </row>
    <row r="384" ht="15" customHeight="1">
      <c r="A384" t="inlineStr">
        <is>
          <t>A 14635-2023</t>
        </is>
      </c>
      <c r="B384" s="1" t="n">
        <v>45013.69365740741</v>
      </c>
      <c r="C384" s="1" t="n">
        <v>46123</v>
      </c>
      <c r="D384" t="inlineStr">
        <is>
          <t>GOTLANDS LÄN</t>
        </is>
      </c>
      <c r="E384" t="inlineStr">
        <is>
          <t>GOTLAND</t>
        </is>
      </c>
      <c r="G384" t="n">
        <v>3.1</v>
      </c>
      <c r="H384" t="n">
        <v>0</v>
      </c>
      <c r="I384" t="n">
        <v>0</v>
      </c>
      <c r="J384" t="n">
        <v>0</v>
      </c>
      <c r="K384" t="n">
        <v>0</v>
      </c>
      <c r="L384" t="n">
        <v>0</v>
      </c>
      <c r="M384" t="n">
        <v>0</v>
      </c>
      <c r="N384" t="n">
        <v>0</v>
      </c>
      <c r="O384" t="n">
        <v>0</v>
      </c>
      <c r="P384" t="n">
        <v>0</v>
      </c>
      <c r="Q384" t="n">
        <v>0</v>
      </c>
      <c r="R384" s="2" t="inlineStr"/>
    </row>
    <row r="385" ht="15" customHeight="1">
      <c r="A385" t="inlineStr">
        <is>
          <t>A 63763-2023</t>
        </is>
      </c>
      <c r="B385" s="1" t="n">
        <v>45278.33944444444</v>
      </c>
      <c r="C385" s="1" t="n">
        <v>46123</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46123</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46123</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46123</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61682-2024</t>
        </is>
      </c>
      <c r="B389" s="1" t="n">
        <v>45647.48824074074</v>
      </c>
      <c r="C389" s="1" t="n">
        <v>46123</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15434-2024</t>
        </is>
      </c>
      <c r="B390" s="1" t="n">
        <v>45401.38836805556</v>
      </c>
      <c r="C390" s="1" t="n">
        <v>46123</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7034-2023</t>
        </is>
      </c>
      <c r="B391" s="1" t="n">
        <v>44968.32108796296</v>
      </c>
      <c r="C391" s="1" t="n">
        <v>46123</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7042-2023</t>
        </is>
      </c>
      <c r="B392" s="1" t="n">
        <v>44968</v>
      </c>
      <c r="C392" s="1" t="n">
        <v>46123</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46123</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52249-2025</t>
        </is>
      </c>
      <c r="B394" s="1" t="n">
        <v>45953.48637731482</v>
      </c>
      <c r="C394" s="1" t="n">
        <v>46123</v>
      </c>
      <c r="D394" t="inlineStr">
        <is>
          <t>GOTLANDS LÄN</t>
        </is>
      </c>
      <c r="E394" t="inlineStr">
        <is>
          <t>GOTLAND</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46123</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54074-2022</t>
        </is>
      </c>
      <c r="B396" s="1" t="n">
        <v>44881</v>
      </c>
      <c r="C396" s="1" t="n">
        <v>46123</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61694-2023</t>
        </is>
      </c>
      <c r="B397" s="1" t="n">
        <v>45264</v>
      </c>
      <c r="C397" s="1" t="n">
        <v>46123</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64208-2021</t>
        </is>
      </c>
      <c r="B398" s="1" t="n">
        <v>44510</v>
      </c>
      <c r="C398" s="1" t="n">
        <v>46123</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54268-2022</t>
        </is>
      </c>
      <c r="B399" s="1" t="n">
        <v>44882</v>
      </c>
      <c r="C399" s="1" t="n">
        <v>46123</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1446-2025</t>
        </is>
      </c>
      <c r="B400" s="1" t="n">
        <v>45669.86035879629</v>
      </c>
      <c r="C400" s="1" t="n">
        <v>46123</v>
      </c>
      <c r="D400" t="inlineStr">
        <is>
          <t>GOTLANDS LÄN</t>
        </is>
      </c>
      <c r="E400" t="inlineStr">
        <is>
          <t>GOTLAND</t>
        </is>
      </c>
      <c r="G400" t="n">
        <v>3.1</v>
      </c>
      <c r="H400" t="n">
        <v>0</v>
      </c>
      <c r="I400" t="n">
        <v>0</v>
      </c>
      <c r="J400" t="n">
        <v>0</v>
      </c>
      <c r="K400" t="n">
        <v>0</v>
      </c>
      <c r="L400" t="n">
        <v>0</v>
      </c>
      <c r="M400" t="n">
        <v>0</v>
      </c>
      <c r="N400" t="n">
        <v>0</v>
      </c>
      <c r="O400" t="n">
        <v>0</v>
      </c>
      <c r="P400" t="n">
        <v>0</v>
      </c>
      <c r="Q400" t="n">
        <v>0</v>
      </c>
      <c r="R400" s="2" t="inlineStr"/>
    </row>
    <row r="401" ht="15" customHeight="1">
      <c r="A401" t="inlineStr">
        <is>
          <t>A 1462-2025</t>
        </is>
      </c>
      <c r="B401" s="1" t="n">
        <v>45670.36319444444</v>
      </c>
      <c r="C401" s="1" t="n">
        <v>46123</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25796-2025</t>
        </is>
      </c>
      <c r="B402" s="1" t="n">
        <v>45804.39543981481</v>
      </c>
      <c r="C402" s="1" t="n">
        <v>46123</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57685-2022</t>
        </is>
      </c>
      <c r="B403" s="1" t="n">
        <v>44897.4777662037</v>
      </c>
      <c r="C403" s="1" t="n">
        <v>46123</v>
      </c>
      <c r="D403" t="inlineStr">
        <is>
          <t>GOTLANDS LÄN</t>
        </is>
      </c>
      <c r="E403" t="inlineStr">
        <is>
          <t>GOTLAND</t>
        </is>
      </c>
      <c r="G403" t="n">
        <v>3.7</v>
      </c>
      <c r="H403" t="n">
        <v>0</v>
      </c>
      <c r="I403" t="n">
        <v>0</v>
      </c>
      <c r="J403" t="n">
        <v>0</v>
      </c>
      <c r="K403" t="n">
        <v>0</v>
      </c>
      <c r="L403" t="n">
        <v>0</v>
      </c>
      <c r="M403" t="n">
        <v>0</v>
      </c>
      <c r="N403" t="n">
        <v>0</v>
      </c>
      <c r="O403" t="n">
        <v>0</v>
      </c>
      <c r="P403" t="n">
        <v>0</v>
      </c>
      <c r="Q403" t="n">
        <v>0</v>
      </c>
      <c r="R403" s="2" t="inlineStr"/>
    </row>
    <row r="404" ht="15" customHeight="1">
      <c r="A404" t="inlineStr">
        <is>
          <t>A 811-2023</t>
        </is>
      </c>
      <c r="B404" s="1" t="n">
        <v>44931</v>
      </c>
      <c r="C404" s="1" t="n">
        <v>46123</v>
      </c>
      <c r="D404" t="inlineStr">
        <is>
          <t>GOTLANDS LÄN</t>
        </is>
      </c>
      <c r="E404" t="inlineStr">
        <is>
          <t>GOTLAND</t>
        </is>
      </c>
      <c r="G404" t="n">
        <v>0.6</v>
      </c>
      <c r="H404" t="n">
        <v>0</v>
      </c>
      <c r="I404" t="n">
        <v>0</v>
      </c>
      <c r="J404" t="n">
        <v>0</v>
      </c>
      <c r="K404" t="n">
        <v>0</v>
      </c>
      <c r="L404" t="n">
        <v>0</v>
      </c>
      <c r="M404" t="n">
        <v>0</v>
      </c>
      <c r="N404" t="n">
        <v>0</v>
      </c>
      <c r="O404" t="n">
        <v>0</v>
      </c>
      <c r="P404" t="n">
        <v>0</v>
      </c>
      <c r="Q404" t="n">
        <v>0</v>
      </c>
      <c r="R404" s="2" t="inlineStr"/>
    </row>
    <row r="405" ht="15" customHeight="1">
      <c r="A405" t="inlineStr">
        <is>
          <t>A 53577-2025</t>
        </is>
      </c>
      <c r="B405" s="1" t="n">
        <v>45960.42224537037</v>
      </c>
      <c r="C405" s="1" t="n">
        <v>46123</v>
      </c>
      <c r="D405" t="inlineStr">
        <is>
          <t>GOTLANDS LÄN</t>
        </is>
      </c>
      <c r="E405" t="inlineStr">
        <is>
          <t>GOTLAND</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53569-2025</t>
        </is>
      </c>
      <c r="B406" s="1" t="n">
        <v>45960.41155092593</v>
      </c>
      <c r="C406" s="1" t="n">
        <v>46123</v>
      </c>
      <c r="D406" t="inlineStr">
        <is>
          <t>GOTLANDS LÄN</t>
        </is>
      </c>
      <c r="E406" t="inlineStr">
        <is>
          <t>GOTLAND</t>
        </is>
      </c>
      <c r="F406" t="inlineStr">
        <is>
          <t>Övriga Aktiebolag</t>
        </is>
      </c>
      <c r="G406" t="n">
        <v>11.3</v>
      </c>
      <c r="H406" t="n">
        <v>0</v>
      </c>
      <c r="I406" t="n">
        <v>0</v>
      </c>
      <c r="J406" t="n">
        <v>0</v>
      </c>
      <c r="K406" t="n">
        <v>0</v>
      </c>
      <c r="L406" t="n">
        <v>0</v>
      </c>
      <c r="M406" t="n">
        <v>0</v>
      </c>
      <c r="N406" t="n">
        <v>0</v>
      </c>
      <c r="O406" t="n">
        <v>0</v>
      </c>
      <c r="P406" t="n">
        <v>0</v>
      </c>
      <c r="Q406" t="n">
        <v>0</v>
      </c>
      <c r="R406" s="2" t="inlineStr"/>
    </row>
    <row r="407" ht="15" customHeight="1">
      <c r="A407" t="inlineStr">
        <is>
          <t>A 5905-2024</t>
        </is>
      </c>
      <c r="B407" s="1" t="n">
        <v>45335.88993055555</v>
      </c>
      <c r="C407" s="1" t="n">
        <v>46123</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3431-2025</t>
        </is>
      </c>
      <c r="B408" s="1" t="n">
        <v>45680.42935185185</v>
      </c>
      <c r="C408" s="1" t="n">
        <v>46123</v>
      </c>
      <c r="D408" t="inlineStr">
        <is>
          <t>GOTLANDS LÄN</t>
        </is>
      </c>
      <c r="E408" t="inlineStr">
        <is>
          <t>GOTLAND</t>
        </is>
      </c>
      <c r="G408" t="n">
        <v>4.8</v>
      </c>
      <c r="H408" t="n">
        <v>0</v>
      </c>
      <c r="I408" t="n">
        <v>0</v>
      </c>
      <c r="J408" t="n">
        <v>0</v>
      </c>
      <c r="K408" t="n">
        <v>0</v>
      </c>
      <c r="L408" t="n">
        <v>0</v>
      </c>
      <c r="M408" t="n">
        <v>0</v>
      </c>
      <c r="N408" t="n">
        <v>0</v>
      </c>
      <c r="O408" t="n">
        <v>0</v>
      </c>
      <c r="P408" t="n">
        <v>0</v>
      </c>
      <c r="Q408" t="n">
        <v>0</v>
      </c>
      <c r="R408" s="2" t="inlineStr"/>
    </row>
    <row r="409" ht="15" customHeight="1">
      <c r="A409" t="inlineStr">
        <is>
          <t>A 34407-2023</t>
        </is>
      </c>
      <c r="B409" s="1" t="n">
        <v>45132</v>
      </c>
      <c r="C409" s="1" t="n">
        <v>46123</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30892-2024</t>
        </is>
      </c>
      <c r="B410" s="1" t="n">
        <v>45491</v>
      </c>
      <c r="C410" s="1" t="n">
        <v>46123</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46123</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26465-2025</t>
        </is>
      </c>
      <c r="B412" s="1" t="n">
        <v>45807.44377314814</v>
      </c>
      <c r="C412" s="1" t="n">
        <v>46123</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26457-2025</t>
        </is>
      </c>
      <c r="B413" s="1" t="n">
        <v>45807.42773148148</v>
      </c>
      <c r="C413" s="1" t="n">
        <v>46123</v>
      </c>
      <c r="D413" t="inlineStr">
        <is>
          <t>GOTLANDS LÄN</t>
        </is>
      </c>
      <c r="E413" t="inlineStr">
        <is>
          <t>GOTLAND</t>
        </is>
      </c>
      <c r="G413" t="n">
        <v>5.7</v>
      </c>
      <c r="H413" t="n">
        <v>0</v>
      </c>
      <c r="I413" t="n">
        <v>0</v>
      </c>
      <c r="J413" t="n">
        <v>0</v>
      </c>
      <c r="K413" t="n">
        <v>0</v>
      </c>
      <c r="L413" t="n">
        <v>0</v>
      </c>
      <c r="M413" t="n">
        <v>0</v>
      </c>
      <c r="N413" t="n">
        <v>0</v>
      </c>
      <c r="O413" t="n">
        <v>0</v>
      </c>
      <c r="P413" t="n">
        <v>0</v>
      </c>
      <c r="Q413" t="n">
        <v>0</v>
      </c>
      <c r="R413" s="2" t="inlineStr"/>
    </row>
    <row r="414" ht="15" customHeight="1">
      <c r="A414" t="inlineStr">
        <is>
          <t>A 26467-2025</t>
        </is>
      </c>
      <c r="B414" s="1" t="n">
        <v>45807.44640046296</v>
      </c>
      <c r="C414" s="1" t="n">
        <v>46123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26660-2025</t>
        </is>
      </c>
      <c r="B415" s="1" t="n">
        <v>45810.39737268518</v>
      </c>
      <c r="C415" s="1" t="n">
        <v>46123</v>
      </c>
      <c r="D415" t="inlineStr">
        <is>
          <t>GOTLANDS LÄN</t>
        </is>
      </c>
      <c r="E415" t="inlineStr">
        <is>
          <t>GOTLAND</t>
        </is>
      </c>
      <c r="G415" t="n">
        <v>1.8</v>
      </c>
      <c r="H415" t="n">
        <v>0</v>
      </c>
      <c r="I415" t="n">
        <v>0</v>
      </c>
      <c r="J415" t="n">
        <v>0</v>
      </c>
      <c r="K415" t="n">
        <v>0</v>
      </c>
      <c r="L415" t="n">
        <v>0</v>
      </c>
      <c r="M415" t="n">
        <v>0</v>
      </c>
      <c r="N415" t="n">
        <v>0</v>
      </c>
      <c r="O415" t="n">
        <v>0</v>
      </c>
      <c r="P415" t="n">
        <v>0</v>
      </c>
      <c r="Q415" t="n">
        <v>0</v>
      </c>
      <c r="R415" s="2" t="inlineStr"/>
    </row>
    <row r="416" ht="15" customHeight="1">
      <c r="A416" t="inlineStr">
        <is>
          <t>A 7858-2025</t>
        </is>
      </c>
      <c r="B416" s="1" t="n">
        <v>45706.68633101852</v>
      </c>
      <c r="C416" s="1" t="n">
        <v>46123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46545-2024</t>
        </is>
      </c>
      <c r="B417" s="1" t="n">
        <v>45582.65831018519</v>
      </c>
      <c r="C417" s="1" t="n">
        <v>46123</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999-2023</t>
        </is>
      </c>
      <c r="B418" s="1" t="n">
        <v>44935</v>
      </c>
      <c r="C418" s="1" t="n">
        <v>46123</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1364-2025</t>
        </is>
      </c>
      <c r="B419" s="1" t="n">
        <v>45667.63929398148</v>
      </c>
      <c r="C419" s="1" t="n">
        <v>46123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2125-2025</t>
        </is>
      </c>
      <c r="B420" s="1" t="n">
        <v>45672.64940972222</v>
      </c>
      <c r="C420" s="1" t="n">
        <v>46123</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27355-2025</t>
        </is>
      </c>
      <c r="B421" s="1" t="n">
        <v>45812</v>
      </c>
      <c r="C421" s="1" t="n">
        <v>46123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27371-2025</t>
        </is>
      </c>
      <c r="B422" s="1" t="n">
        <v>45812</v>
      </c>
      <c r="C422" s="1" t="n">
        <v>46123</v>
      </c>
      <c r="D422" t="inlineStr">
        <is>
          <t>GOTLANDS LÄN</t>
        </is>
      </c>
      <c r="E422" t="inlineStr">
        <is>
          <t>GOTLAND</t>
        </is>
      </c>
      <c r="G422" t="n">
        <v>8</v>
      </c>
      <c r="H422" t="n">
        <v>0</v>
      </c>
      <c r="I422" t="n">
        <v>0</v>
      </c>
      <c r="J422" t="n">
        <v>0</v>
      </c>
      <c r="K422" t="n">
        <v>0</v>
      </c>
      <c r="L422" t="n">
        <v>0</v>
      </c>
      <c r="M422" t="n">
        <v>0</v>
      </c>
      <c r="N422" t="n">
        <v>0</v>
      </c>
      <c r="O422" t="n">
        <v>0</v>
      </c>
      <c r="P422" t="n">
        <v>0</v>
      </c>
      <c r="Q422" t="n">
        <v>0</v>
      </c>
      <c r="R422" s="2" t="inlineStr"/>
    </row>
    <row r="423" ht="15" customHeight="1">
      <c r="A423" t="inlineStr">
        <is>
          <t>A 14141-2024</t>
        </is>
      </c>
      <c r="B423" s="1" t="n">
        <v>45392.85193287037</v>
      </c>
      <c r="C423" s="1" t="n">
        <v>46123</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12155-2023</t>
        </is>
      </c>
      <c r="B424" s="1" t="n">
        <v>44998.49106481481</v>
      </c>
      <c r="C424" s="1" t="n">
        <v>46123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2774-2024</t>
        </is>
      </c>
      <c r="B425" s="1" t="n">
        <v>45314.62375</v>
      </c>
      <c r="C425" s="1" t="n">
        <v>46123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7850-2025</t>
        </is>
      </c>
      <c r="B426" s="1" t="n">
        <v>45706</v>
      </c>
      <c r="C426" s="1" t="n">
        <v>46123</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6739-2025</t>
        </is>
      </c>
      <c r="B427" s="1" t="n">
        <v>45700</v>
      </c>
      <c r="C427" s="1" t="n">
        <v>46123</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46123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46123</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56688-2025</t>
        </is>
      </c>
      <c r="B430" s="1" t="n">
        <v>45975.84331018518</v>
      </c>
      <c r="C430" s="1" t="n">
        <v>46123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8444-2025</t>
        </is>
      </c>
      <c r="B431" s="1" t="n">
        <v>45709</v>
      </c>
      <c r="C431" s="1" t="n">
        <v>46123</v>
      </c>
      <c r="D431" t="inlineStr">
        <is>
          <t>GOTLANDS LÄN</t>
        </is>
      </c>
      <c r="E431" t="inlineStr">
        <is>
          <t>GOTLAND</t>
        </is>
      </c>
      <c r="G431" t="n">
        <v>5.2</v>
      </c>
      <c r="H431" t="n">
        <v>0</v>
      </c>
      <c r="I431" t="n">
        <v>0</v>
      </c>
      <c r="J431" t="n">
        <v>0</v>
      </c>
      <c r="K431" t="n">
        <v>0</v>
      </c>
      <c r="L431" t="n">
        <v>0</v>
      </c>
      <c r="M431" t="n">
        <v>0</v>
      </c>
      <c r="N431" t="n">
        <v>0</v>
      </c>
      <c r="O431" t="n">
        <v>0</v>
      </c>
      <c r="P431" t="n">
        <v>0</v>
      </c>
      <c r="Q431" t="n">
        <v>0</v>
      </c>
      <c r="R431" s="2" t="inlineStr"/>
    </row>
    <row r="432" ht="15" customHeight="1">
      <c r="A432" t="inlineStr">
        <is>
          <t>A 19905-2025</t>
        </is>
      </c>
      <c r="B432" s="1" t="n">
        <v>45771</v>
      </c>
      <c r="C432" s="1" t="n">
        <v>46123</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56799-2025</t>
        </is>
      </c>
      <c r="B433" s="1" t="n">
        <v>45978.43392361111</v>
      </c>
      <c r="C433" s="1" t="n">
        <v>46123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15083-2025</t>
        </is>
      </c>
      <c r="B434" s="1" t="n">
        <v>45743</v>
      </c>
      <c r="C434" s="1" t="n">
        <v>46123</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29207-2025</t>
        </is>
      </c>
      <c r="B435" s="1" t="n">
        <v>45823</v>
      </c>
      <c r="C435" s="1" t="n">
        <v>46123</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29196-2025</t>
        </is>
      </c>
      <c r="B436" s="1" t="n">
        <v>45822</v>
      </c>
      <c r="C436" s="1" t="n">
        <v>46123</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30061-2025</t>
        </is>
      </c>
      <c r="B437" s="1" t="n">
        <v>45826.61488425926</v>
      </c>
      <c r="C437" s="1" t="n">
        <v>46123</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1066-2024</t>
        </is>
      </c>
      <c r="B438" s="1" t="n">
        <v>45302.285</v>
      </c>
      <c r="C438" s="1" t="n">
        <v>46123</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46123</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37202-2024</t>
        </is>
      </c>
      <c r="B440" s="1" t="n">
        <v>45539.67310185185</v>
      </c>
      <c r="C440" s="1" t="n">
        <v>46123</v>
      </c>
      <c r="D440" t="inlineStr">
        <is>
          <t>GOTLANDS LÄN</t>
        </is>
      </c>
      <c r="E440" t="inlineStr">
        <is>
          <t>GOTLAND</t>
        </is>
      </c>
      <c r="G440" t="n">
        <v>0.3</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46123</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59197-2025</t>
        </is>
      </c>
      <c r="B442" s="1" t="n">
        <v>45988.59846064815</v>
      </c>
      <c r="C442" s="1" t="n">
        <v>46123</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46123</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10492-2023</t>
        </is>
      </c>
      <c r="B444" s="1" t="n">
        <v>44987</v>
      </c>
      <c r="C444" s="1" t="n">
        <v>46123</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36319-2025</t>
        </is>
      </c>
      <c r="B445" s="1" t="n">
        <v>45868</v>
      </c>
      <c r="C445" s="1" t="n">
        <v>46123</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44919-2022</t>
        </is>
      </c>
      <c r="B446" s="1" t="n">
        <v>44841</v>
      </c>
      <c r="C446" s="1" t="n">
        <v>46123</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46123</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46123</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46123</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16109-2025</t>
        </is>
      </c>
      <c r="B450" s="1" t="n">
        <v>45750</v>
      </c>
      <c r="C450" s="1" t="n">
        <v>46123</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1291-2023</t>
        </is>
      </c>
      <c r="B451" s="1" t="n">
        <v>44936.47561342592</v>
      </c>
      <c r="C451" s="1" t="n">
        <v>46123</v>
      </c>
      <c r="D451" t="inlineStr">
        <is>
          <t>GOTLANDS LÄN</t>
        </is>
      </c>
      <c r="E451" t="inlineStr">
        <is>
          <t>GOTLAND</t>
        </is>
      </c>
      <c r="G451" t="n">
        <v>7.4</v>
      </c>
      <c r="H451" t="n">
        <v>0</v>
      </c>
      <c r="I451" t="n">
        <v>0</v>
      </c>
      <c r="J451" t="n">
        <v>0</v>
      </c>
      <c r="K451" t="n">
        <v>0</v>
      </c>
      <c r="L451" t="n">
        <v>0</v>
      </c>
      <c r="M451" t="n">
        <v>0</v>
      </c>
      <c r="N451" t="n">
        <v>0</v>
      </c>
      <c r="O451" t="n">
        <v>0</v>
      </c>
      <c r="P451" t="n">
        <v>0</v>
      </c>
      <c r="Q451" t="n">
        <v>0</v>
      </c>
      <c r="R451" s="2" t="inlineStr"/>
    </row>
    <row r="452" ht="15" customHeight="1">
      <c r="A452" t="inlineStr">
        <is>
          <t>A 32467-2025</t>
        </is>
      </c>
      <c r="B452" s="1" t="n">
        <v>45838.42111111111</v>
      </c>
      <c r="C452" s="1" t="n">
        <v>46123</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32330-2024</t>
        </is>
      </c>
      <c r="B453" s="1" t="n">
        <v>45512</v>
      </c>
      <c r="C453" s="1" t="n">
        <v>46123</v>
      </c>
      <c r="D453" t="inlineStr">
        <is>
          <t>GOTLANDS LÄN</t>
        </is>
      </c>
      <c r="E453" t="inlineStr">
        <is>
          <t>GOTLAND</t>
        </is>
      </c>
      <c r="G453" t="n">
        <v>2.6</v>
      </c>
      <c r="H453" t="n">
        <v>0</v>
      </c>
      <c r="I453" t="n">
        <v>0</v>
      </c>
      <c r="J453" t="n">
        <v>0</v>
      </c>
      <c r="K453" t="n">
        <v>0</v>
      </c>
      <c r="L453" t="n">
        <v>0</v>
      </c>
      <c r="M453" t="n">
        <v>0</v>
      </c>
      <c r="N453" t="n">
        <v>0</v>
      </c>
      <c r="O453" t="n">
        <v>0</v>
      </c>
      <c r="P453" t="n">
        <v>0</v>
      </c>
      <c r="Q453" t="n">
        <v>0</v>
      </c>
      <c r="R453" s="2" t="inlineStr"/>
    </row>
    <row r="454" ht="15" customHeight="1">
      <c r="A454" t="inlineStr">
        <is>
          <t>A 5891-2025</t>
        </is>
      </c>
      <c r="B454" s="1" t="n">
        <v>45695.38327546296</v>
      </c>
      <c r="C454" s="1" t="n">
        <v>46123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32379-2025</t>
        </is>
      </c>
      <c r="B455" s="1" t="n">
        <v>45837</v>
      </c>
      <c r="C455" s="1" t="n">
        <v>46123</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2719-2023</t>
        </is>
      </c>
      <c r="B456" s="1" t="n">
        <v>44944.55361111111</v>
      </c>
      <c r="C456" s="1" t="n">
        <v>46123</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17144-2025</t>
        </is>
      </c>
      <c r="B457" s="1" t="n">
        <v>45755.9499537037</v>
      </c>
      <c r="C457" s="1" t="n">
        <v>46123</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49314-2024</t>
        </is>
      </c>
      <c r="B458" s="1" t="n">
        <v>45595.55893518519</v>
      </c>
      <c r="C458" s="1" t="n">
        <v>46123</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9875-2025</t>
        </is>
      </c>
      <c r="B459" s="1" t="n">
        <v>45716</v>
      </c>
      <c r="C459" s="1" t="n">
        <v>46123</v>
      </c>
      <c r="D459" t="inlineStr">
        <is>
          <t>GOTLANDS LÄN</t>
        </is>
      </c>
      <c r="E459" t="inlineStr">
        <is>
          <t>GOTLAND</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29809-2022</t>
        </is>
      </c>
      <c r="B460" s="1" t="n">
        <v>44755.8713425926</v>
      </c>
      <c r="C460" s="1" t="n">
        <v>46123</v>
      </c>
      <c r="D460" t="inlineStr">
        <is>
          <t>GOTLANDS LÄN</t>
        </is>
      </c>
      <c r="E460" t="inlineStr">
        <is>
          <t>GOTLAND</t>
        </is>
      </c>
      <c r="G460" t="n">
        <v>11.5</v>
      </c>
      <c r="H460" t="n">
        <v>0</v>
      </c>
      <c r="I460" t="n">
        <v>0</v>
      </c>
      <c r="J460" t="n">
        <v>0</v>
      </c>
      <c r="K460" t="n">
        <v>0</v>
      </c>
      <c r="L460" t="n">
        <v>0</v>
      </c>
      <c r="M460" t="n">
        <v>0</v>
      </c>
      <c r="N460" t="n">
        <v>0</v>
      </c>
      <c r="O460" t="n">
        <v>0</v>
      </c>
      <c r="P460" t="n">
        <v>0</v>
      </c>
      <c r="Q460" t="n">
        <v>0</v>
      </c>
      <c r="R460" s="2" t="inlineStr"/>
    </row>
    <row r="461" ht="15" customHeight="1">
      <c r="A461" t="inlineStr">
        <is>
          <t>A 33007-2025</t>
        </is>
      </c>
      <c r="B461" s="1" t="n">
        <v>45840</v>
      </c>
      <c r="C461" s="1" t="n">
        <v>46123</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16361-2024</t>
        </is>
      </c>
      <c r="B462" s="1" t="n">
        <v>45407</v>
      </c>
      <c r="C462" s="1" t="n">
        <v>46123</v>
      </c>
      <c r="D462" t="inlineStr">
        <is>
          <t>GOTLANDS LÄN</t>
        </is>
      </c>
      <c r="E462" t="inlineStr">
        <is>
          <t>GOTLAND</t>
        </is>
      </c>
      <c r="G462" t="n">
        <v>6</v>
      </c>
      <c r="H462" t="n">
        <v>0</v>
      </c>
      <c r="I462" t="n">
        <v>0</v>
      </c>
      <c r="J462" t="n">
        <v>0</v>
      </c>
      <c r="K462" t="n">
        <v>0</v>
      </c>
      <c r="L462" t="n">
        <v>0</v>
      </c>
      <c r="M462" t="n">
        <v>0</v>
      </c>
      <c r="N462" t="n">
        <v>0</v>
      </c>
      <c r="O462" t="n">
        <v>0</v>
      </c>
      <c r="P462" t="n">
        <v>0</v>
      </c>
      <c r="Q462" t="n">
        <v>0</v>
      </c>
      <c r="R462" s="2" t="inlineStr"/>
    </row>
    <row r="463" ht="15" customHeight="1">
      <c r="A463" t="inlineStr">
        <is>
          <t>A 43081-2022</t>
        </is>
      </c>
      <c r="B463" s="1" t="n">
        <v>44833</v>
      </c>
      <c r="C463" s="1" t="n">
        <v>46123</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62066-2025</t>
        </is>
      </c>
      <c r="B464" s="1" t="n">
        <v>46006.34738425926</v>
      </c>
      <c r="C464" s="1" t="n">
        <v>46123</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62103-2025</t>
        </is>
      </c>
      <c r="B465" s="1" t="n">
        <v>46006</v>
      </c>
      <c r="C465" s="1" t="n">
        <v>46123</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1175-2025</t>
        </is>
      </c>
      <c r="B466" s="1" t="n">
        <v>45667.34449074074</v>
      </c>
      <c r="C466" s="1" t="n">
        <v>46123</v>
      </c>
      <c r="D466" t="inlineStr">
        <is>
          <t>GOTLANDS LÄN</t>
        </is>
      </c>
      <c r="E466" t="inlineStr">
        <is>
          <t>GOTLAND</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42201-2023</t>
        </is>
      </c>
      <c r="B467" s="1" t="n">
        <v>45179</v>
      </c>
      <c r="C467" s="1" t="n">
        <v>46123</v>
      </c>
      <c r="D467" t="inlineStr">
        <is>
          <t>GOTLANDS LÄN</t>
        </is>
      </c>
      <c r="E467" t="inlineStr">
        <is>
          <t>GOTLAND</t>
        </is>
      </c>
      <c r="G467" t="n">
        <v>11.9</v>
      </c>
      <c r="H467" t="n">
        <v>0</v>
      </c>
      <c r="I467" t="n">
        <v>0</v>
      </c>
      <c r="J467" t="n">
        <v>0</v>
      </c>
      <c r="K467" t="n">
        <v>0</v>
      </c>
      <c r="L467" t="n">
        <v>0</v>
      </c>
      <c r="M467" t="n">
        <v>0</v>
      </c>
      <c r="N467" t="n">
        <v>0</v>
      </c>
      <c r="O467" t="n">
        <v>0</v>
      </c>
      <c r="P467" t="n">
        <v>0</v>
      </c>
      <c r="Q467" t="n">
        <v>0</v>
      </c>
      <c r="R467" s="2" t="inlineStr"/>
    </row>
    <row r="468" ht="15" customHeight="1">
      <c r="A468" t="inlineStr">
        <is>
          <t>A 63002-2025</t>
        </is>
      </c>
      <c r="B468" s="1" t="n">
        <v>46009.56564814815</v>
      </c>
      <c r="C468" s="1" t="n">
        <v>46123</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3150-2025</t>
        </is>
      </c>
      <c r="B469" s="1" t="n">
        <v>45679.28974537037</v>
      </c>
      <c r="C469" s="1" t="n">
        <v>46123</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42041-2024</t>
        </is>
      </c>
      <c r="B470" s="1" t="n">
        <v>45561</v>
      </c>
      <c r="C470" s="1" t="n">
        <v>46123</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54584-2025</t>
        </is>
      </c>
      <c r="B471" s="1" t="n">
        <v>45965.71788194445</v>
      </c>
      <c r="C471" s="1" t="n">
        <v>46123</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38649-2025</t>
        </is>
      </c>
      <c r="B472" s="1" t="n">
        <v>45884</v>
      </c>
      <c r="C472" s="1" t="n">
        <v>46123</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15436-2025</t>
        </is>
      </c>
      <c r="B473" s="1" t="n">
        <v>45747.47462962963</v>
      </c>
      <c r="C473" s="1" t="n">
        <v>46123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21247-2022</t>
        </is>
      </c>
      <c r="B474" s="1" t="n">
        <v>44705.38832175926</v>
      </c>
      <c r="C474" s="1" t="n">
        <v>46123</v>
      </c>
      <c r="D474" t="inlineStr">
        <is>
          <t>GOTLANDS LÄN</t>
        </is>
      </c>
      <c r="E474" t="inlineStr">
        <is>
          <t>GOTLAND</t>
        </is>
      </c>
      <c r="G474" t="n">
        <v>16.2</v>
      </c>
      <c r="H474" t="n">
        <v>0</v>
      </c>
      <c r="I474" t="n">
        <v>0</v>
      </c>
      <c r="J474" t="n">
        <v>0</v>
      </c>
      <c r="K474" t="n">
        <v>0</v>
      </c>
      <c r="L474" t="n">
        <v>0</v>
      </c>
      <c r="M474" t="n">
        <v>0</v>
      </c>
      <c r="N474" t="n">
        <v>0</v>
      </c>
      <c r="O474" t="n">
        <v>0</v>
      </c>
      <c r="P474" t="n">
        <v>0</v>
      </c>
      <c r="Q474" t="n">
        <v>0</v>
      </c>
      <c r="R474" s="2" t="inlineStr"/>
    </row>
    <row r="475" ht="15" customHeight="1">
      <c r="A475" t="inlineStr">
        <is>
          <t>A 61078-2025</t>
        </is>
      </c>
      <c r="B475" s="1" t="n">
        <v>46000</v>
      </c>
      <c r="C475" s="1" t="n">
        <v>46123</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15413-2025</t>
        </is>
      </c>
      <c r="B476" s="1" t="n">
        <v>45747.451875</v>
      </c>
      <c r="C476" s="1" t="n">
        <v>46123</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36-2026</t>
        </is>
      </c>
      <c r="B477" s="1" t="n">
        <v>46024.38886574074</v>
      </c>
      <c r="C477" s="1" t="n">
        <v>46123</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62674-2025</t>
        </is>
      </c>
      <c r="B478" s="1" t="n">
        <v>46008</v>
      </c>
      <c r="C478" s="1" t="n">
        <v>46123</v>
      </c>
      <c r="D478" t="inlineStr">
        <is>
          <t>GOTLANDS LÄN</t>
        </is>
      </c>
      <c r="E478" t="inlineStr">
        <is>
          <t>GOTLAND</t>
        </is>
      </c>
      <c r="G478" t="n">
        <v>5</v>
      </c>
      <c r="H478" t="n">
        <v>0</v>
      </c>
      <c r="I478" t="n">
        <v>0</v>
      </c>
      <c r="J478" t="n">
        <v>0</v>
      </c>
      <c r="K478" t="n">
        <v>0</v>
      </c>
      <c r="L478" t="n">
        <v>0</v>
      </c>
      <c r="M478" t="n">
        <v>0</v>
      </c>
      <c r="N478" t="n">
        <v>0</v>
      </c>
      <c r="O478" t="n">
        <v>0</v>
      </c>
      <c r="P478" t="n">
        <v>0</v>
      </c>
      <c r="Q478" t="n">
        <v>0</v>
      </c>
      <c r="R478" s="2" t="inlineStr"/>
    </row>
    <row r="479" ht="15" customHeight="1">
      <c r="A479" t="inlineStr">
        <is>
          <t>A 35096-2025</t>
        </is>
      </c>
      <c r="B479" s="1" t="n">
        <v>45852.54356481481</v>
      </c>
      <c r="C479" s="1" t="n">
        <v>46123</v>
      </c>
      <c r="D479" t="inlineStr">
        <is>
          <t>GOTLANDS LÄN</t>
        </is>
      </c>
      <c r="E479" t="inlineStr">
        <is>
          <t>GOTLAND</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17780-2022</t>
        </is>
      </c>
      <c r="B480" s="1" t="n">
        <v>44682.82622685185</v>
      </c>
      <c r="C480" s="1" t="n">
        <v>46123</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35123-2025</t>
        </is>
      </c>
      <c r="B481" s="1" t="n">
        <v>45852.614375</v>
      </c>
      <c r="C481" s="1" t="n">
        <v>46123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46123</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1355-2026</t>
        </is>
      </c>
      <c r="B483" s="1" t="n">
        <v>46031.59909722222</v>
      </c>
      <c r="C483" s="1" t="n">
        <v>46123</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35290-2025</t>
        </is>
      </c>
      <c r="B484" s="1" t="n">
        <v>45854.38502314815</v>
      </c>
      <c r="C484" s="1" t="n">
        <v>46123</v>
      </c>
      <c r="D484" t="inlineStr">
        <is>
          <t>GOTLANDS LÄN</t>
        </is>
      </c>
      <c r="E484" t="inlineStr">
        <is>
          <t>GOTLAND</t>
        </is>
      </c>
      <c r="G484" t="n">
        <v>5.4</v>
      </c>
      <c r="H484" t="n">
        <v>0</v>
      </c>
      <c r="I484" t="n">
        <v>0</v>
      </c>
      <c r="J484" t="n">
        <v>0</v>
      </c>
      <c r="K484" t="n">
        <v>0</v>
      </c>
      <c r="L484" t="n">
        <v>0</v>
      </c>
      <c r="M484" t="n">
        <v>0</v>
      </c>
      <c r="N484" t="n">
        <v>0</v>
      </c>
      <c r="O484" t="n">
        <v>0</v>
      </c>
      <c r="P484" t="n">
        <v>0</v>
      </c>
      <c r="Q484" t="n">
        <v>0</v>
      </c>
      <c r="R484" s="2" t="inlineStr"/>
    </row>
    <row r="485" ht="15" customHeight="1">
      <c r="A485" t="inlineStr">
        <is>
          <t>A 53935-2024</t>
        </is>
      </c>
      <c r="B485" s="1" t="n">
        <v>45615</v>
      </c>
      <c r="C485" s="1" t="n">
        <v>46123</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30104-2025</t>
        </is>
      </c>
      <c r="B486" s="1" t="n">
        <v>45826.68806712963</v>
      </c>
      <c r="C486" s="1" t="n">
        <v>46123</v>
      </c>
      <c r="D486" t="inlineStr">
        <is>
          <t>GOTLANDS LÄN</t>
        </is>
      </c>
      <c r="E486" t="inlineStr">
        <is>
          <t>GOTLAND</t>
        </is>
      </c>
      <c r="G486" t="n">
        <v>15.4</v>
      </c>
      <c r="H486" t="n">
        <v>0</v>
      </c>
      <c r="I486" t="n">
        <v>0</v>
      </c>
      <c r="J486" t="n">
        <v>0</v>
      </c>
      <c r="K486" t="n">
        <v>0</v>
      </c>
      <c r="L486" t="n">
        <v>0</v>
      </c>
      <c r="M486" t="n">
        <v>0</v>
      </c>
      <c r="N486" t="n">
        <v>0</v>
      </c>
      <c r="O486" t="n">
        <v>0</v>
      </c>
      <c r="P486" t="n">
        <v>0</v>
      </c>
      <c r="Q486" t="n">
        <v>0</v>
      </c>
      <c r="R486" s="2" t="inlineStr"/>
    </row>
    <row r="487" ht="15" customHeight="1">
      <c r="A487" t="inlineStr">
        <is>
          <t>A 32669-2024</t>
        </is>
      </c>
      <c r="B487" s="1" t="n">
        <v>45514</v>
      </c>
      <c r="C487" s="1" t="n">
        <v>46123</v>
      </c>
      <c r="D487" t="inlineStr">
        <is>
          <t>GOTLANDS LÄN</t>
        </is>
      </c>
      <c r="E487" t="inlineStr">
        <is>
          <t>GOTLAND</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46123</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46123</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46123</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46123</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1898-2026</t>
        </is>
      </c>
      <c r="B492" s="1" t="n">
        <v>46035.52024305556</v>
      </c>
      <c r="C492" s="1" t="n">
        <v>46123</v>
      </c>
      <c r="D492" t="inlineStr">
        <is>
          <t>GOTLANDS LÄN</t>
        </is>
      </c>
      <c r="E492" t="inlineStr">
        <is>
          <t>GOTLAND</t>
        </is>
      </c>
      <c r="G492" t="n">
        <v>3.7</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46123</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35537-2025</t>
        </is>
      </c>
      <c r="B494" s="1" t="n">
        <v>45856</v>
      </c>
      <c r="C494" s="1" t="n">
        <v>46123</v>
      </c>
      <c r="D494" t="inlineStr">
        <is>
          <t>GOTLANDS LÄN</t>
        </is>
      </c>
      <c r="E494" t="inlineStr">
        <is>
          <t>GOTLAND</t>
        </is>
      </c>
      <c r="G494" t="n">
        <v>16.8</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46123</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46123</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46123</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876-2024</t>
        </is>
      </c>
      <c r="B498" s="1" t="n">
        <v>45301</v>
      </c>
      <c r="C498" s="1" t="n">
        <v>46123</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46123</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46123</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46123</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2415-2026</t>
        </is>
      </c>
      <c r="B502" s="1" t="n">
        <v>46036.76203703704</v>
      </c>
      <c r="C502" s="1" t="n">
        <v>46123</v>
      </c>
      <c r="D502" t="inlineStr">
        <is>
          <t>GOTLANDS LÄN</t>
        </is>
      </c>
      <c r="E502" t="inlineStr">
        <is>
          <t>GOTLAND</t>
        </is>
      </c>
      <c r="G502" t="n">
        <v>6.9</v>
      </c>
      <c r="H502" t="n">
        <v>0</v>
      </c>
      <c r="I502" t="n">
        <v>0</v>
      </c>
      <c r="J502" t="n">
        <v>0</v>
      </c>
      <c r="K502" t="n">
        <v>0</v>
      </c>
      <c r="L502" t="n">
        <v>0</v>
      </c>
      <c r="M502" t="n">
        <v>0</v>
      </c>
      <c r="N502" t="n">
        <v>0</v>
      </c>
      <c r="O502" t="n">
        <v>0</v>
      </c>
      <c r="P502" t="n">
        <v>0</v>
      </c>
      <c r="Q502" t="n">
        <v>0</v>
      </c>
      <c r="R502" s="2" t="inlineStr"/>
    </row>
    <row r="503" ht="15" customHeight="1">
      <c r="A503" t="inlineStr">
        <is>
          <t>A 5943-2024</t>
        </is>
      </c>
      <c r="B503" s="1" t="n">
        <v>45336</v>
      </c>
      <c r="C503" s="1" t="n">
        <v>46123</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30488-2025</t>
        </is>
      </c>
      <c r="B504" s="1" t="n">
        <v>45830</v>
      </c>
      <c r="C504" s="1" t="n">
        <v>46123</v>
      </c>
      <c r="D504" t="inlineStr">
        <is>
          <t>GOTLANDS LÄN</t>
        </is>
      </c>
      <c r="E504" t="inlineStr">
        <is>
          <t>GOTLAND</t>
        </is>
      </c>
      <c r="F504" t="inlineStr">
        <is>
          <t>Kyrkan</t>
        </is>
      </c>
      <c r="G504" t="n">
        <v>3.9</v>
      </c>
      <c r="H504" t="n">
        <v>0</v>
      </c>
      <c r="I504" t="n">
        <v>0</v>
      </c>
      <c r="J504" t="n">
        <v>0</v>
      </c>
      <c r="K504" t="n">
        <v>0</v>
      </c>
      <c r="L504" t="n">
        <v>0</v>
      </c>
      <c r="M504" t="n">
        <v>0</v>
      </c>
      <c r="N504" t="n">
        <v>0</v>
      </c>
      <c r="O504" t="n">
        <v>0</v>
      </c>
      <c r="P504" t="n">
        <v>0</v>
      </c>
      <c r="Q504" t="n">
        <v>0</v>
      </c>
      <c r="R504" s="2" t="inlineStr"/>
    </row>
    <row r="505" ht="15" customHeight="1">
      <c r="A505" t="inlineStr">
        <is>
          <t>A 15216-2025</t>
        </is>
      </c>
      <c r="B505" s="1" t="n">
        <v>45744</v>
      </c>
      <c r="C505" s="1" t="n">
        <v>46123</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38234-2023</t>
        </is>
      </c>
      <c r="B506" s="1" t="n">
        <v>45161.56663194444</v>
      </c>
      <c r="C506" s="1" t="n">
        <v>46123</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15001-2025</t>
        </is>
      </c>
      <c r="B507" s="1" t="n">
        <v>45743</v>
      </c>
      <c r="C507" s="1" t="n">
        <v>46123</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43790-2024</t>
        </is>
      </c>
      <c r="B508" s="1" t="n">
        <v>45571</v>
      </c>
      <c r="C508" s="1" t="n">
        <v>46123</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17847-2025</t>
        </is>
      </c>
      <c r="B509" s="1" t="n">
        <v>45758</v>
      </c>
      <c r="C509" s="1" t="n">
        <v>46123</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1273-2023</t>
        </is>
      </c>
      <c r="B510" s="1" t="n">
        <v>44936</v>
      </c>
      <c r="C510" s="1" t="n">
        <v>46123</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3253-2026</t>
        </is>
      </c>
      <c r="B511" s="1" t="n">
        <v>46041.58902777778</v>
      </c>
      <c r="C511" s="1" t="n">
        <v>46123</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18742-2025</t>
        </is>
      </c>
      <c r="B512" s="1" t="n">
        <v>45763</v>
      </c>
      <c r="C512" s="1" t="n">
        <v>46123</v>
      </c>
      <c r="D512" t="inlineStr">
        <is>
          <t>GOTLANDS LÄN</t>
        </is>
      </c>
      <c r="E512" t="inlineStr">
        <is>
          <t>GOTLAND</t>
        </is>
      </c>
      <c r="G512" t="n">
        <v>3.4</v>
      </c>
      <c r="H512" t="n">
        <v>0</v>
      </c>
      <c r="I512" t="n">
        <v>0</v>
      </c>
      <c r="J512" t="n">
        <v>0</v>
      </c>
      <c r="K512" t="n">
        <v>0</v>
      </c>
      <c r="L512" t="n">
        <v>0</v>
      </c>
      <c r="M512" t="n">
        <v>0</v>
      </c>
      <c r="N512" t="n">
        <v>0</v>
      </c>
      <c r="O512" t="n">
        <v>0</v>
      </c>
      <c r="P512" t="n">
        <v>0</v>
      </c>
      <c r="Q512" t="n">
        <v>0</v>
      </c>
      <c r="R512" s="2" t="inlineStr"/>
    </row>
    <row r="513" ht="15" customHeight="1">
      <c r="A513" t="inlineStr">
        <is>
          <t>A 11414-2026</t>
        </is>
      </c>
      <c r="B513" s="1" t="n">
        <v>46083.46336805556</v>
      </c>
      <c r="C513" s="1" t="n">
        <v>46123</v>
      </c>
      <c r="D513" t="inlineStr">
        <is>
          <t>GOTLANDS LÄN</t>
        </is>
      </c>
      <c r="E513" t="inlineStr">
        <is>
          <t>GOTLAND</t>
        </is>
      </c>
      <c r="G513" t="n">
        <v>4.9</v>
      </c>
      <c r="H513" t="n">
        <v>0</v>
      </c>
      <c r="I513" t="n">
        <v>0</v>
      </c>
      <c r="J513" t="n">
        <v>0</v>
      </c>
      <c r="K513" t="n">
        <v>0</v>
      </c>
      <c r="L513" t="n">
        <v>0</v>
      </c>
      <c r="M513" t="n">
        <v>0</v>
      </c>
      <c r="N513" t="n">
        <v>0</v>
      </c>
      <c r="O513" t="n">
        <v>0</v>
      </c>
      <c r="P513" t="n">
        <v>0</v>
      </c>
      <c r="Q513" t="n">
        <v>0</v>
      </c>
      <c r="R513" s="2" t="inlineStr"/>
    </row>
    <row r="514" ht="15" customHeight="1">
      <c r="A514" t="inlineStr">
        <is>
          <t>A 35129-2025</t>
        </is>
      </c>
      <c r="B514" s="1" t="n">
        <v>45852.63224537037</v>
      </c>
      <c r="C514" s="1" t="n">
        <v>46123</v>
      </c>
      <c r="D514" t="inlineStr">
        <is>
          <t>GOTLANDS LÄN</t>
        </is>
      </c>
      <c r="E514" t="inlineStr">
        <is>
          <t>GOTLAND</t>
        </is>
      </c>
      <c r="G514" t="n">
        <v>3.2</v>
      </c>
      <c r="H514" t="n">
        <v>0</v>
      </c>
      <c r="I514" t="n">
        <v>0</v>
      </c>
      <c r="J514" t="n">
        <v>0</v>
      </c>
      <c r="K514" t="n">
        <v>0</v>
      </c>
      <c r="L514" t="n">
        <v>0</v>
      </c>
      <c r="M514" t="n">
        <v>0</v>
      </c>
      <c r="N514" t="n">
        <v>0</v>
      </c>
      <c r="O514" t="n">
        <v>0</v>
      </c>
      <c r="P514" t="n">
        <v>0</v>
      </c>
      <c r="Q514" t="n">
        <v>0</v>
      </c>
      <c r="R514" s="2" t="inlineStr"/>
    </row>
    <row r="515" ht="15" customHeight="1">
      <c r="A515" t="inlineStr">
        <is>
          <t>A 11424-2026</t>
        </is>
      </c>
      <c r="B515" s="1" t="n">
        <v>46083.48068287037</v>
      </c>
      <c r="C515" s="1" t="n">
        <v>46123</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46123</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23978-2023</t>
        </is>
      </c>
      <c r="B517" s="1" t="n">
        <v>45078</v>
      </c>
      <c r="C517" s="1" t="n">
        <v>46123</v>
      </c>
      <c r="D517" t="inlineStr">
        <is>
          <t>GOTLANDS LÄN</t>
        </is>
      </c>
      <c r="E517" t="inlineStr">
        <is>
          <t>GOTLAND</t>
        </is>
      </c>
      <c r="F517" t="inlineStr">
        <is>
          <t>Naturvårdsverket</t>
        </is>
      </c>
      <c r="G517" t="n">
        <v>1.7</v>
      </c>
      <c r="H517" t="n">
        <v>0</v>
      </c>
      <c r="I517" t="n">
        <v>0</v>
      </c>
      <c r="J517" t="n">
        <v>0</v>
      </c>
      <c r="K517" t="n">
        <v>0</v>
      </c>
      <c r="L517" t="n">
        <v>0</v>
      </c>
      <c r="M517" t="n">
        <v>0</v>
      </c>
      <c r="N517" t="n">
        <v>0</v>
      </c>
      <c r="O517" t="n">
        <v>0</v>
      </c>
      <c r="P517" t="n">
        <v>0</v>
      </c>
      <c r="Q517" t="n">
        <v>0</v>
      </c>
      <c r="R517" s="2" t="inlineStr"/>
    </row>
    <row r="518" ht="15" customHeight="1">
      <c r="A518" t="inlineStr">
        <is>
          <t>A 49884-2023</t>
        </is>
      </c>
      <c r="B518" s="1" t="n">
        <v>45213</v>
      </c>
      <c r="C518" s="1" t="n">
        <v>46123</v>
      </c>
      <c r="D518" t="inlineStr">
        <is>
          <t>GOTLANDS LÄN</t>
        </is>
      </c>
      <c r="E518" t="inlineStr">
        <is>
          <t>GOTLAND</t>
        </is>
      </c>
      <c r="G518" t="n">
        <v>8.9</v>
      </c>
      <c r="H518" t="n">
        <v>0</v>
      </c>
      <c r="I518" t="n">
        <v>0</v>
      </c>
      <c r="J518" t="n">
        <v>0</v>
      </c>
      <c r="K518" t="n">
        <v>0</v>
      </c>
      <c r="L518" t="n">
        <v>0</v>
      </c>
      <c r="M518" t="n">
        <v>0</v>
      </c>
      <c r="N518" t="n">
        <v>0</v>
      </c>
      <c r="O518" t="n">
        <v>0</v>
      </c>
      <c r="P518" t="n">
        <v>0</v>
      </c>
      <c r="Q518" t="n">
        <v>0</v>
      </c>
      <c r="R518" s="2" t="inlineStr"/>
    </row>
    <row r="519" ht="15" customHeight="1">
      <c r="A519" t="inlineStr">
        <is>
          <t>A 12846-2025</t>
        </is>
      </c>
      <c r="B519" s="1" t="n">
        <v>45733.65049768519</v>
      </c>
      <c r="C519" s="1" t="n">
        <v>46123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43200-2023</t>
        </is>
      </c>
      <c r="B520" s="1" t="n">
        <v>45183</v>
      </c>
      <c r="C520" s="1" t="n">
        <v>46123</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11982-2026</t>
        </is>
      </c>
      <c r="B521" s="1" t="n">
        <v>46085.6434375</v>
      </c>
      <c r="C521" s="1" t="n">
        <v>46123</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3935-2025</t>
        </is>
      </c>
      <c r="B522" s="1" t="n">
        <v>45684.46070601852</v>
      </c>
      <c r="C522" s="1" t="n">
        <v>46123</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12135-2026</t>
        </is>
      </c>
      <c r="B523" s="1" t="n">
        <v>46086</v>
      </c>
      <c r="C523" s="1" t="n">
        <v>46123</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21792-2024</t>
        </is>
      </c>
      <c r="B524" s="1" t="n">
        <v>45442.64326388889</v>
      </c>
      <c r="C524" s="1" t="n">
        <v>46123</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1839-2026</t>
        </is>
      </c>
      <c r="B525" s="1" t="n">
        <v>46035.3942824074</v>
      </c>
      <c r="C525" s="1" t="n">
        <v>46123</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30489-2025</t>
        </is>
      </c>
      <c r="B526" s="1" t="n">
        <v>45830</v>
      </c>
      <c r="C526" s="1" t="n">
        <v>46123</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4639-2026</t>
        </is>
      </c>
      <c r="B527" s="1" t="n">
        <v>46048.39880787037</v>
      </c>
      <c r="C527" s="1" t="n">
        <v>46123</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4662-2026</t>
        </is>
      </c>
      <c r="B528" s="1" t="n">
        <v>46048.40949074074</v>
      </c>
      <c r="C528" s="1" t="n">
        <v>46123</v>
      </c>
      <c r="D528" t="inlineStr">
        <is>
          <t>GOTLANDS LÄN</t>
        </is>
      </c>
      <c r="E528" t="inlineStr">
        <is>
          <t>GOTLAND</t>
        </is>
      </c>
      <c r="G528" t="n">
        <v>7.6</v>
      </c>
      <c r="H528" t="n">
        <v>0</v>
      </c>
      <c r="I528" t="n">
        <v>0</v>
      </c>
      <c r="J528" t="n">
        <v>0</v>
      </c>
      <c r="K528" t="n">
        <v>0</v>
      </c>
      <c r="L528" t="n">
        <v>0</v>
      </c>
      <c r="M528" t="n">
        <v>0</v>
      </c>
      <c r="N528" t="n">
        <v>0</v>
      </c>
      <c r="O528" t="n">
        <v>0</v>
      </c>
      <c r="P528" t="n">
        <v>0</v>
      </c>
      <c r="Q528" t="n">
        <v>0</v>
      </c>
      <c r="R528" s="2" t="inlineStr"/>
    </row>
    <row r="529" ht="15" customHeight="1">
      <c r="A529" t="inlineStr">
        <is>
          <t>A 21142-2025</t>
        </is>
      </c>
      <c r="B529" s="1" t="n">
        <v>45779</v>
      </c>
      <c r="C529" s="1" t="n">
        <v>46123</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6108-2025</t>
        </is>
      </c>
      <c r="B530" s="1" t="n">
        <v>45698.29880787037</v>
      </c>
      <c r="C530" s="1" t="n">
        <v>46123</v>
      </c>
      <c r="D530" t="inlineStr">
        <is>
          <t>GOTLANDS LÄN</t>
        </is>
      </c>
      <c r="E530" t="inlineStr">
        <is>
          <t>GOTLAND</t>
        </is>
      </c>
      <c r="G530" t="n">
        <v>2.8</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46123</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4646-2026</t>
        </is>
      </c>
      <c r="B532" s="1" t="n">
        <v>46048.40357638889</v>
      </c>
      <c r="C532" s="1" t="n">
        <v>46123</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17343-2025</t>
        </is>
      </c>
      <c r="B533" s="1" t="n">
        <v>45756.6687037037</v>
      </c>
      <c r="C533" s="1" t="n">
        <v>46123</v>
      </c>
      <c r="D533" t="inlineStr">
        <is>
          <t>GOTLANDS LÄN</t>
        </is>
      </c>
      <c r="E533" t="inlineStr">
        <is>
          <t>GOTLAND</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18938-2025</t>
        </is>
      </c>
      <c r="B534" s="1" t="n">
        <v>45764.49172453704</v>
      </c>
      <c r="C534" s="1" t="n">
        <v>46123</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20307-2025</t>
        </is>
      </c>
      <c r="B535" s="1" t="n">
        <v>45774.95546296296</v>
      </c>
      <c r="C535" s="1" t="n">
        <v>46123</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4634-2026</t>
        </is>
      </c>
      <c r="B536" s="1" t="n">
        <v>46048.39304398148</v>
      </c>
      <c r="C536" s="1" t="n">
        <v>46123</v>
      </c>
      <c r="D536" t="inlineStr">
        <is>
          <t>GOTLANDS LÄN</t>
        </is>
      </c>
      <c r="E536" t="inlineStr">
        <is>
          <t>GOTLAND</t>
        </is>
      </c>
      <c r="G536" t="n">
        <v>7.8</v>
      </c>
      <c r="H536" t="n">
        <v>0</v>
      </c>
      <c r="I536" t="n">
        <v>0</v>
      </c>
      <c r="J536" t="n">
        <v>0</v>
      </c>
      <c r="K536" t="n">
        <v>0</v>
      </c>
      <c r="L536" t="n">
        <v>0</v>
      </c>
      <c r="M536" t="n">
        <v>0</v>
      </c>
      <c r="N536" t="n">
        <v>0</v>
      </c>
      <c r="O536" t="n">
        <v>0</v>
      </c>
      <c r="P536" t="n">
        <v>0</v>
      </c>
      <c r="Q536" t="n">
        <v>0</v>
      </c>
      <c r="R536" s="2" t="inlineStr"/>
    </row>
    <row r="537" ht="15" customHeight="1">
      <c r="A537" t="inlineStr">
        <is>
          <t>A 4670-2026</t>
        </is>
      </c>
      <c r="B537" s="1" t="n">
        <v>46048.41733796296</v>
      </c>
      <c r="C537" s="1" t="n">
        <v>46123</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46123</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46123</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46123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18993-2025</t>
        </is>
      </c>
      <c r="B541" s="1" t="n">
        <v>45764</v>
      </c>
      <c r="C541" s="1" t="n">
        <v>46123</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30135-2025</t>
        </is>
      </c>
      <c r="B542" s="1" t="n">
        <v>45826</v>
      </c>
      <c r="C542" s="1" t="n">
        <v>46123</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20225-2025</t>
        </is>
      </c>
      <c r="B543" s="1" t="n">
        <v>45772.65802083333</v>
      </c>
      <c r="C543" s="1" t="n">
        <v>46123</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1854-2026</t>
        </is>
      </c>
      <c r="B544" s="1" t="n">
        <v>46035.4171875</v>
      </c>
      <c r="C544" s="1" t="n">
        <v>46123</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46123</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46123</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13486-2026</t>
        </is>
      </c>
      <c r="B547" s="1" t="n">
        <v>46094</v>
      </c>
      <c r="C547" s="1" t="n">
        <v>46123</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8036-2022</t>
        </is>
      </c>
      <c r="B548" s="1" t="n">
        <v>44609.44362268518</v>
      </c>
      <c r="C548" s="1" t="n">
        <v>46123</v>
      </c>
      <c r="D548" t="inlineStr">
        <is>
          <t>GOTLANDS LÄN</t>
        </is>
      </c>
      <c r="E548" t="inlineStr">
        <is>
          <t>GOTLAND</t>
        </is>
      </c>
      <c r="G548" t="n">
        <v>6.1</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46123</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6218-2026</t>
        </is>
      </c>
      <c r="B550" s="1" t="n">
        <v>46055.42859953704</v>
      </c>
      <c r="C550" s="1" t="n">
        <v>46123</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46375-2024</t>
        </is>
      </c>
      <c r="B551" s="1" t="n">
        <v>45582</v>
      </c>
      <c r="C551" s="1" t="n">
        <v>46123</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62915-2021</t>
        </is>
      </c>
      <c r="B552" s="1" t="n">
        <v>44504</v>
      </c>
      <c r="C552" s="1" t="n">
        <v>46123</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7638-2025</t>
        </is>
      </c>
      <c r="B553" s="1" t="n">
        <v>45705.77306712963</v>
      </c>
      <c r="C553" s="1" t="n">
        <v>46123</v>
      </c>
      <c r="D553" t="inlineStr">
        <is>
          <t>GOTLANDS LÄN</t>
        </is>
      </c>
      <c r="E553" t="inlineStr">
        <is>
          <t>GOTLAND</t>
        </is>
      </c>
      <c r="G553" t="n">
        <v>2.2</v>
      </c>
      <c r="H553" t="n">
        <v>0</v>
      </c>
      <c r="I553" t="n">
        <v>0</v>
      </c>
      <c r="J553" t="n">
        <v>0</v>
      </c>
      <c r="K553" t="n">
        <v>0</v>
      </c>
      <c r="L553" t="n">
        <v>0</v>
      </c>
      <c r="M553" t="n">
        <v>0</v>
      </c>
      <c r="N553" t="n">
        <v>0</v>
      </c>
      <c r="O553" t="n">
        <v>0</v>
      </c>
      <c r="P553" t="n">
        <v>0</v>
      </c>
      <c r="Q553" t="n">
        <v>0</v>
      </c>
      <c r="R553" s="2" t="inlineStr"/>
    </row>
    <row r="554" ht="15" customHeight="1">
      <c r="A554" t="inlineStr">
        <is>
          <t>A 6959-2026</t>
        </is>
      </c>
      <c r="B554" s="1" t="n">
        <v>46057.580625</v>
      </c>
      <c r="C554" s="1" t="n">
        <v>46123</v>
      </c>
      <c r="D554" t="inlineStr">
        <is>
          <t>GOTLANDS LÄN</t>
        </is>
      </c>
      <c r="E554" t="inlineStr">
        <is>
          <t>GOTLAND</t>
        </is>
      </c>
      <c r="F554" t="inlineStr">
        <is>
          <t>Kyrkan</t>
        </is>
      </c>
      <c r="G554" t="n">
        <v>1.2</v>
      </c>
      <c r="H554" t="n">
        <v>0</v>
      </c>
      <c r="I554" t="n">
        <v>0</v>
      </c>
      <c r="J554" t="n">
        <v>0</v>
      </c>
      <c r="K554" t="n">
        <v>0</v>
      </c>
      <c r="L554" t="n">
        <v>0</v>
      </c>
      <c r="M554" t="n">
        <v>0</v>
      </c>
      <c r="N554" t="n">
        <v>0</v>
      </c>
      <c r="O554" t="n">
        <v>0</v>
      </c>
      <c r="P554" t="n">
        <v>0</v>
      </c>
      <c r="Q554" t="n">
        <v>0</v>
      </c>
      <c r="R554" s="2" t="inlineStr"/>
    </row>
    <row r="555" ht="15" customHeight="1">
      <c r="A555" t="inlineStr">
        <is>
          <t>A 3067-2026</t>
        </is>
      </c>
      <c r="B555" s="1" t="n">
        <v>46040.59025462963</v>
      </c>
      <c r="C555" s="1" t="n">
        <v>46123</v>
      </c>
      <c r="D555" t="inlineStr">
        <is>
          <t>GOTLANDS LÄN</t>
        </is>
      </c>
      <c r="E555" t="inlineStr">
        <is>
          <t>GOTLAND</t>
        </is>
      </c>
      <c r="G555" t="n">
        <v>7.8</v>
      </c>
      <c r="H555" t="n">
        <v>0</v>
      </c>
      <c r="I555" t="n">
        <v>0</v>
      </c>
      <c r="J555" t="n">
        <v>0</v>
      </c>
      <c r="K555" t="n">
        <v>0</v>
      </c>
      <c r="L555" t="n">
        <v>0</v>
      </c>
      <c r="M555" t="n">
        <v>0</v>
      </c>
      <c r="N555" t="n">
        <v>0</v>
      </c>
      <c r="O555" t="n">
        <v>0</v>
      </c>
      <c r="P555" t="n">
        <v>0</v>
      </c>
      <c r="Q555" t="n">
        <v>0</v>
      </c>
      <c r="R555" s="2" t="inlineStr"/>
    </row>
    <row r="556" ht="15" customHeight="1">
      <c r="A556" t="inlineStr">
        <is>
          <t>A 6960-2026</t>
        </is>
      </c>
      <c r="B556" s="1" t="n">
        <v>46057.58105324074</v>
      </c>
      <c r="C556" s="1" t="n">
        <v>46123</v>
      </c>
      <c r="D556" t="inlineStr">
        <is>
          <t>GOTLANDS LÄN</t>
        </is>
      </c>
      <c r="E556" t="inlineStr">
        <is>
          <t>GOTLAND</t>
        </is>
      </c>
      <c r="F556" t="inlineStr">
        <is>
          <t>Kyrkan</t>
        </is>
      </c>
      <c r="G556" t="n">
        <v>2.4</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46123</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43901-2023</t>
        </is>
      </c>
      <c r="B558" s="1" t="n">
        <v>45187</v>
      </c>
      <c r="C558" s="1" t="n">
        <v>46123</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17532-2024</t>
        </is>
      </c>
      <c r="B559" s="1" t="n">
        <v>45415</v>
      </c>
      <c r="C559" s="1" t="n">
        <v>46123</v>
      </c>
      <c r="D559" t="inlineStr">
        <is>
          <t>GOTLANDS LÄN</t>
        </is>
      </c>
      <c r="E559" t="inlineStr">
        <is>
          <t>GOTLAND</t>
        </is>
      </c>
      <c r="G559" t="n">
        <v>4.3</v>
      </c>
      <c r="H559" t="n">
        <v>0</v>
      </c>
      <c r="I559" t="n">
        <v>0</v>
      </c>
      <c r="J559" t="n">
        <v>0</v>
      </c>
      <c r="K559" t="n">
        <v>0</v>
      </c>
      <c r="L559" t="n">
        <v>0</v>
      </c>
      <c r="M559" t="n">
        <v>0</v>
      </c>
      <c r="N559" t="n">
        <v>0</v>
      </c>
      <c r="O559" t="n">
        <v>0</v>
      </c>
      <c r="P559" t="n">
        <v>0</v>
      </c>
      <c r="Q559" t="n">
        <v>0</v>
      </c>
      <c r="R559" s="2" t="inlineStr"/>
    </row>
    <row r="560" ht="15" customHeight="1">
      <c r="A560" t="inlineStr">
        <is>
          <t>A 45692-2023</t>
        </is>
      </c>
      <c r="B560" s="1" t="n">
        <v>45195</v>
      </c>
      <c r="C560" s="1" t="n">
        <v>46123</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37222-2021</t>
        </is>
      </c>
      <c r="B561" s="1" t="n">
        <v>44396</v>
      </c>
      <c r="C561" s="1" t="n">
        <v>46123</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46396-2023</t>
        </is>
      </c>
      <c r="B562" s="1" t="n">
        <v>45197</v>
      </c>
      <c r="C562" s="1" t="n">
        <v>46123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58388-2022</t>
        </is>
      </c>
      <c r="B563" s="1" t="n">
        <v>44894</v>
      </c>
      <c r="C563" s="1" t="n">
        <v>46123</v>
      </c>
      <c r="D563" t="inlineStr">
        <is>
          <t>GOTLANDS LÄN</t>
        </is>
      </c>
      <c r="E563" t="inlineStr">
        <is>
          <t>GOTLAND</t>
        </is>
      </c>
      <c r="F563" t="inlineStr">
        <is>
          <t>Övriga statliga verk och myndigheter</t>
        </is>
      </c>
      <c r="G563" t="n">
        <v>3.1</v>
      </c>
      <c r="H563" t="n">
        <v>0</v>
      </c>
      <c r="I563" t="n">
        <v>0</v>
      </c>
      <c r="J563" t="n">
        <v>0</v>
      </c>
      <c r="K563" t="n">
        <v>0</v>
      </c>
      <c r="L563" t="n">
        <v>0</v>
      </c>
      <c r="M563" t="n">
        <v>0</v>
      </c>
      <c r="N563" t="n">
        <v>0</v>
      </c>
      <c r="O563" t="n">
        <v>0</v>
      </c>
      <c r="P563" t="n">
        <v>0</v>
      </c>
      <c r="Q563" t="n">
        <v>0</v>
      </c>
      <c r="R563" s="2" t="inlineStr"/>
    </row>
    <row r="564" ht="15" customHeight="1">
      <c r="A564" t="inlineStr">
        <is>
          <t>A 5863-2026</t>
        </is>
      </c>
      <c r="B564" s="1" t="n">
        <v>46052.36697916667</v>
      </c>
      <c r="C564" s="1" t="n">
        <v>46123</v>
      </c>
      <c r="D564" t="inlineStr">
        <is>
          <t>GOTLANDS LÄN</t>
        </is>
      </c>
      <c r="E564" t="inlineStr">
        <is>
          <t>GOTLAND</t>
        </is>
      </c>
      <c r="G564" t="n">
        <v>1.8</v>
      </c>
      <c r="H564" t="n">
        <v>0</v>
      </c>
      <c r="I564" t="n">
        <v>0</v>
      </c>
      <c r="J564" t="n">
        <v>0</v>
      </c>
      <c r="K564" t="n">
        <v>0</v>
      </c>
      <c r="L564" t="n">
        <v>0</v>
      </c>
      <c r="M564" t="n">
        <v>0</v>
      </c>
      <c r="N564" t="n">
        <v>0</v>
      </c>
      <c r="O564" t="n">
        <v>0</v>
      </c>
      <c r="P564" t="n">
        <v>0</v>
      </c>
      <c r="Q564" t="n">
        <v>0</v>
      </c>
      <c r="R564" s="2" t="inlineStr"/>
    </row>
    <row r="565" ht="15" customHeight="1">
      <c r="A565" t="inlineStr">
        <is>
          <t>A 7627-2026</t>
        </is>
      </c>
      <c r="B565" s="1" t="n">
        <v>46062.35465277778</v>
      </c>
      <c r="C565" s="1" t="n">
        <v>46123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63105-2025</t>
        </is>
      </c>
      <c r="B566" s="1" t="n">
        <v>46009</v>
      </c>
      <c r="C566" s="1" t="n">
        <v>46123</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14840-2026</t>
        </is>
      </c>
      <c r="B567" s="1" t="n">
        <v>46104.39498842593</v>
      </c>
      <c r="C567" s="1" t="n">
        <v>46123</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7625-2026</t>
        </is>
      </c>
      <c r="B568" s="1" t="n">
        <v>46062.35135416667</v>
      </c>
      <c r="C568" s="1" t="n">
        <v>46123</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2135-2026</t>
        </is>
      </c>
      <c r="B569" s="1" t="n">
        <v>46036</v>
      </c>
      <c r="C569" s="1" t="n">
        <v>46123</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53934-2024</t>
        </is>
      </c>
      <c r="B570" s="1" t="n">
        <v>45615</v>
      </c>
      <c r="C570" s="1" t="n">
        <v>46123</v>
      </c>
      <c r="D570" t="inlineStr">
        <is>
          <t>GOTLANDS LÄN</t>
        </is>
      </c>
      <c r="E570" t="inlineStr">
        <is>
          <t>GOTLAND</t>
        </is>
      </c>
      <c r="G570" t="n">
        <v>5</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46123</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46123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28285-2024</t>
        </is>
      </c>
      <c r="B573" s="1" t="n">
        <v>45477</v>
      </c>
      <c r="C573" s="1" t="n">
        <v>46123</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51963-2024</t>
        </is>
      </c>
      <c r="B574" s="1" t="n">
        <v>45607.64833333333</v>
      </c>
      <c r="C574" s="1" t="n">
        <v>46123</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2134-2026</t>
        </is>
      </c>
      <c r="B575" s="1" t="n">
        <v>46036</v>
      </c>
      <c r="C575" s="1" t="n">
        <v>46123</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62836-2025</t>
        </is>
      </c>
      <c r="B576" s="1" t="n">
        <v>46008</v>
      </c>
      <c r="C576" s="1" t="n">
        <v>46123</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1734-2025</t>
        </is>
      </c>
      <c r="B577" s="1" t="n">
        <v>45671.3840625</v>
      </c>
      <c r="C577" s="1" t="n">
        <v>46123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30365-2024</t>
        </is>
      </c>
      <c r="B578" s="1" t="n">
        <v>45491.3716087963</v>
      </c>
      <c r="C578" s="1" t="n">
        <v>46123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46123</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61100-2022</t>
        </is>
      </c>
      <c r="B580" s="1" t="n">
        <v>44915</v>
      </c>
      <c r="C580" s="1" t="n">
        <v>46123</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46123</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44988.49543981482</v>
      </c>
      <c r="C582" s="1" t="n">
        <v>46123</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44649-2021</t>
        </is>
      </c>
      <c r="B583" s="1" t="n">
        <v>44437</v>
      </c>
      <c r="C583" s="1" t="n">
        <v>46123</v>
      </c>
      <c r="D583" t="inlineStr">
        <is>
          <t>GOTLANDS LÄN</t>
        </is>
      </c>
      <c r="E583" t="inlineStr">
        <is>
          <t>GOTLAND</t>
        </is>
      </c>
      <c r="G583" t="n">
        <v>8.1</v>
      </c>
      <c r="H583" t="n">
        <v>0</v>
      </c>
      <c r="I583" t="n">
        <v>0</v>
      </c>
      <c r="J583" t="n">
        <v>0</v>
      </c>
      <c r="K583" t="n">
        <v>0</v>
      </c>
      <c r="L583" t="n">
        <v>0</v>
      </c>
      <c r="M583" t="n">
        <v>0</v>
      </c>
      <c r="N583" t="n">
        <v>0</v>
      </c>
      <c r="O583" t="n">
        <v>0</v>
      </c>
      <c r="P583" t="n">
        <v>0</v>
      </c>
      <c r="Q583" t="n">
        <v>0</v>
      </c>
      <c r="R583" s="2" t="inlineStr"/>
    </row>
    <row r="584" ht="15" customHeight="1">
      <c r="A584" t="inlineStr">
        <is>
          <t>A 8484-2025</t>
        </is>
      </c>
      <c r="B584" s="1" t="n">
        <v>45709</v>
      </c>
      <c r="C584" s="1" t="n">
        <v>46123</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46123</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46123</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63000-2025</t>
        </is>
      </c>
      <c r="B587" s="1" t="n">
        <v>46009</v>
      </c>
      <c r="C587" s="1" t="n">
        <v>46123</v>
      </c>
      <c r="D587" t="inlineStr">
        <is>
          <t>GOTLANDS LÄN</t>
        </is>
      </c>
      <c r="E587" t="inlineStr">
        <is>
          <t>GOTLAND</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46123</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49962-2023</t>
        </is>
      </c>
      <c r="B589" s="1" t="n">
        <v>45215.38775462963</v>
      </c>
      <c r="C589" s="1" t="n">
        <v>46123</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62751-2025</t>
        </is>
      </c>
      <c r="B590" s="1" t="n">
        <v>46008</v>
      </c>
      <c r="C590" s="1" t="n">
        <v>46123</v>
      </c>
      <c r="D590" t="inlineStr">
        <is>
          <t>GOTLANDS LÄN</t>
        </is>
      </c>
      <c r="E590" t="inlineStr">
        <is>
          <t>GOTLAND</t>
        </is>
      </c>
      <c r="F590" t="inlineStr">
        <is>
          <t>Övriga Aktiebolag</t>
        </is>
      </c>
      <c r="G590" t="n">
        <v>7.8</v>
      </c>
      <c r="H590" t="n">
        <v>0</v>
      </c>
      <c r="I590" t="n">
        <v>0</v>
      </c>
      <c r="J590" t="n">
        <v>0</v>
      </c>
      <c r="K590" t="n">
        <v>0</v>
      </c>
      <c r="L590" t="n">
        <v>0</v>
      </c>
      <c r="M590" t="n">
        <v>0</v>
      </c>
      <c r="N590" t="n">
        <v>0</v>
      </c>
      <c r="O590" t="n">
        <v>0</v>
      </c>
      <c r="P590" t="n">
        <v>0</v>
      </c>
      <c r="Q590" t="n">
        <v>0</v>
      </c>
      <c r="R590" s="2" t="inlineStr"/>
    </row>
    <row r="591" ht="15" customHeight="1">
      <c r="A591" t="inlineStr">
        <is>
          <t>A 9521-2026</t>
        </is>
      </c>
      <c r="B591" s="1" t="n">
        <v>46071.59969907408</v>
      </c>
      <c r="C591" s="1" t="n">
        <v>46123</v>
      </c>
      <c r="D591" t="inlineStr">
        <is>
          <t>GOTLANDS LÄN</t>
        </is>
      </c>
      <c r="E591" t="inlineStr">
        <is>
          <t>GOTLAND</t>
        </is>
      </c>
      <c r="G591" t="n">
        <v>3.9</v>
      </c>
      <c r="H591" t="n">
        <v>0</v>
      </c>
      <c r="I591" t="n">
        <v>0</v>
      </c>
      <c r="J591" t="n">
        <v>0</v>
      </c>
      <c r="K591" t="n">
        <v>0</v>
      </c>
      <c r="L591" t="n">
        <v>0</v>
      </c>
      <c r="M591" t="n">
        <v>0</v>
      </c>
      <c r="N591" t="n">
        <v>0</v>
      </c>
      <c r="O591" t="n">
        <v>0</v>
      </c>
      <c r="P591" t="n">
        <v>0</v>
      </c>
      <c r="Q591" t="n">
        <v>0</v>
      </c>
      <c r="R591" s="2" t="inlineStr"/>
    </row>
    <row r="592" ht="15" customHeight="1">
      <c r="A592" t="inlineStr">
        <is>
          <t>A 9524-2026</t>
        </is>
      </c>
      <c r="B592" s="1" t="n">
        <v>46071.60108796296</v>
      </c>
      <c r="C592" s="1" t="n">
        <v>46123</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9543-2026</t>
        </is>
      </c>
      <c r="B593" s="1" t="n">
        <v>46071.62486111111</v>
      </c>
      <c r="C593" s="1" t="n">
        <v>46123</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50744-2024</t>
        </is>
      </c>
      <c r="B594" s="1" t="n">
        <v>45602.4187037037</v>
      </c>
      <c r="C594" s="1" t="n">
        <v>46123</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45244-2024</t>
        </is>
      </c>
      <c r="B595" s="1" t="n">
        <v>45576</v>
      </c>
      <c r="C595" s="1" t="n">
        <v>46123</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38787-2023</t>
        </is>
      </c>
      <c r="B596" s="1" t="n">
        <v>45163</v>
      </c>
      <c r="C596" s="1" t="n">
        <v>46123</v>
      </c>
      <c r="D596" t="inlineStr">
        <is>
          <t>GOTLANDS LÄN</t>
        </is>
      </c>
      <c r="E596" t="inlineStr">
        <is>
          <t>GOTLAND</t>
        </is>
      </c>
      <c r="G596" t="n">
        <v>0.4</v>
      </c>
      <c r="H596" t="n">
        <v>0</v>
      </c>
      <c r="I596" t="n">
        <v>0</v>
      </c>
      <c r="J596" t="n">
        <v>0</v>
      </c>
      <c r="K596" t="n">
        <v>0</v>
      </c>
      <c r="L596" t="n">
        <v>0</v>
      </c>
      <c r="M596" t="n">
        <v>0</v>
      </c>
      <c r="N596" t="n">
        <v>0</v>
      </c>
      <c r="O596" t="n">
        <v>0</v>
      </c>
      <c r="P596" t="n">
        <v>0</v>
      </c>
      <c r="Q596" t="n">
        <v>0</v>
      </c>
      <c r="R596" s="2" t="inlineStr"/>
    </row>
    <row r="597" ht="15" customHeight="1">
      <c r="A597" t="inlineStr">
        <is>
          <t>A 9504-2026</t>
        </is>
      </c>
      <c r="B597" s="1" t="n">
        <v>46071.57730324074</v>
      </c>
      <c r="C597" s="1" t="n">
        <v>46123</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9518-2026</t>
        </is>
      </c>
      <c r="B598" s="1" t="n">
        <v>46071.59653935185</v>
      </c>
      <c r="C598" s="1" t="n">
        <v>46123</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9519-2026</t>
        </is>
      </c>
      <c r="B599" s="1" t="n">
        <v>46071.59820601852</v>
      </c>
      <c r="C599" s="1" t="n">
        <v>46123</v>
      </c>
      <c r="D599" t="inlineStr">
        <is>
          <t>GOTLANDS LÄN</t>
        </is>
      </c>
      <c r="E599" t="inlineStr">
        <is>
          <t>GOTLAND</t>
        </is>
      </c>
      <c r="G599" t="n">
        <v>4</v>
      </c>
      <c r="H599" t="n">
        <v>0</v>
      </c>
      <c r="I599" t="n">
        <v>0</v>
      </c>
      <c r="J599" t="n">
        <v>0</v>
      </c>
      <c r="K599" t="n">
        <v>0</v>
      </c>
      <c r="L599" t="n">
        <v>0</v>
      </c>
      <c r="M599" t="n">
        <v>0</v>
      </c>
      <c r="N599" t="n">
        <v>0</v>
      </c>
      <c r="O599" t="n">
        <v>0</v>
      </c>
      <c r="P599" t="n">
        <v>0</v>
      </c>
      <c r="Q599" t="n">
        <v>0</v>
      </c>
      <c r="R599" s="2" t="inlineStr"/>
    </row>
    <row r="600" ht="15" customHeight="1">
      <c r="A600" t="inlineStr">
        <is>
          <t>A 62754-2025</t>
        </is>
      </c>
      <c r="B600" s="1" t="n">
        <v>46008</v>
      </c>
      <c r="C600" s="1" t="n">
        <v>46123</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9901-2026</t>
        </is>
      </c>
      <c r="B601" s="1" t="n">
        <v>46073.40391203704</v>
      </c>
      <c r="C601" s="1" t="n">
        <v>46123</v>
      </c>
      <c r="D601" t="inlineStr">
        <is>
          <t>GOTLANDS LÄN</t>
        </is>
      </c>
      <c r="E601" t="inlineStr">
        <is>
          <t>GOTLAND</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17000-2026</t>
        </is>
      </c>
      <c r="B602" s="1" t="n">
        <v>46114.42690972222</v>
      </c>
      <c r="C602" s="1" t="n">
        <v>46123</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2714-2023</t>
        </is>
      </c>
      <c r="B603" s="1" t="n">
        <v>44944.54896990741</v>
      </c>
      <c r="C603" s="1" t="n">
        <v>46123</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45072.55239583334</v>
      </c>
      <c r="C604" s="1" t="n">
        <v>46123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4568-2025</t>
        </is>
      </c>
      <c r="B605" s="1" t="n">
        <v>45687</v>
      </c>
      <c r="C605" s="1" t="n">
        <v>46123</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1681-2023</t>
        </is>
      </c>
      <c r="B606" s="1" t="n">
        <v>44938.39715277778</v>
      </c>
      <c r="C606" s="1" t="n">
        <v>46123</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42338-2023</t>
        </is>
      </c>
      <c r="B607" s="1" t="n">
        <v>45180</v>
      </c>
      <c r="C607" s="1" t="n">
        <v>46123</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16993-2026</t>
        </is>
      </c>
      <c r="B608" s="1" t="n">
        <v>46114.41918981481</v>
      </c>
      <c r="C608" s="1" t="n">
        <v>46123</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18918-2025</t>
        </is>
      </c>
      <c r="B609" s="1" t="n">
        <v>45764</v>
      </c>
      <c r="C609" s="1" t="n">
        <v>46123</v>
      </c>
      <c r="D609" t="inlineStr">
        <is>
          <t>GOTLANDS LÄN</t>
        </is>
      </c>
      <c r="E609" t="inlineStr">
        <is>
          <t>GOTLAND</t>
        </is>
      </c>
      <c r="G609" t="n">
        <v>1.7</v>
      </c>
      <c r="H609" t="n">
        <v>0</v>
      </c>
      <c r="I609" t="n">
        <v>0</v>
      </c>
      <c r="J609" t="n">
        <v>0</v>
      </c>
      <c r="K609" t="n">
        <v>0</v>
      </c>
      <c r="L609" t="n">
        <v>0</v>
      </c>
      <c r="M609" t="n">
        <v>0</v>
      </c>
      <c r="N609" t="n">
        <v>0</v>
      </c>
      <c r="O609" t="n">
        <v>0</v>
      </c>
      <c r="P609" t="n">
        <v>0</v>
      </c>
      <c r="Q609" t="n">
        <v>0</v>
      </c>
      <c r="R609" s="2" t="inlineStr"/>
    </row>
    <row r="610" ht="15" customHeight="1">
      <c r="A610" t="inlineStr">
        <is>
          <t>A 11013-2024</t>
        </is>
      </c>
      <c r="B610" s="1" t="n">
        <v>45370</v>
      </c>
      <c r="C610" s="1" t="n">
        <v>46123</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10284-2026</t>
        </is>
      </c>
      <c r="B611" s="1" t="n">
        <v>46076</v>
      </c>
      <c r="C611" s="1" t="n">
        <v>46123</v>
      </c>
      <c r="D611" t="inlineStr">
        <is>
          <t>GOTLANDS LÄN</t>
        </is>
      </c>
      <c r="E611" t="inlineStr">
        <is>
          <t>GOTLAND</t>
        </is>
      </c>
      <c r="G611" t="n">
        <v>5.2</v>
      </c>
      <c r="H611" t="n">
        <v>0</v>
      </c>
      <c r="I611" t="n">
        <v>0</v>
      </c>
      <c r="J611" t="n">
        <v>0</v>
      </c>
      <c r="K611" t="n">
        <v>0</v>
      </c>
      <c r="L611" t="n">
        <v>0</v>
      </c>
      <c r="M611" t="n">
        <v>0</v>
      </c>
      <c r="N611" t="n">
        <v>0</v>
      </c>
      <c r="O611" t="n">
        <v>0</v>
      </c>
      <c r="P611" t="n">
        <v>0</v>
      </c>
      <c r="Q611" t="n">
        <v>0</v>
      </c>
      <c r="R611" s="2" t="inlineStr"/>
    </row>
    <row r="612" ht="15" customHeight="1">
      <c r="A612" t="inlineStr">
        <is>
          <t>A 45084-2024</t>
        </is>
      </c>
      <c r="B612" s="1" t="n">
        <v>45575</v>
      </c>
      <c r="C612" s="1" t="n">
        <v>46123</v>
      </c>
      <c r="D612" t="inlineStr">
        <is>
          <t>GOTLANDS LÄN</t>
        </is>
      </c>
      <c r="E612" t="inlineStr">
        <is>
          <t>GOTLAND</t>
        </is>
      </c>
      <c r="G612" t="n">
        <v>6.8</v>
      </c>
      <c r="H612" t="n">
        <v>0</v>
      </c>
      <c r="I612" t="n">
        <v>0</v>
      </c>
      <c r="J612" t="n">
        <v>0</v>
      </c>
      <c r="K612" t="n">
        <v>0</v>
      </c>
      <c r="L612" t="n">
        <v>0</v>
      </c>
      <c r="M612" t="n">
        <v>0</v>
      </c>
      <c r="N612" t="n">
        <v>0</v>
      </c>
      <c r="O612" t="n">
        <v>0</v>
      </c>
      <c r="P612" t="n">
        <v>0</v>
      </c>
      <c r="Q612" t="n">
        <v>0</v>
      </c>
      <c r="R612" s="2" t="inlineStr"/>
    </row>
    <row r="613" ht="15" customHeight="1">
      <c r="A613" t="inlineStr">
        <is>
          <t>A 63152-2025</t>
        </is>
      </c>
      <c r="B613" s="1" t="n">
        <v>46010</v>
      </c>
      <c r="C613" s="1" t="n">
        <v>46123</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10486-2026</t>
        </is>
      </c>
      <c r="B614" s="1" t="n">
        <v>46077.51425925926</v>
      </c>
      <c r="C614" s="1" t="n">
        <v>46123</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20356-2022</t>
        </is>
      </c>
      <c r="B615" s="1" t="n">
        <v>44699</v>
      </c>
      <c r="C615" s="1" t="n">
        <v>46123</v>
      </c>
      <c r="D615" t="inlineStr">
        <is>
          <t>GOTLANDS LÄN</t>
        </is>
      </c>
      <c r="E615" t="inlineStr">
        <is>
          <t>GOTLAND</t>
        </is>
      </c>
      <c r="F615" t="inlineStr">
        <is>
          <t>Övriga Aktiebolag</t>
        </is>
      </c>
      <c r="G615" t="n">
        <v>4.4</v>
      </c>
      <c r="H615" t="n">
        <v>0</v>
      </c>
      <c r="I615" t="n">
        <v>0</v>
      </c>
      <c r="J615" t="n">
        <v>0</v>
      </c>
      <c r="K615" t="n">
        <v>0</v>
      </c>
      <c r="L615" t="n">
        <v>0</v>
      </c>
      <c r="M615" t="n">
        <v>0</v>
      </c>
      <c r="N615" t="n">
        <v>0</v>
      </c>
      <c r="O615" t="n">
        <v>0</v>
      </c>
      <c r="P615" t="n">
        <v>0</v>
      </c>
      <c r="Q615" t="n">
        <v>0</v>
      </c>
      <c r="R615" s="2" t="inlineStr"/>
    </row>
    <row r="616" ht="15" customHeight="1">
      <c r="A616" t="inlineStr">
        <is>
          <t>A 60384-2025</t>
        </is>
      </c>
      <c r="B616" s="1" t="n">
        <v>45995</v>
      </c>
      <c r="C616" s="1" t="n">
        <v>46123</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4868-2024</t>
        </is>
      </c>
      <c r="B617" s="1" t="n">
        <v>45329</v>
      </c>
      <c r="C617" s="1" t="n">
        <v>46123</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9613-2025</t>
        </is>
      </c>
      <c r="B618" s="1" t="n">
        <v>45715</v>
      </c>
      <c r="C618" s="1" t="n">
        <v>46123</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17328-2026</t>
        </is>
      </c>
      <c r="B619" s="1" t="n">
        <v>46119.61216435185</v>
      </c>
      <c r="C619" s="1" t="n">
        <v>46123</v>
      </c>
      <c r="D619" t="inlineStr">
        <is>
          <t>GOTLANDS LÄN</t>
        </is>
      </c>
      <c r="E619" t="inlineStr">
        <is>
          <t>GOTLAND</t>
        </is>
      </c>
      <c r="F619" t="inlineStr">
        <is>
          <t>Kyrkan</t>
        </is>
      </c>
      <c r="G619" t="n">
        <v>4</v>
      </c>
      <c r="H619" t="n">
        <v>0</v>
      </c>
      <c r="I619" t="n">
        <v>0</v>
      </c>
      <c r="J619" t="n">
        <v>0</v>
      </c>
      <c r="K619" t="n">
        <v>0</v>
      </c>
      <c r="L619" t="n">
        <v>0</v>
      </c>
      <c r="M619" t="n">
        <v>0</v>
      </c>
      <c r="N619" t="n">
        <v>0</v>
      </c>
      <c r="O619" t="n">
        <v>0</v>
      </c>
      <c r="P619" t="n">
        <v>0</v>
      </c>
      <c r="Q619" t="n">
        <v>0</v>
      </c>
      <c r="R619" s="2" t="inlineStr"/>
    </row>
    <row r="620" ht="15" customHeight="1">
      <c r="A620" t="inlineStr">
        <is>
          <t>A 5386-2023</t>
        </is>
      </c>
      <c r="B620" s="1" t="n">
        <v>44959</v>
      </c>
      <c r="C620" s="1" t="n">
        <v>46123</v>
      </c>
      <c r="D620" t="inlineStr">
        <is>
          <t>GOTLANDS LÄN</t>
        </is>
      </c>
      <c r="E620" t="inlineStr">
        <is>
          <t>GOTLAND</t>
        </is>
      </c>
      <c r="G620" t="n">
        <v>5.4</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46123</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11634-2024</t>
        </is>
      </c>
      <c r="B622" s="1" t="n">
        <v>45373</v>
      </c>
      <c r="C622" s="1" t="n">
        <v>46123</v>
      </c>
      <c r="D622" t="inlineStr">
        <is>
          <t>GOTLANDS LÄN</t>
        </is>
      </c>
      <c r="E622" t="inlineStr">
        <is>
          <t>GOTLAND</t>
        </is>
      </c>
      <c r="G622" t="n">
        <v>3</v>
      </c>
      <c r="H622" t="n">
        <v>0</v>
      </c>
      <c r="I622" t="n">
        <v>0</v>
      </c>
      <c r="J622" t="n">
        <v>0</v>
      </c>
      <c r="K622" t="n">
        <v>0</v>
      </c>
      <c r="L622" t="n">
        <v>0</v>
      </c>
      <c r="M622" t="n">
        <v>0</v>
      </c>
      <c r="N622" t="n">
        <v>0</v>
      </c>
      <c r="O622" t="n">
        <v>0</v>
      </c>
      <c r="P622" t="n">
        <v>0</v>
      </c>
      <c r="Q622" t="n">
        <v>0</v>
      </c>
      <c r="R622" s="2" t="inlineStr"/>
    </row>
    <row r="623" ht="15" customHeight="1">
      <c r="A623" t="inlineStr">
        <is>
          <t>A 17935-2026</t>
        </is>
      </c>
      <c r="B623" s="1" t="n">
        <v>46122</v>
      </c>
      <c r="C623" s="1" t="n">
        <v>46123</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17943-2026</t>
        </is>
      </c>
      <c r="B624" s="1" t="n">
        <v>46122</v>
      </c>
      <c r="C624" s="1" t="n">
        <v>46123</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5884-2025</t>
        </is>
      </c>
      <c r="B625" s="1" t="n">
        <v>45695.37482638889</v>
      </c>
      <c r="C625" s="1" t="n">
        <v>46123</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5897-2025</t>
        </is>
      </c>
      <c r="B626" s="1" t="n">
        <v>45695.39273148148</v>
      </c>
      <c r="C626" s="1" t="n">
        <v>46123</v>
      </c>
      <c r="D626" t="inlineStr">
        <is>
          <t>GOTLANDS LÄN</t>
        </is>
      </c>
      <c r="E626" t="inlineStr">
        <is>
          <t>GOTLAND</t>
        </is>
      </c>
      <c r="G626" t="n">
        <v>3.7</v>
      </c>
      <c r="H626" t="n">
        <v>0</v>
      </c>
      <c r="I626" t="n">
        <v>0</v>
      </c>
      <c r="J626" t="n">
        <v>0</v>
      </c>
      <c r="K626" t="n">
        <v>0</v>
      </c>
      <c r="L626" t="n">
        <v>0</v>
      </c>
      <c r="M626" t="n">
        <v>0</v>
      </c>
      <c r="N626" t="n">
        <v>0</v>
      </c>
      <c r="O626" t="n">
        <v>0</v>
      </c>
      <c r="P626" t="n">
        <v>0</v>
      </c>
      <c r="Q626" t="n">
        <v>0</v>
      </c>
      <c r="R626" s="2" t="inlineStr"/>
    </row>
    <row r="627" ht="15" customHeight="1">
      <c r="A627" t="inlineStr">
        <is>
          <t>A 5909-2025</t>
        </is>
      </c>
      <c r="B627" s="1" t="n">
        <v>45695.40634259259</v>
      </c>
      <c r="C627" s="1" t="n">
        <v>46123</v>
      </c>
      <c r="D627" t="inlineStr">
        <is>
          <t>GOTLANDS LÄN</t>
        </is>
      </c>
      <c r="E627" t="inlineStr">
        <is>
          <t>GOTLAND</t>
        </is>
      </c>
      <c r="G627" t="n">
        <v>2.9</v>
      </c>
      <c r="H627" t="n">
        <v>0</v>
      </c>
      <c r="I627" t="n">
        <v>0</v>
      </c>
      <c r="J627" t="n">
        <v>0</v>
      </c>
      <c r="K627" t="n">
        <v>0</v>
      </c>
      <c r="L627" t="n">
        <v>0</v>
      </c>
      <c r="M627" t="n">
        <v>0</v>
      </c>
      <c r="N627" t="n">
        <v>0</v>
      </c>
      <c r="O627" t="n">
        <v>0</v>
      </c>
      <c r="P627" t="n">
        <v>0</v>
      </c>
      <c r="Q627" t="n">
        <v>0</v>
      </c>
      <c r="R627" s="2" t="inlineStr"/>
    </row>
    <row r="628" ht="15" customHeight="1">
      <c r="A628" t="inlineStr">
        <is>
          <t>A 60086-2022</t>
        </is>
      </c>
      <c r="B628" s="1" t="n">
        <v>44909</v>
      </c>
      <c r="C628" s="1" t="n">
        <v>46123</v>
      </c>
      <c r="D628" t="inlineStr">
        <is>
          <t>GOTLANDS LÄN</t>
        </is>
      </c>
      <c r="E628" t="inlineStr">
        <is>
          <t>GOTLAND</t>
        </is>
      </c>
      <c r="G628" t="n">
        <v>2.1</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46123</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25866-2022</t>
        </is>
      </c>
      <c r="B630" s="1" t="n">
        <v>44733</v>
      </c>
      <c r="C630" s="1" t="n">
        <v>46123</v>
      </c>
      <c r="D630" t="inlineStr">
        <is>
          <t>GOTLANDS LÄN</t>
        </is>
      </c>
      <c r="E630" t="inlineStr">
        <is>
          <t>GOTLAND</t>
        </is>
      </c>
      <c r="G630" t="n">
        <v>2.9</v>
      </c>
      <c r="H630" t="n">
        <v>0</v>
      </c>
      <c r="I630" t="n">
        <v>0</v>
      </c>
      <c r="J630" t="n">
        <v>0</v>
      </c>
      <c r="K630" t="n">
        <v>0</v>
      </c>
      <c r="L630" t="n">
        <v>0</v>
      </c>
      <c r="M630" t="n">
        <v>0</v>
      </c>
      <c r="N630" t="n">
        <v>0</v>
      </c>
      <c r="O630" t="n">
        <v>0</v>
      </c>
      <c r="P630" t="n">
        <v>0</v>
      </c>
      <c r="Q630" t="n">
        <v>0</v>
      </c>
      <c r="R630" s="2" t="inlineStr"/>
    </row>
    <row r="631" ht="15" customHeight="1">
      <c r="A631" t="inlineStr">
        <is>
          <t>A 9887-2025</t>
        </is>
      </c>
      <c r="B631" s="1" t="n">
        <v>45716</v>
      </c>
      <c r="C631" s="1" t="n">
        <v>46123</v>
      </c>
      <c r="D631" t="inlineStr">
        <is>
          <t>GOTLANDS LÄN</t>
        </is>
      </c>
      <c r="E631" t="inlineStr">
        <is>
          <t>GOTLAND</t>
        </is>
      </c>
      <c r="G631" t="n">
        <v>7.5</v>
      </c>
      <c r="H631" t="n">
        <v>0</v>
      </c>
      <c r="I631" t="n">
        <v>0</v>
      </c>
      <c r="J631" t="n">
        <v>0</v>
      </c>
      <c r="K631" t="n">
        <v>0</v>
      </c>
      <c r="L631" t="n">
        <v>0</v>
      </c>
      <c r="M631" t="n">
        <v>0</v>
      </c>
      <c r="N631" t="n">
        <v>0</v>
      </c>
      <c r="O631" t="n">
        <v>0</v>
      </c>
      <c r="P631" t="n">
        <v>0</v>
      </c>
      <c r="Q631" t="n">
        <v>0</v>
      </c>
      <c r="R631" s="2" t="inlineStr"/>
    </row>
    <row r="632" ht="15" customHeight="1">
      <c r="A632" t="inlineStr">
        <is>
          <t>A 12209-2024</t>
        </is>
      </c>
      <c r="B632" s="1" t="n">
        <v>45378</v>
      </c>
      <c r="C632" s="1" t="n">
        <v>46123</v>
      </c>
      <c r="D632" t="inlineStr">
        <is>
          <t>GOTLANDS LÄN</t>
        </is>
      </c>
      <c r="E632" t="inlineStr">
        <is>
          <t>GOTLAND</t>
        </is>
      </c>
      <c r="G632" t="n">
        <v>5.3</v>
      </c>
      <c r="H632" t="n">
        <v>0</v>
      </c>
      <c r="I632" t="n">
        <v>0</v>
      </c>
      <c r="J632" t="n">
        <v>0</v>
      </c>
      <c r="K632" t="n">
        <v>0</v>
      </c>
      <c r="L632" t="n">
        <v>0</v>
      </c>
      <c r="M632" t="n">
        <v>0</v>
      </c>
      <c r="N632" t="n">
        <v>0</v>
      </c>
      <c r="O632" t="n">
        <v>0</v>
      </c>
      <c r="P632" t="n">
        <v>0</v>
      </c>
      <c r="Q632" t="n">
        <v>0</v>
      </c>
      <c r="R632" s="2" t="inlineStr"/>
    </row>
    <row r="633" ht="15" customHeight="1">
      <c r="A633" t="inlineStr">
        <is>
          <t>A 12210-2024</t>
        </is>
      </c>
      <c r="B633" s="1" t="n">
        <v>45378</v>
      </c>
      <c r="C633" s="1" t="n">
        <v>46123</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59986-2022</t>
        </is>
      </c>
      <c r="B634" s="1" t="n">
        <v>44909</v>
      </c>
      <c r="C634" s="1" t="n">
        <v>46123</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31802-2024</t>
        </is>
      </c>
      <c r="B635" s="1" t="n">
        <v>45509</v>
      </c>
      <c r="C635" s="1" t="n">
        <v>46123</v>
      </c>
      <c r="D635" t="inlineStr">
        <is>
          <t>GOTLANDS LÄN</t>
        </is>
      </c>
      <c r="E635" t="inlineStr">
        <is>
          <t>GOTLAND</t>
        </is>
      </c>
      <c r="G635" t="n">
        <v>2.8</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46123</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15042-2025</t>
        </is>
      </c>
      <c r="B637" s="1" t="n">
        <v>45743</v>
      </c>
      <c r="C637" s="1" t="n">
        <v>46123</v>
      </c>
      <c r="D637" t="inlineStr">
        <is>
          <t>GOTLANDS LÄN</t>
        </is>
      </c>
      <c r="E637" t="inlineStr">
        <is>
          <t>GOTLAND</t>
        </is>
      </c>
      <c r="G637" t="n">
        <v>8.5</v>
      </c>
      <c r="H637" t="n">
        <v>0</v>
      </c>
      <c r="I637" t="n">
        <v>0</v>
      </c>
      <c r="J637" t="n">
        <v>0</v>
      </c>
      <c r="K637" t="n">
        <v>0</v>
      </c>
      <c r="L637" t="n">
        <v>0</v>
      </c>
      <c r="M637" t="n">
        <v>0</v>
      </c>
      <c r="N637" t="n">
        <v>0</v>
      </c>
      <c r="O637" t="n">
        <v>0</v>
      </c>
      <c r="P637" t="n">
        <v>0</v>
      </c>
      <c r="Q637" t="n">
        <v>0</v>
      </c>
      <c r="R637" s="2" t="inlineStr"/>
    </row>
    <row r="638" ht="15" customHeight="1">
      <c r="A638" t="inlineStr">
        <is>
          <t>A 12327-2025</t>
        </is>
      </c>
      <c r="B638" s="1" t="n">
        <v>45730</v>
      </c>
      <c r="C638" s="1" t="n">
        <v>46123</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4420-2025</t>
        </is>
      </c>
      <c r="B639" s="1" t="n">
        <v>45686.47157407407</v>
      </c>
      <c r="C639" s="1" t="n">
        <v>46123</v>
      </c>
      <c r="D639" t="inlineStr">
        <is>
          <t>GOTLANDS LÄN</t>
        </is>
      </c>
      <c r="E639" t="inlineStr">
        <is>
          <t>GOTLAND</t>
        </is>
      </c>
      <c r="G639" t="n">
        <v>1.6</v>
      </c>
      <c r="H639" t="n">
        <v>0</v>
      </c>
      <c r="I639" t="n">
        <v>0</v>
      </c>
      <c r="J639" t="n">
        <v>0</v>
      </c>
      <c r="K639" t="n">
        <v>0</v>
      </c>
      <c r="L639" t="n">
        <v>0</v>
      </c>
      <c r="M639" t="n">
        <v>0</v>
      </c>
      <c r="N639" t="n">
        <v>0</v>
      </c>
      <c r="O639" t="n">
        <v>0</v>
      </c>
      <c r="P639" t="n">
        <v>0</v>
      </c>
      <c r="Q639" t="n">
        <v>0</v>
      </c>
      <c r="R639" s="2" t="inlineStr"/>
    </row>
    <row r="640" ht="15" customHeight="1">
      <c r="A640" t="inlineStr">
        <is>
          <t>A 14427-2024</t>
        </is>
      </c>
      <c r="B640" s="1" t="n">
        <v>45394</v>
      </c>
      <c r="C640" s="1" t="n">
        <v>46123</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49257-2024</t>
        </is>
      </c>
      <c r="B641" s="1" t="n">
        <v>45595.47627314815</v>
      </c>
      <c r="C641" s="1" t="n">
        <v>46123</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49315-2024</t>
        </is>
      </c>
      <c r="B642" s="1" t="n">
        <v>45595</v>
      </c>
      <c r="C642" s="1" t="n">
        <v>46123</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46123</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56115-2023</t>
        </is>
      </c>
      <c r="B644" s="1" t="n">
        <v>45236</v>
      </c>
      <c r="C644" s="1" t="n">
        <v>46123</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row r="645" ht="15" customHeight="1">
      <c r="A645" t="inlineStr">
        <is>
          <t>A 64969-2023</t>
        </is>
      </c>
      <c r="B645" s="1" t="n">
        <v>45284.54009259259</v>
      </c>
      <c r="C645" s="1" t="n">
        <v>46123</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33853-2024</t>
        </is>
      </c>
      <c r="B646" s="1" t="n">
        <v>45520.64298611111</v>
      </c>
      <c r="C646" s="1" t="n">
        <v>46123</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18223-2025</t>
        </is>
      </c>
      <c r="B647" s="1" t="n">
        <v>45761</v>
      </c>
      <c r="C647" s="1" t="n">
        <v>46123</v>
      </c>
      <c r="D647" t="inlineStr">
        <is>
          <t>GOTLANDS LÄN</t>
        </is>
      </c>
      <c r="E647" t="inlineStr">
        <is>
          <t>GOTLAND</t>
        </is>
      </c>
      <c r="G647" t="n">
        <v>0.7</v>
      </c>
      <c r="H647" t="n">
        <v>0</v>
      </c>
      <c r="I647" t="n">
        <v>0</v>
      </c>
      <c r="J647" t="n">
        <v>0</v>
      </c>
      <c r="K647" t="n">
        <v>0</v>
      </c>
      <c r="L647" t="n">
        <v>0</v>
      </c>
      <c r="M647" t="n">
        <v>0</v>
      </c>
      <c r="N647" t="n">
        <v>0</v>
      </c>
      <c r="O647" t="n">
        <v>0</v>
      </c>
      <c r="P647" t="n">
        <v>0</v>
      </c>
      <c r="Q647" t="n">
        <v>0</v>
      </c>
      <c r="R647" s="2" t="inlineStr"/>
    </row>
    <row r="648">
      <c r="A648" t="inlineStr">
        <is>
          <t>A 46949-2024</t>
        </is>
      </c>
      <c r="B648" s="1" t="n">
        <v>45585</v>
      </c>
      <c r="C648" s="1" t="n">
        <v>46123</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2026-04-11T10:35:30Z</dcterms:created>
  <dcterms:modified xmlns:dcterms="http://purl.org/dc/terms/" xmlns:xsi="http://www.w3.org/2001/XMLSchema-instance" xsi:type="dcterms:W3CDTF">2026-04-11T10:35:30Z</dcterms:modified>
</cp:coreProperties>
</file>