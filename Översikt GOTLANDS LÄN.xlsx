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45991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45991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45991</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45991</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45991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45991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45991</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45991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45991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45991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45991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45991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45991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45991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45991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45991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45991</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45991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45991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45991</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45991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45991</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45991</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45991</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45991</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45991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45991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45991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45991</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45991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45991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45991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45991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45991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45991</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45991</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45991</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45991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45991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45991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45991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45991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45991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45991</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53584-2025</t>
        </is>
      </c>
      <c r="B72" s="1" t="n">
        <v>45960.43130787037</v>
      </c>
      <c r="C72" s="1" t="n">
        <v>45991</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65819-2020</t>
        </is>
      </c>
      <c r="B73" s="1" t="n">
        <v>44174</v>
      </c>
      <c r="C73" s="1" t="n">
        <v>45991</v>
      </c>
      <c r="D73" t="inlineStr">
        <is>
          <t>GOTLANDS LÄN</t>
        </is>
      </c>
      <c r="E73" t="inlineStr">
        <is>
          <t>GOTLAND</t>
        </is>
      </c>
      <c r="G73" t="n">
        <v>4.3</v>
      </c>
      <c r="H73" t="n">
        <v>1</v>
      </c>
      <c r="I73" t="n">
        <v>3</v>
      </c>
      <c r="J73" t="n">
        <v>1</v>
      </c>
      <c r="K73" t="n">
        <v>2</v>
      </c>
      <c r="L73" t="n">
        <v>0</v>
      </c>
      <c r="M73" t="n">
        <v>0</v>
      </c>
      <c r="N73" t="n">
        <v>0</v>
      </c>
      <c r="O73" t="n">
        <v>3</v>
      </c>
      <c r="P73" t="n">
        <v>2</v>
      </c>
      <c r="Q73" t="n">
        <v>6</v>
      </c>
      <c r="R73" s="2" t="inlineStr">
        <is>
          <t>Tallvaxskivling
Vit taggsvamp
Skugglosta
Blå slemspindling
Kattfotslav
Nästrot</t>
        </is>
      </c>
      <c r="S73">
        <f>HYPERLINK("https://klasma.github.io/Logging_0980/artfynd/A 65819-2020 artfynd.xlsx", "A 65819-2020")</f>
        <v/>
      </c>
      <c r="T73">
        <f>HYPERLINK("https://klasma.github.io/Logging_0980/kartor/A 65819-2020 karta.png", "A 65819-2020")</f>
        <v/>
      </c>
      <c r="V73">
        <f>HYPERLINK("https://klasma.github.io/Logging_0980/klagomål/A 65819-2020 FSC-klagomål.docx", "A 65819-2020")</f>
        <v/>
      </c>
      <c r="W73">
        <f>HYPERLINK("https://klasma.github.io/Logging_0980/klagomålsmail/A 65819-2020 FSC-klagomål mail.docx", "A 65819-2020")</f>
        <v/>
      </c>
      <c r="X73">
        <f>HYPERLINK("https://klasma.github.io/Logging_0980/tillsyn/A 65819-2020 tillsynsbegäran.docx", "A 65819-2020")</f>
        <v/>
      </c>
      <c r="Y73">
        <f>HYPERLINK("https://klasma.github.io/Logging_0980/tillsynsmail/A 65819-2020 tillsynsbegäran mail.docx", "A 65819-2020")</f>
        <v/>
      </c>
    </row>
    <row r="74" ht="15" customHeight="1">
      <c r="A74" t="inlineStr">
        <is>
          <t>A 7038-2023</t>
        </is>
      </c>
      <c r="B74" s="1" t="n">
        <v>44968</v>
      </c>
      <c r="C74" s="1" t="n">
        <v>45991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45991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45991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45991</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45991</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45991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45991</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27168-2022</t>
        </is>
      </c>
      <c r="B81" s="1" t="n">
        <v>44741</v>
      </c>
      <c r="C81" s="1" t="n">
        <v>45991</v>
      </c>
      <c r="D81" t="inlineStr">
        <is>
          <t>GOTLANDS LÄN</t>
        </is>
      </c>
      <c r="E81" t="inlineStr">
        <is>
          <t>GOTLAND</t>
        </is>
      </c>
      <c r="G81" t="n">
        <v>2.2</v>
      </c>
      <c r="H81" t="n">
        <v>4</v>
      </c>
      <c r="I81" t="n">
        <v>2</v>
      </c>
      <c r="J81" t="n">
        <v>0</v>
      </c>
      <c r="K81" t="n">
        <v>1</v>
      </c>
      <c r="L81" t="n">
        <v>0</v>
      </c>
      <c r="M81" t="n">
        <v>0</v>
      </c>
      <c r="N81" t="n">
        <v>0</v>
      </c>
      <c r="O81" t="n">
        <v>1</v>
      </c>
      <c r="P81" t="n">
        <v>1</v>
      </c>
      <c r="Q81" t="n">
        <v>5</v>
      </c>
      <c r="R81" s="2" t="inlineStr">
        <is>
          <t>Gotlandsmåra
Purpurknipprot
Vit skogslilja
Brudsporre
Kärrknipprot</t>
        </is>
      </c>
      <c r="S81">
        <f>HYPERLINK("https://klasma.github.io/Logging_0980/artfynd/A 27168-2022 artfynd.xlsx", "A 27168-2022")</f>
        <v/>
      </c>
      <c r="T81">
        <f>HYPERLINK("https://klasma.github.io/Logging_0980/kartor/A 27168-2022 karta.png", "A 27168-2022")</f>
        <v/>
      </c>
      <c r="V81">
        <f>HYPERLINK("https://klasma.github.io/Logging_0980/klagomål/A 27168-2022 FSC-klagomål.docx", "A 27168-2022")</f>
        <v/>
      </c>
      <c r="W81">
        <f>HYPERLINK("https://klasma.github.io/Logging_0980/klagomålsmail/A 27168-2022 FSC-klagomål mail.docx", "A 27168-2022")</f>
        <v/>
      </c>
      <c r="X81">
        <f>HYPERLINK("https://klasma.github.io/Logging_0980/tillsyn/A 27168-2022 tillsynsbegäran.docx", "A 27168-2022")</f>
        <v/>
      </c>
      <c r="Y81">
        <f>HYPERLINK("https://klasma.github.io/Logging_0980/tillsynsmail/A 27168-2022 tillsynsbegäran mail.docx", "A 27168-2022")</f>
        <v/>
      </c>
    </row>
    <row r="82" ht="15" customHeight="1">
      <c r="A82" t="inlineStr">
        <is>
          <t>A 32326-2024</t>
        </is>
      </c>
      <c r="B82" s="1" t="n">
        <v>45512</v>
      </c>
      <c r="C82" s="1" t="n">
        <v>45991</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45991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45991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45991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45991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45991</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45991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45991</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45991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45991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52309-2025</t>
        </is>
      </c>
      <c r="B92" s="1" t="n">
        <v>45953.64381944444</v>
      </c>
      <c r="C92" s="1" t="n">
        <v>45991</v>
      </c>
      <c r="D92" t="inlineStr">
        <is>
          <t>GOTLANDS LÄN</t>
        </is>
      </c>
      <c r="E92" t="inlineStr">
        <is>
          <t>GOTLAND</t>
        </is>
      </c>
      <c r="G92" t="n">
        <v>3.8</v>
      </c>
      <c r="H92" t="n">
        <v>0</v>
      </c>
      <c r="I92" t="n">
        <v>1</v>
      </c>
      <c r="J92" t="n">
        <v>1</v>
      </c>
      <c r="K92" t="n">
        <v>2</v>
      </c>
      <c r="L92" t="n">
        <v>0</v>
      </c>
      <c r="M92" t="n">
        <v>0</v>
      </c>
      <c r="N92" t="n">
        <v>0</v>
      </c>
      <c r="O92" t="n">
        <v>3</v>
      </c>
      <c r="P92" t="n">
        <v>2</v>
      </c>
      <c r="Q92" t="n">
        <v>4</v>
      </c>
      <c r="R92" s="2" t="inlineStr">
        <is>
          <t>Gulsträngad fagerspindling
Tvillingspindling
Odörspindling
Blå slemspindling</t>
        </is>
      </c>
      <c r="S92">
        <f>HYPERLINK("https://klasma.github.io/Logging_0980/artfynd/A 52309-2025 artfynd.xlsx", "A 52309-2025")</f>
        <v/>
      </c>
      <c r="T92">
        <f>HYPERLINK("https://klasma.github.io/Logging_0980/kartor/A 52309-2025 karta.png", "A 52309-2025")</f>
        <v/>
      </c>
      <c r="V92">
        <f>HYPERLINK("https://klasma.github.io/Logging_0980/klagomål/A 52309-2025 FSC-klagomål.docx", "A 52309-2025")</f>
        <v/>
      </c>
      <c r="W92">
        <f>HYPERLINK("https://klasma.github.io/Logging_0980/klagomålsmail/A 52309-2025 FSC-klagomål mail.docx", "A 52309-2025")</f>
        <v/>
      </c>
      <c r="X92">
        <f>HYPERLINK("https://klasma.github.io/Logging_0980/tillsyn/A 52309-2025 tillsynsbegäran.docx", "A 52309-2025")</f>
        <v/>
      </c>
      <c r="Y92">
        <f>HYPERLINK("https://klasma.github.io/Logging_0980/tillsynsmail/A 52309-2025 tillsynsbegäran mail.docx", "A 52309-2025")</f>
        <v/>
      </c>
    </row>
    <row r="93" ht="15" customHeight="1">
      <c r="A93" t="inlineStr">
        <is>
          <t>A 52250-2025</t>
        </is>
      </c>
      <c r="B93" s="1" t="n">
        <v>45953.48998842593</v>
      </c>
      <c r="C93" s="1" t="n">
        <v>45991</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45991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45991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2485-2025</t>
        </is>
      </c>
      <c r="B96" s="1" t="n">
        <v>45673</v>
      </c>
      <c r="C96" s="1" t="n">
        <v>45991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6159-2023</t>
        </is>
      </c>
      <c r="B97" s="1" t="n">
        <v>44964</v>
      </c>
      <c r="C97" s="1" t="n">
        <v>45991</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5904-2024</t>
        </is>
      </c>
      <c r="B98" s="1" t="n">
        <v>45335</v>
      </c>
      <c r="C98" s="1" t="n">
        <v>45991</v>
      </c>
      <c r="D98" t="inlineStr">
        <is>
          <t>GOTLANDS LÄN</t>
        </is>
      </c>
      <c r="E98" t="inlineStr">
        <is>
          <t>GOTLAND</t>
        </is>
      </c>
      <c r="G98" t="n">
        <v>6.4</v>
      </c>
      <c r="H98" t="n">
        <v>1</v>
      </c>
      <c r="I98" t="n">
        <v>2</v>
      </c>
      <c r="J98" t="n">
        <v>1</v>
      </c>
      <c r="K98" t="n">
        <v>0</v>
      </c>
      <c r="L98" t="n">
        <v>0</v>
      </c>
      <c r="M98" t="n">
        <v>0</v>
      </c>
      <c r="N98" t="n">
        <v>0</v>
      </c>
      <c r="O98" t="n">
        <v>1</v>
      </c>
      <c r="P98" t="n">
        <v>0</v>
      </c>
      <c r="Q98" t="n">
        <v>4</v>
      </c>
      <c r="R98" s="2" t="inlineStr">
        <is>
          <t>Backstarr
Blåmossa
Kattfotslav
Sankt pers nycklar</t>
        </is>
      </c>
      <c r="S98">
        <f>HYPERLINK("https://klasma.github.io/Logging_0980/artfynd/A 5904-2024 artfynd.xlsx", "A 5904-2024")</f>
        <v/>
      </c>
      <c r="T98">
        <f>HYPERLINK("https://klasma.github.io/Logging_0980/kartor/A 5904-2024 karta.png", "A 5904-2024")</f>
        <v/>
      </c>
      <c r="V98">
        <f>HYPERLINK("https://klasma.github.io/Logging_0980/klagomål/A 5904-2024 FSC-klagomål.docx", "A 5904-2024")</f>
        <v/>
      </c>
      <c r="W98">
        <f>HYPERLINK("https://klasma.github.io/Logging_0980/klagomålsmail/A 5904-2024 FSC-klagomål mail.docx", "A 5904-2024")</f>
        <v/>
      </c>
      <c r="X98">
        <f>HYPERLINK("https://klasma.github.io/Logging_0980/tillsyn/A 5904-2024 tillsynsbegäran.docx", "A 5904-2024")</f>
        <v/>
      </c>
      <c r="Y98">
        <f>HYPERLINK("https://klasma.github.io/Logging_0980/tillsynsmail/A 5904-2024 tillsynsbegäran mail.docx", "A 5904-2024")</f>
        <v/>
      </c>
    </row>
    <row r="99" ht="15" customHeight="1">
      <c r="A99" t="inlineStr">
        <is>
          <t>A 43197-2023</t>
        </is>
      </c>
      <c r="B99" s="1" t="n">
        <v>45183</v>
      </c>
      <c r="C99" s="1" t="n">
        <v>45991</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45991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1971-2023</t>
        </is>
      </c>
      <c r="B101" s="1" t="n">
        <v>44939</v>
      </c>
      <c r="C101" s="1" t="n">
        <v>45991</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45991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45991</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45991</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64378-2020</t>
        </is>
      </c>
      <c r="B105" s="1" t="n">
        <v>44168</v>
      </c>
      <c r="C105" s="1" t="n">
        <v>45991</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65537-2020</t>
        </is>
      </c>
      <c r="B106" s="1" t="n">
        <v>44173</v>
      </c>
      <c r="C106" s="1" t="n">
        <v>45991</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45991</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45991</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45991</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45991</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45991</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45991</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13499-2022</t>
        </is>
      </c>
      <c r="B114" s="1" t="n">
        <v>44647.79203703703</v>
      </c>
      <c r="C114" s="1" t="n">
        <v>45991</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5235-2025</t>
        </is>
      </c>
      <c r="B115" s="1" t="n">
        <v>45692.26797453704</v>
      </c>
      <c r="C115" s="1" t="n">
        <v>45991</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48126-2022</t>
        </is>
      </c>
      <c r="B116" s="1" t="n">
        <v>44857</v>
      </c>
      <c r="C116" s="1" t="n">
        <v>45991</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45991</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20831-2024</t>
        </is>
      </c>
      <c r="B118" s="1" t="n">
        <v>45439</v>
      </c>
      <c r="C118" s="1" t="n">
        <v>45991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45991</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17975-2024</t>
        </is>
      </c>
      <c r="B120" s="1" t="n">
        <v>45419.85546296297</v>
      </c>
      <c r="C120" s="1" t="n">
        <v>45991</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49709-2025</t>
        </is>
      </c>
      <c r="B121" s="1" t="n">
        <v>45939.68228009259</v>
      </c>
      <c r="C121" s="1" t="n">
        <v>45991</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17982-2023</t>
        </is>
      </c>
      <c r="B122" s="1" t="n">
        <v>45040</v>
      </c>
      <c r="C122" s="1" t="n">
        <v>45991</v>
      </c>
      <c r="D122" t="inlineStr">
        <is>
          <t>GOTLANDS LÄN</t>
        </is>
      </c>
      <c r="E122" t="inlineStr">
        <is>
          <t>GOTLAND</t>
        </is>
      </c>
      <c r="G122" t="n">
        <v>2.2</v>
      </c>
      <c r="H122" t="n">
        <v>0</v>
      </c>
      <c r="I122" t="n">
        <v>0</v>
      </c>
      <c r="J122" t="n">
        <v>2</v>
      </c>
      <c r="K122" t="n">
        <v>0</v>
      </c>
      <c r="L122" t="n">
        <v>0</v>
      </c>
      <c r="M122" t="n">
        <v>1</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45991</v>
      </c>
      <c r="D123" t="inlineStr">
        <is>
          <t>GOTLANDS LÄN</t>
        </is>
      </c>
      <c r="E123" t="inlineStr">
        <is>
          <t>GOTLAND</t>
        </is>
      </c>
      <c r="G123" t="n">
        <v>6.2</v>
      </c>
      <c r="H123" t="n">
        <v>2</v>
      </c>
      <c r="I123" t="n">
        <v>0</v>
      </c>
      <c r="J123" t="n">
        <v>1</v>
      </c>
      <c r="K123" t="n">
        <v>0</v>
      </c>
      <c r="L123" t="n">
        <v>0</v>
      </c>
      <c r="M123" t="n">
        <v>0</v>
      </c>
      <c r="N123" t="n">
        <v>0</v>
      </c>
      <c r="O123" t="n">
        <v>1</v>
      </c>
      <c r="P123" t="n">
        <v>0</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45378.6434837963</v>
      </c>
      <c r="C124" s="1" t="n">
        <v>45991</v>
      </c>
      <c r="D124" t="inlineStr">
        <is>
          <t>GOTLANDS LÄN</t>
        </is>
      </c>
      <c r="E124" t="inlineStr">
        <is>
          <t>GOTLAND</t>
        </is>
      </c>
      <c r="G124" t="n">
        <v>6</v>
      </c>
      <c r="H124" t="n">
        <v>3</v>
      </c>
      <c r="I124" t="n">
        <v>1</v>
      </c>
      <c r="J124" t="n">
        <v>1</v>
      </c>
      <c r="K124" t="n">
        <v>0</v>
      </c>
      <c r="L124" t="n">
        <v>0</v>
      </c>
      <c r="M124" t="n">
        <v>0</v>
      </c>
      <c r="N124" t="n">
        <v>0</v>
      </c>
      <c r="O124" t="n">
        <v>1</v>
      </c>
      <c r="P124" t="n">
        <v>0</v>
      </c>
      <c r="Q124" t="n">
        <v>3</v>
      </c>
      <c r="R124" s="2" t="inlineStr">
        <is>
          <t>Buskskvätta
Tvåblad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c r="Z124">
        <f>HYPERLINK("https://klasma.github.io/Logging_0980/fåglar/A 12315-2024 prioriterade fågelarter.docx", "A 12315-2024")</f>
        <v/>
      </c>
    </row>
    <row r="125" ht="15" customHeight="1">
      <c r="A125" t="inlineStr">
        <is>
          <t>A 29870-2021</t>
        </is>
      </c>
      <c r="B125" s="1" t="n">
        <v>44362</v>
      </c>
      <c r="C125" s="1" t="n">
        <v>45991</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45991</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16429-2021</t>
        </is>
      </c>
      <c r="B127" s="1" t="n">
        <v>44293</v>
      </c>
      <c r="C127" s="1" t="n">
        <v>45991</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9930-2021</t>
        </is>
      </c>
      <c r="B128" s="1" t="n">
        <v>44252</v>
      </c>
      <c r="C128" s="1" t="n">
        <v>45991</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60665-2021</t>
        </is>
      </c>
      <c r="B129" s="1" t="n">
        <v>44496</v>
      </c>
      <c r="C129" s="1" t="n">
        <v>45991</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45991</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45991</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55649-2024</t>
        </is>
      </c>
      <c r="B132" s="1" t="n">
        <v>45622.63053240741</v>
      </c>
      <c r="C132" s="1" t="n">
        <v>45991</v>
      </c>
      <c r="D132" t="inlineStr">
        <is>
          <t>GOTLANDS LÄN</t>
        </is>
      </c>
      <c r="E132" t="inlineStr">
        <is>
          <t>GOTLAND</t>
        </is>
      </c>
      <c r="G132" t="n">
        <v>4.6</v>
      </c>
      <c r="H132" t="n">
        <v>2</v>
      </c>
      <c r="I132" t="n">
        <v>0</v>
      </c>
      <c r="J132" t="n">
        <v>0</v>
      </c>
      <c r="K132" t="n">
        <v>0</v>
      </c>
      <c r="L132" t="n">
        <v>0</v>
      </c>
      <c r="M132" t="n">
        <v>0</v>
      </c>
      <c r="N132" t="n">
        <v>0</v>
      </c>
      <c r="O132" t="n">
        <v>0</v>
      </c>
      <c r="P132" t="n">
        <v>0</v>
      </c>
      <c r="Q132" t="n">
        <v>2</v>
      </c>
      <c r="R132" s="2" t="inlineStr">
        <is>
          <t>Sankt pers nycklar
Blåsippa</t>
        </is>
      </c>
      <c r="S132">
        <f>HYPERLINK("https://klasma.github.io/Logging_0980/artfynd/A 55649-2024 artfynd.xlsx", "A 55649-2024")</f>
        <v/>
      </c>
      <c r="T132">
        <f>HYPERLINK("https://klasma.github.io/Logging_0980/kartor/A 55649-2024 karta.png", "A 55649-2024")</f>
        <v/>
      </c>
      <c r="V132">
        <f>HYPERLINK("https://klasma.github.io/Logging_0980/klagomål/A 55649-2024 FSC-klagomål.docx", "A 55649-2024")</f>
        <v/>
      </c>
      <c r="W132">
        <f>HYPERLINK("https://klasma.github.io/Logging_0980/klagomålsmail/A 55649-2024 FSC-klagomål mail.docx", "A 55649-2024")</f>
        <v/>
      </c>
      <c r="X132">
        <f>HYPERLINK("https://klasma.github.io/Logging_0980/tillsyn/A 55649-2024 tillsynsbegäran.docx", "A 55649-2024")</f>
        <v/>
      </c>
      <c r="Y132">
        <f>HYPERLINK("https://klasma.github.io/Logging_0980/tillsynsmail/A 55649-2024 tillsynsbegäran mail.docx", "A 55649-2024")</f>
        <v/>
      </c>
    </row>
    <row r="133" ht="15" customHeight="1">
      <c r="A133" t="inlineStr">
        <is>
          <t>A 7070-2022</t>
        </is>
      </c>
      <c r="B133" s="1" t="n">
        <v>44603</v>
      </c>
      <c r="C133" s="1" t="n">
        <v>45991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64263-2020</t>
        </is>
      </c>
      <c r="B134" s="1" t="n">
        <v>44168</v>
      </c>
      <c r="C134" s="1" t="n">
        <v>45991</v>
      </c>
      <c r="D134" t="inlineStr">
        <is>
          <t>GOTLANDS LÄN</t>
        </is>
      </c>
      <c r="E134" t="inlineStr">
        <is>
          <t>GOTLAND</t>
        </is>
      </c>
      <c r="G134" t="n">
        <v>10.9</v>
      </c>
      <c r="H134" t="n">
        <v>1</v>
      </c>
      <c r="I134" t="n">
        <v>0</v>
      </c>
      <c r="J134" t="n">
        <v>2</v>
      </c>
      <c r="K134" t="n">
        <v>0</v>
      </c>
      <c r="L134" t="n">
        <v>0</v>
      </c>
      <c r="M134" t="n">
        <v>0</v>
      </c>
      <c r="N134" t="n">
        <v>0</v>
      </c>
      <c r="O134" t="n">
        <v>2</v>
      </c>
      <c r="P134" t="n">
        <v>0</v>
      </c>
      <c r="Q134" t="n">
        <v>2</v>
      </c>
      <c r="R134" s="2" t="inlineStr">
        <is>
          <t>Mindre hackspett
Ullticka</t>
        </is>
      </c>
      <c r="S134">
        <f>HYPERLINK("https://klasma.github.io/Logging_0980/artfynd/A 64263-2020 artfynd.xlsx", "A 64263-2020")</f>
        <v/>
      </c>
      <c r="T134">
        <f>HYPERLINK("https://klasma.github.io/Logging_0980/kartor/A 64263-2020 karta.png", "A 64263-2020")</f>
        <v/>
      </c>
      <c r="V134">
        <f>HYPERLINK("https://klasma.github.io/Logging_0980/klagomål/A 64263-2020 FSC-klagomål.docx", "A 64263-2020")</f>
        <v/>
      </c>
      <c r="W134">
        <f>HYPERLINK("https://klasma.github.io/Logging_0980/klagomålsmail/A 64263-2020 FSC-klagomål mail.docx", "A 64263-2020")</f>
        <v/>
      </c>
      <c r="X134">
        <f>HYPERLINK("https://klasma.github.io/Logging_0980/tillsyn/A 64263-2020 tillsynsbegäran.docx", "A 64263-2020")</f>
        <v/>
      </c>
      <c r="Y134">
        <f>HYPERLINK("https://klasma.github.io/Logging_0980/tillsynsmail/A 64263-2020 tillsynsbegäran mail.docx", "A 64263-2020")</f>
        <v/>
      </c>
      <c r="Z134">
        <f>HYPERLINK("https://klasma.github.io/Logging_0980/fåglar/A 64263-2020 prioriterade fågelarter.docx", "A 64263-2020")</f>
        <v/>
      </c>
    </row>
    <row r="135" ht="15" customHeight="1">
      <c r="A135" t="inlineStr">
        <is>
          <t>A 12914-2025</t>
        </is>
      </c>
      <c r="B135" s="1" t="n">
        <v>45733</v>
      </c>
      <c r="C135" s="1" t="n">
        <v>45991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45991</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45991</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45991</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45991</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45991</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45991</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24-2021</t>
        </is>
      </c>
      <c r="B142" s="1" t="n">
        <v>44197</v>
      </c>
      <c r="C142" s="1" t="n">
        <v>45991</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45991</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45991</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45991</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22883-2024</t>
        </is>
      </c>
      <c r="B146" s="1" t="n">
        <v>45448.66368055555</v>
      </c>
      <c r="C146" s="1" t="n">
        <v>45991</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24245-2022</t>
        </is>
      </c>
      <c r="B147" s="1" t="n">
        <v>44725</v>
      </c>
      <c r="C147" s="1" t="n">
        <v>45991</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44308-2021</t>
        </is>
      </c>
      <c r="B148" s="1" t="n">
        <v>44434</v>
      </c>
      <c r="C148" s="1" t="n">
        <v>45991</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46527-2023</t>
        </is>
      </c>
      <c r="B149" s="1" t="n">
        <v>45197</v>
      </c>
      <c r="C149" s="1" t="n">
        <v>45991</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26461-2025</t>
        </is>
      </c>
      <c r="B150" s="1" t="n">
        <v>45807.43337962963</v>
      </c>
      <c r="C150" s="1" t="n">
        <v>45991</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39812-2025</t>
        </is>
      </c>
      <c r="B151" s="1" t="n">
        <v>45891</v>
      </c>
      <c r="C151" s="1" t="n">
        <v>45991</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17723-2021</t>
        </is>
      </c>
      <c r="B152" s="1" t="n">
        <v>44300</v>
      </c>
      <c r="C152" s="1" t="n">
        <v>45991</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45991</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45991</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45991</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45991</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35467-2021</t>
        </is>
      </c>
      <c r="B157" s="1" t="n">
        <v>44385</v>
      </c>
      <c r="C157" s="1" t="n">
        <v>45991</v>
      </c>
      <c r="D157" t="inlineStr">
        <is>
          <t>GOTLANDS LÄN</t>
        </is>
      </c>
      <c r="E157" t="inlineStr">
        <is>
          <t>GOTLAND</t>
        </is>
      </c>
      <c r="G157" t="n">
        <v>12.7</v>
      </c>
      <c r="H157" t="n">
        <v>0</v>
      </c>
      <c r="I157" t="n">
        <v>0</v>
      </c>
      <c r="J157" t="n">
        <v>1</v>
      </c>
      <c r="K157" t="n">
        <v>0</v>
      </c>
      <c r="L157" t="n">
        <v>0</v>
      </c>
      <c r="M157" t="n">
        <v>0</v>
      </c>
      <c r="N157" t="n">
        <v>0</v>
      </c>
      <c r="O157" t="n">
        <v>1</v>
      </c>
      <c r="P157" t="n">
        <v>0</v>
      </c>
      <c r="Q157" t="n">
        <v>1</v>
      </c>
      <c r="R157" s="2" t="inlineStr">
        <is>
          <t>Loppstarr</t>
        </is>
      </c>
      <c r="S157">
        <f>HYPERLINK("https://klasma.github.io/Logging_0980/artfynd/A 35467-2021 artfynd.xlsx", "A 35467-2021")</f>
        <v/>
      </c>
      <c r="T157">
        <f>HYPERLINK("https://klasma.github.io/Logging_0980/kartor/A 35467-2021 karta.png", "A 35467-2021")</f>
        <v/>
      </c>
      <c r="V157">
        <f>HYPERLINK("https://klasma.github.io/Logging_0980/klagomål/A 35467-2021 FSC-klagomål.docx", "A 35467-2021")</f>
        <v/>
      </c>
      <c r="W157">
        <f>HYPERLINK("https://klasma.github.io/Logging_0980/klagomålsmail/A 35467-2021 FSC-klagomål mail.docx", "A 35467-2021")</f>
        <v/>
      </c>
      <c r="X157">
        <f>HYPERLINK("https://klasma.github.io/Logging_0980/tillsyn/A 35467-2021 tillsynsbegäran.docx", "A 35467-2021")</f>
        <v/>
      </c>
      <c r="Y157">
        <f>HYPERLINK("https://klasma.github.io/Logging_0980/tillsynsmail/A 35467-2021 tillsynsbegäran mail.docx", "A 35467-2021")</f>
        <v/>
      </c>
    </row>
    <row r="158" ht="15" customHeight="1">
      <c r="A158" t="inlineStr">
        <is>
          <t>A 9862-2024</t>
        </is>
      </c>
      <c r="B158" s="1" t="n">
        <v>45363</v>
      </c>
      <c r="C158" s="1" t="n">
        <v>45991</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45991</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44619-2025</t>
        </is>
      </c>
      <c r="B160" s="1" t="n">
        <v>45917</v>
      </c>
      <c r="C160" s="1" t="n">
        <v>45991</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65927-2021</t>
        </is>
      </c>
      <c r="B161" s="1" t="n">
        <v>44516</v>
      </c>
      <c r="C161" s="1" t="n">
        <v>45991</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45991</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45991</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45991</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45991</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45991</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20429-2025</t>
        </is>
      </c>
      <c r="B167" s="1" t="n">
        <v>45775.47728009259</v>
      </c>
      <c r="C167" s="1" t="n">
        <v>45991</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2476-2025</t>
        </is>
      </c>
      <c r="B168" s="1" t="n">
        <v>45673</v>
      </c>
      <c r="C168" s="1" t="n">
        <v>45991</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49726-2025</t>
        </is>
      </c>
      <c r="B169" s="1" t="n">
        <v>45939.84466435185</v>
      </c>
      <c r="C169" s="1" t="n">
        <v>45991</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447-2023</t>
        </is>
      </c>
      <c r="B170" s="1" t="n">
        <v>44929</v>
      </c>
      <c r="C170" s="1" t="n">
        <v>45991</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45991</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45991</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45991</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45991</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45991</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45991</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45991</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45991</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45991</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45991</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45991</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45991</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45991</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63299-2020</t>
        </is>
      </c>
      <c r="B184" s="1" t="n">
        <v>44165</v>
      </c>
      <c r="C184" s="1" t="n">
        <v>45991</v>
      </c>
      <c r="D184" t="inlineStr">
        <is>
          <t>GOTLANDS LÄN</t>
        </is>
      </c>
      <c r="E184" t="inlineStr">
        <is>
          <t>GOTLAND</t>
        </is>
      </c>
      <c r="G184" t="n">
        <v>12.9</v>
      </c>
      <c r="H184" t="n">
        <v>1</v>
      </c>
      <c r="I184" t="n">
        <v>0</v>
      </c>
      <c r="J184" t="n">
        <v>1</v>
      </c>
      <c r="K184" t="n">
        <v>0</v>
      </c>
      <c r="L184" t="n">
        <v>0</v>
      </c>
      <c r="M184" t="n">
        <v>0</v>
      </c>
      <c r="N184" t="n">
        <v>0</v>
      </c>
      <c r="O184" t="n">
        <v>1</v>
      </c>
      <c r="P184" t="n">
        <v>0</v>
      </c>
      <c r="Q184" t="n">
        <v>1</v>
      </c>
      <c r="R184" s="2" t="inlineStr">
        <is>
          <t>Svartfläckig blåvinge</t>
        </is>
      </c>
      <c r="S184">
        <f>HYPERLINK("https://klasma.github.io/Logging_0980/artfynd/A 63299-2020 artfynd.xlsx", "A 63299-2020")</f>
        <v/>
      </c>
      <c r="T184">
        <f>HYPERLINK("https://klasma.github.io/Logging_0980/kartor/A 63299-2020 karta.png", "A 63299-2020")</f>
        <v/>
      </c>
      <c r="V184">
        <f>HYPERLINK("https://klasma.github.io/Logging_0980/klagomål/A 63299-2020 FSC-klagomål.docx", "A 63299-2020")</f>
        <v/>
      </c>
      <c r="W184">
        <f>HYPERLINK("https://klasma.github.io/Logging_0980/klagomålsmail/A 63299-2020 FSC-klagomål mail.docx", "A 63299-2020")</f>
        <v/>
      </c>
      <c r="X184">
        <f>HYPERLINK("https://klasma.github.io/Logging_0980/tillsyn/A 63299-2020 tillsynsbegäran.docx", "A 63299-2020")</f>
        <v/>
      </c>
      <c r="Y184">
        <f>HYPERLINK("https://klasma.github.io/Logging_0980/tillsynsmail/A 63299-2020 tillsynsbegäran mail.docx", "A 63299-2020")</f>
        <v/>
      </c>
    </row>
    <row r="185" ht="15" customHeight="1">
      <c r="A185" t="inlineStr">
        <is>
          <t>A 49847-2023</t>
        </is>
      </c>
      <c r="B185" s="1" t="n">
        <v>45212</v>
      </c>
      <c r="C185" s="1" t="n">
        <v>45991</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45991</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45991</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45991</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45991</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19901-2021</t>
        </is>
      </c>
      <c r="B190" s="1" t="n">
        <v>44312</v>
      </c>
      <c r="C190" s="1" t="n">
        <v>45991</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45991</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45991</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45991</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45991</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45991</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45991</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45991</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45991</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45991</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45991</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45991</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45991</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45991</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45991</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45991</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11402-2021</t>
        </is>
      </c>
      <c r="B207" s="1" t="n">
        <v>44263</v>
      </c>
      <c r="C207" s="1" t="n">
        <v>45991</v>
      </c>
      <c r="D207" t="inlineStr">
        <is>
          <t>GOTLANDS LÄN</t>
        </is>
      </c>
      <c r="E207" t="inlineStr">
        <is>
          <t>GOTLAND</t>
        </is>
      </c>
      <c r="G207" t="n">
        <v>2.9</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45991</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45991</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45991</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45991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45991</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45991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45991</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45991</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45991</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45991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45991</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45991</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45991</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45991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45991</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45991</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45991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45991</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45991</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45991</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45991</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65393-2021</t>
        </is>
      </c>
      <c r="B229" s="1" t="n">
        <v>44515</v>
      </c>
      <c r="C229" s="1" t="n">
        <v>45991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23910-2021</t>
        </is>
      </c>
      <c r="B230" s="1" t="n">
        <v>44335</v>
      </c>
      <c r="C230" s="1" t="n">
        <v>45991</v>
      </c>
      <c r="D230" t="inlineStr">
        <is>
          <t>GOTLANDS LÄN</t>
        </is>
      </c>
      <c r="E230" t="inlineStr">
        <is>
          <t>GOTLAND</t>
        </is>
      </c>
      <c r="G230" t="n">
        <v>1.5</v>
      </c>
      <c r="H230" t="n">
        <v>0</v>
      </c>
      <c r="I230" t="n">
        <v>0</v>
      </c>
      <c r="J230" t="n">
        <v>0</v>
      </c>
      <c r="K230" t="n">
        <v>0</v>
      </c>
      <c r="L230" t="n">
        <v>0</v>
      </c>
      <c r="M230" t="n">
        <v>0</v>
      </c>
      <c r="N230" t="n">
        <v>0</v>
      </c>
      <c r="O230" t="n">
        <v>0</v>
      </c>
      <c r="P230" t="n">
        <v>0</v>
      </c>
      <c r="Q230" t="n">
        <v>0</v>
      </c>
      <c r="R230" s="2" t="inlineStr"/>
    </row>
    <row r="231" ht="15" customHeight="1">
      <c r="A231" t="inlineStr">
        <is>
          <t>A 17354-2022</t>
        </is>
      </c>
      <c r="B231" s="1" t="n">
        <v>44678</v>
      </c>
      <c r="C231" s="1" t="n">
        <v>45991</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45991</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1229-2021</t>
        </is>
      </c>
      <c r="B233" s="1" t="n">
        <v>44208</v>
      </c>
      <c r="C233" s="1" t="n">
        <v>45991</v>
      </c>
      <c r="D233" t="inlineStr">
        <is>
          <t>GOTLANDS LÄN</t>
        </is>
      </c>
      <c r="E233" t="inlineStr">
        <is>
          <t>GOTLAND</t>
        </is>
      </c>
      <c r="G233" t="n">
        <v>5.3</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45991</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45991</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45991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45991</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13498-2022</t>
        </is>
      </c>
      <c r="B238" s="1" t="n">
        <v>44647.78866898148</v>
      </c>
      <c r="C238" s="1" t="n">
        <v>45991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13500-2022</t>
        </is>
      </c>
      <c r="B239" s="1" t="n">
        <v>44647.79513888889</v>
      </c>
      <c r="C239" s="1" t="n">
        <v>45991</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21507-2021</t>
        </is>
      </c>
      <c r="B240" s="1" t="n">
        <v>44321</v>
      </c>
      <c r="C240" s="1" t="n">
        <v>45991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57219-2021</t>
        </is>
      </c>
      <c r="B241" s="1" t="n">
        <v>44483</v>
      </c>
      <c r="C241" s="1" t="n">
        <v>45991</v>
      </c>
      <c r="D241" t="inlineStr">
        <is>
          <t>GOTLANDS LÄN</t>
        </is>
      </c>
      <c r="E241" t="inlineStr">
        <is>
          <t>GOTLAND</t>
        </is>
      </c>
      <c r="F241" t="inlineStr">
        <is>
          <t>Kyrkan</t>
        </is>
      </c>
      <c r="G241" t="n">
        <v>4</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45991</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456-2023</t>
        </is>
      </c>
      <c r="B243" s="1" t="n">
        <v>44929.87122685185</v>
      </c>
      <c r="C243" s="1" t="n">
        <v>45991</v>
      </c>
      <c r="D243" t="inlineStr">
        <is>
          <t>GOTLANDS LÄN</t>
        </is>
      </c>
      <c r="E243" t="inlineStr">
        <is>
          <t>GOTLAND</t>
        </is>
      </c>
      <c r="G243" t="n">
        <v>3.2</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45991</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61596-2023</t>
        </is>
      </c>
      <c r="B245" s="1" t="n">
        <v>45265</v>
      </c>
      <c r="C245" s="1" t="n">
        <v>45991</v>
      </c>
      <c r="D245" t="inlineStr">
        <is>
          <t>GOTLANDS LÄN</t>
        </is>
      </c>
      <c r="E245" t="inlineStr">
        <is>
          <t>GOTLAND</t>
        </is>
      </c>
      <c r="G245" t="n">
        <v>1.7</v>
      </c>
      <c r="H245" t="n">
        <v>0</v>
      </c>
      <c r="I245" t="n">
        <v>0</v>
      </c>
      <c r="J245" t="n">
        <v>0</v>
      </c>
      <c r="K245" t="n">
        <v>0</v>
      </c>
      <c r="L245" t="n">
        <v>0</v>
      </c>
      <c r="M245" t="n">
        <v>0</v>
      </c>
      <c r="N245" t="n">
        <v>0</v>
      </c>
      <c r="O245" t="n">
        <v>0</v>
      </c>
      <c r="P245" t="n">
        <v>0</v>
      </c>
      <c r="Q245" t="n">
        <v>0</v>
      </c>
      <c r="R245" s="2" t="inlineStr"/>
    </row>
    <row r="246" ht="15" customHeight="1">
      <c r="A246" t="inlineStr">
        <is>
          <t>A 873-2024</t>
        </is>
      </c>
      <c r="B246" s="1" t="n">
        <v>45301</v>
      </c>
      <c r="C246" s="1" t="n">
        <v>45991</v>
      </c>
      <c r="D246" t="inlineStr">
        <is>
          <t>GOTLANDS LÄN</t>
        </is>
      </c>
      <c r="E246" t="inlineStr">
        <is>
          <t>GOTLAND</t>
        </is>
      </c>
      <c r="G246" t="n">
        <v>2.7</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44839.51599537037</v>
      </c>
      <c r="C247" s="1" t="n">
        <v>45991</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45991</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61386-2023</t>
        </is>
      </c>
      <c r="B249" s="1" t="n">
        <v>45264</v>
      </c>
      <c r="C249" s="1" t="n">
        <v>45991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45991</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45086.44261574074</v>
      </c>
      <c r="C251" s="1" t="n">
        <v>45991</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56009-2024</t>
        </is>
      </c>
      <c r="B252" s="1" t="n">
        <v>45623.80864583333</v>
      </c>
      <c r="C252" s="1" t="n">
        <v>45991</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54073-2022</t>
        </is>
      </c>
      <c r="B253" s="1" t="n">
        <v>44881.50380787037</v>
      </c>
      <c r="C253" s="1" t="n">
        <v>45991</v>
      </c>
      <c r="D253" t="inlineStr">
        <is>
          <t>GOTLANDS LÄN</t>
        </is>
      </c>
      <c r="E253" t="inlineStr">
        <is>
          <t>GOTLAND</t>
        </is>
      </c>
      <c r="G253" t="n">
        <v>3.8</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45991</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45991</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45991</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45991</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45991</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49874-2024</t>
        </is>
      </c>
      <c r="B259" s="1" t="n">
        <v>45597.49274305555</v>
      </c>
      <c r="C259" s="1" t="n">
        <v>45991</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45991</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60675-2021</t>
        </is>
      </c>
      <c r="B261" s="1" t="n">
        <v>44496.64855324074</v>
      </c>
      <c r="C261" s="1" t="n">
        <v>45991</v>
      </c>
      <c r="D261" t="inlineStr">
        <is>
          <t>GOTLANDS LÄN</t>
        </is>
      </c>
      <c r="E261" t="inlineStr">
        <is>
          <t>GOTLAND</t>
        </is>
      </c>
      <c r="G261" t="n">
        <v>4.6</v>
      </c>
      <c r="H261" t="n">
        <v>0</v>
      </c>
      <c r="I261" t="n">
        <v>0</v>
      </c>
      <c r="J261" t="n">
        <v>0</v>
      </c>
      <c r="K261" t="n">
        <v>0</v>
      </c>
      <c r="L261" t="n">
        <v>0</v>
      </c>
      <c r="M261" t="n">
        <v>0</v>
      </c>
      <c r="N261" t="n">
        <v>0</v>
      </c>
      <c r="O261" t="n">
        <v>0</v>
      </c>
      <c r="P261" t="n">
        <v>0</v>
      </c>
      <c r="Q261" t="n">
        <v>0</v>
      </c>
      <c r="R261" s="2" t="inlineStr"/>
    </row>
    <row r="262" ht="15" customHeight="1">
      <c r="A262" t="inlineStr">
        <is>
          <t>A 4421-2024</t>
        </is>
      </c>
      <c r="B262" s="1" t="n">
        <v>45327.45173611111</v>
      </c>
      <c r="C262" s="1" t="n">
        <v>45991</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45991</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20165-2022</t>
        </is>
      </c>
      <c r="B264" s="1" t="n">
        <v>44698.49854166667</v>
      </c>
      <c r="C264" s="1" t="n">
        <v>45991</v>
      </c>
      <c r="D264" t="inlineStr">
        <is>
          <t>GOTLANDS LÄN</t>
        </is>
      </c>
      <c r="E264" t="inlineStr">
        <is>
          <t>GOTLAND</t>
        </is>
      </c>
      <c r="G264" t="n">
        <v>4.1</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45991</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14638-2025</t>
        </is>
      </c>
      <c r="B266" s="1" t="n">
        <v>45742</v>
      </c>
      <c r="C266" s="1" t="n">
        <v>45991</v>
      </c>
      <c r="D266" t="inlineStr">
        <is>
          <t>GOTLANDS LÄN</t>
        </is>
      </c>
      <c r="E266" t="inlineStr">
        <is>
          <t>GOTLAND</t>
        </is>
      </c>
      <c r="G266" t="n">
        <v>13.4</v>
      </c>
      <c r="H266" t="n">
        <v>0</v>
      </c>
      <c r="I266" t="n">
        <v>0</v>
      </c>
      <c r="J266" t="n">
        <v>0</v>
      </c>
      <c r="K266" t="n">
        <v>0</v>
      </c>
      <c r="L266" t="n">
        <v>0</v>
      </c>
      <c r="M266" t="n">
        <v>0</v>
      </c>
      <c r="N266" t="n">
        <v>0</v>
      </c>
      <c r="O266" t="n">
        <v>0</v>
      </c>
      <c r="P266" t="n">
        <v>0</v>
      </c>
      <c r="Q266" t="n">
        <v>0</v>
      </c>
      <c r="R266" s="2" t="inlineStr"/>
    </row>
    <row r="267" ht="15" customHeight="1">
      <c r="A267" t="inlineStr">
        <is>
          <t>A 31264-2021</t>
        </is>
      </c>
      <c r="B267" s="1" t="n">
        <v>44368</v>
      </c>
      <c r="C267" s="1" t="n">
        <v>45991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6749-2025</t>
        </is>
      </c>
      <c r="B268" s="1" t="n">
        <v>45700</v>
      </c>
      <c r="C268" s="1" t="n">
        <v>45991</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45991</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61962-2024</t>
        </is>
      </c>
      <c r="B270" s="1" t="n">
        <v>45653.54340277778</v>
      </c>
      <c r="C270" s="1" t="n">
        <v>45991</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27930-2021</t>
        </is>
      </c>
      <c r="B271" s="1" t="n">
        <v>44354</v>
      </c>
      <c r="C271" s="1" t="n">
        <v>45991</v>
      </c>
      <c r="D271" t="inlineStr">
        <is>
          <t>GOTLANDS LÄN</t>
        </is>
      </c>
      <c r="E271" t="inlineStr">
        <is>
          <t>GOTLAND</t>
        </is>
      </c>
      <c r="G271" t="n">
        <v>2.5</v>
      </c>
      <c r="H271" t="n">
        <v>0</v>
      </c>
      <c r="I271" t="n">
        <v>0</v>
      </c>
      <c r="J271" t="n">
        <v>0</v>
      </c>
      <c r="K271" t="n">
        <v>0</v>
      </c>
      <c r="L271" t="n">
        <v>0</v>
      </c>
      <c r="M271" t="n">
        <v>0</v>
      </c>
      <c r="N271" t="n">
        <v>0</v>
      </c>
      <c r="O271" t="n">
        <v>0</v>
      </c>
      <c r="P271" t="n">
        <v>0</v>
      </c>
      <c r="Q271" t="n">
        <v>0</v>
      </c>
      <c r="R271" s="2" t="inlineStr"/>
    </row>
    <row r="272" ht="15" customHeight="1">
      <c r="A272" t="inlineStr">
        <is>
          <t>A 59469-2024</t>
        </is>
      </c>
      <c r="B272" s="1" t="n">
        <v>45638</v>
      </c>
      <c r="C272" s="1" t="n">
        <v>45991</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5462-2025</t>
        </is>
      </c>
      <c r="B273" s="1" t="n">
        <v>45693.29331018519</v>
      </c>
      <c r="C273" s="1" t="n">
        <v>45991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51782-2023</t>
        </is>
      </c>
      <c r="B274" s="1" t="n">
        <v>45222.80952546297</v>
      </c>
      <c r="C274" s="1" t="n">
        <v>45991</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45991</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5751-2024</t>
        </is>
      </c>
      <c r="B276" s="1" t="n">
        <v>45335.32702546296</v>
      </c>
      <c r="C276" s="1" t="n">
        <v>45991</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6696-2023</t>
        </is>
      </c>
      <c r="B277" s="1" t="n">
        <v>44966.66425925926</v>
      </c>
      <c r="C277" s="1" t="n">
        <v>45991</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28480-2023</t>
        </is>
      </c>
      <c r="B278" s="1" t="n">
        <v>45103</v>
      </c>
      <c r="C278" s="1" t="n">
        <v>45991</v>
      </c>
      <c r="D278" t="inlineStr">
        <is>
          <t>GOTLANDS LÄN</t>
        </is>
      </c>
      <c r="E278" t="inlineStr">
        <is>
          <t>GOTLAND</t>
        </is>
      </c>
      <c r="G278" t="n">
        <v>5.7</v>
      </c>
      <c r="H278" t="n">
        <v>0</v>
      </c>
      <c r="I278" t="n">
        <v>0</v>
      </c>
      <c r="J278" t="n">
        <v>0</v>
      </c>
      <c r="K278" t="n">
        <v>0</v>
      </c>
      <c r="L278" t="n">
        <v>0</v>
      </c>
      <c r="M278" t="n">
        <v>0</v>
      </c>
      <c r="N278" t="n">
        <v>0</v>
      </c>
      <c r="O278" t="n">
        <v>0</v>
      </c>
      <c r="P278" t="n">
        <v>0</v>
      </c>
      <c r="Q278" t="n">
        <v>0</v>
      </c>
      <c r="R278" s="2" t="inlineStr"/>
    </row>
    <row r="279" ht="15" customHeight="1">
      <c r="A279" t="inlineStr">
        <is>
          <t>A 28485-2023</t>
        </is>
      </c>
      <c r="B279" s="1" t="n">
        <v>45103.43731481482</v>
      </c>
      <c r="C279" s="1" t="n">
        <v>45991</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4990-2025</t>
        </is>
      </c>
      <c r="B280" s="1" t="n">
        <v>45691</v>
      </c>
      <c r="C280" s="1" t="n">
        <v>45991</v>
      </c>
      <c r="D280" t="inlineStr">
        <is>
          <t>GOTLANDS LÄN</t>
        </is>
      </c>
      <c r="E280" t="inlineStr">
        <is>
          <t>GOTLAND</t>
        </is>
      </c>
      <c r="G280" t="n">
        <v>7.7</v>
      </c>
      <c r="H280" t="n">
        <v>0</v>
      </c>
      <c r="I280" t="n">
        <v>0</v>
      </c>
      <c r="J280" t="n">
        <v>0</v>
      </c>
      <c r="K280" t="n">
        <v>0</v>
      </c>
      <c r="L280" t="n">
        <v>0</v>
      </c>
      <c r="M280" t="n">
        <v>0</v>
      </c>
      <c r="N280" t="n">
        <v>0</v>
      </c>
      <c r="O280" t="n">
        <v>0</v>
      </c>
      <c r="P280" t="n">
        <v>0</v>
      </c>
      <c r="Q280" t="n">
        <v>0</v>
      </c>
      <c r="R280" s="2" t="inlineStr"/>
    </row>
    <row r="281" ht="15" customHeight="1">
      <c r="A281" t="inlineStr">
        <is>
          <t>A 2292-2021</t>
        </is>
      </c>
      <c r="B281" s="1" t="n">
        <v>44212</v>
      </c>
      <c r="C281" s="1" t="n">
        <v>45991</v>
      </c>
      <c r="D281" t="inlineStr">
        <is>
          <t>GOTLANDS LÄN</t>
        </is>
      </c>
      <c r="E281" t="inlineStr">
        <is>
          <t>GOTLAND</t>
        </is>
      </c>
      <c r="G281" t="n">
        <v>3</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45991</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38165-2023</t>
        </is>
      </c>
      <c r="B283" s="1" t="n">
        <v>45161</v>
      </c>
      <c r="C283" s="1" t="n">
        <v>45991</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45991</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45991</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45991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39849-2025</t>
        </is>
      </c>
      <c r="B287" s="1" t="n">
        <v>45891.58502314815</v>
      </c>
      <c r="C287" s="1" t="n">
        <v>45991</v>
      </c>
      <c r="D287" t="inlineStr">
        <is>
          <t>GOTLANDS LÄN</t>
        </is>
      </c>
      <c r="E287" t="inlineStr">
        <is>
          <t>GOTLAND</t>
        </is>
      </c>
      <c r="G287" t="n">
        <v>6.1</v>
      </c>
      <c r="H287" t="n">
        <v>0</v>
      </c>
      <c r="I287" t="n">
        <v>0</v>
      </c>
      <c r="J287" t="n">
        <v>0</v>
      </c>
      <c r="K287" t="n">
        <v>0</v>
      </c>
      <c r="L287" t="n">
        <v>0</v>
      </c>
      <c r="M287" t="n">
        <v>0</v>
      </c>
      <c r="N287" t="n">
        <v>0</v>
      </c>
      <c r="O287" t="n">
        <v>0</v>
      </c>
      <c r="P287" t="n">
        <v>0</v>
      </c>
      <c r="Q287" t="n">
        <v>0</v>
      </c>
      <c r="R287" s="2" t="inlineStr"/>
    </row>
    <row r="288" ht="15" customHeight="1">
      <c r="A288" t="inlineStr">
        <is>
          <t>A 49693-2023</t>
        </is>
      </c>
      <c r="B288" s="1" t="n">
        <v>45212.38138888889</v>
      </c>
      <c r="C288" s="1" t="n">
        <v>45991</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49697-2023</t>
        </is>
      </c>
      <c r="B289" s="1" t="n">
        <v>45212.38909722222</v>
      </c>
      <c r="C289" s="1" t="n">
        <v>45991</v>
      </c>
      <c r="D289" t="inlineStr">
        <is>
          <t>GOTLANDS LÄN</t>
        </is>
      </c>
      <c r="E289" t="inlineStr">
        <is>
          <t>GOTLAND</t>
        </is>
      </c>
      <c r="G289" t="n">
        <v>4.4</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45991</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45991</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34312-2024</t>
        </is>
      </c>
      <c r="B292" s="1" t="n">
        <v>45524.69703703704</v>
      </c>
      <c r="C292" s="1" t="n">
        <v>45991</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45991</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45991</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45991</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45991</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45991</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45991</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45991</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45991</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45991</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45991</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38649-2025</t>
        </is>
      </c>
      <c r="B303" s="1" t="n">
        <v>45884</v>
      </c>
      <c r="C303" s="1" t="n">
        <v>45991</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27355-2025</t>
        </is>
      </c>
      <c r="B304" s="1" t="n">
        <v>45812</v>
      </c>
      <c r="C304" s="1" t="n">
        <v>45991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45991</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45991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27371-2025</t>
        </is>
      </c>
      <c r="B307" s="1" t="n">
        <v>45812</v>
      </c>
      <c r="C307" s="1" t="n">
        <v>45991</v>
      </c>
      <c r="D307" t="inlineStr">
        <is>
          <t>GOTLANDS LÄN</t>
        </is>
      </c>
      <c r="E307" t="inlineStr">
        <is>
          <t>GOTLAND</t>
        </is>
      </c>
      <c r="G307" t="n">
        <v>8</v>
      </c>
      <c r="H307" t="n">
        <v>0</v>
      </c>
      <c r="I307" t="n">
        <v>0</v>
      </c>
      <c r="J307" t="n">
        <v>0</v>
      </c>
      <c r="K307" t="n">
        <v>0</v>
      </c>
      <c r="L307" t="n">
        <v>0</v>
      </c>
      <c r="M307" t="n">
        <v>0</v>
      </c>
      <c r="N307" t="n">
        <v>0</v>
      </c>
      <c r="O307" t="n">
        <v>0</v>
      </c>
      <c r="P307" t="n">
        <v>0</v>
      </c>
      <c r="Q307" t="n">
        <v>0</v>
      </c>
      <c r="R307" s="2" t="inlineStr"/>
    </row>
    <row r="308" ht="15" customHeight="1">
      <c r="A308" t="inlineStr">
        <is>
          <t>A 40499-2025</t>
        </is>
      </c>
      <c r="B308" s="1" t="n">
        <v>45896.32517361111</v>
      </c>
      <c r="C308" s="1" t="n">
        <v>45991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45991</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45991</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27694-2024</t>
        </is>
      </c>
      <c r="B311" s="1" t="n">
        <v>45475</v>
      </c>
      <c r="C311" s="1" t="n">
        <v>45991</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6739-2025</t>
        </is>
      </c>
      <c r="B312" s="1" t="n">
        <v>45700</v>
      </c>
      <c r="C312" s="1" t="n">
        <v>45991</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39764-2022</t>
        </is>
      </c>
      <c r="B313" s="1" t="n">
        <v>44819</v>
      </c>
      <c r="C313" s="1" t="n">
        <v>45991</v>
      </c>
      <c r="D313" t="inlineStr">
        <is>
          <t>GOTLANDS LÄN</t>
        </is>
      </c>
      <c r="E313" t="inlineStr">
        <is>
          <t>GOTLAND</t>
        </is>
      </c>
      <c r="F313" t="inlineStr">
        <is>
          <t>Kyrkan</t>
        </is>
      </c>
      <c r="G313" t="n">
        <v>3.7</v>
      </c>
      <c r="H313" t="n">
        <v>0</v>
      </c>
      <c r="I313" t="n">
        <v>0</v>
      </c>
      <c r="J313" t="n">
        <v>0</v>
      </c>
      <c r="K313" t="n">
        <v>0</v>
      </c>
      <c r="L313" t="n">
        <v>0</v>
      </c>
      <c r="M313" t="n">
        <v>0</v>
      </c>
      <c r="N313" t="n">
        <v>0</v>
      </c>
      <c r="O313" t="n">
        <v>0</v>
      </c>
      <c r="P313" t="n">
        <v>0</v>
      </c>
      <c r="Q313" t="n">
        <v>0</v>
      </c>
      <c r="R313" s="2" t="inlineStr"/>
    </row>
    <row r="314" ht="15" customHeight="1">
      <c r="A314" t="inlineStr">
        <is>
          <t>A 6099-2024</t>
        </is>
      </c>
      <c r="B314" s="1" t="n">
        <v>45337</v>
      </c>
      <c r="C314" s="1" t="n">
        <v>45991</v>
      </c>
      <c r="D314" t="inlineStr">
        <is>
          <t>GOTLANDS LÄN</t>
        </is>
      </c>
      <c r="E314" t="inlineStr">
        <is>
          <t>GOTLAND</t>
        </is>
      </c>
      <c r="G314" t="n">
        <v>12.6</v>
      </c>
      <c r="H314" t="n">
        <v>0</v>
      </c>
      <c r="I314" t="n">
        <v>0</v>
      </c>
      <c r="J314" t="n">
        <v>0</v>
      </c>
      <c r="K314" t="n">
        <v>0</v>
      </c>
      <c r="L314" t="n">
        <v>0</v>
      </c>
      <c r="M314" t="n">
        <v>0</v>
      </c>
      <c r="N314" t="n">
        <v>0</v>
      </c>
      <c r="O314" t="n">
        <v>0</v>
      </c>
      <c r="P314" t="n">
        <v>0</v>
      </c>
      <c r="Q314" t="n">
        <v>0</v>
      </c>
      <c r="R314" s="2" t="inlineStr"/>
    </row>
    <row r="315" ht="15" customHeight="1">
      <c r="A315" t="inlineStr">
        <is>
          <t>A 8260-2023</t>
        </is>
      </c>
      <c r="B315" s="1" t="n">
        <v>44974.61608796296</v>
      </c>
      <c r="C315" s="1" t="n">
        <v>45991</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45991</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45991</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45991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45991</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45991</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45991</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29207-2025</t>
        </is>
      </c>
      <c r="B322" s="1" t="n">
        <v>45823</v>
      </c>
      <c r="C322" s="1" t="n">
        <v>45991</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29196-2025</t>
        </is>
      </c>
      <c r="B323" s="1" t="n">
        <v>45822</v>
      </c>
      <c r="C323" s="1" t="n">
        <v>45991</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42608-2025</t>
        </is>
      </c>
      <c r="B324" s="1" t="n">
        <v>45905</v>
      </c>
      <c r="C324" s="1" t="n">
        <v>45991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45991</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45991</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51262-2025</t>
        </is>
      </c>
      <c r="B327" s="1" t="n">
        <v>45949.49872685185</v>
      </c>
      <c r="C327" s="1" t="n">
        <v>45991</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45991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45991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45991</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45991</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45991</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45991</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45991</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45991</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45991</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45991</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45991</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45991</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10158-2025</t>
        </is>
      </c>
      <c r="B340" s="1" t="n">
        <v>45719</v>
      </c>
      <c r="C340" s="1" t="n">
        <v>45991</v>
      </c>
      <c r="D340" t="inlineStr">
        <is>
          <t>GOTLANDS LÄN</t>
        </is>
      </c>
      <c r="E340" t="inlineStr">
        <is>
          <t>GOTLAND</t>
        </is>
      </c>
      <c r="G340" t="n">
        <v>3.5</v>
      </c>
      <c r="H340" t="n">
        <v>0</v>
      </c>
      <c r="I340" t="n">
        <v>0</v>
      </c>
      <c r="J340" t="n">
        <v>0</v>
      </c>
      <c r="K340" t="n">
        <v>0</v>
      </c>
      <c r="L340" t="n">
        <v>0</v>
      </c>
      <c r="M340" t="n">
        <v>0</v>
      </c>
      <c r="N340" t="n">
        <v>0</v>
      </c>
      <c r="O340" t="n">
        <v>0</v>
      </c>
      <c r="P340" t="n">
        <v>0</v>
      </c>
      <c r="Q340" t="n">
        <v>0</v>
      </c>
      <c r="R340" s="2" t="inlineStr"/>
    </row>
    <row r="341" ht="15" customHeight="1">
      <c r="A341" t="inlineStr">
        <is>
          <t>A 52249-2025</t>
        </is>
      </c>
      <c r="B341" s="1" t="n">
        <v>45953.48637731482</v>
      </c>
      <c r="C341" s="1" t="n">
        <v>45991</v>
      </c>
      <c r="D341" t="inlineStr">
        <is>
          <t>GOTLANDS LÄN</t>
        </is>
      </c>
      <c r="E341" t="inlineStr">
        <is>
          <t>GOTLAND</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32379-2025</t>
        </is>
      </c>
      <c r="B342" s="1" t="n">
        <v>45837</v>
      </c>
      <c r="C342" s="1" t="n">
        <v>45991</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45991</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45991</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45991</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47762-2023</t>
        </is>
      </c>
      <c r="B346" s="1" t="n">
        <v>45203.86256944444</v>
      </c>
      <c r="C346" s="1" t="n">
        <v>45991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33007-2025</t>
        </is>
      </c>
      <c r="B347" s="1" t="n">
        <v>45840</v>
      </c>
      <c r="C347" s="1" t="n">
        <v>45991</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40294-2022</t>
        </is>
      </c>
      <c r="B348" s="1" t="n">
        <v>44821</v>
      </c>
      <c r="C348" s="1" t="n">
        <v>45991</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27602-2023</t>
        </is>
      </c>
      <c r="B349" s="1" t="n">
        <v>45097</v>
      </c>
      <c r="C349" s="1" t="n">
        <v>45991</v>
      </c>
      <c r="D349" t="inlineStr">
        <is>
          <t>GOTLANDS LÄN</t>
        </is>
      </c>
      <c r="E349" t="inlineStr">
        <is>
          <t>GOTLAND</t>
        </is>
      </c>
      <c r="G349" t="n">
        <v>2.7</v>
      </c>
      <c r="H349" t="n">
        <v>0</v>
      </c>
      <c r="I349" t="n">
        <v>0</v>
      </c>
      <c r="J349" t="n">
        <v>0</v>
      </c>
      <c r="K349" t="n">
        <v>0</v>
      </c>
      <c r="L349" t="n">
        <v>0</v>
      </c>
      <c r="M349" t="n">
        <v>0</v>
      </c>
      <c r="N349" t="n">
        <v>0</v>
      </c>
      <c r="O349" t="n">
        <v>0</v>
      </c>
      <c r="P349" t="n">
        <v>0</v>
      </c>
      <c r="Q349" t="n">
        <v>0</v>
      </c>
      <c r="R349" s="2" t="inlineStr"/>
    </row>
    <row r="350" ht="15" customHeight="1">
      <c r="A350" t="inlineStr">
        <is>
          <t>A 58780-2024</t>
        </is>
      </c>
      <c r="B350" s="1" t="n">
        <v>45635.84113425926</v>
      </c>
      <c r="C350" s="1" t="n">
        <v>45991</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45991</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45991</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45991</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45991</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52637-2025</t>
        </is>
      </c>
      <c r="B355" s="1" t="n">
        <v>45954.75099537037</v>
      </c>
      <c r="C355" s="1" t="n">
        <v>45991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7835-2024</t>
        </is>
      </c>
      <c r="B356" s="1" t="n">
        <v>45349.83138888889</v>
      </c>
      <c r="C356" s="1" t="n">
        <v>45991</v>
      </c>
      <c r="D356" t="inlineStr">
        <is>
          <t>GOTLANDS LÄN</t>
        </is>
      </c>
      <c r="E356" t="inlineStr">
        <is>
          <t>GOTLAND</t>
        </is>
      </c>
      <c r="G356" t="n">
        <v>3.8</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45991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44410-2025</t>
        </is>
      </c>
      <c r="B358" s="1" t="n">
        <v>45916.53699074074</v>
      </c>
      <c r="C358" s="1" t="n">
        <v>45991</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26810-2021</t>
        </is>
      </c>
      <c r="B359" s="1" t="n">
        <v>44349.55087962963</v>
      </c>
      <c r="C359" s="1" t="n">
        <v>45991</v>
      </c>
      <c r="D359" t="inlineStr">
        <is>
          <t>GOTLANDS LÄN</t>
        </is>
      </c>
      <c r="E359" t="inlineStr">
        <is>
          <t>GOTLAND</t>
        </is>
      </c>
      <c r="G359" t="n">
        <v>3.5</v>
      </c>
      <c r="H359" t="n">
        <v>0</v>
      </c>
      <c r="I359" t="n">
        <v>0</v>
      </c>
      <c r="J359" t="n">
        <v>0</v>
      </c>
      <c r="K359" t="n">
        <v>0</v>
      </c>
      <c r="L359" t="n">
        <v>0</v>
      </c>
      <c r="M359" t="n">
        <v>0</v>
      </c>
      <c r="N359" t="n">
        <v>0</v>
      </c>
      <c r="O359" t="n">
        <v>0</v>
      </c>
      <c r="P359" t="n">
        <v>0</v>
      </c>
      <c r="Q359" t="n">
        <v>0</v>
      </c>
      <c r="R359" s="2" t="inlineStr"/>
    </row>
    <row r="360" ht="15" customHeight="1">
      <c r="A360" t="inlineStr">
        <is>
          <t>A 44405-2025</t>
        </is>
      </c>
      <c r="B360" s="1" t="n">
        <v>45916.52405092592</v>
      </c>
      <c r="C360" s="1" t="n">
        <v>45991</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15413-2025</t>
        </is>
      </c>
      <c r="B361" s="1" t="n">
        <v>45747.451875</v>
      </c>
      <c r="C361" s="1" t="n">
        <v>45991</v>
      </c>
      <c r="D361" t="inlineStr">
        <is>
          <t>GOTLANDS LÄN</t>
        </is>
      </c>
      <c r="E361" t="inlineStr">
        <is>
          <t>GOTLAND</t>
        </is>
      </c>
      <c r="G361" t="n">
        <v>0.6</v>
      </c>
      <c r="H361" t="n">
        <v>0</v>
      </c>
      <c r="I361" t="n">
        <v>0</v>
      </c>
      <c r="J361" t="n">
        <v>0</v>
      </c>
      <c r="K361" t="n">
        <v>0</v>
      </c>
      <c r="L361" t="n">
        <v>0</v>
      </c>
      <c r="M361" t="n">
        <v>0</v>
      </c>
      <c r="N361" t="n">
        <v>0</v>
      </c>
      <c r="O361" t="n">
        <v>0</v>
      </c>
      <c r="P361" t="n">
        <v>0</v>
      </c>
      <c r="Q361" t="n">
        <v>0</v>
      </c>
      <c r="R361" s="2" t="inlineStr"/>
    </row>
    <row r="362" ht="15" customHeight="1">
      <c r="A362" t="inlineStr">
        <is>
          <t>A 35096-2025</t>
        </is>
      </c>
      <c r="B362" s="1" t="n">
        <v>45852.54356481481</v>
      </c>
      <c r="C362" s="1" t="n">
        <v>45991</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45991</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45991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53587-2025</t>
        </is>
      </c>
      <c r="B365" s="1" t="n">
        <v>45960.43681712963</v>
      </c>
      <c r="C365" s="1" t="n">
        <v>45991</v>
      </c>
      <c r="D365" t="inlineStr">
        <is>
          <t>GOTLANDS LÄN</t>
        </is>
      </c>
      <c r="E365" t="inlineStr">
        <is>
          <t>GOTLAND</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13037-2025</t>
        </is>
      </c>
      <c r="B366" s="1" t="n">
        <v>45734</v>
      </c>
      <c r="C366" s="1" t="n">
        <v>45991</v>
      </c>
      <c r="D366" t="inlineStr">
        <is>
          <t>GOTLANDS LÄN</t>
        </is>
      </c>
      <c r="E366" t="inlineStr">
        <is>
          <t>GOTLAND</t>
        </is>
      </c>
      <c r="G366" t="n">
        <v>9.5</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45991</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45991</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45991</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45991</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53569-2025</t>
        </is>
      </c>
      <c r="B371" s="1" t="n">
        <v>45960.41155092593</v>
      </c>
      <c r="C371" s="1" t="n">
        <v>45991</v>
      </c>
      <c r="D371" t="inlineStr">
        <is>
          <t>GOTLANDS LÄN</t>
        </is>
      </c>
      <c r="E371" t="inlineStr">
        <is>
          <t>GOTLAND</t>
        </is>
      </c>
      <c r="F371" t="inlineStr">
        <is>
          <t>Övriga Aktiebolag</t>
        </is>
      </c>
      <c r="G371" t="n">
        <v>11.3</v>
      </c>
      <c r="H371" t="n">
        <v>0</v>
      </c>
      <c r="I371" t="n">
        <v>0</v>
      </c>
      <c r="J371" t="n">
        <v>0</v>
      </c>
      <c r="K371" t="n">
        <v>0</v>
      </c>
      <c r="L371" t="n">
        <v>0</v>
      </c>
      <c r="M371" t="n">
        <v>0</v>
      </c>
      <c r="N371" t="n">
        <v>0</v>
      </c>
      <c r="O371" t="n">
        <v>0</v>
      </c>
      <c r="P371" t="n">
        <v>0</v>
      </c>
      <c r="Q371" t="n">
        <v>0</v>
      </c>
      <c r="R371" s="2" t="inlineStr"/>
    </row>
    <row r="372" ht="15" customHeight="1">
      <c r="A372" t="inlineStr">
        <is>
          <t>A 53577-2025</t>
        </is>
      </c>
      <c r="B372" s="1" t="n">
        <v>45960.42224537037</v>
      </c>
      <c r="C372" s="1" t="n">
        <v>45991</v>
      </c>
      <c r="D372" t="inlineStr">
        <is>
          <t>GOTLANDS LÄN</t>
        </is>
      </c>
      <c r="E372" t="inlineStr">
        <is>
          <t>GOTLAND</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35537-2025</t>
        </is>
      </c>
      <c r="B373" s="1" t="n">
        <v>45856</v>
      </c>
      <c r="C373" s="1" t="n">
        <v>45991</v>
      </c>
      <c r="D373" t="inlineStr">
        <is>
          <t>GOTLANDS LÄN</t>
        </is>
      </c>
      <c r="E373" t="inlineStr">
        <is>
          <t>GOTLAND</t>
        </is>
      </c>
      <c r="G373" t="n">
        <v>16.8</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45991</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45991</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15216-2025</t>
        </is>
      </c>
      <c r="B376" s="1" t="n">
        <v>45744</v>
      </c>
      <c r="C376" s="1" t="n">
        <v>45991</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54584-2025</t>
        </is>
      </c>
      <c r="B377" s="1" t="n">
        <v>45965.71788194445</v>
      </c>
      <c r="C377" s="1" t="n">
        <v>45991</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45991</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45991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17847-2025</t>
        </is>
      </c>
      <c r="B380" s="1" t="n">
        <v>45758</v>
      </c>
      <c r="C380" s="1" t="n">
        <v>45991</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36319-2025</t>
        </is>
      </c>
      <c r="B381" s="1" t="n">
        <v>45868</v>
      </c>
      <c r="C381" s="1" t="n">
        <v>45991</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45991</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45991</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45991</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45991</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24966-2023</t>
        </is>
      </c>
      <c r="B386" s="1" t="n">
        <v>45085</v>
      </c>
      <c r="C386" s="1" t="n">
        <v>45991</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45991</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57652-2023</t>
        </is>
      </c>
      <c r="B388" s="1" t="n">
        <v>45246</v>
      </c>
      <c r="C388" s="1" t="n">
        <v>45991</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45991</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45991</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45991</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26391-2025</t>
        </is>
      </c>
      <c r="B392" s="1" t="n">
        <v>45806</v>
      </c>
      <c r="C392" s="1" t="n">
        <v>45991</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57522-2022</t>
        </is>
      </c>
      <c r="B393" s="1" t="n">
        <v>44896</v>
      </c>
      <c r="C393" s="1" t="n">
        <v>45991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17343-2025</t>
        </is>
      </c>
      <c r="B394" s="1" t="n">
        <v>45756.6687037037</v>
      </c>
      <c r="C394" s="1" t="n">
        <v>45991</v>
      </c>
      <c r="D394" t="inlineStr">
        <is>
          <t>GOTLANDS LÄN</t>
        </is>
      </c>
      <c r="E394" t="inlineStr">
        <is>
          <t>GOTLAND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45991</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18938-2025</t>
        </is>
      </c>
      <c r="B396" s="1" t="n">
        <v>45764.49172453704</v>
      </c>
      <c r="C396" s="1" t="n">
        <v>45991</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20307-2025</t>
        </is>
      </c>
      <c r="B397" s="1" t="n">
        <v>45774.95546296296</v>
      </c>
      <c r="C397" s="1" t="n">
        <v>45991</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45991</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1394-2023</t>
        </is>
      </c>
      <c r="B399" s="1" t="n">
        <v>44936.72997685185</v>
      </c>
      <c r="C399" s="1" t="n">
        <v>45991</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2676-2023</t>
        </is>
      </c>
      <c r="B400" s="1" t="n">
        <v>44944</v>
      </c>
      <c r="C400" s="1" t="n">
        <v>45991</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4387-2023</t>
        </is>
      </c>
      <c r="B401" s="1" t="n">
        <v>44955.73359953704</v>
      </c>
      <c r="C401" s="1" t="n">
        <v>45991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18993-2025</t>
        </is>
      </c>
      <c r="B402" s="1" t="n">
        <v>45764</v>
      </c>
      <c r="C402" s="1" t="n">
        <v>45991</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45991</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49411-2023</t>
        </is>
      </c>
      <c r="B404" s="1" t="n">
        <v>45205</v>
      </c>
      <c r="C404" s="1" t="n">
        <v>45991</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46836-2025</t>
        </is>
      </c>
      <c r="B405" s="1" t="n">
        <v>45928.31511574074</v>
      </c>
      <c r="C405" s="1" t="n">
        <v>45991</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37728-2024</t>
        </is>
      </c>
      <c r="B406" s="1" t="n">
        <v>45541</v>
      </c>
      <c r="C406" s="1" t="n">
        <v>45991</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2241-2025</t>
        </is>
      </c>
      <c r="B407" s="1" t="n">
        <v>45673.48710648148</v>
      </c>
      <c r="C407" s="1" t="n">
        <v>45991</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47637-2025</t>
        </is>
      </c>
      <c r="B408" s="1" t="n">
        <v>45931.49753472222</v>
      </c>
      <c r="C408" s="1" t="n">
        <v>45991</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45991</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22275-2023</t>
        </is>
      </c>
      <c r="B410" s="1" t="n">
        <v>45070.39875</v>
      </c>
      <c r="C410" s="1" t="n">
        <v>45991</v>
      </c>
      <c r="D410" t="inlineStr">
        <is>
          <t>GOTLANDS LÄN</t>
        </is>
      </c>
      <c r="E410" t="inlineStr">
        <is>
          <t>GOTLAND</t>
        </is>
      </c>
      <c r="G410" t="n">
        <v>7.2</v>
      </c>
      <c r="H410" t="n">
        <v>0</v>
      </c>
      <c r="I410" t="n">
        <v>0</v>
      </c>
      <c r="J410" t="n">
        <v>0</v>
      </c>
      <c r="K410" t="n">
        <v>0</v>
      </c>
      <c r="L410" t="n">
        <v>0</v>
      </c>
      <c r="M410" t="n">
        <v>0</v>
      </c>
      <c r="N410" t="n">
        <v>0</v>
      </c>
      <c r="O410" t="n">
        <v>0</v>
      </c>
      <c r="P410" t="n">
        <v>0</v>
      </c>
      <c r="Q410" t="n">
        <v>0</v>
      </c>
      <c r="R410" s="2" t="inlineStr"/>
    </row>
    <row r="411" ht="15" customHeight="1">
      <c r="A411" t="inlineStr">
        <is>
          <t>A 14635-2023</t>
        </is>
      </c>
      <c r="B411" s="1" t="n">
        <v>45013.69365740741</v>
      </c>
      <c r="C411" s="1" t="n">
        <v>45991</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63763-2023</t>
        </is>
      </c>
      <c r="B412" s="1" t="n">
        <v>45278.33944444444</v>
      </c>
      <c r="C412" s="1" t="n">
        <v>45991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7635-2025</t>
        </is>
      </c>
      <c r="B413" s="1" t="n">
        <v>45705</v>
      </c>
      <c r="C413" s="1" t="n">
        <v>45991</v>
      </c>
      <c r="D413" t="inlineStr">
        <is>
          <t>GOTLANDS LÄN</t>
        </is>
      </c>
      <c r="E413" t="inlineStr">
        <is>
          <t>GOTLAND</t>
        </is>
      </c>
      <c r="G413" t="n">
        <v>0.9</v>
      </c>
      <c r="H413" t="n">
        <v>0</v>
      </c>
      <c r="I413" t="n">
        <v>0</v>
      </c>
      <c r="J413" t="n">
        <v>0</v>
      </c>
      <c r="K413" t="n">
        <v>0</v>
      </c>
      <c r="L413" t="n">
        <v>0</v>
      </c>
      <c r="M413" t="n">
        <v>0</v>
      </c>
      <c r="N413" t="n">
        <v>0</v>
      </c>
      <c r="O413" t="n">
        <v>0</v>
      </c>
      <c r="P413" t="n">
        <v>0</v>
      </c>
      <c r="Q413" t="n">
        <v>0</v>
      </c>
      <c r="R413" s="2" t="inlineStr"/>
    </row>
    <row r="414" ht="15" customHeight="1">
      <c r="A414" t="inlineStr">
        <is>
          <t>A 7636-2025</t>
        </is>
      </c>
      <c r="B414" s="1" t="n">
        <v>45705.7687962963</v>
      </c>
      <c r="C414" s="1" t="n">
        <v>45991</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7639-2025</t>
        </is>
      </c>
      <c r="B415" s="1" t="n">
        <v>45705.77465277778</v>
      </c>
      <c r="C415" s="1" t="n">
        <v>45991</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45991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15434-2024</t>
        </is>
      </c>
      <c r="B417" s="1" t="n">
        <v>45401.38836805556</v>
      </c>
      <c r="C417" s="1" t="n">
        <v>45991</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7034-2023</t>
        </is>
      </c>
      <c r="B418" s="1" t="n">
        <v>44968.32108796296</v>
      </c>
      <c r="C418" s="1" t="n">
        <v>45991</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7042-2023</t>
        </is>
      </c>
      <c r="B419" s="1" t="n">
        <v>44968</v>
      </c>
      <c r="C419" s="1" t="n">
        <v>45991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2180-2025</t>
        </is>
      </c>
      <c r="B420" s="1" t="n">
        <v>45673</v>
      </c>
      <c r="C420" s="1" t="n">
        <v>45991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32378-2025</t>
        </is>
      </c>
      <c r="B421" s="1" t="n">
        <v>45837</v>
      </c>
      <c r="C421" s="1" t="n">
        <v>45991</v>
      </c>
      <c r="D421" t="inlineStr">
        <is>
          <t>GOTLANDS LÄN</t>
        </is>
      </c>
      <c r="E421" t="inlineStr">
        <is>
          <t>GOTLAND</t>
        </is>
      </c>
      <c r="G421" t="n">
        <v>4.1</v>
      </c>
      <c r="H421" t="n">
        <v>0</v>
      </c>
      <c r="I421" t="n">
        <v>0</v>
      </c>
      <c r="J421" t="n">
        <v>0</v>
      </c>
      <c r="K421" t="n">
        <v>0</v>
      </c>
      <c r="L421" t="n">
        <v>0</v>
      </c>
      <c r="M421" t="n">
        <v>0</v>
      </c>
      <c r="N421" t="n">
        <v>0</v>
      </c>
      <c r="O421" t="n">
        <v>0</v>
      </c>
      <c r="P421" t="n">
        <v>0</v>
      </c>
      <c r="Q421" t="n">
        <v>0</v>
      </c>
      <c r="R421" s="2" t="inlineStr"/>
    </row>
    <row r="422" ht="15" customHeight="1">
      <c r="A422" t="inlineStr">
        <is>
          <t>A 54074-2022</t>
        </is>
      </c>
      <c r="B422" s="1" t="n">
        <v>44881</v>
      </c>
      <c r="C422" s="1" t="n">
        <v>45991</v>
      </c>
      <c r="D422" t="inlineStr">
        <is>
          <t>GOTLANDS LÄN</t>
        </is>
      </c>
      <c r="E422" t="inlineStr">
        <is>
          <t>GOTLAND</t>
        </is>
      </c>
      <c r="G422" t="n">
        <v>0.9</v>
      </c>
      <c r="H422" t="n">
        <v>0</v>
      </c>
      <c r="I422" t="n">
        <v>0</v>
      </c>
      <c r="J422" t="n">
        <v>0</v>
      </c>
      <c r="K422" t="n">
        <v>0</v>
      </c>
      <c r="L422" t="n">
        <v>0</v>
      </c>
      <c r="M422" t="n">
        <v>0</v>
      </c>
      <c r="N422" t="n">
        <v>0</v>
      </c>
      <c r="O422" t="n">
        <v>0</v>
      </c>
      <c r="P422" t="n">
        <v>0</v>
      </c>
      <c r="Q422" t="n">
        <v>0</v>
      </c>
      <c r="R422" s="2" t="inlineStr"/>
    </row>
    <row r="423" ht="15" customHeight="1">
      <c r="A423" t="inlineStr">
        <is>
          <t>A 56799-2025</t>
        </is>
      </c>
      <c r="B423" s="1" t="n">
        <v>45978.43392361111</v>
      </c>
      <c r="C423" s="1" t="n">
        <v>45991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61694-2023</t>
        </is>
      </c>
      <c r="B424" s="1" t="n">
        <v>45264</v>
      </c>
      <c r="C424" s="1" t="n">
        <v>45991</v>
      </c>
      <c r="D424" t="inlineStr">
        <is>
          <t>GOTLANDS LÄN</t>
        </is>
      </c>
      <c r="E424" t="inlineStr">
        <is>
          <t>GOTLAND</t>
        </is>
      </c>
      <c r="G424" t="n">
        <v>4.6</v>
      </c>
      <c r="H424" t="n">
        <v>0</v>
      </c>
      <c r="I424" t="n">
        <v>0</v>
      </c>
      <c r="J424" t="n">
        <v>0</v>
      </c>
      <c r="K424" t="n">
        <v>0</v>
      </c>
      <c r="L424" t="n">
        <v>0</v>
      </c>
      <c r="M424" t="n">
        <v>0</v>
      </c>
      <c r="N424" t="n">
        <v>0</v>
      </c>
      <c r="O424" t="n">
        <v>0</v>
      </c>
      <c r="P424" t="n">
        <v>0</v>
      </c>
      <c r="Q424" t="n">
        <v>0</v>
      </c>
      <c r="R424" s="2" t="inlineStr"/>
    </row>
    <row r="425" ht="15" customHeight="1">
      <c r="A425" t="inlineStr">
        <is>
          <t>A 64208-2021</t>
        </is>
      </c>
      <c r="B425" s="1" t="n">
        <v>44510</v>
      </c>
      <c r="C425" s="1" t="n">
        <v>45991</v>
      </c>
      <c r="D425" t="inlineStr">
        <is>
          <t>GOTLANDS LÄN</t>
        </is>
      </c>
      <c r="E425" t="inlineStr">
        <is>
          <t>GOTLAND</t>
        </is>
      </c>
      <c r="G425" t="n">
        <v>4.7</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45991</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45991</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1446-2025</t>
        </is>
      </c>
      <c r="B428" s="1" t="n">
        <v>45669.86035879629</v>
      </c>
      <c r="C428" s="1" t="n">
        <v>45991</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45991</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47147-2025</t>
        </is>
      </c>
      <c r="B430" s="1" t="n">
        <v>45929</v>
      </c>
      <c r="C430" s="1" t="n">
        <v>45991</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57685-2022</t>
        </is>
      </c>
      <c r="B431" s="1" t="n">
        <v>44897.4777662037</v>
      </c>
      <c r="C431" s="1" t="n">
        <v>45991</v>
      </c>
      <c r="D431" t="inlineStr">
        <is>
          <t>GOTLANDS LÄN</t>
        </is>
      </c>
      <c r="E431" t="inlineStr">
        <is>
          <t>GOTLAND</t>
        </is>
      </c>
      <c r="G431" t="n">
        <v>3.7</v>
      </c>
      <c r="H431" t="n">
        <v>0</v>
      </c>
      <c r="I431" t="n">
        <v>0</v>
      </c>
      <c r="J431" t="n">
        <v>0</v>
      </c>
      <c r="K431" t="n">
        <v>0</v>
      </c>
      <c r="L431" t="n">
        <v>0</v>
      </c>
      <c r="M431" t="n">
        <v>0</v>
      </c>
      <c r="N431" t="n">
        <v>0</v>
      </c>
      <c r="O431" t="n">
        <v>0</v>
      </c>
      <c r="P431" t="n">
        <v>0</v>
      </c>
      <c r="Q431" t="n">
        <v>0</v>
      </c>
      <c r="R431" s="2" t="inlineStr"/>
    </row>
    <row r="432" ht="15" customHeight="1">
      <c r="A432" t="inlineStr">
        <is>
          <t>A 811-2023</t>
        </is>
      </c>
      <c r="B432" s="1" t="n">
        <v>44931</v>
      </c>
      <c r="C432" s="1" t="n">
        <v>45991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45856.49324074074</v>
      </c>
      <c r="C433" s="1" t="n">
        <v>45991</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5905-2024</t>
        </is>
      </c>
      <c r="B434" s="1" t="n">
        <v>45335.88993055555</v>
      </c>
      <c r="C434" s="1" t="n">
        <v>45991</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3431-2025</t>
        </is>
      </c>
      <c r="B435" s="1" t="n">
        <v>45680.42935185185</v>
      </c>
      <c r="C435" s="1" t="n">
        <v>45991</v>
      </c>
      <c r="D435" t="inlineStr">
        <is>
          <t>GOTLANDS LÄN</t>
        </is>
      </c>
      <c r="E435" t="inlineStr">
        <is>
          <t>GOTLAND</t>
        </is>
      </c>
      <c r="G435" t="n">
        <v>4.8</v>
      </c>
      <c r="H435" t="n">
        <v>0</v>
      </c>
      <c r="I435" t="n">
        <v>0</v>
      </c>
      <c r="J435" t="n">
        <v>0</v>
      </c>
      <c r="K435" t="n">
        <v>0</v>
      </c>
      <c r="L435" t="n">
        <v>0</v>
      </c>
      <c r="M435" t="n">
        <v>0</v>
      </c>
      <c r="N435" t="n">
        <v>0</v>
      </c>
      <c r="O435" t="n">
        <v>0</v>
      </c>
      <c r="P435" t="n">
        <v>0</v>
      </c>
      <c r="Q435" t="n">
        <v>0</v>
      </c>
      <c r="R435" s="2" t="inlineStr"/>
    </row>
    <row r="436" ht="15" customHeight="1">
      <c r="A436" t="inlineStr">
        <is>
          <t>A 47578-2025</t>
        </is>
      </c>
      <c r="B436" s="1" t="n">
        <v>45931</v>
      </c>
      <c r="C436" s="1" t="n">
        <v>45991</v>
      </c>
      <c r="D436" t="inlineStr">
        <is>
          <t>GOTLANDS LÄN</t>
        </is>
      </c>
      <c r="E436" t="inlineStr">
        <is>
          <t>GOTLAND</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45991</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30892-2024</t>
        </is>
      </c>
      <c r="B438" s="1" t="n">
        <v>45491</v>
      </c>
      <c r="C438" s="1" t="n">
        <v>45991</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45991</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45991</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49690-2025</t>
        </is>
      </c>
      <c r="B441" s="1" t="n">
        <v>45939.66730324074</v>
      </c>
      <c r="C441" s="1" t="n">
        <v>45991</v>
      </c>
      <c r="D441" t="inlineStr">
        <is>
          <t>GOTLANDS LÄN</t>
        </is>
      </c>
      <c r="E441" t="inlineStr">
        <is>
          <t>GOTLAND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45991</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45991</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45991</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45991</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45991</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45991</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45991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45991</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45991</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45991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49724-2025</t>
        </is>
      </c>
      <c r="B452" s="1" t="n">
        <v>45939.83730324074</v>
      </c>
      <c r="C452" s="1" t="n">
        <v>45991</v>
      </c>
      <c r="D452" t="inlineStr">
        <is>
          <t>GOTLANDS LÄN</t>
        </is>
      </c>
      <c r="E452" t="inlineStr">
        <is>
          <t>GOTLAND</t>
        </is>
      </c>
      <c r="F452" t="inlineStr">
        <is>
          <t>Kyrkan</t>
        </is>
      </c>
      <c r="G452" t="n">
        <v>3.1</v>
      </c>
      <c r="H452" t="n">
        <v>0</v>
      </c>
      <c r="I452" t="n">
        <v>0</v>
      </c>
      <c r="J452" t="n">
        <v>0</v>
      </c>
      <c r="K452" t="n">
        <v>0</v>
      </c>
      <c r="L452" t="n">
        <v>0</v>
      </c>
      <c r="M452" t="n">
        <v>0</v>
      </c>
      <c r="N452" t="n">
        <v>0</v>
      </c>
      <c r="O452" t="n">
        <v>0</v>
      </c>
      <c r="P452" t="n">
        <v>0</v>
      </c>
      <c r="Q452" t="n">
        <v>0</v>
      </c>
      <c r="R452" s="2" t="inlineStr"/>
    </row>
    <row r="453" ht="15" customHeight="1">
      <c r="A453" t="inlineStr">
        <is>
          <t>A 49730-2025</t>
        </is>
      </c>
      <c r="B453" s="1" t="n">
        <v>45939.87613425926</v>
      </c>
      <c r="C453" s="1" t="n">
        <v>45991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45991</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15083-2025</t>
        </is>
      </c>
      <c r="B455" s="1" t="n">
        <v>45743</v>
      </c>
      <c r="C455" s="1" t="n">
        <v>45991</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50421-2025</t>
        </is>
      </c>
      <c r="B456" s="1" t="n">
        <v>45944.66049768519</v>
      </c>
      <c r="C456" s="1" t="n">
        <v>45991</v>
      </c>
      <c r="D456" t="inlineStr">
        <is>
          <t>GOTLANDS LÄN</t>
        </is>
      </c>
      <c r="E456" t="inlineStr">
        <is>
          <t>GOTLAND</t>
        </is>
      </c>
      <c r="G456" t="n">
        <v>3.9</v>
      </c>
      <c r="H456" t="n">
        <v>0</v>
      </c>
      <c r="I456" t="n">
        <v>0</v>
      </c>
      <c r="J456" t="n">
        <v>0</v>
      </c>
      <c r="K456" t="n">
        <v>0</v>
      </c>
      <c r="L456" t="n">
        <v>0</v>
      </c>
      <c r="M456" t="n">
        <v>0</v>
      </c>
      <c r="N456" t="n">
        <v>0</v>
      </c>
      <c r="O456" t="n">
        <v>0</v>
      </c>
      <c r="P456" t="n">
        <v>0</v>
      </c>
      <c r="Q456" t="n">
        <v>0</v>
      </c>
      <c r="R456" s="2" t="inlineStr"/>
    </row>
    <row r="457" ht="15" customHeight="1">
      <c r="A457" t="inlineStr">
        <is>
          <t>A 50431-2025</t>
        </is>
      </c>
      <c r="B457" s="1" t="n">
        <v>45944.68453703704</v>
      </c>
      <c r="C457" s="1" t="n">
        <v>45991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1066-2024</t>
        </is>
      </c>
      <c r="B458" s="1" t="n">
        <v>45302.285</v>
      </c>
      <c r="C458" s="1" t="n">
        <v>45991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37202-2024</t>
        </is>
      </c>
      <c r="B459" s="1" t="n">
        <v>45539.67310185185</v>
      </c>
      <c r="C459" s="1" t="n">
        <v>45991</v>
      </c>
      <c r="D459" t="inlineStr">
        <is>
          <t>GOTLANDS LÄN</t>
        </is>
      </c>
      <c r="E459" t="inlineStr">
        <is>
          <t>GOTLAND</t>
        </is>
      </c>
      <c r="G459" t="n">
        <v>0.3</v>
      </c>
      <c r="H459" t="n">
        <v>0</v>
      </c>
      <c r="I459" t="n">
        <v>0</v>
      </c>
      <c r="J459" t="n">
        <v>0</v>
      </c>
      <c r="K459" t="n">
        <v>0</v>
      </c>
      <c r="L459" t="n">
        <v>0</v>
      </c>
      <c r="M459" t="n">
        <v>0</v>
      </c>
      <c r="N459" t="n">
        <v>0</v>
      </c>
      <c r="O459" t="n">
        <v>0</v>
      </c>
      <c r="P459" t="n">
        <v>0</v>
      </c>
      <c r="Q459" t="n">
        <v>0</v>
      </c>
      <c r="R459" s="2" t="inlineStr"/>
    </row>
    <row r="460" ht="15" customHeight="1">
      <c r="A460" t="inlineStr">
        <is>
          <t>A 30815-2023</t>
        </is>
      </c>
      <c r="B460" s="1" t="n">
        <v>45112</v>
      </c>
      <c r="C460" s="1" t="n">
        <v>45991</v>
      </c>
      <c r="D460" t="inlineStr">
        <is>
          <t>GOTLANDS LÄN</t>
        </is>
      </c>
      <c r="E460" t="inlineStr">
        <is>
          <t>GOTLAND</t>
        </is>
      </c>
      <c r="G460" t="n">
        <v>6</v>
      </c>
      <c r="H460" t="n">
        <v>0</v>
      </c>
      <c r="I460" t="n">
        <v>0</v>
      </c>
      <c r="J460" t="n">
        <v>0</v>
      </c>
      <c r="K460" t="n">
        <v>0</v>
      </c>
      <c r="L460" t="n">
        <v>0</v>
      </c>
      <c r="M460" t="n">
        <v>0</v>
      </c>
      <c r="N460" t="n">
        <v>0</v>
      </c>
      <c r="O460" t="n">
        <v>0</v>
      </c>
      <c r="P460" t="n">
        <v>0</v>
      </c>
      <c r="Q460" t="n">
        <v>0</v>
      </c>
      <c r="R460" s="2" t="inlineStr"/>
    </row>
    <row r="461" ht="15" customHeight="1">
      <c r="A461" t="inlineStr">
        <is>
          <t>A 59197-2025</t>
        </is>
      </c>
      <c r="B461" s="1" t="n">
        <v>45988.59846064815</v>
      </c>
      <c r="C461" s="1" t="n">
        <v>45991</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46400-2023</t>
        </is>
      </c>
      <c r="B462" s="1" t="n">
        <v>45197.49290509259</v>
      </c>
      <c r="C462" s="1" t="n">
        <v>45991</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10492-2023</t>
        </is>
      </c>
      <c r="B463" s="1" t="n">
        <v>44987</v>
      </c>
      <c r="C463" s="1" t="n">
        <v>45991</v>
      </c>
      <c r="D463" t="inlineStr">
        <is>
          <t>GOTLANDS LÄN</t>
        </is>
      </c>
      <c r="E463" t="inlineStr">
        <is>
          <t>GOTLAND</t>
        </is>
      </c>
      <c r="G463" t="n">
        <v>1</v>
      </c>
      <c r="H463" t="n">
        <v>0</v>
      </c>
      <c r="I463" t="n">
        <v>0</v>
      </c>
      <c r="J463" t="n">
        <v>0</v>
      </c>
      <c r="K463" t="n">
        <v>0</v>
      </c>
      <c r="L463" t="n">
        <v>0</v>
      </c>
      <c r="M463" t="n">
        <v>0</v>
      </c>
      <c r="N463" t="n">
        <v>0</v>
      </c>
      <c r="O463" t="n">
        <v>0</v>
      </c>
      <c r="P463" t="n">
        <v>0</v>
      </c>
      <c r="Q463" t="n">
        <v>0</v>
      </c>
      <c r="R463" s="2" t="inlineStr"/>
    </row>
    <row r="464" ht="15" customHeight="1">
      <c r="A464" t="inlineStr">
        <is>
          <t>A 50928-2025</t>
        </is>
      </c>
      <c r="B464" s="1" t="n">
        <v>45946.67896990741</v>
      </c>
      <c r="C464" s="1" t="n">
        <v>45991</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45991</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16501-2023</t>
        </is>
      </c>
      <c r="B466" s="1" t="n">
        <v>45029</v>
      </c>
      <c r="C466" s="1" t="n">
        <v>45991</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27095-2022</t>
        </is>
      </c>
      <c r="B467" s="1" t="n">
        <v>44741</v>
      </c>
      <c r="C467" s="1" t="n">
        <v>45991</v>
      </c>
      <c r="D467" t="inlineStr">
        <is>
          <t>GOTLANDS LÄN</t>
        </is>
      </c>
      <c r="E467" t="inlineStr">
        <is>
          <t>GOTLAND</t>
        </is>
      </c>
      <c r="F467" t="inlineStr">
        <is>
          <t>Övriga Aktiebolag</t>
        </is>
      </c>
      <c r="G467" t="n">
        <v>2.9</v>
      </c>
      <c r="H467" t="n">
        <v>0</v>
      </c>
      <c r="I467" t="n">
        <v>0</v>
      </c>
      <c r="J467" t="n">
        <v>0</v>
      </c>
      <c r="K467" t="n">
        <v>0</v>
      </c>
      <c r="L467" t="n">
        <v>0</v>
      </c>
      <c r="M467" t="n">
        <v>0</v>
      </c>
      <c r="N467" t="n">
        <v>0</v>
      </c>
      <c r="O467" t="n">
        <v>0</v>
      </c>
      <c r="P467" t="n">
        <v>0</v>
      </c>
      <c r="Q467" t="n">
        <v>0</v>
      </c>
      <c r="R467" s="2" t="inlineStr"/>
    </row>
    <row r="468" ht="15" customHeight="1">
      <c r="A468" t="inlineStr">
        <is>
          <t>A 458-2023</t>
        </is>
      </c>
      <c r="B468" s="1" t="n">
        <v>44929</v>
      </c>
      <c r="C468" s="1" t="n">
        <v>45991</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1291-2023</t>
        </is>
      </c>
      <c r="B469" s="1" t="n">
        <v>44936.47561342592</v>
      </c>
      <c r="C469" s="1" t="n">
        <v>45991</v>
      </c>
      <c r="D469" t="inlineStr">
        <is>
          <t>GOTLANDS LÄN</t>
        </is>
      </c>
      <c r="E469" t="inlineStr">
        <is>
          <t>GOTLAND</t>
        </is>
      </c>
      <c r="G469" t="n">
        <v>7.4</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45991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45991</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14804-2021</t>
        </is>
      </c>
      <c r="B472" s="1" t="n">
        <v>44280</v>
      </c>
      <c r="C472" s="1" t="n">
        <v>45991</v>
      </c>
      <c r="D472" t="inlineStr">
        <is>
          <t>GOTLANDS LÄN</t>
        </is>
      </c>
      <c r="E472" t="inlineStr">
        <is>
          <t>GOTLAND</t>
        </is>
      </c>
      <c r="G472" t="n">
        <v>2.2</v>
      </c>
      <c r="H472" t="n">
        <v>0</v>
      </c>
      <c r="I472" t="n">
        <v>0</v>
      </c>
      <c r="J472" t="n">
        <v>0</v>
      </c>
      <c r="K472" t="n">
        <v>0</v>
      </c>
      <c r="L472" t="n">
        <v>0</v>
      </c>
      <c r="M472" t="n">
        <v>0</v>
      </c>
      <c r="N472" t="n">
        <v>0</v>
      </c>
      <c r="O472" t="n">
        <v>0</v>
      </c>
      <c r="P472" t="n">
        <v>0</v>
      </c>
      <c r="Q472" t="n">
        <v>0</v>
      </c>
      <c r="R472" s="2" t="inlineStr"/>
    </row>
    <row r="473" ht="15" customHeight="1">
      <c r="A473" t="inlineStr">
        <is>
          <t>A 2719-2023</t>
        </is>
      </c>
      <c r="B473" s="1" t="n">
        <v>44944.55361111111</v>
      </c>
      <c r="C473" s="1" t="n">
        <v>45991</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17144-2025</t>
        </is>
      </c>
      <c r="B474" s="1" t="n">
        <v>45755.9499537037</v>
      </c>
      <c r="C474" s="1" t="n">
        <v>45991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49314-2024</t>
        </is>
      </c>
      <c r="B475" s="1" t="n">
        <v>45595.55893518519</v>
      </c>
      <c r="C475" s="1" t="n">
        <v>45991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45991</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44755.8713425926</v>
      </c>
      <c r="C477" s="1" t="n">
        <v>45991</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45991</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45991</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1175-2025</t>
        </is>
      </c>
      <c r="B480" s="1" t="n">
        <v>45667.34449074074</v>
      </c>
      <c r="C480" s="1" t="n">
        <v>45991</v>
      </c>
      <c r="D480" t="inlineStr">
        <is>
          <t>GOTLANDS LÄN</t>
        </is>
      </c>
      <c r="E480" t="inlineStr">
        <is>
          <t>GOTLAND</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42201-2023</t>
        </is>
      </c>
      <c r="B481" s="1" t="n">
        <v>45179</v>
      </c>
      <c r="C481" s="1" t="n">
        <v>45991</v>
      </c>
      <c r="D481" t="inlineStr">
        <is>
          <t>GOTLANDS LÄN</t>
        </is>
      </c>
      <c r="E481" t="inlineStr">
        <is>
          <t>GOTLAND</t>
        </is>
      </c>
      <c r="G481" t="n">
        <v>11.9</v>
      </c>
      <c r="H481" t="n">
        <v>0</v>
      </c>
      <c r="I481" t="n">
        <v>0</v>
      </c>
      <c r="J481" t="n">
        <v>0</v>
      </c>
      <c r="K481" t="n">
        <v>0</v>
      </c>
      <c r="L481" t="n">
        <v>0</v>
      </c>
      <c r="M481" t="n">
        <v>0</v>
      </c>
      <c r="N481" t="n">
        <v>0</v>
      </c>
      <c r="O481" t="n">
        <v>0</v>
      </c>
      <c r="P481" t="n">
        <v>0</v>
      </c>
      <c r="Q481" t="n">
        <v>0</v>
      </c>
      <c r="R481" s="2" t="inlineStr"/>
    </row>
    <row r="482" ht="15" customHeight="1">
      <c r="A482" t="inlineStr">
        <is>
          <t>A 3150-2025</t>
        </is>
      </c>
      <c r="B482" s="1" t="n">
        <v>45679.28974537037</v>
      </c>
      <c r="C482" s="1" t="n">
        <v>45991</v>
      </c>
      <c r="D482" t="inlineStr">
        <is>
          <t>GOTLANDS LÄN</t>
        </is>
      </c>
      <c r="E482" t="inlineStr">
        <is>
          <t>GOTLAND</t>
        </is>
      </c>
      <c r="G482" t="n">
        <v>2.5</v>
      </c>
      <c r="H482" t="n">
        <v>0</v>
      </c>
      <c r="I482" t="n">
        <v>0</v>
      </c>
      <c r="J482" t="n">
        <v>0</v>
      </c>
      <c r="K482" t="n">
        <v>0</v>
      </c>
      <c r="L482" t="n">
        <v>0</v>
      </c>
      <c r="M482" t="n">
        <v>0</v>
      </c>
      <c r="N482" t="n">
        <v>0</v>
      </c>
      <c r="O482" t="n">
        <v>0</v>
      </c>
      <c r="P482" t="n">
        <v>0</v>
      </c>
      <c r="Q482" t="n">
        <v>0</v>
      </c>
      <c r="R482" s="2" t="inlineStr"/>
    </row>
    <row r="483" ht="15" customHeight="1">
      <c r="A483" t="inlineStr">
        <is>
          <t>A 42041-2024</t>
        </is>
      </c>
      <c r="B483" s="1" t="n">
        <v>45561</v>
      </c>
      <c r="C483" s="1" t="n">
        <v>45991</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15436-2025</t>
        </is>
      </c>
      <c r="B484" s="1" t="n">
        <v>45747.47462962963</v>
      </c>
      <c r="C484" s="1" t="n">
        <v>45991</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21247-2022</t>
        </is>
      </c>
      <c r="B485" s="1" t="n">
        <v>44705.38832175926</v>
      </c>
      <c r="C485" s="1" t="n">
        <v>45991</v>
      </c>
      <c r="D485" t="inlineStr">
        <is>
          <t>GOTLANDS LÄN</t>
        </is>
      </c>
      <c r="E485" t="inlineStr">
        <is>
          <t>GOTLAND</t>
        </is>
      </c>
      <c r="G485" t="n">
        <v>16.2</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44682.82622685185</v>
      </c>
      <c r="C486" s="1" t="n">
        <v>45991</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63516-2023</t>
        </is>
      </c>
      <c r="B487" s="1" t="n">
        <v>45274</v>
      </c>
      <c r="C487" s="1" t="n">
        <v>45991</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53935-2024</t>
        </is>
      </c>
      <c r="B488" s="1" t="n">
        <v>45615</v>
      </c>
      <c r="C488" s="1" t="n">
        <v>45991</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45991</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48734-2022</t>
        </is>
      </c>
      <c r="B490" s="1" t="n">
        <v>44855</v>
      </c>
      <c r="C490" s="1" t="n">
        <v>45991</v>
      </c>
      <c r="D490" t="inlineStr">
        <is>
          <t>GOTLANDS LÄN</t>
        </is>
      </c>
      <c r="E490" t="inlineStr">
        <is>
          <t>GOTLAND</t>
        </is>
      </c>
      <c r="G490" t="n">
        <v>1.6</v>
      </c>
      <c r="H490" t="n">
        <v>0</v>
      </c>
      <c r="I490" t="n">
        <v>0</v>
      </c>
      <c r="J490" t="n">
        <v>0</v>
      </c>
      <c r="K490" t="n">
        <v>0</v>
      </c>
      <c r="L490" t="n">
        <v>0</v>
      </c>
      <c r="M490" t="n">
        <v>0</v>
      </c>
      <c r="N490" t="n">
        <v>0</v>
      </c>
      <c r="O490" t="n">
        <v>0</v>
      </c>
      <c r="P490" t="n">
        <v>0</v>
      </c>
      <c r="Q490" t="n">
        <v>0</v>
      </c>
      <c r="R490" s="2" t="inlineStr"/>
    </row>
    <row r="491" ht="15" customHeight="1">
      <c r="A491" t="inlineStr">
        <is>
          <t>A 23516-2023</t>
        </is>
      </c>
      <c r="B491" s="1" t="n">
        <v>45076.93391203704</v>
      </c>
      <c r="C491" s="1" t="n">
        <v>45991</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45991</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45991</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64555-2023</t>
        </is>
      </c>
      <c r="B494" s="1" t="n">
        <v>45281</v>
      </c>
      <c r="C494" s="1" t="n">
        <v>45991</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457-2023</t>
        </is>
      </c>
      <c r="B495" s="1" t="n">
        <v>44929.87238425926</v>
      </c>
      <c r="C495" s="1" t="n">
        <v>45991</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459-2023</t>
        </is>
      </c>
      <c r="B496" s="1" t="n">
        <v>44929.87423611111</v>
      </c>
      <c r="C496" s="1" t="n">
        <v>45991</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45991</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26891-2024</t>
        </is>
      </c>
      <c r="B498" s="1" t="n">
        <v>45470.65540509259</v>
      </c>
      <c r="C498" s="1" t="n">
        <v>45991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45991</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5923-2023</t>
        </is>
      </c>
      <c r="B500" s="1" t="n">
        <v>44963.69503472222</v>
      </c>
      <c r="C500" s="1" t="n">
        <v>45991</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50482-2024</t>
        </is>
      </c>
      <c r="B501" s="1" t="n">
        <v>45601.48114583334</v>
      </c>
      <c r="C501" s="1" t="n">
        <v>45991</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5943-2024</t>
        </is>
      </c>
      <c r="B502" s="1" t="n">
        <v>45336</v>
      </c>
      <c r="C502" s="1" t="n">
        <v>45991</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38234-2023</t>
        </is>
      </c>
      <c r="B503" s="1" t="n">
        <v>45161.56663194444</v>
      </c>
      <c r="C503" s="1" t="n">
        <v>45991</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1273-2023</t>
        </is>
      </c>
      <c r="B504" s="1" t="n">
        <v>44936</v>
      </c>
      <c r="C504" s="1" t="n">
        <v>45991</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45991</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45991</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45991</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45991</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45991</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45991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21792-2024</t>
        </is>
      </c>
      <c r="B511" s="1" t="n">
        <v>45442.64326388889</v>
      </c>
      <c r="C511" s="1" t="n">
        <v>45991</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48843-2024</t>
        </is>
      </c>
      <c r="B512" s="1" t="n">
        <v>45593</v>
      </c>
      <c r="C512" s="1" t="n">
        <v>45991</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10653-2023</t>
        </is>
      </c>
      <c r="B513" s="1" t="n">
        <v>44988.48859953704</v>
      </c>
      <c r="C513" s="1" t="n">
        <v>45991</v>
      </c>
      <c r="D513" t="inlineStr">
        <is>
          <t>GOTLANDS LÄN</t>
        </is>
      </c>
      <c r="E513" t="inlineStr">
        <is>
          <t>GOTLAND</t>
        </is>
      </c>
      <c r="F513" t="inlineStr">
        <is>
          <t>Kyrkan</t>
        </is>
      </c>
      <c r="G513" t="n">
        <v>3</v>
      </c>
      <c r="H513" t="n">
        <v>0</v>
      </c>
      <c r="I513" t="n">
        <v>0</v>
      </c>
      <c r="J513" t="n">
        <v>0</v>
      </c>
      <c r="K513" t="n">
        <v>0</v>
      </c>
      <c r="L513" t="n">
        <v>0</v>
      </c>
      <c r="M513" t="n">
        <v>0</v>
      </c>
      <c r="N513" t="n">
        <v>0</v>
      </c>
      <c r="O513" t="n">
        <v>0</v>
      </c>
      <c r="P513" t="n">
        <v>0</v>
      </c>
      <c r="Q513" t="n">
        <v>0</v>
      </c>
      <c r="R513" s="2" t="inlineStr"/>
    </row>
    <row r="514" ht="15" customHeight="1">
      <c r="A514" t="inlineStr">
        <is>
          <t>A 35512-2023</t>
        </is>
      </c>
      <c r="B514" s="1" t="n">
        <v>45147.25623842593</v>
      </c>
      <c r="C514" s="1" t="n">
        <v>45991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11874-2024</t>
        </is>
      </c>
      <c r="B515" s="1" t="n">
        <v>45376.46956018519</v>
      </c>
      <c r="C515" s="1" t="n">
        <v>45991</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20225-2025</t>
        </is>
      </c>
      <c r="B516" s="1" t="n">
        <v>45772.65802083333</v>
      </c>
      <c r="C516" s="1" t="n">
        <v>45991</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1677-2023</t>
        </is>
      </c>
      <c r="B517" s="1" t="n">
        <v>44938</v>
      </c>
      <c r="C517" s="1" t="n">
        <v>45991</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45991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8036-2022</t>
        </is>
      </c>
      <c r="B519" s="1" t="n">
        <v>44609.44362268518</v>
      </c>
      <c r="C519" s="1" t="n">
        <v>45991</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46375-2024</t>
        </is>
      </c>
      <c r="B520" s="1" t="n">
        <v>45582</v>
      </c>
      <c r="C520" s="1" t="n">
        <v>45991</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62915-2021</t>
        </is>
      </c>
      <c r="B521" s="1" t="n">
        <v>44504</v>
      </c>
      <c r="C521" s="1" t="n">
        <v>45991</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45991</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4377-2023</t>
        </is>
      </c>
      <c r="B523" s="1" t="n">
        <v>44955.5502662037</v>
      </c>
      <c r="C523" s="1" t="n">
        <v>45991</v>
      </c>
      <c r="D523" t="inlineStr">
        <is>
          <t>GOTLANDS LÄN</t>
        </is>
      </c>
      <c r="E523" t="inlineStr">
        <is>
          <t>GOTLAND</t>
        </is>
      </c>
      <c r="F523" t="inlineStr">
        <is>
          <t>Kyrkan</t>
        </is>
      </c>
      <c r="G523" t="n">
        <v>0.6</v>
      </c>
      <c r="H523" t="n">
        <v>0</v>
      </c>
      <c r="I523" t="n">
        <v>0</v>
      </c>
      <c r="J523" t="n">
        <v>0</v>
      </c>
      <c r="K523" t="n">
        <v>0</v>
      </c>
      <c r="L523" t="n">
        <v>0</v>
      </c>
      <c r="M523" t="n">
        <v>0</v>
      </c>
      <c r="N523" t="n">
        <v>0</v>
      </c>
      <c r="O523" t="n">
        <v>0</v>
      </c>
      <c r="P523" t="n">
        <v>0</v>
      </c>
      <c r="Q523" t="n">
        <v>0</v>
      </c>
      <c r="R523" s="2" t="inlineStr"/>
    </row>
    <row r="524" ht="15" customHeight="1">
      <c r="A524" t="inlineStr">
        <is>
          <t>A 43901-2023</t>
        </is>
      </c>
      <c r="B524" s="1" t="n">
        <v>45187</v>
      </c>
      <c r="C524" s="1" t="n">
        <v>45991</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45991</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45692-2023</t>
        </is>
      </c>
      <c r="B526" s="1" t="n">
        <v>45195</v>
      </c>
      <c r="C526" s="1" t="n">
        <v>45991</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37222-2021</t>
        </is>
      </c>
      <c r="B527" s="1" t="n">
        <v>44396</v>
      </c>
      <c r="C527" s="1" t="n">
        <v>45991</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46396-2023</t>
        </is>
      </c>
      <c r="B528" s="1" t="n">
        <v>45197</v>
      </c>
      <c r="C528" s="1" t="n">
        <v>45991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58388-2022</t>
        </is>
      </c>
      <c r="B529" s="1" t="n">
        <v>44894</v>
      </c>
      <c r="C529" s="1" t="n">
        <v>45991</v>
      </c>
      <c r="D529" t="inlineStr">
        <is>
          <t>GOTLANDS LÄN</t>
        </is>
      </c>
      <c r="E529" t="inlineStr">
        <is>
          <t>GOTLAND</t>
        </is>
      </c>
      <c r="F529" t="inlineStr">
        <is>
          <t>Övriga statliga verk och myndigheter</t>
        </is>
      </c>
      <c r="G529" t="n">
        <v>3.1</v>
      </c>
      <c r="H529" t="n">
        <v>0</v>
      </c>
      <c r="I529" t="n">
        <v>0</v>
      </c>
      <c r="J529" t="n">
        <v>0</v>
      </c>
      <c r="K529" t="n">
        <v>0</v>
      </c>
      <c r="L529" t="n">
        <v>0</v>
      </c>
      <c r="M529" t="n">
        <v>0</v>
      </c>
      <c r="N529" t="n">
        <v>0</v>
      </c>
      <c r="O529" t="n">
        <v>0</v>
      </c>
      <c r="P529" t="n">
        <v>0</v>
      </c>
      <c r="Q529" t="n">
        <v>0</v>
      </c>
      <c r="R529" s="2" t="inlineStr"/>
    </row>
    <row r="530" ht="15" customHeight="1">
      <c r="A530" t="inlineStr">
        <is>
          <t>A 53934-2024</t>
        </is>
      </c>
      <c r="B530" s="1" t="n">
        <v>45615</v>
      </c>
      <c r="C530" s="1" t="n">
        <v>45991</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58132-2023</t>
        </is>
      </c>
      <c r="B531" s="1" t="n">
        <v>45250</v>
      </c>
      <c r="C531" s="1" t="n">
        <v>45991</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22899-2023</t>
        </is>
      </c>
      <c r="B532" s="1" t="n">
        <v>45072</v>
      </c>
      <c r="C532" s="1" t="n">
        <v>45991</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28285-2024</t>
        </is>
      </c>
      <c r="B533" s="1" t="n">
        <v>45477</v>
      </c>
      <c r="C533" s="1" t="n">
        <v>45991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51963-2024</t>
        </is>
      </c>
      <c r="B534" s="1" t="n">
        <v>45607.64833333333</v>
      </c>
      <c r="C534" s="1" t="n">
        <v>45991</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45991</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45991</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2674-2023</t>
        </is>
      </c>
      <c r="B537" s="1" t="n">
        <v>44944</v>
      </c>
      <c r="C537" s="1" t="n">
        <v>45991</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61100-2022</t>
        </is>
      </c>
      <c r="B538" s="1" t="n">
        <v>44915</v>
      </c>
      <c r="C538" s="1" t="n">
        <v>45991</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45991</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45991</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45991</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45991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49962-2023</t>
        </is>
      </c>
      <c r="B543" s="1" t="n">
        <v>45215.38775462963</v>
      </c>
      <c r="C543" s="1" t="n">
        <v>45991</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50744-2024</t>
        </is>
      </c>
      <c r="B544" s="1" t="n">
        <v>45602.4187037037</v>
      </c>
      <c r="C544" s="1" t="n">
        <v>45991</v>
      </c>
      <c r="D544" t="inlineStr">
        <is>
          <t>GOTLANDS LÄN</t>
        </is>
      </c>
      <c r="E544" t="inlineStr">
        <is>
          <t>GOTLAND</t>
        </is>
      </c>
      <c r="G544" t="n">
        <v>3.2</v>
      </c>
      <c r="H544" t="n">
        <v>0</v>
      </c>
      <c r="I544" t="n">
        <v>0</v>
      </c>
      <c r="J544" t="n">
        <v>0</v>
      </c>
      <c r="K544" t="n">
        <v>0</v>
      </c>
      <c r="L544" t="n">
        <v>0</v>
      </c>
      <c r="M544" t="n">
        <v>0</v>
      </c>
      <c r="N544" t="n">
        <v>0</v>
      </c>
      <c r="O544" t="n">
        <v>0</v>
      </c>
      <c r="P544" t="n">
        <v>0</v>
      </c>
      <c r="Q544" t="n">
        <v>0</v>
      </c>
      <c r="R544" s="2" t="inlineStr"/>
    </row>
    <row r="545" ht="15" customHeight="1">
      <c r="A545" t="inlineStr">
        <is>
          <t>A 45244-2024</t>
        </is>
      </c>
      <c r="B545" s="1" t="n">
        <v>45576</v>
      </c>
      <c r="C545" s="1" t="n">
        <v>45991</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38787-2023</t>
        </is>
      </c>
      <c r="B546" s="1" t="n">
        <v>45163</v>
      </c>
      <c r="C546" s="1" t="n">
        <v>45991</v>
      </c>
      <c r="D546" t="inlineStr">
        <is>
          <t>GOTLANDS LÄN</t>
        </is>
      </c>
      <c r="E546" t="inlineStr">
        <is>
          <t>GOTLAND</t>
        </is>
      </c>
      <c r="G546" t="n">
        <v>0.4</v>
      </c>
      <c r="H546" t="n">
        <v>0</v>
      </c>
      <c r="I546" t="n">
        <v>0</v>
      </c>
      <c r="J546" t="n">
        <v>0</v>
      </c>
      <c r="K546" t="n">
        <v>0</v>
      </c>
      <c r="L546" t="n">
        <v>0</v>
      </c>
      <c r="M546" t="n">
        <v>0</v>
      </c>
      <c r="N546" t="n">
        <v>0</v>
      </c>
      <c r="O546" t="n">
        <v>0</v>
      </c>
      <c r="P546" t="n">
        <v>0</v>
      </c>
      <c r="Q546" t="n">
        <v>0</v>
      </c>
      <c r="R546" s="2" t="inlineStr"/>
    </row>
    <row r="547" ht="15" customHeight="1">
      <c r="A547" t="inlineStr">
        <is>
          <t>A 2714-2023</t>
        </is>
      </c>
      <c r="B547" s="1" t="n">
        <v>44944.54896990741</v>
      </c>
      <c r="C547" s="1" t="n">
        <v>45991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22897-2023</t>
        </is>
      </c>
      <c r="B548" s="1" t="n">
        <v>45072.55239583334</v>
      </c>
      <c r="C548" s="1" t="n">
        <v>45991</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4568-2025</t>
        </is>
      </c>
      <c r="B549" s="1" t="n">
        <v>45687</v>
      </c>
      <c r="C549" s="1" t="n">
        <v>45991</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1681-2023</t>
        </is>
      </c>
      <c r="B550" s="1" t="n">
        <v>44938.39715277778</v>
      </c>
      <c r="C550" s="1" t="n">
        <v>45991</v>
      </c>
      <c r="D550" t="inlineStr">
        <is>
          <t>GOTLANDS LÄN</t>
        </is>
      </c>
      <c r="E550" t="inlineStr">
        <is>
          <t>GOTLAND</t>
        </is>
      </c>
      <c r="G550" t="n">
        <v>2.4</v>
      </c>
      <c r="H550" t="n">
        <v>0</v>
      </c>
      <c r="I550" t="n">
        <v>0</v>
      </c>
      <c r="J550" t="n">
        <v>0</v>
      </c>
      <c r="K550" t="n">
        <v>0</v>
      </c>
      <c r="L550" t="n">
        <v>0</v>
      </c>
      <c r="M550" t="n">
        <v>0</v>
      </c>
      <c r="N550" t="n">
        <v>0</v>
      </c>
      <c r="O550" t="n">
        <v>0</v>
      </c>
      <c r="P550" t="n">
        <v>0</v>
      </c>
      <c r="Q550" t="n">
        <v>0</v>
      </c>
      <c r="R550" s="2" t="inlineStr"/>
    </row>
    <row r="551" ht="15" customHeight="1">
      <c r="A551" t="inlineStr">
        <is>
          <t>A 42338-2023</t>
        </is>
      </c>
      <c r="B551" s="1" t="n">
        <v>45180</v>
      </c>
      <c r="C551" s="1" t="n">
        <v>45991</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18918-2025</t>
        </is>
      </c>
      <c r="B552" s="1" t="n">
        <v>45764</v>
      </c>
      <c r="C552" s="1" t="n">
        <v>45991</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11013-2024</t>
        </is>
      </c>
      <c r="B553" s="1" t="n">
        <v>45370</v>
      </c>
      <c r="C553" s="1" t="n">
        <v>45991</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45084-2024</t>
        </is>
      </c>
      <c r="B554" s="1" t="n">
        <v>45575</v>
      </c>
      <c r="C554" s="1" t="n">
        <v>45991</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20356-2022</t>
        </is>
      </c>
      <c r="B555" s="1" t="n">
        <v>44699</v>
      </c>
      <c r="C555" s="1" t="n">
        <v>45991</v>
      </c>
      <c r="D555" t="inlineStr">
        <is>
          <t>GOTLANDS LÄN</t>
        </is>
      </c>
      <c r="E555" t="inlineStr">
        <is>
          <t>GOTLAND</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4868-2024</t>
        </is>
      </c>
      <c r="B556" s="1" t="n">
        <v>45329</v>
      </c>
      <c r="C556" s="1" t="n">
        <v>45991</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9613-2025</t>
        </is>
      </c>
      <c r="B557" s="1" t="n">
        <v>45715</v>
      </c>
      <c r="C557" s="1" t="n">
        <v>45991</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45991</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58211-2024</t>
        </is>
      </c>
      <c r="B559" s="1" t="n">
        <v>45632.49292824074</v>
      </c>
      <c r="C559" s="1" t="n">
        <v>45991</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45991</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5884-2025</t>
        </is>
      </c>
      <c r="B561" s="1" t="n">
        <v>45695.37482638889</v>
      </c>
      <c r="C561" s="1" t="n">
        <v>45991</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5897-2025</t>
        </is>
      </c>
      <c r="B562" s="1" t="n">
        <v>45695.39273148148</v>
      </c>
      <c r="C562" s="1" t="n">
        <v>45991</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5909-2025</t>
        </is>
      </c>
      <c r="B563" s="1" t="n">
        <v>45695.40634259259</v>
      </c>
      <c r="C563" s="1" t="n">
        <v>45991</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45991</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22704-2023</t>
        </is>
      </c>
      <c r="B565" s="1" t="n">
        <v>45071</v>
      </c>
      <c r="C565" s="1" t="n">
        <v>45991</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45991</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9887-2025</t>
        </is>
      </c>
      <c r="B567" s="1" t="n">
        <v>45716</v>
      </c>
      <c r="C567" s="1" t="n">
        <v>45991</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12209-2024</t>
        </is>
      </c>
      <c r="B568" s="1" t="n">
        <v>45378</v>
      </c>
      <c r="C568" s="1" t="n">
        <v>45991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12210-2024</t>
        </is>
      </c>
      <c r="B569" s="1" t="n">
        <v>45378</v>
      </c>
      <c r="C569" s="1" t="n">
        <v>45991</v>
      </c>
      <c r="D569" t="inlineStr">
        <is>
          <t>GOTLANDS LÄN</t>
        </is>
      </c>
      <c r="E569" t="inlineStr">
        <is>
          <t>GOTLAND</t>
        </is>
      </c>
      <c r="G569" t="n">
        <v>4.1</v>
      </c>
      <c r="H569" t="n">
        <v>0</v>
      </c>
      <c r="I569" t="n">
        <v>0</v>
      </c>
      <c r="J569" t="n">
        <v>0</v>
      </c>
      <c r="K569" t="n">
        <v>0</v>
      </c>
      <c r="L569" t="n">
        <v>0</v>
      </c>
      <c r="M569" t="n">
        <v>0</v>
      </c>
      <c r="N569" t="n">
        <v>0</v>
      </c>
      <c r="O569" t="n">
        <v>0</v>
      </c>
      <c r="P569" t="n">
        <v>0</v>
      </c>
      <c r="Q569" t="n">
        <v>0</v>
      </c>
      <c r="R569" s="2" t="inlineStr"/>
    </row>
    <row r="570" ht="15" customHeight="1">
      <c r="A570" t="inlineStr">
        <is>
          <t>A 59986-2022</t>
        </is>
      </c>
      <c r="B570" s="1" t="n">
        <v>44909</v>
      </c>
      <c r="C570" s="1" t="n">
        <v>45991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31802-2024</t>
        </is>
      </c>
      <c r="B571" s="1" t="n">
        <v>45509</v>
      </c>
      <c r="C571" s="1" t="n">
        <v>45991</v>
      </c>
      <c r="D571" t="inlineStr">
        <is>
          <t>GOTLANDS LÄN</t>
        </is>
      </c>
      <c r="E571" t="inlineStr">
        <is>
          <t>GOTLAND</t>
        </is>
      </c>
      <c r="G571" t="n">
        <v>2.8</v>
      </c>
      <c r="H571" t="n">
        <v>0</v>
      </c>
      <c r="I571" t="n">
        <v>0</v>
      </c>
      <c r="J571" t="n">
        <v>0</v>
      </c>
      <c r="K571" t="n">
        <v>0</v>
      </c>
      <c r="L571" t="n">
        <v>0</v>
      </c>
      <c r="M571" t="n">
        <v>0</v>
      </c>
      <c r="N571" t="n">
        <v>0</v>
      </c>
      <c r="O571" t="n">
        <v>0</v>
      </c>
      <c r="P571" t="n">
        <v>0</v>
      </c>
      <c r="Q571" t="n">
        <v>0</v>
      </c>
      <c r="R571" s="2" t="inlineStr"/>
    </row>
    <row r="572" ht="15" customHeight="1">
      <c r="A572" t="inlineStr">
        <is>
          <t>A 20993-2023</t>
        </is>
      </c>
      <c r="B572" s="1" t="n">
        <v>45056</v>
      </c>
      <c r="C572" s="1" t="n">
        <v>45991</v>
      </c>
      <c r="D572" t="inlineStr">
        <is>
          <t>GOTLANDS LÄN</t>
        </is>
      </c>
      <c r="E572" t="inlineStr">
        <is>
          <t>GOTLAND</t>
        </is>
      </c>
      <c r="G572" t="n">
        <v>7.1</v>
      </c>
      <c r="H572" t="n">
        <v>0</v>
      </c>
      <c r="I572" t="n">
        <v>0</v>
      </c>
      <c r="J572" t="n">
        <v>0</v>
      </c>
      <c r="K572" t="n">
        <v>0</v>
      </c>
      <c r="L572" t="n">
        <v>0</v>
      </c>
      <c r="M572" t="n">
        <v>0</v>
      </c>
      <c r="N572" t="n">
        <v>0</v>
      </c>
      <c r="O572" t="n">
        <v>0</v>
      </c>
      <c r="P572" t="n">
        <v>0</v>
      </c>
      <c r="Q572" t="n">
        <v>0</v>
      </c>
      <c r="R572" s="2" t="inlineStr"/>
    </row>
    <row r="573" ht="15" customHeight="1">
      <c r="A573" t="inlineStr">
        <is>
          <t>A 15042-2025</t>
        </is>
      </c>
      <c r="B573" s="1" t="n">
        <v>45743</v>
      </c>
      <c r="C573" s="1" t="n">
        <v>45991</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12327-2025</t>
        </is>
      </c>
      <c r="B574" s="1" t="n">
        <v>45730</v>
      </c>
      <c r="C574" s="1" t="n">
        <v>45991</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4420-2025</t>
        </is>
      </c>
      <c r="B575" s="1" t="n">
        <v>45686.47157407407</v>
      </c>
      <c r="C575" s="1" t="n">
        <v>45991</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14427-2024</t>
        </is>
      </c>
      <c r="B576" s="1" t="n">
        <v>45394</v>
      </c>
      <c r="C576" s="1" t="n">
        <v>45991</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45991</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49315-2024</t>
        </is>
      </c>
      <c r="B578" s="1" t="n">
        <v>45595</v>
      </c>
      <c r="C578" s="1" t="n">
        <v>45991</v>
      </c>
      <c r="D578" t="inlineStr">
        <is>
          <t>GOTLANDS LÄN</t>
        </is>
      </c>
      <c r="E578" t="inlineStr">
        <is>
          <t>GOTLAND</t>
        </is>
      </c>
      <c r="G578" t="n">
        <v>1.5</v>
      </c>
      <c r="H578" t="n">
        <v>0</v>
      </c>
      <c r="I578" t="n">
        <v>0</v>
      </c>
      <c r="J578" t="n">
        <v>0</v>
      </c>
      <c r="K578" t="n">
        <v>0</v>
      </c>
      <c r="L578" t="n">
        <v>0</v>
      </c>
      <c r="M578" t="n">
        <v>0</v>
      </c>
      <c r="N578" t="n">
        <v>0</v>
      </c>
      <c r="O578" t="n">
        <v>0</v>
      </c>
      <c r="P578" t="n">
        <v>0</v>
      </c>
      <c r="Q578" t="n">
        <v>0</v>
      </c>
      <c r="R578" s="2" t="inlineStr"/>
    </row>
    <row r="579" ht="15" customHeight="1">
      <c r="A579" t="inlineStr">
        <is>
          <t>A 27596-2023</t>
        </is>
      </c>
      <c r="B579" s="1" t="n">
        <v>45097</v>
      </c>
      <c r="C579" s="1" t="n">
        <v>45991</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56115-2023</t>
        </is>
      </c>
      <c r="B580" s="1" t="n">
        <v>45236</v>
      </c>
      <c r="C580" s="1" t="n">
        <v>45991</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64969-2023</t>
        </is>
      </c>
      <c r="B581" s="1" t="n">
        <v>45284.54009259259</v>
      </c>
      <c r="C581" s="1" t="n">
        <v>45991</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33853-2024</t>
        </is>
      </c>
      <c r="B582" s="1" t="n">
        <v>45520.64298611111</v>
      </c>
      <c r="C582" s="1" t="n">
        <v>45991</v>
      </c>
      <c r="D582" t="inlineStr">
        <is>
          <t>GOTLANDS LÄN</t>
        </is>
      </c>
      <c r="E582" t="inlineStr">
        <is>
          <t>GOTLAND</t>
        </is>
      </c>
      <c r="G582" t="n">
        <v>3.9</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45991</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46949-2024</t>
        </is>
      </c>
      <c r="B584" s="1" t="n">
        <v>45585</v>
      </c>
      <c r="C584" s="1" t="n">
        <v>45991</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24001-2021</t>
        </is>
      </c>
      <c r="B585" s="1" t="n">
        <v>44335</v>
      </c>
      <c r="C585" s="1" t="n">
        <v>45991</v>
      </c>
      <c r="D585" t="inlineStr">
        <is>
          <t>GOTLANDS LÄN</t>
        </is>
      </c>
      <c r="E585" t="inlineStr">
        <is>
          <t>GOTLAND</t>
        </is>
      </c>
      <c r="G585" t="n">
        <v>3.4</v>
      </c>
      <c r="H585" t="n">
        <v>0</v>
      </c>
      <c r="I585" t="n">
        <v>0</v>
      </c>
      <c r="J585" t="n">
        <v>0</v>
      </c>
      <c r="K585" t="n">
        <v>0</v>
      </c>
      <c r="L585" t="n">
        <v>0</v>
      </c>
      <c r="M585" t="n">
        <v>0</v>
      </c>
      <c r="N585" t="n">
        <v>0</v>
      </c>
      <c r="O585" t="n">
        <v>0</v>
      </c>
      <c r="P585" t="n">
        <v>0</v>
      </c>
      <c r="Q585" t="n">
        <v>0</v>
      </c>
      <c r="R585" s="2" t="inlineStr"/>
    </row>
    <row r="586" ht="15" customHeight="1">
      <c r="A586" t="inlineStr">
        <is>
          <t>A 39479-2022</t>
        </is>
      </c>
      <c r="B586" s="1" t="n">
        <v>44818</v>
      </c>
      <c r="C586" s="1" t="n">
        <v>45991</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39496-2022</t>
        </is>
      </c>
      <c r="B587" s="1" t="n">
        <v>44818</v>
      </c>
      <c r="C587" s="1" t="n">
        <v>45991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46389-2021</t>
        </is>
      </c>
      <c r="B588" s="1" t="n">
        <v>44443</v>
      </c>
      <c r="C588" s="1" t="n">
        <v>45991</v>
      </c>
      <c r="D588" t="inlineStr">
        <is>
          <t>GOTLANDS LÄN</t>
        </is>
      </c>
      <c r="E588" t="inlineStr">
        <is>
          <t>GOTLAND</t>
        </is>
      </c>
      <c r="F588" t="inlineStr">
        <is>
          <t>Kyrkan</t>
        </is>
      </c>
      <c r="G588" t="n">
        <v>2.1</v>
      </c>
      <c r="H588" t="n">
        <v>0</v>
      </c>
      <c r="I588" t="n">
        <v>0</v>
      </c>
      <c r="J588" t="n">
        <v>0</v>
      </c>
      <c r="K588" t="n">
        <v>0</v>
      </c>
      <c r="L588" t="n">
        <v>0</v>
      </c>
      <c r="M588" t="n">
        <v>0</v>
      </c>
      <c r="N588" t="n">
        <v>0</v>
      </c>
      <c r="O588" t="n">
        <v>0</v>
      </c>
      <c r="P588" t="n">
        <v>0</v>
      </c>
      <c r="Q588" t="n">
        <v>0</v>
      </c>
      <c r="R588" s="2" t="inlineStr"/>
    </row>
    <row r="589" ht="15" customHeight="1">
      <c r="A589" t="inlineStr">
        <is>
          <t>A 44949-2023</t>
        </is>
      </c>
      <c r="B589" s="1" t="n">
        <v>45190.69520833333</v>
      </c>
      <c r="C589" s="1" t="n">
        <v>45991</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17682-2024</t>
        </is>
      </c>
      <c r="B590" s="1" t="n">
        <v>45418.42966435185</v>
      </c>
      <c r="C590" s="1" t="n">
        <v>45991</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61897-2024</t>
        </is>
      </c>
      <c r="B591" s="1" t="n">
        <v>45652.75685185185</v>
      </c>
      <c r="C591" s="1" t="n">
        <v>45991</v>
      </c>
      <c r="D591" t="inlineStr">
        <is>
          <t>GOTLANDS LÄN</t>
        </is>
      </c>
      <c r="E591" t="inlineStr">
        <is>
          <t>GOTLAND</t>
        </is>
      </c>
      <c r="G591" t="n">
        <v>6.4</v>
      </c>
      <c r="H591" t="n">
        <v>0</v>
      </c>
      <c r="I591" t="n">
        <v>0</v>
      </c>
      <c r="J591" t="n">
        <v>0</v>
      </c>
      <c r="K591" t="n">
        <v>0</v>
      </c>
      <c r="L591" t="n">
        <v>0</v>
      </c>
      <c r="M591" t="n">
        <v>0</v>
      </c>
      <c r="N591" t="n">
        <v>0</v>
      </c>
      <c r="O591" t="n">
        <v>0</v>
      </c>
      <c r="P591" t="n">
        <v>0</v>
      </c>
      <c r="Q591" t="n">
        <v>0</v>
      </c>
      <c r="R591" s="2" t="inlineStr"/>
    </row>
    <row r="592" ht="15" customHeight="1">
      <c r="A592" t="inlineStr">
        <is>
          <t>A 12032-2025</t>
        </is>
      </c>
      <c r="B592" s="1" t="n">
        <v>45728.64472222222</v>
      </c>
      <c r="C592" s="1" t="n">
        <v>45991</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15595-2024</t>
        </is>
      </c>
      <c r="B593" s="1" t="n">
        <v>45401.81480324074</v>
      </c>
      <c r="C593" s="1" t="n">
        <v>45991</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21164-2024</t>
        </is>
      </c>
      <c r="B594" s="1" t="n">
        <v>45440</v>
      </c>
      <c r="C594" s="1" t="n">
        <v>45991</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17541-2024</t>
        </is>
      </c>
      <c r="B595" s="1" t="n">
        <v>45415</v>
      </c>
      <c r="C595" s="1" t="n">
        <v>45991</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883-2025</t>
        </is>
      </c>
      <c r="B596" s="1" t="n">
        <v>45665</v>
      </c>
      <c r="C596" s="1" t="n">
        <v>45991</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45991</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20794-2025</t>
        </is>
      </c>
      <c r="B598" s="1" t="n">
        <v>45776</v>
      </c>
      <c r="C598" s="1" t="n">
        <v>45991</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20805-2025</t>
        </is>
      </c>
      <c r="B599" s="1" t="n">
        <v>45776</v>
      </c>
      <c r="C599" s="1" t="n">
        <v>45991</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21389-2025</t>
        </is>
      </c>
      <c r="B600" s="1" t="n">
        <v>45782</v>
      </c>
      <c r="C600" s="1" t="n">
        <v>45991</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21651-2025</t>
        </is>
      </c>
      <c r="B601" s="1" t="n">
        <v>45783</v>
      </c>
      <c r="C601" s="1" t="n">
        <v>45991</v>
      </c>
      <c r="D601" t="inlineStr">
        <is>
          <t>GOTLANDS LÄN</t>
        </is>
      </c>
      <c r="E601" t="inlineStr">
        <is>
          <t>GOTLAND</t>
        </is>
      </c>
      <c r="G601" t="n">
        <v>4.2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45991</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10656-2024</t>
        </is>
      </c>
      <c r="B603" s="1" t="n">
        <v>45368</v>
      </c>
      <c r="C603" s="1" t="n">
        <v>45991</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57356-2023</t>
        </is>
      </c>
      <c r="B604" s="1" t="n">
        <v>45240</v>
      </c>
      <c r="C604" s="1" t="n">
        <v>45991</v>
      </c>
      <c r="D604" t="inlineStr">
        <is>
          <t>GOTLANDS LÄN</t>
        </is>
      </c>
      <c r="E604" t="inlineStr">
        <is>
          <t>GOTLAND</t>
        </is>
      </c>
      <c r="G604" t="n">
        <v>6.4</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45991</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23188-2025</t>
        </is>
      </c>
      <c r="B606" s="1" t="n">
        <v>45791</v>
      </c>
      <c r="C606" s="1" t="n">
        <v>45991</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23856-2025</t>
        </is>
      </c>
      <c r="B607" s="1" t="n">
        <v>45793</v>
      </c>
      <c r="C607" s="1" t="n">
        <v>45991</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23473-2025</t>
        </is>
      </c>
      <c r="B608" s="1" t="n">
        <v>45792</v>
      </c>
      <c r="C608" s="1" t="n">
        <v>45991</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23698-2025</t>
        </is>
      </c>
      <c r="B609" s="1" t="n">
        <v>45793</v>
      </c>
      <c r="C609" s="1" t="n">
        <v>45991</v>
      </c>
      <c r="D609" t="inlineStr">
        <is>
          <t>GOTLANDS LÄN</t>
        </is>
      </c>
      <c r="E609" t="inlineStr">
        <is>
          <t>GOTLAND</t>
        </is>
      </c>
      <c r="G609" t="n">
        <v>0.8</v>
      </c>
      <c r="H609" t="n">
        <v>0</v>
      </c>
      <c r="I609" t="n">
        <v>0</v>
      </c>
      <c r="J609" t="n">
        <v>0</v>
      </c>
      <c r="K609" t="n">
        <v>0</v>
      </c>
      <c r="L609" t="n">
        <v>0</v>
      </c>
      <c r="M609" t="n">
        <v>0</v>
      </c>
      <c r="N609" t="n">
        <v>0</v>
      </c>
      <c r="O609" t="n">
        <v>0</v>
      </c>
      <c r="P609" t="n">
        <v>0</v>
      </c>
      <c r="Q609" t="n">
        <v>0</v>
      </c>
      <c r="R609" s="2" t="inlineStr"/>
    </row>
    <row r="610">
      <c r="A610" t="inlineStr">
        <is>
          <t>A 15073-2025</t>
        </is>
      </c>
      <c r="B610" s="1" t="n">
        <v>45743</v>
      </c>
      <c r="C610" s="1" t="n">
        <v>45991</v>
      </c>
      <c r="D610" t="inlineStr">
        <is>
          <t>GOTLANDS LÄN</t>
        </is>
      </c>
      <c r="E610" t="inlineStr">
        <is>
          <t>GOTLAND</t>
        </is>
      </c>
      <c r="G610" t="n">
        <v>12.1</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2025-11-30T10:26:29Z</dcterms:created>
  <dcterms:modified xmlns:dcterms="http://purl.org/dc/terms/" xmlns:xsi="http://www.w3.org/2001/XMLSchema-instance" xsi:type="dcterms:W3CDTF">2025-11-30T10:26:29Z</dcterms:modified>
</cp:coreProperties>
</file>