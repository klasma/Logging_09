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45895</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45895</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45895</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45895</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8645-2025</t>
        </is>
      </c>
      <c r="B11" s="1" t="n">
        <v>45712</v>
      </c>
      <c r="C11" s="1" t="n">
        <v>45895</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45895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45895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45895</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45895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45895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45895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45895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45895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45895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45895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45895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45895</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45895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45895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45895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45895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45895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45895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45895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45895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45895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45895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45895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45895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45895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45895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45895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45895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45895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16353-2025</t>
        </is>
      </c>
      <c r="B55" s="1" t="n">
        <v>45751</v>
      </c>
      <c r="C55" s="1" t="n">
        <v>45895</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45895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45895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45895</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45895</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45895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45895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45895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45895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45895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45895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45895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45895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16375-2025</t>
        </is>
      </c>
      <c r="B69" s="1" t="n">
        <v>45751.41064814815</v>
      </c>
      <c r="C69" s="1" t="n">
        <v>45895</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35293-2025</t>
        </is>
      </c>
      <c r="B70" s="1" t="n">
        <v>45854.39438657407</v>
      </c>
      <c r="C70" s="1" t="n">
        <v>45895</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45895</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45895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45895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45895</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45895</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2485-2025</t>
        </is>
      </c>
      <c r="B77" s="1" t="n">
        <v>45673</v>
      </c>
      <c r="C77" s="1" t="n">
        <v>45895</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43197-2023</t>
        </is>
      </c>
      <c r="B78" s="1" t="n">
        <v>45183</v>
      </c>
      <c r="C78" s="1" t="n">
        <v>45895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45895</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45895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45895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45895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45895</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45895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45895</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45895</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45895</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45895</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45895</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45895</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45895</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45895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45895</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45895</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45895</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45895</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45895</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20831-2024</t>
        </is>
      </c>
      <c r="B98" s="1" t="n">
        <v>45439</v>
      </c>
      <c r="C98" s="1" t="n">
        <v>45895</v>
      </c>
      <c r="D98" t="inlineStr">
        <is>
          <t>GOTLANDS LÄN</t>
        </is>
      </c>
      <c r="E98" t="inlineStr">
        <is>
          <t>GOTLAND</t>
        </is>
      </c>
      <c r="G98" t="n">
        <v>2.9</v>
      </c>
      <c r="H98" t="n">
        <v>2</v>
      </c>
      <c r="I98" t="n">
        <v>1</v>
      </c>
      <c r="J98" t="n">
        <v>2</v>
      </c>
      <c r="K98" t="n">
        <v>0</v>
      </c>
      <c r="L98" t="n">
        <v>0</v>
      </c>
      <c r="M98" t="n">
        <v>0</v>
      </c>
      <c r="N98" t="n">
        <v>0</v>
      </c>
      <c r="O98" t="n">
        <v>2</v>
      </c>
      <c r="P98" t="n">
        <v>0</v>
      </c>
      <c r="Q98" t="n">
        <v>3</v>
      </c>
      <c r="R98" s="2" t="inlineStr">
        <is>
          <t>Dårgräsfjäril
Svinrot
Skogsknipprot</t>
        </is>
      </c>
      <c r="S98">
        <f>HYPERLINK("https://klasma.github.io/Logging_0980/artfynd/A 20831-2024 artfynd.xlsx", "A 20831-2024")</f>
        <v/>
      </c>
      <c r="T98">
        <f>HYPERLINK("https://klasma.github.io/Logging_0980/kartor/A 20831-2024 karta.png", "A 20831-2024")</f>
        <v/>
      </c>
      <c r="V98">
        <f>HYPERLINK("https://klasma.github.io/Logging_0980/klagomål/A 20831-2024 FSC-klagomål.docx", "A 20831-2024")</f>
        <v/>
      </c>
      <c r="W98">
        <f>HYPERLINK("https://klasma.github.io/Logging_0980/klagomålsmail/A 20831-2024 FSC-klagomål mail.docx", "A 20831-2024")</f>
        <v/>
      </c>
      <c r="X98">
        <f>HYPERLINK("https://klasma.github.io/Logging_0980/tillsyn/A 20831-2024 tillsynsbegäran.docx", "A 20831-2024")</f>
        <v/>
      </c>
      <c r="Y98">
        <f>HYPERLINK("https://klasma.github.io/Logging_0980/tillsynsmail/A 20831-2024 tillsynsbegäran mail.docx", "A 20831-2024")</f>
        <v/>
      </c>
    </row>
    <row r="99" ht="15" customHeight="1">
      <c r="A99" t="inlineStr">
        <is>
          <t>A 43013-2022</t>
        </is>
      </c>
      <c r="B99" s="1" t="n">
        <v>44833</v>
      </c>
      <c r="C99" s="1" t="n">
        <v>45895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62326-2020</t>
        </is>
      </c>
      <c r="B100" s="1" t="n">
        <v>44160</v>
      </c>
      <c r="C100" s="1" t="n">
        <v>45895</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5235-2025</t>
        </is>
      </c>
      <c r="B101" s="1" t="n">
        <v>45692.26797453704</v>
      </c>
      <c r="C101" s="1" t="n">
        <v>45895</v>
      </c>
      <c r="D101" t="inlineStr">
        <is>
          <t>GOTLANDS LÄN</t>
        </is>
      </c>
      <c r="E101" t="inlineStr">
        <is>
          <t>GOTLAND</t>
        </is>
      </c>
      <c r="G101" t="n">
        <v>7.6</v>
      </c>
      <c r="H101" t="n">
        <v>1</v>
      </c>
      <c r="I101" t="n">
        <v>2</v>
      </c>
      <c r="J101" t="n">
        <v>1</v>
      </c>
      <c r="K101" t="n">
        <v>0</v>
      </c>
      <c r="L101" t="n">
        <v>0</v>
      </c>
      <c r="M101" t="n">
        <v>0</v>
      </c>
      <c r="N101" t="n">
        <v>0</v>
      </c>
      <c r="O101" t="n">
        <v>1</v>
      </c>
      <c r="P101" t="n">
        <v>0</v>
      </c>
      <c r="Q101" t="n">
        <v>3</v>
      </c>
      <c r="R101" s="2" t="inlineStr">
        <is>
          <t>Svinrot
Blåmossa
Tvåblad</t>
        </is>
      </c>
      <c r="S101">
        <f>HYPERLINK("https://klasma.github.io/Logging_0980/artfynd/A 5235-2025 artfynd.xlsx", "A 5235-2025")</f>
        <v/>
      </c>
      <c r="T101">
        <f>HYPERLINK("https://klasma.github.io/Logging_0980/kartor/A 5235-2025 karta.png", "A 5235-2025")</f>
        <v/>
      </c>
      <c r="V101">
        <f>HYPERLINK("https://klasma.github.io/Logging_0980/klagomål/A 5235-2025 FSC-klagomål.docx", "A 5235-2025")</f>
        <v/>
      </c>
      <c r="W101">
        <f>HYPERLINK("https://klasma.github.io/Logging_0980/klagomålsmail/A 5235-2025 FSC-klagomål mail.docx", "A 5235-2025")</f>
        <v/>
      </c>
      <c r="X101">
        <f>HYPERLINK("https://klasma.github.io/Logging_0980/tillsyn/A 5235-2025 tillsynsbegäran.docx", "A 5235-2025")</f>
        <v/>
      </c>
      <c r="Y101">
        <f>HYPERLINK("https://klasma.github.io/Logging_0980/tillsynsmail/A 5235-2025 tillsynsbegäran mail.docx", "A 5235-2025")</f>
        <v/>
      </c>
    </row>
    <row r="102" ht="15" customHeight="1">
      <c r="A102" t="inlineStr">
        <is>
          <t>A 53552-2021</t>
        </is>
      </c>
      <c r="B102" s="1" t="n">
        <v>44468</v>
      </c>
      <c r="C102" s="1" t="n">
        <v>45895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45895</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45895</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45895</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45895</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45895</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45895</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45895</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45895</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54357-2024</t>
        </is>
      </c>
      <c r="B111" s="1" t="n">
        <v>45617.40662037037</v>
      </c>
      <c r="C111" s="1" t="n">
        <v>45895</v>
      </c>
      <c r="D111" t="inlineStr">
        <is>
          <t>GOTLANDS LÄN</t>
        </is>
      </c>
      <c r="E111" t="inlineStr">
        <is>
          <t>GOTLAND</t>
        </is>
      </c>
      <c r="G111" t="n">
        <v>1.5</v>
      </c>
      <c r="H111" t="n">
        <v>1</v>
      </c>
      <c r="I111" t="n">
        <v>0</v>
      </c>
      <c r="J111" t="n">
        <v>1</v>
      </c>
      <c r="K111" t="n">
        <v>0</v>
      </c>
      <c r="L111" t="n">
        <v>0</v>
      </c>
      <c r="M111" t="n">
        <v>0</v>
      </c>
      <c r="N111" t="n">
        <v>0</v>
      </c>
      <c r="O111" t="n">
        <v>1</v>
      </c>
      <c r="P111" t="n">
        <v>0</v>
      </c>
      <c r="Q111" t="n">
        <v>2</v>
      </c>
      <c r="R111" s="2" t="inlineStr">
        <is>
          <t>Loppstarr
Fläcknycklar</t>
        </is>
      </c>
      <c r="S111">
        <f>HYPERLINK("https://klasma.github.io/Logging_0980/artfynd/A 54357-2024 artfynd.xlsx", "A 54357-2024")</f>
        <v/>
      </c>
      <c r="T111">
        <f>HYPERLINK("https://klasma.github.io/Logging_0980/kartor/A 54357-2024 karta.png", "A 54357-2024")</f>
        <v/>
      </c>
      <c r="V111">
        <f>HYPERLINK("https://klasma.github.io/Logging_0980/klagomål/A 54357-2024 FSC-klagomål.docx", "A 54357-2024")</f>
        <v/>
      </c>
      <c r="W111">
        <f>HYPERLINK("https://klasma.github.io/Logging_0980/klagomålsmail/A 54357-2024 FSC-klagomål mail.docx", "A 54357-2024")</f>
        <v/>
      </c>
      <c r="X111">
        <f>HYPERLINK("https://klasma.github.io/Logging_0980/tillsyn/A 54357-2024 tillsynsbegäran.docx", "A 54357-2024")</f>
        <v/>
      </c>
      <c r="Y111">
        <f>HYPERLINK("https://klasma.github.io/Logging_0980/tillsynsmail/A 54357-2024 tillsynsbegäran mail.docx", "A 54357-2024")</f>
        <v/>
      </c>
    </row>
    <row r="112" ht="15" customHeight="1">
      <c r="A112" t="inlineStr">
        <is>
          <t>A 26077-2024</t>
        </is>
      </c>
      <c r="B112" s="1" t="n">
        <v>45467</v>
      </c>
      <c r="C112" s="1" t="n">
        <v>45895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45895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7070-2022</t>
        </is>
      </c>
      <c r="B114" s="1" t="n">
        <v>44603</v>
      </c>
      <c r="C114" s="1" t="n">
        <v>45895</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43321-2020</t>
        </is>
      </c>
      <c r="B115" s="1" t="n">
        <v>44081</v>
      </c>
      <c r="C115" s="1" t="n">
        <v>45895</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12914-2025</t>
        </is>
      </c>
      <c r="B116" s="1" t="n">
        <v>45733</v>
      </c>
      <c r="C116" s="1" t="n">
        <v>45895</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45895</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55649-2024</t>
        </is>
      </c>
      <c r="B118" s="1" t="n">
        <v>45622.63053240741</v>
      </c>
      <c r="C118" s="1" t="n">
        <v>45895</v>
      </c>
      <c r="D118" t="inlineStr">
        <is>
          <t>GOTLANDS LÄN</t>
        </is>
      </c>
      <c r="E118" t="inlineStr">
        <is>
          <t>GOTLAND</t>
        </is>
      </c>
      <c r="G118" t="n">
        <v>4.6</v>
      </c>
      <c r="H118" t="n">
        <v>2</v>
      </c>
      <c r="I118" t="n">
        <v>0</v>
      </c>
      <c r="J118" t="n">
        <v>0</v>
      </c>
      <c r="K118" t="n">
        <v>0</v>
      </c>
      <c r="L118" t="n">
        <v>0</v>
      </c>
      <c r="M118" t="n">
        <v>0</v>
      </c>
      <c r="N118" t="n">
        <v>0</v>
      </c>
      <c r="O118" t="n">
        <v>0</v>
      </c>
      <c r="P118" t="n">
        <v>0</v>
      </c>
      <c r="Q118" t="n">
        <v>2</v>
      </c>
      <c r="R118" s="2" t="inlineStr">
        <is>
          <t>Sankt pers nycklar
Blåsippa</t>
        </is>
      </c>
      <c r="S118">
        <f>HYPERLINK("https://klasma.github.io/Logging_0980/artfynd/A 55649-2024 artfynd.xlsx", "A 55649-2024")</f>
        <v/>
      </c>
      <c r="T118">
        <f>HYPERLINK("https://klasma.github.io/Logging_0980/kartor/A 55649-2024 karta.png", "A 55649-2024")</f>
        <v/>
      </c>
      <c r="V118">
        <f>HYPERLINK("https://klasma.github.io/Logging_0980/klagomål/A 55649-2024 FSC-klagomål.docx", "A 55649-2024")</f>
        <v/>
      </c>
      <c r="W118">
        <f>HYPERLINK("https://klasma.github.io/Logging_0980/klagomålsmail/A 55649-2024 FSC-klagomål mail.docx", "A 55649-2024")</f>
        <v/>
      </c>
      <c r="X118">
        <f>HYPERLINK("https://klasma.github.io/Logging_0980/tillsyn/A 55649-2024 tillsynsbegäran.docx", "A 55649-2024")</f>
        <v/>
      </c>
      <c r="Y118">
        <f>HYPERLINK("https://klasma.github.io/Logging_0980/tillsynsmail/A 55649-2024 tillsynsbegäran mail.docx", "A 55649-2024")</f>
        <v/>
      </c>
    </row>
    <row r="119" ht="15" customHeight="1">
      <c r="A119" t="inlineStr">
        <is>
          <t>A 20838-2024</t>
        </is>
      </c>
      <c r="B119" s="1" t="n">
        <v>45439</v>
      </c>
      <c r="C119" s="1" t="n">
        <v>45895</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45895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73144-2021</t>
        </is>
      </c>
      <c r="B121" s="1" t="n">
        <v>44550</v>
      </c>
      <c r="C121" s="1" t="n">
        <v>45895</v>
      </c>
      <c r="D121" t="inlineStr">
        <is>
          <t>GOTLANDS LÄN</t>
        </is>
      </c>
      <c r="E121" t="inlineStr">
        <is>
          <t>GOTLAND</t>
        </is>
      </c>
      <c r="G121" t="n">
        <v>1.9</v>
      </c>
      <c r="H121" t="n">
        <v>0</v>
      </c>
      <c r="I121" t="n">
        <v>1</v>
      </c>
      <c r="J121" t="n">
        <v>0</v>
      </c>
      <c r="K121" t="n">
        <v>1</v>
      </c>
      <c r="L121" t="n">
        <v>0</v>
      </c>
      <c r="M121" t="n">
        <v>0</v>
      </c>
      <c r="N121" t="n">
        <v>0</v>
      </c>
      <c r="O121" t="n">
        <v>1</v>
      </c>
      <c r="P121" t="n">
        <v>1</v>
      </c>
      <c r="Q121" t="n">
        <v>2</v>
      </c>
      <c r="R121" s="2" t="inlineStr">
        <is>
          <t>Skogskorn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28276-2024</t>
        </is>
      </c>
      <c r="B122" s="1" t="n">
        <v>45477</v>
      </c>
      <c r="C122" s="1" t="n">
        <v>45895</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24-2021</t>
        </is>
      </c>
      <c r="B123" s="1" t="n">
        <v>44197</v>
      </c>
      <c r="C123" s="1" t="n">
        <v>45895</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45895</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45895</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45895</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45895</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45895</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45895</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63576-2021</t>
        </is>
      </c>
      <c r="B130" s="1" t="n">
        <v>44508</v>
      </c>
      <c r="C130" s="1" t="n">
        <v>45895</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12379-2024</t>
        </is>
      </c>
      <c r="B131" s="1" t="n">
        <v>45379.28155092592</v>
      </c>
      <c r="C131" s="1" t="n">
        <v>45895</v>
      </c>
      <c r="D131" t="inlineStr">
        <is>
          <t>GOTLANDS LÄN</t>
        </is>
      </c>
      <c r="E131" t="inlineStr">
        <is>
          <t>GOTLAND</t>
        </is>
      </c>
      <c r="G131" t="n">
        <v>4.4</v>
      </c>
      <c r="H131" t="n">
        <v>0</v>
      </c>
      <c r="I131" t="n">
        <v>0</v>
      </c>
      <c r="J131" t="n">
        <v>1</v>
      </c>
      <c r="K131" t="n">
        <v>0</v>
      </c>
      <c r="L131" t="n">
        <v>0</v>
      </c>
      <c r="M131" t="n">
        <v>0</v>
      </c>
      <c r="N131" t="n">
        <v>0</v>
      </c>
      <c r="O131" t="n">
        <v>1</v>
      </c>
      <c r="P131" t="n">
        <v>0</v>
      </c>
      <c r="Q131" t="n">
        <v>1</v>
      </c>
      <c r="R131" s="2" t="inlineStr">
        <is>
          <t>Svinrot</t>
        </is>
      </c>
      <c r="S131">
        <f>HYPERLINK("https://klasma.github.io/Logging_0980/artfynd/A 12379-2024 artfynd.xlsx", "A 12379-2024")</f>
        <v/>
      </c>
      <c r="T131">
        <f>HYPERLINK("https://klasma.github.io/Logging_0980/kartor/A 12379-2024 karta.png", "A 12379-2024")</f>
        <v/>
      </c>
      <c r="V131">
        <f>HYPERLINK("https://klasma.github.io/Logging_0980/klagomål/A 12379-2024 FSC-klagomål.docx", "A 12379-2024")</f>
        <v/>
      </c>
      <c r="W131">
        <f>HYPERLINK("https://klasma.github.io/Logging_0980/klagomålsmail/A 12379-2024 FSC-klagomål mail.docx", "A 12379-2024")</f>
        <v/>
      </c>
      <c r="X131">
        <f>HYPERLINK("https://klasma.github.io/Logging_0980/tillsyn/A 12379-2024 tillsynsbegäran.docx", "A 12379-2024")</f>
        <v/>
      </c>
      <c r="Y131">
        <f>HYPERLINK("https://klasma.github.io/Logging_0980/tillsynsmail/A 12379-2024 tillsynsbegäran mail.docx", "A 12379-2024")</f>
        <v/>
      </c>
    </row>
    <row r="132" ht="15" customHeight="1">
      <c r="A132" t="inlineStr">
        <is>
          <t>A 64700-2021</t>
        </is>
      </c>
      <c r="B132" s="1" t="n">
        <v>44511</v>
      </c>
      <c r="C132" s="1" t="n">
        <v>45895</v>
      </c>
      <c r="D132" t="inlineStr">
        <is>
          <t>GOTLANDS LÄN</t>
        </is>
      </c>
      <c r="E132" t="inlineStr">
        <is>
          <t>GOTLAND</t>
        </is>
      </c>
      <c r="F132" t="inlineStr">
        <is>
          <t>Naturvårdsverket</t>
        </is>
      </c>
      <c r="G132" t="n">
        <v>2.4</v>
      </c>
      <c r="H132" t="n">
        <v>1</v>
      </c>
      <c r="I132" t="n">
        <v>0</v>
      </c>
      <c r="J132" t="n">
        <v>0</v>
      </c>
      <c r="K132" t="n">
        <v>1</v>
      </c>
      <c r="L132" t="n">
        <v>0</v>
      </c>
      <c r="M132" t="n">
        <v>0</v>
      </c>
      <c r="N132" t="n">
        <v>0</v>
      </c>
      <c r="O132" t="n">
        <v>1</v>
      </c>
      <c r="P132" t="n">
        <v>1</v>
      </c>
      <c r="Q132" t="n">
        <v>1</v>
      </c>
      <c r="R132" s="2" t="inlineStr">
        <is>
          <t>Kalkdån</t>
        </is>
      </c>
      <c r="S132">
        <f>HYPERLINK("https://klasma.github.io/Logging_0980/artfynd/A 64700-2021 artfynd.xlsx", "A 64700-2021")</f>
        <v/>
      </c>
      <c r="T132">
        <f>HYPERLINK("https://klasma.github.io/Logging_0980/kartor/A 64700-2021 karta.png", "A 64700-2021")</f>
        <v/>
      </c>
      <c r="V132">
        <f>HYPERLINK("https://klasma.github.io/Logging_0980/klagomål/A 64700-2021 FSC-klagomål.docx", "A 64700-2021")</f>
        <v/>
      </c>
      <c r="W132">
        <f>HYPERLINK("https://klasma.github.io/Logging_0980/klagomålsmail/A 64700-2021 FSC-klagomål mail.docx", "A 64700-2021")</f>
        <v/>
      </c>
      <c r="X132">
        <f>HYPERLINK("https://klasma.github.io/Logging_0980/tillsyn/A 64700-2021 tillsynsbegäran.docx", "A 64700-2021")</f>
        <v/>
      </c>
      <c r="Y132">
        <f>HYPERLINK("https://klasma.github.io/Logging_0980/tillsynsmail/A 64700-2021 tillsynsbegäran mail.docx", "A 64700-2021")</f>
        <v/>
      </c>
    </row>
    <row r="133" ht="15" customHeight="1">
      <c r="A133" t="inlineStr">
        <is>
          <t>A 20429-2025</t>
        </is>
      </c>
      <c r="B133" s="1" t="n">
        <v>45775.47728009259</v>
      </c>
      <c r="C133" s="1" t="n">
        <v>45895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17723-2021</t>
        </is>
      </c>
      <c r="B134" s="1" t="n">
        <v>44300</v>
      </c>
      <c r="C134" s="1" t="n">
        <v>45895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27589-2023</t>
        </is>
      </c>
      <c r="B135" s="1" t="n">
        <v>45097</v>
      </c>
      <c r="C135" s="1" t="n">
        <v>45895</v>
      </c>
      <c r="D135" t="inlineStr">
        <is>
          <t>GOTLANDS LÄN</t>
        </is>
      </c>
      <c r="E135" t="inlineStr">
        <is>
          <t>GOTLAND</t>
        </is>
      </c>
      <c r="G135" t="n">
        <v>5.4</v>
      </c>
      <c r="H135" t="n">
        <v>0</v>
      </c>
      <c r="I135" t="n">
        <v>0</v>
      </c>
      <c r="J135" t="n">
        <v>0</v>
      </c>
      <c r="K135" t="n">
        <v>0</v>
      </c>
      <c r="L135" t="n">
        <v>0</v>
      </c>
      <c r="M135" t="n">
        <v>1</v>
      </c>
      <c r="N135" t="n">
        <v>0</v>
      </c>
      <c r="O135" t="n">
        <v>1</v>
      </c>
      <c r="P135" t="n">
        <v>1</v>
      </c>
      <c r="Q135" t="n">
        <v>1</v>
      </c>
      <c r="R135" s="2" t="inlineStr">
        <is>
          <t>Skogsalm</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35574-2024</t>
        </is>
      </c>
      <c r="B136" s="1" t="n">
        <v>45531</v>
      </c>
      <c r="C136" s="1" t="n">
        <v>45895</v>
      </c>
      <c r="D136" t="inlineStr">
        <is>
          <t>GOTLANDS LÄN</t>
        </is>
      </c>
      <c r="E136" t="inlineStr">
        <is>
          <t>GOTLAND</t>
        </is>
      </c>
      <c r="G136" t="n">
        <v>5.7</v>
      </c>
      <c r="H136" t="n">
        <v>0</v>
      </c>
      <c r="I136" t="n">
        <v>1</v>
      </c>
      <c r="J136" t="n">
        <v>0</v>
      </c>
      <c r="K136" t="n">
        <v>0</v>
      </c>
      <c r="L136" t="n">
        <v>0</v>
      </c>
      <c r="M136" t="n">
        <v>0</v>
      </c>
      <c r="N136" t="n">
        <v>0</v>
      </c>
      <c r="O136" t="n">
        <v>0</v>
      </c>
      <c r="P136" t="n">
        <v>0</v>
      </c>
      <c r="Q136" t="n">
        <v>1</v>
      </c>
      <c r="R136" s="2" t="inlineStr">
        <is>
          <t>Murgröna</t>
        </is>
      </c>
      <c r="S136">
        <f>HYPERLINK("https://klasma.github.io/Logging_0980/artfynd/A 35574-2024 artfynd.xlsx", "A 35574-2024")</f>
        <v/>
      </c>
      <c r="T136">
        <f>HYPERLINK("https://klasma.github.io/Logging_0980/kartor/A 35574-2024 karta.png", "A 35574-2024")</f>
        <v/>
      </c>
      <c r="V136">
        <f>HYPERLINK("https://klasma.github.io/Logging_0980/klagomål/A 35574-2024 FSC-klagomål.docx", "A 35574-2024")</f>
        <v/>
      </c>
      <c r="W136">
        <f>HYPERLINK("https://klasma.github.io/Logging_0980/klagomålsmail/A 35574-2024 FSC-klagomål mail.docx", "A 35574-2024")</f>
        <v/>
      </c>
      <c r="X136">
        <f>HYPERLINK("https://klasma.github.io/Logging_0980/tillsyn/A 35574-2024 tillsynsbegäran.docx", "A 35574-2024")</f>
        <v/>
      </c>
      <c r="Y136">
        <f>HYPERLINK("https://klasma.github.io/Logging_0980/tillsynsmail/A 35574-2024 tillsynsbegäran mail.docx", "A 35574-2024")</f>
        <v/>
      </c>
    </row>
    <row r="137" ht="15" customHeight="1">
      <c r="A137" t="inlineStr">
        <is>
          <t>A 21466-2025</t>
        </is>
      </c>
      <c r="B137" s="1" t="n">
        <v>45782</v>
      </c>
      <c r="C137" s="1" t="n">
        <v>45895</v>
      </c>
      <c r="D137" t="inlineStr">
        <is>
          <t>GOTLANDS LÄN</t>
        </is>
      </c>
      <c r="E137" t="inlineStr">
        <is>
          <t>GOTLAND</t>
        </is>
      </c>
      <c r="F137" t="inlineStr">
        <is>
          <t>Övriga statliga verk och myndigheter</t>
        </is>
      </c>
      <c r="G137" t="n">
        <v>1.7</v>
      </c>
      <c r="H137" t="n">
        <v>1</v>
      </c>
      <c r="I137" t="n">
        <v>0</v>
      </c>
      <c r="J137" t="n">
        <v>0</v>
      </c>
      <c r="K137" t="n">
        <v>0</v>
      </c>
      <c r="L137" t="n">
        <v>0</v>
      </c>
      <c r="M137" t="n">
        <v>0</v>
      </c>
      <c r="N137" t="n">
        <v>0</v>
      </c>
      <c r="O137" t="n">
        <v>0</v>
      </c>
      <c r="P137" t="n">
        <v>0</v>
      </c>
      <c r="Q137" t="n">
        <v>1</v>
      </c>
      <c r="R137" s="2" t="inlineStr">
        <is>
          <t>Blåsippa</t>
        </is>
      </c>
      <c r="S137">
        <f>HYPERLINK("https://klasma.github.io/Logging_0980/artfynd/A 21466-2025 artfynd.xlsx", "A 21466-2025")</f>
        <v/>
      </c>
      <c r="T137">
        <f>HYPERLINK("https://klasma.github.io/Logging_0980/kartor/A 21466-2025 karta.png", "A 21466-2025")</f>
        <v/>
      </c>
      <c r="V137">
        <f>HYPERLINK("https://klasma.github.io/Logging_0980/klagomål/A 21466-2025 FSC-klagomål.docx", "A 21466-2025")</f>
        <v/>
      </c>
      <c r="W137">
        <f>HYPERLINK("https://klasma.github.io/Logging_0980/klagomålsmail/A 21466-2025 FSC-klagomål mail.docx", "A 21466-2025")</f>
        <v/>
      </c>
      <c r="X137">
        <f>HYPERLINK("https://klasma.github.io/Logging_0980/tillsyn/A 21466-2025 tillsynsbegäran.docx", "A 21466-2025")</f>
        <v/>
      </c>
      <c r="Y137">
        <f>HYPERLINK("https://klasma.github.io/Logging_0980/tillsynsmail/A 21466-2025 tillsynsbegäran mail.docx", "A 21466-2025")</f>
        <v/>
      </c>
    </row>
    <row r="138" ht="15" customHeight="1">
      <c r="A138" t="inlineStr">
        <is>
          <t>A 7637-2025</t>
        </is>
      </c>
      <c r="B138" s="1" t="n">
        <v>45705.77181712963</v>
      </c>
      <c r="C138" s="1" t="n">
        <v>45895</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45895</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12924-2025</t>
        </is>
      </c>
      <c r="B140" s="1" t="n">
        <v>45734</v>
      </c>
      <c r="C140" s="1" t="n">
        <v>45895</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6303-2024</t>
        </is>
      </c>
      <c r="B141" s="1" t="n">
        <v>45338.35376157407</v>
      </c>
      <c r="C141" s="1" t="n">
        <v>45895</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44958-2020</t>
        </is>
      </c>
      <c r="B142" s="1" t="n">
        <v>44088</v>
      </c>
      <c r="C142" s="1" t="n">
        <v>45895</v>
      </c>
      <c r="D142" t="inlineStr">
        <is>
          <t>GOTLANDS LÄN</t>
        </is>
      </c>
      <c r="E142" t="inlineStr">
        <is>
          <t>GOTLAND</t>
        </is>
      </c>
      <c r="G142" t="n">
        <v>0.6</v>
      </c>
      <c r="H142" t="n">
        <v>1</v>
      </c>
      <c r="I142" t="n">
        <v>0</v>
      </c>
      <c r="J142" t="n">
        <v>1</v>
      </c>
      <c r="K142" t="n">
        <v>0</v>
      </c>
      <c r="L142" t="n">
        <v>0</v>
      </c>
      <c r="M142" t="n">
        <v>0</v>
      </c>
      <c r="N142" t="n">
        <v>0</v>
      </c>
      <c r="O142" t="n">
        <v>1</v>
      </c>
      <c r="P142" t="n">
        <v>0</v>
      </c>
      <c r="Q142" t="n">
        <v>1</v>
      </c>
      <c r="R142" s="2" t="inlineStr">
        <is>
          <t>Hornuggla</t>
        </is>
      </c>
      <c r="S142">
        <f>HYPERLINK("https://klasma.github.io/Logging_0980/artfynd/A 44958-2020 artfynd.xlsx", "A 44958-2020")</f>
        <v/>
      </c>
      <c r="T142">
        <f>HYPERLINK("https://klasma.github.io/Logging_0980/kartor/A 44958-2020 karta.png", "A 44958-2020")</f>
        <v/>
      </c>
      <c r="V142">
        <f>HYPERLINK("https://klasma.github.io/Logging_0980/klagomål/A 44958-2020 FSC-klagomål.docx", "A 44958-2020")</f>
        <v/>
      </c>
      <c r="W142">
        <f>HYPERLINK("https://klasma.github.io/Logging_0980/klagomålsmail/A 44958-2020 FSC-klagomål mail.docx", "A 44958-2020")</f>
        <v/>
      </c>
      <c r="X142">
        <f>HYPERLINK("https://klasma.github.io/Logging_0980/tillsyn/A 44958-2020 tillsynsbegäran.docx", "A 44958-2020")</f>
        <v/>
      </c>
      <c r="Y142">
        <f>HYPERLINK("https://klasma.github.io/Logging_0980/tillsynsmail/A 44958-2020 tillsynsbegäran mail.docx", "A 44958-2020")</f>
        <v/>
      </c>
      <c r="Z142">
        <f>HYPERLINK("https://klasma.github.io/Logging_0980/fåglar/A 44958-2020 prioriterade fågelarter.docx", "A 44958-2020")</f>
        <v/>
      </c>
    </row>
    <row r="143" ht="15" customHeight="1">
      <c r="A143" t="inlineStr">
        <is>
          <t>A 25977-2024</t>
        </is>
      </c>
      <c r="B143" s="1" t="n">
        <v>45467.69356481481</v>
      </c>
      <c r="C143" s="1" t="n">
        <v>45895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44468-2024</t>
        </is>
      </c>
      <c r="B144" s="1" t="n">
        <v>45574.36651620371</v>
      </c>
      <c r="C144" s="1" t="n">
        <v>45895</v>
      </c>
      <c r="D144" t="inlineStr">
        <is>
          <t>GOTLANDS LÄN</t>
        </is>
      </c>
      <c r="E144" t="inlineStr">
        <is>
          <t>GOTLAND</t>
        </is>
      </c>
      <c r="G144" t="n">
        <v>7</v>
      </c>
      <c r="H144" t="n">
        <v>0</v>
      </c>
      <c r="I144" t="n">
        <v>0</v>
      </c>
      <c r="J144" t="n">
        <v>0</v>
      </c>
      <c r="K144" t="n">
        <v>0</v>
      </c>
      <c r="L144" t="n">
        <v>0</v>
      </c>
      <c r="M144" t="n">
        <v>1</v>
      </c>
      <c r="N144" t="n">
        <v>0</v>
      </c>
      <c r="O144" t="n">
        <v>1</v>
      </c>
      <c r="P144" t="n">
        <v>1</v>
      </c>
      <c r="Q144" t="n">
        <v>1</v>
      </c>
      <c r="R144" s="2" t="inlineStr">
        <is>
          <t>Skogsalm</t>
        </is>
      </c>
      <c r="S144">
        <f>HYPERLINK("https://klasma.github.io/Logging_0980/artfynd/A 44468-2024 artfynd.xlsx", "A 44468-2024")</f>
        <v/>
      </c>
      <c r="T144">
        <f>HYPERLINK("https://klasma.github.io/Logging_0980/kartor/A 44468-2024 karta.png", "A 44468-2024")</f>
        <v/>
      </c>
      <c r="V144">
        <f>HYPERLINK("https://klasma.github.io/Logging_0980/klagomål/A 44468-2024 FSC-klagomål.docx", "A 44468-2024")</f>
        <v/>
      </c>
      <c r="W144">
        <f>HYPERLINK("https://klasma.github.io/Logging_0980/klagomålsmail/A 44468-2024 FSC-klagomål mail.docx", "A 44468-2024")</f>
        <v/>
      </c>
      <c r="X144">
        <f>HYPERLINK("https://klasma.github.io/Logging_0980/tillsyn/A 44468-2024 tillsynsbegäran.docx", "A 44468-2024")</f>
        <v/>
      </c>
      <c r="Y144">
        <f>HYPERLINK("https://klasma.github.io/Logging_0980/tillsynsmail/A 44468-2024 tillsynsbegäran mail.docx", "A 44468-2024")</f>
        <v/>
      </c>
    </row>
    <row r="145" ht="15" customHeight="1">
      <c r="A145" t="inlineStr">
        <is>
          <t>A 65927-2021</t>
        </is>
      </c>
      <c r="B145" s="1" t="n">
        <v>44516</v>
      </c>
      <c r="C145" s="1" t="n">
        <v>45895</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45895</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34809-2024</t>
        </is>
      </c>
      <c r="B147" s="1" t="n">
        <v>45526</v>
      </c>
      <c r="C147" s="1" t="n">
        <v>45895</v>
      </c>
      <c r="D147" t="inlineStr">
        <is>
          <t>GOTLANDS LÄN</t>
        </is>
      </c>
      <c r="E147" t="inlineStr">
        <is>
          <t>GOTLAND</t>
        </is>
      </c>
      <c r="G147" t="n">
        <v>9.9</v>
      </c>
      <c r="H147" t="n">
        <v>1</v>
      </c>
      <c r="I147" t="n">
        <v>0</v>
      </c>
      <c r="J147" t="n">
        <v>1</v>
      </c>
      <c r="K147" t="n">
        <v>0</v>
      </c>
      <c r="L147" t="n">
        <v>0</v>
      </c>
      <c r="M147" t="n">
        <v>0</v>
      </c>
      <c r="N147" t="n">
        <v>0</v>
      </c>
      <c r="O147" t="n">
        <v>1</v>
      </c>
      <c r="P147" t="n">
        <v>0</v>
      </c>
      <c r="Q147" t="n">
        <v>1</v>
      </c>
      <c r="R147" s="2" t="inlineStr">
        <is>
          <t>Brun ögontröst</t>
        </is>
      </c>
      <c r="S147">
        <f>HYPERLINK("https://klasma.github.io/Logging_0980/artfynd/A 34809-2024 artfynd.xlsx", "A 34809-2024")</f>
        <v/>
      </c>
      <c r="T147">
        <f>HYPERLINK("https://klasma.github.io/Logging_0980/kartor/A 34809-2024 karta.png", "A 34809-2024")</f>
        <v/>
      </c>
      <c r="V147">
        <f>HYPERLINK("https://klasma.github.io/Logging_0980/klagomål/A 34809-2024 FSC-klagomål.docx", "A 34809-2024")</f>
        <v/>
      </c>
      <c r="W147">
        <f>HYPERLINK("https://klasma.github.io/Logging_0980/klagomålsmail/A 34809-2024 FSC-klagomål mail.docx", "A 34809-2024")</f>
        <v/>
      </c>
      <c r="X147">
        <f>HYPERLINK("https://klasma.github.io/Logging_0980/tillsyn/A 34809-2024 tillsynsbegäran.docx", "A 34809-2024")</f>
        <v/>
      </c>
      <c r="Y147">
        <f>HYPERLINK("https://klasma.github.io/Logging_0980/tillsynsmail/A 34809-2024 tillsynsbegäran mail.docx", "A 34809-2024")</f>
        <v/>
      </c>
    </row>
    <row r="148" ht="15" customHeight="1">
      <c r="A148" t="inlineStr">
        <is>
          <t>A 43219-2023</t>
        </is>
      </c>
      <c r="B148" s="1" t="n">
        <v>45183</v>
      </c>
      <c r="C148" s="1" t="n">
        <v>45895</v>
      </c>
      <c r="D148" t="inlineStr">
        <is>
          <t>GOTLANDS LÄN</t>
        </is>
      </c>
      <c r="E148" t="inlineStr">
        <is>
          <t>GOTLAND</t>
        </is>
      </c>
      <c r="G148" t="n">
        <v>3.6</v>
      </c>
      <c r="H148" t="n">
        <v>1</v>
      </c>
      <c r="I148" t="n">
        <v>0</v>
      </c>
      <c r="J148" t="n">
        <v>0</v>
      </c>
      <c r="K148" t="n">
        <v>0</v>
      </c>
      <c r="L148" t="n">
        <v>0</v>
      </c>
      <c r="M148" t="n">
        <v>0</v>
      </c>
      <c r="N148" t="n">
        <v>0</v>
      </c>
      <c r="O148" t="n">
        <v>0</v>
      </c>
      <c r="P148" t="n">
        <v>0</v>
      </c>
      <c r="Q148" t="n">
        <v>1</v>
      </c>
      <c r="R148" s="2" t="inlineStr">
        <is>
          <t>Skogsduva</t>
        </is>
      </c>
      <c r="S148">
        <f>HYPERLINK("https://klasma.github.io/Logging_0980/artfynd/A 43219-2023 artfynd.xlsx", "A 43219-2023")</f>
        <v/>
      </c>
      <c r="T148">
        <f>HYPERLINK("https://klasma.github.io/Logging_0980/kartor/A 43219-2023 karta.png", "A 43219-2023")</f>
        <v/>
      </c>
      <c r="V148">
        <f>HYPERLINK("https://klasma.github.io/Logging_0980/klagomål/A 43219-2023 FSC-klagomål.docx", "A 43219-2023")</f>
        <v/>
      </c>
      <c r="W148">
        <f>HYPERLINK("https://klasma.github.io/Logging_0980/klagomålsmail/A 43219-2023 FSC-klagomål mail.docx", "A 43219-2023")</f>
        <v/>
      </c>
      <c r="X148">
        <f>HYPERLINK("https://klasma.github.io/Logging_0980/tillsyn/A 43219-2023 tillsynsbegäran.docx", "A 43219-2023")</f>
        <v/>
      </c>
      <c r="Y148">
        <f>HYPERLINK("https://klasma.github.io/Logging_0980/tillsynsmail/A 43219-2023 tillsynsbegäran mail.docx", "A 43219-2023")</f>
        <v/>
      </c>
      <c r="Z148">
        <f>HYPERLINK("https://klasma.github.io/Logging_0980/fåglar/A 43219-2023 prioriterade fågelarter.docx", "A 43219-2023")</f>
        <v/>
      </c>
    </row>
    <row r="149" ht="15" customHeight="1">
      <c r="A149" t="inlineStr">
        <is>
          <t>A 26461-2025</t>
        </is>
      </c>
      <c r="B149" s="1" t="n">
        <v>45807.43337962963</v>
      </c>
      <c r="C149" s="1" t="n">
        <v>45895</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15637-2024</t>
        </is>
      </c>
      <c r="B150" s="1" t="n">
        <v>45403.6684837963</v>
      </c>
      <c r="C150" s="1" t="n">
        <v>45895</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61561-2023</t>
        </is>
      </c>
      <c r="B151" s="1" t="n">
        <v>45265</v>
      </c>
      <c r="C151" s="1" t="n">
        <v>45895</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45895</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2476-2025</t>
        </is>
      </c>
      <c r="B153" s="1" t="n">
        <v>45673</v>
      </c>
      <c r="C153" s="1" t="n">
        <v>45895</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10995-2023</t>
        </is>
      </c>
      <c r="B154" s="1" t="n">
        <v>44986</v>
      </c>
      <c r="C154" s="1" t="n">
        <v>45895</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63299-2020</t>
        </is>
      </c>
      <c r="B155" s="1" t="n">
        <v>44165</v>
      </c>
      <c r="C155" s="1" t="n">
        <v>45895</v>
      </c>
      <c r="D155" t="inlineStr">
        <is>
          <t>GOTLANDS LÄN</t>
        </is>
      </c>
      <c r="E155" t="inlineStr">
        <is>
          <t>GOTLAND</t>
        </is>
      </c>
      <c r="G155" t="n">
        <v>12.9</v>
      </c>
      <c r="H155" t="n">
        <v>1</v>
      </c>
      <c r="I155" t="n">
        <v>0</v>
      </c>
      <c r="J155" t="n">
        <v>1</v>
      </c>
      <c r="K155" t="n">
        <v>0</v>
      </c>
      <c r="L155" t="n">
        <v>0</v>
      </c>
      <c r="M155" t="n">
        <v>0</v>
      </c>
      <c r="N155" t="n">
        <v>0</v>
      </c>
      <c r="O155" t="n">
        <v>1</v>
      </c>
      <c r="P155" t="n">
        <v>0</v>
      </c>
      <c r="Q155" t="n">
        <v>1</v>
      </c>
      <c r="R155" s="2" t="inlineStr">
        <is>
          <t>Svartfläckig blåvinge</t>
        </is>
      </c>
      <c r="S155">
        <f>HYPERLINK("https://klasma.github.io/Logging_0980/artfynd/A 63299-2020 artfynd.xlsx", "A 63299-2020")</f>
        <v/>
      </c>
      <c r="T155">
        <f>HYPERLINK("https://klasma.github.io/Logging_0980/kartor/A 63299-2020 karta.png", "A 63299-2020")</f>
        <v/>
      </c>
      <c r="V155">
        <f>HYPERLINK("https://klasma.github.io/Logging_0980/klagomål/A 63299-2020 FSC-klagomål.docx", "A 63299-2020")</f>
        <v/>
      </c>
      <c r="W155">
        <f>HYPERLINK("https://klasma.github.io/Logging_0980/klagomålsmail/A 63299-2020 FSC-klagomål mail.docx", "A 63299-2020")</f>
        <v/>
      </c>
      <c r="X155">
        <f>HYPERLINK("https://klasma.github.io/Logging_0980/tillsyn/A 63299-2020 tillsynsbegäran.docx", "A 63299-2020")</f>
        <v/>
      </c>
      <c r="Y155">
        <f>HYPERLINK("https://klasma.github.io/Logging_0980/tillsynsmail/A 63299-2020 tillsynsbegäran mail.docx", "A 63299-2020")</f>
        <v/>
      </c>
    </row>
    <row r="156" ht="15" customHeight="1">
      <c r="A156" t="inlineStr">
        <is>
          <t>A 27168-2022</t>
        </is>
      </c>
      <c r="B156" s="1" t="n">
        <v>44741</v>
      </c>
      <c r="C156" s="1" t="n">
        <v>45895</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62552-2022</t>
        </is>
      </c>
      <c r="B157" s="1" t="n">
        <v>44924</v>
      </c>
      <c r="C157" s="1" t="n">
        <v>45895</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44088-2022</t>
        </is>
      </c>
      <c r="B158" s="1" t="n">
        <v>44839</v>
      </c>
      <c r="C158" s="1" t="n">
        <v>45895</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22782-2023</t>
        </is>
      </c>
      <c r="B159" s="1" t="n">
        <v>45072</v>
      </c>
      <c r="C159" s="1" t="n">
        <v>45895</v>
      </c>
      <c r="D159" t="inlineStr">
        <is>
          <t>GOTLANDS LÄN</t>
        </is>
      </c>
      <c r="E159" t="inlineStr">
        <is>
          <t>GOTLAND</t>
        </is>
      </c>
      <c r="F159" t="inlineStr">
        <is>
          <t>Kyrkan</t>
        </is>
      </c>
      <c r="G159" t="n">
        <v>3.1</v>
      </c>
      <c r="H159" t="n">
        <v>1</v>
      </c>
      <c r="I159" t="n">
        <v>0</v>
      </c>
      <c r="J159" t="n">
        <v>0</v>
      </c>
      <c r="K159" t="n">
        <v>0</v>
      </c>
      <c r="L159" t="n">
        <v>0</v>
      </c>
      <c r="M159" t="n">
        <v>0</v>
      </c>
      <c r="N159" t="n">
        <v>0</v>
      </c>
      <c r="O159" t="n">
        <v>0</v>
      </c>
      <c r="P159" t="n">
        <v>0</v>
      </c>
      <c r="Q159" t="n">
        <v>1</v>
      </c>
      <c r="R159" s="2" t="inlineStr">
        <is>
          <t>Ängsnycklar × skogsnycklar</t>
        </is>
      </c>
      <c r="S159">
        <f>HYPERLINK("https://klasma.github.io/Logging_0980/artfynd/A 22782-2023 artfynd.xlsx", "A 22782-2023")</f>
        <v/>
      </c>
      <c r="T159">
        <f>HYPERLINK("https://klasma.github.io/Logging_0980/kartor/A 22782-2023 karta.png", "A 22782-2023")</f>
        <v/>
      </c>
      <c r="V159">
        <f>HYPERLINK("https://klasma.github.io/Logging_0980/klagomål/A 22782-2023 FSC-klagomål.docx", "A 22782-2023")</f>
        <v/>
      </c>
      <c r="W159">
        <f>HYPERLINK("https://klasma.github.io/Logging_0980/klagomålsmail/A 22782-2023 FSC-klagomål mail.docx", "A 22782-2023")</f>
        <v/>
      </c>
      <c r="X159">
        <f>HYPERLINK("https://klasma.github.io/Logging_0980/tillsyn/A 22782-2023 tillsynsbegäran.docx", "A 22782-2023")</f>
        <v/>
      </c>
      <c r="Y159">
        <f>HYPERLINK("https://klasma.github.io/Logging_0980/tillsynsmail/A 22782-2023 tillsynsbegäran mail.docx", "A 22782-2023")</f>
        <v/>
      </c>
    </row>
    <row r="160" ht="15" customHeight="1">
      <c r="A160" t="inlineStr">
        <is>
          <t>A 34141-2024</t>
        </is>
      </c>
      <c r="B160" s="1" t="n">
        <v>45524.36229166666</v>
      </c>
      <c r="C160" s="1" t="n">
        <v>45895</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44308-2021</t>
        </is>
      </c>
      <c r="B161" s="1" t="n">
        <v>44434</v>
      </c>
      <c r="C161" s="1" t="n">
        <v>45895</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9862-2024</t>
        </is>
      </c>
      <c r="B162" s="1" t="n">
        <v>45363</v>
      </c>
      <c r="C162" s="1" t="n">
        <v>45895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447-2023</t>
        </is>
      </c>
      <c r="B163" s="1" t="n">
        <v>44929</v>
      </c>
      <c r="C163" s="1" t="n">
        <v>45895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39812-2025</t>
        </is>
      </c>
      <c r="B164" s="1" t="n">
        <v>45891</v>
      </c>
      <c r="C164" s="1" t="n">
        <v>45895</v>
      </c>
      <c r="D164" t="inlineStr">
        <is>
          <t>GOTLANDS LÄN</t>
        </is>
      </c>
      <c r="E164" t="inlineStr">
        <is>
          <t>GOTLAND</t>
        </is>
      </c>
      <c r="G164" t="n">
        <v>6</v>
      </c>
      <c r="H164" t="n">
        <v>1</v>
      </c>
      <c r="I164" t="n">
        <v>0</v>
      </c>
      <c r="J164" t="n">
        <v>0</v>
      </c>
      <c r="K164" t="n">
        <v>0</v>
      </c>
      <c r="L164" t="n">
        <v>1</v>
      </c>
      <c r="M164" t="n">
        <v>0</v>
      </c>
      <c r="N164" t="n">
        <v>0</v>
      </c>
      <c r="O164" t="n">
        <v>1</v>
      </c>
      <c r="P164" t="n">
        <v>1</v>
      </c>
      <c r="Q164" t="n">
        <v>1</v>
      </c>
      <c r="R164" s="2" t="inlineStr">
        <is>
          <t>Nålkörvel</t>
        </is>
      </c>
      <c r="S164">
        <f>HYPERLINK("https://klasma.github.io/Logging_0980/artfynd/A 39812-2025 artfynd.xlsx", "A 39812-2025")</f>
        <v/>
      </c>
      <c r="T164">
        <f>HYPERLINK("https://klasma.github.io/Logging_0980/kartor/A 39812-2025 karta.png", "A 39812-2025")</f>
        <v/>
      </c>
      <c r="V164">
        <f>HYPERLINK("https://klasma.github.io/Logging_0980/klagomål/A 39812-2025 FSC-klagomål.docx", "A 39812-2025")</f>
        <v/>
      </c>
      <c r="W164">
        <f>HYPERLINK("https://klasma.github.io/Logging_0980/klagomålsmail/A 39812-2025 FSC-klagomål mail.docx", "A 39812-2025")</f>
        <v/>
      </c>
      <c r="X164">
        <f>HYPERLINK("https://klasma.github.io/Logging_0980/tillsyn/A 39812-2025 tillsynsbegäran.docx", "A 39812-2025")</f>
        <v/>
      </c>
      <c r="Y164">
        <f>HYPERLINK("https://klasma.github.io/Logging_0980/tillsynsmail/A 39812-2025 tillsynsbegäran mail.docx", "A 39812-2025")</f>
        <v/>
      </c>
    </row>
    <row r="165" ht="15" customHeight="1">
      <c r="A165" t="inlineStr">
        <is>
          <t>A 947-2023</t>
        </is>
      </c>
      <c r="B165" s="1" t="n">
        <v>44934</v>
      </c>
      <c r="C165" s="1" t="n">
        <v>45895</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45895</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24245-2022</t>
        </is>
      </c>
      <c r="B167" s="1" t="n">
        <v>44725</v>
      </c>
      <c r="C167" s="1" t="n">
        <v>45895</v>
      </c>
      <c r="D167" t="inlineStr">
        <is>
          <t>GOTLANDS LÄN</t>
        </is>
      </c>
      <c r="E167" t="inlineStr">
        <is>
          <t>GOTLAND</t>
        </is>
      </c>
      <c r="G167" t="n">
        <v>4.9</v>
      </c>
      <c r="H167" t="n">
        <v>0</v>
      </c>
      <c r="I167" t="n">
        <v>0</v>
      </c>
      <c r="J167" t="n">
        <v>0</v>
      </c>
      <c r="K167" t="n">
        <v>0</v>
      </c>
      <c r="L167" t="n">
        <v>1</v>
      </c>
      <c r="M167" t="n">
        <v>0</v>
      </c>
      <c r="N167" t="n">
        <v>0</v>
      </c>
      <c r="O167" t="n">
        <v>1</v>
      </c>
      <c r="P167" t="n">
        <v>1</v>
      </c>
      <c r="Q167" t="n">
        <v>1</v>
      </c>
      <c r="R167" s="2" t="inlineStr">
        <is>
          <t>Slät taggsvamp</t>
        </is>
      </c>
      <c r="S167">
        <f>HYPERLINK("https://klasma.github.io/Logging_0980/artfynd/A 24245-2022 artfynd.xlsx", "A 24245-2022")</f>
        <v/>
      </c>
      <c r="T167">
        <f>HYPERLINK("https://klasma.github.io/Logging_0980/kartor/A 24245-2022 karta.png", "A 24245-2022")</f>
        <v/>
      </c>
      <c r="V167">
        <f>HYPERLINK("https://klasma.github.io/Logging_0980/klagomål/A 24245-2022 FSC-klagomål.docx", "A 24245-2022")</f>
        <v/>
      </c>
      <c r="W167">
        <f>HYPERLINK("https://klasma.github.io/Logging_0980/klagomålsmail/A 24245-2022 FSC-klagomål mail.docx", "A 24245-2022")</f>
        <v/>
      </c>
      <c r="X167">
        <f>HYPERLINK("https://klasma.github.io/Logging_0980/tillsyn/A 24245-2022 tillsynsbegäran.docx", "A 24245-2022")</f>
        <v/>
      </c>
      <c r="Y167">
        <f>HYPERLINK("https://klasma.github.io/Logging_0980/tillsynsmail/A 24245-2022 tillsynsbegäran mail.docx", "A 24245-2022")</f>
        <v/>
      </c>
    </row>
    <row r="168" ht="15" customHeight="1">
      <c r="A168" t="inlineStr">
        <is>
          <t>A 2213-2023</t>
        </is>
      </c>
      <c r="B168" s="1" t="n">
        <v>44942</v>
      </c>
      <c r="C168" s="1" t="n">
        <v>45895</v>
      </c>
      <c r="D168" t="inlineStr">
        <is>
          <t>GOTLANDS LÄN</t>
        </is>
      </c>
      <c r="E168" t="inlineStr">
        <is>
          <t>GOTLAND</t>
        </is>
      </c>
      <c r="G168" t="n">
        <v>2.7</v>
      </c>
      <c r="H168" t="n">
        <v>0</v>
      </c>
      <c r="I168" t="n">
        <v>0</v>
      </c>
      <c r="J168" t="n">
        <v>1</v>
      </c>
      <c r="K168" t="n">
        <v>0</v>
      </c>
      <c r="L168" t="n">
        <v>0</v>
      </c>
      <c r="M168" t="n">
        <v>0</v>
      </c>
      <c r="N168" t="n">
        <v>0</v>
      </c>
      <c r="O168" t="n">
        <v>1</v>
      </c>
      <c r="P168" t="n">
        <v>0</v>
      </c>
      <c r="Q168" t="n">
        <v>1</v>
      </c>
      <c r="R168" s="2" t="inlineStr">
        <is>
          <t>Odörspindling</t>
        </is>
      </c>
      <c r="S168">
        <f>HYPERLINK("https://klasma.github.io/Logging_0980/artfynd/A 2213-2023 artfynd.xlsx", "A 2213-2023")</f>
        <v/>
      </c>
      <c r="T168">
        <f>HYPERLINK("https://klasma.github.io/Logging_0980/kartor/A 2213-2023 karta.png", "A 2213-2023")</f>
        <v/>
      </c>
      <c r="V168">
        <f>HYPERLINK("https://klasma.github.io/Logging_0980/klagomål/A 2213-2023 FSC-klagomål.docx", "A 2213-2023")</f>
        <v/>
      </c>
      <c r="W168">
        <f>HYPERLINK("https://klasma.github.io/Logging_0980/klagomålsmail/A 2213-2023 FSC-klagomål mail.docx", "A 2213-2023")</f>
        <v/>
      </c>
      <c r="X168">
        <f>HYPERLINK("https://klasma.github.io/Logging_0980/tillsyn/A 2213-2023 tillsynsbegäran.docx", "A 2213-2023")</f>
        <v/>
      </c>
      <c r="Y168">
        <f>HYPERLINK("https://klasma.github.io/Logging_0980/tillsynsmail/A 2213-2023 tillsynsbegäran mail.docx", "A 2213-2023")</f>
        <v/>
      </c>
    </row>
    <row r="169" ht="15" customHeight="1">
      <c r="A169" t="inlineStr">
        <is>
          <t>A 49847-2023</t>
        </is>
      </c>
      <c r="B169" s="1" t="n">
        <v>45212</v>
      </c>
      <c r="C169" s="1" t="n">
        <v>45895</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46527-2023</t>
        </is>
      </c>
      <c r="B170" s="1" t="n">
        <v>45197</v>
      </c>
      <c r="C170" s="1" t="n">
        <v>45895</v>
      </c>
      <c r="D170" t="inlineStr">
        <is>
          <t>GOTLANDS LÄN</t>
        </is>
      </c>
      <c r="E170" t="inlineStr">
        <is>
          <t>GOTLAND</t>
        </is>
      </c>
      <c r="G170" t="n">
        <v>0.9</v>
      </c>
      <c r="H170" t="n">
        <v>0</v>
      </c>
      <c r="I170" t="n">
        <v>0</v>
      </c>
      <c r="J170" t="n">
        <v>1</v>
      </c>
      <c r="K170" t="n">
        <v>0</v>
      </c>
      <c r="L170" t="n">
        <v>0</v>
      </c>
      <c r="M170" t="n">
        <v>0</v>
      </c>
      <c r="N170" t="n">
        <v>0</v>
      </c>
      <c r="O170" t="n">
        <v>1</v>
      </c>
      <c r="P170" t="n">
        <v>0</v>
      </c>
      <c r="Q170" t="n">
        <v>1</v>
      </c>
      <c r="R170" s="2" t="inlineStr">
        <is>
          <t>Guldgräshoppa</t>
        </is>
      </c>
      <c r="S170">
        <f>HYPERLINK("https://klasma.github.io/Logging_0980/artfynd/A 46527-2023 artfynd.xlsx", "A 46527-2023")</f>
        <v/>
      </c>
      <c r="T170">
        <f>HYPERLINK("https://klasma.github.io/Logging_0980/kartor/A 46527-2023 karta.png", "A 46527-2023")</f>
        <v/>
      </c>
      <c r="V170">
        <f>HYPERLINK("https://klasma.github.io/Logging_0980/klagomål/A 46527-2023 FSC-klagomål.docx", "A 46527-2023")</f>
        <v/>
      </c>
      <c r="W170">
        <f>HYPERLINK("https://klasma.github.io/Logging_0980/klagomålsmail/A 46527-2023 FSC-klagomål mail.docx", "A 46527-2023")</f>
        <v/>
      </c>
      <c r="X170">
        <f>HYPERLINK("https://klasma.github.io/Logging_0980/tillsyn/A 46527-2023 tillsynsbegäran.docx", "A 46527-2023")</f>
        <v/>
      </c>
      <c r="Y170">
        <f>HYPERLINK("https://klasma.github.io/Logging_0980/tillsynsmail/A 46527-2023 tillsynsbegäran mail.docx", "A 46527-2023")</f>
        <v/>
      </c>
    </row>
    <row r="171" ht="15" customHeight="1">
      <c r="A171" t="inlineStr">
        <is>
          <t>A 12324-2025</t>
        </is>
      </c>
      <c r="B171" s="1" t="n">
        <v>45730</v>
      </c>
      <c r="C171" s="1" t="n">
        <v>45895</v>
      </c>
      <c r="D171" t="inlineStr">
        <is>
          <t>GOTLANDS LÄN</t>
        </is>
      </c>
      <c r="E171" t="inlineStr">
        <is>
          <t>GOTLAND</t>
        </is>
      </c>
      <c r="G171" t="n">
        <v>5</v>
      </c>
      <c r="H171" t="n">
        <v>0</v>
      </c>
      <c r="I171" t="n">
        <v>0</v>
      </c>
      <c r="J171" t="n">
        <v>0</v>
      </c>
      <c r="K171" t="n">
        <v>1</v>
      </c>
      <c r="L171" t="n">
        <v>0</v>
      </c>
      <c r="M171" t="n">
        <v>0</v>
      </c>
      <c r="N171" t="n">
        <v>0</v>
      </c>
      <c r="O171" t="n">
        <v>1</v>
      </c>
      <c r="P171" t="n">
        <v>1</v>
      </c>
      <c r="Q171" t="n">
        <v>1</v>
      </c>
      <c r="R171" s="2" t="inlineStr">
        <is>
          <t>Sommarklynne</t>
        </is>
      </c>
      <c r="S171">
        <f>HYPERLINK("https://klasma.github.io/Logging_0980/artfynd/A 12324-2025 artfynd.xlsx", "A 12324-2025")</f>
        <v/>
      </c>
      <c r="T171">
        <f>HYPERLINK("https://klasma.github.io/Logging_0980/kartor/A 12324-2025 karta.png", "A 12324-2025")</f>
        <v/>
      </c>
      <c r="V171">
        <f>HYPERLINK("https://klasma.github.io/Logging_0980/klagomål/A 12324-2025 FSC-klagomål.docx", "A 12324-2025")</f>
        <v/>
      </c>
      <c r="W171">
        <f>HYPERLINK("https://klasma.github.io/Logging_0980/klagomålsmail/A 12324-2025 FSC-klagomål mail.docx", "A 12324-2025")</f>
        <v/>
      </c>
      <c r="X171">
        <f>HYPERLINK("https://klasma.github.io/Logging_0980/tillsyn/A 12324-2025 tillsynsbegäran.docx", "A 12324-2025")</f>
        <v/>
      </c>
      <c r="Y171">
        <f>HYPERLINK("https://klasma.github.io/Logging_0980/tillsynsmail/A 12324-2025 tillsynsbegäran mail.docx", "A 12324-2025")</f>
        <v/>
      </c>
    </row>
    <row r="172" ht="15" customHeight="1">
      <c r="A172" t="inlineStr">
        <is>
          <t>A 19901-2021</t>
        </is>
      </c>
      <c r="B172" s="1" t="n">
        <v>44312</v>
      </c>
      <c r="C172" s="1" t="n">
        <v>45895</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45895</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45895</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45895</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45895</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45895</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45895</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45895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45895</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45895</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45895</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45895</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45895</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45895</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45895</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45895</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45895</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45895</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45895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45895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45895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45895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45895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45895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45895</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3271-2021</t>
        </is>
      </c>
      <c r="B221" s="1" t="n">
        <v>44217</v>
      </c>
      <c r="C221" s="1" t="n">
        <v>45895</v>
      </c>
      <c r="D221" t="inlineStr">
        <is>
          <t>GOTLANDS LÄN</t>
        </is>
      </c>
      <c r="E221" t="inlineStr">
        <is>
          <t>GOTLAND</t>
        </is>
      </c>
      <c r="G221" t="n">
        <v>0.7</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45895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45895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45895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45895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45895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45895</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45895</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22495-2022</t>
        </is>
      </c>
      <c r="B229" s="1" t="n">
        <v>44713.6452199074</v>
      </c>
      <c r="C229" s="1" t="n">
        <v>45895</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45895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45895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45895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45895</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45895</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37037-2021</t>
        </is>
      </c>
      <c r="B235" s="1" t="n">
        <v>44393.84688657407</v>
      </c>
      <c r="C235" s="1" t="n">
        <v>45895</v>
      </c>
      <c r="D235" t="inlineStr">
        <is>
          <t>GOTLANDS LÄN</t>
        </is>
      </c>
      <c r="E235" t="inlineStr">
        <is>
          <t>GOTLAND</t>
        </is>
      </c>
      <c r="G235" t="n">
        <v>10.2</v>
      </c>
      <c r="H235" t="n">
        <v>0</v>
      </c>
      <c r="I235" t="n">
        <v>0</v>
      </c>
      <c r="J235" t="n">
        <v>0</v>
      </c>
      <c r="K235" t="n">
        <v>0</v>
      </c>
      <c r="L235" t="n">
        <v>0</v>
      </c>
      <c r="M235" t="n">
        <v>0</v>
      </c>
      <c r="N235" t="n">
        <v>0</v>
      </c>
      <c r="O235" t="n">
        <v>0</v>
      </c>
      <c r="P235" t="n">
        <v>0</v>
      </c>
      <c r="Q235" t="n">
        <v>0</v>
      </c>
      <c r="R235" s="2" t="inlineStr"/>
    </row>
    <row r="236" ht="15" customHeight="1">
      <c r="A236" t="inlineStr">
        <is>
          <t>A 46545-2024</t>
        </is>
      </c>
      <c r="B236" s="1" t="n">
        <v>45582.65831018519</v>
      </c>
      <c r="C236" s="1" t="n">
        <v>45895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45895</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15595-2024</t>
        </is>
      </c>
      <c r="B238" s="1" t="n">
        <v>45401.81480324074</v>
      </c>
      <c r="C238" s="1" t="n">
        <v>45895</v>
      </c>
      <c r="D238" t="inlineStr">
        <is>
          <t>GOTLANDS LÄN</t>
        </is>
      </c>
      <c r="E238" t="inlineStr">
        <is>
          <t>GOTLAND</t>
        </is>
      </c>
      <c r="G238" t="n">
        <v>6.4</v>
      </c>
      <c r="H238" t="n">
        <v>0</v>
      </c>
      <c r="I238" t="n">
        <v>0</v>
      </c>
      <c r="J238" t="n">
        <v>0</v>
      </c>
      <c r="K238" t="n">
        <v>0</v>
      </c>
      <c r="L238" t="n">
        <v>0</v>
      </c>
      <c r="M238" t="n">
        <v>0</v>
      </c>
      <c r="N238" t="n">
        <v>0</v>
      </c>
      <c r="O238" t="n">
        <v>0</v>
      </c>
      <c r="P238" t="n">
        <v>0</v>
      </c>
      <c r="Q238" t="n">
        <v>0</v>
      </c>
      <c r="R238" s="2" t="inlineStr"/>
    </row>
    <row r="239" ht="15" customHeight="1">
      <c r="A239" t="inlineStr">
        <is>
          <t>A 60086-2022</t>
        </is>
      </c>
      <c r="B239" s="1" t="n">
        <v>44909</v>
      </c>
      <c r="C239" s="1" t="n">
        <v>45895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45895</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28480-2023</t>
        </is>
      </c>
      <c r="B241" s="1" t="n">
        <v>45103</v>
      </c>
      <c r="C241" s="1" t="n">
        <v>45895</v>
      </c>
      <c r="D241" t="inlineStr">
        <is>
          <t>GOTLANDS LÄN</t>
        </is>
      </c>
      <c r="E241" t="inlineStr">
        <is>
          <t>GOTLAND</t>
        </is>
      </c>
      <c r="G241" t="n">
        <v>5.7</v>
      </c>
      <c r="H241" t="n">
        <v>0</v>
      </c>
      <c r="I241" t="n">
        <v>0</v>
      </c>
      <c r="J241" t="n">
        <v>0</v>
      </c>
      <c r="K241" t="n">
        <v>0</v>
      </c>
      <c r="L241" t="n">
        <v>0</v>
      </c>
      <c r="M241" t="n">
        <v>0</v>
      </c>
      <c r="N241" t="n">
        <v>0</v>
      </c>
      <c r="O241" t="n">
        <v>0</v>
      </c>
      <c r="P241" t="n">
        <v>0</v>
      </c>
      <c r="Q241" t="n">
        <v>0</v>
      </c>
      <c r="R241" s="2" t="inlineStr"/>
    </row>
    <row r="242" ht="15" customHeight="1">
      <c r="A242" t="inlineStr">
        <is>
          <t>A 28485-2023</t>
        </is>
      </c>
      <c r="B242" s="1" t="n">
        <v>45103.43731481482</v>
      </c>
      <c r="C242" s="1" t="n">
        <v>45895</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30282-2022</t>
        </is>
      </c>
      <c r="B243" s="1" t="n">
        <v>44760</v>
      </c>
      <c r="C243" s="1" t="n">
        <v>45895</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62915-2021</t>
        </is>
      </c>
      <c r="B244" s="1" t="n">
        <v>44504</v>
      </c>
      <c r="C244" s="1" t="n">
        <v>45895</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45895</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44949-2023</t>
        </is>
      </c>
      <c r="B246" s="1" t="n">
        <v>45190.69520833333</v>
      </c>
      <c r="C246" s="1" t="n">
        <v>45895</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44942-2022</t>
        </is>
      </c>
      <c r="B247" s="1" t="n">
        <v>44841</v>
      </c>
      <c r="C247" s="1" t="n">
        <v>45895</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45895</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8701-2025</t>
        </is>
      </c>
      <c r="B249" s="1" t="n">
        <v>45712</v>
      </c>
      <c r="C249" s="1" t="n">
        <v>45895</v>
      </c>
      <c r="D249" t="inlineStr">
        <is>
          <t>GOTLANDS LÄN</t>
        </is>
      </c>
      <c r="E249" t="inlineStr">
        <is>
          <t>GOTLAND</t>
        </is>
      </c>
      <c r="G249" t="n">
        <v>7</v>
      </c>
      <c r="H249" t="n">
        <v>0</v>
      </c>
      <c r="I249" t="n">
        <v>0</v>
      </c>
      <c r="J249" t="n">
        <v>0</v>
      </c>
      <c r="K249" t="n">
        <v>0</v>
      </c>
      <c r="L249" t="n">
        <v>0</v>
      </c>
      <c r="M249" t="n">
        <v>0</v>
      </c>
      <c r="N249" t="n">
        <v>0</v>
      </c>
      <c r="O249" t="n">
        <v>0</v>
      </c>
      <c r="P249" t="n">
        <v>0</v>
      </c>
      <c r="Q249" t="n">
        <v>0</v>
      </c>
      <c r="R249" s="2" t="inlineStr"/>
    </row>
    <row r="250" ht="15" customHeight="1">
      <c r="A250" t="inlineStr">
        <is>
          <t>A 53935-2024</t>
        </is>
      </c>
      <c r="B250" s="1" t="n">
        <v>45615</v>
      </c>
      <c r="C250" s="1" t="n">
        <v>45895</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37591-2023</t>
        </is>
      </c>
      <c r="B251" s="1" t="n">
        <v>45159</v>
      </c>
      <c r="C251" s="1" t="n">
        <v>45895</v>
      </c>
      <c r="D251" t="inlineStr">
        <is>
          <t>GOTLANDS LÄN</t>
        </is>
      </c>
      <c r="E251" t="inlineStr">
        <is>
          <t>GOTLAND</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18223-2025</t>
        </is>
      </c>
      <c r="B252" s="1" t="n">
        <v>45761</v>
      </c>
      <c r="C252" s="1" t="n">
        <v>45895</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4420-2025</t>
        </is>
      </c>
      <c r="B253" s="1" t="n">
        <v>45686.47157407407</v>
      </c>
      <c r="C253" s="1" t="n">
        <v>45895</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45895</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24966-2023</t>
        </is>
      </c>
      <c r="B255" s="1" t="n">
        <v>45085</v>
      </c>
      <c r="C255" s="1" t="n">
        <v>45895</v>
      </c>
      <c r="D255" t="inlineStr">
        <is>
          <t>GOTLANDS LÄN</t>
        </is>
      </c>
      <c r="E255" t="inlineStr">
        <is>
          <t>GOTLAND</t>
        </is>
      </c>
      <c r="G255" t="n">
        <v>7</v>
      </c>
      <c r="H255" t="n">
        <v>0</v>
      </c>
      <c r="I255" t="n">
        <v>0</v>
      </c>
      <c r="J255" t="n">
        <v>0</v>
      </c>
      <c r="K255" t="n">
        <v>0</v>
      </c>
      <c r="L255" t="n">
        <v>0</v>
      </c>
      <c r="M255" t="n">
        <v>0</v>
      </c>
      <c r="N255" t="n">
        <v>0</v>
      </c>
      <c r="O255" t="n">
        <v>0</v>
      </c>
      <c r="P255" t="n">
        <v>0</v>
      </c>
      <c r="Q255" t="n">
        <v>0</v>
      </c>
      <c r="R255" s="2" t="inlineStr"/>
    </row>
    <row r="256" ht="15" customHeight="1">
      <c r="A256" t="inlineStr">
        <is>
          <t>A 46189-2022</t>
        </is>
      </c>
      <c r="B256" s="1" t="n">
        <v>44847</v>
      </c>
      <c r="C256" s="1" t="n">
        <v>45895</v>
      </c>
      <c r="D256" t="inlineStr">
        <is>
          <t>GOTLANDS LÄN</t>
        </is>
      </c>
      <c r="E256" t="inlineStr">
        <is>
          <t>GOTLAND</t>
        </is>
      </c>
      <c r="G256" t="n">
        <v>0.4</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45895</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3964-2024</t>
        </is>
      </c>
      <c r="B258" s="1" t="n">
        <v>45322</v>
      </c>
      <c r="C258" s="1" t="n">
        <v>45895</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45084-2024</t>
        </is>
      </c>
      <c r="B259" s="1" t="n">
        <v>45575</v>
      </c>
      <c r="C259" s="1" t="n">
        <v>45895</v>
      </c>
      <c r="D259" t="inlineStr">
        <is>
          <t>GOTLANDS LÄN</t>
        </is>
      </c>
      <c r="E259" t="inlineStr">
        <is>
          <t>GOTLAND</t>
        </is>
      </c>
      <c r="G259" t="n">
        <v>6.8</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45895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13627-2023</t>
        </is>
      </c>
      <c r="B261" s="1" t="n">
        <v>45006</v>
      </c>
      <c r="C261" s="1" t="n">
        <v>45895</v>
      </c>
      <c r="D261" t="inlineStr">
        <is>
          <t>GOTLANDS LÄN</t>
        </is>
      </c>
      <c r="E261" t="inlineStr">
        <is>
          <t>GOTLAND</t>
        </is>
      </c>
      <c r="G261" t="n">
        <v>10.7</v>
      </c>
      <c r="H261" t="n">
        <v>0</v>
      </c>
      <c r="I261" t="n">
        <v>0</v>
      </c>
      <c r="J261" t="n">
        <v>0</v>
      </c>
      <c r="K261" t="n">
        <v>0</v>
      </c>
      <c r="L261" t="n">
        <v>0</v>
      </c>
      <c r="M261" t="n">
        <v>0</v>
      </c>
      <c r="N261" t="n">
        <v>0</v>
      </c>
      <c r="O261" t="n">
        <v>0</v>
      </c>
      <c r="P261" t="n">
        <v>0</v>
      </c>
      <c r="Q261" t="n">
        <v>0</v>
      </c>
      <c r="R261" s="2" t="inlineStr"/>
    </row>
    <row r="262" ht="15" customHeight="1">
      <c r="A262" t="inlineStr">
        <is>
          <t>A 22031-2024</t>
        </is>
      </c>
      <c r="B262" s="1" t="n">
        <v>45443.60075231481</v>
      </c>
      <c r="C262" s="1" t="n">
        <v>45895</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44204-2022</t>
        </is>
      </c>
      <c r="B263" s="1" t="n">
        <v>44839</v>
      </c>
      <c r="C263" s="1" t="n">
        <v>45895</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49314-2024</t>
        </is>
      </c>
      <c r="B264" s="1" t="n">
        <v>45595.55893518519</v>
      </c>
      <c r="C264" s="1" t="n">
        <v>45895</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45895</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20812-2025</t>
        </is>
      </c>
      <c r="B266" s="1" t="n">
        <v>45776</v>
      </c>
      <c r="C266" s="1" t="n">
        <v>45895</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20805-2025</t>
        </is>
      </c>
      <c r="B267" s="1" t="n">
        <v>45776</v>
      </c>
      <c r="C267" s="1" t="n">
        <v>45895</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44919-2022</t>
        </is>
      </c>
      <c r="B268" s="1" t="n">
        <v>44841</v>
      </c>
      <c r="C268" s="1" t="n">
        <v>45895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14915-2025</t>
        </is>
      </c>
      <c r="B269" s="1" t="n">
        <v>45743.53121527778</v>
      </c>
      <c r="C269" s="1" t="n">
        <v>45895</v>
      </c>
      <c r="D269" t="inlineStr">
        <is>
          <t>GOTLANDS LÄN</t>
        </is>
      </c>
      <c r="E269" t="inlineStr">
        <is>
          <t>GOTLAND</t>
        </is>
      </c>
      <c r="G269" t="n">
        <v>5.9</v>
      </c>
      <c r="H269" t="n">
        <v>0</v>
      </c>
      <c r="I269" t="n">
        <v>0</v>
      </c>
      <c r="J269" t="n">
        <v>0</v>
      </c>
      <c r="K269" t="n">
        <v>0</v>
      </c>
      <c r="L269" t="n">
        <v>0</v>
      </c>
      <c r="M269" t="n">
        <v>0</v>
      </c>
      <c r="N269" t="n">
        <v>0</v>
      </c>
      <c r="O269" t="n">
        <v>0</v>
      </c>
      <c r="P269" t="n">
        <v>0</v>
      </c>
      <c r="Q269" t="n">
        <v>0</v>
      </c>
      <c r="R269" s="2" t="inlineStr"/>
    </row>
    <row r="270" ht="15" customHeight="1">
      <c r="A270" t="inlineStr">
        <is>
          <t>A 5217-2023</t>
        </is>
      </c>
      <c r="B270" s="1" t="n">
        <v>44959.39582175926</v>
      </c>
      <c r="C270" s="1" t="n">
        <v>45895</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43790-2024</t>
        </is>
      </c>
      <c r="B271" s="1" t="n">
        <v>45571</v>
      </c>
      <c r="C271" s="1" t="n">
        <v>45895</v>
      </c>
      <c r="D271" t="inlineStr">
        <is>
          <t>GOTLANDS LÄN</t>
        </is>
      </c>
      <c r="E271" t="inlineStr">
        <is>
          <t>GOTLAND</t>
        </is>
      </c>
      <c r="G271" t="n">
        <v>3.5</v>
      </c>
      <c r="H271" t="n">
        <v>0</v>
      </c>
      <c r="I271" t="n">
        <v>0</v>
      </c>
      <c r="J271" t="n">
        <v>0</v>
      </c>
      <c r="K271" t="n">
        <v>0</v>
      </c>
      <c r="L271" t="n">
        <v>0</v>
      </c>
      <c r="M271" t="n">
        <v>0</v>
      </c>
      <c r="N271" t="n">
        <v>0</v>
      </c>
      <c r="O271" t="n">
        <v>0</v>
      </c>
      <c r="P271" t="n">
        <v>0</v>
      </c>
      <c r="Q271" t="n">
        <v>0</v>
      </c>
      <c r="R271" s="2" t="inlineStr"/>
    </row>
    <row r="272" ht="15" customHeight="1">
      <c r="A272" t="inlineStr">
        <is>
          <t>A 1477-2024</t>
        </is>
      </c>
      <c r="B272" s="1" t="n">
        <v>45305.37987268518</v>
      </c>
      <c r="C272" s="1" t="n">
        <v>45895</v>
      </c>
      <c r="D272" t="inlineStr">
        <is>
          <t>GOTLANDS LÄN</t>
        </is>
      </c>
      <c r="E272" t="inlineStr">
        <is>
          <t>GOTLAND</t>
        </is>
      </c>
      <c r="G272" t="n">
        <v>6.9</v>
      </c>
      <c r="H272" t="n">
        <v>0</v>
      </c>
      <c r="I272" t="n">
        <v>0</v>
      </c>
      <c r="J272" t="n">
        <v>0</v>
      </c>
      <c r="K272" t="n">
        <v>0</v>
      </c>
      <c r="L272" t="n">
        <v>0</v>
      </c>
      <c r="M272" t="n">
        <v>0</v>
      </c>
      <c r="N272" t="n">
        <v>0</v>
      </c>
      <c r="O272" t="n">
        <v>0</v>
      </c>
      <c r="P272" t="n">
        <v>0</v>
      </c>
      <c r="Q272" t="n">
        <v>0</v>
      </c>
      <c r="R272" s="2" t="inlineStr"/>
    </row>
    <row r="273" ht="15" customHeight="1">
      <c r="A273" t="inlineStr">
        <is>
          <t>A 1677-2023</t>
        </is>
      </c>
      <c r="B273" s="1" t="n">
        <v>44938</v>
      </c>
      <c r="C273" s="1" t="n">
        <v>45895</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21389-2025</t>
        </is>
      </c>
      <c r="B274" s="1" t="n">
        <v>45782</v>
      </c>
      <c r="C274" s="1" t="n">
        <v>45895</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45895</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45244-2024</t>
        </is>
      </c>
      <c r="B276" s="1" t="n">
        <v>45576</v>
      </c>
      <c r="C276" s="1" t="n">
        <v>45895</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65901-2021</t>
        </is>
      </c>
      <c r="B277" s="1" t="n">
        <v>44516</v>
      </c>
      <c r="C277" s="1" t="n">
        <v>45895</v>
      </c>
      <c r="D277" t="inlineStr">
        <is>
          <t>GOTLANDS LÄN</t>
        </is>
      </c>
      <c r="E277" t="inlineStr">
        <is>
          <t>GOTLAND</t>
        </is>
      </c>
      <c r="G277" t="n">
        <v>4.9</v>
      </c>
      <c r="H277" t="n">
        <v>0</v>
      </c>
      <c r="I277" t="n">
        <v>0</v>
      </c>
      <c r="J277" t="n">
        <v>0</v>
      </c>
      <c r="K277" t="n">
        <v>0</v>
      </c>
      <c r="L277" t="n">
        <v>0</v>
      </c>
      <c r="M277" t="n">
        <v>0</v>
      </c>
      <c r="N277" t="n">
        <v>0</v>
      </c>
      <c r="O277" t="n">
        <v>0</v>
      </c>
      <c r="P277" t="n">
        <v>0</v>
      </c>
      <c r="Q277" t="n">
        <v>0</v>
      </c>
      <c r="R277" s="2" t="inlineStr"/>
    </row>
    <row r="278" ht="15" customHeight="1">
      <c r="A278" t="inlineStr">
        <is>
          <t>A 21142-2025</t>
        </is>
      </c>
      <c r="B278" s="1" t="n">
        <v>45779</v>
      </c>
      <c r="C278" s="1" t="n">
        <v>45895</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21651-2025</t>
        </is>
      </c>
      <c r="B279" s="1" t="n">
        <v>45783</v>
      </c>
      <c r="C279" s="1" t="n">
        <v>45895</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8260-2023</t>
        </is>
      </c>
      <c r="B280" s="1" t="n">
        <v>44974.61608796296</v>
      </c>
      <c r="C280" s="1" t="n">
        <v>45895</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44649-2021</t>
        </is>
      </c>
      <c r="B281" s="1" t="n">
        <v>44437</v>
      </c>
      <c r="C281" s="1" t="n">
        <v>45895</v>
      </c>
      <c r="D281" t="inlineStr">
        <is>
          <t>GOTLANDS LÄN</t>
        </is>
      </c>
      <c r="E281" t="inlineStr">
        <is>
          <t>GOTLAND</t>
        </is>
      </c>
      <c r="G281" t="n">
        <v>8.1</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45895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45895</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45895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9947-2024</t>
        </is>
      </c>
      <c r="B285" s="1" t="n">
        <v>45363</v>
      </c>
      <c r="C285" s="1" t="n">
        <v>45895</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44304-2021</t>
        </is>
      </c>
      <c r="B286" s="1" t="n">
        <v>44434</v>
      </c>
      <c r="C286" s="1" t="n">
        <v>45895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2241-2025</t>
        </is>
      </c>
      <c r="B287" s="1" t="n">
        <v>45673.48710648148</v>
      </c>
      <c r="C287" s="1" t="n">
        <v>45895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45895</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57522-2022</t>
        </is>
      </c>
      <c r="B289" s="1" t="n">
        <v>44896</v>
      </c>
      <c r="C289" s="1" t="n">
        <v>45895</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45895</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27593-2023</t>
        </is>
      </c>
      <c r="B291" s="1" t="n">
        <v>45097</v>
      </c>
      <c r="C291" s="1" t="n">
        <v>45895</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15434-2024</t>
        </is>
      </c>
      <c r="B292" s="1" t="n">
        <v>45401.38836805556</v>
      </c>
      <c r="C292" s="1" t="n">
        <v>45895</v>
      </c>
      <c r="D292" t="inlineStr">
        <is>
          <t>GOTLANDS LÄN</t>
        </is>
      </c>
      <c r="E292" t="inlineStr">
        <is>
          <t>GOTLAND</t>
        </is>
      </c>
      <c r="G292" t="n">
        <v>2.5</v>
      </c>
      <c r="H292" t="n">
        <v>0</v>
      </c>
      <c r="I292" t="n">
        <v>0</v>
      </c>
      <c r="J292" t="n">
        <v>0</v>
      </c>
      <c r="K292" t="n">
        <v>0</v>
      </c>
      <c r="L292" t="n">
        <v>0</v>
      </c>
      <c r="M292" t="n">
        <v>0</v>
      </c>
      <c r="N292" t="n">
        <v>0</v>
      </c>
      <c r="O292" t="n">
        <v>0</v>
      </c>
      <c r="P292" t="n">
        <v>0</v>
      </c>
      <c r="Q292" t="n">
        <v>0</v>
      </c>
      <c r="R292" s="2" t="inlineStr"/>
    </row>
    <row r="293" ht="15" customHeight="1">
      <c r="A293" t="inlineStr">
        <is>
          <t>A 5943-2024</t>
        </is>
      </c>
      <c r="B293" s="1" t="n">
        <v>45336</v>
      </c>
      <c r="C293" s="1" t="n">
        <v>45895</v>
      </c>
      <c r="D293" t="inlineStr">
        <is>
          <t>GOTLANDS LÄN</t>
        </is>
      </c>
      <c r="E293" t="inlineStr">
        <is>
          <t>GOTLAND</t>
        </is>
      </c>
      <c r="G293" t="n">
        <v>4.3</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45895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45895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45895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63516-2023</t>
        </is>
      </c>
      <c r="B297" s="1" t="n">
        <v>45274</v>
      </c>
      <c r="C297" s="1" t="n">
        <v>45895</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34142-2024</t>
        </is>
      </c>
      <c r="B298" s="1" t="n">
        <v>45524.36521990741</v>
      </c>
      <c r="C298" s="1" t="n">
        <v>45895</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14427-2024</t>
        </is>
      </c>
      <c r="B299" s="1" t="n">
        <v>45394</v>
      </c>
      <c r="C299" s="1" t="n">
        <v>45895</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57356-2023</t>
        </is>
      </c>
      <c r="B300" s="1" t="n">
        <v>45240</v>
      </c>
      <c r="C300" s="1" t="n">
        <v>45895</v>
      </c>
      <c r="D300" t="inlineStr">
        <is>
          <t>GOTLANDS LÄN</t>
        </is>
      </c>
      <c r="E300" t="inlineStr">
        <is>
          <t>GOTLAND</t>
        </is>
      </c>
      <c r="G300" t="n">
        <v>6.4</v>
      </c>
      <c r="H300" t="n">
        <v>0</v>
      </c>
      <c r="I300" t="n">
        <v>0</v>
      </c>
      <c r="J300" t="n">
        <v>0</v>
      </c>
      <c r="K300" t="n">
        <v>0</v>
      </c>
      <c r="L300" t="n">
        <v>0</v>
      </c>
      <c r="M300" t="n">
        <v>0</v>
      </c>
      <c r="N300" t="n">
        <v>0</v>
      </c>
      <c r="O300" t="n">
        <v>0</v>
      </c>
      <c r="P300" t="n">
        <v>0</v>
      </c>
      <c r="Q300" t="n">
        <v>0</v>
      </c>
      <c r="R300" s="2" t="inlineStr"/>
    </row>
    <row r="301" ht="15" customHeight="1">
      <c r="A301" t="inlineStr">
        <is>
          <t>A 10656-2024</t>
        </is>
      </c>
      <c r="B301" s="1" t="n">
        <v>45368</v>
      </c>
      <c r="C301" s="1" t="n">
        <v>45895</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31802-2024</t>
        </is>
      </c>
      <c r="B302" s="1" t="n">
        <v>45509</v>
      </c>
      <c r="C302" s="1" t="n">
        <v>45895</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8684-2025</t>
        </is>
      </c>
      <c r="B303" s="1" t="n">
        <v>45712.45605324074</v>
      </c>
      <c r="C303" s="1" t="n">
        <v>45895</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45895</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45895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8036-2022</t>
        </is>
      </c>
      <c r="B306" s="1" t="n">
        <v>44609.44362268518</v>
      </c>
      <c r="C306" s="1" t="n">
        <v>45895</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12846-2025</t>
        </is>
      </c>
      <c r="B307" s="1" t="n">
        <v>45733.65049768519</v>
      </c>
      <c r="C307" s="1" t="n">
        <v>45895</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24001-2021</t>
        </is>
      </c>
      <c r="B308" s="1" t="n">
        <v>44335</v>
      </c>
      <c r="C308" s="1" t="n">
        <v>45895</v>
      </c>
      <c r="D308" t="inlineStr">
        <is>
          <t>GOTLANDS LÄN</t>
        </is>
      </c>
      <c r="E308" t="inlineStr">
        <is>
          <t>GOTLAND</t>
        </is>
      </c>
      <c r="G308" t="n">
        <v>3.4</v>
      </c>
      <c r="H308" t="n">
        <v>0</v>
      </c>
      <c r="I308" t="n">
        <v>0</v>
      </c>
      <c r="J308" t="n">
        <v>0</v>
      </c>
      <c r="K308" t="n">
        <v>0</v>
      </c>
      <c r="L308" t="n">
        <v>0</v>
      </c>
      <c r="M308" t="n">
        <v>0</v>
      </c>
      <c r="N308" t="n">
        <v>0</v>
      </c>
      <c r="O308" t="n">
        <v>0</v>
      </c>
      <c r="P308" t="n">
        <v>0</v>
      </c>
      <c r="Q308" t="n">
        <v>0</v>
      </c>
      <c r="R308" s="2" t="inlineStr"/>
    </row>
    <row r="309" ht="15" customHeight="1">
      <c r="A309" t="inlineStr">
        <is>
          <t>A 23188-2025</t>
        </is>
      </c>
      <c r="B309" s="1" t="n">
        <v>45791</v>
      </c>
      <c r="C309" s="1" t="n">
        <v>45895</v>
      </c>
      <c r="D309" t="inlineStr">
        <is>
          <t>GOTLANDS LÄN</t>
        </is>
      </c>
      <c r="E309" t="inlineStr">
        <is>
          <t>GOTLAND</t>
        </is>
      </c>
      <c r="G309" t="n">
        <v>6.2</v>
      </c>
      <c r="H309" t="n">
        <v>0</v>
      </c>
      <c r="I309" t="n">
        <v>0</v>
      </c>
      <c r="J309" t="n">
        <v>0</v>
      </c>
      <c r="K309" t="n">
        <v>0</v>
      </c>
      <c r="L309" t="n">
        <v>0</v>
      </c>
      <c r="M309" t="n">
        <v>0</v>
      </c>
      <c r="N309" t="n">
        <v>0</v>
      </c>
      <c r="O309" t="n">
        <v>0</v>
      </c>
      <c r="P309" t="n">
        <v>0</v>
      </c>
      <c r="Q309" t="n">
        <v>0</v>
      </c>
      <c r="R309" s="2" t="inlineStr"/>
    </row>
    <row r="310" ht="15" customHeight="1">
      <c r="A310" t="inlineStr">
        <is>
          <t>A 46949-2024</t>
        </is>
      </c>
      <c r="B310" s="1" t="n">
        <v>45585</v>
      </c>
      <c r="C310" s="1" t="n">
        <v>45895</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30365-2024</t>
        </is>
      </c>
      <c r="B311" s="1" t="n">
        <v>45491.3716087963</v>
      </c>
      <c r="C311" s="1" t="n">
        <v>45895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1681-2023</t>
        </is>
      </c>
      <c r="B312" s="1" t="n">
        <v>44938.39715277778</v>
      </c>
      <c r="C312" s="1" t="n">
        <v>45895</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45895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23473-2025</t>
        </is>
      </c>
      <c r="B314" s="1" t="n">
        <v>45792</v>
      </c>
      <c r="C314" s="1" t="n">
        <v>45895</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6099-2024</t>
        </is>
      </c>
      <c r="B315" s="1" t="n">
        <v>45337</v>
      </c>
      <c r="C315" s="1" t="n">
        <v>45895</v>
      </c>
      <c r="D315" t="inlineStr">
        <is>
          <t>GOTLANDS LÄN</t>
        </is>
      </c>
      <c r="E315" t="inlineStr">
        <is>
          <t>GOTLAND</t>
        </is>
      </c>
      <c r="G315" t="n">
        <v>12.6</v>
      </c>
      <c r="H315" t="n">
        <v>0</v>
      </c>
      <c r="I315" t="n">
        <v>0</v>
      </c>
      <c r="J315" t="n">
        <v>0</v>
      </c>
      <c r="K315" t="n">
        <v>0</v>
      </c>
      <c r="L315" t="n">
        <v>0</v>
      </c>
      <c r="M315" t="n">
        <v>0</v>
      </c>
      <c r="N315" t="n">
        <v>0</v>
      </c>
      <c r="O315" t="n">
        <v>0</v>
      </c>
      <c r="P315" t="n">
        <v>0</v>
      </c>
      <c r="Q315" t="n">
        <v>0</v>
      </c>
      <c r="R315" s="2" t="inlineStr"/>
    </row>
    <row r="316" ht="15" customHeight="1">
      <c r="A316" t="inlineStr">
        <is>
          <t>A 1273-2023</t>
        </is>
      </c>
      <c r="B316" s="1" t="n">
        <v>44936</v>
      </c>
      <c r="C316" s="1" t="n">
        <v>45895</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45895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23700-2025</t>
        </is>
      </c>
      <c r="B318" s="1" t="n">
        <v>45793</v>
      </c>
      <c r="C318" s="1" t="n">
        <v>45895</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58780-2024</t>
        </is>
      </c>
      <c r="B319" s="1" t="n">
        <v>45635.84113425926</v>
      </c>
      <c r="C319" s="1" t="n">
        <v>45895</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15073-2025</t>
        </is>
      </c>
      <c r="B320" s="1" t="n">
        <v>45743</v>
      </c>
      <c r="C320" s="1" t="n">
        <v>45895</v>
      </c>
      <c r="D320" t="inlineStr">
        <is>
          <t>GOTLANDS LÄN</t>
        </is>
      </c>
      <c r="E320" t="inlineStr">
        <is>
          <t>GOTLAND</t>
        </is>
      </c>
      <c r="G320" t="n">
        <v>12.1</v>
      </c>
      <c r="H320" t="n">
        <v>0</v>
      </c>
      <c r="I320" t="n">
        <v>0</v>
      </c>
      <c r="J320" t="n">
        <v>0</v>
      </c>
      <c r="K320" t="n">
        <v>0</v>
      </c>
      <c r="L320" t="n">
        <v>0</v>
      </c>
      <c r="M320" t="n">
        <v>0</v>
      </c>
      <c r="N320" t="n">
        <v>0</v>
      </c>
      <c r="O320" t="n">
        <v>0</v>
      </c>
      <c r="P320" t="n">
        <v>0</v>
      </c>
      <c r="Q320" t="n">
        <v>0</v>
      </c>
      <c r="R320" s="2" t="inlineStr"/>
    </row>
    <row r="321" ht="15" customHeight="1">
      <c r="A321" t="inlineStr">
        <is>
          <t>A 45692-2023</t>
        </is>
      </c>
      <c r="B321" s="1" t="n">
        <v>45195</v>
      </c>
      <c r="C321" s="1" t="n">
        <v>45895</v>
      </c>
      <c r="D321" t="inlineStr">
        <is>
          <t>GOTLANDS LÄN</t>
        </is>
      </c>
      <c r="E321" t="inlineStr">
        <is>
          <t>GOTLAND</t>
        </is>
      </c>
      <c r="G321" t="n">
        <v>5.3</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45895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46778-2020</t>
        </is>
      </c>
      <c r="B323" s="1" t="n">
        <v>44096</v>
      </c>
      <c r="C323" s="1" t="n">
        <v>45895</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11634-2024</t>
        </is>
      </c>
      <c r="B324" s="1" t="n">
        <v>45373</v>
      </c>
      <c r="C324" s="1" t="n">
        <v>45895</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1351-2025</t>
        </is>
      </c>
      <c r="B325" s="1" t="n">
        <v>45667.62246527777</v>
      </c>
      <c r="C325" s="1" t="n">
        <v>45895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6749-2025</t>
        </is>
      </c>
      <c r="B326" s="1" t="n">
        <v>45700</v>
      </c>
      <c r="C326" s="1" t="n">
        <v>45895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39496-2022</t>
        </is>
      </c>
      <c r="B327" s="1" t="n">
        <v>44818</v>
      </c>
      <c r="C327" s="1" t="n">
        <v>45895</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28285-2024</t>
        </is>
      </c>
      <c r="B328" s="1" t="n">
        <v>45477</v>
      </c>
      <c r="C328" s="1" t="n">
        <v>45895</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61100-2022</t>
        </is>
      </c>
      <c r="B329" s="1" t="n">
        <v>44915</v>
      </c>
      <c r="C329" s="1" t="n">
        <v>45895</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49874-2024</t>
        </is>
      </c>
      <c r="B330" s="1" t="n">
        <v>45597.49274305555</v>
      </c>
      <c r="C330" s="1" t="n">
        <v>45895</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3930-2025</t>
        </is>
      </c>
      <c r="B331" s="1" t="n">
        <v>45684.45427083333</v>
      </c>
      <c r="C331" s="1" t="n">
        <v>45895</v>
      </c>
      <c r="D331" t="inlineStr">
        <is>
          <t>GOTLANDS LÄN</t>
        </is>
      </c>
      <c r="E331" t="inlineStr">
        <is>
          <t>GOTLAND</t>
        </is>
      </c>
      <c r="G331" t="n">
        <v>5.2</v>
      </c>
      <c r="H331" t="n">
        <v>0</v>
      </c>
      <c r="I331" t="n">
        <v>0</v>
      </c>
      <c r="J331" t="n">
        <v>0</v>
      </c>
      <c r="K331" t="n">
        <v>0</v>
      </c>
      <c r="L331" t="n">
        <v>0</v>
      </c>
      <c r="M331" t="n">
        <v>0</v>
      </c>
      <c r="N331" t="n">
        <v>0</v>
      </c>
      <c r="O331" t="n">
        <v>0</v>
      </c>
      <c r="P331" t="n">
        <v>0</v>
      </c>
      <c r="Q331" t="n">
        <v>0</v>
      </c>
      <c r="R331" s="2" t="inlineStr"/>
    </row>
    <row r="332" ht="15" customHeight="1">
      <c r="A332" t="inlineStr">
        <is>
          <t>A 15075-2025</t>
        </is>
      </c>
      <c r="B332" s="1" t="n">
        <v>45743</v>
      </c>
      <c r="C332" s="1" t="n">
        <v>45895</v>
      </c>
      <c r="D332" t="inlineStr">
        <is>
          <t>GOTLANDS LÄN</t>
        </is>
      </c>
      <c r="E332" t="inlineStr">
        <is>
          <t>GOTLAND</t>
        </is>
      </c>
      <c r="G332" t="n">
        <v>20.9</v>
      </c>
      <c r="H332" t="n">
        <v>0</v>
      </c>
      <c r="I332" t="n">
        <v>0</v>
      </c>
      <c r="J332" t="n">
        <v>0</v>
      </c>
      <c r="K332" t="n">
        <v>0</v>
      </c>
      <c r="L332" t="n">
        <v>0</v>
      </c>
      <c r="M332" t="n">
        <v>0</v>
      </c>
      <c r="N332" t="n">
        <v>0</v>
      </c>
      <c r="O332" t="n">
        <v>0</v>
      </c>
      <c r="P332" t="n">
        <v>0</v>
      </c>
      <c r="Q332" t="n">
        <v>0</v>
      </c>
      <c r="R332" s="2" t="inlineStr"/>
    </row>
    <row r="333" ht="15" customHeight="1">
      <c r="A333" t="inlineStr">
        <is>
          <t>A 61682-2024</t>
        </is>
      </c>
      <c r="B333" s="1" t="n">
        <v>45647.48824074074</v>
      </c>
      <c r="C333" s="1" t="n">
        <v>45895</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23698-2025</t>
        </is>
      </c>
      <c r="B334" s="1" t="n">
        <v>45793</v>
      </c>
      <c r="C334" s="1" t="n">
        <v>45895</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42201-2023</t>
        </is>
      </c>
      <c r="B335" s="1" t="n">
        <v>45179</v>
      </c>
      <c r="C335" s="1" t="n">
        <v>45895</v>
      </c>
      <c r="D335" t="inlineStr">
        <is>
          <t>GOTLANDS LÄN</t>
        </is>
      </c>
      <c r="E335" t="inlineStr">
        <is>
          <t>GOTLAND</t>
        </is>
      </c>
      <c r="G335" t="n">
        <v>11.9</v>
      </c>
      <c r="H335" t="n">
        <v>0</v>
      </c>
      <c r="I335" t="n">
        <v>0</v>
      </c>
      <c r="J335" t="n">
        <v>0</v>
      </c>
      <c r="K335" t="n">
        <v>0</v>
      </c>
      <c r="L335" t="n">
        <v>0</v>
      </c>
      <c r="M335" t="n">
        <v>0</v>
      </c>
      <c r="N335" t="n">
        <v>0</v>
      </c>
      <c r="O335" t="n">
        <v>0</v>
      </c>
      <c r="P335" t="n">
        <v>0</v>
      </c>
      <c r="Q335" t="n">
        <v>0</v>
      </c>
      <c r="R335" s="2" t="inlineStr"/>
    </row>
    <row r="336" ht="15" customHeight="1">
      <c r="A336" t="inlineStr">
        <is>
          <t>A 43785-2024</t>
        </is>
      </c>
      <c r="B336" s="1" t="n">
        <v>45570</v>
      </c>
      <c r="C336" s="1" t="n">
        <v>45895</v>
      </c>
      <c r="D336" t="inlineStr">
        <is>
          <t>GOTLANDS LÄN</t>
        </is>
      </c>
      <c r="E336" t="inlineStr">
        <is>
          <t>GOTLAND</t>
        </is>
      </c>
      <c r="G336" t="n">
        <v>12.6</v>
      </c>
      <c r="H336" t="n">
        <v>0</v>
      </c>
      <c r="I336" t="n">
        <v>0</v>
      </c>
      <c r="J336" t="n">
        <v>0</v>
      </c>
      <c r="K336" t="n">
        <v>0</v>
      </c>
      <c r="L336" t="n">
        <v>0</v>
      </c>
      <c r="M336" t="n">
        <v>0</v>
      </c>
      <c r="N336" t="n">
        <v>0</v>
      </c>
      <c r="O336" t="n">
        <v>0</v>
      </c>
      <c r="P336" t="n">
        <v>0</v>
      </c>
      <c r="Q336" t="n">
        <v>0</v>
      </c>
      <c r="R336" s="2" t="inlineStr"/>
    </row>
    <row r="337" ht="15" customHeight="1">
      <c r="A337" t="inlineStr">
        <is>
          <t>A 46400-2023</t>
        </is>
      </c>
      <c r="B337" s="1" t="n">
        <v>45197.49290509259</v>
      </c>
      <c r="C337" s="1" t="n">
        <v>45895</v>
      </c>
      <c r="D337" t="inlineStr">
        <is>
          <t>GOTLANDS LÄN</t>
        </is>
      </c>
      <c r="E337" t="inlineStr">
        <is>
          <t>GOTLAND</t>
        </is>
      </c>
      <c r="G337" t="n">
        <v>0.8</v>
      </c>
      <c r="H337" t="n">
        <v>0</v>
      </c>
      <c r="I337" t="n">
        <v>0</v>
      </c>
      <c r="J337" t="n">
        <v>0</v>
      </c>
      <c r="K337" t="n">
        <v>0</v>
      </c>
      <c r="L337" t="n">
        <v>0</v>
      </c>
      <c r="M337" t="n">
        <v>0</v>
      </c>
      <c r="N337" t="n">
        <v>0</v>
      </c>
      <c r="O337" t="n">
        <v>0</v>
      </c>
      <c r="P337" t="n">
        <v>0</v>
      </c>
      <c r="Q337" t="n">
        <v>0</v>
      </c>
      <c r="R337" s="2" t="inlineStr"/>
    </row>
    <row r="338" ht="15" customHeight="1">
      <c r="A338" t="inlineStr">
        <is>
          <t>A 9875-2025</t>
        </is>
      </c>
      <c r="B338" s="1" t="n">
        <v>45716</v>
      </c>
      <c r="C338" s="1" t="n">
        <v>45895</v>
      </c>
      <c r="D338" t="inlineStr">
        <is>
          <t>GOTLANDS LÄN</t>
        </is>
      </c>
      <c r="E338" t="inlineStr">
        <is>
          <t>GOTLAND</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19002-2025</t>
        </is>
      </c>
      <c r="B339" s="1" t="n">
        <v>45764</v>
      </c>
      <c r="C339" s="1" t="n">
        <v>45895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21164-2024</t>
        </is>
      </c>
      <c r="B340" s="1" t="n">
        <v>45440</v>
      </c>
      <c r="C340" s="1" t="n">
        <v>45895</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58388-2022</t>
        </is>
      </c>
      <c r="B341" s="1" t="n">
        <v>44894</v>
      </c>
      <c r="C341" s="1" t="n">
        <v>45895</v>
      </c>
      <c r="D341" t="inlineStr">
        <is>
          <t>GOTLANDS LÄN</t>
        </is>
      </c>
      <c r="E341" t="inlineStr">
        <is>
          <t>GOTLAND</t>
        </is>
      </c>
      <c r="F341" t="inlineStr">
        <is>
          <t>Övriga statliga verk och myndigheter</t>
        </is>
      </c>
      <c r="G341" t="n">
        <v>3.1</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45895</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45895</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22897-2023</t>
        </is>
      </c>
      <c r="B344" s="1" t="n">
        <v>45072.55239583334</v>
      </c>
      <c r="C344" s="1" t="n">
        <v>45895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18993-2025</t>
        </is>
      </c>
      <c r="B345" s="1" t="n">
        <v>45764</v>
      </c>
      <c r="C345" s="1" t="n">
        <v>45895</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5462-2025</t>
        </is>
      </c>
      <c r="B346" s="1" t="n">
        <v>45693.29331018519</v>
      </c>
      <c r="C346" s="1" t="n">
        <v>45895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45895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61897-2024</t>
        </is>
      </c>
      <c r="B348" s="1" t="n">
        <v>45652.75685185185</v>
      </c>
      <c r="C348" s="1" t="n">
        <v>45895</v>
      </c>
      <c r="D348" t="inlineStr">
        <is>
          <t>GOTLANDS LÄN</t>
        </is>
      </c>
      <c r="E348" t="inlineStr">
        <is>
          <t>GOTLAND</t>
        </is>
      </c>
      <c r="G348" t="n">
        <v>6.4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45895</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49962-2023</t>
        </is>
      </c>
      <c r="B350" s="1" t="n">
        <v>45215.38775462963</v>
      </c>
      <c r="C350" s="1" t="n">
        <v>45895</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25796-2025</t>
        </is>
      </c>
      <c r="B351" s="1" t="n">
        <v>45804.39543981481</v>
      </c>
      <c r="C351" s="1" t="n">
        <v>45895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4568-2025</t>
        </is>
      </c>
      <c r="B352" s="1" t="n">
        <v>45687</v>
      </c>
      <c r="C352" s="1" t="n">
        <v>45895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20165-2022</t>
        </is>
      </c>
      <c r="B353" s="1" t="n">
        <v>44698.49854166667</v>
      </c>
      <c r="C353" s="1" t="n">
        <v>45895</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25678-2025</t>
        </is>
      </c>
      <c r="B354" s="1" t="n">
        <v>45803.64118055555</v>
      </c>
      <c r="C354" s="1" t="n">
        <v>45895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45895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12032-2025</t>
        </is>
      </c>
      <c r="B356" s="1" t="n">
        <v>45728.64472222222</v>
      </c>
      <c r="C356" s="1" t="n">
        <v>45895</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38787-2023</t>
        </is>
      </c>
      <c r="B357" s="1" t="n">
        <v>45163</v>
      </c>
      <c r="C357" s="1" t="n">
        <v>45895</v>
      </c>
      <c r="D357" t="inlineStr">
        <is>
          <t>GOTLANDS LÄN</t>
        </is>
      </c>
      <c r="E357" t="inlineStr">
        <is>
          <t>GOTLAND</t>
        </is>
      </c>
      <c r="G357" t="n">
        <v>0.4</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45895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20307-2025</t>
        </is>
      </c>
      <c r="B359" s="1" t="n">
        <v>45774.95546296296</v>
      </c>
      <c r="C359" s="1" t="n">
        <v>45895</v>
      </c>
      <c r="D359" t="inlineStr">
        <is>
          <t>GOTLANDS LÄN</t>
        </is>
      </c>
      <c r="E359" t="inlineStr">
        <is>
          <t>GOTLAND</t>
        </is>
      </c>
      <c r="G359" t="n">
        <v>6.8</v>
      </c>
      <c r="H359" t="n">
        <v>0</v>
      </c>
      <c r="I359" t="n">
        <v>0</v>
      </c>
      <c r="J359" t="n">
        <v>0</v>
      </c>
      <c r="K359" t="n">
        <v>0</v>
      </c>
      <c r="L359" t="n">
        <v>0</v>
      </c>
      <c r="M359" t="n">
        <v>0</v>
      </c>
      <c r="N359" t="n">
        <v>0</v>
      </c>
      <c r="O359" t="n">
        <v>0</v>
      </c>
      <c r="P359" t="n">
        <v>0</v>
      </c>
      <c r="Q359" t="n">
        <v>0</v>
      </c>
      <c r="R359" s="2" t="inlineStr"/>
    </row>
    <row r="360" ht="15" customHeight="1">
      <c r="A360" t="inlineStr">
        <is>
          <t>A 5905-2024</t>
        </is>
      </c>
      <c r="B360" s="1" t="n">
        <v>45335.88993055555</v>
      </c>
      <c r="C360" s="1" t="n">
        <v>45895</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43231-2023</t>
        </is>
      </c>
      <c r="B361" s="1" t="n">
        <v>45183.47025462963</v>
      </c>
      <c r="C361" s="1" t="n">
        <v>45895</v>
      </c>
      <c r="D361" t="inlineStr">
        <is>
          <t>GOTLANDS LÄN</t>
        </is>
      </c>
      <c r="E361" t="inlineStr">
        <is>
          <t>GOTLAND</t>
        </is>
      </c>
      <c r="G361" t="n">
        <v>3.6</v>
      </c>
      <c r="H361" t="n">
        <v>0</v>
      </c>
      <c r="I361" t="n">
        <v>0</v>
      </c>
      <c r="J361" t="n">
        <v>0</v>
      </c>
      <c r="K361" t="n">
        <v>0</v>
      </c>
      <c r="L361" t="n">
        <v>0</v>
      </c>
      <c r="M361" t="n">
        <v>0</v>
      </c>
      <c r="N361" t="n">
        <v>0</v>
      </c>
      <c r="O361" t="n">
        <v>0</v>
      </c>
      <c r="P361" t="n">
        <v>0</v>
      </c>
      <c r="Q361" t="n">
        <v>0</v>
      </c>
      <c r="R361" s="2" t="inlineStr"/>
    </row>
    <row r="362" ht="15" customHeight="1">
      <c r="A362" t="inlineStr">
        <is>
          <t>A 17532-2024</t>
        </is>
      </c>
      <c r="B362" s="1" t="n">
        <v>45415</v>
      </c>
      <c r="C362" s="1" t="n">
        <v>45895</v>
      </c>
      <c r="D362" t="inlineStr">
        <is>
          <t>GOTLANDS LÄN</t>
        </is>
      </c>
      <c r="E362" t="inlineStr">
        <is>
          <t>GOTLAND</t>
        </is>
      </c>
      <c r="G362" t="n">
        <v>4.3</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45895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1291-2023</t>
        </is>
      </c>
      <c r="B364" s="1" t="n">
        <v>44936.47561342592</v>
      </c>
      <c r="C364" s="1" t="n">
        <v>45895</v>
      </c>
      <c r="D364" t="inlineStr">
        <is>
          <t>GOTLANDS LÄN</t>
        </is>
      </c>
      <c r="E364" t="inlineStr">
        <is>
          <t>GOTLAND</t>
        </is>
      </c>
      <c r="G364" t="n">
        <v>7.4</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45895</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57652-2023</t>
        </is>
      </c>
      <c r="B366" s="1" t="n">
        <v>45246</v>
      </c>
      <c r="C366" s="1" t="n">
        <v>45895</v>
      </c>
      <c r="D366" t="inlineStr">
        <is>
          <t>GOTLANDS LÄN</t>
        </is>
      </c>
      <c r="E366" t="inlineStr">
        <is>
          <t>GOTLAND</t>
        </is>
      </c>
      <c r="G366" t="n">
        <v>7.2</v>
      </c>
      <c r="H366" t="n">
        <v>0</v>
      </c>
      <c r="I366" t="n">
        <v>0</v>
      </c>
      <c r="J366" t="n">
        <v>0</v>
      </c>
      <c r="K366" t="n">
        <v>0</v>
      </c>
      <c r="L366" t="n">
        <v>0</v>
      </c>
      <c r="M366" t="n">
        <v>0</v>
      </c>
      <c r="N366" t="n">
        <v>0</v>
      </c>
      <c r="O366" t="n">
        <v>0</v>
      </c>
      <c r="P366" t="n">
        <v>0</v>
      </c>
      <c r="Q366" t="n">
        <v>0</v>
      </c>
      <c r="R366" s="2" t="inlineStr"/>
    </row>
    <row r="367" ht="15" customHeight="1">
      <c r="A367" t="inlineStr">
        <is>
          <t>A 49315-2024</t>
        </is>
      </c>
      <c r="B367" s="1" t="n">
        <v>45595</v>
      </c>
      <c r="C367" s="1" t="n">
        <v>45895</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26457-2025</t>
        </is>
      </c>
      <c r="B368" s="1" t="n">
        <v>45807.42773148148</v>
      </c>
      <c r="C368" s="1" t="n">
        <v>45895</v>
      </c>
      <c r="D368" t="inlineStr">
        <is>
          <t>GOTLANDS LÄN</t>
        </is>
      </c>
      <c r="E368" t="inlineStr">
        <is>
          <t>GOTLAND</t>
        </is>
      </c>
      <c r="G368" t="n">
        <v>5.7</v>
      </c>
      <c r="H368" t="n">
        <v>0</v>
      </c>
      <c r="I368" t="n">
        <v>0</v>
      </c>
      <c r="J368" t="n">
        <v>0</v>
      </c>
      <c r="K368" t="n">
        <v>0</v>
      </c>
      <c r="L368" t="n">
        <v>0</v>
      </c>
      <c r="M368" t="n">
        <v>0</v>
      </c>
      <c r="N368" t="n">
        <v>0</v>
      </c>
      <c r="O368" t="n">
        <v>0</v>
      </c>
      <c r="P368" t="n">
        <v>0</v>
      </c>
      <c r="Q368" t="n">
        <v>0</v>
      </c>
      <c r="R368" s="2" t="inlineStr"/>
    </row>
    <row r="369" ht="15" customHeight="1">
      <c r="A369" t="inlineStr">
        <is>
          <t>A 26467-2025</t>
        </is>
      </c>
      <c r="B369" s="1" t="n">
        <v>45807.44640046296</v>
      </c>
      <c r="C369" s="1" t="n">
        <v>45895</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45106-2024</t>
        </is>
      </c>
      <c r="B370" s="1" t="n">
        <v>45575</v>
      </c>
      <c r="C370" s="1" t="n">
        <v>45895</v>
      </c>
      <c r="D370" t="inlineStr">
        <is>
          <t>GOTLANDS LÄN</t>
        </is>
      </c>
      <c r="E370" t="inlineStr">
        <is>
          <t>GOTLAND</t>
        </is>
      </c>
      <c r="G370" t="n">
        <v>10</v>
      </c>
      <c r="H370" t="n">
        <v>0</v>
      </c>
      <c r="I370" t="n">
        <v>0</v>
      </c>
      <c r="J370" t="n">
        <v>0</v>
      </c>
      <c r="K370" t="n">
        <v>0</v>
      </c>
      <c r="L370" t="n">
        <v>0</v>
      </c>
      <c r="M370" t="n">
        <v>0</v>
      </c>
      <c r="N370" t="n">
        <v>0</v>
      </c>
      <c r="O370" t="n">
        <v>0</v>
      </c>
      <c r="P370" t="n">
        <v>0</v>
      </c>
      <c r="Q370" t="n">
        <v>0</v>
      </c>
      <c r="R370" s="2" t="inlineStr"/>
    </row>
    <row r="371" ht="15" customHeight="1">
      <c r="A371" t="inlineStr">
        <is>
          <t>A 45112-2024</t>
        </is>
      </c>
      <c r="B371" s="1" t="n">
        <v>45575</v>
      </c>
      <c r="C371" s="1" t="n">
        <v>45895</v>
      </c>
      <c r="D371" t="inlineStr">
        <is>
          <t>GOTLANDS LÄN</t>
        </is>
      </c>
      <c r="E371" t="inlineStr">
        <is>
          <t>GOTLAND</t>
        </is>
      </c>
      <c r="G371" t="n">
        <v>5.1</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45895</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45895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26465-2025</t>
        </is>
      </c>
      <c r="B374" s="1" t="n">
        <v>45807.44377314814</v>
      </c>
      <c r="C374" s="1" t="n">
        <v>45895</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45895</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45895</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26660-2025</t>
        </is>
      </c>
      <c r="B377" s="1" t="n">
        <v>45810.39737268518</v>
      </c>
      <c r="C377" s="1" t="n">
        <v>45895</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3150-2025</t>
        </is>
      </c>
      <c r="B378" s="1" t="n">
        <v>45679.28974537037</v>
      </c>
      <c r="C378" s="1" t="n">
        <v>45895</v>
      </c>
      <c r="D378" t="inlineStr">
        <is>
          <t>GOTLANDS LÄN</t>
        </is>
      </c>
      <c r="E378" t="inlineStr">
        <is>
          <t>GOTLAND</t>
        </is>
      </c>
      <c r="G378" t="n">
        <v>2.5</v>
      </c>
      <c r="H378" t="n">
        <v>0</v>
      </c>
      <c r="I378" t="n">
        <v>0</v>
      </c>
      <c r="J378" t="n">
        <v>0</v>
      </c>
      <c r="K378" t="n">
        <v>0</v>
      </c>
      <c r="L378" t="n">
        <v>0</v>
      </c>
      <c r="M378" t="n">
        <v>0</v>
      </c>
      <c r="N378" t="n">
        <v>0</v>
      </c>
      <c r="O378" t="n">
        <v>0</v>
      </c>
      <c r="P378" t="n">
        <v>0</v>
      </c>
      <c r="Q378" t="n">
        <v>0</v>
      </c>
      <c r="R378" s="2" t="inlineStr"/>
    </row>
    <row r="379" ht="15" customHeight="1">
      <c r="A379" t="inlineStr">
        <is>
          <t>A 8484-2025</t>
        </is>
      </c>
      <c r="B379" s="1" t="n">
        <v>45709</v>
      </c>
      <c r="C379" s="1" t="n">
        <v>45895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7635-2025</t>
        </is>
      </c>
      <c r="B380" s="1" t="n">
        <v>45705</v>
      </c>
      <c r="C380" s="1" t="n">
        <v>45895</v>
      </c>
      <c r="D380" t="inlineStr">
        <is>
          <t>GOTLANDS LÄN</t>
        </is>
      </c>
      <c r="E380" t="inlineStr">
        <is>
          <t>GOTLAND</t>
        </is>
      </c>
      <c r="G380" t="n">
        <v>0.9</v>
      </c>
      <c r="H380" t="n">
        <v>0</v>
      </c>
      <c r="I380" t="n">
        <v>0</v>
      </c>
      <c r="J380" t="n">
        <v>0</v>
      </c>
      <c r="K380" t="n">
        <v>0</v>
      </c>
      <c r="L380" t="n">
        <v>0</v>
      </c>
      <c r="M380" t="n">
        <v>0</v>
      </c>
      <c r="N380" t="n">
        <v>0</v>
      </c>
      <c r="O380" t="n">
        <v>0</v>
      </c>
      <c r="P380" t="n">
        <v>0</v>
      </c>
      <c r="Q380" t="n">
        <v>0</v>
      </c>
      <c r="R380" s="2" t="inlineStr"/>
    </row>
    <row r="381" ht="15" customHeight="1">
      <c r="A381" t="inlineStr">
        <is>
          <t>A 7636-2025</t>
        </is>
      </c>
      <c r="B381" s="1" t="n">
        <v>45705.7687962963</v>
      </c>
      <c r="C381" s="1" t="n">
        <v>45895</v>
      </c>
      <c r="D381" t="inlineStr">
        <is>
          <t>GOTLANDS LÄN</t>
        </is>
      </c>
      <c r="E381" t="inlineStr">
        <is>
          <t>GOTLAND</t>
        </is>
      </c>
      <c r="G381" t="n">
        <v>0.6</v>
      </c>
      <c r="H381" t="n">
        <v>0</v>
      </c>
      <c r="I381" t="n">
        <v>0</v>
      </c>
      <c r="J381" t="n">
        <v>0</v>
      </c>
      <c r="K381" t="n">
        <v>0</v>
      </c>
      <c r="L381" t="n">
        <v>0</v>
      </c>
      <c r="M381" t="n">
        <v>0</v>
      </c>
      <c r="N381" t="n">
        <v>0</v>
      </c>
      <c r="O381" t="n">
        <v>0</v>
      </c>
      <c r="P381" t="n">
        <v>0</v>
      </c>
      <c r="Q381" t="n">
        <v>0</v>
      </c>
      <c r="R381" s="2" t="inlineStr"/>
    </row>
    <row r="382" ht="15" customHeight="1">
      <c r="A382" t="inlineStr">
        <is>
          <t>A 7639-2025</t>
        </is>
      </c>
      <c r="B382" s="1" t="n">
        <v>45705.77465277778</v>
      </c>
      <c r="C382" s="1" t="n">
        <v>45895</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10497-2025</t>
        </is>
      </c>
      <c r="B383" s="1" t="n">
        <v>45721</v>
      </c>
      <c r="C383" s="1" t="n">
        <v>45895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27348-2025</t>
        </is>
      </c>
      <c r="B384" s="1" t="n">
        <v>45812.62451388889</v>
      </c>
      <c r="C384" s="1" t="n">
        <v>45895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35290-2025</t>
        </is>
      </c>
      <c r="B385" s="1" t="n">
        <v>45854.38502314815</v>
      </c>
      <c r="C385" s="1" t="n">
        <v>45895</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45895</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48734-2022</t>
        </is>
      </c>
      <c r="B387" s="1" t="n">
        <v>44855</v>
      </c>
      <c r="C387" s="1" t="n">
        <v>45895</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1066-2024</t>
        </is>
      </c>
      <c r="B388" s="1" t="n">
        <v>45302.285</v>
      </c>
      <c r="C388" s="1" t="n">
        <v>45895</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14141-2024</t>
        </is>
      </c>
      <c r="B389" s="1" t="n">
        <v>45392.85193287037</v>
      </c>
      <c r="C389" s="1" t="n">
        <v>45895</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29809-2022</t>
        </is>
      </c>
      <c r="B390" s="1" t="n">
        <v>44755.8713425926</v>
      </c>
      <c r="C390" s="1" t="n">
        <v>45895</v>
      </c>
      <c r="D390" t="inlineStr">
        <is>
          <t>GOTLANDS LÄN</t>
        </is>
      </c>
      <c r="E390" t="inlineStr">
        <is>
          <t>GOTLAND</t>
        </is>
      </c>
      <c r="G390" t="n">
        <v>11.5</v>
      </c>
      <c r="H390" t="n">
        <v>0</v>
      </c>
      <c r="I390" t="n">
        <v>0</v>
      </c>
      <c r="J390" t="n">
        <v>0</v>
      </c>
      <c r="K390" t="n">
        <v>0</v>
      </c>
      <c r="L390" t="n">
        <v>0</v>
      </c>
      <c r="M390" t="n">
        <v>0</v>
      </c>
      <c r="N390" t="n">
        <v>0</v>
      </c>
      <c r="O390" t="n">
        <v>0</v>
      </c>
      <c r="P390" t="n">
        <v>0</v>
      </c>
      <c r="Q390" t="n">
        <v>0</v>
      </c>
      <c r="R390" s="2" t="inlineStr"/>
    </row>
    <row r="391" ht="15" customHeight="1">
      <c r="A391" t="inlineStr">
        <is>
          <t>A 17144-2025</t>
        </is>
      </c>
      <c r="B391" s="1" t="n">
        <v>45755.9499537037</v>
      </c>
      <c r="C391" s="1" t="n">
        <v>45895</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10158-2025</t>
        </is>
      </c>
      <c r="B392" s="1" t="n">
        <v>45719</v>
      </c>
      <c r="C392" s="1" t="n">
        <v>45895</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27371-2025</t>
        </is>
      </c>
      <c r="B393" s="1" t="n">
        <v>45812</v>
      </c>
      <c r="C393" s="1" t="n">
        <v>45895</v>
      </c>
      <c r="D393" t="inlineStr">
        <is>
          <t>GOTLANDS LÄN</t>
        </is>
      </c>
      <c r="E393" t="inlineStr">
        <is>
          <t>GOTLAND</t>
        </is>
      </c>
      <c r="G393" t="n">
        <v>8</v>
      </c>
      <c r="H393" t="n">
        <v>0</v>
      </c>
      <c r="I393" t="n">
        <v>0</v>
      </c>
      <c r="J393" t="n">
        <v>0</v>
      </c>
      <c r="K393" t="n">
        <v>0</v>
      </c>
      <c r="L393" t="n">
        <v>0</v>
      </c>
      <c r="M393" t="n">
        <v>0</v>
      </c>
      <c r="N393" t="n">
        <v>0</v>
      </c>
      <c r="O393" t="n">
        <v>0</v>
      </c>
      <c r="P393" t="n">
        <v>0</v>
      </c>
      <c r="Q393" t="n">
        <v>0</v>
      </c>
      <c r="R393" s="2" t="inlineStr"/>
    </row>
    <row r="394" ht="15" customHeight="1">
      <c r="A394" t="inlineStr">
        <is>
          <t>A 27355-2025</t>
        </is>
      </c>
      <c r="B394" s="1" t="n">
        <v>45812</v>
      </c>
      <c r="C394" s="1" t="n">
        <v>45895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6739-2025</t>
        </is>
      </c>
      <c r="B395" s="1" t="n">
        <v>45700</v>
      </c>
      <c r="C395" s="1" t="n">
        <v>45895</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7850-2025</t>
        </is>
      </c>
      <c r="B396" s="1" t="n">
        <v>45706</v>
      </c>
      <c r="C396" s="1" t="n">
        <v>45895</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57685-2022</t>
        </is>
      </c>
      <c r="B397" s="1" t="n">
        <v>44897.4777662037</v>
      </c>
      <c r="C397" s="1" t="n">
        <v>45895</v>
      </c>
      <c r="D397" t="inlineStr">
        <is>
          <t>GOTLANDS LÄN</t>
        </is>
      </c>
      <c r="E397" t="inlineStr">
        <is>
          <t>GOTLAND</t>
        </is>
      </c>
      <c r="G397" t="n">
        <v>3.7</v>
      </c>
      <c r="H397" t="n">
        <v>0</v>
      </c>
      <c r="I397" t="n">
        <v>0</v>
      </c>
      <c r="J397" t="n">
        <v>0</v>
      </c>
      <c r="K397" t="n">
        <v>0</v>
      </c>
      <c r="L397" t="n">
        <v>0</v>
      </c>
      <c r="M397" t="n">
        <v>0</v>
      </c>
      <c r="N397" t="n">
        <v>0</v>
      </c>
      <c r="O397" t="n">
        <v>0</v>
      </c>
      <c r="P397" t="n">
        <v>0</v>
      </c>
      <c r="Q397" t="n">
        <v>0</v>
      </c>
      <c r="R397" s="2" t="inlineStr"/>
    </row>
    <row r="398" ht="15" customHeight="1">
      <c r="A398" t="inlineStr">
        <is>
          <t>A 56009-2024</t>
        </is>
      </c>
      <c r="B398" s="1" t="n">
        <v>45623.80864583333</v>
      </c>
      <c r="C398" s="1" t="n">
        <v>45895</v>
      </c>
      <c r="D398" t="inlineStr">
        <is>
          <t>GOTLANDS LÄN</t>
        </is>
      </c>
      <c r="E398" t="inlineStr">
        <is>
          <t>GOTLAND</t>
        </is>
      </c>
      <c r="G398" t="n">
        <v>2.8</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45895</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42338-2023</t>
        </is>
      </c>
      <c r="B400" s="1" t="n">
        <v>45180</v>
      </c>
      <c r="C400" s="1" t="n">
        <v>45895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45895</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45895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45895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45895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45895</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64660-2023</t>
        </is>
      </c>
      <c r="B406" s="1" t="n">
        <v>45281.60122685185</v>
      </c>
      <c r="C406" s="1" t="n">
        <v>45895</v>
      </c>
      <c r="D406" t="inlineStr">
        <is>
          <t>GOTLANDS LÄN</t>
        </is>
      </c>
      <c r="E406" t="inlineStr">
        <is>
          <t>GOTLAND</t>
        </is>
      </c>
      <c r="G406" t="n">
        <v>6.3</v>
      </c>
      <c r="H406" t="n">
        <v>0</v>
      </c>
      <c r="I406" t="n">
        <v>0</v>
      </c>
      <c r="J406" t="n">
        <v>0</v>
      </c>
      <c r="K406" t="n">
        <v>0</v>
      </c>
      <c r="L406" t="n">
        <v>0</v>
      </c>
      <c r="M406" t="n">
        <v>0</v>
      </c>
      <c r="N406" t="n">
        <v>0</v>
      </c>
      <c r="O406" t="n">
        <v>0</v>
      </c>
      <c r="P406" t="n">
        <v>0</v>
      </c>
      <c r="Q406" t="n">
        <v>0</v>
      </c>
      <c r="R406" s="2" t="inlineStr"/>
    </row>
    <row r="407" ht="15" customHeight="1">
      <c r="A407" t="inlineStr">
        <is>
          <t>A 63763-2023</t>
        </is>
      </c>
      <c r="B407" s="1" t="n">
        <v>45278.33944444444</v>
      </c>
      <c r="C407" s="1" t="n">
        <v>45895</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8444-2025</t>
        </is>
      </c>
      <c r="B408" s="1" t="n">
        <v>45709</v>
      </c>
      <c r="C408" s="1" t="n">
        <v>45895</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63229-2021</t>
        </is>
      </c>
      <c r="B409" s="1" t="n">
        <v>44508.34518518519</v>
      </c>
      <c r="C409" s="1" t="n">
        <v>45895</v>
      </c>
      <c r="D409" t="inlineStr">
        <is>
          <t>GOTLANDS LÄN</t>
        </is>
      </c>
      <c r="E409" t="inlineStr">
        <is>
          <t>GOTLAND</t>
        </is>
      </c>
      <c r="F409" t="inlineStr">
        <is>
          <t>Kyrkan</t>
        </is>
      </c>
      <c r="G409" t="n">
        <v>3.8</v>
      </c>
      <c r="H409" t="n">
        <v>0</v>
      </c>
      <c r="I409" t="n">
        <v>0</v>
      </c>
      <c r="J409" t="n">
        <v>0</v>
      </c>
      <c r="K409" t="n">
        <v>0</v>
      </c>
      <c r="L409" t="n">
        <v>0</v>
      </c>
      <c r="M409" t="n">
        <v>0</v>
      </c>
      <c r="N409" t="n">
        <v>0</v>
      </c>
      <c r="O409" t="n">
        <v>0</v>
      </c>
      <c r="P409" t="n">
        <v>0</v>
      </c>
      <c r="Q409" t="n">
        <v>0</v>
      </c>
      <c r="R409" s="2" t="inlineStr"/>
    </row>
    <row r="410" ht="15" customHeight="1">
      <c r="A410" t="inlineStr">
        <is>
          <t>A 46375-2024</t>
        </is>
      </c>
      <c r="B410" s="1" t="n">
        <v>45582</v>
      </c>
      <c r="C410" s="1" t="n">
        <v>45895</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581-2023</t>
        </is>
      </c>
      <c r="B411" s="1" t="n">
        <v>44930</v>
      </c>
      <c r="C411" s="1" t="n">
        <v>45895</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61386-2023</t>
        </is>
      </c>
      <c r="B412" s="1" t="n">
        <v>45264</v>
      </c>
      <c r="C412" s="1" t="n">
        <v>45895</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873-2024</t>
        </is>
      </c>
      <c r="B413" s="1" t="n">
        <v>45301</v>
      </c>
      <c r="C413" s="1" t="n">
        <v>45895</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49411-2023</t>
        </is>
      </c>
      <c r="B414" s="1" t="n">
        <v>45205</v>
      </c>
      <c r="C414" s="1" t="n">
        <v>45895</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45895</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12322-2025</t>
        </is>
      </c>
      <c r="B416" s="1" t="n">
        <v>45730</v>
      </c>
      <c r="C416" s="1" t="n">
        <v>45895</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19905-2025</t>
        </is>
      </c>
      <c r="B417" s="1" t="n">
        <v>45771</v>
      </c>
      <c r="C417" s="1" t="n">
        <v>45895</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14797-2024</t>
        </is>
      </c>
      <c r="B418" s="1" t="n">
        <v>45397.87030092593</v>
      </c>
      <c r="C418" s="1" t="n">
        <v>45895</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999-2024</t>
        </is>
      </c>
      <c r="B419" s="1" t="n">
        <v>45301</v>
      </c>
      <c r="C419" s="1" t="n">
        <v>45895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61596-2023</t>
        </is>
      </c>
      <c r="B420" s="1" t="n">
        <v>45265</v>
      </c>
      <c r="C420" s="1" t="n">
        <v>45895</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29196-2025</t>
        </is>
      </c>
      <c r="B421" s="1" t="n">
        <v>45822</v>
      </c>
      <c r="C421" s="1" t="n">
        <v>45895</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1734-2025</t>
        </is>
      </c>
      <c r="B422" s="1" t="n">
        <v>45671.3840625</v>
      </c>
      <c r="C422" s="1" t="n">
        <v>45895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14638-2025</t>
        </is>
      </c>
      <c r="B423" s="1" t="n">
        <v>45742</v>
      </c>
      <c r="C423" s="1" t="n">
        <v>45895</v>
      </c>
      <c r="D423" t="inlineStr">
        <is>
          <t>GOTLANDS LÄN</t>
        </is>
      </c>
      <c r="E423" t="inlineStr">
        <is>
          <t>GOTLAND</t>
        </is>
      </c>
      <c r="G423" t="n">
        <v>13.4</v>
      </c>
      <c r="H423" t="n">
        <v>0</v>
      </c>
      <c r="I423" t="n">
        <v>0</v>
      </c>
      <c r="J423" t="n">
        <v>0</v>
      </c>
      <c r="K423" t="n">
        <v>0</v>
      </c>
      <c r="L423" t="n">
        <v>0</v>
      </c>
      <c r="M423" t="n">
        <v>0</v>
      </c>
      <c r="N423" t="n">
        <v>0</v>
      </c>
      <c r="O423" t="n">
        <v>0</v>
      </c>
      <c r="P423" t="n">
        <v>0</v>
      </c>
      <c r="Q423" t="n">
        <v>0</v>
      </c>
      <c r="R423" s="2" t="inlineStr"/>
    </row>
    <row r="424" ht="15" customHeight="1">
      <c r="A424" t="inlineStr">
        <is>
          <t>A 20993-2023</t>
        </is>
      </c>
      <c r="B424" s="1" t="n">
        <v>45056</v>
      </c>
      <c r="C424" s="1" t="n">
        <v>45895</v>
      </c>
      <c r="D424" t="inlineStr">
        <is>
          <t>GOTLANDS LÄN</t>
        </is>
      </c>
      <c r="E424" t="inlineStr">
        <is>
          <t>GOTLAND</t>
        </is>
      </c>
      <c r="G424" t="n">
        <v>7.1</v>
      </c>
      <c r="H424" t="n">
        <v>0</v>
      </c>
      <c r="I424" t="n">
        <v>0</v>
      </c>
      <c r="J424" t="n">
        <v>0</v>
      </c>
      <c r="K424" t="n">
        <v>0</v>
      </c>
      <c r="L424" t="n">
        <v>0</v>
      </c>
      <c r="M424" t="n">
        <v>0</v>
      </c>
      <c r="N424" t="n">
        <v>0</v>
      </c>
      <c r="O424" t="n">
        <v>0</v>
      </c>
      <c r="P424" t="n">
        <v>0</v>
      </c>
      <c r="Q424" t="n">
        <v>0</v>
      </c>
      <c r="R424" s="2" t="inlineStr"/>
    </row>
    <row r="425" ht="15" customHeight="1">
      <c r="A425" t="inlineStr">
        <is>
          <t>A 60675-2021</t>
        </is>
      </c>
      <c r="B425" s="1" t="n">
        <v>44496.64855324074</v>
      </c>
      <c r="C425" s="1" t="n">
        <v>45895</v>
      </c>
      <c r="D425" t="inlineStr">
        <is>
          <t>GOTLANDS LÄN</t>
        </is>
      </c>
      <c r="E425" t="inlineStr">
        <is>
          <t>GOTLAND</t>
        </is>
      </c>
      <c r="G425" t="n">
        <v>4.6</v>
      </c>
      <c r="H425" t="n">
        <v>0</v>
      </c>
      <c r="I425" t="n">
        <v>0</v>
      </c>
      <c r="J425" t="n">
        <v>0</v>
      </c>
      <c r="K425" t="n">
        <v>0</v>
      </c>
      <c r="L425" t="n">
        <v>0</v>
      </c>
      <c r="M425" t="n">
        <v>0</v>
      </c>
      <c r="N425" t="n">
        <v>0</v>
      </c>
      <c r="O425" t="n">
        <v>0</v>
      </c>
      <c r="P425" t="n">
        <v>0</v>
      </c>
      <c r="Q425" t="n">
        <v>0</v>
      </c>
      <c r="R425" s="2" t="inlineStr"/>
    </row>
    <row r="426" ht="15" customHeight="1">
      <c r="A426" t="inlineStr">
        <is>
          <t>A 29207-2025</t>
        </is>
      </c>
      <c r="B426" s="1" t="n">
        <v>45823</v>
      </c>
      <c r="C426" s="1" t="n">
        <v>45895</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37728-2024</t>
        </is>
      </c>
      <c r="B427" s="1" t="n">
        <v>45541</v>
      </c>
      <c r="C427" s="1" t="n">
        <v>45895</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30104-2025</t>
        </is>
      </c>
      <c r="B428" s="1" t="n">
        <v>45826.68806712963</v>
      </c>
      <c r="C428" s="1" t="n">
        <v>45895</v>
      </c>
      <c r="D428" t="inlineStr">
        <is>
          <t>GOTLANDS LÄN</t>
        </is>
      </c>
      <c r="E428" t="inlineStr">
        <is>
          <t>GOTLAND</t>
        </is>
      </c>
      <c r="G428" t="n">
        <v>15.4</v>
      </c>
      <c r="H428" t="n">
        <v>0</v>
      </c>
      <c r="I428" t="n">
        <v>0</v>
      </c>
      <c r="J428" t="n">
        <v>0</v>
      </c>
      <c r="K428" t="n">
        <v>0</v>
      </c>
      <c r="L428" t="n">
        <v>0</v>
      </c>
      <c r="M428" t="n">
        <v>0</v>
      </c>
      <c r="N428" t="n">
        <v>0</v>
      </c>
      <c r="O428" t="n">
        <v>0</v>
      </c>
      <c r="P428" t="n">
        <v>0</v>
      </c>
      <c r="Q428" t="n">
        <v>0</v>
      </c>
      <c r="R428" s="2" t="inlineStr"/>
    </row>
    <row r="429" ht="15" customHeight="1">
      <c r="A429" t="inlineStr">
        <is>
          <t>A 12596-2023</t>
        </is>
      </c>
      <c r="B429" s="1" t="n">
        <v>45000.43310185185</v>
      </c>
      <c r="C429" s="1" t="n">
        <v>45895</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2125-2025</t>
        </is>
      </c>
      <c r="B430" s="1" t="n">
        <v>45672.64940972222</v>
      </c>
      <c r="C430" s="1" t="n">
        <v>45895</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22287-2022</t>
        </is>
      </c>
      <c r="B431" s="1" t="n">
        <v>44712</v>
      </c>
      <c r="C431" s="1" t="n">
        <v>45895</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12155-2023</t>
        </is>
      </c>
      <c r="B432" s="1" t="n">
        <v>44998.49106481481</v>
      </c>
      <c r="C432" s="1" t="n">
        <v>45895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457-2023</t>
        </is>
      </c>
      <c r="B433" s="1" t="n">
        <v>44929.87238425926</v>
      </c>
      <c r="C433" s="1" t="n">
        <v>45895</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459-2023</t>
        </is>
      </c>
      <c r="B434" s="1" t="n">
        <v>44929.87423611111</v>
      </c>
      <c r="C434" s="1" t="n">
        <v>45895</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38234-2023</t>
        </is>
      </c>
      <c r="B435" s="1" t="n">
        <v>45161.56663194444</v>
      </c>
      <c r="C435" s="1" t="n">
        <v>45895</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30157-2025</t>
        </is>
      </c>
      <c r="B436" s="1" t="n">
        <v>45826</v>
      </c>
      <c r="C436" s="1" t="n">
        <v>45895</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50744-2024</t>
        </is>
      </c>
      <c r="B437" s="1" t="n">
        <v>45602.4187037037</v>
      </c>
      <c r="C437" s="1" t="n">
        <v>45895</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54074-2022</t>
        </is>
      </c>
      <c r="B438" s="1" t="n">
        <v>44881</v>
      </c>
      <c r="C438" s="1" t="n">
        <v>45895</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30061-2025</t>
        </is>
      </c>
      <c r="B439" s="1" t="n">
        <v>45826.61488425926</v>
      </c>
      <c r="C439" s="1" t="n">
        <v>45895</v>
      </c>
      <c r="D439" t="inlineStr">
        <is>
          <t>GOTLANDS LÄN</t>
        </is>
      </c>
      <c r="E439" t="inlineStr">
        <is>
          <t>GOTLAND</t>
        </is>
      </c>
      <c r="G439" t="n">
        <v>4.1</v>
      </c>
      <c r="H439" t="n">
        <v>0</v>
      </c>
      <c r="I439" t="n">
        <v>0</v>
      </c>
      <c r="J439" t="n">
        <v>0</v>
      </c>
      <c r="K439" t="n">
        <v>0</v>
      </c>
      <c r="L439" t="n">
        <v>0</v>
      </c>
      <c r="M439" t="n">
        <v>0</v>
      </c>
      <c r="N439" t="n">
        <v>0</v>
      </c>
      <c r="O439" t="n">
        <v>0</v>
      </c>
      <c r="P439" t="n">
        <v>0</v>
      </c>
      <c r="Q439" t="n">
        <v>0</v>
      </c>
      <c r="R439" s="2" t="inlineStr"/>
    </row>
    <row r="440" ht="15" customHeight="1">
      <c r="A440" t="inlineStr">
        <is>
          <t>A 65249-2023</t>
        </is>
      </c>
      <c r="B440" s="1" t="n">
        <v>45290</v>
      </c>
      <c r="C440" s="1" t="n">
        <v>45895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53934-2024</t>
        </is>
      </c>
      <c r="B441" s="1" t="n">
        <v>45615</v>
      </c>
      <c r="C441" s="1" t="n">
        <v>45895</v>
      </c>
      <c r="D441" t="inlineStr">
        <is>
          <t>GOTLANDS LÄN</t>
        </is>
      </c>
      <c r="E441" t="inlineStr">
        <is>
          <t>GOTLAND</t>
        </is>
      </c>
      <c r="G441" t="n">
        <v>5</v>
      </c>
      <c r="H441" t="n">
        <v>0</v>
      </c>
      <c r="I441" t="n">
        <v>0</v>
      </c>
      <c r="J441" t="n">
        <v>0</v>
      </c>
      <c r="K441" t="n">
        <v>0</v>
      </c>
      <c r="L441" t="n">
        <v>0</v>
      </c>
      <c r="M441" t="n">
        <v>0</v>
      </c>
      <c r="N441" t="n">
        <v>0</v>
      </c>
      <c r="O441" t="n">
        <v>0</v>
      </c>
      <c r="P441" t="n">
        <v>0</v>
      </c>
      <c r="Q441" t="n">
        <v>0</v>
      </c>
      <c r="R441" s="2" t="inlineStr"/>
    </row>
    <row r="442" ht="15" customHeight="1">
      <c r="A442" t="inlineStr">
        <is>
          <t>A 2035-2025</t>
        </is>
      </c>
      <c r="B442" s="1" t="n">
        <v>45672</v>
      </c>
      <c r="C442" s="1" t="n">
        <v>45895</v>
      </c>
      <c r="D442" t="inlineStr">
        <is>
          <t>GOTLANDS LÄN</t>
        </is>
      </c>
      <c r="E442" t="inlineStr">
        <is>
          <t>GOTLAND</t>
        </is>
      </c>
      <c r="G442" t="n">
        <v>7.5</v>
      </c>
      <c r="H442" t="n">
        <v>0</v>
      </c>
      <c r="I442" t="n">
        <v>0</v>
      </c>
      <c r="J442" t="n">
        <v>0</v>
      </c>
      <c r="K442" t="n">
        <v>0</v>
      </c>
      <c r="L442" t="n">
        <v>0</v>
      </c>
      <c r="M442" t="n">
        <v>0</v>
      </c>
      <c r="N442" t="n">
        <v>0</v>
      </c>
      <c r="O442" t="n">
        <v>0</v>
      </c>
      <c r="P442" t="n">
        <v>0</v>
      </c>
      <c r="Q442" t="n">
        <v>0</v>
      </c>
      <c r="R442" s="2" t="inlineStr"/>
    </row>
    <row r="443" ht="15" customHeight="1">
      <c r="A443" t="inlineStr">
        <is>
          <t>A 58160-2024</t>
        </is>
      </c>
      <c r="B443" s="1" t="n">
        <v>45632.44927083333</v>
      </c>
      <c r="C443" s="1" t="n">
        <v>45895</v>
      </c>
      <c r="D443" t="inlineStr">
        <is>
          <t>GOTLANDS LÄN</t>
        </is>
      </c>
      <c r="E443" t="inlineStr">
        <is>
          <t>GOTLAND</t>
        </is>
      </c>
      <c r="G443" t="n">
        <v>5.6</v>
      </c>
      <c r="H443" t="n">
        <v>0</v>
      </c>
      <c r="I443" t="n">
        <v>0</v>
      </c>
      <c r="J443" t="n">
        <v>0</v>
      </c>
      <c r="K443" t="n">
        <v>0</v>
      </c>
      <c r="L443" t="n">
        <v>0</v>
      </c>
      <c r="M443" t="n">
        <v>0</v>
      </c>
      <c r="N443" t="n">
        <v>0</v>
      </c>
      <c r="O443" t="n">
        <v>0</v>
      </c>
      <c r="P443" t="n">
        <v>0</v>
      </c>
      <c r="Q443" t="n">
        <v>0</v>
      </c>
      <c r="R443" s="2" t="inlineStr"/>
    </row>
    <row r="444" ht="15" customHeight="1">
      <c r="A444" t="inlineStr">
        <is>
          <t>A 13910-2025</t>
        </is>
      </c>
      <c r="B444" s="1" t="n">
        <v>45737</v>
      </c>
      <c r="C444" s="1" t="n">
        <v>45895</v>
      </c>
      <c r="D444" t="inlineStr">
        <is>
          <t>GOTLANDS LÄN</t>
        </is>
      </c>
      <c r="E444" t="inlineStr">
        <is>
          <t>GOTLAND</t>
        </is>
      </c>
      <c r="F444" t="inlineStr">
        <is>
          <t>Kommuner</t>
        </is>
      </c>
      <c r="G444" t="n">
        <v>3.2</v>
      </c>
      <c r="H444" t="n">
        <v>0</v>
      </c>
      <c r="I444" t="n">
        <v>0</v>
      </c>
      <c r="J444" t="n">
        <v>0</v>
      </c>
      <c r="K444" t="n">
        <v>0</v>
      </c>
      <c r="L444" t="n">
        <v>0</v>
      </c>
      <c r="M444" t="n">
        <v>0</v>
      </c>
      <c r="N444" t="n">
        <v>0</v>
      </c>
      <c r="O444" t="n">
        <v>0</v>
      </c>
      <c r="P444" t="n">
        <v>0</v>
      </c>
      <c r="Q444" t="n">
        <v>0</v>
      </c>
      <c r="R444" s="2" t="inlineStr"/>
    </row>
    <row r="445" ht="15" customHeight="1">
      <c r="A445" t="inlineStr">
        <is>
          <t>A 1446-2025</t>
        </is>
      </c>
      <c r="B445" s="1" t="n">
        <v>45669.86035879629</v>
      </c>
      <c r="C445" s="1" t="n">
        <v>45895</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10813-2025</t>
        </is>
      </c>
      <c r="B446" s="1" t="n">
        <v>45722.54163194444</v>
      </c>
      <c r="C446" s="1" t="n">
        <v>45895</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30488-2025</t>
        </is>
      </c>
      <c r="B447" s="1" t="n">
        <v>45830</v>
      </c>
      <c r="C447" s="1" t="n">
        <v>45895</v>
      </c>
      <c r="D447" t="inlineStr">
        <is>
          <t>GOTLANDS LÄN</t>
        </is>
      </c>
      <c r="E447" t="inlineStr">
        <is>
          <t>GOTLAND</t>
        </is>
      </c>
      <c r="F447" t="inlineStr">
        <is>
          <t>Kyrkan</t>
        </is>
      </c>
      <c r="G447" t="n">
        <v>3.9</v>
      </c>
      <c r="H447" t="n">
        <v>0</v>
      </c>
      <c r="I447" t="n">
        <v>0</v>
      </c>
      <c r="J447" t="n">
        <v>0</v>
      </c>
      <c r="K447" t="n">
        <v>0</v>
      </c>
      <c r="L447" t="n">
        <v>0</v>
      </c>
      <c r="M447" t="n">
        <v>0</v>
      </c>
      <c r="N447" t="n">
        <v>0</v>
      </c>
      <c r="O447" t="n">
        <v>0</v>
      </c>
      <c r="P447" t="n">
        <v>0</v>
      </c>
      <c r="Q447" t="n">
        <v>0</v>
      </c>
      <c r="R447" s="2" t="inlineStr"/>
    </row>
    <row r="448" ht="15" customHeight="1">
      <c r="A448" t="inlineStr">
        <is>
          <t>A 1728-2025</t>
        </is>
      </c>
      <c r="B448" s="1" t="n">
        <v>45671.3565162037</v>
      </c>
      <c r="C448" s="1" t="n">
        <v>45895</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17780-2022</t>
        </is>
      </c>
      <c r="B449" s="1" t="n">
        <v>44682.82622685185</v>
      </c>
      <c r="C449" s="1" t="n">
        <v>45895</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30489-2025</t>
        </is>
      </c>
      <c r="B450" s="1" t="n">
        <v>45830</v>
      </c>
      <c r="C450" s="1" t="n">
        <v>45895</v>
      </c>
      <c r="D450" t="inlineStr">
        <is>
          <t>GOTLANDS LÄN</t>
        </is>
      </c>
      <c r="E450" t="inlineStr">
        <is>
          <t>GOTLAND</t>
        </is>
      </c>
      <c r="G450" t="n">
        <v>4.6</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45895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43901-2023</t>
        </is>
      </c>
      <c r="B452" s="1" t="n">
        <v>45187</v>
      </c>
      <c r="C452" s="1" t="n">
        <v>45895</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59986-2022</t>
        </is>
      </c>
      <c r="B453" s="1" t="n">
        <v>44909</v>
      </c>
      <c r="C453" s="1" t="n">
        <v>45895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14536-2021</t>
        </is>
      </c>
      <c r="B454" s="1" t="n">
        <v>44279.66168981481</v>
      </c>
      <c r="C454" s="1" t="n">
        <v>45895</v>
      </c>
      <c r="D454" t="inlineStr">
        <is>
          <t>GOTLANDS LÄN</t>
        </is>
      </c>
      <c r="E454" t="inlineStr">
        <is>
          <t>GOTLAND</t>
        </is>
      </c>
      <c r="G454" t="n">
        <v>8.5</v>
      </c>
      <c r="H454" t="n">
        <v>0</v>
      </c>
      <c r="I454" t="n">
        <v>0</v>
      </c>
      <c r="J454" t="n">
        <v>0</v>
      </c>
      <c r="K454" t="n">
        <v>0</v>
      </c>
      <c r="L454" t="n">
        <v>0</v>
      </c>
      <c r="M454" t="n">
        <v>0</v>
      </c>
      <c r="N454" t="n">
        <v>0</v>
      </c>
      <c r="O454" t="n">
        <v>0</v>
      </c>
      <c r="P454" t="n">
        <v>0</v>
      </c>
      <c r="Q454" t="n">
        <v>0</v>
      </c>
      <c r="R454" s="2" t="inlineStr"/>
    </row>
    <row r="455" ht="15" customHeight="1">
      <c r="A455" t="inlineStr">
        <is>
          <t>A 10746-2025</t>
        </is>
      </c>
      <c r="B455" s="1" t="n">
        <v>45722.42766203704</v>
      </c>
      <c r="C455" s="1" t="n">
        <v>45895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16501-2023</t>
        </is>
      </c>
      <c r="B456" s="1" t="n">
        <v>45029</v>
      </c>
      <c r="C456" s="1" t="n">
        <v>45895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27930-2021</t>
        </is>
      </c>
      <c r="B457" s="1" t="n">
        <v>44354</v>
      </c>
      <c r="C457" s="1" t="n">
        <v>45895</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45895</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61962-2024</t>
        </is>
      </c>
      <c r="B459" s="1" t="n">
        <v>45653.54340277778</v>
      </c>
      <c r="C459" s="1" t="n">
        <v>45895</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32686-2025</t>
        </is>
      </c>
      <c r="B460" s="1" t="n">
        <v>45838</v>
      </c>
      <c r="C460" s="1" t="n">
        <v>45895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11874-2024</t>
        </is>
      </c>
      <c r="B461" s="1" t="n">
        <v>45376.46956018519</v>
      </c>
      <c r="C461" s="1" t="n">
        <v>45895</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2292-2021</t>
        </is>
      </c>
      <c r="B462" s="1" t="n">
        <v>44212</v>
      </c>
      <c r="C462" s="1" t="n">
        <v>45895</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42041-2024</t>
        </is>
      </c>
      <c r="B463" s="1" t="n">
        <v>45561</v>
      </c>
      <c r="C463" s="1" t="n">
        <v>45895</v>
      </c>
      <c r="D463" t="inlineStr">
        <is>
          <t>GOTLANDS LÄN</t>
        </is>
      </c>
      <c r="E463" t="inlineStr">
        <is>
          <t>GOTLAND</t>
        </is>
      </c>
      <c r="G463" t="n">
        <v>3.2</v>
      </c>
      <c r="H463" t="n">
        <v>0</v>
      </c>
      <c r="I463" t="n">
        <v>0</v>
      </c>
      <c r="J463" t="n">
        <v>0</v>
      </c>
      <c r="K463" t="n">
        <v>0</v>
      </c>
      <c r="L463" t="n">
        <v>0</v>
      </c>
      <c r="M463" t="n">
        <v>0</v>
      </c>
      <c r="N463" t="n">
        <v>0</v>
      </c>
      <c r="O463" t="n">
        <v>0</v>
      </c>
      <c r="P463" t="n">
        <v>0</v>
      </c>
      <c r="Q463" t="n">
        <v>0</v>
      </c>
      <c r="R463" s="2" t="inlineStr"/>
    </row>
    <row r="464" ht="15" customHeight="1">
      <c r="A464" t="inlineStr">
        <is>
          <t>A 10492-2023</t>
        </is>
      </c>
      <c r="B464" s="1" t="n">
        <v>44987</v>
      </c>
      <c r="C464" s="1" t="n">
        <v>45895</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32379-2025</t>
        </is>
      </c>
      <c r="B465" s="1" t="n">
        <v>45837</v>
      </c>
      <c r="C465" s="1" t="n">
        <v>45895</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61694-2023</t>
        </is>
      </c>
      <c r="B466" s="1" t="n">
        <v>45264</v>
      </c>
      <c r="C466" s="1" t="n">
        <v>45895</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5909-2025</t>
        </is>
      </c>
      <c r="B467" s="1" t="n">
        <v>45695.40634259259</v>
      </c>
      <c r="C467" s="1" t="n">
        <v>45895</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10653-2023</t>
        </is>
      </c>
      <c r="B468" s="1" t="n">
        <v>44988.48859953704</v>
      </c>
      <c r="C468" s="1" t="n">
        <v>45895</v>
      </c>
      <c r="D468" t="inlineStr">
        <is>
          <t>GOTLANDS LÄN</t>
        </is>
      </c>
      <c r="E468" t="inlineStr">
        <is>
          <t>GOTLAND</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32467-2025</t>
        </is>
      </c>
      <c r="B469" s="1" t="n">
        <v>45838.42111111111</v>
      </c>
      <c r="C469" s="1" t="n">
        <v>45895</v>
      </c>
      <c r="D469" t="inlineStr">
        <is>
          <t>GOTLANDS LÄN</t>
        </is>
      </c>
      <c r="E469" t="inlineStr">
        <is>
          <t>GOTLAND</t>
        </is>
      </c>
      <c r="G469" t="n">
        <v>4.3</v>
      </c>
      <c r="H469" t="n">
        <v>0</v>
      </c>
      <c r="I469" t="n">
        <v>0</v>
      </c>
      <c r="J469" t="n">
        <v>0</v>
      </c>
      <c r="K469" t="n">
        <v>0</v>
      </c>
      <c r="L469" t="n">
        <v>0</v>
      </c>
      <c r="M469" t="n">
        <v>0</v>
      </c>
      <c r="N469" t="n">
        <v>0</v>
      </c>
      <c r="O469" t="n">
        <v>0</v>
      </c>
      <c r="P469" t="n">
        <v>0</v>
      </c>
      <c r="Q469" t="n">
        <v>0</v>
      </c>
      <c r="R469" s="2" t="inlineStr"/>
    </row>
    <row r="470" ht="15" customHeight="1">
      <c r="A470" t="inlineStr">
        <is>
          <t>A 15001-2025</t>
        </is>
      </c>
      <c r="B470" s="1" t="n">
        <v>45743</v>
      </c>
      <c r="C470" s="1" t="n">
        <v>45895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32378-2025</t>
        </is>
      </c>
      <c r="B471" s="1" t="n">
        <v>45837</v>
      </c>
      <c r="C471" s="1" t="n">
        <v>45895</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4990-2025</t>
        </is>
      </c>
      <c r="B472" s="1" t="n">
        <v>45691</v>
      </c>
      <c r="C472" s="1" t="n">
        <v>45895</v>
      </c>
      <c r="D472" t="inlineStr">
        <is>
          <t>GOTLANDS LÄN</t>
        </is>
      </c>
      <c r="E472" t="inlineStr">
        <is>
          <t>GOTLAND</t>
        </is>
      </c>
      <c r="G472" t="n">
        <v>7.7</v>
      </c>
      <c r="H472" t="n">
        <v>0</v>
      </c>
      <c r="I472" t="n">
        <v>0</v>
      </c>
      <c r="J472" t="n">
        <v>0</v>
      </c>
      <c r="K472" t="n">
        <v>0</v>
      </c>
      <c r="L472" t="n">
        <v>0</v>
      </c>
      <c r="M472" t="n">
        <v>0</v>
      </c>
      <c r="N472" t="n">
        <v>0</v>
      </c>
      <c r="O472" t="n">
        <v>0</v>
      </c>
      <c r="P472" t="n">
        <v>0</v>
      </c>
      <c r="Q472" t="n">
        <v>0</v>
      </c>
      <c r="R472" s="2" t="inlineStr"/>
    </row>
    <row r="473" ht="15" customHeight="1">
      <c r="A473" t="inlineStr">
        <is>
          <t>A 16109-2025</t>
        </is>
      </c>
      <c r="B473" s="1" t="n">
        <v>45750</v>
      </c>
      <c r="C473" s="1" t="n">
        <v>45895</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45895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64555-2023</t>
        </is>
      </c>
      <c r="B475" s="1" t="n">
        <v>45281</v>
      </c>
      <c r="C475" s="1" t="n">
        <v>45895</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64831-2023</t>
        </is>
      </c>
      <c r="B476" s="1" t="n">
        <v>45282.44924768519</v>
      </c>
      <c r="C476" s="1" t="n">
        <v>45895</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45895</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999-2023</t>
        </is>
      </c>
      <c r="B478" s="1" t="n">
        <v>44935</v>
      </c>
      <c r="C478" s="1" t="n">
        <v>45895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27602-2023</t>
        </is>
      </c>
      <c r="B479" s="1" t="n">
        <v>45097</v>
      </c>
      <c r="C479" s="1" t="n">
        <v>45895</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45895</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32958-2021</t>
        </is>
      </c>
      <c r="B481" s="1" t="n">
        <v>44376</v>
      </c>
      <c r="C481" s="1" t="n">
        <v>45895</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20660-2025</t>
        </is>
      </c>
      <c r="B482" s="1" t="n">
        <v>45776</v>
      </c>
      <c r="C482" s="1" t="n">
        <v>45895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5884-2025</t>
        </is>
      </c>
      <c r="B483" s="1" t="n">
        <v>45695.37482638889</v>
      </c>
      <c r="C483" s="1" t="n">
        <v>45895</v>
      </c>
      <c r="D483" t="inlineStr">
        <is>
          <t>GOTLANDS LÄN</t>
        </is>
      </c>
      <c r="E483" t="inlineStr">
        <is>
          <t>GOTLAND</t>
        </is>
      </c>
      <c r="G483" t="n">
        <v>2.1</v>
      </c>
      <c r="H483" t="n">
        <v>0</v>
      </c>
      <c r="I483" t="n">
        <v>0</v>
      </c>
      <c r="J483" t="n">
        <v>0</v>
      </c>
      <c r="K483" t="n">
        <v>0</v>
      </c>
      <c r="L483" t="n">
        <v>0</v>
      </c>
      <c r="M483" t="n">
        <v>0</v>
      </c>
      <c r="N483" t="n">
        <v>0</v>
      </c>
      <c r="O483" t="n">
        <v>0</v>
      </c>
      <c r="P483" t="n">
        <v>0</v>
      </c>
      <c r="Q483" t="n">
        <v>0</v>
      </c>
      <c r="R483" s="2" t="inlineStr"/>
    </row>
    <row r="484" ht="15" customHeight="1">
      <c r="A484" t="inlineStr">
        <is>
          <t>A 5897-2025</t>
        </is>
      </c>
      <c r="B484" s="1" t="n">
        <v>45695.39273148148</v>
      </c>
      <c r="C484" s="1" t="n">
        <v>45895</v>
      </c>
      <c r="D484" t="inlineStr">
        <is>
          <t>GOTLANDS LÄN</t>
        </is>
      </c>
      <c r="E484" t="inlineStr">
        <is>
          <t>GOTLAND</t>
        </is>
      </c>
      <c r="G484" t="n">
        <v>3.7</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45895</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33011-2025</t>
        </is>
      </c>
      <c r="B486" s="1" t="n">
        <v>45840</v>
      </c>
      <c r="C486" s="1" t="n">
        <v>45895</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49693-2023</t>
        </is>
      </c>
      <c r="B487" s="1" t="n">
        <v>45212.38138888889</v>
      </c>
      <c r="C487" s="1" t="n">
        <v>45895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49697-2023</t>
        </is>
      </c>
      <c r="B488" s="1" t="n">
        <v>45212.38909722222</v>
      </c>
      <c r="C488" s="1" t="n">
        <v>45895</v>
      </c>
      <c r="D488" t="inlineStr">
        <is>
          <t>GOTLANDS LÄN</t>
        </is>
      </c>
      <c r="E488" t="inlineStr">
        <is>
          <t>GOTLAND</t>
        </is>
      </c>
      <c r="G488" t="n">
        <v>4.4</v>
      </c>
      <c r="H488" t="n">
        <v>0</v>
      </c>
      <c r="I488" t="n">
        <v>0</v>
      </c>
      <c r="J488" t="n">
        <v>0</v>
      </c>
      <c r="K488" t="n">
        <v>0</v>
      </c>
      <c r="L488" t="n">
        <v>0</v>
      </c>
      <c r="M488" t="n">
        <v>0</v>
      </c>
      <c r="N488" t="n">
        <v>0</v>
      </c>
      <c r="O488" t="n">
        <v>0</v>
      </c>
      <c r="P488" t="n">
        <v>0</v>
      </c>
      <c r="Q488" t="n">
        <v>0</v>
      </c>
      <c r="R488" s="2" t="inlineStr"/>
    </row>
    <row r="489" ht="15" customHeight="1">
      <c r="A489" t="inlineStr">
        <is>
          <t>A 4377-2023</t>
        </is>
      </c>
      <c r="B489" s="1" t="n">
        <v>44955.5502662037</v>
      </c>
      <c r="C489" s="1" t="n">
        <v>45895</v>
      </c>
      <c r="D489" t="inlineStr">
        <is>
          <t>GOTLANDS LÄN</t>
        </is>
      </c>
      <c r="E489" t="inlineStr">
        <is>
          <t>GOTLAND</t>
        </is>
      </c>
      <c r="F489" t="inlineStr">
        <is>
          <t>Kyrkan</t>
        </is>
      </c>
      <c r="G489" t="n">
        <v>0.6</v>
      </c>
      <c r="H489" t="n">
        <v>0</v>
      </c>
      <c r="I489" t="n">
        <v>0</v>
      </c>
      <c r="J489" t="n">
        <v>0</v>
      </c>
      <c r="K489" t="n">
        <v>0</v>
      </c>
      <c r="L489" t="n">
        <v>0</v>
      </c>
      <c r="M489" t="n">
        <v>0</v>
      </c>
      <c r="N489" t="n">
        <v>0</v>
      </c>
      <c r="O489" t="n">
        <v>0</v>
      </c>
      <c r="P489" t="n">
        <v>0</v>
      </c>
      <c r="Q489" t="n">
        <v>0</v>
      </c>
      <c r="R489" s="2" t="inlineStr"/>
    </row>
    <row r="490" ht="15" customHeight="1">
      <c r="A490" t="inlineStr">
        <is>
          <t>A 4387-2023</t>
        </is>
      </c>
      <c r="B490" s="1" t="n">
        <v>44955.73359953704</v>
      </c>
      <c r="C490" s="1" t="n">
        <v>45895</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17901-2023</t>
        </is>
      </c>
      <c r="B491" s="1" t="n">
        <v>45039</v>
      </c>
      <c r="C491" s="1" t="n">
        <v>45895</v>
      </c>
      <c r="D491" t="inlineStr">
        <is>
          <t>GOTLANDS LÄN</t>
        </is>
      </c>
      <c r="E491" t="inlineStr">
        <is>
          <t>GOTLAND</t>
        </is>
      </c>
      <c r="F491" t="inlineStr">
        <is>
          <t>Kyrkan</t>
        </is>
      </c>
      <c r="G491" t="n">
        <v>0.6</v>
      </c>
      <c r="H491" t="n">
        <v>0</v>
      </c>
      <c r="I491" t="n">
        <v>0</v>
      </c>
      <c r="J491" t="n">
        <v>0</v>
      </c>
      <c r="K491" t="n">
        <v>0</v>
      </c>
      <c r="L491" t="n">
        <v>0</v>
      </c>
      <c r="M491" t="n">
        <v>0</v>
      </c>
      <c r="N491" t="n">
        <v>0</v>
      </c>
      <c r="O491" t="n">
        <v>0</v>
      </c>
      <c r="P491" t="n">
        <v>0</v>
      </c>
      <c r="Q491" t="n">
        <v>0</v>
      </c>
      <c r="R491" s="2" t="inlineStr"/>
    </row>
    <row r="492" ht="15" customHeight="1">
      <c r="A492" t="inlineStr">
        <is>
          <t>A 39479-2022</t>
        </is>
      </c>
      <c r="B492" s="1" t="n">
        <v>44818</v>
      </c>
      <c r="C492" s="1" t="n">
        <v>45895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38649-2025</t>
        </is>
      </c>
      <c r="B493" s="1" t="n">
        <v>45884</v>
      </c>
      <c r="C493" s="1" t="n">
        <v>45895</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51963-2024</t>
        </is>
      </c>
      <c r="B494" s="1" t="n">
        <v>45607.64833333333</v>
      </c>
      <c r="C494" s="1" t="n">
        <v>45895</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52892-2021</t>
        </is>
      </c>
      <c r="B495" s="1" t="n">
        <v>44467.49048611111</v>
      </c>
      <c r="C495" s="1" t="n">
        <v>45895</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22883-2024</t>
        </is>
      </c>
      <c r="B496" s="1" t="n">
        <v>45448.66368055555</v>
      </c>
      <c r="C496" s="1" t="n">
        <v>45895</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811-2023</t>
        </is>
      </c>
      <c r="B497" s="1" t="n">
        <v>44931</v>
      </c>
      <c r="C497" s="1" t="n">
        <v>45895</v>
      </c>
      <c r="D497" t="inlineStr">
        <is>
          <t>GOTLANDS LÄN</t>
        </is>
      </c>
      <c r="E497" t="inlineStr">
        <is>
          <t>GOTLAND</t>
        </is>
      </c>
      <c r="G497" t="n">
        <v>0.6</v>
      </c>
      <c r="H497" t="n">
        <v>0</v>
      </c>
      <c r="I497" t="n">
        <v>0</v>
      </c>
      <c r="J497" t="n">
        <v>0</v>
      </c>
      <c r="K497" t="n">
        <v>0</v>
      </c>
      <c r="L497" t="n">
        <v>0</v>
      </c>
      <c r="M497" t="n">
        <v>0</v>
      </c>
      <c r="N497" t="n">
        <v>0</v>
      </c>
      <c r="O497" t="n">
        <v>0</v>
      </c>
      <c r="P497" t="n">
        <v>0</v>
      </c>
      <c r="Q497" t="n">
        <v>0</v>
      </c>
      <c r="R497" s="2" t="inlineStr"/>
    </row>
    <row r="498" ht="15" customHeight="1">
      <c r="A498" t="inlineStr">
        <is>
          <t>A 1713-2025</t>
        </is>
      </c>
      <c r="B498" s="1" t="n">
        <v>45671.32342592593</v>
      </c>
      <c r="C498" s="1" t="n">
        <v>45895</v>
      </c>
      <c r="D498" t="inlineStr">
        <is>
          <t>GOTLANDS LÄN</t>
        </is>
      </c>
      <c r="E498" t="inlineStr">
        <is>
          <t>GOTLAND</t>
        </is>
      </c>
      <c r="G498" t="n">
        <v>10.1</v>
      </c>
      <c r="H498" t="n">
        <v>0</v>
      </c>
      <c r="I498" t="n">
        <v>0</v>
      </c>
      <c r="J498" t="n">
        <v>0</v>
      </c>
      <c r="K498" t="n">
        <v>0</v>
      </c>
      <c r="L498" t="n">
        <v>0</v>
      </c>
      <c r="M498" t="n">
        <v>0</v>
      </c>
      <c r="N498" t="n">
        <v>0</v>
      </c>
      <c r="O498" t="n">
        <v>0</v>
      </c>
      <c r="P498" t="n">
        <v>0</v>
      </c>
      <c r="Q498" t="n">
        <v>0</v>
      </c>
      <c r="R498" s="2" t="inlineStr"/>
    </row>
    <row r="499" ht="15" customHeight="1">
      <c r="A499" t="inlineStr">
        <is>
          <t>A 46389-2021</t>
        </is>
      </c>
      <c r="B499" s="1" t="n">
        <v>44443</v>
      </c>
      <c r="C499" s="1" t="n">
        <v>45895</v>
      </c>
      <c r="D499" t="inlineStr">
        <is>
          <t>GOTLANDS LÄN</t>
        </is>
      </c>
      <c r="E499" t="inlineStr">
        <is>
          <t>GOTLAND</t>
        </is>
      </c>
      <c r="F499" t="inlineStr">
        <is>
          <t>Kyrkan</t>
        </is>
      </c>
      <c r="G499" t="n">
        <v>2.1</v>
      </c>
      <c r="H499" t="n">
        <v>0</v>
      </c>
      <c r="I499" t="n">
        <v>0</v>
      </c>
      <c r="J499" t="n">
        <v>0</v>
      </c>
      <c r="K499" t="n">
        <v>0</v>
      </c>
      <c r="L499" t="n">
        <v>0</v>
      </c>
      <c r="M499" t="n">
        <v>0</v>
      </c>
      <c r="N499" t="n">
        <v>0</v>
      </c>
      <c r="O499" t="n">
        <v>0</v>
      </c>
      <c r="P499" t="n">
        <v>0</v>
      </c>
      <c r="Q499" t="n">
        <v>0</v>
      </c>
      <c r="R499" s="2" t="inlineStr"/>
    </row>
    <row r="500" ht="15" customHeight="1">
      <c r="A500" t="inlineStr">
        <is>
          <t>A 46396-2023</t>
        </is>
      </c>
      <c r="B500" s="1" t="n">
        <v>45197</v>
      </c>
      <c r="C500" s="1" t="n">
        <v>45895</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26810-2021</t>
        </is>
      </c>
      <c r="B501" s="1" t="n">
        <v>44349.55087962963</v>
      </c>
      <c r="C501" s="1" t="n">
        <v>45895</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17724-2024</t>
        </is>
      </c>
      <c r="B502" s="1" t="n">
        <v>45418.55096064815</v>
      </c>
      <c r="C502" s="1" t="n">
        <v>45895</v>
      </c>
      <c r="D502" t="inlineStr">
        <is>
          <t>GOTLANDS LÄN</t>
        </is>
      </c>
      <c r="E502" t="inlineStr">
        <is>
          <t>GOTLAND</t>
        </is>
      </c>
      <c r="G502" t="n">
        <v>2</v>
      </c>
      <c r="H502" t="n">
        <v>0</v>
      </c>
      <c r="I502" t="n">
        <v>0</v>
      </c>
      <c r="J502" t="n">
        <v>0</v>
      </c>
      <c r="K502" t="n">
        <v>0</v>
      </c>
      <c r="L502" t="n">
        <v>0</v>
      </c>
      <c r="M502" t="n">
        <v>0</v>
      </c>
      <c r="N502" t="n">
        <v>0</v>
      </c>
      <c r="O502" t="n">
        <v>0</v>
      </c>
      <c r="P502" t="n">
        <v>0</v>
      </c>
      <c r="Q502" t="n">
        <v>0</v>
      </c>
      <c r="R502" s="2" t="inlineStr"/>
    </row>
    <row r="503" ht="15" customHeight="1">
      <c r="A503" t="inlineStr">
        <is>
          <t>A 5923-2023</t>
        </is>
      </c>
      <c r="B503" s="1" t="n">
        <v>44963.69503472222</v>
      </c>
      <c r="C503" s="1" t="n">
        <v>45895</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33853-2024</t>
        </is>
      </c>
      <c r="B504" s="1" t="n">
        <v>45520.64298611111</v>
      </c>
      <c r="C504" s="1" t="n">
        <v>45895</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18918-2025</t>
        </is>
      </c>
      <c r="B505" s="1" t="n">
        <v>45764</v>
      </c>
      <c r="C505" s="1" t="n">
        <v>45895</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34312-2024</t>
        </is>
      </c>
      <c r="B506" s="1" t="n">
        <v>45524.69703703704</v>
      </c>
      <c r="C506" s="1" t="n">
        <v>45895</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2674-2023</t>
        </is>
      </c>
      <c r="B507" s="1" t="n">
        <v>44944</v>
      </c>
      <c r="C507" s="1" t="n">
        <v>45895</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10655-2023</t>
        </is>
      </c>
      <c r="B508" s="1" t="n">
        <v>44988.49543981482</v>
      </c>
      <c r="C508" s="1" t="n">
        <v>45895</v>
      </c>
      <c r="D508" t="inlineStr">
        <is>
          <t>GOTLANDS LÄN</t>
        </is>
      </c>
      <c r="E508" t="inlineStr">
        <is>
          <t>GOTLAND</t>
        </is>
      </c>
      <c r="F508" t="inlineStr">
        <is>
          <t>Kyrkan</t>
        </is>
      </c>
      <c r="G508" t="n">
        <v>2</v>
      </c>
      <c r="H508" t="n">
        <v>0</v>
      </c>
      <c r="I508" t="n">
        <v>0</v>
      </c>
      <c r="J508" t="n">
        <v>0</v>
      </c>
      <c r="K508" t="n">
        <v>0</v>
      </c>
      <c r="L508" t="n">
        <v>0</v>
      </c>
      <c r="M508" t="n">
        <v>0</v>
      </c>
      <c r="N508" t="n">
        <v>0</v>
      </c>
      <c r="O508" t="n">
        <v>0</v>
      </c>
      <c r="P508" t="n">
        <v>0</v>
      </c>
      <c r="Q508" t="n">
        <v>0</v>
      </c>
      <c r="R508" s="2" t="inlineStr"/>
    </row>
    <row r="509" ht="15" customHeight="1">
      <c r="A509" t="inlineStr">
        <is>
          <t>A 15216-2025</t>
        </is>
      </c>
      <c r="B509" s="1" t="n">
        <v>45744</v>
      </c>
      <c r="C509" s="1" t="n">
        <v>45895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6153-2024</t>
        </is>
      </c>
      <c r="B510" s="1" t="n">
        <v>45337</v>
      </c>
      <c r="C510" s="1" t="n">
        <v>45895</v>
      </c>
      <c r="D510" t="inlineStr">
        <is>
          <t>GOTLANDS LÄN</t>
        </is>
      </c>
      <c r="E510" t="inlineStr">
        <is>
          <t>GOTLAND</t>
        </is>
      </c>
      <c r="G510" t="n">
        <v>14.2</v>
      </c>
      <c r="H510" t="n">
        <v>0</v>
      </c>
      <c r="I510" t="n">
        <v>0</v>
      </c>
      <c r="J510" t="n">
        <v>0</v>
      </c>
      <c r="K510" t="n">
        <v>0</v>
      </c>
      <c r="L510" t="n">
        <v>0</v>
      </c>
      <c r="M510" t="n">
        <v>0</v>
      </c>
      <c r="N510" t="n">
        <v>0</v>
      </c>
      <c r="O510" t="n">
        <v>0</v>
      </c>
      <c r="P510" t="n">
        <v>0</v>
      </c>
      <c r="Q510" t="n">
        <v>0</v>
      </c>
      <c r="R510" s="2" t="inlineStr"/>
    </row>
    <row r="511" ht="15" customHeight="1">
      <c r="A511" t="inlineStr">
        <is>
          <t>A 2719-2023</t>
        </is>
      </c>
      <c r="B511" s="1" t="n">
        <v>44944.55361111111</v>
      </c>
      <c r="C511" s="1" t="n">
        <v>45895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26891-2024</t>
        </is>
      </c>
      <c r="B512" s="1" t="n">
        <v>45470.65540509259</v>
      </c>
      <c r="C512" s="1" t="n">
        <v>45895</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42007-2023</t>
        </is>
      </c>
      <c r="B513" s="1" t="n">
        <v>45177</v>
      </c>
      <c r="C513" s="1" t="n">
        <v>45895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45895</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38165-2023</t>
        </is>
      </c>
      <c r="B515" s="1" t="n">
        <v>45161</v>
      </c>
      <c r="C515" s="1" t="n">
        <v>45895</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39278-2025</t>
        </is>
      </c>
      <c r="B516" s="1" t="n">
        <v>45889</v>
      </c>
      <c r="C516" s="1" t="n">
        <v>45895</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15413-2025</t>
        </is>
      </c>
      <c r="B517" s="1" t="n">
        <v>45747.451875</v>
      </c>
      <c r="C517" s="1" t="n">
        <v>45895</v>
      </c>
      <c r="D517" t="inlineStr">
        <is>
          <t>GOTLANDS LÄN</t>
        </is>
      </c>
      <c r="E517" t="inlineStr">
        <is>
          <t>GOTLAND</t>
        </is>
      </c>
      <c r="G517" t="n">
        <v>0.6</v>
      </c>
      <c r="H517" t="n">
        <v>0</v>
      </c>
      <c r="I517" t="n">
        <v>0</v>
      </c>
      <c r="J517" t="n">
        <v>0</v>
      </c>
      <c r="K517" t="n">
        <v>0</v>
      </c>
      <c r="L517" t="n">
        <v>0</v>
      </c>
      <c r="M517" t="n">
        <v>0</v>
      </c>
      <c r="N517" t="n">
        <v>0</v>
      </c>
      <c r="O517" t="n">
        <v>0</v>
      </c>
      <c r="P517" t="n">
        <v>0</v>
      </c>
      <c r="Q517" t="n">
        <v>0</v>
      </c>
      <c r="R517" s="2" t="inlineStr"/>
    </row>
    <row r="518" ht="15" customHeight="1">
      <c r="A518" t="inlineStr">
        <is>
          <t>A 27596-2023</t>
        </is>
      </c>
      <c r="B518" s="1" t="n">
        <v>45097</v>
      </c>
      <c r="C518" s="1" t="n">
        <v>45895</v>
      </c>
      <c r="D518" t="inlineStr">
        <is>
          <t>GOTLANDS LÄN</t>
        </is>
      </c>
      <c r="E518" t="inlineStr">
        <is>
          <t>GOTLAND</t>
        </is>
      </c>
      <c r="G518" t="n">
        <v>3.6</v>
      </c>
      <c r="H518" t="n">
        <v>0</v>
      </c>
      <c r="I518" t="n">
        <v>0</v>
      </c>
      <c r="J518" t="n">
        <v>0</v>
      </c>
      <c r="K518" t="n">
        <v>0</v>
      </c>
      <c r="L518" t="n">
        <v>0</v>
      </c>
      <c r="M518" t="n">
        <v>0</v>
      </c>
      <c r="N518" t="n">
        <v>0</v>
      </c>
      <c r="O518" t="n">
        <v>0</v>
      </c>
      <c r="P518" t="n">
        <v>0</v>
      </c>
      <c r="Q518" t="n">
        <v>0</v>
      </c>
      <c r="R518" s="2" t="inlineStr"/>
    </row>
    <row r="519" ht="15" customHeight="1">
      <c r="A519" t="inlineStr">
        <is>
          <t>A 69112-2021</t>
        </is>
      </c>
      <c r="B519" s="1" t="n">
        <v>44530</v>
      </c>
      <c r="C519" s="1" t="n">
        <v>45895</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45895</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40235-2025</t>
        </is>
      </c>
      <c r="B521" s="1" t="n">
        <v>45894.74005787037</v>
      </c>
      <c r="C521" s="1" t="n">
        <v>45895</v>
      </c>
      <c r="D521" t="inlineStr">
        <is>
          <t>GOTLANDS LÄN</t>
        </is>
      </c>
      <c r="E521" t="inlineStr">
        <is>
          <t>GOTLAND</t>
        </is>
      </c>
      <c r="G521" t="n">
        <v>10.6</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45895</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35123-2025</t>
        </is>
      </c>
      <c r="B523" s="1" t="n">
        <v>45852.614375</v>
      </c>
      <c r="C523" s="1" t="n">
        <v>45895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50482-2024</t>
        </is>
      </c>
      <c r="B524" s="1" t="n">
        <v>45601.48114583334</v>
      </c>
      <c r="C524" s="1" t="n">
        <v>45895</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55334-2024</t>
        </is>
      </c>
      <c r="B525" s="1" t="n">
        <v>45621</v>
      </c>
      <c r="C525" s="1" t="n">
        <v>45895</v>
      </c>
      <c r="D525" t="inlineStr">
        <is>
          <t>GOTLANDS LÄN</t>
        </is>
      </c>
      <c r="E525" t="inlineStr">
        <is>
          <t>GOTLAND</t>
        </is>
      </c>
      <c r="G525" t="n">
        <v>21.7</v>
      </c>
      <c r="H525" t="n">
        <v>0</v>
      </c>
      <c r="I525" t="n">
        <v>0</v>
      </c>
      <c r="J525" t="n">
        <v>0</v>
      </c>
      <c r="K525" t="n">
        <v>0</v>
      </c>
      <c r="L525" t="n">
        <v>0</v>
      </c>
      <c r="M525" t="n">
        <v>0</v>
      </c>
      <c r="N525" t="n">
        <v>0</v>
      </c>
      <c r="O525" t="n">
        <v>0</v>
      </c>
      <c r="P525" t="n">
        <v>0</v>
      </c>
      <c r="Q525" t="n">
        <v>0</v>
      </c>
      <c r="R525" s="2" t="inlineStr"/>
    </row>
    <row r="526" ht="15" customHeight="1">
      <c r="A526" t="inlineStr">
        <is>
          <t>A 35133-2025</t>
        </is>
      </c>
      <c r="B526" s="1" t="n">
        <v>45852.6363425926</v>
      </c>
      <c r="C526" s="1" t="n">
        <v>45895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24825-2024</t>
        </is>
      </c>
      <c r="B527" s="1" t="n">
        <v>45461</v>
      </c>
      <c r="C527" s="1" t="n">
        <v>45895</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6696-2023</t>
        </is>
      </c>
      <c r="B528" s="1" t="n">
        <v>44966.66425925926</v>
      </c>
      <c r="C528" s="1" t="n">
        <v>45895</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1394-2023</t>
        </is>
      </c>
      <c r="B529" s="1" t="n">
        <v>44936.72997685185</v>
      </c>
      <c r="C529" s="1" t="n">
        <v>45895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36319-2025</t>
        </is>
      </c>
      <c r="B530" s="1" t="n">
        <v>45868.38543981482</v>
      </c>
      <c r="C530" s="1" t="n">
        <v>45895</v>
      </c>
      <c r="D530" t="inlineStr">
        <is>
          <t>GOTLANDS LÄN</t>
        </is>
      </c>
      <c r="E530" t="inlineStr">
        <is>
          <t>GOTLAND</t>
        </is>
      </c>
      <c r="G530" t="n">
        <v>2.9</v>
      </c>
      <c r="H530" t="n">
        <v>0</v>
      </c>
      <c r="I530" t="n">
        <v>0</v>
      </c>
      <c r="J530" t="n">
        <v>0</v>
      </c>
      <c r="K530" t="n">
        <v>0</v>
      </c>
      <c r="L530" t="n">
        <v>0</v>
      </c>
      <c r="M530" t="n">
        <v>0</v>
      </c>
      <c r="N530" t="n">
        <v>0</v>
      </c>
      <c r="O530" t="n">
        <v>0</v>
      </c>
      <c r="P530" t="n">
        <v>0</v>
      </c>
      <c r="Q530" t="n">
        <v>0</v>
      </c>
      <c r="R530" s="2" t="inlineStr"/>
    </row>
    <row r="531" ht="15" customHeight="1">
      <c r="A531" t="inlineStr">
        <is>
          <t>A 39814-2025</t>
        </is>
      </c>
      <c r="B531" s="1" t="n">
        <v>45891.52694444444</v>
      </c>
      <c r="C531" s="1" t="n">
        <v>45895</v>
      </c>
      <c r="D531" t="inlineStr">
        <is>
          <t>GOTLANDS LÄN</t>
        </is>
      </c>
      <c r="E531" t="inlineStr">
        <is>
          <t>GOTLAND</t>
        </is>
      </c>
      <c r="G531" t="n">
        <v>4.5</v>
      </c>
      <c r="H531" t="n">
        <v>0</v>
      </c>
      <c r="I531" t="n">
        <v>0</v>
      </c>
      <c r="J531" t="n">
        <v>0</v>
      </c>
      <c r="K531" t="n">
        <v>0</v>
      </c>
      <c r="L531" t="n">
        <v>0</v>
      </c>
      <c r="M531" t="n">
        <v>0</v>
      </c>
      <c r="N531" t="n">
        <v>0</v>
      </c>
      <c r="O531" t="n">
        <v>0</v>
      </c>
      <c r="P531" t="n">
        <v>0</v>
      </c>
      <c r="Q531" t="n">
        <v>0</v>
      </c>
      <c r="R531" s="2" t="inlineStr"/>
    </row>
    <row r="532" ht="15" customHeight="1">
      <c r="A532" t="inlineStr">
        <is>
          <t>A 21247-2022</t>
        </is>
      </c>
      <c r="B532" s="1" t="n">
        <v>44705.38832175926</v>
      </c>
      <c r="C532" s="1" t="n">
        <v>45895</v>
      </c>
      <c r="D532" t="inlineStr">
        <is>
          <t>GOTLANDS LÄN</t>
        </is>
      </c>
      <c r="E532" t="inlineStr">
        <is>
          <t>GOTLAND</t>
        </is>
      </c>
      <c r="G532" t="n">
        <v>16.2</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44929.87122685185</v>
      </c>
      <c r="C533" s="1" t="n">
        <v>45895</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35141-2025</t>
        </is>
      </c>
      <c r="B534" s="1" t="n">
        <v>45852.65206018519</v>
      </c>
      <c r="C534" s="1" t="n">
        <v>45895</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39816-2025</t>
        </is>
      </c>
      <c r="B535" s="1" t="n">
        <v>45891</v>
      </c>
      <c r="C535" s="1" t="n">
        <v>45895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35096-2025</t>
        </is>
      </c>
      <c r="B536" s="1" t="n">
        <v>45852.54356481481</v>
      </c>
      <c r="C536" s="1" t="n">
        <v>45895</v>
      </c>
      <c r="D536" t="inlineStr">
        <is>
          <t>GOTLANDS LÄN</t>
        </is>
      </c>
      <c r="E536" t="inlineStr">
        <is>
          <t>GOTLAND</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45895</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2714-2023</t>
        </is>
      </c>
      <c r="B538" s="1" t="n">
        <v>44944.54896990741</v>
      </c>
      <c r="C538" s="1" t="n">
        <v>45895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35142-2025</t>
        </is>
      </c>
      <c r="B539" s="1" t="n">
        <v>45852.65532407408</v>
      </c>
      <c r="C539" s="1" t="n">
        <v>45895</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1462-2025</t>
        </is>
      </c>
      <c r="B540" s="1" t="n">
        <v>45670.36319444444</v>
      </c>
      <c r="C540" s="1" t="n">
        <v>45895</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39849-2025</t>
        </is>
      </c>
      <c r="B541" s="1" t="n">
        <v>45891.58502314815</v>
      </c>
      <c r="C541" s="1" t="n">
        <v>45895</v>
      </c>
      <c r="D541" t="inlineStr">
        <is>
          <t>GOTLANDS LÄN</t>
        </is>
      </c>
      <c r="E541" t="inlineStr">
        <is>
          <t>GOTLAND</t>
        </is>
      </c>
      <c r="G541" t="n">
        <v>6.1</v>
      </c>
      <c r="H541" t="n">
        <v>0</v>
      </c>
      <c r="I541" t="n">
        <v>0</v>
      </c>
      <c r="J541" t="n">
        <v>0</v>
      </c>
      <c r="K541" t="n">
        <v>0</v>
      </c>
      <c r="L541" t="n">
        <v>0</v>
      </c>
      <c r="M541" t="n">
        <v>0</v>
      </c>
      <c r="N541" t="n">
        <v>0</v>
      </c>
      <c r="O541" t="n">
        <v>0</v>
      </c>
      <c r="P541" t="n">
        <v>0</v>
      </c>
      <c r="Q541" t="n">
        <v>0</v>
      </c>
      <c r="R541" s="2" t="inlineStr"/>
    </row>
    <row r="542" ht="15" customHeight="1">
      <c r="A542" t="inlineStr">
        <is>
          <t>A 4421-2024</t>
        </is>
      </c>
      <c r="B542" s="1" t="n">
        <v>45327.45173611111</v>
      </c>
      <c r="C542" s="1" t="n">
        <v>45895</v>
      </c>
      <c r="D542" t="inlineStr">
        <is>
          <t>GOTLANDS LÄN</t>
        </is>
      </c>
      <c r="E542" t="inlineStr">
        <is>
          <t>GOTLAND</t>
        </is>
      </c>
      <c r="G542" t="n">
        <v>5.1</v>
      </c>
      <c r="H542" t="n">
        <v>0</v>
      </c>
      <c r="I542" t="n">
        <v>0</v>
      </c>
      <c r="J542" t="n">
        <v>0</v>
      </c>
      <c r="K542" t="n">
        <v>0</v>
      </c>
      <c r="L542" t="n">
        <v>0</v>
      </c>
      <c r="M542" t="n">
        <v>0</v>
      </c>
      <c r="N542" t="n">
        <v>0</v>
      </c>
      <c r="O542" t="n">
        <v>0</v>
      </c>
      <c r="P542" t="n">
        <v>0</v>
      </c>
      <c r="Q542" t="n">
        <v>0</v>
      </c>
      <c r="R542" s="2" t="inlineStr"/>
    </row>
    <row r="543" ht="15" customHeight="1">
      <c r="A543" t="inlineStr">
        <is>
          <t>A 40103-2025</t>
        </is>
      </c>
      <c r="B543" s="1" t="n">
        <v>45894.4880324074</v>
      </c>
      <c r="C543" s="1" t="n">
        <v>45895</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35129-2025</t>
        </is>
      </c>
      <c r="B544" s="1" t="n">
        <v>45852.63224537037</v>
      </c>
      <c r="C544" s="1" t="n">
        <v>45895</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39752-2025</t>
        </is>
      </c>
      <c r="B545" s="1" t="n">
        <v>45891</v>
      </c>
      <c r="C545" s="1" t="n">
        <v>45895</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39819-2025</t>
        </is>
      </c>
      <c r="B546" s="1" t="n">
        <v>45891.53418981482</v>
      </c>
      <c r="C546" s="1" t="n">
        <v>45895</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51782-2023</t>
        </is>
      </c>
      <c r="B547" s="1" t="n">
        <v>45222.80952546297</v>
      </c>
      <c r="C547" s="1" t="n">
        <v>45895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45895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25129-2023</t>
        </is>
      </c>
      <c r="B549" s="1" t="n">
        <v>45086.44261574074</v>
      </c>
      <c r="C549" s="1" t="n">
        <v>45895</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17343-2025</t>
        </is>
      </c>
      <c r="B550" s="1" t="n">
        <v>45756.6687037037</v>
      </c>
      <c r="C550" s="1" t="n">
        <v>45895</v>
      </c>
      <c r="D550" t="inlineStr">
        <is>
          <t>GOTLANDS LÄN</t>
        </is>
      </c>
      <c r="E550" t="inlineStr">
        <is>
          <t>GOTLAND</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24192-2023</t>
        </is>
      </c>
      <c r="B551" s="1" t="n">
        <v>45079</v>
      </c>
      <c r="C551" s="1" t="n">
        <v>45895</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18914-2025</t>
        </is>
      </c>
      <c r="B552" s="1" t="n">
        <v>45764.46783564815</v>
      </c>
      <c r="C552" s="1" t="n">
        <v>45895</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18742-2025</t>
        </is>
      </c>
      <c r="B553" s="1" t="n">
        <v>45763</v>
      </c>
      <c r="C553" s="1" t="n">
        <v>45895</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5386-2023</t>
        </is>
      </c>
      <c r="B554" s="1" t="n">
        <v>44959</v>
      </c>
      <c r="C554" s="1" t="n">
        <v>45895</v>
      </c>
      <c r="D554" t="inlineStr">
        <is>
          <t>GOTLANDS LÄN</t>
        </is>
      </c>
      <c r="E554" t="inlineStr">
        <is>
          <t>GOTLAND</t>
        </is>
      </c>
      <c r="G554" t="n">
        <v>5.4</v>
      </c>
      <c r="H554" t="n">
        <v>0</v>
      </c>
      <c r="I554" t="n">
        <v>0</v>
      </c>
      <c r="J554" t="n">
        <v>0</v>
      </c>
      <c r="K554" t="n">
        <v>0</v>
      </c>
      <c r="L554" t="n">
        <v>0</v>
      </c>
      <c r="M554" t="n">
        <v>0</v>
      </c>
      <c r="N554" t="n">
        <v>0</v>
      </c>
      <c r="O554" t="n">
        <v>0</v>
      </c>
      <c r="P554" t="n">
        <v>0</v>
      </c>
      <c r="Q554" t="n">
        <v>0</v>
      </c>
      <c r="R554" s="2" t="inlineStr"/>
    </row>
    <row r="555" ht="15" customHeight="1">
      <c r="A555" t="inlineStr">
        <is>
          <t>A 7026-2023</t>
        </is>
      </c>
      <c r="B555" s="1" t="n">
        <v>44968.30340277778</v>
      </c>
      <c r="C555" s="1" t="n">
        <v>45895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20855-2023</t>
        </is>
      </c>
      <c r="B556" s="1" t="n">
        <v>45058.82172453704</v>
      </c>
      <c r="C556" s="1" t="n">
        <v>45895</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45895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25866-2022</t>
        </is>
      </c>
      <c r="B558" s="1" t="n">
        <v>44733</v>
      </c>
      <c r="C558" s="1" t="n">
        <v>45895</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43229-2023</t>
        </is>
      </c>
      <c r="B559" s="1" t="n">
        <v>45183.46704861111</v>
      </c>
      <c r="C559" s="1" t="n">
        <v>45895</v>
      </c>
      <c r="D559" t="inlineStr">
        <is>
          <t>GOTLANDS LÄN</t>
        </is>
      </c>
      <c r="E559" t="inlineStr">
        <is>
          <t>GOTLAND</t>
        </is>
      </c>
      <c r="G559" t="n">
        <v>7.1</v>
      </c>
      <c r="H559" t="n">
        <v>0</v>
      </c>
      <c r="I559" t="n">
        <v>0</v>
      </c>
      <c r="J559" t="n">
        <v>0</v>
      </c>
      <c r="K559" t="n">
        <v>0</v>
      </c>
      <c r="L559" t="n">
        <v>0</v>
      </c>
      <c r="M559" t="n">
        <v>0</v>
      </c>
      <c r="N559" t="n">
        <v>0</v>
      </c>
      <c r="O559" t="n">
        <v>0</v>
      </c>
      <c r="P559" t="n">
        <v>0</v>
      </c>
      <c r="Q559" t="n">
        <v>0</v>
      </c>
      <c r="R559" s="2" t="inlineStr"/>
    </row>
    <row r="560" ht="15" customHeight="1">
      <c r="A560" t="inlineStr">
        <is>
          <t>A 1175-2025</t>
        </is>
      </c>
      <c r="B560" s="1" t="n">
        <v>45667.34449074074</v>
      </c>
      <c r="C560" s="1" t="n">
        <v>45895</v>
      </c>
      <c r="D560" t="inlineStr">
        <is>
          <t>GOTLANDS LÄN</t>
        </is>
      </c>
      <c r="E560" t="inlineStr">
        <is>
          <t>GOTLAND</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16373-2025</t>
        </is>
      </c>
      <c r="B561" s="1" t="n">
        <v>45751</v>
      </c>
      <c r="C561" s="1" t="n">
        <v>45895</v>
      </c>
      <c r="D561" t="inlineStr">
        <is>
          <t>GOTLANDS LÄN</t>
        </is>
      </c>
      <c r="E561" t="inlineStr">
        <is>
          <t>GOTLAND</t>
        </is>
      </c>
      <c r="G561" t="n">
        <v>1.5</v>
      </c>
      <c r="H561" t="n">
        <v>0</v>
      </c>
      <c r="I561" t="n">
        <v>0</v>
      </c>
      <c r="J561" t="n">
        <v>0</v>
      </c>
      <c r="K561" t="n">
        <v>0</v>
      </c>
      <c r="L561" t="n">
        <v>0</v>
      </c>
      <c r="M561" t="n">
        <v>0</v>
      </c>
      <c r="N561" t="n">
        <v>0</v>
      </c>
      <c r="O561" t="n">
        <v>0</v>
      </c>
      <c r="P561" t="n">
        <v>0</v>
      </c>
      <c r="Q561" t="n">
        <v>0</v>
      </c>
      <c r="R561" s="2" t="inlineStr"/>
    </row>
    <row r="562" ht="15" customHeight="1">
      <c r="A562" t="inlineStr">
        <is>
          <t>A 27095-2022</t>
        </is>
      </c>
      <c r="B562" s="1" t="n">
        <v>44741</v>
      </c>
      <c r="C562" s="1" t="n">
        <v>45895</v>
      </c>
      <c r="D562" t="inlineStr">
        <is>
          <t>GOTLANDS LÄN</t>
        </is>
      </c>
      <c r="E562" t="inlineStr">
        <is>
          <t>GOTLAND</t>
        </is>
      </c>
      <c r="F562" t="inlineStr">
        <is>
          <t>Övriga Aktiebolag</t>
        </is>
      </c>
      <c r="G562" t="n">
        <v>2.9</v>
      </c>
      <c r="H562" t="n">
        <v>0</v>
      </c>
      <c r="I562" t="n">
        <v>0</v>
      </c>
      <c r="J562" t="n">
        <v>0</v>
      </c>
      <c r="K562" t="n">
        <v>0</v>
      </c>
      <c r="L562" t="n">
        <v>0</v>
      </c>
      <c r="M562" t="n">
        <v>0</v>
      </c>
      <c r="N562" t="n">
        <v>0</v>
      </c>
      <c r="O562" t="n">
        <v>0</v>
      </c>
      <c r="P562" t="n">
        <v>0</v>
      </c>
      <c r="Q562" t="n">
        <v>0</v>
      </c>
      <c r="R562" s="2" t="inlineStr"/>
    </row>
    <row r="563" ht="15" customHeight="1">
      <c r="A563" t="inlineStr">
        <is>
          <t>A 22899-2023</t>
        </is>
      </c>
      <c r="B563" s="1" t="n">
        <v>45072</v>
      </c>
      <c r="C563" s="1" t="n">
        <v>45895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1000-2024</t>
        </is>
      </c>
      <c r="B564" s="1" t="n">
        <v>45301.63371527778</v>
      </c>
      <c r="C564" s="1" t="n">
        <v>45895</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1010-2024</t>
        </is>
      </c>
      <c r="B565" s="1" t="n">
        <v>45301</v>
      </c>
      <c r="C565" s="1" t="n">
        <v>45895</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45895</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45895</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45895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45895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45895</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45895</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47762-2023</t>
        </is>
      </c>
      <c r="B572" s="1" t="n">
        <v>45203.86256944444</v>
      </c>
      <c r="C572" s="1" t="n">
        <v>45895</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45895</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44228-2022</t>
        </is>
      </c>
      <c r="B574" s="1" t="n">
        <v>44839.51599537037</v>
      </c>
      <c r="C574" s="1" t="n">
        <v>45895</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45895</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49884-2023</t>
        </is>
      </c>
      <c r="B576" s="1" t="n">
        <v>45213</v>
      </c>
      <c r="C576" s="1" t="n">
        <v>45895</v>
      </c>
      <c r="D576" t="inlineStr">
        <is>
          <t>GOTLANDS LÄN</t>
        </is>
      </c>
      <c r="E576" t="inlineStr">
        <is>
          <t>GOTLAND</t>
        </is>
      </c>
      <c r="G576" t="n">
        <v>8.9</v>
      </c>
      <c r="H576" t="n">
        <v>0</v>
      </c>
      <c r="I576" t="n">
        <v>0</v>
      </c>
      <c r="J576" t="n">
        <v>0</v>
      </c>
      <c r="K576" t="n">
        <v>0</v>
      </c>
      <c r="L576" t="n">
        <v>0</v>
      </c>
      <c r="M576" t="n">
        <v>0</v>
      </c>
      <c r="N576" t="n">
        <v>0</v>
      </c>
      <c r="O576" t="n">
        <v>0</v>
      </c>
      <c r="P576" t="n">
        <v>0</v>
      </c>
      <c r="Q576" t="n">
        <v>0</v>
      </c>
      <c r="R576" s="2" t="inlineStr"/>
    </row>
    <row r="577" ht="15" customHeight="1">
      <c r="A577" t="inlineStr">
        <is>
          <t>A 17847-2025</t>
        </is>
      </c>
      <c r="B577" s="1" t="n">
        <v>45758</v>
      </c>
      <c r="C577" s="1" t="n">
        <v>45895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45895</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6796-2025</t>
        </is>
      </c>
      <c r="B579" s="1" t="n">
        <v>45700.66559027778</v>
      </c>
      <c r="C579" s="1" t="n">
        <v>45895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45895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28425-2023</t>
        </is>
      </c>
      <c r="B581" s="1" t="n">
        <v>45102</v>
      </c>
      <c r="C581" s="1" t="n">
        <v>45895</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58476-2022</t>
        </is>
      </c>
      <c r="B582" s="1" t="n">
        <v>44902</v>
      </c>
      <c r="C582" s="1" t="n">
        <v>45895</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43200-2023</t>
        </is>
      </c>
      <c r="B583" s="1" t="n">
        <v>45183</v>
      </c>
      <c r="C583" s="1" t="n">
        <v>45895</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43223-2023</t>
        </is>
      </c>
      <c r="B584" s="1" t="n">
        <v>45183.45642361111</v>
      </c>
      <c r="C584" s="1" t="n">
        <v>45895</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12327-2025</t>
        </is>
      </c>
      <c r="B585" s="1" t="n">
        <v>45730</v>
      </c>
      <c r="C585" s="1" t="n">
        <v>45895</v>
      </c>
      <c r="D585" t="inlineStr">
        <is>
          <t>GOTLANDS LÄN</t>
        </is>
      </c>
      <c r="E585" t="inlineStr">
        <is>
          <t>GOTLAND</t>
        </is>
      </c>
      <c r="G585" t="n">
        <v>1.8</v>
      </c>
      <c r="H585" t="n">
        <v>0</v>
      </c>
      <c r="I585" t="n">
        <v>0</v>
      </c>
      <c r="J585" t="n">
        <v>0</v>
      </c>
      <c r="K585" t="n">
        <v>0</v>
      </c>
      <c r="L585" t="n">
        <v>0</v>
      </c>
      <c r="M585" t="n">
        <v>0</v>
      </c>
      <c r="N585" t="n">
        <v>0</v>
      </c>
      <c r="O585" t="n">
        <v>0</v>
      </c>
      <c r="P585" t="n">
        <v>0</v>
      </c>
      <c r="Q585" t="n">
        <v>0</v>
      </c>
      <c r="R585" s="2" t="inlineStr"/>
    </row>
    <row r="586" ht="15" customHeight="1">
      <c r="A586" t="inlineStr">
        <is>
          <t>A 3431-2025</t>
        </is>
      </c>
      <c r="B586" s="1" t="n">
        <v>45680.42935185185</v>
      </c>
      <c r="C586" s="1" t="n">
        <v>45895</v>
      </c>
      <c r="D586" t="inlineStr">
        <is>
          <t>GOTLANDS LÄN</t>
        </is>
      </c>
      <c r="E586" t="inlineStr">
        <is>
          <t>GOTLAND</t>
        </is>
      </c>
      <c r="G586" t="n">
        <v>4.8</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45895</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45895</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1364-2025</t>
        </is>
      </c>
      <c r="B589" s="1" t="n">
        <v>45667.63929398148</v>
      </c>
      <c r="C589" s="1" t="n">
        <v>45895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45895</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2180-2025</t>
        </is>
      </c>
      <c r="B591" s="1" t="n">
        <v>45673</v>
      </c>
      <c r="C591" s="1" t="n">
        <v>45895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15436-2025</t>
        </is>
      </c>
      <c r="B592" s="1" t="n">
        <v>45747.47462962963</v>
      </c>
      <c r="C592" s="1" t="n">
        <v>45895</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10652-2025</t>
        </is>
      </c>
      <c r="B593" s="1" t="n">
        <v>45721.68640046296</v>
      </c>
      <c r="C593" s="1" t="n">
        <v>45895</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45895</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37202-2024</t>
        </is>
      </c>
      <c r="B595" s="1" t="n">
        <v>45539.67310185185</v>
      </c>
      <c r="C595" s="1" t="n">
        <v>45895</v>
      </c>
      <c r="D595" t="inlineStr">
        <is>
          <t>GOTLANDS LÄN</t>
        </is>
      </c>
      <c r="E595" t="inlineStr">
        <is>
          <t>GOTLAND</t>
        </is>
      </c>
      <c r="G595" t="n">
        <v>0.3</v>
      </c>
      <c r="H595" t="n">
        <v>0</v>
      </c>
      <c r="I595" t="n">
        <v>0</v>
      </c>
      <c r="J595" t="n">
        <v>0</v>
      </c>
      <c r="K595" t="n">
        <v>0</v>
      </c>
      <c r="L595" t="n">
        <v>0</v>
      </c>
      <c r="M595" t="n">
        <v>0</v>
      </c>
      <c r="N595" t="n">
        <v>0</v>
      </c>
      <c r="O595" t="n">
        <v>0</v>
      </c>
      <c r="P595" t="n">
        <v>0</v>
      </c>
      <c r="Q595" t="n">
        <v>0</v>
      </c>
      <c r="R595" s="2" t="inlineStr"/>
    </row>
    <row r="596" ht="15" customHeight="1">
      <c r="A596" t="inlineStr">
        <is>
          <t>A 56115-2023</t>
        </is>
      </c>
      <c r="B596" s="1" t="n">
        <v>45236</v>
      </c>
      <c r="C596" s="1" t="n">
        <v>45895</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2774-2024</t>
        </is>
      </c>
      <c r="B597" s="1" t="n">
        <v>45314.62375</v>
      </c>
      <c r="C597" s="1" t="n">
        <v>45895</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60709-2023</t>
        </is>
      </c>
      <c r="B598" s="1" t="n">
        <v>45260</v>
      </c>
      <c r="C598" s="1" t="n">
        <v>45895</v>
      </c>
      <c r="D598" t="inlineStr">
        <is>
          <t>GOTLANDS LÄN</t>
        </is>
      </c>
      <c r="E598" t="inlineStr">
        <is>
          <t>GOTLAND</t>
        </is>
      </c>
      <c r="G598" t="n">
        <v>1.7</v>
      </c>
      <c r="H598" t="n">
        <v>0</v>
      </c>
      <c r="I598" t="n">
        <v>0</v>
      </c>
      <c r="J598" t="n">
        <v>0</v>
      </c>
      <c r="K598" t="n">
        <v>0</v>
      </c>
      <c r="L598" t="n">
        <v>0</v>
      </c>
      <c r="M598" t="n">
        <v>0</v>
      </c>
      <c r="N598" t="n">
        <v>0</v>
      </c>
      <c r="O598" t="n">
        <v>0</v>
      </c>
      <c r="P598" t="n">
        <v>0</v>
      </c>
      <c r="Q598" t="n">
        <v>0</v>
      </c>
      <c r="R598" s="2" t="inlineStr"/>
    </row>
    <row r="599" ht="15" customHeight="1">
      <c r="A599" t="inlineStr">
        <is>
          <t>A 64208-2021</t>
        </is>
      </c>
      <c r="B599" s="1" t="n">
        <v>44510</v>
      </c>
      <c r="C599" s="1" t="n">
        <v>45895</v>
      </c>
      <c r="D599" t="inlineStr">
        <is>
          <t>GOTLANDS LÄN</t>
        </is>
      </c>
      <c r="E599" t="inlineStr">
        <is>
          <t>GOTLAND</t>
        </is>
      </c>
      <c r="G599" t="n">
        <v>4.7</v>
      </c>
      <c r="H599" t="n">
        <v>0</v>
      </c>
      <c r="I599" t="n">
        <v>0</v>
      </c>
      <c r="J599" t="n">
        <v>0</v>
      </c>
      <c r="K599" t="n">
        <v>0</v>
      </c>
      <c r="L599" t="n">
        <v>0</v>
      </c>
      <c r="M599" t="n">
        <v>0</v>
      </c>
      <c r="N599" t="n">
        <v>0</v>
      </c>
      <c r="O599" t="n">
        <v>0</v>
      </c>
      <c r="P599" t="n">
        <v>0</v>
      </c>
      <c r="Q599" t="n">
        <v>0</v>
      </c>
      <c r="R599" s="2" t="inlineStr"/>
    </row>
    <row r="600" ht="15" customHeight="1">
      <c r="A600" t="inlineStr">
        <is>
          <t>A 39764-2022</t>
        </is>
      </c>
      <c r="B600" s="1" t="n">
        <v>44819</v>
      </c>
      <c r="C600" s="1" t="n">
        <v>45895</v>
      </c>
      <c r="D600" t="inlineStr">
        <is>
          <t>GOTLANDS LÄN</t>
        </is>
      </c>
      <c r="E600" t="inlineStr">
        <is>
          <t>GOTLAND</t>
        </is>
      </c>
      <c r="F600" t="inlineStr">
        <is>
          <t>Kyrkan</t>
        </is>
      </c>
      <c r="G600" t="n">
        <v>3.7</v>
      </c>
      <c r="H600" t="n">
        <v>0</v>
      </c>
      <c r="I600" t="n">
        <v>0</v>
      </c>
      <c r="J600" t="n">
        <v>0</v>
      </c>
      <c r="K600" t="n">
        <v>0</v>
      </c>
      <c r="L600" t="n">
        <v>0</v>
      </c>
      <c r="M600" t="n">
        <v>0</v>
      </c>
      <c r="N600" t="n">
        <v>0</v>
      </c>
      <c r="O600" t="n">
        <v>0</v>
      </c>
      <c r="P600" t="n">
        <v>0</v>
      </c>
      <c r="Q600" t="n">
        <v>0</v>
      </c>
      <c r="R600" s="2" t="inlineStr"/>
    </row>
    <row r="601" ht="15" customHeight="1">
      <c r="A601" t="inlineStr">
        <is>
          <t>A 58211-2024</t>
        </is>
      </c>
      <c r="B601" s="1" t="n">
        <v>45632.49292824074</v>
      </c>
      <c r="C601" s="1" t="n">
        <v>45895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30956-2024</t>
        </is>
      </c>
      <c r="B602" s="1" t="n">
        <v>45499.42527777778</v>
      </c>
      <c r="C602" s="1" t="n">
        <v>45895</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30892-2024</t>
        </is>
      </c>
      <c r="B603" s="1" t="n">
        <v>45491</v>
      </c>
      <c r="C603" s="1" t="n">
        <v>45895</v>
      </c>
      <c r="D603" t="inlineStr">
        <is>
          <t>GOTLANDS LÄN</t>
        </is>
      </c>
      <c r="E603" t="inlineStr">
        <is>
          <t>GOTLAND</t>
        </is>
      </c>
      <c r="G603" t="n">
        <v>6.1</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45013.69365740741</v>
      </c>
      <c r="C604" s="1" t="n">
        <v>45895</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59469-2024</t>
        </is>
      </c>
      <c r="B605" s="1" t="n">
        <v>45638</v>
      </c>
      <c r="C605" s="1" t="n">
        <v>45895</v>
      </c>
      <c r="D605" t="inlineStr">
        <is>
          <t>GOTLANDS LÄN</t>
        </is>
      </c>
      <c r="E605" t="inlineStr">
        <is>
          <t>GOTLAND</t>
        </is>
      </c>
      <c r="G605" t="n">
        <v>0.4</v>
      </c>
      <c r="H605" t="n">
        <v>0</v>
      </c>
      <c r="I605" t="n">
        <v>0</v>
      </c>
      <c r="J605" t="n">
        <v>0</v>
      </c>
      <c r="K605" t="n">
        <v>0</v>
      </c>
      <c r="L605" t="n">
        <v>0</v>
      </c>
      <c r="M605" t="n">
        <v>0</v>
      </c>
      <c r="N605" t="n">
        <v>0</v>
      </c>
      <c r="O605" t="n">
        <v>0</v>
      </c>
      <c r="P605" t="n">
        <v>0</v>
      </c>
      <c r="Q605" t="n">
        <v>0</v>
      </c>
      <c r="R605" s="2" t="inlineStr"/>
    </row>
    <row r="606">
      <c r="A606" t="inlineStr">
        <is>
          <t>A 7858-2025</t>
        </is>
      </c>
      <c r="B606" s="1" t="n">
        <v>45706.68633101852</v>
      </c>
      <c r="C606" s="1" t="n">
        <v>45895</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2025-08-26T08:32:15Z</dcterms:created>
  <dcterms:modified xmlns:dcterms="http://purl.org/dc/terms/" xmlns:xsi="http://www.w3.org/2001/XMLSchema-instance" xsi:type="dcterms:W3CDTF">2025-08-26T08:32:15Z</dcterms:modified>
</cp:coreProperties>
</file>