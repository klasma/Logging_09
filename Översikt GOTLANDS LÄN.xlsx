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46178</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46178</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46178</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46178</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46178</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46178</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46178</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46178</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46178</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46178</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8645-2025</t>
        </is>
      </c>
      <c r="B18" s="1" t="n">
        <v>45712</v>
      </c>
      <c r="C18" s="1" t="n">
        <v>46178</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46178</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46178</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46178</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46178</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61697-2023</t>
        </is>
      </c>
      <c r="B23" s="1" t="n">
        <v>45265</v>
      </c>
      <c r="C23" s="1" t="n">
        <v>46178</v>
      </c>
      <c r="D23" t="inlineStr">
        <is>
          <t>GOTLANDS LÄN</t>
        </is>
      </c>
      <c r="E23" t="inlineStr">
        <is>
          <t>GOTLAND</t>
        </is>
      </c>
      <c r="G23" t="n">
        <v>8.699999999999999</v>
      </c>
      <c r="H23" t="n">
        <v>2</v>
      </c>
      <c r="I23" t="n">
        <v>3</v>
      </c>
      <c r="J23" t="n">
        <v>4</v>
      </c>
      <c r="K23" t="n">
        <v>7</v>
      </c>
      <c r="L23" t="n">
        <v>1</v>
      </c>
      <c r="M23" t="n">
        <v>0</v>
      </c>
      <c r="N23" t="n">
        <v>0</v>
      </c>
      <c r="O23" t="n">
        <v>12</v>
      </c>
      <c r="P23" t="n">
        <v>8</v>
      </c>
      <c r="Q23" t="n">
        <v>15</v>
      </c>
      <c r="R23" s="2" t="inlineStr">
        <is>
          <t>Ryl
Duvspindling
Granrotspindling
Gulsträngad fagerspindling
Läderdoftande fingersvamp
Svartgrön spindling
Tallkejsarspindling
Violettrandad spindling
Denisespindling
Odörspindling
Röd skogslilja
Säfferot
Anisspindling
Murgröna
Nästrot</t>
        </is>
      </c>
      <c r="S23">
        <f>HYPERLINK("https://klasma.github.io/Logging_0980/artfynd/A 61697-2023 artfynd.xlsx", "A 61697-2023")</f>
        <v/>
      </c>
      <c r="T23">
        <f>HYPERLINK("https://klasma.github.io/Logging_0980/kartor/A 61697-2023 karta.png", "A 61697-2023")</f>
        <v/>
      </c>
      <c r="V23">
        <f>HYPERLINK("https://klasma.github.io/Logging_0980/klagomål/A 61697-2023 FSC-klagomål.docx", "A 61697-2023")</f>
        <v/>
      </c>
      <c r="W23">
        <f>HYPERLINK("https://klasma.github.io/Logging_0980/klagomålsmail/A 61697-2023 FSC-klagomål mail.docx", "A 61697-2023")</f>
        <v/>
      </c>
      <c r="X23">
        <f>HYPERLINK("https://klasma.github.io/Logging_0980/tillsyn/A 61697-2023 tillsynsbegäran.docx", "A 61697-2023")</f>
        <v/>
      </c>
      <c r="Y23">
        <f>HYPERLINK("https://klasma.github.io/Logging_0980/tillsynsmail/A 61697-2023 tillsynsbegäran mail.docx", "A 61697-2023")</f>
        <v/>
      </c>
    </row>
    <row r="24" ht="15" customHeight="1">
      <c r="A24" t="inlineStr">
        <is>
          <t>A 17762-2024</t>
        </is>
      </c>
      <c r="B24" s="1" t="n">
        <v>45418</v>
      </c>
      <c r="C24" s="1" t="n">
        <v>46178</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62132-2023</t>
        </is>
      </c>
      <c r="B25" s="1" t="n">
        <v>45267</v>
      </c>
      <c r="C25" s="1" t="n">
        <v>46178</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46178</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46178</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46178</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2804-2023</t>
        </is>
      </c>
      <c r="B29" s="1" t="n">
        <v>44944</v>
      </c>
      <c r="C29" s="1" t="n">
        <v>46178</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44204-2022</t>
        </is>
      </c>
      <c r="B30" s="1" t="n">
        <v>44839</v>
      </c>
      <c r="C30" s="1" t="n">
        <v>46178</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35141-2022</t>
        </is>
      </c>
      <c r="B31" s="1" t="n">
        <v>44797.53318287037</v>
      </c>
      <c r="C31" s="1" t="n">
        <v>46178</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3324-2023</t>
        </is>
      </c>
      <c r="B32" s="1" t="n">
        <v>44949</v>
      </c>
      <c r="C32" s="1" t="n">
        <v>46178</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63872-2021</t>
        </is>
      </c>
      <c r="B33" s="1" t="n">
        <v>44509</v>
      </c>
      <c r="C33" s="1" t="n">
        <v>46178</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28287-2024</t>
        </is>
      </c>
      <c r="B34" s="1" t="n">
        <v>45477</v>
      </c>
      <c r="C34" s="1" t="n">
        <v>46178</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61664-2023</t>
        </is>
      </c>
      <c r="B35" s="1" t="n">
        <v>45265</v>
      </c>
      <c r="C35" s="1" t="n">
        <v>46178</v>
      </c>
      <c r="D35" t="inlineStr">
        <is>
          <t>GOTLANDS LÄN</t>
        </is>
      </c>
      <c r="E35" t="inlineStr">
        <is>
          <t>GOTLAND</t>
        </is>
      </c>
      <c r="G35" t="n">
        <v>4.8</v>
      </c>
      <c r="H35" t="n">
        <v>6</v>
      </c>
      <c r="I35" t="n">
        <v>5</v>
      </c>
      <c r="J35" t="n">
        <v>4</v>
      </c>
      <c r="K35" t="n">
        <v>0</v>
      </c>
      <c r="L35" t="n">
        <v>0</v>
      </c>
      <c r="M35" t="n">
        <v>0</v>
      </c>
      <c r="N35" t="n">
        <v>0</v>
      </c>
      <c r="O35" t="n">
        <v>4</v>
      </c>
      <c r="P35" t="n">
        <v>0</v>
      </c>
      <c r="Q35" t="n">
        <v>12</v>
      </c>
      <c r="R35" s="2" t="inlineStr">
        <is>
          <t>Majviva
Odörspindling
Spillkråka
Svinrot
Blå slemspindling
Blåmossa
Nästrot
Skogsknipprot
Svavelriska
Brudsporre
Kärrknipprot
Ängsnycklar</t>
        </is>
      </c>
      <c r="S35">
        <f>HYPERLINK("https://klasma.github.io/Logging_0980/artfynd/A 61664-2023 artfynd.xlsx", "A 61664-2023")</f>
        <v/>
      </c>
      <c r="T35">
        <f>HYPERLINK("https://klasma.github.io/Logging_0980/kartor/A 61664-2023 karta.png", "A 61664-2023")</f>
        <v/>
      </c>
      <c r="V35">
        <f>HYPERLINK("https://klasma.github.io/Logging_0980/klagomål/A 61664-2023 FSC-klagomål.docx", "A 61664-2023")</f>
        <v/>
      </c>
      <c r="W35">
        <f>HYPERLINK("https://klasma.github.io/Logging_0980/klagomålsmail/A 61664-2023 FSC-klagomål mail.docx", "A 61664-2023")</f>
        <v/>
      </c>
      <c r="X35">
        <f>HYPERLINK("https://klasma.github.io/Logging_0980/tillsyn/A 61664-2023 tillsynsbegäran.docx", "A 61664-2023")</f>
        <v/>
      </c>
      <c r="Y35">
        <f>HYPERLINK("https://klasma.github.io/Logging_0980/tillsynsmail/A 61664-2023 tillsynsbegäran mail.docx", "A 61664-2023")</f>
        <v/>
      </c>
      <c r="Z35">
        <f>HYPERLINK("https://klasma.github.io/Logging_0980/fåglar/A 61664-2023 prioriterade fågelarter.docx", "A 61664-2023")</f>
        <v/>
      </c>
    </row>
    <row r="36" ht="15" customHeight="1">
      <c r="A36" t="inlineStr">
        <is>
          <t>A 15850-2025</t>
        </is>
      </c>
      <c r="B36" s="1" t="n">
        <v>45748</v>
      </c>
      <c r="C36" s="1" t="n">
        <v>46178</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37037-2021</t>
        </is>
      </c>
      <c r="B37" s="1" t="n">
        <v>44393.84688657407</v>
      </c>
      <c r="C37" s="1" t="n">
        <v>46178</v>
      </c>
      <c r="D37" t="inlineStr">
        <is>
          <t>GOTLANDS LÄN</t>
        </is>
      </c>
      <c r="E37" t="inlineStr">
        <is>
          <t>GOTLAND</t>
        </is>
      </c>
      <c r="G37" t="n">
        <v>10.2</v>
      </c>
      <c r="H37" t="n">
        <v>0</v>
      </c>
      <c r="I37" t="n">
        <v>6</v>
      </c>
      <c r="J37" t="n">
        <v>1</v>
      </c>
      <c r="K37" t="n">
        <v>3</v>
      </c>
      <c r="L37" t="n">
        <v>0</v>
      </c>
      <c r="M37" t="n">
        <v>0</v>
      </c>
      <c r="N37" t="n">
        <v>0</v>
      </c>
      <c r="O37" t="n">
        <v>5</v>
      </c>
      <c r="P37" t="n">
        <v>3</v>
      </c>
      <c r="Q37" t="n">
        <v>11</v>
      </c>
      <c r="R37" s="2" t="inlineStr">
        <is>
          <t>Gulsträngad fagerspindling
Svartgrön spindling
Vit taggsvamp
Odörspindling
Trollspindling
Anisspindling
Blå slemspindling
Kattfotslav
Olivspindling
Svavelriska
Zontaggsvamp</t>
        </is>
      </c>
      <c r="S37">
        <f>HYPERLINK("https://klasma.github.io/Logging_0980/artfynd/A 37037-2021 artfynd.xlsx", "A 37037-2021")</f>
        <v/>
      </c>
      <c r="T37">
        <f>HYPERLINK("https://klasma.github.io/Logging_0980/kartor/A 37037-2021 karta.png", "A 37037-2021")</f>
        <v/>
      </c>
      <c r="V37">
        <f>HYPERLINK("https://klasma.github.io/Logging_0980/klagomål/A 37037-2021 FSC-klagomål.docx", "A 37037-2021")</f>
        <v/>
      </c>
      <c r="W37">
        <f>HYPERLINK("https://klasma.github.io/Logging_0980/klagomålsmail/A 37037-2021 FSC-klagomål mail.docx", "A 37037-2021")</f>
        <v/>
      </c>
      <c r="X37">
        <f>HYPERLINK("https://klasma.github.io/Logging_0980/tillsyn/A 37037-2021 tillsynsbegäran.docx", "A 37037-2021")</f>
        <v/>
      </c>
      <c r="Y37">
        <f>HYPERLINK("https://klasma.github.io/Logging_0980/tillsynsmail/A 37037-2021 tillsynsbegäran mail.docx", "A 37037-2021")</f>
        <v/>
      </c>
    </row>
    <row r="38" ht="15" customHeight="1">
      <c r="A38" t="inlineStr">
        <is>
          <t>A 52223-2025</t>
        </is>
      </c>
      <c r="B38" s="1" t="n">
        <v>45953.44509259259</v>
      </c>
      <c r="C38" s="1" t="n">
        <v>46178</v>
      </c>
      <c r="D38" t="inlineStr">
        <is>
          <t>GOTLANDS LÄN</t>
        </is>
      </c>
      <c r="E38" t="inlineStr">
        <is>
          <t>GOTLAND</t>
        </is>
      </c>
      <c r="F38" t="inlineStr">
        <is>
          <t>Övriga Aktiebolag</t>
        </is>
      </c>
      <c r="G38" t="n">
        <v>5.8</v>
      </c>
      <c r="H38" t="n">
        <v>5</v>
      </c>
      <c r="I38" t="n">
        <v>3</v>
      </c>
      <c r="J38" t="n">
        <v>5</v>
      </c>
      <c r="K38" t="n">
        <v>0</v>
      </c>
      <c r="L38" t="n">
        <v>0</v>
      </c>
      <c r="M38" t="n">
        <v>0</v>
      </c>
      <c r="N38" t="n">
        <v>0</v>
      </c>
      <c r="O38" t="n">
        <v>5</v>
      </c>
      <c r="P38" t="n">
        <v>0</v>
      </c>
      <c r="Q38" t="n">
        <v>11</v>
      </c>
      <c r="R38" s="2" t="inlineStr">
        <is>
          <t>Axveronika
Backtimjan
Solvända
Spillkråka
Ängsstarr
Anisspindling
Murgröna
Skogsknipprot
Brudsporre
Kärrknipprot
Ängsnycklar</t>
        </is>
      </c>
      <c r="S38">
        <f>HYPERLINK("https://klasma.github.io/Logging_0980/artfynd/A 52223-2025 artfynd.xlsx", "A 52223-2025")</f>
        <v/>
      </c>
      <c r="T38">
        <f>HYPERLINK("https://klasma.github.io/Logging_0980/kartor/A 52223-2025 karta.png", "A 52223-2025")</f>
        <v/>
      </c>
      <c r="V38">
        <f>HYPERLINK("https://klasma.github.io/Logging_0980/klagomål/A 52223-2025 FSC-klagomål.docx", "A 52223-2025")</f>
        <v/>
      </c>
      <c r="W38">
        <f>HYPERLINK("https://klasma.github.io/Logging_0980/klagomålsmail/A 52223-2025 FSC-klagomål mail.docx", "A 52223-2025")</f>
        <v/>
      </c>
      <c r="X38">
        <f>HYPERLINK("https://klasma.github.io/Logging_0980/tillsyn/A 52223-2025 tillsynsbegäran.docx", "A 52223-2025")</f>
        <v/>
      </c>
      <c r="Y38">
        <f>HYPERLINK("https://klasma.github.io/Logging_0980/tillsynsmail/A 52223-2025 tillsynsbegäran mail.docx", "A 52223-2025")</f>
        <v/>
      </c>
      <c r="Z38">
        <f>HYPERLINK("https://klasma.github.io/Logging_0980/fåglar/A 52223-2025 prioriterade fågelarter.docx", "A 52223-2025")</f>
        <v/>
      </c>
    </row>
    <row r="39" ht="15" customHeight="1">
      <c r="A39" t="inlineStr">
        <is>
          <t>A 11176-2024</t>
        </is>
      </c>
      <c r="B39" s="1" t="n">
        <v>45371</v>
      </c>
      <c r="C39" s="1" t="n">
        <v>46178</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6052-2024</t>
        </is>
      </c>
      <c r="B40" s="1" t="n">
        <v>45336</v>
      </c>
      <c r="C40" s="1" t="n">
        <v>46178</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10274-2026</t>
        </is>
      </c>
      <c r="B41" s="1" t="n">
        <v>46076</v>
      </c>
      <c r="C41" s="1" t="n">
        <v>46178</v>
      </c>
      <c r="D41" t="inlineStr">
        <is>
          <t>GOTLANDS LÄN</t>
        </is>
      </c>
      <c r="E41" t="inlineStr">
        <is>
          <t>GOTLAND</t>
        </is>
      </c>
      <c r="G41" t="n">
        <v>9.800000000000001</v>
      </c>
      <c r="H41" t="n">
        <v>4</v>
      </c>
      <c r="I41" t="n">
        <v>3</v>
      </c>
      <c r="J41" t="n">
        <v>4</v>
      </c>
      <c r="K41" t="n">
        <v>1</v>
      </c>
      <c r="L41" t="n">
        <v>0</v>
      </c>
      <c r="M41" t="n">
        <v>0</v>
      </c>
      <c r="N41" t="n">
        <v>0</v>
      </c>
      <c r="O41" t="n">
        <v>5</v>
      </c>
      <c r="P41" t="n">
        <v>1</v>
      </c>
      <c r="Q41" t="n">
        <v>11</v>
      </c>
      <c r="R41" s="2" t="inlineStr">
        <is>
          <t>Gråfingerört
Backstarr
Backtimjan
Reliktbock
Spillkråka
Axag
Grönpyrola
Kragjordstjärna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43201-2023</t>
        </is>
      </c>
      <c r="B42" s="1" t="n">
        <v>45183</v>
      </c>
      <c r="C42" s="1" t="n">
        <v>46178</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584-2023</t>
        </is>
      </c>
      <c r="B43" s="1" t="n">
        <v>44930</v>
      </c>
      <c r="C43" s="1" t="n">
        <v>46178</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45248-2024</t>
        </is>
      </c>
      <c r="B44" s="1" t="n">
        <v>45576</v>
      </c>
      <c r="C44" s="1" t="n">
        <v>46178</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17766-2024</t>
        </is>
      </c>
      <c r="B45" s="1" t="n">
        <v>45418</v>
      </c>
      <c r="C45" s="1" t="n">
        <v>46178</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46178</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1719-2025</t>
        </is>
      </c>
      <c r="B47" s="1" t="n">
        <v>45671</v>
      </c>
      <c r="C47" s="1" t="n">
        <v>46178</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27280-2023</t>
        </is>
      </c>
      <c r="B48" s="1" t="n">
        <v>45096</v>
      </c>
      <c r="C48" s="1" t="n">
        <v>46178</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33153-2024</t>
        </is>
      </c>
      <c r="B49" s="1" t="n">
        <v>45518</v>
      </c>
      <c r="C49" s="1" t="n">
        <v>46178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46178</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39376-2023</t>
        </is>
      </c>
      <c r="B51" s="1" t="n">
        <v>45166</v>
      </c>
      <c r="C51" s="1" t="n">
        <v>46178</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59132-2024</t>
        </is>
      </c>
      <c r="B52" s="1" t="n">
        <v>45637</v>
      </c>
      <c r="C52" s="1" t="n">
        <v>46178</v>
      </c>
      <c r="D52" t="inlineStr">
        <is>
          <t>GOTLANDS LÄN</t>
        </is>
      </c>
      <c r="E52" t="inlineStr">
        <is>
          <t>GOTLAND</t>
        </is>
      </c>
      <c r="G52" t="n">
        <v>3.5</v>
      </c>
      <c r="H52" t="n">
        <v>0</v>
      </c>
      <c r="I52" t="n">
        <v>1</v>
      </c>
      <c r="J52" t="n">
        <v>4</v>
      </c>
      <c r="K52" t="n">
        <v>3</v>
      </c>
      <c r="L52" t="n">
        <v>0</v>
      </c>
      <c r="M52" t="n">
        <v>0</v>
      </c>
      <c r="N52" t="n">
        <v>0</v>
      </c>
      <c r="O52" t="n">
        <v>8</v>
      </c>
      <c r="P52" t="n">
        <v>3</v>
      </c>
      <c r="Q52" t="n">
        <v>9</v>
      </c>
      <c r="R52" s="2" t="inlineStr">
        <is>
          <t>Almlav
Mörk kraterlav
Pälsticka
Korskovall
Slåtterfibbla
Solvända
Vippärt
Amphisphaeria umbrina
Underviol</t>
        </is>
      </c>
      <c r="S52">
        <f>HYPERLINK("https://klasma.github.io/Logging_0980/artfynd/A 59132-2024 artfynd.xlsx", "A 59132-2024")</f>
        <v/>
      </c>
      <c r="T52">
        <f>HYPERLINK("https://klasma.github.io/Logging_0980/kartor/A 59132-2024 karta.png", "A 59132-2024")</f>
        <v/>
      </c>
      <c r="V52">
        <f>HYPERLINK("https://klasma.github.io/Logging_0980/klagomål/A 59132-2024 FSC-klagomål.docx", "A 59132-2024")</f>
        <v/>
      </c>
      <c r="W52">
        <f>HYPERLINK("https://klasma.github.io/Logging_0980/klagomålsmail/A 59132-2024 FSC-klagomål mail.docx", "A 59132-2024")</f>
        <v/>
      </c>
      <c r="X52">
        <f>HYPERLINK("https://klasma.github.io/Logging_0980/tillsyn/A 59132-2024 tillsynsbegäran.docx", "A 59132-2024")</f>
        <v/>
      </c>
      <c r="Y52">
        <f>HYPERLINK("https://klasma.github.io/Logging_0980/tillsynsmail/A 59132-2024 tillsynsbegäran mail.docx", "A 59132-2024")</f>
        <v/>
      </c>
    </row>
    <row r="53" ht="15" customHeight="1">
      <c r="A53" t="inlineStr">
        <is>
          <t>A 2649-2023</t>
        </is>
      </c>
      <c r="B53" s="1" t="n">
        <v>44943</v>
      </c>
      <c r="C53" s="1" t="n">
        <v>46178</v>
      </c>
      <c r="D53" t="inlineStr">
        <is>
          <t>GOTLANDS LÄN</t>
        </is>
      </c>
      <c r="E53" t="inlineStr">
        <is>
          <t>GOTLAND</t>
        </is>
      </c>
      <c r="G53" t="n">
        <v>2.6</v>
      </c>
      <c r="H53" t="n">
        <v>1</v>
      </c>
      <c r="I53" t="n">
        <v>1</v>
      </c>
      <c r="J53" t="n">
        <v>1</v>
      </c>
      <c r="K53" t="n">
        <v>6</v>
      </c>
      <c r="L53" t="n">
        <v>0</v>
      </c>
      <c r="M53" t="n">
        <v>0</v>
      </c>
      <c r="N53" t="n">
        <v>0</v>
      </c>
      <c r="O53" t="n">
        <v>7</v>
      </c>
      <c r="P53" t="n">
        <v>6</v>
      </c>
      <c r="Q53" t="n">
        <v>8</v>
      </c>
      <c r="R53" s="2" t="inlineStr">
        <is>
          <t>Duvspindling
Garderönn
Granrotspindling
Gul lammticka
Gulsträngad fagerspindling
Violettfläckig spindling
Svinrot
Anisspindling</t>
        </is>
      </c>
      <c r="S53">
        <f>HYPERLINK("https://klasma.github.io/Logging_0980/artfynd/A 2649-2023 artfynd.xlsx", "A 2649-2023")</f>
        <v/>
      </c>
      <c r="T53">
        <f>HYPERLINK("https://klasma.github.io/Logging_0980/kartor/A 2649-2023 karta.png", "A 2649-2023")</f>
        <v/>
      </c>
      <c r="V53">
        <f>HYPERLINK("https://klasma.github.io/Logging_0980/klagomål/A 2649-2023 FSC-klagomål.docx", "A 2649-2023")</f>
        <v/>
      </c>
      <c r="W53">
        <f>HYPERLINK("https://klasma.github.io/Logging_0980/klagomålsmail/A 2649-2023 FSC-klagomål mail.docx", "A 2649-2023")</f>
        <v/>
      </c>
      <c r="X53">
        <f>HYPERLINK("https://klasma.github.io/Logging_0980/tillsyn/A 2649-2023 tillsynsbegäran.docx", "A 2649-2023")</f>
        <v/>
      </c>
      <c r="Y53">
        <f>HYPERLINK("https://klasma.github.io/Logging_0980/tillsynsmail/A 2649-2023 tillsynsbegäran mail.docx", "A 2649-2023")</f>
        <v/>
      </c>
    </row>
    <row r="54" ht="15" customHeight="1">
      <c r="A54" t="inlineStr">
        <is>
          <t>A 27168-2022</t>
        </is>
      </c>
      <c r="B54" s="1" t="n">
        <v>44741</v>
      </c>
      <c r="C54" s="1" t="n">
        <v>46178</v>
      </c>
      <c r="D54" t="inlineStr">
        <is>
          <t>GOTLANDS LÄN</t>
        </is>
      </c>
      <c r="E54" t="inlineStr">
        <is>
          <t>GOTLAND</t>
        </is>
      </c>
      <c r="G54" t="n">
        <v>2.2</v>
      </c>
      <c r="H54" t="n">
        <v>5</v>
      </c>
      <c r="I54" t="n">
        <v>2</v>
      </c>
      <c r="J54" t="n">
        <v>2</v>
      </c>
      <c r="K54" t="n">
        <v>1</v>
      </c>
      <c r="L54" t="n">
        <v>0</v>
      </c>
      <c r="M54" t="n">
        <v>0</v>
      </c>
      <c r="N54" t="n">
        <v>0</v>
      </c>
      <c r="O54" t="n">
        <v>3</v>
      </c>
      <c r="P54" t="n">
        <v>1</v>
      </c>
      <c r="Q54" t="n">
        <v>8</v>
      </c>
      <c r="R54" s="2" t="inlineStr">
        <is>
          <t>Gotlandsmåra
Solvända
Svinrot
Purpurknipprot
Vit skogslilja
Brudsporre
Fläcknycklar
Kärrknipprot</t>
        </is>
      </c>
      <c r="S54">
        <f>HYPERLINK("https://klasma.github.io/Logging_0980/artfynd/A 27168-2022 artfynd.xlsx", "A 27168-2022")</f>
        <v/>
      </c>
      <c r="T54">
        <f>HYPERLINK("https://klasma.github.io/Logging_0980/kartor/A 27168-2022 karta.png", "A 27168-2022")</f>
        <v/>
      </c>
      <c r="V54">
        <f>HYPERLINK("https://klasma.github.io/Logging_0980/klagomål/A 27168-2022 FSC-klagomål.docx", "A 27168-2022")</f>
        <v/>
      </c>
      <c r="W54">
        <f>HYPERLINK("https://klasma.github.io/Logging_0980/klagomålsmail/A 27168-2022 FSC-klagomål mail.docx", "A 27168-2022")</f>
        <v/>
      </c>
      <c r="X54">
        <f>HYPERLINK("https://klasma.github.io/Logging_0980/tillsyn/A 27168-2022 tillsynsbegäran.docx", "A 27168-2022")</f>
        <v/>
      </c>
      <c r="Y54">
        <f>HYPERLINK("https://klasma.github.io/Logging_0980/tillsynsmail/A 27168-2022 tillsynsbegäran mail.docx", "A 27168-2022")</f>
        <v/>
      </c>
    </row>
    <row r="55" ht="15" customHeight="1">
      <c r="A55" t="inlineStr">
        <is>
          <t>A 7039-2023</t>
        </is>
      </c>
      <c r="B55" s="1" t="n">
        <v>44968</v>
      </c>
      <c r="C55" s="1" t="n">
        <v>46178</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21467-2024</t>
        </is>
      </c>
      <c r="B56" s="1" t="n">
        <v>45441</v>
      </c>
      <c r="C56" s="1" t="n">
        <v>46178</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1769-2022</t>
        </is>
      </c>
      <c r="B57" s="1" t="n">
        <v>44574</v>
      </c>
      <c r="C57" s="1" t="n">
        <v>46178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51737-2021</t>
        </is>
      </c>
      <c r="B58" s="1" t="n">
        <v>44462.57368055556</v>
      </c>
      <c r="C58" s="1" t="n">
        <v>46178</v>
      </c>
      <c r="D58" t="inlineStr">
        <is>
          <t>GOTLANDS LÄN</t>
        </is>
      </c>
      <c r="E58" t="inlineStr">
        <is>
          <t>GOTLAND</t>
        </is>
      </c>
      <c r="G58" t="n">
        <v>8.6</v>
      </c>
      <c r="H58" t="n">
        <v>1</v>
      </c>
      <c r="I58" t="n">
        <v>6</v>
      </c>
      <c r="J58" t="n">
        <v>1</v>
      </c>
      <c r="K58" t="n">
        <v>0</v>
      </c>
      <c r="L58" t="n">
        <v>0</v>
      </c>
      <c r="M58" t="n">
        <v>0</v>
      </c>
      <c r="N58" t="n">
        <v>0</v>
      </c>
      <c r="O58" t="n">
        <v>1</v>
      </c>
      <c r="P58" t="n">
        <v>0</v>
      </c>
      <c r="Q58" t="n">
        <v>7</v>
      </c>
      <c r="R58" s="2" t="inlineStr">
        <is>
          <t>Igelkott
Blå slemspindling
Blåmossa
Kambräken
Skogsknipprot
Västlig hakmossa
Vårärt</t>
        </is>
      </c>
      <c r="S58">
        <f>HYPERLINK("https://klasma.github.io/Logging_0980/artfynd/A 51737-2021 artfynd.xlsx", "A 51737-2021")</f>
        <v/>
      </c>
      <c r="T58">
        <f>HYPERLINK("https://klasma.github.io/Logging_0980/kartor/A 51737-2021 karta.png", "A 51737-2021")</f>
        <v/>
      </c>
      <c r="V58">
        <f>HYPERLINK("https://klasma.github.io/Logging_0980/klagomål/A 51737-2021 FSC-klagomål.docx", "A 51737-2021")</f>
        <v/>
      </c>
      <c r="W58">
        <f>HYPERLINK("https://klasma.github.io/Logging_0980/klagomålsmail/A 51737-2021 FSC-klagomål mail.docx", "A 51737-2021")</f>
        <v/>
      </c>
      <c r="X58">
        <f>HYPERLINK("https://klasma.github.io/Logging_0980/tillsyn/A 51737-2021 tillsynsbegäran.docx", "A 51737-2021")</f>
        <v/>
      </c>
      <c r="Y58">
        <f>HYPERLINK("https://klasma.github.io/Logging_0980/tillsynsmail/A 51737-2021 tillsynsbegäran mail.docx", "A 51737-2021")</f>
        <v/>
      </c>
    </row>
    <row r="59" ht="15" customHeight="1">
      <c r="A59" t="inlineStr">
        <is>
          <t>A 44944-2022</t>
        </is>
      </c>
      <c r="B59" s="1" t="n">
        <v>44841</v>
      </c>
      <c r="C59" s="1" t="n">
        <v>46178</v>
      </c>
      <c r="D59" t="inlineStr">
        <is>
          <t>GOTLANDS LÄN</t>
        </is>
      </c>
      <c r="E59" t="inlineStr">
        <is>
          <t>GOTLAND</t>
        </is>
      </c>
      <c r="G59" t="n">
        <v>2.8</v>
      </c>
      <c r="H59" t="n">
        <v>0</v>
      </c>
      <c r="I59" t="n">
        <v>3</v>
      </c>
      <c r="J59" t="n">
        <v>4</v>
      </c>
      <c r="K59" t="n">
        <v>0</v>
      </c>
      <c r="L59" t="n">
        <v>0</v>
      </c>
      <c r="M59" t="n">
        <v>0</v>
      </c>
      <c r="N59" t="n">
        <v>0</v>
      </c>
      <c r="O59" t="n">
        <v>4</v>
      </c>
      <c r="P59" t="n">
        <v>0</v>
      </c>
      <c r="Q59" t="n">
        <v>7</v>
      </c>
      <c r="R59" s="2" t="inlineStr">
        <is>
          <t>Axveronika
Bredbrämad bastardsvärmare
Denisespindling
Odörspindling
Anisspindling
Fjällig taggsvamp s.str.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34142-2024</t>
        </is>
      </c>
      <c r="B60" s="1" t="n">
        <v>45524.36521990741</v>
      </c>
      <c r="C60" s="1" t="n">
        <v>46178</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18541-2024</t>
        </is>
      </c>
      <c r="B61" s="1" t="n">
        <v>45425</v>
      </c>
      <c r="C61" s="1" t="n">
        <v>46178</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4984-2025</t>
        </is>
      </c>
      <c r="B62" s="1" t="n">
        <v>45691.29891203704</v>
      </c>
      <c r="C62" s="1" t="n">
        <v>46178</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46178</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2085-2023</t>
        </is>
      </c>
      <c r="B64" s="1" t="n">
        <v>44939</v>
      </c>
      <c r="C64" s="1" t="n">
        <v>46178</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16823-2024</t>
        </is>
      </c>
      <c r="B65" s="1" t="n">
        <v>45411</v>
      </c>
      <c r="C65" s="1" t="n">
        <v>46178</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7038-2023</t>
        </is>
      </c>
      <c r="B66" s="1" t="n">
        <v>44968</v>
      </c>
      <c r="C66" s="1" t="n">
        <v>46178</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54527-2023</t>
        </is>
      </c>
      <c r="B67" s="1" t="n">
        <v>45233</v>
      </c>
      <c r="C67" s="1" t="n">
        <v>46178</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446-2023</t>
        </is>
      </c>
      <c r="B68" s="1" t="n">
        <v>44929</v>
      </c>
      <c r="C68" s="1" t="n">
        <v>46178</v>
      </c>
      <c r="D68" t="inlineStr">
        <is>
          <t>GOTLANDS LÄN</t>
        </is>
      </c>
      <c r="E68" t="inlineStr">
        <is>
          <t>GOTLAND</t>
        </is>
      </c>
      <c r="G68" t="n">
        <v>7.1</v>
      </c>
      <c r="H68" t="n">
        <v>2</v>
      </c>
      <c r="I68" t="n">
        <v>3</v>
      </c>
      <c r="J68" t="n">
        <v>2</v>
      </c>
      <c r="K68" t="n">
        <v>1</v>
      </c>
      <c r="L68" t="n">
        <v>0</v>
      </c>
      <c r="M68" t="n">
        <v>0</v>
      </c>
      <c r="N68" t="n">
        <v>0</v>
      </c>
      <c r="O68" t="n">
        <v>3</v>
      </c>
      <c r="P68" t="n">
        <v>1</v>
      </c>
      <c r="Q68" t="n">
        <v>6</v>
      </c>
      <c r="R68" s="2" t="inlineStr">
        <is>
          <t>Svartgrön spindling
Spillkråka
Äggspindling
Kastanjefjällskivling
Skogsknipprot
Svavelriska</t>
        </is>
      </c>
      <c r="S68">
        <f>HYPERLINK("https://klasma.github.io/Logging_0980/artfynd/A 446-2023 artfynd.xlsx", "A 446-2023")</f>
        <v/>
      </c>
      <c r="T68">
        <f>HYPERLINK("https://klasma.github.io/Logging_0980/kartor/A 446-2023 karta.png", "A 446-2023")</f>
        <v/>
      </c>
      <c r="V68">
        <f>HYPERLINK("https://klasma.github.io/Logging_0980/klagomål/A 446-2023 FSC-klagomål.docx", "A 446-2023")</f>
        <v/>
      </c>
      <c r="W68">
        <f>HYPERLINK("https://klasma.github.io/Logging_0980/klagomålsmail/A 446-2023 FSC-klagomål mail.docx", "A 446-2023")</f>
        <v/>
      </c>
      <c r="X68">
        <f>HYPERLINK("https://klasma.github.io/Logging_0980/tillsyn/A 446-2023 tillsynsbegäran.docx", "A 446-2023")</f>
        <v/>
      </c>
      <c r="Y68">
        <f>HYPERLINK("https://klasma.github.io/Logging_0980/tillsynsmail/A 446-2023 tillsynsbegäran mail.docx", "A 446-2023")</f>
        <v/>
      </c>
      <c r="Z68">
        <f>HYPERLINK("https://klasma.github.io/Logging_0980/fåglar/A 446-2023 prioriterade fågelarter.docx", "A 446-2023")</f>
        <v/>
      </c>
    </row>
    <row r="69" ht="15" customHeight="1">
      <c r="A69" t="inlineStr">
        <is>
          <t>A 57773-2025</t>
        </is>
      </c>
      <c r="B69" s="1" t="n">
        <v>45981.56349537037</v>
      </c>
      <c r="C69" s="1" t="n">
        <v>46178</v>
      </c>
      <c r="D69" t="inlineStr">
        <is>
          <t>GOTLANDS LÄN</t>
        </is>
      </c>
      <c r="E69" t="inlineStr">
        <is>
          <t>GOTLAND</t>
        </is>
      </c>
      <c r="G69" t="n">
        <v>4.4</v>
      </c>
      <c r="H69" t="n">
        <v>0</v>
      </c>
      <c r="I69" t="n">
        <v>4</v>
      </c>
      <c r="J69" t="n">
        <v>0</v>
      </c>
      <c r="K69" t="n">
        <v>2</v>
      </c>
      <c r="L69" t="n">
        <v>0</v>
      </c>
      <c r="M69" t="n">
        <v>0</v>
      </c>
      <c r="N69" t="n">
        <v>0</v>
      </c>
      <c r="O69" t="n">
        <v>2</v>
      </c>
      <c r="P69" t="n">
        <v>2</v>
      </c>
      <c r="Q69" t="n">
        <v>6</v>
      </c>
      <c r="R69" s="2" t="inlineStr">
        <is>
          <t>Duvspindling
Mörkfjällig olivspindling
Besk kastanjemusseron
Olivspindling
Rödgul trumpetsvamp
Strimspindling</t>
        </is>
      </c>
      <c r="S69">
        <f>HYPERLINK("https://klasma.github.io/Logging_0980/artfynd/A 57773-2025 artfynd.xlsx", "A 57773-2025")</f>
        <v/>
      </c>
      <c r="T69">
        <f>HYPERLINK("https://klasma.github.io/Logging_0980/kartor/A 57773-2025 karta.png", "A 57773-2025")</f>
        <v/>
      </c>
      <c r="V69">
        <f>HYPERLINK("https://klasma.github.io/Logging_0980/klagomål/A 57773-2025 FSC-klagomål.docx", "A 57773-2025")</f>
        <v/>
      </c>
      <c r="W69">
        <f>HYPERLINK("https://klasma.github.io/Logging_0980/klagomålsmail/A 57773-2025 FSC-klagomål mail.docx", "A 57773-2025")</f>
        <v/>
      </c>
      <c r="X69">
        <f>HYPERLINK("https://klasma.github.io/Logging_0980/tillsyn/A 57773-2025 tillsynsbegäran.docx", "A 57773-2025")</f>
        <v/>
      </c>
      <c r="Y69">
        <f>HYPERLINK("https://klasma.github.io/Logging_0980/tillsynsmail/A 57773-2025 tillsynsbegäran mail.docx", "A 57773-2025")</f>
        <v/>
      </c>
    </row>
    <row r="70" ht="15" customHeight="1">
      <c r="A70" t="inlineStr">
        <is>
          <t>A 63149-2025</t>
        </is>
      </c>
      <c r="B70" s="1" t="n">
        <v>46010</v>
      </c>
      <c r="C70" s="1" t="n">
        <v>46178</v>
      </c>
      <c r="D70" t="inlineStr">
        <is>
          <t>GOTLANDS LÄN</t>
        </is>
      </c>
      <c r="E70" t="inlineStr">
        <is>
          <t>GOTLAND</t>
        </is>
      </c>
      <c r="G70" t="n">
        <v>4.3</v>
      </c>
      <c r="H70" t="n">
        <v>4</v>
      </c>
      <c r="I70" t="n">
        <v>2</v>
      </c>
      <c r="J70" t="n">
        <v>3</v>
      </c>
      <c r="K70" t="n">
        <v>0</v>
      </c>
      <c r="L70" t="n">
        <v>0</v>
      </c>
      <c r="M70" t="n">
        <v>0</v>
      </c>
      <c r="N70" t="n">
        <v>0</v>
      </c>
      <c r="O70" t="n">
        <v>3</v>
      </c>
      <c r="P70" t="n">
        <v>0</v>
      </c>
      <c r="Q70" t="n">
        <v>6</v>
      </c>
      <c r="R70" s="2" t="inlineStr">
        <is>
          <t>Gulsparv
Spillkråka
Svinrot
Anisspindling
Skogsknipprot
Sankt pers nycklar</t>
        </is>
      </c>
      <c r="S70">
        <f>HYPERLINK("https://klasma.github.io/Logging_0980/artfynd/A 63149-2025 artfynd.xlsx", "A 63149-2025")</f>
        <v/>
      </c>
      <c r="T70">
        <f>HYPERLINK("https://klasma.github.io/Logging_0980/kartor/A 63149-2025 karta.png", "A 63149-2025")</f>
        <v/>
      </c>
      <c r="V70">
        <f>HYPERLINK("https://klasma.github.io/Logging_0980/klagomål/A 63149-2025 FSC-klagomål.docx", "A 63149-2025")</f>
        <v/>
      </c>
      <c r="W70">
        <f>HYPERLINK("https://klasma.github.io/Logging_0980/klagomålsmail/A 63149-2025 FSC-klagomål mail.docx", "A 63149-2025")</f>
        <v/>
      </c>
      <c r="X70">
        <f>HYPERLINK("https://klasma.github.io/Logging_0980/tillsyn/A 63149-2025 tillsynsbegäran.docx", "A 63149-2025")</f>
        <v/>
      </c>
      <c r="Y70">
        <f>HYPERLINK("https://klasma.github.io/Logging_0980/tillsynsmail/A 63149-2025 tillsynsbegäran mail.docx", "A 63149-2025")</f>
        <v/>
      </c>
      <c r="Z70">
        <f>HYPERLINK("https://klasma.github.io/Logging_0980/fåglar/A 63149-2025 prioriterade fågelarter.docx", "A 63149-2025")</f>
        <v/>
      </c>
    </row>
    <row r="71" ht="15" customHeight="1">
      <c r="A71" t="inlineStr">
        <is>
          <t>A 54527-2023</t>
        </is>
      </c>
      <c r="B71" s="1" t="n">
        <v>45233</v>
      </c>
      <c r="C71" s="1" t="n">
        <v>46178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66091-2021</t>
        </is>
      </c>
      <c r="B72" s="1" t="n">
        <v>44517</v>
      </c>
      <c r="C72" s="1" t="n">
        <v>46178</v>
      </c>
      <c r="D72" t="inlineStr">
        <is>
          <t>GOTLANDS LÄN</t>
        </is>
      </c>
      <c r="E72" t="inlineStr">
        <is>
          <t>GOTLAND</t>
        </is>
      </c>
      <c r="G72" t="n">
        <v>11.7</v>
      </c>
      <c r="H72" t="n">
        <v>2</v>
      </c>
      <c r="I72" t="n">
        <v>0</v>
      </c>
      <c r="J72" t="n">
        <v>3</v>
      </c>
      <c r="K72" t="n">
        <v>0</v>
      </c>
      <c r="L72" t="n">
        <v>0</v>
      </c>
      <c r="M72" t="n">
        <v>0</v>
      </c>
      <c r="N72" t="n">
        <v>0</v>
      </c>
      <c r="O72" t="n">
        <v>3</v>
      </c>
      <c r="P72" t="n">
        <v>0</v>
      </c>
      <c r="Q72" t="n">
        <v>5</v>
      </c>
      <c r="R72" s="2" t="inlineStr">
        <is>
          <t>Axveronika
Solvända
Säfferot
Pärluggla
Salepsrot</t>
        </is>
      </c>
      <c r="S72">
        <f>HYPERLINK("https://klasma.github.io/Logging_0980/artfynd/A 66091-2021 artfynd.xlsx", "A 66091-2021")</f>
        <v/>
      </c>
      <c r="T72">
        <f>HYPERLINK("https://klasma.github.io/Logging_0980/kartor/A 66091-2021 karta.png", "A 66091-2021")</f>
        <v/>
      </c>
      <c r="V72">
        <f>HYPERLINK("https://klasma.github.io/Logging_0980/klagomål/A 66091-2021 FSC-klagomål.docx", "A 66091-2021")</f>
        <v/>
      </c>
      <c r="W72">
        <f>HYPERLINK("https://klasma.github.io/Logging_0980/klagomålsmail/A 66091-2021 FSC-klagomål mail.docx", "A 66091-2021")</f>
        <v/>
      </c>
      <c r="X72">
        <f>HYPERLINK("https://klasma.github.io/Logging_0980/tillsyn/A 66091-2021 tillsynsbegäran.docx", "A 66091-2021")</f>
        <v/>
      </c>
      <c r="Y72">
        <f>HYPERLINK("https://klasma.github.io/Logging_0980/tillsynsmail/A 66091-2021 tillsynsbegäran mail.docx", "A 66091-2021")</f>
        <v/>
      </c>
      <c r="Z72">
        <f>HYPERLINK("https://klasma.github.io/Logging_0980/fåglar/A 66091-2021 prioriterade fågelarter.docx", "A 66091-2021")</f>
        <v/>
      </c>
    </row>
    <row r="73" ht="15" customHeight="1">
      <c r="A73" t="inlineStr">
        <is>
          <t>A 52245-2025</t>
        </is>
      </c>
      <c r="B73" s="1" t="n">
        <v>45953.47115740741</v>
      </c>
      <c r="C73" s="1" t="n">
        <v>46178</v>
      </c>
      <c r="D73" t="inlineStr">
        <is>
          <t>GOTLANDS LÄN</t>
        </is>
      </c>
      <c r="E73" t="inlineStr">
        <is>
          <t>GOTLAND</t>
        </is>
      </c>
      <c r="F73" t="inlineStr">
        <is>
          <t>Övriga Aktiebolag</t>
        </is>
      </c>
      <c r="G73" t="n">
        <v>10.1</v>
      </c>
      <c r="H73" t="n">
        <v>0</v>
      </c>
      <c r="I73" t="n">
        <v>3</v>
      </c>
      <c r="J73" t="n">
        <v>1</v>
      </c>
      <c r="K73" t="n">
        <v>1</v>
      </c>
      <c r="L73" t="n">
        <v>0</v>
      </c>
      <c r="M73" t="n">
        <v>0</v>
      </c>
      <c r="N73" t="n">
        <v>0</v>
      </c>
      <c r="O73" t="n">
        <v>2</v>
      </c>
      <c r="P73" t="n">
        <v>1</v>
      </c>
      <c r="Q73" t="n">
        <v>5</v>
      </c>
      <c r="R73" s="2" t="inlineStr">
        <is>
          <t>Källnate
Jordtistel
Olivspindling
Rödgul trumpetsvamp
Underviol</t>
        </is>
      </c>
      <c r="S73">
        <f>HYPERLINK("https://klasma.github.io/Logging_0980/artfynd/A 52245-2025 artfynd.xlsx", "A 52245-2025")</f>
        <v/>
      </c>
      <c r="T73">
        <f>HYPERLINK("https://klasma.github.io/Logging_0980/kartor/A 52245-2025 karta.png", "A 52245-2025")</f>
        <v/>
      </c>
      <c r="V73">
        <f>HYPERLINK("https://klasma.github.io/Logging_0980/klagomål/A 52245-2025 FSC-klagomål.docx", "A 52245-2025")</f>
        <v/>
      </c>
      <c r="W73">
        <f>HYPERLINK("https://klasma.github.io/Logging_0980/klagomålsmail/A 52245-2025 FSC-klagomål mail.docx", "A 52245-2025")</f>
        <v/>
      </c>
      <c r="X73">
        <f>HYPERLINK("https://klasma.github.io/Logging_0980/tillsyn/A 52245-2025 tillsynsbegäran.docx", "A 52245-2025")</f>
        <v/>
      </c>
      <c r="Y73">
        <f>HYPERLINK("https://klasma.github.io/Logging_0980/tillsynsmail/A 52245-2025 tillsynsbegäran mail.docx", "A 52245-2025")</f>
        <v/>
      </c>
    </row>
    <row r="74" ht="15" customHeight="1">
      <c r="A74" t="inlineStr">
        <is>
          <t>A 35293-2025</t>
        </is>
      </c>
      <c r="B74" s="1" t="n">
        <v>45854.39438657407</v>
      </c>
      <c r="C74" s="1" t="n">
        <v>46178</v>
      </c>
      <c r="D74" t="inlineStr">
        <is>
          <t>GOTLANDS LÄN</t>
        </is>
      </c>
      <c r="E74" t="inlineStr">
        <is>
          <t>GOTLAND</t>
        </is>
      </c>
      <c r="G74" t="n">
        <v>9.199999999999999</v>
      </c>
      <c r="H74" t="n">
        <v>1</v>
      </c>
      <c r="I74" t="n">
        <v>1</v>
      </c>
      <c r="J74" t="n">
        <v>4</v>
      </c>
      <c r="K74" t="n">
        <v>0</v>
      </c>
      <c r="L74" t="n">
        <v>0</v>
      </c>
      <c r="M74" t="n">
        <v>0</v>
      </c>
      <c r="N74" t="n">
        <v>0</v>
      </c>
      <c r="O74" t="n">
        <v>4</v>
      </c>
      <c r="P74" t="n">
        <v>0</v>
      </c>
      <c r="Q74" t="n">
        <v>5</v>
      </c>
      <c r="R74" s="2" t="inlineStr">
        <is>
          <t>Krusfrö
Loppstarr
Svinrot
Ängsstarr
Skogsknipprot</t>
        </is>
      </c>
      <c r="S74">
        <f>HYPERLINK("https://klasma.github.io/Logging_0980/artfynd/A 35293-2025 artfynd.xlsx", "A 35293-2025")</f>
        <v/>
      </c>
      <c r="T74">
        <f>HYPERLINK("https://klasma.github.io/Logging_0980/kartor/A 35293-2025 karta.png", "A 35293-2025")</f>
        <v/>
      </c>
      <c r="V74">
        <f>HYPERLINK("https://klasma.github.io/Logging_0980/klagomål/A 35293-2025 FSC-klagomål.docx", "A 35293-2025")</f>
        <v/>
      </c>
      <c r="W74">
        <f>HYPERLINK("https://klasma.github.io/Logging_0980/klagomålsmail/A 35293-2025 FSC-klagomål mail.docx", "A 35293-2025")</f>
        <v/>
      </c>
      <c r="X74">
        <f>HYPERLINK("https://klasma.github.io/Logging_0980/tillsyn/A 35293-2025 tillsynsbegäran.docx", "A 35293-2025")</f>
        <v/>
      </c>
      <c r="Y74">
        <f>HYPERLINK("https://klasma.github.io/Logging_0980/tillsynsmail/A 35293-2025 tillsynsbegäran mail.docx", "A 35293-2025")</f>
        <v/>
      </c>
    </row>
    <row r="75" ht="15" customHeight="1">
      <c r="A75" t="inlineStr">
        <is>
          <t>A 32326-2024</t>
        </is>
      </c>
      <c r="B75" s="1" t="n">
        <v>45512</v>
      </c>
      <c r="C75" s="1" t="n">
        <v>46178</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6839-2026</t>
        </is>
      </c>
      <c r="B76" s="1" t="n">
        <v>46057.41193287037</v>
      </c>
      <c r="C76" s="1" t="n">
        <v>46178</v>
      </c>
      <c r="D76" t="inlineStr">
        <is>
          <t>GOTLANDS LÄN</t>
        </is>
      </c>
      <c r="E76" t="inlineStr">
        <is>
          <t>GOTLAND</t>
        </is>
      </c>
      <c r="G76" t="n">
        <v>4.9</v>
      </c>
      <c r="H76" t="n">
        <v>0</v>
      </c>
      <c r="I76" t="n">
        <v>1</v>
      </c>
      <c r="J76" t="n">
        <v>2</v>
      </c>
      <c r="K76" t="n">
        <v>2</v>
      </c>
      <c r="L76" t="n">
        <v>0</v>
      </c>
      <c r="M76" t="n">
        <v>0</v>
      </c>
      <c r="N76" t="n">
        <v>0</v>
      </c>
      <c r="O76" t="n">
        <v>4</v>
      </c>
      <c r="P76" t="n">
        <v>2</v>
      </c>
      <c r="Q76" t="n">
        <v>5</v>
      </c>
      <c r="R76" s="2" t="inlineStr">
        <is>
          <t>Mörk kraterlav
Skogskorn
Ekvaxskivling
Mjölmusseron
Besk kastanjemusseron</t>
        </is>
      </c>
      <c r="S76">
        <f>HYPERLINK("https://klasma.github.io/Logging_0980/artfynd/A 6839-2026 artfynd.xlsx", "A 6839-2026")</f>
        <v/>
      </c>
      <c r="T76">
        <f>HYPERLINK("https://klasma.github.io/Logging_0980/kartor/A 6839-2026 karta.png", "A 6839-2026")</f>
        <v/>
      </c>
      <c r="V76">
        <f>HYPERLINK("https://klasma.github.io/Logging_0980/klagomål/A 6839-2026 FSC-klagomål.docx", "A 6839-2026")</f>
        <v/>
      </c>
      <c r="W76">
        <f>HYPERLINK("https://klasma.github.io/Logging_0980/klagomålsmail/A 6839-2026 FSC-klagomål mail.docx", "A 6839-2026")</f>
        <v/>
      </c>
      <c r="X76">
        <f>HYPERLINK("https://klasma.github.io/Logging_0980/tillsyn/A 6839-2026 tillsynsbegäran.docx", "A 6839-2026")</f>
        <v/>
      </c>
      <c r="Y76">
        <f>HYPERLINK("https://klasma.github.io/Logging_0980/tillsynsmail/A 6839-2026 tillsynsbegäran mail.docx", "A 6839-2026")</f>
        <v/>
      </c>
    </row>
    <row r="77" ht="15" customHeight="1">
      <c r="A77" t="inlineStr">
        <is>
          <t>A 39425-2023</t>
        </is>
      </c>
      <c r="B77" s="1" t="n">
        <v>45166</v>
      </c>
      <c r="C77" s="1" t="n">
        <v>46178</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2213-2023</t>
        </is>
      </c>
      <c r="B78" s="1" t="n">
        <v>44942</v>
      </c>
      <c r="C78" s="1" t="n">
        <v>46178</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42936-2024</t>
        </is>
      </c>
      <c r="B79" s="1" t="n">
        <v>45567</v>
      </c>
      <c r="C79" s="1" t="n">
        <v>46178</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54055-2022</t>
        </is>
      </c>
      <c r="B80" s="1" t="n">
        <v>44881</v>
      </c>
      <c r="C80" s="1" t="n">
        <v>46178</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29331-2021</t>
        </is>
      </c>
      <c r="B81" s="1" t="n">
        <v>44361</v>
      </c>
      <c r="C81" s="1" t="n">
        <v>46178</v>
      </c>
      <c r="D81" t="inlineStr">
        <is>
          <t>GOTLANDS LÄN</t>
        </is>
      </c>
      <c r="E81" t="inlineStr">
        <is>
          <t>GOTLAND</t>
        </is>
      </c>
      <c r="G81" t="n">
        <v>3.7</v>
      </c>
      <c r="H81" t="n">
        <v>1</v>
      </c>
      <c r="I81" t="n">
        <v>4</v>
      </c>
      <c r="J81" t="n">
        <v>0</v>
      </c>
      <c r="K81" t="n">
        <v>0</v>
      </c>
      <c r="L81" t="n">
        <v>0</v>
      </c>
      <c r="M81" t="n">
        <v>0</v>
      </c>
      <c r="N81" t="n">
        <v>0</v>
      </c>
      <c r="O81" t="n">
        <v>0</v>
      </c>
      <c r="P81" t="n">
        <v>0</v>
      </c>
      <c r="Q81" t="n">
        <v>4</v>
      </c>
      <c r="R81" s="2" t="inlineStr">
        <is>
          <t>Blåmossa
Granbarkgnagare
Kattfotslav
Tvåblad</t>
        </is>
      </c>
      <c r="S81">
        <f>HYPERLINK("https://klasma.github.io/Logging_0980/artfynd/A 29331-2021 artfynd.xlsx", "A 29331-2021")</f>
        <v/>
      </c>
      <c r="T81">
        <f>HYPERLINK("https://klasma.github.io/Logging_0980/kartor/A 29331-2021 karta.png", "A 29331-2021")</f>
        <v/>
      </c>
      <c r="V81">
        <f>HYPERLINK("https://klasma.github.io/Logging_0980/klagomål/A 29331-2021 FSC-klagomål.docx", "A 29331-2021")</f>
        <v/>
      </c>
      <c r="W81">
        <f>HYPERLINK("https://klasma.github.io/Logging_0980/klagomålsmail/A 29331-2021 FSC-klagomål mail.docx", "A 29331-2021")</f>
        <v/>
      </c>
      <c r="X81">
        <f>HYPERLINK("https://klasma.github.io/Logging_0980/tillsyn/A 29331-2021 tillsynsbegäran.docx", "A 29331-2021")</f>
        <v/>
      </c>
      <c r="Y81">
        <f>HYPERLINK("https://klasma.github.io/Logging_0980/tillsynsmail/A 29331-2021 tillsynsbegäran mail.docx", "A 29331-2021")</f>
        <v/>
      </c>
    </row>
    <row r="82" ht="15" customHeight="1">
      <c r="A82" t="inlineStr">
        <is>
          <t>A 56717-2024</t>
        </is>
      </c>
      <c r="B82" s="1" t="n">
        <v>45628.3166550926</v>
      </c>
      <c r="C82" s="1" t="n">
        <v>46178</v>
      </c>
      <c r="D82" t="inlineStr">
        <is>
          <t>GOTLANDS LÄN</t>
        </is>
      </c>
      <c r="E82" t="inlineStr">
        <is>
          <t>GOTLAND</t>
        </is>
      </c>
      <c r="G82" t="n">
        <v>9.699999999999999</v>
      </c>
      <c r="H82" t="n">
        <v>0</v>
      </c>
      <c r="I82" t="n">
        <v>2</v>
      </c>
      <c r="J82" t="n">
        <v>2</v>
      </c>
      <c r="K82" t="n">
        <v>0</v>
      </c>
      <c r="L82" t="n">
        <v>0</v>
      </c>
      <c r="M82" t="n">
        <v>0</v>
      </c>
      <c r="N82" t="n">
        <v>0</v>
      </c>
      <c r="O82" t="n">
        <v>2</v>
      </c>
      <c r="P82" t="n">
        <v>0</v>
      </c>
      <c r="Q82" t="n">
        <v>4</v>
      </c>
      <c r="R82" s="2" t="inlineStr">
        <is>
          <t>Ekvaxskivling
Odörspindling
Fjällig taggsvamp s.str.
Kattfotslav</t>
        </is>
      </c>
      <c r="S82">
        <f>HYPERLINK("https://klasma.github.io/Logging_0980/artfynd/A 56717-2024 artfynd.xlsx", "A 56717-2024")</f>
        <v/>
      </c>
      <c r="T82">
        <f>HYPERLINK("https://klasma.github.io/Logging_0980/kartor/A 56717-2024 karta.png", "A 56717-2024")</f>
        <v/>
      </c>
      <c r="V82">
        <f>HYPERLINK("https://klasma.github.io/Logging_0980/klagomål/A 56717-2024 FSC-klagomål.docx", "A 56717-2024")</f>
        <v/>
      </c>
      <c r="W82">
        <f>HYPERLINK("https://klasma.github.io/Logging_0980/klagomålsmail/A 56717-2024 FSC-klagomål mail.docx", "A 56717-2024")</f>
        <v/>
      </c>
      <c r="X82">
        <f>HYPERLINK("https://klasma.github.io/Logging_0980/tillsyn/A 56717-2024 tillsynsbegäran.docx", "A 56717-2024")</f>
        <v/>
      </c>
      <c r="Y82">
        <f>HYPERLINK("https://klasma.github.io/Logging_0980/tillsynsmail/A 56717-2024 tillsynsbegäran mail.docx", "A 56717-2024")</f>
        <v/>
      </c>
    </row>
    <row r="83" ht="15" customHeight="1">
      <c r="A83" t="inlineStr">
        <is>
          <t>A 2485-2025</t>
        </is>
      </c>
      <c r="B83" s="1" t="n">
        <v>45673</v>
      </c>
      <c r="C83" s="1" t="n">
        <v>46178</v>
      </c>
      <c r="D83" t="inlineStr">
        <is>
          <t>GOTLANDS LÄN</t>
        </is>
      </c>
      <c r="E83" t="inlineStr">
        <is>
          <t>GOTLAND</t>
        </is>
      </c>
      <c r="G83" t="n">
        <v>5</v>
      </c>
      <c r="H83" t="n">
        <v>2</v>
      </c>
      <c r="I83" t="n">
        <v>2</v>
      </c>
      <c r="J83" t="n">
        <v>0</v>
      </c>
      <c r="K83" t="n">
        <v>2</v>
      </c>
      <c r="L83" t="n">
        <v>0</v>
      </c>
      <c r="M83" t="n">
        <v>0</v>
      </c>
      <c r="N83" t="n">
        <v>0</v>
      </c>
      <c r="O83" t="n">
        <v>2</v>
      </c>
      <c r="P83" t="n">
        <v>2</v>
      </c>
      <c r="Q83" t="n">
        <v>4</v>
      </c>
      <c r="R83" s="2" t="inlineStr">
        <is>
          <t>Gotlandsmåra
Skogskorn
Nästrot
Skogsknipprot</t>
        </is>
      </c>
      <c r="S83">
        <f>HYPERLINK("https://klasma.github.io/Logging_0980/artfynd/A 2485-2025 artfynd.xlsx", "A 2485-2025")</f>
        <v/>
      </c>
      <c r="T83">
        <f>HYPERLINK("https://klasma.github.io/Logging_0980/kartor/A 2485-2025 karta.png", "A 2485-2025")</f>
        <v/>
      </c>
      <c r="V83">
        <f>HYPERLINK("https://klasma.github.io/Logging_0980/klagomål/A 2485-2025 FSC-klagomål.docx", "A 2485-2025")</f>
        <v/>
      </c>
      <c r="W83">
        <f>HYPERLINK("https://klasma.github.io/Logging_0980/klagomålsmail/A 2485-2025 FSC-klagomål mail.docx", "A 2485-2025")</f>
        <v/>
      </c>
      <c r="X83">
        <f>HYPERLINK("https://klasma.github.io/Logging_0980/tillsyn/A 2485-2025 tillsynsbegäran.docx", "A 2485-2025")</f>
        <v/>
      </c>
      <c r="Y83">
        <f>HYPERLINK("https://klasma.github.io/Logging_0980/tillsynsmail/A 2485-2025 tillsynsbegäran mail.docx", "A 2485-2025")</f>
        <v/>
      </c>
    </row>
    <row r="84" ht="15" customHeight="1">
      <c r="A84" t="inlineStr">
        <is>
          <t>A 5904-2024</t>
        </is>
      </c>
      <c r="B84" s="1" t="n">
        <v>45335</v>
      </c>
      <c r="C84" s="1" t="n">
        <v>46178</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13203-2026</t>
        </is>
      </c>
      <c r="B85" s="1" t="n">
        <v>46093</v>
      </c>
      <c r="C85" s="1" t="n">
        <v>46178</v>
      </c>
      <c r="D85" t="inlineStr">
        <is>
          <t>GOTLANDS LÄN</t>
        </is>
      </c>
      <c r="E85" t="inlineStr">
        <is>
          <t>GOTLAND</t>
        </is>
      </c>
      <c r="G85" t="n">
        <v>4.5</v>
      </c>
      <c r="H85" t="n">
        <v>2</v>
      </c>
      <c r="I85" t="n">
        <v>1</v>
      </c>
      <c r="J85" t="n">
        <v>1</v>
      </c>
      <c r="K85" t="n">
        <v>1</v>
      </c>
      <c r="L85" t="n">
        <v>0</v>
      </c>
      <c r="M85" t="n">
        <v>0</v>
      </c>
      <c r="N85" t="n">
        <v>0</v>
      </c>
      <c r="O85" t="n">
        <v>2</v>
      </c>
      <c r="P85" t="n">
        <v>1</v>
      </c>
      <c r="Q85" t="n">
        <v>4</v>
      </c>
      <c r="R85" s="2" t="inlineStr">
        <is>
          <t>Gotlandsmåra
Svinrot
Nästrot
Grönvit nattviol</t>
        </is>
      </c>
      <c r="S85">
        <f>HYPERLINK("https://klasma.github.io/Logging_0980/artfynd/A 13203-2026 artfynd.xlsx", "A 13203-2026")</f>
        <v/>
      </c>
      <c r="T85">
        <f>HYPERLINK("https://klasma.github.io/Logging_0980/kartor/A 13203-2026 karta.png", "A 13203-2026")</f>
        <v/>
      </c>
      <c r="V85">
        <f>HYPERLINK("https://klasma.github.io/Logging_0980/klagomål/A 13203-2026 FSC-klagomål.docx", "A 13203-2026")</f>
        <v/>
      </c>
      <c r="W85">
        <f>HYPERLINK("https://klasma.github.io/Logging_0980/klagomålsmail/A 13203-2026 FSC-klagomål mail.docx", "A 13203-2026")</f>
        <v/>
      </c>
      <c r="X85">
        <f>HYPERLINK("https://klasma.github.io/Logging_0980/tillsyn/A 13203-2026 tillsynsbegäran.docx", "A 13203-2026")</f>
        <v/>
      </c>
      <c r="Y85">
        <f>HYPERLINK("https://klasma.github.io/Logging_0980/tillsynsmail/A 13203-2026 tillsynsbegäran mail.docx", "A 13203-2026")</f>
        <v/>
      </c>
    </row>
    <row r="86" ht="15" customHeight="1">
      <c r="A86" t="inlineStr">
        <is>
          <t>A 6159-2023</t>
        </is>
      </c>
      <c r="B86" s="1" t="n">
        <v>44964</v>
      </c>
      <c r="C86" s="1" t="n">
        <v>46178</v>
      </c>
      <c r="D86" t="inlineStr">
        <is>
          <t>GOTLANDS LÄN</t>
        </is>
      </c>
      <c r="E86" t="inlineStr">
        <is>
          <t>GOTLAND</t>
        </is>
      </c>
      <c r="G86" t="n">
        <v>2</v>
      </c>
      <c r="H86" t="n">
        <v>0</v>
      </c>
      <c r="I86" t="n">
        <v>2</v>
      </c>
      <c r="J86" t="n">
        <v>2</v>
      </c>
      <c r="K86" t="n">
        <v>0</v>
      </c>
      <c r="L86" t="n">
        <v>0</v>
      </c>
      <c r="M86" t="n">
        <v>0</v>
      </c>
      <c r="N86" t="n">
        <v>0</v>
      </c>
      <c r="O86" t="n">
        <v>2</v>
      </c>
      <c r="P86" t="n">
        <v>0</v>
      </c>
      <c r="Q86" t="n">
        <v>4</v>
      </c>
      <c r="R86" s="2" t="inlineStr">
        <is>
          <t>Dofttaggsvamp
Odörspindling
Anisspindling
Olivspindling</t>
        </is>
      </c>
      <c r="S86">
        <f>HYPERLINK("https://klasma.github.io/Logging_0980/artfynd/A 6159-2023 artfynd.xlsx", "A 6159-2023")</f>
        <v/>
      </c>
      <c r="T86">
        <f>HYPERLINK("https://klasma.github.io/Logging_0980/kartor/A 6159-2023 karta.png", "A 6159-2023")</f>
        <v/>
      </c>
      <c r="V86">
        <f>HYPERLINK("https://klasma.github.io/Logging_0980/klagomål/A 6159-2023 FSC-klagomål.docx", "A 6159-2023")</f>
        <v/>
      </c>
      <c r="W86">
        <f>HYPERLINK("https://klasma.github.io/Logging_0980/klagomålsmail/A 6159-2023 FSC-klagomål mail.docx", "A 6159-2023")</f>
        <v/>
      </c>
      <c r="X86">
        <f>HYPERLINK("https://klasma.github.io/Logging_0980/tillsyn/A 6159-2023 tillsynsbegäran.docx", "A 6159-2023")</f>
        <v/>
      </c>
      <c r="Y86">
        <f>HYPERLINK("https://klasma.github.io/Logging_0980/tillsynsmail/A 6159-2023 tillsynsbegäran mail.docx", "A 6159-2023")</f>
        <v/>
      </c>
    </row>
    <row r="87" ht="15" customHeight="1">
      <c r="A87" t="inlineStr">
        <is>
          <t>A 43197-2023</t>
        </is>
      </c>
      <c r="B87" s="1" t="n">
        <v>45183</v>
      </c>
      <c r="C87" s="1" t="n">
        <v>46178</v>
      </c>
      <c r="D87" t="inlineStr">
        <is>
          <t>GOTLANDS LÄN</t>
        </is>
      </c>
      <c r="E87" t="inlineStr">
        <is>
          <t>GOTLAND</t>
        </is>
      </c>
      <c r="G87" t="n">
        <v>3.7</v>
      </c>
      <c r="H87" t="n">
        <v>2</v>
      </c>
      <c r="I87" t="n">
        <v>1</v>
      </c>
      <c r="J87" t="n">
        <v>1</v>
      </c>
      <c r="K87" t="n">
        <v>1</v>
      </c>
      <c r="L87" t="n">
        <v>0</v>
      </c>
      <c r="M87" t="n">
        <v>0</v>
      </c>
      <c r="N87" t="n">
        <v>0</v>
      </c>
      <c r="O87" t="n">
        <v>2</v>
      </c>
      <c r="P87" t="n">
        <v>1</v>
      </c>
      <c r="Q87" t="n">
        <v>4</v>
      </c>
      <c r="R87" s="2" t="inlineStr">
        <is>
          <t>Allékantlav
Svinrot
Skogsknipprot
Revlummer</t>
        </is>
      </c>
      <c r="S87">
        <f>HYPERLINK("https://klasma.github.io/Logging_0980/artfynd/A 43197-2023 artfynd.xlsx", "A 43197-2023")</f>
        <v/>
      </c>
      <c r="T87">
        <f>HYPERLINK("https://klasma.github.io/Logging_0980/kartor/A 43197-2023 karta.png", "A 43197-2023")</f>
        <v/>
      </c>
      <c r="V87">
        <f>HYPERLINK("https://klasma.github.io/Logging_0980/klagomål/A 43197-2023 FSC-klagomål.docx", "A 43197-2023")</f>
        <v/>
      </c>
      <c r="W87">
        <f>HYPERLINK("https://klasma.github.io/Logging_0980/klagomålsmail/A 43197-2023 FSC-klagomål mail.docx", "A 43197-2023")</f>
        <v/>
      </c>
      <c r="X87">
        <f>HYPERLINK("https://klasma.github.io/Logging_0980/tillsyn/A 43197-2023 tillsynsbegäran.docx", "A 43197-2023")</f>
        <v/>
      </c>
      <c r="Y87">
        <f>HYPERLINK("https://klasma.github.io/Logging_0980/tillsynsmail/A 43197-2023 tillsynsbegäran mail.docx", "A 43197-2023")</f>
        <v/>
      </c>
    </row>
    <row r="88" ht="15" customHeight="1">
      <c r="A88" t="inlineStr">
        <is>
          <t>A 20833-2024</t>
        </is>
      </c>
      <c r="B88" s="1" t="n">
        <v>45439</v>
      </c>
      <c r="C88" s="1" t="n">
        <v>46178</v>
      </c>
      <c r="D88" t="inlineStr">
        <is>
          <t>GOTLANDS LÄN</t>
        </is>
      </c>
      <c r="E88" t="inlineStr">
        <is>
          <t>GOTLAND</t>
        </is>
      </c>
      <c r="G88" t="n">
        <v>0.9</v>
      </c>
      <c r="H88" t="n">
        <v>3</v>
      </c>
      <c r="I88" t="n">
        <v>1</v>
      </c>
      <c r="J88" t="n">
        <v>3</v>
      </c>
      <c r="K88" t="n">
        <v>0</v>
      </c>
      <c r="L88" t="n">
        <v>0</v>
      </c>
      <c r="M88" t="n">
        <v>0</v>
      </c>
      <c r="N88" t="n">
        <v>0</v>
      </c>
      <c r="O88" t="n">
        <v>3</v>
      </c>
      <c r="P88" t="n">
        <v>0</v>
      </c>
      <c r="Q88" t="n">
        <v>4</v>
      </c>
      <c r="R88" s="2" t="inlineStr">
        <is>
          <t>Dårgräsfjäril
Spillkråka
Svinrot
Skogsknipprot</t>
        </is>
      </c>
      <c r="S88">
        <f>HYPERLINK("https://klasma.github.io/Logging_0980/artfynd/A 20833-2024 artfynd.xlsx", "A 20833-2024")</f>
        <v/>
      </c>
      <c r="T88">
        <f>HYPERLINK("https://klasma.github.io/Logging_0980/kartor/A 20833-2024 karta.png", "A 20833-2024")</f>
        <v/>
      </c>
      <c r="V88">
        <f>HYPERLINK("https://klasma.github.io/Logging_0980/klagomål/A 20833-2024 FSC-klagomål.docx", "A 20833-2024")</f>
        <v/>
      </c>
      <c r="W88">
        <f>HYPERLINK("https://klasma.github.io/Logging_0980/klagomålsmail/A 20833-2024 FSC-klagomål mail.docx", "A 20833-2024")</f>
        <v/>
      </c>
      <c r="X88">
        <f>HYPERLINK("https://klasma.github.io/Logging_0980/tillsyn/A 20833-2024 tillsynsbegäran.docx", "A 20833-2024")</f>
        <v/>
      </c>
      <c r="Y88">
        <f>HYPERLINK("https://klasma.github.io/Logging_0980/tillsynsmail/A 20833-2024 tillsynsbegäran mail.docx", "A 20833-2024")</f>
        <v/>
      </c>
      <c r="Z88">
        <f>HYPERLINK("https://klasma.github.io/Logging_0980/fåglar/A 20833-2024 prioriterade fågelarter.docx", "A 20833-2024")</f>
        <v/>
      </c>
    </row>
    <row r="89" ht="15" customHeight="1">
      <c r="A89" t="inlineStr">
        <is>
          <t>A 57463-2025</t>
        </is>
      </c>
      <c r="B89" s="1" t="n">
        <v>45980</v>
      </c>
      <c r="C89" s="1" t="n">
        <v>46178</v>
      </c>
      <c r="D89" t="inlineStr">
        <is>
          <t>GOTLANDS LÄN</t>
        </is>
      </c>
      <c r="E89" t="inlineStr">
        <is>
          <t>GOTLAND</t>
        </is>
      </c>
      <c r="G89" t="n">
        <v>3.8</v>
      </c>
      <c r="H89" t="n">
        <v>0</v>
      </c>
      <c r="I89" t="n">
        <v>1</v>
      </c>
      <c r="J89" t="n">
        <v>1</v>
      </c>
      <c r="K89" t="n">
        <v>2</v>
      </c>
      <c r="L89" t="n">
        <v>0</v>
      </c>
      <c r="M89" t="n">
        <v>0</v>
      </c>
      <c r="N89" t="n">
        <v>0</v>
      </c>
      <c r="O89" t="n">
        <v>3</v>
      </c>
      <c r="P89" t="n">
        <v>2</v>
      </c>
      <c r="Q89" t="n">
        <v>4</v>
      </c>
      <c r="R89" s="2" t="inlineStr">
        <is>
          <t>Gulsträngad fagerspindling
Tvillingspindling
Odörspindling
Blå slemspindling</t>
        </is>
      </c>
      <c r="S89">
        <f>HYPERLINK("https://klasma.github.io/Logging_0980/artfynd/A 57463-2025 artfynd.xlsx", "A 57463-2025")</f>
        <v/>
      </c>
      <c r="T89">
        <f>HYPERLINK("https://klasma.github.io/Logging_0980/kartor/A 57463-2025 karta.png", "A 57463-2025")</f>
        <v/>
      </c>
      <c r="V89">
        <f>HYPERLINK("https://klasma.github.io/Logging_0980/klagomål/A 57463-2025 FSC-klagomål.docx", "A 57463-2025")</f>
        <v/>
      </c>
      <c r="W89">
        <f>HYPERLINK("https://klasma.github.io/Logging_0980/klagomålsmail/A 57463-2025 FSC-klagomål mail.docx", "A 57463-2025")</f>
        <v/>
      </c>
      <c r="X89">
        <f>HYPERLINK("https://klasma.github.io/Logging_0980/tillsyn/A 57463-2025 tillsynsbegäran.docx", "A 57463-2025")</f>
        <v/>
      </c>
      <c r="Y89">
        <f>HYPERLINK("https://klasma.github.io/Logging_0980/tillsynsmail/A 57463-2025 tillsynsbegäran mail.docx", "A 57463-2025")</f>
        <v/>
      </c>
    </row>
    <row r="90" ht="15" customHeight="1">
      <c r="A90" t="inlineStr">
        <is>
          <t>A 6836-2026</t>
        </is>
      </c>
      <c r="B90" s="1" t="n">
        <v>46057</v>
      </c>
      <c r="C90" s="1" t="n">
        <v>46178</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54523-2023</t>
        </is>
      </c>
      <c r="B91" s="1" t="n">
        <v>45233</v>
      </c>
      <c r="C91" s="1" t="n">
        <v>46178</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1971-2023</t>
        </is>
      </c>
      <c r="B92" s="1" t="n">
        <v>44939</v>
      </c>
      <c r="C92" s="1" t="n">
        <v>46178</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186-2023</t>
        </is>
      </c>
      <c r="B93" s="1" t="n">
        <v>44928</v>
      </c>
      <c r="C93" s="1" t="n">
        <v>46178</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8265-2023</t>
        </is>
      </c>
      <c r="B94" s="1" t="n">
        <v>44974</v>
      </c>
      <c r="C94" s="1" t="n">
        <v>46178</v>
      </c>
      <c r="D94" t="inlineStr">
        <is>
          <t>GOTLANDS LÄN</t>
        </is>
      </c>
      <c r="E94" t="inlineStr">
        <is>
          <t>GOTLAND</t>
        </is>
      </c>
      <c r="G94" t="n">
        <v>3.3</v>
      </c>
      <c r="H94" t="n">
        <v>4</v>
      </c>
      <c r="I94" t="n">
        <v>3</v>
      </c>
      <c r="J94" t="n">
        <v>0</v>
      </c>
      <c r="K94" t="n">
        <v>0</v>
      </c>
      <c r="L94" t="n">
        <v>0</v>
      </c>
      <c r="M94" t="n">
        <v>0</v>
      </c>
      <c r="N94" t="n">
        <v>0</v>
      </c>
      <c r="O94" t="n">
        <v>0</v>
      </c>
      <c r="P94" t="n">
        <v>0</v>
      </c>
      <c r="Q94" t="n">
        <v>4</v>
      </c>
      <c r="R94" s="2" t="inlineStr">
        <is>
          <t>Flugblomster
Purpurknipprot
Tvåblad
Salepsrot</t>
        </is>
      </c>
      <c r="S94">
        <f>HYPERLINK("https://klasma.github.io/Logging_0980/artfynd/A 8265-2023 artfynd.xlsx", "A 8265-2023")</f>
        <v/>
      </c>
      <c r="T94">
        <f>HYPERLINK("https://klasma.github.io/Logging_0980/kartor/A 8265-2023 karta.png", "A 8265-2023")</f>
        <v/>
      </c>
      <c r="V94">
        <f>HYPERLINK("https://klasma.github.io/Logging_0980/klagomål/A 8265-2023 FSC-klagomål.docx", "A 8265-2023")</f>
        <v/>
      </c>
      <c r="W94">
        <f>HYPERLINK("https://klasma.github.io/Logging_0980/klagomålsmail/A 8265-2023 FSC-klagomål mail.docx", "A 8265-2023")</f>
        <v/>
      </c>
      <c r="X94">
        <f>HYPERLINK("https://klasma.github.io/Logging_0980/tillsyn/A 8265-2023 tillsynsbegäran.docx", "A 8265-2023")</f>
        <v/>
      </c>
      <c r="Y94">
        <f>HYPERLINK("https://klasma.github.io/Logging_0980/tillsynsmail/A 8265-2023 tillsynsbegäran mail.docx", "A 8265-2023")</f>
        <v/>
      </c>
    </row>
    <row r="95" ht="15" customHeight="1">
      <c r="A95" t="inlineStr">
        <is>
          <t>A 44323-2021</t>
        </is>
      </c>
      <c r="B95" s="1" t="n">
        <v>44434</v>
      </c>
      <c r="C95" s="1" t="n">
        <v>46178</v>
      </c>
      <c r="D95" t="inlineStr">
        <is>
          <t>GOTLANDS LÄN</t>
        </is>
      </c>
      <c r="E95" t="inlineStr">
        <is>
          <t>GOTLAND</t>
        </is>
      </c>
      <c r="G95" t="n">
        <v>7.5</v>
      </c>
      <c r="H95" t="n">
        <v>1</v>
      </c>
      <c r="I95" t="n">
        <v>3</v>
      </c>
      <c r="J95" t="n">
        <v>0</v>
      </c>
      <c r="K95" t="n">
        <v>0</v>
      </c>
      <c r="L95" t="n">
        <v>0</v>
      </c>
      <c r="M95" t="n">
        <v>0</v>
      </c>
      <c r="N95" t="n">
        <v>0</v>
      </c>
      <c r="O95" t="n">
        <v>0</v>
      </c>
      <c r="P95" t="n">
        <v>0</v>
      </c>
      <c r="Q95" t="n">
        <v>3</v>
      </c>
      <c r="R95" s="2" t="inlineStr">
        <is>
          <t>Anisspindling
Barrfagerspindling
Skogsknipprot</t>
        </is>
      </c>
      <c r="S95">
        <f>HYPERLINK("https://klasma.github.io/Logging_0980/artfynd/A 44323-2021 artfynd.xlsx", "A 44323-2021")</f>
        <v/>
      </c>
      <c r="T95">
        <f>HYPERLINK("https://klasma.github.io/Logging_0980/kartor/A 44323-2021 karta.png", "A 44323-2021")</f>
        <v/>
      </c>
      <c r="V95">
        <f>HYPERLINK("https://klasma.github.io/Logging_0980/klagomål/A 44323-2021 FSC-klagomål.docx", "A 44323-2021")</f>
        <v/>
      </c>
      <c r="W95">
        <f>HYPERLINK("https://klasma.github.io/Logging_0980/klagomålsmail/A 44323-2021 FSC-klagomål mail.docx", "A 44323-2021")</f>
        <v/>
      </c>
      <c r="X95">
        <f>HYPERLINK("https://klasma.github.io/Logging_0980/tillsyn/A 44323-2021 tillsynsbegäran.docx", "A 44323-2021")</f>
        <v/>
      </c>
      <c r="Y95">
        <f>HYPERLINK("https://klasma.github.io/Logging_0980/tillsynsmail/A 44323-2021 tillsynsbegäran mail.docx", "A 44323-2021")</f>
        <v/>
      </c>
    </row>
    <row r="96" ht="15" customHeight="1">
      <c r="A96" t="inlineStr">
        <is>
          <t>A 32666-2021</t>
        </is>
      </c>
      <c r="B96" s="1" t="n">
        <v>44375</v>
      </c>
      <c r="C96" s="1" t="n">
        <v>46178</v>
      </c>
      <c r="D96" t="inlineStr">
        <is>
          <t>GOTLANDS LÄN</t>
        </is>
      </c>
      <c r="E96" t="inlineStr">
        <is>
          <t>GOTLAND</t>
        </is>
      </c>
      <c r="G96" t="n">
        <v>0.9</v>
      </c>
      <c r="H96" t="n">
        <v>1</v>
      </c>
      <c r="I96" t="n">
        <v>2</v>
      </c>
      <c r="J96" t="n">
        <v>0</v>
      </c>
      <c r="K96" t="n">
        <v>1</v>
      </c>
      <c r="L96" t="n">
        <v>0</v>
      </c>
      <c r="M96" t="n">
        <v>0</v>
      </c>
      <c r="N96" t="n">
        <v>0</v>
      </c>
      <c r="O96" t="n">
        <v>1</v>
      </c>
      <c r="P96" t="n">
        <v>1</v>
      </c>
      <c r="Q96" t="n">
        <v>3</v>
      </c>
      <c r="R96" s="2" t="inlineStr">
        <is>
          <t>Skogskorn
Myskmadra
Vit skogslilja</t>
        </is>
      </c>
      <c r="S96">
        <f>HYPERLINK("https://klasma.github.io/Logging_0980/artfynd/A 32666-2021 artfynd.xlsx", "A 32666-2021")</f>
        <v/>
      </c>
      <c r="T96">
        <f>HYPERLINK("https://klasma.github.io/Logging_0980/kartor/A 32666-2021 karta.png", "A 32666-2021")</f>
        <v/>
      </c>
      <c r="V96">
        <f>HYPERLINK("https://klasma.github.io/Logging_0980/klagomål/A 32666-2021 FSC-klagomål.docx", "A 32666-2021")</f>
        <v/>
      </c>
      <c r="W96">
        <f>HYPERLINK("https://klasma.github.io/Logging_0980/klagomålsmail/A 32666-2021 FSC-klagomål mail.docx", "A 32666-2021")</f>
        <v/>
      </c>
      <c r="X96">
        <f>HYPERLINK("https://klasma.github.io/Logging_0980/tillsyn/A 32666-2021 tillsynsbegäran.docx", "A 32666-2021")</f>
        <v/>
      </c>
      <c r="Y96">
        <f>HYPERLINK("https://klasma.github.io/Logging_0980/tillsynsmail/A 32666-2021 tillsynsbegäran mail.docx", "A 32666-2021")</f>
        <v/>
      </c>
    </row>
    <row r="97" ht="15" customHeight="1">
      <c r="A97" t="inlineStr">
        <is>
          <t>A 32718-2021</t>
        </is>
      </c>
      <c r="B97" s="1" t="n">
        <v>44375</v>
      </c>
      <c r="C97" s="1" t="n">
        <v>46178</v>
      </c>
      <c r="D97" t="inlineStr">
        <is>
          <t>GOTLANDS LÄN</t>
        </is>
      </c>
      <c r="E97" t="inlineStr">
        <is>
          <t>GOTLAND</t>
        </is>
      </c>
      <c r="G97" t="n">
        <v>2.1</v>
      </c>
      <c r="H97" t="n">
        <v>0</v>
      </c>
      <c r="I97" t="n">
        <v>1</v>
      </c>
      <c r="J97" t="n">
        <v>1</v>
      </c>
      <c r="K97" t="n">
        <v>1</v>
      </c>
      <c r="L97" t="n">
        <v>0</v>
      </c>
      <c r="M97" t="n">
        <v>0</v>
      </c>
      <c r="N97" t="n">
        <v>0</v>
      </c>
      <c r="O97" t="n">
        <v>2</v>
      </c>
      <c r="P97" t="n">
        <v>1</v>
      </c>
      <c r="Q97" t="n">
        <v>3</v>
      </c>
      <c r="R97" s="2" t="inlineStr">
        <is>
          <t>Skogskorn
Skugglosta
Strävlosta</t>
        </is>
      </c>
      <c r="S97">
        <f>HYPERLINK("https://klasma.github.io/Logging_0980/artfynd/A 32718-2021 artfynd.xlsx", "A 32718-2021")</f>
        <v/>
      </c>
      <c r="T97">
        <f>HYPERLINK("https://klasma.github.io/Logging_0980/kartor/A 32718-2021 karta.png", "A 32718-2021")</f>
        <v/>
      </c>
      <c r="V97">
        <f>HYPERLINK("https://klasma.github.io/Logging_0980/klagomål/A 32718-2021 FSC-klagomål.docx", "A 32718-2021")</f>
        <v/>
      </c>
      <c r="W97">
        <f>HYPERLINK("https://klasma.github.io/Logging_0980/klagomålsmail/A 32718-2021 FSC-klagomål mail.docx", "A 32718-2021")</f>
        <v/>
      </c>
      <c r="X97">
        <f>HYPERLINK("https://klasma.github.io/Logging_0980/tillsyn/A 32718-2021 tillsynsbegäran.docx", "A 32718-2021")</f>
        <v/>
      </c>
      <c r="Y97">
        <f>HYPERLINK("https://klasma.github.io/Logging_0980/tillsynsmail/A 32718-2021 tillsynsbegäran mail.docx", "A 32718-2021")</f>
        <v/>
      </c>
    </row>
    <row r="98" ht="15" customHeight="1">
      <c r="A98" t="inlineStr">
        <is>
          <t>A 43013-2022</t>
        </is>
      </c>
      <c r="B98" s="1" t="n">
        <v>44833</v>
      </c>
      <c r="C98" s="1" t="n">
        <v>46178</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73144-2021</t>
        </is>
      </c>
      <c r="B99" s="1" t="n">
        <v>44550</v>
      </c>
      <c r="C99" s="1" t="n">
        <v>46178</v>
      </c>
      <c r="D99" t="inlineStr">
        <is>
          <t>GOTLANDS LÄN</t>
        </is>
      </c>
      <c r="E99" t="inlineStr">
        <is>
          <t>GOTLAND</t>
        </is>
      </c>
      <c r="G99" t="n">
        <v>1.9</v>
      </c>
      <c r="H99" t="n">
        <v>0</v>
      </c>
      <c r="I99" t="n">
        <v>1</v>
      </c>
      <c r="J99" t="n">
        <v>1</v>
      </c>
      <c r="K99" t="n">
        <v>1</v>
      </c>
      <c r="L99" t="n">
        <v>0</v>
      </c>
      <c r="M99" t="n">
        <v>0</v>
      </c>
      <c r="N99" t="n">
        <v>0</v>
      </c>
      <c r="O99" t="n">
        <v>2</v>
      </c>
      <c r="P99" t="n">
        <v>1</v>
      </c>
      <c r="Q99" t="n">
        <v>3</v>
      </c>
      <c r="R99" s="2" t="inlineStr">
        <is>
          <t>Skogskorn
Igelkott
Kambräken</t>
        </is>
      </c>
      <c r="S99">
        <f>HYPERLINK("https://klasma.github.io/Logging_0980/artfynd/A 73144-2021 artfynd.xlsx", "A 73144-2021")</f>
        <v/>
      </c>
      <c r="T99">
        <f>HYPERLINK("https://klasma.github.io/Logging_0980/kartor/A 73144-2021 karta.png", "A 73144-2021")</f>
        <v/>
      </c>
      <c r="V99">
        <f>HYPERLINK("https://klasma.github.io/Logging_0980/klagomål/A 73144-2021 FSC-klagomål.docx", "A 73144-2021")</f>
        <v/>
      </c>
      <c r="W99">
        <f>HYPERLINK("https://klasma.github.io/Logging_0980/klagomålsmail/A 73144-2021 FSC-klagomål mail.docx", "A 73144-2021")</f>
        <v/>
      </c>
      <c r="X99">
        <f>HYPERLINK("https://klasma.github.io/Logging_0980/tillsyn/A 73144-2021 tillsynsbegäran.docx", "A 73144-2021")</f>
        <v/>
      </c>
      <c r="Y99">
        <f>HYPERLINK("https://klasma.github.io/Logging_0980/tillsynsmail/A 73144-2021 tillsynsbegäran mail.docx", "A 73144-2021")</f>
        <v/>
      </c>
    </row>
    <row r="100" ht="15" customHeight="1">
      <c r="A100" t="inlineStr">
        <is>
          <t>A 5235-2025</t>
        </is>
      </c>
      <c r="B100" s="1" t="n">
        <v>45692.26797453704</v>
      </c>
      <c r="C100" s="1" t="n">
        <v>46178</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13499-2022</t>
        </is>
      </c>
      <c r="B101" s="1" t="n">
        <v>44647.79203703703</v>
      </c>
      <c r="C101" s="1" t="n">
        <v>46178</v>
      </c>
      <c r="D101" t="inlineStr">
        <is>
          <t>GOTLANDS LÄN</t>
        </is>
      </c>
      <c r="E101" t="inlineStr">
        <is>
          <t>GOTLAND</t>
        </is>
      </c>
      <c r="G101" t="n">
        <v>6.8</v>
      </c>
      <c r="H101" t="n">
        <v>3</v>
      </c>
      <c r="I101" t="n">
        <v>0</v>
      </c>
      <c r="J101" t="n">
        <v>1</v>
      </c>
      <c r="K101" t="n">
        <v>0</v>
      </c>
      <c r="L101" t="n">
        <v>0</v>
      </c>
      <c r="M101" t="n">
        <v>0</v>
      </c>
      <c r="N101" t="n">
        <v>0</v>
      </c>
      <c r="O101" t="n">
        <v>1</v>
      </c>
      <c r="P101" t="n">
        <v>0</v>
      </c>
      <c r="Q101" t="n">
        <v>3</v>
      </c>
      <c r="R101" s="2" t="inlineStr">
        <is>
          <t>Spillkråka
Sankt pers nycklar
Blåsippa</t>
        </is>
      </c>
      <c r="S101">
        <f>HYPERLINK("https://klasma.github.io/Logging_0980/artfynd/A 13499-2022 artfynd.xlsx", "A 13499-2022")</f>
        <v/>
      </c>
      <c r="T101">
        <f>HYPERLINK("https://klasma.github.io/Logging_0980/kartor/A 13499-2022 karta.png", "A 13499-2022")</f>
        <v/>
      </c>
      <c r="V101">
        <f>HYPERLINK("https://klasma.github.io/Logging_0980/klagomål/A 13499-2022 FSC-klagomål.docx", "A 13499-2022")</f>
        <v/>
      </c>
      <c r="W101">
        <f>HYPERLINK("https://klasma.github.io/Logging_0980/klagomålsmail/A 13499-2022 FSC-klagomål mail.docx", "A 13499-2022")</f>
        <v/>
      </c>
      <c r="X101">
        <f>HYPERLINK("https://klasma.github.io/Logging_0980/tillsyn/A 13499-2022 tillsynsbegäran.docx", "A 13499-2022")</f>
        <v/>
      </c>
      <c r="Y101">
        <f>HYPERLINK("https://klasma.github.io/Logging_0980/tillsynsmail/A 13499-2022 tillsynsbegäran mail.docx", "A 13499-2022")</f>
        <v/>
      </c>
      <c r="Z101">
        <f>HYPERLINK("https://klasma.github.io/Logging_0980/fåglar/A 13499-2022 prioriterade fågelarter.docx", "A 13499-2022")</f>
        <v/>
      </c>
    </row>
    <row r="102" ht="15" customHeight="1">
      <c r="A102" t="inlineStr">
        <is>
          <t>A 48126-2022</t>
        </is>
      </c>
      <c r="B102" s="1" t="n">
        <v>44857</v>
      </c>
      <c r="C102" s="1" t="n">
        <v>46178</v>
      </c>
      <c r="D102" t="inlineStr">
        <is>
          <t>GOTLANDS LÄN</t>
        </is>
      </c>
      <c r="E102" t="inlineStr">
        <is>
          <t>GOTLAND</t>
        </is>
      </c>
      <c r="G102" t="n">
        <v>9.800000000000001</v>
      </c>
      <c r="H102" t="n">
        <v>1</v>
      </c>
      <c r="I102" t="n">
        <v>0</v>
      </c>
      <c r="J102" t="n">
        <v>3</v>
      </c>
      <c r="K102" t="n">
        <v>0</v>
      </c>
      <c r="L102" t="n">
        <v>0</v>
      </c>
      <c r="M102" t="n">
        <v>0</v>
      </c>
      <c r="N102" t="n">
        <v>0</v>
      </c>
      <c r="O102" t="n">
        <v>3</v>
      </c>
      <c r="P102" t="n">
        <v>0</v>
      </c>
      <c r="Q102" t="n">
        <v>3</v>
      </c>
      <c r="R102" s="2" t="inlineStr">
        <is>
          <t>Jordtistel
Spillkråka
Svinrot</t>
        </is>
      </c>
      <c r="S102">
        <f>HYPERLINK("https://klasma.github.io/Logging_0980/artfynd/A 48126-2022 artfynd.xlsx", "A 48126-2022")</f>
        <v/>
      </c>
      <c r="T102">
        <f>HYPERLINK("https://klasma.github.io/Logging_0980/kartor/A 48126-2022 karta.png", "A 48126-2022")</f>
        <v/>
      </c>
      <c r="V102">
        <f>HYPERLINK("https://klasma.github.io/Logging_0980/klagomål/A 48126-2022 FSC-klagomål.docx", "A 48126-2022")</f>
        <v/>
      </c>
      <c r="W102">
        <f>HYPERLINK("https://klasma.github.io/Logging_0980/klagomålsmail/A 48126-2022 FSC-klagomål mail.docx", "A 48126-2022")</f>
        <v/>
      </c>
      <c r="X102">
        <f>HYPERLINK("https://klasma.github.io/Logging_0980/tillsyn/A 48126-2022 tillsynsbegäran.docx", "A 48126-2022")</f>
        <v/>
      </c>
      <c r="Y102">
        <f>HYPERLINK("https://klasma.github.io/Logging_0980/tillsynsmail/A 48126-2022 tillsynsbegäran mail.docx", "A 48126-2022")</f>
        <v/>
      </c>
      <c r="Z102">
        <f>HYPERLINK("https://klasma.github.io/Logging_0980/fåglar/A 48126-2022 prioriterade fågelarter.docx", "A 48126-2022")</f>
        <v/>
      </c>
    </row>
    <row r="103" ht="15" customHeight="1">
      <c r="A103" t="inlineStr">
        <is>
          <t>A 55334-2024</t>
        </is>
      </c>
      <c r="B103" s="1" t="n">
        <v>45621</v>
      </c>
      <c r="C103" s="1" t="n">
        <v>46178</v>
      </c>
      <c r="D103" t="inlineStr">
        <is>
          <t>GOTLANDS LÄN</t>
        </is>
      </c>
      <c r="E103" t="inlineStr">
        <is>
          <t>GOTLAND</t>
        </is>
      </c>
      <c r="G103" t="n">
        <v>21.7</v>
      </c>
      <c r="H103" t="n">
        <v>0</v>
      </c>
      <c r="I103" t="n">
        <v>3</v>
      </c>
      <c r="J103" t="n">
        <v>0</v>
      </c>
      <c r="K103" t="n">
        <v>0</v>
      </c>
      <c r="L103" t="n">
        <v>0</v>
      </c>
      <c r="M103" t="n">
        <v>0</v>
      </c>
      <c r="N103" t="n">
        <v>0</v>
      </c>
      <c r="O103" t="n">
        <v>0</v>
      </c>
      <c r="P103" t="n">
        <v>0</v>
      </c>
      <c r="Q103" t="n">
        <v>3</v>
      </c>
      <c r="R103" s="2" t="inlineStr">
        <is>
          <t>Anisspindling
Besk kastanjemusseron
Svavelriska</t>
        </is>
      </c>
      <c r="S103">
        <f>HYPERLINK("https://klasma.github.io/Logging_0980/artfynd/A 55334-2024 artfynd.xlsx", "A 55334-2024")</f>
        <v/>
      </c>
      <c r="T103">
        <f>HYPERLINK("https://klasma.github.io/Logging_0980/kartor/A 55334-2024 karta.png", "A 55334-2024")</f>
        <v/>
      </c>
      <c r="V103">
        <f>HYPERLINK("https://klasma.github.io/Logging_0980/klagomål/A 55334-2024 FSC-klagomål.docx", "A 55334-2024")</f>
        <v/>
      </c>
      <c r="W103">
        <f>HYPERLINK("https://klasma.github.io/Logging_0980/klagomålsmail/A 55334-2024 FSC-klagomål mail.docx", "A 55334-2024")</f>
        <v/>
      </c>
      <c r="X103">
        <f>HYPERLINK("https://klasma.github.io/Logging_0980/tillsyn/A 55334-2024 tillsynsbegäran.docx", "A 55334-2024")</f>
        <v/>
      </c>
      <c r="Y103">
        <f>HYPERLINK("https://klasma.github.io/Logging_0980/tillsynsmail/A 55334-2024 tillsynsbegäran mail.docx", "A 55334-2024")</f>
        <v/>
      </c>
    </row>
    <row r="104" ht="15" customHeight="1">
      <c r="A104" t="inlineStr">
        <is>
          <t>A 49709-2025</t>
        </is>
      </c>
      <c r="B104" s="1" t="n">
        <v>45939.68228009259</v>
      </c>
      <c r="C104" s="1" t="n">
        <v>46178</v>
      </c>
      <c r="D104" t="inlineStr">
        <is>
          <t>GOTLANDS LÄN</t>
        </is>
      </c>
      <c r="E104" t="inlineStr">
        <is>
          <t>GOTLAND</t>
        </is>
      </c>
      <c r="G104" t="n">
        <v>10.2</v>
      </c>
      <c r="H104" t="n">
        <v>0</v>
      </c>
      <c r="I104" t="n">
        <v>2</v>
      </c>
      <c r="J104" t="n">
        <v>1</v>
      </c>
      <c r="K104" t="n">
        <v>0</v>
      </c>
      <c r="L104" t="n">
        <v>0</v>
      </c>
      <c r="M104" t="n">
        <v>0</v>
      </c>
      <c r="N104" t="n">
        <v>0</v>
      </c>
      <c r="O104" t="n">
        <v>1</v>
      </c>
      <c r="P104" t="n">
        <v>0</v>
      </c>
      <c r="Q104" t="n">
        <v>3</v>
      </c>
      <c r="R104" s="2" t="inlineStr">
        <is>
          <t>Tallticka
Blåmossa
Grovticka</t>
        </is>
      </c>
      <c r="S104">
        <f>HYPERLINK("https://klasma.github.io/Logging_0980/artfynd/A 49709-2025 artfynd.xlsx", "A 49709-2025")</f>
        <v/>
      </c>
      <c r="T104">
        <f>HYPERLINK("https://klasma.github.io/Logging_0980/kartor/A 49709-2025 karta.png", "A 49709-2025")</f>
        <v/>
      </c>
      <c r="V104">
        <f>HYPERLINK("https://klasma.github.io/Logging_0980/klagomål/A 49709-2025 FSC-klagomål.docx", "A 49709-2025")</f>
        <v/>
      </c>
      <c r="W104">
        <f>HYPERLINK("https://klasma.github.io/Logging_0980/klagomålsmail/A 49709-2025 FSC-klagomål mail.docx", "A 49709-2025")</f>
        <v/>
      </c>
      <c r="X104">
        <f>HYPERLINK("https://klasma.github.io/Logging_0980/tillsyn/A 49709-2025 tillsynsbegäran.docx", "A 49709-2025")</f>
        <v/>
      </c>
      <c r="Y104">
        <f>HYPERLINK("https://klasma.github.io/Logging_0980/tillsynsmail/A 49709-2025 tillsynsbegäran mail.docx", "A 49709-2025")</f>
        <v/>
      </c>
    </row>
    <row r="105" ht="15" customHeight="1">
      <c r="A105" t="inlineStr">
        <is>
          <t>A 17975-2024</t>
        </is>
      </c>
      <c r="B105" s="1" t="n">
        <v>45419.85546296297</v>
      </c>
      <c r="C105" s="1" t="n">
        <v>46178</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1520-2026</t>
        </is>
      </c>
      <c r="B106" s="1" t="n">
        <v>46034.35891203704</v>
      </c>
      <c r="C106" s="1" t="n">
        <v>46178</v>
      </c>
      <c r="D106" t="inlineStr">
        <is>
          <t>GOTLANDS LÄN</t>
        </is>
      </c>
      <c r="E106" t="inlineStr">
        <is>
          <t>GOTLAND</t>
        </is>
      </c>
      <c r="G106" t="n">
        <v>7.4</v>
      </c>
      <c r="H106" t="n">
        <v>0</v>
      </c>
      <c r="I106" t="n">
        <v>1</v>
      </c>
      <c r="J106" t="n">
        <v>0</v>
      </c>
      <c r="K106" t="n">
        <v>2</v>
      </c>
      <c r="L106" t="n">
        <v>0</v>
      </c>
      <c r="M106" t="n">
        <v>0</v>
      </c>
      <c r="N106" t="n">
        <v>0</v>
      </c>
      <c r="O106" t="n">
        <v>2</v>
      </c>
      <c r="P106" t="n">
        <v>2</v>
      </c>
      <c r="Q106" t="n">
        <v>3</v>
      </c>
      <c r="R106" s="2" t="inlineStr">
        <is>
          <t>Granrotspindling
Gulsträngad fagerspindling
Brandmusseron</t>
        </is>
      </c>
      <c r="S106">
        <f>HYPERLINK("https://klasma.github.io/Logging_0980/artfynd/A 1520-2026 artfynd.xlsx", "A 1520-2026")</f>
        <v/>
      </c>
      <c r="T106">
        <f>HYPERLINK("https://klasma.github.io/Logging_0980/kartor/A 1520-2026 karta.png", "A 1520-2026")</f>
        <v/>
      </c>
      <c r="V106">
        <f>HYPERLINK("https://klasma.github.io/Logging_0980/klagomål/A 1520-2026 FSC-klagomål.docx", "A 1520-2026")</f>
        <v/>
      </c>
      <c r="W106">
        <f>HYPERLINK("https://klasma.github.io/Logging_0980/klagomålsmail/A 1520-2026 FSC-klagomål mail.docx", "A 1520-2026")</f>
        <v/>
      </c>
      <c r="X106">
        <f>HYPERLINK("https://klasma.github.io/Logging_0980/tillsyn/A 1520-2026 tillsynsbegäran.docx", "A 1520-2026")</f>
        <v/>
      </c>
      <c r="Y106">
        <f>HYPERLINK("https://klasma.github.io/Logging_0980/tillsynsmail/A 1520-2026 tillsynsbegäran mail.docx", "A 1520-2026")</f>
        <v/>
      </c>
    </row>
    <row r="107" ht="15" customHeight="1">
      <c r="A107" t="inlineStr">
        <is>
          <t>A 20831-2024</t>
        </is>
      </c>
      <c r="B107" s="1" t="n">
        <v>45439</v>
      </c>
      <c r="C107" s="1" t="n">
        <v>46178</v>
      </c>
      <c r="D107" t="inlineStr">
        <is>
          <t>GOTLANDS LÄN</t>
        </is>
      </c>
      <c r="E107" t="inlineStr">
        <is>
          <t>GOTLAND</t>
        </is>
      </c>
      <c r="G107" t="n">
        <v>2.9</v>
      </c>
      <c r="H107" t="n">
        <v>2</v>
      </c>
      <c r="I107" t="n">
        <v>1</v>
      </c>
      <c r="J107" t="n">
        <v>2</v>
      </c>
      <c r="K107" t="n">
        <v>0</v>
      </c>
      <c r="L107" t="n">
        <v>0</v>
      </c>
      <c r="M107" t="n">
        <v>0</v>
      </c>
      <c r="N107" t="n">
        <v>0</v>
      </c>
      <c r="O107" t="n">
        <v>2</v>
      </c>
      <c r="P107" t="n">
        <v>0</v>
      </c>
      <c r="Q107" t="n">
        <v>3</v>
      </c>
      <c r="R107" s="2" t="inlineStr">
        <is>
          <t>Dårgräsfjäril
Svinrot
Skogsknipprot</t>
        </is>
      </c>
      <c r="S107">
        <f>HYPERLINK("https://klasma.github.io/Logging_0980/artfynd/A 20831-2024 artfynd.xlsx", "A 20831-2024")</f>
        <v/>
      </c>
      <c r="T107">
        <f>HYPERLINK("https://klasma.github.io/Logging_0980/kartor/A 20831-2024 karta.png", "A 20831-2024")</f>
        <v/>
      </c>
      <c r="V107">
        <f>HYPERLINK("https://klasma.github.io/Logging_0980/klagomål/A 20831-2024 FSC-klagomål.docx", "A 20831-2024")</f>
        <v/>
      </c>
      <c r="W107">
        <f>HYPERLINK("https://klasma.github.io/Logging_0980/klagomålsmail/A 20831-2024 FSC-klagomål mail.docx", "A 20831-2024")</f>
        <v/>
      </c>
      <c r="X107">
        <f>HYPERLINK("https://klasma.github.io/Logging_0980/tillsyn/A 20831-2024 tillsynsbegäran.docx", "A 20831-2024")</f>
        <v/>
      </c>
      <c r="Y107">
        <f>HYPERLINK("https://klasma.github.io/Logging_0980/tillsynsmail/A 20831-2024 tillsynsbegäran mail.docx", "A 20831-2024")</f>
        <v/>
      </c>
    </row>
    <row r="108" ht="15" customHeight="1">
      <c r="A108" t="inlineStr">
        <is>
          <t>A 30490-2025</t>
        </is>
      </c>
      <c r="B108" s="1" t="n">
        <v>45830</v>
      </c>
      <c r="C108" s="1" t="n">
        <v>46178</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17982-2023</t>
        </is>
      </c>
      <c r="B109" s="1" t="n">
        <v>45040</v>
      </c>
      <c r="C109" s="1" t="n">
        <v>46178</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53552-2021</t>
        </is>
      </c>
      <c r="B110" s="1" t="n">
        <v>44468</v>
      </c>
      <c r="C110" s="1" t="n">
        <v>46178</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12315-2024</t>
        </is>
      </c>
      <c r="B111" s="1" t="n">
        <v>45378.6434837963</v>
      </c>
      <c r="C111" s="1" t="n">
        <v>46178</v>
      </c>
      <c r="D111" t="inlineStr">
        <is>
          <t>GOTLANDS LÄN</t>
        </is>
      </c>
      <c r="E111" t="inlineStr">
        <is>
          <t>GOTLAND</t>
        </is>
      </c>
      <c r="G111" t="n">
        <v>6</v>
      </c>
      <c r="H111" t="n">
        <v>3</v>
      </c>
      <c r="I111" t="n">
        <v>1</v>
      </c>
      <c r="J111" t="n">
        <v>1</v>
      </c>
      <c r="K111" t="n">
        <v>0</v>
      </c>
      <c r="L111" t="n">
        <v>0</v>
      </c>
      <c r="M111" t="n">
        <v>0</v>
      </c>
      <c r="N111" t="n">
        <v>0</v>
      </c>
      <c r="O111" t="n">
        <v>1</v>
      </c>
      <c r="P111" t="n">
        <v>0</v>
      </c>
      <c r="Q111" t="n">
        <v>3</v>
      </c>
      <c r="R111" s="2" t="inlineStr">
        <is>
          <t>Buskskvätta
Tvåblad
Fläcknycklar</t>
        </is>
      </c>
      <c r="S111">
        <f>HYPERLINK("https://klasma.github.io/Logging_0980/artfynd/A 12315-2024 artfynd.xlsx", "A 12315-2024")</f>
        <v/>
      </c>
      <c r="T111">
        <f>HYPERLINK("https://klasma.github.io/Logging_0980/kartor/A 12315-2024 karta.png", "A 12315-2024")</f>
        <v/>
      </c>
      <c r="V111">
        <f>HYPERLINK("https://klasma.github.io/Logging_0980/klagomål/A 12315-2024 FSC-klagomål.docx", "A 12315-2024")</f>
        <v/>
      </c>
      <c r="W111">
        <f>HYPERLINK("https://klasma.github.io/Logging_0980/klagomålsmail/A 12315-2024 FSC-klagomål mail.docx", "A 12315-2024")</f>
        <v/>
      </c>
      <c r="X111">
        <f>HYPERLINK("https://klasma.github.io/Logging_0980/tillsyn/A 12315-2024 tillsynsbegäran.docx", "A 12315-2024")</f>
        <v/>
      </c>
      <c r="Y111">
        <f>HYPERLINK("https://klasma.github.io/Logging_0980/tillsynsmail/A 12315-2024 tillsynsbegäran mail.docx", "A 12315-2024")</f>
        <v/>
      </c>
      <c r="Z111">
        <f>HYPERLINK("https://klasma.github.io/Logging_0980/fåglar/A 12315-2024 prioriterade fågelarter.docx", "A 12315-2024")</f>
        <v/>
      </c>
    </row>
    <row r="112" ht="15" customHeight="1">
      <c r="A112" t="inlineStr">
        <is>
          <t>A 29870-2021</t>
        </is>
      </c>
      <c r="B112" s="1" t="n">
        <v>44362</v>
      </c>
      <c r="C112" s="1" t="n">
        <v>46178</v>
      </c>
      <c r="D112" t="inlineStr">
        <is>
          <t>GOTLANDS LÄN</t>
        </is>
      </c>
      <c r="E112" t="inlineStr">
        <is>
          <t>GOTLAND</t>
        </is>
      </c>
      <c r="G112" t="n">
        <v>2.4</v>
      </c>
      <c r="H112" t="n">
        <v>0</v>
      </c>
      <c r="I112" t="n">
        <v>1</v>
      </c>
      <c r="J112" t="n">
        <v>0</v>
      </c>
      <c r="K112" t="n">
        <v>1</v>
      </c>
      <c r="L112" t="n">
        <v>0</v>
      </c>
      <c r="M112" t="n">
        <v>0</v>
      </c>
      <c r="N112" t="n">
        <v>0</v>
      </c>
      <c r="O112" t="n">
        <v>1</v>
      </c>
      <c r="P112" t="n">
        <v>1</v>
      </c>
      <c r="Q112" t="n">
        <v>2</v>
      </c>
      <c r="R112" s="2" t="inlineStr">
        <is>
          <t>Blåfotad fagerspindling
Olivspindling</t>
        </is>
      </c>
      <c r="S112">
        <f>HYPERLINK("https://klasma.github.io/Logging_0980/artfynd/A 29870-2021 artfynd.xlsx", "A 29870-2021")</f>
        <v/>
      </c>
      <c r="T112">
        <f>HYPERLINK("https://klasma.github.io/Logging_0980/kartor/A 29870-2021 karta.png", "A 29870-2021")</f>
        <v/>
      </c>
      <c r="V112">
        <f>HYPERLINK("https://klasma.github.io/Logging_0980/klagomål/A 29870-2021 FSC-klagomål.docx", "A 29870-2021")</f>
        <v/>
      </c>
      <c r="W112">
        <f>HYPERLINK("https://klasma.github.io/Logging_0980/klagomålsmail/A 29870-2021 FSC-klagomål mail.docx", "A 29870-2021")</f>
        <v/>
      </c>
      <c r="X112">
        <f>HYPERLINK("https://klasma.github.io/Logging_0980/tillsyn/A 29870-2021 tillsynsbegäran.docx", "A 29870-2021")</f>
        <v/>
      </c>
      <c r="Y112">
        <f>HYPERLINK("https://klasma.github.io/Logging_0980/tillsynsmail/A 29870-2021 tillsynsbegäran mail.docx", "A 29870-2021")</f>
        <v/>
      </c>
    </row>
    <row r="113" ht="15" customHeight="1">
      <c r="A113" t="inlineStr">
        <is>
          <t>A 60665-2021</t>
        </is>
      </c>
      <c r="B113" s="1" t="n">
        <v>44496</v>
      </c>
      <c r="C113" s="1" t="n">
        <v>46178</v>
      </c>
      <c r="D113" t="inlineStr">
        <is>
          <t>GOTLANDS LÄN</t>
        </is>
      </c>
      <c r="E113" t="inlineStr">
        <is>
          <t>GOTLAND</t>
        </is>
      </c>
      <c r="G113" t="n">
        <v>1.6</v>
      </c>
      <c r="H113" t="n">
        <v>0</v>
      </c>
      <c r="I113" t="n">
        <v>0</v>
      </c>
      <c r="J113" t="n">
        <v>0</v>
      </c>
      <c r="K113" t="n">
        <v>1</v>
      </c>
      <c r="L113" t="n">
        <v>1</v>
      </c>
      <c r="M113" t="n">
        <v>0</v>
      </c>
      <c r="N113" t="n">
        <v>0</v>
      </c>
      <c r="O113" t="n">
        <v>2</v>
      </c>
      <c r="P113" t="n">
        <v>2</v>
      </c>
      <c r="Q113" t="n">
        <v>2</v>
      </c>
      <c r="R113" s="2" t="inlineStr">
        <is>
          <t>Ädellav
Skogskorn</t>
        </is>
      </c>
      <c r="S113">
        <f>HYPERLINK("https://klasma.github.io/Logging_0980/artfynd/A 60665-2021 artfynd.xlsx", "A 60665-2021")</f>
        <v/>
      </c>
      <c r="T113">
        <f>HYPERLINK("https://klasma.github.io/Logging_0980/kartor/A 60665-2021 karta.png", "A 60665-2021")</f>
        <v/>
      </c>
      <c r="V113">
        <f>HYPERLINK("https://klasma.github.io/Logging_0980/klagomål/A 60665-2021 FSC-klagomål.docx", "A 60665-2021")</f>
        <v/>
      </c>
      <c r="W113">
        <f>HYPERLINK("https://klasma.github.io/Logging_0980/klagomålsmail/A 60665-2021 FSC-klagomål mail.docx", "A 60665-2021")</f>
        <v/>
      </c>
      <c r="X113">
        <f>HYPERLINK("https://klasma.github.io/Logging_0980/tillsyn/A 60665-2021 tillsynsbegäran.docx", "A 60665-2021")</f>
        <v/>
      </c>
      <c r="Y113">
        <f>HYPERLINK("https://klasma.github.io/Logging_0980/tillsynsmail/A 60665-2021 tillsynsbegäran mail.docx", "A 60665-2021")</f>
        <v/>
      </c>
    </row>
    <row r="114" ht="15" customHeight="1">
      <c r="A114" t="inlineStr">
        <is>
          <t>A 20218-2022</t>
        </is>
      </c>
      <c r="B114" s="1" t="n">
        <v>44698</v>
      </c>
      <c r="C114" s="1" t="n">
        <v>46178</v>
      </c>
      <c r="D114" t="inlineStr">
        <is>
          <t>GOTLANDS LÄN</t>
        </is>
      </c>
      <c r="E114" t="inlineStr">
        <is>
          <t>GOTLAND</t>
        </is>
      </c>
      <c r="G114" t="n">
        <v>4.3</v>
      </c>
      <c r="H114" t="n">
        <v>0</v>
      </c>
      <c r="I114" t="n">
        <v>1</v>
      </c>
      <c r="J114" t="n">
        <v>1</v>
      </c>
      <c r="K114" t="n">
        <v>0</v>
      </c>
      <c r="L114" t="n">
        <v>0</v>
      </c>
      <c r="M114" t="n">
        <v>0</v>
      </c>
      <c r="N114" t="n">
        <v>0</v>
      </c>
      <c r="O114" t="n">
        <v>1</v>
      </c>
      <c r="P114" t="n">
        <v>0</v>
      </c>
      <c r="Q114" t="n">
        <v>2</v>
      </c>
      <c r="R114" s="2" t="inlineStr">
        <is>
          <t>Flattoppad klubbsvamp
Rödgul trumpetsvamp</t>
        </is>
      </c>
      <c r="S114">
        <f>HYPERLINK("https://klasma.github.io/Logging_0980/artfynd/A 20218-2022 artfynd.xlsx", "A 20218-2022")</f>
        <v/>
      </c>
      <c r="T114">
        <f>HYPERLINK("https://klasma.github.io/Logging_0980/kartor/A 20218-2022 karta.png", "A 20218-2022")</f>
        <v/>
      </c>
      <c r="V114">
        <f>HYPERLINK("https://klasma.github.io/Logging_0980/klagomål/A 20218-2022 FSC-klagomål.docx", "A 20218-2022")</f>
        <v/>
      </c>
      <c r="W114">
        <f>HYPERLINK("https://klasma.github.io/Logging_0980/klagomålsmail/A 20218-2022 FSC-klagomål mail.docx", "A 20218-2022")</f>
        <v/>
      </c>
      <c r="X114">
        <f>HYPERLINK("https://klasma.github.io/Logging_0980/tillsyn/A 20218-2022 tillsynsbegäran.docx", "A 20218-2022")</f>
        <v/>
      </c>
      <c r="Y114">
        <f>HYPERLINK("https://klasma.github.io/Logging_0980/tillsynsmail/A 20218-2022 tillsynsbegäran mail.docx", "A 20218-2022")</f>
        <v/>
      </c>
    </row>
    <row r="115" ht="15" customHeight="1">
      <c r="A115" t="inlineStr">
        <is>
          <t>A 28261-2024</t>
        </is>
      </c>
      <c r="B115" s="1" t="n">
        <v>45477</v>
      </c>
      <c r="C115" s="1" t="n">
        <v>46178</v>
      </c>
      <c r="D115" t="inlineStr">
        <is>
          <t>GOTLANDS LÄN</t>
        </is>
      </c>
      <c r="E115" t="inlineStr">
        <is>
          <t>GOTLAND</t>
        </is>
      </c>
      <c r="G115" t="n">
        <v>22.8</v>
      </c>
      <c r="H115" t="n">
        <v>0</v>
      </c>
      <c r="I115" t="n">
        <v>0</v>
      </c>
      <c r="J115" t="n">
        <v>2</v>
      </c>
      <c r="K115" t="n">
        <v>0</v>
      </c>
      <c r="L115" t="n">
        <v>0</v>
      </c>
      <c r="M115" t="n">
        <v>0</v>
      </c>
      <c r="N115" t="n">
        <v>0</v>
      </c>
      <c r="O115" t="n">
        <v>2</v>
      </c>
      <c r="P115" t="n">
        <v>0</v>
      </c>
      <c r="Q115" t="n">
        <v>2</v>
      </c>
      <c r="R115" s="2" t="inlineStr">
        <is>
          <t>Grådådra
Åkerkulla</t>
        </is>
      </c>
      <c r="S115">
        <f>HYPERLINK("https://klasma.github.io/Logging_0980/artfynd/A 28261-2024 artfynd.xlsx", "A 28261-2024")</f>
        <v/>
      </c>
      <c r="T115">
        <f>HYPERLINK("https://klasma.github.io/Logging_0980/kartor/A 28261-2024 karta.png", "A 28261-2024")</f>
        <v/>
      </c>
      <c r="V115">
        <f>HYPERLINK("https://klasma.github.io/Logging_0980/klagomål/A 28261-2024 FSC-klagomål.docx", "A 28261-2024")</f>
        <v/>
      </c>
      <c r="W115">
        <f>HYPERLINK("https://klasma.github.io/Logging_0980/klagomålsmail/A 28261-2024 FSC-klagomål mail.docx", "A 28261-2024")</f>
        <v/>
      </c>
      <c r="X115">
        <f>HYPERLINK("https://klasma.github.io/Logging_0980/tillsyn/A 28261-2024 tillsynsbegäran.docx", "A 28261-2024")</f>
        <v/>
      </c>
      <c r="Y115">
        <f>HYPERLINK("https://klasma.github.io/Logging_0980/tillsynsmail/A 28261-2024 tillsynsbegäran mail.docx", "A 28261-2024")</f>
        <v/>
      </c>
    </row>
    <row r="116" ht="15" customHeight="1">
      <c r="A116" t="inlineStr">
        <is>
          <t>A 55649-2024</t>
        </is>
      </c>
      <c r="B116" s="1" t="n">
        <v>45622.63053240741</v>
      </c>
      <c r="C116" s="1" t="n">
        <v>46178</v>
      </c>
      <c r="D116" t="inlineStr">
        <is>
          <t>GOTLANDS LÄN</t>
        </is>
      </c>
      <c r="E116" t="inlineStr">
        <is>
          <t>GOTLAND</t>
        </is>
      </c>
      <c r="G116" t="n">
        <v>4.6</v>
      </c>
      <c r="H116" t="n">
        <v>2</v>
      </c>
      <c r="I116" t="n">
        <v>0</v>
      </c>
      <c r="J116" t="n">
        <v>0</v>
      </c>
      <c r="K116" t="n">
        <v>0</v>
      </c>
      <c r="L116" t="n">
        <v>0</v>
      </c>
      <c r="M116" t="n">
        <v>0</v>
      </c>
      <c r="N116" t="n">
        <v>0</v>
      </c>
      <c r="O116" t="n">
        <v>0</v>
      </c>
      <c r="P116" t="n">
        <v>0</v>
      </c>
      <c r="Q116" t="n">
        <v>2</v>
      </c>
      <c r="R116" s="2" t="inlineStr">
        <is>
          <t>Sankt pers nycklar
Blåsippa</t>
        </is>
      </c>
      <c r="S116">
        <f>HYPERLINK("https://klasma.github.io/Logging_0980/artfynd/A 55649-2024 artfynd.xlsx", "A 55649-2024")</f>
        <v/>
      </c>
      <c r="T116">
        <f>HYPERLINK("https://klasma.github.io/Logging_0980/kartor/A 55649-2024 karta.png", "A 55649-2024")</f>
        <v/>
      </c>
      <c r="V116">
        <f>HYPERLINK("https://klasma.github.io/Logging_0980/klagomål/A 55649-2024 FSC-klagomål.docx", "A 55649-2024")</f>
        <v/>
      </c>
      <c r="W116">
        <f>HYPERLINK("https://klasma.github.io/Logging_0980/klagomålsmail/A 55649-2024 FSC-klagomål mail.docx", "A 55649-2024")</f>
        <v/>
      </c>
      <c r="X116">
        <f>HYPERLINK("https://klasma.github.io/Logging_0980/tillsyn/A 55649-2024 tillsynsbegäran.docx", "A 55649-2024")</f>
        <v/>
      </c>
      <c r="Y116">
        <f>HYPERLINK("https://klasma.github.io/Logging_0980/tillsynsmail/A 55649-2024 tillsynsbegäran mail.docx", "A 55649-2024")</f>
        <v/>
      </c>
    </row>
    <row r="117" ht="15" customHeight="1">
      <c r="A117" t="inlineStr">
        <is>
          <t>A 7070-2022</t>
        </is>
      </c>
      <c r="B117" s="1" t="n">
        <v>44603</v>
      </c>
      <c r="C117" s="1" t="n">
        <v>46178</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63162-2025</t>
        </is>
      </c>
      <c r="B118" s="1" t="n">
        <v>46010.37629629629</v>
      </c>
      <c r="C118" s="1" t="n">
        <v>46178</v>
      </c>
      <c r="D118" t="inlineStr">
        <is>
          <t>GOTLANDS LÄN</t>
        </is>
      </c>
      <c r="E118" t="inlineStr">
        <is>
          <t>GOTLAND</t>
        </is>
      </c>
      <c r="G118" t="n">
        <v>3.5</v>
      </c>
      <c r="H118" t="n">
        <v>0</v>
      </c>
      <c r="I118" t="n">
        <v>1</v>
      </c>
      <c r="J118" t="n">
        <v>0</v>
      </c>
      <c r="K118" t="n">
        <v>1</v>
      </c>
      <c r="L118" t="n">
        <v>0</v>
      </c>
      <c r="M118" t="n">
        <v>0</v>
      </c>
      <c r="N118" t="n">
        <v>0</v>
      </c>
      <c r="O118" t="n">
        <v>1</v>
      </c>
      <c r="P118" t="n">
        <v>1</v>
      </c>
      <c r="Q118" t="n">
        <v>2</v>
      </c>
      <c r="R118" s="2" t="inlineStr">
        <is>
          <t>Gotlandsmåra
Myskmadra</t>
        </is>
      </c>
      <c r="S118">
        <f>HYPERLINK("https://klasma.github.io/Logging_0980/artfynd/A 63162-2025 artfynd.xlsx", "A 63162-2025")</f>
        <v/>
      </c>
      <c r="T118">
        <f>HYPERLINK("https://klasma.github.io/Logging_0980/kartor/A 63162-2025 karta.png", "A 63162-2025")</f>
        <v/>
      </c>
      <c r="V118">
        <f>HYPERLINK("https://klasma.github.io/Logging_0980/klagomål/A 63162-2025 FSC-klagomål.docx", "A 63162-2025")</f>
        <v/>
      </c>
      <c r="W118">
        <f>HYPERLINK("https://klasma.github.io/Logging_0980/klagomålsmail/A 63162-2025 FSC-klagomål mail.docx", "A 63162-2025")</f>
        <v/>
      </c>
      <c r="X118">
        <f>HYPERLINK("https://klasma.github.io/Logging_0980/tillsyn/A 63162-2025 tillsynsbegäran.docx", "A 63162-2025")</f>
        <v/>
      </c>
      <c r="Y118">
        <f>HYPERLINK("https://klasma.github.io/Logging_0980/tillsynsmail/A 63162-2025 tillsynsbegäran mail.docx", "A 63162-2025")</f>
        <v/>
      </c>
    </row>
    <row r="119" ht="15" customHeight="1">
      <c r="A119" t="inlineStr">
        <is>
          <t>A 62760-2025</t>
        </is>
      </c>
      <c r="B119" s="1" t="n">
        <v>46008</v>
      </c>
      <c r="C119" s="1" t="n">
        <v>46178</v>
      </c>
      <c r="D119" t="inlineStr">
        <is>
          <t>GOTLANDS LÄN</t>
        </is>
      </c>
      <c r="E119" t="inlineStr">
        <is>
          <t>GOTLAND</t>
        </is>
      </c>
      <c r="F119" t="inlineStr">
        <is>
          <t>Övriga Aktiebolag</t>
        </is>
      </c>
      <c r="G119" t="n">
        <v>4.6</v>
      </c>
      <c r="H119" t="n">
        <v>1</v>
      </c>
      <c r="I119" t="n">
        <v>2</v>
      </c>
      <c r="J119" t="n">
        <v>0</v>
      </c>
      <c r="K119" t="n">
        <v>0</v>
      </c>
      <c r="L119" t="n">
        <v>0</v>
      </c>
      <c r="M119" t="n">
        <v>0</v>
      </c>
      <c r="N119" t="n">
        <v>0</v>
      </c>
      <c r="O119" t="n">
        <v>0</v>
      </c>
      <c r="P119" t="n">
        <v>0</v>
      </c>
      <c r="Q119" t="n">
        <v>2</v>
      </c>
      <c r="R119" s="2" t="inlineStr">
        <is>
          <t>Nästrot
Vårärt</t>
        </is>
      </c>
      <c r="S119">
        <f>HYPERLINK("https://klasma.github.io/Logging_0980/artfynd/A 62760-2025 artfynd.xlsx", "A 62760-2025")</f>
        <v/>
      </c>
      <c r="T119">
        <f>HYPERLINK("https://klasma.github.io/Logging_0980/kartor/A 62760-2025 karta.png", "A 62760-2025")</f>
        <v/>
      </c>
      <c r="V119">
        <f>HYPERLINK("https://klasma.github.io/Logging_0980/klagomål/A 62760-2025 FSC-klagomål.docx", "A 62760-2025")</f>
        <v/>
      </c>
      <c r="W119">
        <f>HYPERLINK("https://klasma.github.io/Logging_0980/klagomålsmail/A 62760-2025 FSC-klagomål mail.docx", "A 62760-2025")</f>
        <v/>
      </c>
      <c r="X119">
        <f>HYPERLINK("https://klasma.github.io/Logging_0980/tillsyn/A 62760-2025 tillsynsbegäran.docx", "A 62760-2025")</f>
        <v/>
      </c>
      <c r="Y119">
        <f>HYPERLINK("https://klasma.github.io/Logging_0980/tillsynsmail/A 62760-2025 tillsynsbegäran mail.docx", "A 62760-2025")</f>
        <v/>
      </c>
    </row>
    <row r="120" ht="15" customHeight="1">
      <c r="A120" t="inlineStr">
        <is>
          <t>A 12914-2025</t>
        </is>
      </c>
      <c r="B120" s="1" t="n">
        <v>45733</v>
      </c>
      <c r="C120" s="1" t="n">
        <v>46178</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20429-2025</t>
        </is>
      </c>
      <c r="B121" s="1" t="n">
        <v>45775.47728009259</v>
      </c>
      <c r="C121" s="1" t="n">
        <v>46178</v>
      </c>
      <c r="D121" t="inlineStr">
        <is>
          <t>GOTLANDS LÄN</t>
        </is>
      </c>
      <c r="E121" t="inlineStr">
        <is>
          <t>GOTLAND</t>
        </is>
      </c>
      <c r="G121" t="n">
        <v>1.4</v>
      </c>
      <c r="H121" t="n">
        <v>2</v>
      </c>
      <c r="I121" t="n">
        <v>0</v>
      </c>
      <c r="J121" t="n">
        <v>0</v>
      </c>
      <c r="K121" t="n">
        <v>0</v>
      </c>
      <c r="L121" t="n">
        <v>0</v>
      </c>
      <c r="M121" t="n">
        <v>0</v>
      </c>
      <c r="N121" t="n">
        <v>0</v>
      </c>
      <c r="O121" t="n">
        <v>0</v>
      </c>
      <c r="P121" t="n">
        <v>0</v>
      </c>
      <c r="Q121" t="n">
        <v>2</v>
      </c>
      <c r="R121" s="2" t="inlineStr">
        <is>
          <t>Lopplummer (aggregat)
Äkta lopplummer</t>
        </is>
      </c>
      <c r="S121">
        <f>HYPERLINK("https://klasma.github.io/Logging_0980/artfynd/A 20429-2025 artfynd.xlsx", "A 20429-2025")</f>
        <v/>
      </c>
      <c r="T121">
        <f>HYPERLINK("https://klasma.github.io/Logging_0980/kartor/A 20429-2025 karta.png", "A 20429-2025")</f>
        <v/>
      </c>
      <c r="V121">
        <f>HYPERLINK("https://klasma.github.io/Logging_0980/klagomål/A 20429-2025 FSC-klagomål.docx", "A 20429-2025")</f>
        <v/>
      </c>
      <c r="W121">
        <f>HYPERLINK("https://klasma.github.io/Logging_0980/klagomålsmail/A 20429-2025 FSC-klagomål mail.docx", "A 20429-2025")</f>
        <v/>
      </c>
      <c r="X121">
        <f>HYPERLINK("https://klasma.github.io/Logging_0980/tillsyn/A 20429-2025 tillsynsbegäran.docx", "A 20429-2025")</f>
        <v/>
      </c>
      <c r="Y121">
        <f>HYPERLINK("https://klasma.github.io/Logging_0980/tillsynsmail/A 20429-2025 tillsynsbegäran mail.docx", "A 20429-2025")</f>
        <v/>
      </c>
    </row>
    <row r="122" ht="15" customHeight="1">
      <c r="A122" t="inlineStr">
        <is>
          <t>A 54357-2024</t>
        </is>
      </c>
      <c r="B122" s="1" t="n">
        <v>45617.40662037037</v>
      </c>
      <c r="C122" s="1" t="n">
        <v>46178</v>
      </c>
      <c r="D122" t="inlineStr">
        <is>
          <t>GOTLANDS LÄN</t>
        </is>
      </c>
      <c r="E122" t="inlineStr">
        <is>
          <t>GOTLAND</t>
        </is>
      </c>
      <c r="G122" t="n">
        <v>1.5</v>
      </c>
      <c r="H122" t="n">
        <v>1</v>
      </c>
      <c r="I122" t="n">
        <v>0</v>
      </c>
      <c r="J122" t="n">
        <v>1</v>
      </c>
      <c r="K122" t="n">
        <v>0</v>
      </c>
      <c r="L122" t="n">
        <v>0</v>
      </c>
      <c r="M122" t="n">
        <v>0</v>
      </c>
      <c r="N122" t="n">
        <v>0</v>
      </c>
      <c r="O122" t="n">
        <v>1</v>
      </c>
      <c r="P122" t="n">
        <v>0</v>
      </c>
      <c r="Q122" t="n">
        <v>2</v>
      </c>
      <c r="R122" s="2" t="inlineStr">
        <is>
          <t>Loppstarr
Fläcknycklar</t>
        </is>
      </c>
      <c r="S122">
        <f>HYPERLINK("https://klasma.github.io/Logging_0980/artfynd/A 54357-2024 artfynd.xlsx", "A 54357-2024")</f>
        <v/>
      </c>
      <c r="T122">
        <f>HYPERLINK("https://klasma.github.io/Logging_0980/kartor/A 54357-2024 karta.png", "A 54357-2024")</f>
        <v/>
      </c>
      <c r="V122">
        <f>HYPERLINK("https://klasma.github.io/Logging_0980/klagomål/A 54357-2024 FSC-klagomål.docx", "A 54357-2024")</f>
        <v/>
      </c>
      <c r="W122">
        <f>HYPERLINK("https://klasma.github.io/Logging_0980/klagomålsmail/A 54357-2024 FSC-klagomål mail.docx", "A 54357-2024")</f>
        <v/>
      </c>
      <c r="X122">
        <f>HYPERLINK("https://klasma.github.io/Logging_0980/tillsyn/A 54357-2024 tillsynsbegäran.docx", "A 54357-2024")</f>
        <v/>
      </c>
      <c r="Y122">
        <f>HYPERLINK("https://klasma.github.io/Logging_0980/tillsynsmail/A 54357-2024 tillsynsbegäran mail.docx", "A 54357-2024")</f>
        <v/>
      </c>
    </row>
    <row r="123" ht="15" customHeight="1">
      <c r="A123" t="inlineStr">
        <is>
          <t>A 16997-2026</t>
        </is>
      </c>
      <c r="B123" s="1" t="n">
        <v>46114.42539351852</v>
      </c>
      <c r="C123" s="1" t="n">
        <v>46178</v>
      </c>
      <c r="D123" t="inlineStr">
        <is>
          <t>GOTLANDS LÄN</t>
        </is>
      </c>
      <c r="E123" t="inlineStr">
        <is>
          <t>GOTLAND</t>
        </is>
      </c>
      <c r="G123" t="n">
        <v>0.7</v>
      </c>
      <c r="H123" t="n">
        <v>0</v>
      </c>
      <c r="I123" t="n">
        <v>1</v>
      </c>
      <c r="J123" t="n">
        <v>0</v>
      </c>
      <c r="K123" t="n">
        <v>0</v>
      </c>
      <c r="L123" t="n">
        <v>1</v>
      </c>
      <c r="M123" t="n">
        <v>0</v>
      </c>
      <c r="N123" t="n">
        <v>0</v>
      </c>
      <c r="O123" t="n">
        <v>1</v>
      </c>
      <c r="P123" t="n">
        <v>1</v>
      </c>
      <c r="Q123" t="n">
        <v>2</v>
      </c>
      <c r="R123" s="2" t="inlineStr">
        <is>
          <t>Ask
Hasselticka</t>
        </is>
      </c>
      <c r="S123">
        <f>HYPERLINK("https://klasma.github.io/Logging_0980/artfynd/A 16997-2026 artfynd.xlsx", "A 16997-2026")</f>
        <v/>
      </c>
      <c r="T123">
        <f>HYPERLINK("https://klasma.github.io/Logging_0980/kartor/A 16997-2026 karta.png", "A 16997-2026")</f>
        <v/>
      </c>
      <c r="V123">
        <f>HYPERLINK("https://klasma.github.io/Logging_0980/klagomål/A 16997-2026 FSC-klagomål.docx", "A 16997-2026")</f>
        <v/>
      </c>
      <c r="W123">
        <f>HYPERLINK("https://klasma.github.io/Logging_0980/klagomålsmail/A 16997-2026 FSC-klagomål mail.docx", "A 16997-2026")</f>
        <v/>
      </c>
      <c r="X123">
        <f>HYPERLINK("https://klasma.github.io/Logging_0980/tillsyn/A 16997-2026 tillsynsbegäran.docx", "A 16997-2026")</f>
        <v/>
      </c>
      <c r="Y123">
        <f>HYPERLINK("https://klasma.github.io/Logging_0980/tillsynsmail/A 16997-2026 tillsynsbegäran mail.docx", "A 16997-2026")</f>
        <v/>
      </c>
    </row>
    <row r="124" ht="15" customHeight="1">
      <c r="A124" t="inlineStr">
        <is>
          <t>A 20838-2024</t>
        </is>
      </c>
      <c r="B124" s="1" t="n">
        <v>45439</v>
      </c>
      <c r="C124" s="1" t="n">
        <v>46178</v>
      </c>
      <c r="D124" t="inlineStr">
        <is>
          <t>GOTLANDS LÄN</t>
        </is>
      </c>
      <c r="E124" t="inlineStr">
        <is>
          <t>GOTLAND</t>
        </is>
      </c>
      <c r="G124" t="n">
        <v>0.7</v>
      </c>
      <c r="H124" t="n">
        <v>2</v>
      </c>
      <c r="I124" t="n">
        <v>1</v>
      </c>
      <c r="J124" t="n">
        <v>1</v>
      </c>
      <c r="K124" t="n">
        <v>0</v>
      </c>
      <c r="L124" t="n">
        <v>0</v>
      </c>
      <c r="M124" t="n">
        <v>0</v>
      </c>
      <c r="N124" t="n">
        <v>0</v>
      </c>
      <c r="O124" t="n">
        <v>1</v>
      </c>
      <c r="P124" t="n">
        <v>0</v>
      </c>
      <c r="Q124" t="n">
        <v>2</v>
      </c>
      <c r="R124" s="2" t="inlineStr">
        <is>
          <t>Spillkråka
Skogsknipprot</t>
        </is>
      </c>
      <c r="S124">
        <f>HYPERLINK("https://klasma.github.io/Logging_0980/artfynd/A 20838-2024 artfynd.xlsx", "A 20838-2024")</f>
        <v/>
      </c>
      <c r="T124">
        <f>HYPERLINK("https://klasma.github.io/Logging_0980/kartor/A 20838-2024 karta.png", "A 20838-2024")</f>
        <v/>
      </c>
      <c r="V124">
        <f>HYPERLINK("https://klasma.github.io/Logging_0980/klagomål/A 20838-2024 FSC-klagomål.docx", "A 20838-2024")</f>
        <v/>
      </c>
      <c r="W124">
        <f>HYPERLINK("https://klasma.github.io/Logging_0980/klagomålsmail/A 20838-2024 FSC-klagomål mail.docx", "A 20838-2024")</f>
        <v/>
      </c>
      <c r="X124">
        <f>HYPERLINK("https://klasma.github.io/Logging_0980/tillsyn/A 20838-2024 tillsynsbegäran.docx", "A 20838-2024")</f>
        <v/>
      </c>
      <c r="Y124">
        <f>HYPERLINK("https://klasma.github.io/Logging_0980/tillsynsmail/A 20838-2024 tillsynsbegäran mail.docx", "A 20838-2024")</f>
        <v/>
      </c>
      <c r="Z124">
        <f>HYPERLINK("https://klasma.github.io/Logging_0980/fåglar/A 20838-2024 prioriterade fågelarter.docx", "A 20838-2024")</f>
        <v/>
      </c>
    </row>
    <row r="125" ht="15" customHeight="1">
      <c r="A125" t="inlineStr">
        <is>
          <t>A 17328-2026</t>
        </is>
      </c>
      <c r="B125" s="1" t="n">
        <v>46119</v>
      </c>
      <c r="C125" s="1" t="n">
        <v>46178</v>
      </c>
      <c r="D125" t="inlineStr">
        <is>
          <t>GOTLANDS LÄN</t>
        </is>
      </c>
      <c r="E125" t="inlineStr">
        <is>
          <t>GOTLAND</t>
        </is>
      </c>
      <c r="F125" t="inlineStr">
        <is>
          <t>Kyrkan</t>
        </is>
      </c>
      <c r="G125" t="n">
        <v>4</v>
      </c>
      <c r="H125" t="n">
        <v>1</v>
      </c>
      <c r="I125" t="n">
        <v>0</v>
      </c>
      <c r="J125" t="n">
        <v>2</v>
      </c>
      <c r="K125" t="n">
        <v>0</v>
      </c>
      <c r="L125" t="n">
        <v>0</v>
      </c>
      <c r="M125" t="n">
        <v>0</v>
      </c>
      <c r="N125" t="n">
        <v>0</v>
      </c>
      <c r="O125" t="n">
        <v>2</v>
      </c>
      <c r="P125" t="n">
        <v>0</v>
      </c>
      <c r="Q125" t="n">
        <v>2</v>
      </c>
      <c r="R125" s="2" t="inlineStr">
        <is>
          <t>Backtimjan
Spillkråka</t>
        </is>
      </c>
      <c r="S125">
        <f>HYPERLINK("https://klasma.github.io/Logging_0980/artfynd/A 17328-2026 artfynd.xlsx", "A 17328-2026")</f>
        <v/>
      </c>
      <c r="T125">
        <f>HYPERLINK("https://klasma.github.io/Logging_0980/kartor/A 17328-2026 karta.png", "A 17328-2026")</f>
        <v/>
      </c>
      <c r="V125">
        <f>HYPERLINK("https://klasma.github.io/Logging_0980/klagomål/A 17328-2026 FSC-klagomål.docx", "A 17328-2026")</f>
        <v/>
      </c>
      <c r="W125">
        <f>HYPERLINK("https://klasma.github.io/Logging_0980/klagomålsmail/A 17328-2026 FSC-klagomål mail.docx", "A 17328-2026")</f>
        <v/>
      </c>
      <c r="X125">
        <f>HYPERLINK("https://klasma.github.io/Logging_0980/tillsyn/A 17328-2026 tillsynsbegäran.docx", "A 17328-2026")</f>
        <v/>
      </c>
      <c r="Y125">
        <f>HYPERLINK("https://klasma.github.io/Logging_0980/tillsynsmail/A 17328-2026 tillsynsbegäran mail.docx", "A 17328-2026")</f>
        <v/>
      </c>
      <c r="Z125">
        <f>HYPERLINK("https://klasma.github.io/Logging_0980/fåglar/A 17328-2026 prioriterade fågelarter.docx", "A 17328-2026")</f>
        <v/>
      </c>
    </row>
    <row r="126" ht="15" customHeight="1">
      <c r="A126" t="inlineStr">
        <is>
          <t>A 26077-2024</t>
        </is>
      </c>
      <c r="B126" s="1" t="n">
        <v>45467</v>
      </c>
      <c r="C126" s="1" t="n">
        <v>46178</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43219-2023</t>
        </is>
      </c>
      <c r="B127" s="1" t="n">
        <v>45183</v>
      </c>
      <c r="C127" s="1" t="n">
        <v>46178</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28276-2024</t>
        </is>
      </c>
      <c r="B128" s="1" t="n">
        <v>45477</v>
      </c>
      <c r="C128" s="1" t="n">
        <v>46178</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28276-2024 artfynd.xlsx", "A 28276-2024")</f>
        <v/>
      </c>
      <c r="T128">
        <f>HYPERLINK("https://klasma.github.io/Logging_0980/kartor/A 28276-2024 karta.png", "A 28276-2024")</f>
        <v/>
      </c>
      <c r="V128">
        <f>HYPERLINK("https://klasma.github.io/Logging_0980/klagomål/A 28276-2024 FSC-klagomål.docx", "A 28276-2024")</f>
        <v/>
      </c>
      <c r="W128">
        <f>HYPERLINK("https://klasma.github.io/Logging_0980/klagomålsmail/A 28276-2024 FSC-klagomål mail.docx", "A 28276-2024")</f>
        <v/>
      </c>
      <c r="X128">
        <f>HYPERLINK("https://klasma.github.io/Logging_0980/tillsyn/A 28276-2024 tillsynsbegäran.docx", "A 28276-2024")</f>
        <v/>
      </c>
      <c r="Y128">
        <f>HYPERLINK("https://klasma.github.io/Logging_0980/tillsynsmail/A 28276-2024 tillsynsbegäran mail.docx", "A 28276-2024")</f>
        <v/>
      </c>
    </row>
    <row r="129" ht="15" customHeight="1">
      <c r="A129" t="inlineStr">
        <is>
          <t>A 46362-2021</t>
        </is>
      </c>
      <c r="B129" s="1" t="n">
        <v>44442</v>
      </c>
      <c r="C129" s="1" t="n">
        <v>46178</v>
      </c>
      <c r="D129" t="inlineStr">
        <is>
          <t>GOTLANDS LÄN</t>
        </is>
      </c>
      <c r="E129" t="inlineStr">
        <is>
          <t>GOTLAND</t>
        </is>
      </c>
      <c r="G129" t="n">
        <v>2.1</v>
      </c>
      <c r="H129" t="n">
        <v>0</v>
      </c>
      <c r="I129" t="n">
        <v>0</v>
      </c>
      <c r="J129" t="n">
        <v>1</v>
      </c>
      <c r="K129" t="n">
        <v>0</v>
      </c>
      <c r="L129" t="n">
        <v>0</v>
      </c>
      <c r="M129" t="n">
        <v>0</v>
      </c>
      <c r="N129" t="n">
        <v>0</v>
      </c>
      <c r="O129" t="n">
        <v>1</v>
      </c>
      <c r="P129" t="n">
        <v>0</v>
      </c>
      <c r="Q129" t="n">
        <v>1</v>
      </c>
      <c r="R129" s="2" t="inlineStr">
        <is>
          <t>Igelkott</t>
        </is>
      </c>
      <c r="S129">
        <f>HYPERLINK("https://klasma.github.io/Logging_0980/artfynd/A 46362-2021 artfynd.xlsx", "A 46362-2021")</f>
        <v/>
      </c>
      <c r="T129">
        <f>HYPERLINK("https://klasma.github.io/Logging_0980/kartor/A 46362-2021 karta.png", "A 46362-2021")</f>
        <v/>
      </c>
      <c r="V129">
        <f>HYPERLINK("https://klasma.github.io/Logging_0980/klagomål/A 46362-2021 FSC-klagomål.docx", "A 46362-2021")</f>
        <v/>
      </c>
      <c r="W129">
        <f>HYPERLINK("https://klasma.github.io/Logging_0980/klagomålsmail/A 46362-2021 FSC-klagomål mail.docx", "A 46362-2021")</f>
        <v/>
      </c>
      <c r="X129">
        <f>HYPERLINK("https://klasma.github.io/Logging_0980/tillsyn/A 46362-2021 tillsynsbegäran.docx", "A 46362-2021")</f>
        <v/>
      </c>
      <c r="Y129">
        <f>HYPERLINK("https://klasma.github.io/Logging_0980/tillsynsmail/A 46362-2021 tillsynsbegäran mail.docx", "A 46362-2021")</f>
        <v/>
      </c>
    </row>
    <row r="130" ht="15" customHeight="1">
      <c r="A130" t="inlineStr">
        <is>
          <t>A 22883-2024</t>
        </is>
      </c>
      <c r="B130" s="1" t="n">
        <v>45448.66368055555</v>
      </c>
      <c r="C130" s="1" t="n">
        <v>46178</v>
      </c>
      <c r="D130" t="inlineStr">
        <is>
          <t>GOTLANDS LÄN</t>
        </is>
      </c>
      <c r="E130" t="inlineStr">
        <is>
          <t>GOTLAND</t>
        </is>
      </c>
      <c r="G130" t="n">
        <v>0.5</v>
      </c>
      <c r="H130" t="n">
        <v>0</v>
      </c>
      <c r="I130" t="n">
        <v>0</v>
      </c>
      <c r="J130" t="n">
        <v>0</v>
      </c>
      <c r="K130" t="n">
        <v>1</v>
      </c>
      <c r="L130" t="n">
        <v>0</v>
      </c>
      <c r="M130" t="n">
        <v>0</v>
      </c>
      <c r="N130" t="n">
        <v>0</v>
      </c>
      <c r="O130" t="n">
        <v>1</v>
      </c>
      <c r="P130" t="n">
        <v>1</v>
      </c>
      <c r="Q130" t="n">
        <v>1</v>
      </c>
      <c r="R130" s="2" t="inlineStr">
        <is>
          <t>Gotlandsmåra</t>
        </is>
      </c>
      <c r="S130">
        <f>HYPERLINK("https://klasma.github.io/Logging_0980/artfynd/A 22883-2024 artfynd.xlsx", "A 22883-2024")</f>
        <v/>
      </c>
      <c r="T130">
        <f>HYPERLINK("https://klasma.github.io/Logging_0980/kartor/A 22883-2024 karta.png", "A 22883-2024")</f>
        <v/>
      </c>
      <c r="V130">
        <f>HYPERLINK("https://klasma.github.io/Logging_0980/klagomål/A 22883-2024 FSC-klagomål.docx", "A 22883-2024")</f>
        <v/>
      </c>
      <c r="W130">
        <f>HYPERLINK("https://klasma.github.io/Logging_0980/klagomålsmail/A 22883-2024 FSC-klagomål mail.docx", "A 22883-2024")</f>
        <v/>
      </c>
      <c r="X130">
        <f>HYPERLINK("https://klasma.github.io/Logging_0980/tillsyn/A 22883-2024 tillsynsbegäran.docx", "A 22883-2024")</f>
        <v/>
      </c>
      <c r="Y130">
        <f>HYPERLINK("https://klasma.github.io/Logging_0980/tillsynsmail/A 22883-2024 tillsynsbegäran mail.docx", "A 22883-2024")</f>
        <v/>
      </c>
    </row>
    <row r="131" ht="15" customHeight="1">
      <c r="A131" t="inlineStr">
        <is>
          <t>A 24245-2022</t>
        </is>
      </c>
      <c r="B131" s="1" t="n">
        <v>44725</v>
      </c>
      <c r="C131" s="1" t="n">
        <v>46178</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44308-2021</t>
        </is>
      </c>
      <c r="B132" s="1" t="n">
        <v>44434</v>
      </c>
      <c r="C132" s="1" t="n">
        <v>46178</v>
      </c>
      <c r="D132" t="inlineStr">
        <is>
          <t>GOTLANDS LÄN</t>
        </is>
      </c>
      <c r="E132" t="inlineStr">
        <is>
          <t>GOTLAND</t>
        </is>
      </c>
      <c r="G132" t="n">
        <v>5.9</v>
      </c>
      <c r="H132" t="n">
        <v>0</v>
      </c>
      <c r="I132" t="n">
        <v>1</v>
      </c>
      <c r="J132" t="n">
        <v>0</v>
      </c>
      <c r="K132" t="n">
        <v>0</v>
      </c>
      <c r="L132" t="n">
        <v>0</v>
      </c>
      <c r="M132" t="n">
        <v>0</v>
      </c>
      <c r="N132" t="n">
        <v>0</v>
      </c>
      <c r="O132" t="n">
        <v>0</v>
      </c>
      <c r="P132" t="n">
        <v>0</v>
      </c>
      <c r="Q132" t="n">
        <v>1</v>
      </c>
      <c r="R132" s="2" t="inlineStr">
        <is>
          <t>Svavelriska</t>
        </is>
      </c>
      <c r="S132">
        <f>HYPERLINK("https://klasma.github.io/Logging_0980/artfynd/A 44308-2021 artfynd.xlsx", "A 44308-2021")</f>
        <v/>
      </c>
      <c r="T132">
        <f>HYPERLINK("https://klasma.github.io/Logging_0980/kartor/A 44308-2021 karta.png", "A 44308-2021")</f>
        <v/>
      </c>
      <c r="V132">
        <f>HYPERLINK("https://klasma.github.io/Logging_0980/klagomål/A 44308-2021 FSC-klagomål.docx", "A 44308-2021")</f>
        <v/>
      </c>
      <c r="W132">
        <f>HYPERLINK("https://klasma.github.io/Logging_0980/klagomålsmail/A 44308-2021 FSC-klagomål mail.docx", "A 44308-2021")</f>
        <v/>
      </c>
      <c r="X132">
        <f>HYPERLINK("https://klasma.github.io/Logging_0980/tillsyn/A 44308-2021 tillsynsbegäran.docx", "A 44308-2021")</f>
        <v/>
      </c>
      <c r="Y132">
        <f>HYPERLINK("https://klasma.github.io/Logging_0980/tillsynsmail/A 44308-2021 tillsynsbegäran mail.docx", "A 44308-2021")</f>
        <v/>
      </c>
    </row>
    <row r="133" ht="15" customHeight="1">
      <c r="A133" t="inlineStr">
        <is>
          <t>A 46527-2023</t>
        </is>
      </c>
      <c r="B133" s="1" t="n">
        <v>45197</v>
      </c>
      <c r="C133" s="1" t="n">
        <v>46178</v>
      </c>
      <c r="D133" t="inlineStr">
        <is>
          <t>GOTLANDS LÄN</t>
        </is>
      </c>
      <c r="E133" t="inlineStr">
        <is>
          <t>GOTLAND</t>
        </is>
      </c>
      <c r="G133" t="n">
        <v>0.9</v>
      </c>
      <c r="H133" t="n">
        <v>0</v>
      </c>
      <c r="I133" t="n">
        <v>0</v>
      </c>
      <c r="J133" t="n">
        <v>1</v>
      </c>
      <c r="K133" t="n">
        <v>0</v>
      </c>
      <c r="L133" t="n">
        <v>0</v>
      </c>
      <c r="M133" t="n">
        <v>0</v>
      </c>
      <c r="N133" t="n">
        <v>0</v>
      </c>
      <c r="O133" t="n">
        <v>1</v>
      </c>
      <c r="P133" t="n">
        <v>0</v>
      </c>
      <c r="Q133" t="n">
        <v>1</v>
      </c>
      <c r="R133" s="2" t="inlineStr">
        <is>
          <t>Guldgräshoppa</t>
        </is>
      </c>
      <c r="S133">
        <f>HYPERLINK("https://klasma.github.io/Logging_0980/artfynd/A 46527-2023 artfynd.xlsx", "A 46527-2023")</f>
        <v/>
      </c>
      <c r="T133">
        <f>HYPERLINK("https://klasma.github.io/Logging_0980/kartor/A 46527-2023 karta.png", "A 46527-2023")</f>
        <v/>
      </c>
      <c r="V133">
        <f>HYPERLINK("https://klasma.github.io/Logging_0980/klagomål/A 46527-2023 FSC-klagomål.docx", "A 46527-2023")</f>
        <v/>
      </c>
      <c r="W133">
        <f>HYPERLINK("https://klasma.github.io/Logging_0980/klagomålsmail/A 46527-2023 FSC-klagomål mail.docx", "A 46527-2023")</f>
        <v/>
      </c>
      <c r="X133">
        <f>HYPERLINK("https://klasma.github.io/Logging_0980/tillsyn/A 46527-2023 tillsynsbegäran.docx", "A 46527-2023")</f>
        <v/>
      </c>
      <c r="Y133">
        <f>HYPERLINK("https://klasma.github.io/Logging_0980/tillsynsmail/A 46527-2023 tillsynsbegäran mail.docx", "A 46527-2023")</f>
        <v/>
      </c>
    </row>
    <row r="134" ht="15" customHeight="1">
      <c r="A134" t="inlineStr">
        <is>
          <t>A 6739-2025</t>
        </is>
      </c>
      <c r="B134" s="1" t="n">
        <v>45700</v>
      </c>
      <c r="C134" s="1" t="n">
        <v>46178</v>
      </c>
      <c r="D134" t="inlineStr">
        <is>
          <t>GOTLANDS LÄN</t>
        </is>
      </c>
      <c r="E134" t="inlineStr">
        <is>
          <t>GOTLAND</t>
        </is>
      </c>
      <c r="G134" t="n">
        <v>4.5</v>
      </c>
      <c r="H134" t="n">
        <v>1</v>
      </c>
      <c r="I134" t="n">
        <v>0</v>
      </c>
      <c r="J134" t="n">
        <v>0</v>
      </c>
      <c r="K134" t="n">
        <v>0</v>
      </c>
      <c r="L134" t="n">
        <v>0</v>
      </c>
      <c r="M134" t="n">
        <v>0</v>
      </c>
      <c r="N134" t="n">
        <v>0</v>
      </c>
      <c r="O134" t="n">
        <v>0</v>
      </c>
      <c r="P134" t="n">
        <v>0</v>
      </c>
      <c r="Q134" t="n">
        <v>1</v>
      </c>
      <c r="R134" s="2" t="inlineStr">
        <is>
          <t>Röd glada</t>
        </is>
      </c>
      <c r="S134">
        <f>HYPERLINK("https://klasma.github.io/Logging_0980/artfynd/A 6739-2025 artfynd.xlsx", "A 6739-2025")</f>
        <v/>
      </c>
      <c r="T134">
        <f>HYPERLINK("https://klasma.github.io/Logging_0980/kartor/A 6739-2025 karta.png", "A 6739-2025")</f>
        <v/>
      </c>
      <c r="V134">
        <f>HYPERLINK("https://klasma.github.io/Logging_0980/klagomål/A 6739-2025 FSC-klagomål.docx", "A 6739-2025")</f>
        <v/>
      </c>
      <c r="W134">
        <f>HYPERLINK("https://klasma.github.io/Logging_0980/klagomålsmail/A 6739-2025 FSC-klagomål mail.docx", "A 6739-2025")</f>
        <v/>
      </c>
      <c r="X134">
        <f>HYPERLINK("https://klasma.github.io/Logging_0980/tillsyn/A 6739-2025 tillsynsbegäran.docx", "A 6739-2025")</f>
        <v/>
      </c>
      <c r="Y134">
        <f>HYPERLINK("https://klasma.github.io/Logging_0980/tillsynsmail/A 6739-2025 tillsynsbegäran mail.docx", "A 6739-2025")</f>
        <v/>
      </c>
      <c r="Z134">
        <f>HYPERLINK("https://klasma.github.io/Logging_0980/fåglar/A 6739-2025 prioriterade fågelarter.docx", "A 6739-2025")</f>
        <v/>
      </c>
    </row>
    <row r="135" ht="15" customHeight="1">
      <c r="A135" t="inlineStr">
        <is>
          <t>A 6303-2024</t>
        </is>
      </c>
      <c r="B135" s="1" t="n">
        <v>45338.35376157407</v>
      </c>
      <c r="C135" s="1" t="n">
        <v>46178</v>
      </c>
      <c r="D135" t="inlineStr">
        <is>
          <t>GOTLANDS LÄN</t>
        </is>
      </c>
      <c r="E135" t="inlineStr">
        <is>
          <t>GOTLAND</t>
        </is>
      </c>
      <c r="G135" t="n">
        <v>0.6</v>
      </c>
      <c r="H135" t="n">
        <v>0</v>
      </c>
      <c r="I135" t="n">
        <v>1</v>
      </c>
      <c r="J135" t="n">
        <v>0</v>
      </c>
      <c r="K135" t="n">
        <v>0</v>
      </c>
      <c r="L135" t="n">
        <v>0</v>
      </c>
      <c r="M135" t="n">
        <v>0</v>
      </c>
      <c r="N135" t="n">
        <v>0</v>
      </c>
      <c r="O135" t="n">
        <v>0</v>
      </c>
      <c r="P135" t="n">
        <v>0</v>
      </c>
      <c r="Q135" t="n">
        <v>1</v>
      </c>
      <c r="R135" s="2" t="inlineStr">
        <is>
          <t>Strävlosta</t>
        </is>
      </c>
      <c r="S135">
        <f>HYPERLINK("https://klasma.github.io/Logging_0980/artfynd/A 6303-2024 artfynd.xlsx", "A 6303-2024")</f>
        <v/>
      </c>
      <c r="T135">
        <f>HYPERLINK("https://klasma.github.io/Logging_0980/kartor/A 6303-2024 karta.png", "A 6303-2024")</f>
        <v/>
      </c>
      <c r="V135">
        <f>HYPERLINK("https://klasma.github.io/Logging_0980/klagomål/A 6303-2024 FSC-klagomål.docx", "A 6303-2024")</f>
        <v/>
      </c>
      <c r="W135">
        <f>HYPERLINK("https://klasma.github.io/Logging_0980/klagomålsmail/A 6303-2024 FSC-klagomål mail.docx", "A 6303-2024")</f>
        <v/>
      </c>
      <c r="X135">
        <f>HYPERLINK("https://klasma.github.io/Logging_0980/tillsyn/A 6303-2024 tillsynsbegäran.docx", "A 6303-2024")</f>
        <v/>
      </c>
      <c r="Y135">
        <f>HYPERLINK("https://klasma.github.io/Logging_0980/tillsynsmail/A 6303-2024 tillsynsbegäran mail.docx", "A 6303-2024")</f>
        <v/>
      </c>
    </row>
    <row r="136" ht="15" customHeight="1">
      <c r="A136" t="inlineStr">
        <is>
          <t>A 62552-2022</t>
        </is>
      </c>
      <c r="B136" s="1" t="n">
        <v>44924</v>
      </c>
      <c r="C136" s="1" t="n">
        <v>46178</v>
      </c>
      <c r="D136" t="inlineStr">
        <is>
          <t>GOTLANDS LÄN</t>
        </is>
      </c>
      <c r="E136" t="inlineStr">
        <is>
          <t>GOTLAND</t>
        </is>
      </c>
      <c r="G136" t="n">
        <v>1.6</v>
      </c>
      <c r="H136" t="n">
        <v>0</v>
      </c>
      <c r="I136" t="n">
        <v>0</v>
      </c>
      <c r="J136" t="n">
        <v>1</v>
      </c>
      <c r="K136" t="n">
        <v>0</v>
      </c>
      <c r="L136" t="n">
        <v>0</v>
      </c>
      <c r="M136" t="n">
        <v>0</v>
      </c>
      <c r="N136" t="n">
        <v>0</v>
      </c>
      <c r="O136" t="n">
        <v>1</v>
      </c>
      <c r="P136" t="n">
        <v>0</v>
      </c>
      <c r="Q136" t="n">
        <v>1</v>
      </c>
      <c r="R136" s="2" t="inlineStr">
        <is>
          <t>Äggspindling</t>
        </is>
      </c>
      <c r="S136">
        <f>HYPERLINK("https://klasma.github.io/Logging_0980/artfynd/A 62552-2022 artfynd.xlsx", "A 62552-2022")</f>
        <v/>
      </c>
      <c r="T136">
        <f>HYPERLINK("https://klasma.github.io/Logging_0980/kartor/A 62552-2022 karta.png", "A 62552-2022")</f>
        <v/>
      </c>
      <c r="V136">
        <f>HYPERLINK("https://klasma.github.io/Logging_0980/klagomål/A 62552-2022 FSC-klagomål.docx", "A 62552-2022")</f>
        <v/>
      </c>
      <c r="W136">
        <f>HYPERLINK("https://klasma.github.io/Logging_0980/klagomålsmail/A 62552-2022 FSC-klagomål mail.docx", "A 62552-2022")</f>
        <v/>
      </c>
      <c r="X136">
        <f>HYPERLINK("https://klasma.github.io/Logging_0980/tillsyn/A 62552-2022 tillsynsbegäran.docx", "A 62552-2022")</f>
        <v/>
      </c>
      <c r="Y136">
        <f>HYPERLINK("https://klasma.github.io/Logging_0980/tillsynsmail/A 62552-2022 tillsynsbegäran mail.docx", "A 62552-2022")</f>
        <v/>
      </c>
    </row>
    <row r="137" ht="15" customHeight="1">
      <c r="A137" t="inlineStr">
        <is>
          <t>A 25977-2024</t>
        </is>
      </c>
      <c r="B137" s="1" t="n">
        <v>45467.69356481481</v>
      </c>
      <c r="C137" s="1" t="n">
        <v>46178</v>
      </c>
      <c r="D137" t="inlineStr">
        <is>
          <t>GOTLANDS LÄN</t>
        </is>
      </c>
      <c r="E137" t="inlineStr">
        <is>
          <t>GOTLAND</t>
        </is>
      </c>
      <c r="G137" t="n">
        <v>3</v>
      </c>
      <c r="H137" t="n">
        <v>1</v>
      </c>
      <c r="I137" t="n">
        <v>0</v>
      </c>
      <c r="J137" t="n">
        <v>0</v>
      </c>
      <c r="K137" t="n">
        <v>0</v>
      </c>
      <c r="L137" t="n">
        <v>0</v>
      </c>
      <c r="M137" t="n">
        <v>0</v>
      </c>
      <c r="N137" t="n">
        <v>0</v>
      </c>
      <c r="O137" t="n">
        <v>0</v>
      </c>
      <c r="P137" t="n">
        <v>0</v>
      </c>
      <c r="Q137" t="n">
        <v>1</v>
      </c>
      <c r="R137" s="2" t="inlineStr">
        <is>
          <t>Nattviol</t>
        </is>
      </c>
      <c r="S137">
        <f>HYPERLINK("https://klasma.github.io/Logging_0980/artfynd/A 25977-2024 artfynd.xlsx", "A 25977-2024")</f>
        <v/>
      </c>
      <c r="T137">
        <f>HYPERLINK("https://klasma.github.io/Logging_0980/kartor/A 25977-2024 karta.png", "A 25977-2024")</f>
        <v/>
      </c>
      <c r="V137">
        <f>HYPERLINK("https://klasma.github.io/Logging_0980/klagomål/A 25977-2024 FSC-klagomål.docx", "A 25977-2024")</f>
        <v/>
      </c>
      <c r="W137">
        <f>HYPERLINK("https://klasma.github.io/Logging_0980/klagomålsmail/A 25977-2024 FSC-klagomål mail.docx", "A 25977-2024")</f>
        <v/>
      </c>
      <c r="X137">
        <f>HYPERLINK("https://klasma.github.io/Logging_0980/tillsyn/A 25977-2024 tillsynsbegäran.docx", "A 25977-2024")</f>
        <v/>
      </c>
      <c r="Y137">
        <f>HYPERLINK("https://klasma.github.io/Logging_0980/tillsynsmail/A 25977-2024 tillsynsbegäran mail.docx", "A 25977-2024")</f>
        <v/>
      </c>
    </row>
    <row r="138" ht="15" customHeight="1">
      <c r="A138" t="inlineStr">
        <is>
          <t>A 27589-2023</t>
        </is>
      </c>
      <c r="B138" s="1" t="n">
        <v>45097</v>
      </c>
      <c r="C138" s="1" t="n">
        <v>46178</v>
      </c>
      <c r="D138" t="inlineStr">
        <is>
          <t>GOTLANDS LÄN</t>
        </is>
      </c>
      <c r="E138" t="inlineStr">
        <is>
          <t>GOTLAND</t>
        </is>
      </c>
      <c r="G138" t="n">
        <v>5.4</v>
      </c>
      <c r="H138" t="n">
        <v>0</v>
      </c>
      <c r="I138" t="n">
        <v>0</v>
      </c>
      <c r="J138" t="n">
        <v>0</v>
      </c>
      <c r="K138" t="n">
        <v>0</v>
      </c>
      <c r="L138" t="n">
        <v>0</v>
      </c>
      <c r="M138" t="n">
        <v>1</v>
      </c>
      <c r="N138" t="n">
        <v>0</v>
      </c>
      <c r="O138" t="n">
        <v>1</v>
      </c>
      <c r="P138" t="n">
        <v>1</v>
      </c>
      <c r="Q138" t="n">
        <v>1</v>
      </c>
      <c r="R138" s="2" t="inlineStr">
        <is>
          <t>Skogsalm</t>
        </is>
      </c>
      <c r="S138">
        <f>HYPERLINK("https://klasma.github.io/Logging_0980/artfynd/A 27589-2023 artfynd.xlsx", "A 27589-2023")</f>
        <v/>
      </c>
      <c r="T138">
        <f>HYPERLINK("https://klasma.github.io/Logging_0980/kartor/A 27589-2023 karta.png", "A 27589-2023")</f>
        <v/>
      </c>
      <c r="V138">
        <f>HYPERLINK("https://klasma.github.io/Logging_0980/klagomål/A 27589-2023 FSC-klagomål.docx", "A 27589-2023")</f>
        <v/>
      </c>
      <c r="W138">
        <f>HYPERLINK("https://klasma.github.io/Logging_0980/klagomålsmail/A 27589-2023 FSC-klagomål mail.docx", "A 27589-2023")</f>
        <v/>
      </c>
      <c r="X138">
        <f>HYPERLINK("https://klasma.github.io/Logging_0980/tillsyn/A 27589-2023 tillsynsbegäran.docx", "A 27589-2023")</f>
        <v/>
      </c>
      <c r="Y138">
        <f>HYPERLINK("https://klasma.github.io/Logging_0980/tillsynsmail/A 27589-2023 tillsynsbegäran mail.docx", "A 27589-2023")</f>
        <v/>
      </c>
    </row>
    <row r="139" ht="15" customHeight="1">
      <c r="A139" t="inlineStr">
        <is>
          <t>A 35467-2021</t>
        </is>
      </c>
      <c r="B139" s="1" t="n">
        <v>44385</v>
      </c>
      <c r="C139" s="1" t="n">
        <v>46178</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9862-2024</t>
        </is>
      </c>
      <c r="B140" s="1" t="n">
        <v>45363</v>
      </c>
      <c r="C140" s="1" t="n">
        <v>46178</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44619-2025</t>
        </is>
      </c>
      <c r="B141" s="1" t="n">
        <v>45917</v>
      </c>
      <c r="C141" s="1" t="n">
        <v>46178</v>
      </c>
      <c r="D141" t="inlineStr">
        <is>
          <t>GOTLANDS LÄN</t>
        </is>
      </c>
      <c r="E141" t="inlineStr">
        <is>
          <t>GOTLAND</t>
        </is>
      </c>
      <c r="G141" t="n">
        <v>4.3</v>
      </c>
      <c r="H141" t="n">
        <v>0</v>
      </c>
      <c r="I141" t="n">
        <v>1</v>
      </c>
      <c r="J141" t="n">
        <v>0</v>
      </c>
      <c r="K141" t="n">
        <v>0</v>
      </c>
      <c r="L141" t="n">
        <v>0</v>
      </c>
      <c r="M141" t="n">
        <v>0</v>
      </c>
      <c r="N141" t="n">
        <v>0</v>
      </c>
      <c r="O141" t="n">
        <v>0</v>
      </c>
      <c r="P141" t="n">
        <v>0</v>
      </c>
      <c r="Q141" t="n">
        <v>1</v>
      </c>
      <c r="R141" s="2" t="inlineStr">
        <is>
          <t>Ögonpyrola</t>
        </is>
      </c>
      <c r="S141">
        <f>HYPERLINK("https://klasma.github.io/Logging_0980/artfynd/A 44619-2025 artfynd.xlsx", "A 44619-2025")</f>
        <v/>
      </c>
      <c r="T141">
        <f>HYPERLINK("https://klasma.github.io/Logging_0980/kartor/A 44619-2025 karta.png", "A 44619-2025")</f>
        <v/>
      </c>
      <c r="V141">
        <f>HYPERLINK("https://klasma.github.io/Logging_0980/klagomål/A 44619-2025 FSC-klagomål.docx", "A 44619-2025")</f>
        <v/>
      </c>
      <c r="W141">
        <f>HYPERLINK("https://klasma.github.io/Logging_0980/klagomålsmail/A 44619-2025 FSC-klagomål mail.docx", "A 44619-2025")</f>
        <v/>
      </c>
      <c r="X141">
        <f>HYPERLINK("https://klasma.github.io/Logging_0980/tillsyn/A 44619-2025 tillsynsbegäran.docx", "A 44619-2025")</f>
        <v/>
      </c>
      <c r="Y141">
        <f>HYPERLINK("https://klasma.github.io/Logging_0980/tillsynsmail/A 44619-2025 tillsynsbegäran mail.docx", "A 44619-2025")</f>
        <v/>
      </c>
    </row>
    <row r="142" ht="15" customHeight="1">
      <c r="A142" t="inlineStr">
        <is>
          <t>A 34141-2024</t>
        </is>
      </c>
      <c r="B142" s="1" t="n">
        <v>45524.36229166666</v>
      </c>
      <c r="C142" s="1" t="n">
        <v>46178</v>
      </c>
      <c r="D142" t="inlineStr">
        <is>
          <t>GOTLANDS LÄN</t>
        </is>
      </c>
      <c r="E142" t="inlineStr">
        <is>
          <t>GOTLAND</t>
        </is>
      </c>
      <c r="G142" t="n">
        <v>0.9</v>
      </c>
      <c r="H142" t="n">
        <v>0</v>
      </c>
      <c r="I142" t="n">
        <v>1</v>
      </c>
      <c r="J142" t="n">
        <v>0</v>
      </c>
      <c r="K142" t="n">
        <v>0</v>
      </c>
      <c r="L142" t="n">
        <v>0</v>
      </c>
      <c r="M142" t="n">
        <v>0</v>
      </c>
      <c r="N142" t="n">
        <v>0</v>
      </c>
      <c r="O142" t="n">
        <v>0</v>
      </c>
      <c r="P142" t="n">
        <v>0</v>
      </c>
      <c r="Q142" t="n">
        <v>1</v>
      </c>
      <c r="R142" s="2" t="inlineStr">
        <is>
          <t>Strävlosta</t>
        </is>
      </c>
      <c r="S142">
        <f>HYPERLINK("https://klasma.github.io/Logging_0980/artfynd/A 34141-2024 artfynd.xlsx", "A 34141-2024")</f>
        <v/>
      </c>
      <c r="T142">
        <f>HYPERLINK("https://klasma.github.io/Logging_0980/kartor/A 34141-2024 karta.png", "A 34141-2024")</f>
        <v/>
      </c>
      <c r="V142">
        <f>HYPERLINK("https://klasma.github.io/Logging_0980/klagomål/A 34141-2024 FSC-klagomål.docx", "A 34141-2024")</f>
        <v/>
      </c>
      <c r="W142">
        <f>HYPERLINK("https://klasma.github.io/Logging_0980/klagomålsmail/A 34141-2024 FSC-klagomål mail.docx", "A 34141-2024")</f>
        <v/>
      </c>
      <c r="X142">
        <f>HYPERLINK("https://klasma.github.io/Logging_0980/tillsyn/A 34141-2024 tillsynsbegäran.docx", "A 34141-2024")</f>
        <v/>
      </c>
      <c r="Y142">
        <f>HYPERLINK("https://klasma.github.io/Logging_0980/tillsynsmail/A 34141-2024 tillsynsbegäran mail.docx", "A 34141-2024")</f>
        <v/>
      </c>
    </row>
    <row r="143" ht="15" customHeight="1">
      <c r="A143" t="inlineStr">
        <is>
          <t>A 65927-2021</t>
        </is>
      </c>
      <c r="B143" s="1" t="n">
        <v>44516</v>
      </c>
      <c r="C143" s="1" t="n">
        <v>46178</v>
      </c>
      <c r="D143" t="inlineStr">
        <is>
          <t>GOTLANDS LÄN</t>
        </is>
      </c>
      <c r="E143" t="inlineStr">
        <is>
          <t>GOTLAND</t>
        </is>
      </c>
      <c r="G143" t="n">
        <v>3.1</v>
      </c>
      <c r="H143" t="n">
        <v>1</v>
      </c>
      <c r="I143" t="n">
        <v>0</v>
      </c>
      <c r="J143" t="n">
        <v>0</v>
      </c>
      <c r="K143" t="n">
        <v>1</v>
      </c>
      <c r="L143" t="n">
        <v>0</v>
      </c>
      <c r="M143" t="n">
        <v>0</v>
      </c>
      <c r="N143" t="n">
        <v>0</v>
      </c>
      <c r="O143" t="n">
        <v>1</v>
      </c>
      <c r="P143" t="n">
        <v>1</v>
      </c>
      <c r="Q143" t="n">
        <v>1</v>
      </c>
      <c r="R143" s="2" t="inlineStr">
        <is>
          <t>Grenigt kungsljus</t>
        </is>
      </c>
      <c r="S143">
        <f>HYPERLINK("https://klasma.github.io/Logging_0980/artfynd/A 65927-2021 artfynd.xlsx", "A 65927-2021")</f>
        <v/>
      </c>
      <c r="T143">
        <f>HYPERLINK("https://klasma.github.io/Logging_0980/kartor/A 65927-2021 karta.png", "A 65927-2021")</f>
        <v/>
      </c>
      <c r="V143">
        <f>HYPERLINK("https://klasma.github.io/Logging_0980/klagomål/A 65927-2021 FSC-klagomål.docx", "A 65927-2021")</f>
        <v/>
      </c>
      <c r="W143">
        <f>HYPERLINK("https://klasma.github.io/Logging_0980/klagomålsmail/A 65927-2021 FSC-klagomål mail.docx", "A 65927-2021")</f>
        <v/>
      </c>
      <c r="X143">
        <f>HYPERLINK("https://klasma.github.io/Logging_0980/tillsyn/A 65927-2021 tillsynsbegäran.docx", "A 65927-2021")</f>
        <v/>
      </c>
      <c r="Y143">
        <f>HYPERLINK("https://klasma.github.io/Logging_0980/tillsynsmail/A 65927-2021 tillsynsbegäran mail.docx", "A 65927-2021")</f>
        <v/>
      </c>
    </row>
    <row r="144" ht="15" customHeight="1">
      <c r="A144" t="inlineStr">
        <is>
          <t>A 947-2023</t>
        </is>
      </c>
      <c r="B144" s="1" t="n">
        <v>44934</v>
      </c>
      <c r="C144" s="1" t="n">
        <v>46178</v>
      </c>
      <c r="D144" t="inlineStr">
        <is>
          <t>GOTLANDS LÄN</t>
        </is>
      </c>
      <c r="E144" t="inlineStr">
        <is>
          <t>GOTLAND</t>
        </is>
      </c>
      <c r="G144" t="n">
        <v>0.7</v>
      </c>
      <c r="H144" t="n">
        <v>1</v>
      </c>
      <c r="I144" t="n">
        <v>0</v>
      </c>
      <c r="J144" t="n">
        <v>0</v>
      </c>
      <c r="K144" t="n">
        <v>1</v>
      </c>
      <c r="L144" t="n">
        <v>0</v>
      </c>
      <c r="M144" t="n">
        <v>0</v>
      </c>
      <c r="N144" t="n">
        <v>0</v>
      </c>
      <c r="O144" t="n">
        <v>1</v>
      </c>
      <c r="P144" t="n">
        <v>1</v>
      </c>
      <c r="Q144" t="n">
        <v>1</v>
      </c>
      <c r="R144" s="2" t="inlineStr">
        <is>
          <t>Garderönn</t>
        </is>
      </c>
      <c r="S144">
        <f>HYPERLINK("https://klasma.github.io/Logging_0980/artfynd/A 947-2023 artfynd.xlsx", "A 947-2023")</f>
        <v/>
      </c>
      <c r="T144">
        <f>HYPERLINK("https://klasma.github.io/Logging_0980/kartor/A 947-2023 karta.png", "A 947-2023")</f>
        <v/>
      </c>
      <c r="V144">
        <f>HYPERLINK("https://klasma.github.io/Logging_0980/klagomål/A 947-2023 FSC-klagomål.docx", "A 947-2023")</f>
        <v/>
      </c>
      <c r="W144">
        <f>HYPERLINK("https://klasma.github.io/Logging_0980/klagomålsmail/A 947-2023 FSC-klagomål mail.docx", "A 947-2023")</f>
        <v/>
      </c>
      <c r="X144">
        <f>HYPERLINK("https://klasma.github.io/Logging_0980/tillsyn/A 947-2023 tillsynsbegäran.docx", "A 947-2023")</f>
        <v/>
      </c>
      <c r="Y144">
        <f>HYPERLINK("https://klasma.github.io/Logging_0980/tillsynsmail/A 947-2023 tillsynsbegäran mail.docx", "A 947-2023")</f>
        <v/>
      </c>
    </row>
    <row r="145" ht="15" customHeight="1">
      <c r="A145" t="inlineStr">
        <is>
          <t>A 12924-2025</t>
        </is>
      </c>
      <c r="B145" s="1" t="n">
        <v>45734</v>
      </c>
      <c r="C145" s="1" t="n">
        <v>46178</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11708-2026</t>
        </is>
      </c>
      <c r="B146" s="1" t="n">
        <v>46084</v>
      </c>
      <c r="C146" s="1" t="n">
        <v>46178</v>
      </c>
      <c r="D146" t="inlineStr">
        <is>
          <t>GOTLANDS LÄN</t>
        </is>
      </c>
      <c r="E146" t="inlineStr">
        <is>
          <t>GOTLAND</t>
        </is>
      </c>
      <c r="G146" t="n">
        <v>8.4</v>
      </c>
      <c r="H146" t="n">
        <v>1</v>
      </c>
      <c r="I146" t="n">
        <v>0</v>
      </c>
      <c r="J146" t="n">
        <v>1</v>
      </c>
      <c r="K146" t="n">
        <v>0</v>
      </c>
      <c r="L146" t="n">
        <v>0</v>
      </c>
      <c r="M146" t="n">
        <v>0</v>
      </c>
      <c r="N146" t="n">
        <v>0</v>
      </c>
      <c r="O146" t="n">
        <v>1</v>
      </c>
      <c r="P146" t="n">
        <v>0</v>
      </c>
      <c r="Q146" t="n">
        <v>1</v>
      </c>
      <c r="R146" s="2" t="inlineStr">
        <is>
          <t>Bredarun</t>
        </is>
      </c>
      <c r="S146">
        <f>HYPERLINK("https://klasma.github.io/Logging_0980/artfynd/A 11708-2026 artfynd.xlsx", "A 11708-2026")</f>
        <v/>
      </c>
      <c r="T146">
        <f>HYPERLINK("https://klasma.github.io/Logging_0980/kartor/A 11708-2026 karta.png", "A 11708-2026")</f>
        <v/>
      </c>
      <c r="V146">
        <f>HYPERLINK("https://klasma.github.io/Logging_0980/klagomål/A 11708-2026 FSC-klagomål.docx", "A 11708-2026")</f>
        <v/>
      </c>
      <c r="W146">
        <f>HYPERLINK("https://klasma.github.io/Logging_0980/klagomålsmail/A 11708-2026 FSC-klagomål mail.docx", "A 11708-2026")</f>
        <v/>
      </c>
      <c r="X146">
        <f>HYPERLINK("https://klasma.github.io/Logging_0980/tillsyn/A 11708-2026 tillsynsbegäran.docx", "A 11708-2026")</f>
        <v/>
      </c>
      <c r="Y146">
        <f>HYPERLINK("https://klasma.github.io/Logging_0980/tillsynsmail/A 11708-2026 tillsynsbegäran mail.docx", "A 11708-2026")</f>
        <v/>
      </c>
    </row>
    <row r="147" ht="15" customHeight="1">
      <c r="A147" t="inlineStr">
        <is>
          <t>A 61561-2023</t>
        </is>
      </c>
      <c r="B147" s="1" t="n">
        <v>45265</v>
      </c>
      <c r="C147" s="1" t="n">
        <v>46178</v>
      </c>
      <c r="D147" t="inlineStr">
        <is>
          <t>GOTLANDS LÄN</t>
        </is>
      </c>
      <c r="E147" t="inlineStr">
        <is>
          <t>GOTLAND</t>
        </is>
      </c>
      <c r="G147" t="n">
        <v>7.4</v>
      </c>
      <c r="H147" t="n">
        <v>0</v>
      </c>
      <c r="I147" t="n">
        <v>0</v>
      </c>
      <c r="J147" t="n">
        <v>1</v>
      </c>
      <c r="K147" t="n">
        <v>0</v>
      </c>
      <c r="L147" t="n">
        <v>0</v>
      </c>
      <c r="M147" t="n">
        <v>0</v>
      </c>
      <c r="N147" t="n">
        <v>0</v>
      </c>
      <c r="O147" t="n">
        <v>1</v>
      </c>
      <c r="P147" t="n">
        <v>0</v>
      </c>
      <c r="Q147" t="n">
        <v>1</v>
      </c>
      <c r="R147" s="2" t="inlineStr">
        <is>
          <t>Loppstarr</t>
        </is>
      </c>
      <c r="S147">
        <f>HYPERLINK("https://klasma.github.io/Logging_0980/artfynd/A 61561-2023 artfynd.xlsx", "A 61561-2023")</f>
        <v/>
      </c>
      <c r="T147">
        <f>HYPERLINK("https://klasma.github.io/Logging_0980/kartor/A 61561-2023 karta.png", "A 61561-2023")</f>
        <v/>
      </c>
      <c r="V147">
        <f>HYPERLINK("https://klasma.github.io/Logging_0980/klagomål/A 61561-2023 FSC-klagomål.docx", "A 61561-2023")</f>
        <v/>
      </c>
      <c r="W147">
        <f>HYPERLINK("https://klasma.github.io/Logging_0980/klagomålsmail/A 61561-2023 FSC-klagomål mail.docx", "A 61561-2023")</f>
        <v/>
      </c>
      <c r="X147">
        <f>HYPERLINK("https://klasma.github.io/Logging_0980/tillsyn/A 61561-2023 tillsynsbegäran.docx", "A 61561-2023")</f>
        <v/>
      </c>
      <c r="Y147">
        <f>HYPERLINK("https://klasma.github.io/Logging_0980/tillsynsmail/A 61561-2023 tillsynsbegäran mail.docx", "A 61561-2023")</f>
        <v/>
      </c>
    </row>
    <row r="148" ht="15" customHeight="1">
      <c r="A148" t="inlineStr">
        <is>
          <t>A 13482-2026</t>
        </is>
      </c>
      <c r="B148" s="1" t="n">
        <v>46094</v>
      </c>
      <c r="C148" s="1" t="n">
        <v>46178</v>
      </c>
      <c r="D148" t="inlineStr">
        <is>
          <t>GOTLANDS LÄN</t>
        </is>
      </c>
      <c r="E148" t="inlineStr">
        <is>
          <t>GOTLAND</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HYPERLINK("https://klasma.github.io/Logging_0980/artfynd/A 13482-2026 artfynd.xlsx", "A 13482-2026")</f>
        <v/>
      </c>
      <c r="T148">
        <f>HYPERLINK("https://klasma.github.io/Logging_0980/kartor/A 13482-2026 karta.png", "A 13482-2026")</f>
        <v/>
      </c>
      <c r="V148">
        <f>HYPERLINK("https://klasma.github.io/Logging_0980/klagomål/A 13482-2026 FSC-klagomål.docx", "A 13482-2026")</f>
        <v/>
      </c>
      <c r="W148">
        <f>HYPERLINK("https://klasma.github.io/Logging_0980/klagomålsmail/A 13482-2026 FSC-klagomål mail.docx", "A 13482-2026")</f>
        <v/>
      </c>
      <c r="X148">
        <f>HYPERLINK("https://klasma.github.io/Logging_0980/tillsyn/A 13482-2026 tillsynsbegäran.docx", "A 13482-2026")</f>
        <v/>
      </c>
      <c r="Y148">
        <f>HYPERLINK("https://klasma.github.io/Logging_0980/tillsynsmail/A 13482-2026 tillsynsbegäran mail.docx", "A 13482-2026")</f>
        <v/>
      </c>
      <c r="Z148">
        <f>HYPERLINK("https://klasma.github.io/Logging_0980/fåglar/A 13482-2026 prioriterade fågelarter.docx", "A 13482-2026")</f>
        <v/>
      </c>
    </row>
    <row r="149" ht="15" customHeight="1">
      <c r="A149" t="inlineStr">
        <is>
          <t>A 22281-2026</t>
        </is>
      </c>
      <c r="B149" s="1" t="n">
        <v>46154</v>
      </c>
      <c r="C149" s="1" t="n">
        <v>46178</v>
      </c>
      <c r="D149" t="inlineStr">
        <is>
          <t>GOTLANDS LÄN</t>
        </is>
      </c>
      <c r="E149" t="inlineStr">
        <is>
          <t>GOTLAND</t>
        </is>
      </c>
      <c r="G149" t="n">
        <v>8.1</v>
      </c>
      <c r="H149" t="n">
        <v>0</v>
      </c>
      <c r="I149" t="n">
        <v>0</v>
      </c>
      <c r="J149" t="n">
        <v>1</v>
      </c>
      <c r="K149" t="n">
        <v>0</v>
      </c>
      <c r="L149" t="n">
        <v>0</v>
      </c>
      <c r="M149" t="n">
        <v>0</v>
      </c>
      <c r="N149" t="n">
        <v>0</v>
      </c>
      <c r="O149" t="n">
        <v>1</v>
      </c>
      <c r="P149" t="n">
        <v>0</v>
      </c>
      <c r="Q149" t="n">
        <v>1</v>
      </c>
      <c r="R149" s="2" t="inlineStr">
        <is>
          <t>Vasstandad trädbasbagge</t>
        </is>
      </c>
      <c r="S149">
        <f>HYPERLINK("https://klasma.github.io/Logging_0980/artfynd/A 22281-2026 artfynd.xlsx", "A 22281-2026")</f>
        <v/>
      </c>
      <c r="T149">
        <f>HYPERLINK("https://klasma.github.io/Logging_0980/kartor/A 22281-2026 karta.png", "A 22281-2026")</f>
        <v/>
      </c>
      <c r="V149">
        <f>HYPERLINK("https://klasma.github.io/Logging_0980/klagomål/A 22281-2026 FSC-klagomål.docx", "A 22281-2026")</f>
        <v/>
      </c>
      <c r="W149">
        <f>HYPERLINK("https://klasma.github.io/Logging_0980/klagomålsmail/A 22281-2026 FSC-klagomål mail.docx", "A 22281-2026")</f>
        <v/>
      </c>
      <c r="X149">
        <f>HYPERLINK("https://klasma.github.io/Logging_0980/tillsyn/A 22281-2026 tillsynsbegäran.docx", "A 22281-2026")</f>
        <v/>
      </c>
      <c r="Y149">
        <f>HYPERLINK("https://klasma.github.io/Logging_0980/tillsynsmail/A 22281-2026 tillsynsbegäran mail.docx", "A 22281-2026")</f>
        <v/>
      </c>
    </row>
    <row r="150" ht="15" customHeight="1">
      <c r="A150" t="inlineStr">
        <is>
          <t>A 17854-2026</t>
        </is>
      </c>
      <c r="B150" s="1" t="n">
        <v>46121</v>
      </c>
      <c r="C150" s="1" t="n">
        <v>46178</v>
      </c>
      <c r="D150" t="inlineStr">
        <is>
          <t>GOTLANDS LÄN</t>
        </is>
      </c>
      <c r="E150" t="inlineStr">
        <is>
          <t>GOTLAND</t>
        </is>
      </c>
      <c r="G150" t="n">
        <v>6.6</v>
      </c>
      <c r="H150" t="n">
        <v>0</v>
      </c>
      <c r="I150" t="n">
        <v>1</v>
      </c>
      <c r="J150" t="n">
        <v>0</v>
      </c>
      <c r="K150" t="n">
        <v>0</v>
      </c>
      <c r="L150" t="n">
        <v>0</v>
      </c>
      <c r="M150" t="n">
        <v>0</v>
      </c>
      <c r="N150" t="n">
        <v>0</v>
      </c>
      <c r="O150" t="n">
        <v>0</v>
      </c>
      <c r="P150" t="n">
        <v>0</v>
      </c>
      <c r="Q150" t="n">
        <v>1</v>
      </c>
      <c r="R150" s="2" t="inlineStr">
        <is>
          <t>Blå slemspindling</t>
        </is>
      </c>
      <c r="S150">
        <f>HYPERLINK("https://klasma.github.io/Logging_0980/artfynd/A 17854-2026 artfynd.xlsx", "A 17854-2026")</f>
        <v/>
      </c>
      <c r="T150">
        <f>HYPERLINK("https://klasma.github.io/Logging_0980/kartor/A 17854-2026 karta.png", "A 17854-2026")</f>
        <v/>
      </c>
      <c r="V150">
        <f>HYPERLINK("https://klasma.github.io/Logging_0980/klagomål/A 17854-2026 FSC-klagomål.docx", "A 17854-2026")</f>
        <v/>
      </c>
      <c r="W150">
        <f>HYPERLINK("https://klasma.github.io/Logging_0980/klagomålsmail/A 17854-2026 FSC-klagomål mail.docx", "A 17854-2026")</f>
        <v/>
      </c>
      <c r="X150">
        <f>HYPERLINK("https://klasma.github.io/Logging_0980/tillsyn/A 17854-2026 tillsynsbegäran.docx", "A 17854-2026")</f>
        <v/>
      </c>
      <c r="Y150">
        <f>HYPERLINK("https://klasma.github.io/Logging_0980/tillsynsmail/A 17854-2026 tillsynsbegäran mail.docx", "A 17854-2026")</f>
        <v/>
      </c>
    </row>
    <row r="151" ht="15" customHeight="1">
      <c r="A151" t="inlineStr">
        <is>
          <t>A 18036-2026</t>
        </is>
      </c>
      <c r="B151" s="1" t="n">
        <v>46125.39576388889</v>
      </c>
      <c r="C151" s="1" t="n">
        <v>46178</v>
      </c>
      <c r="D151" t="inlineStr">
        <is>
          <t>GOTLANDS LÄN</t>
        </is>
      </c>
      <c r="E151" t="inlineStr">
        <is>
          <t>GOTLAND</t>
        </is>
      </c>
      <c r="G151" t="n">
        <v>1.8</v>
      </c>
      <c r="H151" t="n">
        <v>0</v>
      </c>
      <c r="I151" t="n">
        <v>0</v>
      </c>
      <c r="J151" t="n">
        <v>1</v>
      </c>
      <c r="K151" t="n">
        <v>0</v>
      </c>
      <c r="L151" t="n">
        <v>0</v>
      </c>
      <c r="M151" t="n">
        <v>0</v>
      </c>
      <c r="N151" t="n">
        <v>0</v>
      </c>
      <c r="O151" t="n">
        <v>1</v>
      </c>
      <c r="P151" t="n">
        <v>0</v>
      </c>
      <c r="Q151" t="n">
        <v>1</v>
      </c>
      <c r="R151" s="2" t="inlineStr">
        <is>
          <t>Sommarfibbla</t>
        </is>
      </c>
      <c r="S151">
        <f>HYPERLINK("https://klasma.github.io/Logging_0980/artfynd/A 18036-2026 artfynd.xlsx", "A 18036-2026")</f>
        <v/>
      </c>
      <c r="T151">
        <f>HYPERLINK("https://klasma.github.io/Logging_0980/kartor/A 18036-2026 karta.png", "A 18036-2026")</f>
        <v/>
      </c>
      <c r="V151">
        <f>HYPERLINK("https://klasma.github.io/Logging_0980/klagomål/A 18036-2026 FSC-klagomål.docx", "A 18036-2026")</f>
        <v/>
      </c>
      <c r="W151">
        <f>HYPERLINK("https://klasma.github.io/Logging_0980/klagomålsmail/A 18036-2026 FSC-klagomål mail.docx", "A 18036-2026")</f>
        <v/>
      </c>
      <c r="X151">
        <f>HYPERLINK("https://klasma.github.io/Logging_0980/tillsyn/A 18036-2026 tillsynsbegäran.docx", "A 18036-2026")</f>
        <v/>
      </c>
      <c r="Y151">
        <f>HYPERLINK("https://klasma.github.io/Logging_0980/tillsynsmail/A 18036-2026 tillsynsbegäran mail.docx", "A 18036-2026")</f>
        <v/>
      </c>
    </row>
    <row r="152" ht="15" customHeight="1">
      <c r="A152" t="inlineStr">
        <is>
          <t>A 2476-2025</t>
        </is>
      </c>
      <c r="B152" s="1" t="n">
        <v>45673</v>
      </c>
      <c r="C152" s="1" t="n">
        <v>46178</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10013-2026</t>
        </is>
      </c>
      <c r="B153" s="1" t="n">
        <v>46073</v>
      </c>
      <c r="C153" s="1" t="n">
        <v>46178</v>
      </c>
      <c r="D153" t="inlineStr">
        <is>
          <t>GOTLANDS LÄN</t>
        </is>
      </c>
      <c r="E153" t="inlineStr">
        <is>
          <t>GOTLAND</t>
        </is>
      </c>
      <c r="G153" t="n">
        <v>10.5</v>
      </c>
      <c r="H153" t="n">
        <v>0</v>
      </c>
      <c r="I153" t="n">
        <v>0</v>
      </c>
      <c r="J153" t="n">
        <v>0</v>
      </c>
      <c r="K153" t="n">
        <v>1</v>
      </c>
      <c r="L153" t="n">
        <v>0</v>
      </c>
      <c r="M153" t="n">
        <v>0</v>
      </c>
      <c r="N153" t="n">
        <v>0</v>
      </c>
      <c r="O153" t="n">
        <v>1</v>
      </c>
      <c r="P153" t="n">
        <v>1</v>
      </c>
      <c r="Q153" t="n">
        <v>1</v>
      </c>
      <c r="R153" s="2" t="inlineStr">
        <is>
          <t>Skogskorn</t>
        </is>
      </c>
      <c r="S153">
        <f>HYPERLINK("https://klasma.github.io/Logging_0980/artfynd/A 10013-2026 artfynd.xlsx", "A 10013-2026")</f>
        <v/>
      </c>
      <c r="T153">
        <f>HYPERLINK("https://klasma.github.io/Logging_0980/kartor/A 10013-2026 karta.png", "A 10013-2026")</f>
        <v/>
      </c>
      <c r="V153">
        <f>HYPERLINK("https://klasma.github.io/Logging_0980/klagomål/A 10013-2026 FSC-klagomål.docx", "A 10013-2026")</f>
        <v/>
      </c>
      <c r="W153">
        <f>HYPERLINK("https://klasma.github.io/Logging_0980/klagomålsmail/A 10013-2026 FSC-klagomål mail.docx", "A 10013-2026")</f>
        <v/>
      </c>
      <c r="X153">
        <f>HYPERLINK("https://klasma.github.io/Logging_0980/tillsyn/A 10013-2026 tillsynsbegäran.docx", "A 10013-2026")</f>
        <v/>
      </c>
      <c r="Y153">
        <f>HYPERLINK("https://klasma.github.io/Logging_0980/tillsynsmail/A 10013-2026 tillsynsbegäran mail.docx", "A 10013-2026")</f>
        <v/>
      </c>
    </row>
    <row r="154" ht="15" customHeight="1">
      <c r="A154" t="inlineStr">
        <is>
          <t>A 44304-2021</t>
        </is>
      </c>
      <c r="B154" s="1" t="n">
        <v>44434</v>
      </c>
      <c r="C154" s="1" t="n">
        <v>46178</v>
      </c>
      <c r="D154" t="inlineStr">
        <is>
          <t>GOTLANDS LÄN</t>
        </is>
      </c>
      <c r="E154" t="inlineStr">
        <is>
          <t>GOTLAND</t>
        </is>
      </c>
      <c r="G154" t="n">
        <v>5.8</v>
      </c>
      <c r="H154" t="n">
        <v>0</v>
      </c>
      <c r="I154" t="n">
        <v>0</v>
      </c>
      <c r="J154" t="n">
        <v>1</v>
      </c>
      <c r="K154" t="n">
        <v>0</v>
      </c>
      <c r="L154" t="n">
        <v>0</v>
      </c>
      <c r="M154" t="n">
        <v>0</v>
      </c>
      <c r="N154" t="n">
        <v>0</v>
      </c>
      <c r="O154" t="n">
        <v>1</v>
      </c>
      <c r="P154" t="n">
        <v>0</v>
      </c>
      <c r="Q154" t="n">
        <v>1</v>
      </c>
      <c r="R154" s="2" t="inlineStr">
        <is>
          <t>Svinrot</t>
        </is>
      </c>
      <c r="S154">
        <f>HYPERLINK("https://klasma.github.io/Logging_0980/artfynd/A 44304-2021 artfynd.xlsx", "A 44304-2021")</f>
        <v/>
      </c>
      <c r="T154">
        <f>HYPERLINK("https://klasma.github.io/Logging_0980/kartor/A 44304-2021 karta.png", "A 44304-2021")</f>
        <v/>
      </c>
      <c r="V154">
        <f>HYPERLINK("https://klasma.github.io/Logging_0980/klagomål/A 44304-2021 FSC-klagomål.docx", "A 44304-2021")</f>
        <v/>
      </c>
      <c r="W154">
        <f>HYPERLINK("https://klasma.github.io/Logging_0980/klagomålsmail/A 44304-2021 FSC-klagomål mail.docx", "A 44304-2021")</f>
        <v/>
      </c>
      <c r="X154">
        <f>HYPERLINK("https://klasma.github.io/Logging_0980/tillsyn/A 44304-2021 tillsynsbegäran.docx", "A 44304-2021")</f>
        <v/>
      </c>
      <c r="Y154">
        <f>HYPERLINK("https://klasma.github.io/Logging_0980/tillsynsmail/A 44304-2021 tillsynsbegäran mail.docx", "A 44304-2021")</f>
        <v/>
      </c>
    </row>
    <row r="155" ht="15" customHeight="1">
      <c r="A155" t="inlineStr">
        <is>
          <t>A 447-2023</t>
        </is>
      </c>
      <c r="B155" s="1" t="n">
        <v>44929</v>
      </c>
      <c r="C155" s="1" t="n">
        <v>46178</v>
      </c>
      <c r="D155" t="inlineStr">
        <is>
          <t>GOTLANDS LÄN</t>
        </is>
      </c>
      <c r="E155" t="inlineStr">
        <is>
          <t>GOTLAND</t>
        </is>
      </c>
      <c r="G155" t="n">
        <v>5.1</v>
      </c>
      <c r="H155" t="n">
        <v>0</v>
      </c>
      <c r="I155" t="n">
        <v>0</v>
      </c>
      <c r="J155" t="n">
        <v>1</v>
      </c>
      <c r="K155" t="n">
        <v>0</v>
      </c>
      <c r="L155" t="n">
        <v>0</v>
      </c>
      <c r="M155" t="n">
        <v>0</v>
      </c>
      <c r="N155" t="n">
        <v>0</v>
      </c>
      <c r="O155" t="n">
        <v>1</v>
      </c>
      <c r="P155" t="n">
        <v>0</v>
      </c>
      <c r="Q155" t="n">
        <v>1</v>
      </c>
      <c r="R155" s="2" t="inlineStr">
        <is>
          <t>Äggspindling</t>
        </is>
      </c>
      <c r="S155">
        <f>HYPERLINK("https://klasma.github.io/Logging_0980/artfynd/A 447-2023 artfynd.xlsx", "A 447-2023")</f>
        <v/>
      </c>
      <c r="T155">
        <f>HYPERLINK("https://klasma.github.io/Logging_0980/kartor/A 447-2023 karta.png", "A 447-2023")</f>
        <v/>
      </c>
      <c r="V155">
        <f>HYPERLINK("https://klasma.github.io/Logging_0980/klagomål/A 447-2023 FSC-klagomål.docx", "A 447-2023")</f>
        <v/>
      </c>
      <c r="W155">
        <f>HYPERLINK("https://klasma.github.io/Logging_0980/klagomålsmail/A 447-2023 FSC-klagomål mail.docx", "A 447-2023")</f>
        <v/>
      </c>
      <c r="X155">
        <f>HYPERLINK("https://klasma.github.io/Logging_0980/tillsyn/A 447-2023 tillsynsbegäran.docx", "A 447-2023")</f>
        <v/>
      </c>
      <c r="Y155">
        <f>HYPERLINK("https://klasma.github.io/Logging_0980/tillsynsmail/A 447-2023 tillsynsbegäran mail.docx", "A 447-2023")</f>
        <v/>
      </c>
    </row>
    <row r="156" ht="15" customHeight="1">
      <c r="A156" t="inlineStr">
        <is>
          <t>A 26461-2025</t>
        </is>
      </c>
      <c r="B156" s="1" t="n">
        <v>45807.43337962963</v>
      </c>
      <c r="C156" s="1" t="n">
        <v>46178</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12324-2025</t>
        </is>
      </c>
      <c r="B157" s="1" t="n">
        <v>45730</v>
      </c>
      <c r="C157" s="1" t="n">
        <v>46178</v>
      </c>
      <c r="D157" t="inlineStr">
        <is>
          <t>GOTLANDS LÄN</t>
        </is>
      </c>
      <c r="E157" t="inlineStr">
        <is>
          <t>GOTLAND</t>
        </is>
      </c>
      <c r="G157" t="n">
        <v>5</v>
      </c>
      <c r="H157" t="n">
        <v>0</v>
      </c>
      <c r="I157" t="n">
        <v>0</v>
      </c>
      <c r="J157" t="n">
        <v>0</v>
      </c>
      <c r="K157" t="n">
        <v>1</v>
      </c>
      <c r="L157" t="n">
        <v>0</v>
      </c>
      <c r="M157" t="n">
        <v>0</v>
      </c>
      <c r="N157" t="n">
        <v>0</v>
      </c>
      <c r="O157" t="n">
        <v>1</v>
      </c>
      <c r="P157" t="n">
        <v>1</v>
      </c>
      <c r="Q157" t="n">
        <v>1</v>
      </c>
      <c r="R157" s="2" t="inlineStr">
        <is>
          <t>Sommarklynne</t>
        </is>
      </c>
      <c r="S157">
        <f>HYPERLINK("https://klasma.github.io/Logging_0980/artfynd/A 12324-2025 artfynd.xlsx", "A 12324-2025")</f>
        <v/>
      </c>
      <c r="T157">
        <f>HYPERLINK("https://klasma.github.io/Logging_0980/kartor/A 12324-2025 karta.png", "A 12324-2025")</f>
        <v/>
      </c>
      <c r="V157">
        <f>HYPERLINK("https://klasma.github.io/Logging_0980/klagomål/A 12324-2025 FSC-klagomål.docx", "A 12324-2025")</f>
        <v/>
      </c>
      <c r="W157">
        <f>HYPERLINK("https://klasma.github.io/Logging_0980/klagomålsmail/A 12324-2025 FSC-klagomål mail.docx", "A 12324-2025")</f>
        <v/>
      </c>
      <c r="X157">
        <f>HYPERLINK("https://klasma.github.io/Logging_0980/tillsyn/A 12324-2025 tillsynsbegäran.docx", "A 12324-2025")</f>
        <v/>
      </c>
      <c r="Y157">
        <f>HYPERLINK("https://klasma.github.io/Logging_0980/tillsynsmail/A 12324-2025 tillsynsbegäran mail.docx", "A 12324-2025")</f>
        <v/>
      </c>
    </row>
    <row r="158" ht="15" customHeight="1">
      <c r="A158" t="inlineStr">
        <is>
          <t>A 34809-2024</t>
        </is>
      </c>
      <c r="B158" s="1" t="n">
        <v>45526</v>
      </c>
      <c r="C158" s="1" t="n">
        <v>46178</v>
      </c>
      <c r="D158" t="inlineStr">
        <is>
          <t>GOTLANDS LÄN</t>
        </is>
      </c>
      <c r="E158" t="inlineStr">
        <is>
          <t>GOTLAND</t>
        </is>
      </c>
      <c r="G158" t="n">
        <v>9.9</v>
      </c>
      <c r="H158" t="n">
        <v>1</v>
      </c>
      <c r="I158" t="n">
        <v>0</v>
      </c>
      <c r="J158" t="n">
        <v>1</v>
      </c>
      <c r="K158" t="n">
        <v>0</v>
      </c>
      <c r="L158" t="n">
        <v>0</v>
      </c>
      <c r="M158" t="n">
        <v>0</v>
      </c>
      <c r="N158" t="n">
        <v>0</v>
      </c>
      <c r="O158" t="n">
        <v>1</v>
      </c>
      <c r="P158" t="n">
        <v>0</v>
      </c>
      <c r="Q158" t="n">
        <v>1</v>
      </c>
      <c r="R158" s="2" t="inlineStr">
        <is>
          <t>Brun ögontröst</t>
        </is>
      </c>
      <c r="S158">
        <f>HYPERLINK("https://klasma.github.io/Logging_0980/artfynd/A 34809-2024 artfynd.xlsx", "A 34809-2024")</f>
        <v/>
      </c>
      <c r="T158">
        <f>HYPERLINK("https://klasma.github.io/Logging_0980/kartor/A 34809-2024 karta.png", "A 34809-2024")</f>
        <v/>
      </c>
      <c r="V158">
        <f>HYPERLINK("https://klasma.github.io/Logging_0980/klagomål/A 34809-2024 FSC-klagomål.docx", "A 34809-2024")</f>
        <v/>
      </c>
      <c r="W158">
        <f>HYPERLINK("https://klasma.github.io/Logging_0980/klagomålsmail/A 34809-2024 FSC-klagomål mail.docx", "A 34809-2024")</f>
        <v/>
      </c>
      <c r="X158">
        <f>HYPERLINK("https://klasma.github.io/Logging_0980/tillsyn/A 34809-2024 tillsynsbegäran.docx", "A 34809-2024")</f>
        <v/>
      </c>
      <c r="Y158">
        <f>HYPERLINK("https://klasma.github.io/Logging_0980/tillsynsmail/A 34809-2024 tillsynsbegäran mail.docx", "A 34809-2024")</f>
        <v/>
      </c>
    </row>
    <row r="159" ht="15" customHeight="1">
      <c r="A159" t="inlineStr">
        <is>
          <t>A 49304-2024</t>
        </is>
      </c>
      <c r="B159" s="1" t="n">
        <v>45595.54996527778</v>
      </c>
      <c r="C159" s="1" t="n">
        <v>46178</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39812-2025</t>
        </is>
      </c>
      <c r="B160" s="1" t="n">
        <v>45891</v>
      </c>
      <c r="C160" s="1" t="n">
        <v>46178</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22782-2023</t>
        </is>
      </c>
      <c r="B161" s="1" t="n">
        <v>45072</v>
      </c>
      <c r="C161" s="1" t="n">
        <v>46178</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44088-2022</t>
        </is>
      </c>
      <c r="B162" s="1" t="n">
        <v>44839</v>
      </c>
      <c r="C162" s="1" t="n">
        <v>46178</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1477-2024</t>
        </is>
      </c>
      <c r="B163" s="1" t="n">
        <v>45305.37987268518</v>
      </c>
      <c r="C163" s="1" t="n">
        <v>46178</v>
      </c>
      <c r="D163" t="inlineStr">
        <is>
          <t>GOTLANDS LÄN</t>
        </is>
      </c>
      <c r="E163" t="inlineStr">
        <is>
          <t>GOTLAND</t>
        </is>
      </c>
      <c r="G163" t="n">
        <v>6.9</v>
      </c>
      <c r="H163" t="n">
        <v>0</v>
      </c>
      <c r="I163" t="n">
        <v>0</v>
      </c>
      <c r="J163" t="n">
        <v>1</v>
      </c>
      <c r="K163" t="n">
        <v>0</v>
      </c>
      <c r="L163" t="n">
        <v>0</v>
      </c>
      <c r="M163" t="n">
        <v>0</v>
      </c>
      <c r="N163" t="n">
        <v>0</v>
      </c>
      <c r="O163" t="n">
        <v>1</v>
      </c>
      <c r="P163" t="n">
        <v>0</v>
      </c>
      <c r="Q163" t="n">
        <v>1</v>
      </c>
      <c r="R163" s="2" t="inlineStr">
        <is>
          <t>Igelkott</t>
        </is>
      </c>
      <c r="S163">
        <f>HYPERLINK("https://klasma.github.io/Logging_0980/artfynd/A 1477-2024 artfynd.xlsx", "A 1477-2024")</f>
        <v/>
      </c>
      <c r="T163">
        <f>HYPERLINK("https://klasma.github.io/Logging_0980/kartor/A 1477-2024 karta.png", "A 1477-2024")</f>
        <v/>
      </c>
      <c r="V163">
        <f>HYPERLINK("https://klasma.github.io/Logging_0980/klagomål/A 1477-2024 FSC-klagomål.docx", "A 1477-2024")</f>
        <v/>
      </c>
      <c r="W163">
        <f>HYPERLINK("https://klasma.github.io/Logging_0980/klagomålsmail/A 1477-2024 FSC-klagomål mail.docx", "A 1477-2024")</f>
        <v/>
      </c>
      <c r="X163">
        <f>HYPERLINK("https://klasma.github.io/Logging_0980/tillsyn/A 1477-2024 tillsynsbegäran.docx", "A 1477-2024")</f>
        <v/>
      </c>
      <c r="Y163">
        <f>HYPERLINK("https://klasma.github.io/Logging_0980/tillsynsmail/A 1477-2024 tillsynsbegäran mail.docx", "A 1477-2024")</f>
        <v/>
      </c>
    </row>
    <row r="164" ht="15" customHeight="1">
      <c r="A164" t="inlineStr">
        <is>
          <t>A 7637-2025</t>
        </is>
      </c>
      <c r="B164" s="1" t="n">
        <v>45705.77181712963</v>
      </c>
      <c r="C164" s="1" t="n">
        <v>46178</v>
      </c>
      <c r="D164" t="inlineStr">
        <is>
          <t>GOTLANDS LÄN</t>
        </is>
      </c>
      <c r="E164" t="inlineStr">
        <is>
          <t>GOTLAND</t>
        </is>
      </c>
      <c r="G164" t="n">
        <v>3.7</v>
      </c>
      <c r="H164" t="n">
        <v>0</v>
      </c>
      <c r="I164" t="n">
        <v>0</v>
      </c>
      <c r="J164" t="n">
        <v>0</v>
      </c>
      <c r="K164" t="n">
        <v>0</v>
      </c>
      <c r="L164" t="n">
        <v>0</v>
      </c>
      <c r="M164" t="n">
        <v>1</v>
      </c>
      <c r="N164" t="n">
        <v>0</v>
      </c>
      <c r="O164" t="n">
        <v>1</v>
      </c>
      <c r="P164" t="n">
        <v>1</v>
      </c>
      <c r="Q164" t="n">
        <v>1</v>
      </c>
      <c r="R164" s="2" t="inlineStr">
        <is>
          <t>Skogsalm</t>
        </is>
      </c>
      <c r="S164">
        <f>HYPERLINK("https://klasma.github.io/Logging_0980/artfynd/A 7637-2025 artfynd.xlsx", "A 7637-2025")</f>
        <v/>
      </c>
      <c r="T164">
        <f>HYPERLINK("https://klasma.github.io/Logging_0980/kartor/A 7637-2025 karta.png", "A 7637-2025")</f>
        <v/>
      </c>
      <c r="V164">
        <f>HYPERLINK("https://klasma.github.io/Logging_0980/klagomål/A 7637-2025 FSC-klagomål.docx", "A 7637-2025")</f>
        <v/>
      </c>
      <c r="W164">
        <f>HYPERLINK("https://klasma.github.io/Logging_0980/klagomålsmail/A 7637-2025 FSC-klagomål mail.docx", "A 7637-2025")</f>
        <v/>
      </c>
      <c r="X164">
        <f>HYPERLINK("https://klasma.github.io/Logging_0980/tillsyn/A 7637-2025 tillsynsbegäran.docx", "A 7637-2025")</f>
        <v/>
      </c>
      <c r="Y164">
        <f>HYPERLINK("https://klasma.github.io/Logging_0980/tillsynsmail/A 7637-2025 tillsynsbegäran mail.docx", "A 7637-2025")</f>
        <v/>
      </c>
    </row>
    <row r="165" ht="15" customHeight="1">
      <c r="A165" t="inlineStr">
        <is>
          <t>A 61796-2022</t>
        </is>
      </c>
      <c r="B165" s="1" t="n">
        <v>44917</v>
      </c>
      <c r="C165" s="1" t="n">
        <v>46178</v>
      </c>
      <c r="D165" t="inlineStr">
        <is>
          <t>GOTLANDS LÄN</t>
        </is>
      </c>
      <c r="E165" t="inlineStr">
        <is>
          <t>GOTLAND</t>
        </is>
      </c>
      <c r="G165" t="n">
        <v>1.5</v>
      </c>
      <c r="H165" t="n">
        <v>1</v>
      </c>
      <c r="I165" t="n">
        <v>0</v>
      </c>
      <c r="J165" t="n">
        <v>0</v>
      </c>
      <c r="K165" t="n">
        <v>0</v>
      </c>
      <c r="L165" t="n">
        <v>0</v>
      </c>
      <c r="M165" t="n">
        <v>0</v>
      </c>
      <c r="N165" t="n">
        <v>0</v>
      </c>
      <c r="O165" t="n">
        <v>0</v>
      </c>
      <c r="P165" t="n">
        <v>0</v>
      </c>
      <c r="Q165" t="n">
        <v>1</v>
      </c>
      <c r="R165" s="2" t="inlineStr">
        <is>
          <t>Skogsduva</t>
        </is>
      </c>
      <c r="S165">
        <f>HYPERLINK("https://klasma.github.io/Logging_0980/artfynd/A 61796-2022 artfynd.xlsx", "A 61796-2022")</f>
        <v/>
      </c>
      <c r="T165">
        <f>HYPERLINK("https://klasma.github.io/Logging_0980/kartor/A 61796-2022 karta.png", "A 61796-2022")</f>
        <v/>
      </c>
      <c r="V165">
        <f>HYPERLINK("https://klasma.github.io/Logging_0980/klagomål/A 61796-2022 FSC-klagomål.docx", "A 61796-2022")</f>
        <v/>
      </c>
      <c r="W165">
        <f>HYPERLINK("https://klasma.github.io/Logging_0980/klagomålsmail/A 61796-2022 FSC-klagomål mail.docx", "A 61796-2022")</f>
        <v/>
      </c>
      <c r="X165">
        <f>HYPERLINK("https://klasma.github.io/Logging_0980/tillsyn/A 61796-2022 tillsynsbegäran.docx", "A 61796-2022")</f>
        <v/>
      </c>
      <c r="Y165">
        <f>HYPERLINK("https://klasma.github.io/Logging_0980/tillsynsmail/A 61796-2022 tillsynsbegäran mail.docx", "A 61796-2022")</f>
        <v/>
      </c>
      <c r="Z165">
        <f>HYPERLINK("https://klasma.github.io/Logging_0980/fåglar/A 61796-2022 prioriterade fågelarter.docx", "A 61796-2022")</f>
        <v/>
      </c>
    </row>
    <row r="166" ht="15" customHeight="1">
      <c r="A166" t="inlineStr">
        <is>
          <t>A 10218-2025</t>
        </is>
      </c>
      <c r="B166" s="1" t="n">
        <v>45720</v>
      </c>
      <c r="C166" s="1" t="n">
        <v>46178</v>
      </c>
      <c r="D166" t="inlineStr">
        <is>
          <t>GOTLANDS LÄN</t>
        </is>
      </c>
      <c r="E166" t="inlineStr">
        <is>
          <t>GOTLAND</t>
        </is>
      </c>
      <c r="G166" t="n">
        <v>8.1</v>
      </c>
      <c r="H166" t="n">
        <v>0</v>
      </c>
      <c r="I166" t="n">
        <v>1</v>
      </c>
      <c r="J166" t="n">
        <v>0</v>
      </c>
      <c r="K166" t="n">
        <v>0</v>
      </c>
      <c r="L166" t="n">
        <v>0</v>
      </c>
      <c r="M166" t="n">
        <v>0</v>
      </c>
      <c r="N166" t="n">
        <v>0</v>
      </c>
      <c r="O166" t="n">
        <v>0</v>
      </c>
      <c r="P166" t="n">
        <v>0</v>
      </c>
      <c r="Q166" t="n">
        <v>1</v>
      </c>
      <c r="R166" s="2" t="inlineStr">
        <is>
          <t>Kalktallört</t>
        </is>
      </c>
      <c r="S166">
        <f>HYPERLINK("https://klasma.github.io/Logging_0980/artfynd/A 10218-2025 artfynd.xlsx", "A 10218-2025")</f>
        <v/>
      </c>
      <c r="T166">
        <f>HYPERLINK("https://klasma.github.io/Logging_0980/kartor/A 10218-2025 karta.png", "A 10218-2025")</f>
        <v/>
      </c>
      <c r="V166">
        <f>HYPERLINK("https://klasma.github.io/Logging_0980/klagomål/A 10218-2025 FSC-klagomål.docx", "A 10218-2025")</f>
        <v/>
      </c>
      <c r="W166">
        <f>HYPERLINK("https://klasma.github.io/Logging_0980/klagomålsmail/A 10218-2025 FSC-klagomål mail.docx", "A 10218-2025")</f>
        <v/>
      </c>
      <c r="X166">
        <f>HYPERLINK("https://klasma.github.io/Logging_0980/tillsyn/A 10218-2025 tillsynsbegäran.docx", "A 10218-2025")</f>
        <v/>
      </c>
      <c r="Y166">
        <f>HYPERLINK("https://klasma.github.io/Logging_0980/tillsynsmail/A 10218-2025 tillsynsbegäran mail.docx", "A 10218-2025")</f>
        <v/>
      </c>
    </row>
    <row r="167" ht="15" customHeight="1">
      <c r="A167" t="inlineStr">
        <is>
          <t>A 12379-2024</t>
        </is>
      </c>
      <c r="B167" s="1" t="n">
        <v>45379.28155092592</v>
      </c>
      <c r="C167" s="1" t="n">
        <v>46178</v>
      </c>
      <c r="D167" t="inlineStr">
        <is>
          <t>GOTLANDS LÄN</t>
        </is>
      </c>
      <c r="E167" t="inlineStr">
        <is>
          <t>GOTLAND</t>
        </is>
      </c>
      <c r="G167" t="n">
        <v>4.4</v>
      </c>
      <c r="H167" t="n">
        <v>0</v>
      </c>
      <c r="I167" t="n">
        <v>0</v>
      </c>
      <c r="J167" t="n">
        <v>1</v>
      </c>
      <c r="K167" t="n">
        <v>0</v>
      </c>
      <c r="L167" t="n">
        <v>0</v>
      </c>
      <c r="M167" t="n">
        <v>0</v>
      </c>
      <c r="N167" t="n">
        <v>0</v>
      </c>
      <c r="O167" t="n">
        <v>1</v>
      </c>
      <c r="P167" t="n">
        <v>0</v>
      </c>
      <c r="Q167" t="n">
        <v>1</v>
      </c>
      <c r="R167" s="2" t="inlineStr">
        <is>
          <t>Svinrot</t>
        </is>
      </c>
      <c r="S167">
        <f>HYPERLINK("https://klasma.github.io/Logging_0980/artfynd/A 12379-2024 artfynd.xlsx", "A 12379-2024")</f>
        <v/>
      </c>
      <c r="T167">
        <f>HYPERLINK("https://klasma.github.io/Logging_0980/kartor/A 12379-2024 karta.png", "A 12379-2024")</f>
        <v/>
      </c>
      <c r="V167">
        <f>HYPERLINK("https://klasma.github.io/Logging_0980/klagomål/A 12379-2024 FSC-klagomål.docx", "A 12379-2024")</f>
        <v/>
      </c>
      <c r="W167">
        <f>HYPERLINK("https://klasma.github.io/Logging_0980/klagomålsmail/A 12379-2024 FSC-klagomål mail.docx", "A 12379-2024")</f>
        <v/>
      </c>
      <c r="X167">
        <f>HYPERLINK("https://klasma.github.io/Logging_0980/tillsyn/A 12379-2024 tillsynsbegäran.docx", "A 12379-2024")</f>
        <v/>
      </c>
      <c r="Y167">
        <f>HYPERLINK("https://klasma.github.io/Logging_0980/tillsynsmail/A 12379-2024 tillsynsbegäran mail.docx", "A 12379-2024")</f>
        <v/>
      </c>
    </row>
    <row r="168" ht="15" customHeight="1">
      <c r="A168" t="inlineStr">
        <is>
          <t>A 64700-2021</t>
        </is>
      </c>
      <c r="B168" s="1" t="n">
        <v>44511</v>
      </c>
      <c r="C168" s="1" t="n">
        <v>46178</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35574-2024</t>
        </is>
      </c>
      <c r="B169" s="1" t="n">
        <v>45531</v>
      </c>
      <c r="C169" s="1" t="n">
        <v>46178</v>
      </c>
      <c r="D169" t="inlineStr">
        <is>
          <t>GOTLANDS LÄN</t>
        </is>
      </c>
      <c r="E169" t="inlineStr">
        <is>
          <t>GOTLAND</t>
        </is>
      </c>
      <c r="G169" t="n">
        <v>5.7</v>
      </c>
      <c r="H169" t="n">
        <v>0</v>
      </c>
      <c r="I169" t="n">
        <v>1</v>
      </c>
      <c r="J169" t="n">
        <v>0</v>
      </c>
      <c r="K169" t="n">
        <v>0</v>
      </c>
      <c r="L169" t="n">
        <v>0</v>
      </c>
      <c r="M169" t="n">
        <v>0</v>
      </c>
      <c r="N169" t="n">
        <v>0</v>
      </c>
      <c r="O169" t="n">
        <v>0</v>
      </c>
      <c r="P169" t="n">
        <v>0</v>
      </c>
      <c r="Q169" t="n">
        <v>1</v>
      </c>
      <c r="R169" s="2" t="inlineStr">
        <is>
          <t>Murgröna</t>
        </is>
      </c>
      <c r="S169">
        <f>HYPERLINK("https://klasma.github.io/Logging_0980/artfynd/A 35574-2024 artfynd.xlsx", "A 35574-2024")</f>
        <v/>
      </c>
      <c r="T169">
        <f>HYPERLINK("https://klasma.github.io/Logging_0980/kartor/A 35574-2024 karta.png", "A 35574-2024")</f>
        <v/>
      </c>
      <c r="V169">
        <f>HYPERLINK("https://klasma.github.io/Logging_0980/klagomål/A 35574-2024 FSC-klagomål.docx", "A 35574-2024")</f>
        <v/>
      </c>
      <c r="W169">
        <f>HYPERLINK("https://klasma.github.io/Logging_0980/klagomålsmail/A 35574-2024 FSC-klagomål mail.docx", "A 35574-2024")</f>
        <v/>
      </c>
      <c r="X169">
        <f>HYPERLINK("https://klasma.github.io/Logging_0980/tillsyn/A 35574-2024 tillsynsbegäran.docx", "A 35574-2024")</f>
        <v/>
      </c>
      <c r="Y169">
        <f>HYPERLINK("https://klasma.github.io/Logging_0980/tillsynsmail/A 35574-2024 tillsynsbegäran mail.docx", "A 35574-2024")</f>
        <v/>
      </c>
    </row>
    <row r="170" ht="15" customHeight="1">
      <c r="A170" t="inlineStr">
        <is>
          <t>A 37591-2023</t>
        </is>
      </c>
      <c r="B170" s="1" t="n">
        <v>45159</v>
      </c>
      <c r="C170" s="1" t="n">
        <v>46178</v>
      </c>
      <c r="D170" t="inlineStr">
        <is>
          <t>GOTLANDS LÄN</t>
        </is>
      </c>
      <c r="E170" t="inlineStr">
        <is>
          <t>GOTLAND</t>
        </is>
      </c>
      <c r="G170" t="n">
        <v>8.300000000000001</v>
      </c>
      <c r="H170" t="n">
        <v>0</v>
      </c>
      <c r="I170" t="n">
        <v>0</v>
      </c>
      <c r="J170" t="n">
        <v>1</v>
      </c>
      <c r="K170" t="n">
        <v>0</v>
      </c>
      <c r="L170" t="n">
        <v>0</v>
      </c>
      <c r="M170" t="n">
        <v>0</v>
      </c>
      <c r="N170" t="n">
        <v>0</v>
      </c>
      <c r="O170" t="n">
        <v>1</v>
      </c>
      <c r="P170" t="n">
        <v>0</v>
      </c>
      <c r="Q170" t="n">
        <v>1</v>
      </c>
      <c r="R170" s="2" t="inlineStr">
        <is>
          <t>Ängsstarr</t>
        </is>
      </c>
      <c r="S170">
        <f>HYPERLINK("https://klasma.github.io/Logging_0980/artfynd/A 37591-2023 artfynd.xlsx", "A 37591-2023")</f>
        <v/>
      </c>
      <c r="T170">
        <f>HYPERLINK("https://klasma.github.io/Logging_0980/kartor/A 37591-2023 karta.png", "A 37591-2023")</f>
        <v/>
      </c>
      <c r="V170">
        <f>HYPERLINK("https://klasma.github.io/Logging_0980/klagomål/A 37591-2023 FSC-klagomål.docx", "A 37591-2023")</f>
        <v/>
      </c>
      <c r="W170">
        <f>HYPERLINK("https://klasma.github.io/Logging_0980/klagomålsmail/A 37591-2023 FSC-klagomål mail.docx", "A 37591-2023")</f>
        <v/>
      </c>
      <c r="X170">
        <f>HYPERLINK("https://klasma.github.io/Logging_0980/tillsyn/A 37591-2023 tillsynsbegäran.docx", "A 37591-2023")</f>
        <v/>
      </c>
      <c r="Y170">
        <f>HYPERLINK("https://klasma.github.io/Logging_0980/tillsynsmail/A 37591-2023 tillsynsbegäran mail.docx", "A 37591-2023")</f>
        <v/>
      </c>
    </row>
    <row r="171" ht="15" customHeight="1">
      <c r="A171" t="inlineStr">
        <is>
          <t>A 15637-2024</t>
        </is>
      </c>
      <c r="B171" s="1" t="n">
        <v>45403.6684837963</v>
      </c>
      <c r="C171" s="1" t="n">
        <v>46178</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49847-2023</t>
        </is>
      </c>
      <c r="B172" s="1" t="n">
        <v>45212</v>
      </c>
      <c r="C172" s="1" t="n">
        <v>46178</v>
      </c>
      <c r="D172" t="inlineStr">
        <is>
          <t>GOTLANDS LÄN</t>
        </is>
      </c>
      <c r="E172" t="inlineStr">
        <is>
          <t>GOTLAND</t>
        </is>
      </c>
      <c r="G172" t="n">
        <v>35.2</v>
      </c>
      <c r="H172" t="n">
        <v>0</v>
      </c>
      <c r="I172" t="n">
        <v>0</v>
      </c>
      <c r="J172" t="n">
        <v>0</v>
      </c>
      <c r="K172" t="n">
        <v>1</v>
      </c>
      <c r="L172" t="n">
        <v>0</v>
      </c>
      <c r="M172" t="n">
        <v>0</v>
      </c>
      <c r="N172" t="n">
        <v>0</v>
      </c>
      <c r="O172" t="n">
        <v>1</v>
      </c>
      <c r="P172" t="n">
        <v>1</v>
      </c>
      <c r="Q172" t="n">
        <v>1</v>
      </c>
      <c r="R172" s="2" t="inlineStr">
        <is>
          <t>Strandviol</t>
        </is>
      </c>
      <c r="S172">
        <f>HYPERLINK("https://klasma.github.io/Logging_0980/artfynd/A 49847-2023 artfynd.xlsx", "A 49847-2023")</f>
        <v/>
      </c>
      <c r="T172">
        <f>HYPERLINK("https://klasma.github.io/Logging_0980/kartor/A 49847-2023 karta.png", "A 49847-2023")</f>
        <v/>
      </c>
      <c r="V172">
        <f>HYPERLINK("https://klasma.github.io/Logging_0980/klagomål/A 49847-2023 FSC-klagomål.docx", "A 49847-2023")</f>
        <v/>
      </c>
      <c r="W172">
        <f>HYPERLINK("https://klasma.github.io/Logging_0980/klagomålsmail/A 49847-2023 FSC-klagomål mail.docx", "A 49847-2023")</f>
        <v/>
      </c>
      <c r="X172">
        <f>HYPERLINK("https://klasma.github.io/Logging_0980/tillsyn/A 49847-2023 tillsynsbegäran.docx", "A 49847-2023")</f>
        <v/>
      </c>
      <c r="Y172">
        <f>HYPERLINK("https://klasma.github.io/Logging_0980/tillsynsmail/A 49847-2023 tillsynsbegäran mail.docx", "A 49847-2023")</f>
        <v/>
      </c>
    </row>
    <row r="173" ht="15" customHeight="1">
      <c r="A173" t="inlineStr">
        <is>
          <t>A 10995-2023</t>
        </is>
      </c>
      <c r="B173" s="1" t="n">
        <v>44986</v>
      </c>
      <c r="C173" s="1" t="n">
        <v>46178</v>
      </c>
      <c r="D173" t="inlineStr">
        <is>
          <t>GOTLANDS LÄN</t>
        </is>
      </c>
      <c r="E173" t="inlineStr">
        <is>
          <t>GOTLAND</t>
        </is>
      </c>
      <c r="G173" t="n">
        <v>2.8</v>
      </c>
      <c r="H173" t="n">
        <v>0</v>
      </c>
      <c r="I173" t="n">
        <v>0</v>
      </c>
      <c r="J173" t="n">
        <v>0</v>
      </c>
      <c r="K173" t="n">
        <v>1</v>
      </c>
      <c r="L173" t="n">
        <v>0</v>
      </c>
      <c r="M173" t="n">
        <v>0</v>
      </c>
      <c r="N173" t="n">
        <v>0</v>
      </c>
      <c r="O173" t="n">
        <v>1</v>
      </c>
      <c r="P173" t="n">
        <v>1</v>
      </c>
      <c r="Q173" t="n">
        <v>1</v>
      </c>
      <c r="R173" s="2" t="inlineStr">
        <is>
          <t>Violettfläckig spindling</t>
        </is>
      </c>
      <c r="S173">
        <f>HYPERLINK("https://klasma.github.io/Logging_0980/artfynd/A 10995-2023 artfynd.xlsx", "A 10995-2023")</f>
        <v/>
      </c>
      <c r="T173">
        <f>HYPERLINK("https://klasma.github.io/Logging_0980/kartor/A 10995-2023 karta.png", "A 10995-2023")</f>
        <v/>
      </c>
      <c r="V173">
        <f>HYPERLINK("https://klasma.github.io/Logging_0980/klagomål/A 10995-2023 FSC-klagomål.docx", "A 10995-2023")</f>
        <v/>
      </c>
      <c r="W173">
        <f>HYPERLINK("https://klasma.github.io/Logging_0980/klagomålsmail/A 10995-2023 FSC-klagomål mail.docx", "A 10995-2023")</f>
        <v/>
      </c>
      <c r="X173">
        <f>HYPERLINK("https://klasma.github.io/Logging_0980/tillsyn/A 10995-2023 tillsynsbegäran.docx", "A 10995-2023")</f>
        <v/>
      </c>
      <c r="Y173">
        <f>HYPERLINK("https://klasma.github.io/Logging_0980/tillsynsmail/A 10995-2023 tillsynsbegäran mail.docx", "A 10995-2023")</f>
        <v/>
      </c>
    </row>
    <row r="174" ht="15" customHeight="1">
      <c r="A174" t="inlineStr">
        <is>
          <t>A 63576-2021</t>
        </is>
      </c>
      <c r="B174" s="1" t="n">
        <v>44508</v>
      </c>
      <c r="C174" s="1" t="n">
        <v>46178</v>
      </c>
      <c r="D174" t="inlineStr">
        <is>
          <t>GOTLANDS LÄN</t>
        </is>
      </c>
      <c r="E174" t="inlineStr">
        <is>
          <t>GOTLAND</t>
        </is>
      </c>
      <c r="F174" t="inlineStr">
        <is>
          <t>Kyrkan</t>
        </is>
      </c>
      <c r="G174" t="n">
        <v>4.1</v>
      </c>
      <c r="H174" t="n">
        <v>1</v>
      </c>
      <c r="I174" t="n">
        <v>0</v>
      </c>
      <c r="J174" t="n">
        <v>1</v>
      </c>
      <c r="K174" t="n">
        <v>0</v>
      </c>
      <c r="L174" t="n">
        <v>0</v>
      </c>
      <c r="M174" t="n">
        <v>0</v>
      </c>
      <c r="N174" t="n">
        <v>0</v>
      </c>
      <c r="O174" t="n">
        <v>1</v>
      </c>
      <c r="P174" t="n">
        <v>0</v>
      </c>
      <c r="Q174" t="n">
        <v>1</v>
      </c>
      <c r="R174" s="2" t="inlineStr">
        <is>
          <t>Dårgräsfjäril</t>
        </is>
      </c>
      <c r="S174">
        <f>HYPERLINK("https://klasma.github.io/Logging_0980/artfynd/A 63576-2021 artfynd.xlsx", "A 63576-2021")</f>
        <v/>
      </c>
      <c r="T174">
        <f>HYPERLINK("https://klasma.github.io/Logging_0980/kartor/A 63576-2021 karta.png", "A 63576-2021")</f>
        <v/>
      </c>
      <c r="V174">
        <f>HYPERLINK("https://klasma.github.io/Logging_0980/klagomål/A 63576-2021 FSC-klagomål.docx", "A 63576-2021")</f>
        <v/>
      </c>
      <c r="W174">
        <f>HYPERLINK("https://klasma.github.io/Logging_0980/klagomålsmail/A 63576-2021 FSC-klagomål mail.docx", "A 63576-2021")</f>
        <v/>
      </c>
      <c r="X174">
        <f>HYPERLINK("https://klasma.github.io/Logging_0980/tillsyn/A 63576-2021 tillsynsbegäran.docx", "A 63576-2021")</f>
        <v/>
      </c>
      <c r="Y174">
        <f>HYPERLINK("https://klasma.github.io/Logging_0980/tillsynsmail/A 63576-2021 tillsynsbegäran mail.docx", "A 63576-2021")</f>
        <v/>
      </c>
    </row>
    <row r="175" ht="15" customHeight="1">
      <c r="A175" t="inlineStr">
        <is>
          <t>A 21466-2025</t>
        </is>
      </c>
      <c r="B175" s="1" t="n">
        <v>45782</v>
      </c>
      <c r="C175" s="1" t="n">
        <v>46178</v>
      </c>
      <c r="D175" t="inlineStr">
        <is>
          <t>GOTLANDS LÄN</t>
        </is>
      </c>
      <c r="E175" t="inlineStr">
        <is>
          <t>GOTLAND</t>
        </is>
      </c>
      <c r="F175" t="inlineStr">
        <is>
          <t>Övriga statliga verk och myndigheter</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HYPERLINK("https://klasma.github.io/Logging_0980/artfynd/A 21466-2025 artfynd.xlsx", "A 21466-2025")</f>
        <v/>
      </c>
      <c r="T175">
        <f>HYPERLINK("https://klasma.github.io/Logging_0980/kartor/A 21466-2025 karta.png", "A 21466-2025")</f>
        <v/>
      </c>
      <c r="V175">
        <f>HYPERLINK("https://klasma.github.io/Logging_0980/klagomål/A 21466-2025 FSC-klagomål.docx", "A 21466-2025")</f>
        <v/>
      </c>
      <c r="W175">
        <f>HYPERLINK("https://klasma.github.io/Logging_0980/klagomålsmail/A 21466-2025 FSC-klagomål mail.docx", "A 21466-2025")</f>
        <v/>
      </c>
      <c r="X175">
        <f>HYPERLINK("https://klasma.github.io/Logging_0980/tillsyn/A 21466-2025 tillsynsbegäran.docx", "A 21466-2025")</f>
        <v/>
      </c>
      <c r="Y175">
        <f>HYPERLINK("https://klasma.github.io/Logging_0980/tillsynsmail/A 21466-2025 tillsynsbegäran mail.docx", "A 21466-2025")</f>
        <v/>
      </c>
    </row>
    <row r="176" ht="15" customHeight="1">
      <c r="A176" t="inlineStr">
        <is>
          <t>A 10440-2024</t>
        </is>
      </c>
      <c r="B176" s="1" t="n">
        <v>45366.32818287037</v>
      </c>
      <c r="C176" s="1" t="n">
        <v>46178</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36313-2021</t>
        </is>
      </c>
      <c r="B177" s="1" t="n">
        <v>44390</v>
      </c>
      <c r="C177" s="1" t="n">
        <v>46178</v>
      </c>
      <c r="D177" t="inlineStr">
        <is>
          <t>GOTLANDS LÄN</t>
        </is>
      </c>
      <c r="E177" t="inlineStr">
        <is>
          <t>GOTLAND</t>
        </is>
      </c>
      <c r="G177" t="n">
        <v>2.2</v>
      </c>
      <c r="H177" t="n">
        <v>0</v>
      </c>
      <c r="I177" t="n">
        <v>0</v>
      </c>
      <c r="J177" t="n">
        <v>0</v>
      </c>
      <c r="K177" t="n">
        <v>0</v>
      </c>
      <c r="L177" t="n">
        <v>0</v>
      </c>
      <c r="M177" t="n">
        <v>0</v>
      </c>
      <c r="N177" t="n">
        <v>0</v>
      </c>
      <c r="O177" t="n">
        <v>0</v>
      </c>
      <c r="P177" t="n">
        <v>0</v>
      </c>
      <c r="Q177" t="n">
        <v>0</v>
      </c>
      <c r="R177" s="2" t="inlineStr"/>
    </row>
    <row r="178" ht="15" customHeight="1">
      <c r="A178" t="inlineStr">
        <is>
          <t>A 31981-2021</t>
        </is>
      </c>
      <c r="B178" s="1" t="n">
        <v>44370</v>
      </c>
      <c r="C178" s="1" t="n">
        <v>46178</v>
      </c>
      <c r="D178" t="inlineStr">
        <is>
          <t>GOTLANDS LÄN</t>
        </is>
      </c>
      <c r="E178" t="inlineStr">
        <is>
          <t>GOTLAND</t>
        </is>
      </c>
      <c r="G178" t="n">
        <v>6.1</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46178</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44108-2022</t>
        </is>
      </c>
      <c r="B180" s="1" t="n">
        <v>44839.38159722222</v>
      </c>
      <c r="C180" s="1" t="n">
        <v>46178</v>
      </c>
      <c r="D180" t="inlineStr">
        <is>
          <t>GOTLANDS LÄN</t>
        </is>
      </c>
      <c r="E180" t="inlineStr">
        <is>
          <t>GOTLAND</t>
        </is>
      </c>
      <c r="G180" t="n">
        <v>12.9</v>
      </c>
      <c r="H180" t="n">
        <v>0</v>
      </c>
      <c r="I180" t="n">
        <v>0</v>
      </c>
      <c r="J180" t="n">
        <v>0</v>
      </c>
      <c r="K180" t="n">
        <v>0</v>
      </c>
      <c r="L180" t="n">
        <v>0</v>
      </c>
      <c r="M180" t="n">
        <v>0</v>
      </c>
      <c r="N180" t="n">
        <v>0</v>
      </c>
      <c r="O180" t="n">
        <v>0</v>
      </c>
      <c r="P180" t="n">
        <v>0</v>
      </c>
      <c r="Q180" t="n">
        <v>0</v>
      </c>
      <c r="R180" s="2" t="inlineStr"/>
    </row>
    <row r="181" ht="15" customHeight="1">
      <c r="A181" t="inlineStr">
        <is>
          <t>A 16858-2022</t>
        </is>
      </c>
      <c r="B181" s="1" t="n">
        <v>44674.62</v>
      </c>
      <c r="C181" s="1" t="n">
        <v>46178</v>
      </c>
      <c r="D181" t="inlineStr">
        <is>
          <t>GOTLANDS LÄN</t>
        </is>
      </c>
      <c r="E181" t="inlineStr">
        <is>
          <t>GOTLAND</t>
        </is>
      </c>
      <c r="G181" t="n">
        <v>1.4</v>
      </c>
      <c r="H181" t="n">
        <v>0</v>
      </c>
      <c r="I181" t="n">
        <v>0</v>
      </c>
      <c r="J181" t="n">
        <v>0</v>
      </c>
      <c r="K181" t="n">
        <v>0</v>
      </c>
      <c r="L181" t="n">
        <v>0</v>
      </c>
      <c r="M181" t="n">
        <v>0</v>
      </c>
      <c r="N181" t="n">
        <v>0</v>
      </c>
      <c r="O181" t="n">
        <v>0</v>
      </c>
      <c r="P181" t="n">
        <v>0</v>
      </c>
      <c r="Q181" t="n">
        <v>0</v>
      </c>
      <c r="R181" s="2" t="inlineStr"/>
    </row>
    <row r="182" ht="15" customHeight="1">
      <c r="A182" t="inlineStr">
        <is>
          <t>A 24235-2022</t>
        </is>
      </c>
      <c r="B182" s="1" t="n">
        <v>44725</v>
      </c>
      <c r="C182" s="1" t="n">
        <v>46178</v>
      </c>
      <c r="D182" t="inlineStr">
        <is>
          <t>GOTLANDS LÄN</t>
        </is>
      </c>
      <c r="E182" t="inlineStr">
        <is>
          <t>GOTLAND</t>
        </is>
      </c>
      <c r="G182" t="n">
        <v>0.8</v>
      </c>
      <c r="H182" t="n">
        <v>0</v>
      </c>
      <c r="I182" t="n">
        <v>0</v>
      </c>
      <c r="J182" t="n">
        <v>0</v>
      </c>
      <c r="K182" t="n">
        <v>0</v>
      </c>
      <c r="L182" t="n">
        <v>0</v>
      </c>
      <c r="M182" t="n">
        <v>0</v>
      </c>
      <c r="N182" t="n">
        <v>0</v>
      </c>
      <c r="O182" t="n">
        <v>0</v>
      </c>
      <c r="P182" t="n">
        <v>0</v>
      </c>
      <c r="Q182" t="n">
        <v>0</v>
      </c>
      <c r="R182" s="2" t="inlineStr"/>
    </row>
    <row r="183" ht="15" customHeight="1">
      <c r="A183" t="inlineStr">
        <is>
          <t>A 32647-2021</t>
        </is>
      </c>
      <c r="B183" s="1" t="n">
        <v>44375</v>
      </c>
      <c r="C183" s="1" t="n">
        <v>46178</v>
      </c>
      <c r="D183" t="inlineStr">
        <is>
          <t>GOTLANDS LÄN</t>
        </is>
      </c>
      <c r="E183" t="inlineStr">
        <is>
          <t>GOTLAND</t>
        </is>
      </c>
      <c r="G183" t="n">
        <v>1.7</v>
      </c>
      <c r="H183" t="n">
        <v>0</v>
      </c>
      <c r="I183" t="n">
        <v>0</v>
      </c>
      <c r="J183" t="n">
        <v>0</v>
      </c>
      <c r="K183" t="n">
        <v>0</v>
      </c>
      <c r="L183" t="n">
        <v>0</v>
      </c>
      <c r="M183" t="n">
        <v>0</v>
      </c>
      <c r="N183" t="n">
        <v>0</v>
      </c>
      <c r="O183" t="n">
        <v>0</v>
      </c>
      <c r="P183" t="n">
        <v>0</v>
      </c>
      <c r="Q183" t="n">
        <v>0</v>
      </c>
      <c r="R183" s="2" t="inlineStr"/>
    </row>
    <row r="184" ht="15" customHeight="1">
      <c r="A184" t="inlineStr">
        <is>
          <t>A 39909-2021</t>
        </is>
      </c>
      <c r="B184" s="1" t="n">
        <v>44417.82444444444</v>
      </c>
      <c r="C184" s="1" t="n">
        <v>46178</v>
      </c>
      <c r="D184" t="inlineStr">
        <is>
          <t>GOTLANDS LÄN</t>
        </is>
      </c>
      <c r="E184" t="inlineStr">
        <is>
          <t>GOTLAND</t>
        </is>
      </c>
      <c r="G184" t="n">
        <v>1.1</v>
      </c>
      <c r="H184" t="n">
        <v>0</v>
      </c>
      <c r="I184" t="n">
        <v>0</v>
      </c>
      <c r="J184" t="n">
        <v>0</v>
      </c>
      <c r="K184" t="n">
        <v>0</v>
      </c>
      <c r="L184" t="n">
        <v>0</v>
      </c>
      <c r="M184" t="n">
        <v>0</v>
      </c>
      <c r="N184" t="n">
        <v>0</v>
      </c>
      <c r="O184" t="n">
        <v>0</v>
      </c>
      <c r="P184" t="n">
        <v>0</v>
      </c>
      <c r="Q184" t="n">
        <v>0</v>
      </c>
      <c r="R184" s="2" t="inlineStr"/>
    </row>
    <row r="185" ht="15" customHeight="1">
      <c r="A185" t="inlineStr">
        <is>
          <t>A 22498-2022</t>
        </is>
      </c>
      <c r="B185" s="1" t="n">
        <v>44713.64682870371</v>
      </c>
      <c r="C185" s="1" t="n">
        <v>46178</v>
      </c>
      <c r="D185" t="inlineStr">
        <is>
          <t>GOTLANDS LÄN</t>
        </is>
      </c>
      <c r="E185" t="inlineStr">
        <is>
          <t>GOTLAND</t>
        </is>
      </c>
      <c r="G185" t="n">
        <v>0.7</v>
      </c>
      <c r="H185" t="n">
        <v>0</v>
      </c>
      <c r="I185" t="n">
        <v>0</v>
      </c>
      <c r="J185" t="n">
        <v>0</v>
      </c>
      <c r="K185" t="n">
        <v>0</v>
      </c>
      <c r="L185" t="n">
        <v>0</v>
      </c>
      <c r="M185" t="n">
        <v>0</v>
      </c>
      <c r="N185" t="n">
        <v>0</v>
      </c>
      <c r="O185" t="n">
        <v>0</v>
      </c>
      <c r="P185" t="n">
        <v>0</v>
      </c>
      <c r="Q185" t="n">
        <v>0</v>
      </c>
      <c r="R185" s="2" t="inlineStr"/>
    </row>
    <row r="186" ht="15" customHeight="1">
      <c r="A186" t="inlineStr">
        <is>
          <t>A 42688-2021</t>
        </is>
      </c>
      <c r="B186" s="1" t="n">
        <v>44428</v>
      </c>
      <c r="C186" s="1" t="n">
        <v>46178</v>
      </c>
      <c r="D186" t="inlineStr">
        <is>
          <t>GOTLANDS LÄN</t>
        </is>
      </c>
      <c r="E186" t="inlineStr">
        <is>
          <t>GOTLAND</t>
        </is>
      </c>
      <c r="G186" t="n">
        <v>0.6</v>
      </c>
      <c r="H186" t="n">
        <v>0</v>
      </c>
      <c r="I186" t="n">
        <v>0</v>
      </c>
      <c r="J186" t="n">
        <v>0</v>
      </c>
      <c r="K186" t="n">
        <v>0</v>
      </c>
      <c r="L186" t="n">
        <v>0</v>
      </c>
      <c r="M186" t="n">
        <v>0</v>
      </c>
      <c r="N186" t="n">
        <v>0</v>
      </c>
      <c r="O186" t="n">
        <v>0</v>
      </c>
      <c r="P186" t="n">
        <v>0</v>
      </c>
      <c r="Q186" t="n">
        <v>0</v>
      </c>
      <c r="R186" s="2" t="inlineStr"/>
    </row>
    <row r="187" ht="15" customHeight="1">
      <c r="A187" t="inlineStr">
        <is>
          <t>A 24123-2022</t>
        </is>
      </c>
      <c r="B187" s="1" t="n">
        <v>44725.4384375</v>
      </c>
      <c r="C187" s="1" t="n">
        <v>46178</v>
      </c>
      <c r="D187" t="inlineStr">
        <is>
          <t>GOTLANDS LÄN</t>
        </is>
      </c>
      <c r="E187" t="inlineStr">
        <is>
          <t>GOTLAND</t>
        </is>
      </c>
      <c r="G187" t="n">
        <v>6</v>
      </c>
      <c r="H187" t="n">
        <v>0</v>
      </c>
      <c r="I187" t="n">
        <v>0</v>
      </c>
      <c r="J187" t="n">
        <v>0</v>
      </c>
      <c r="K187" t="n">
        <v>0</v>
      </c>
      <c r="L187" t="n">
        <v>0</v>
      </c>
      <c r="M187" t="n">
        <v>0</v>
      </c>
      <c r="N187" t="n">
        <v>0</v>
      </c>
      <c r="O187" t="n">
        <v>0</v>
      </c>
      <c r="P187" t="n">
        <v>0</v>
      </c>
      <c r="Q187" t="n">
        <v>0</v>
      </c>
      <c r="R187" s="2" t="inlineStr"/>
    </row>
    <row r="188" ht="15" customHeight="1">
      <c r="A188" t="inlineStr">
        <is>
          <t>A 44207-2022</t>
        </is>
      </c>
      <c r="B188" s="1" t="n">
        <v>44839</v>
      </c>
      <c r="C188" s="1" t="n">
        <v>46178</v>
      </c>
      <c r="D188" t="inlineStr">
        <is>
          <t>GOTLANDS LÄN</t>
        </is>
      </c>
      <c r="E188" t="inlineStr">
        <is>
          <t>GOTLAND</t>
        </is>
      </c>
      <c r="G188" t="n">
        <v>3.8</v>
      </c>
      <c r="H188" t="n">
        <v>0</v>
      </c>
      <c r="I188" t="n">
        <v>0</v>
      </c>
      <c r="J188" t="n">
        <v>0</v>
      </c>
      <c r="K188" t="n">
        <v>0</v>
      </c>
      <c r="L188" t="n">
        <v>0</v>
      </c>
      <c r="M188" t="n">
        <v>0</v>
      </c>
      <c r="N188" t="n">
        <v>0</v>
      </c>
      <c r="O188" t="n">
        <v>0</v>
      </c>
      <c r="P188" t="n">
        <v>0</v>
      </c>
      <c r="Q188" t="n">
        <v>0</v>
      </c>
      <c r="R188" s="2" t="inlineStr"/>
    </row>
    <row r="189" ht="15" customHeight="1">
      <c r="A189" t="inlineStr">
        <is>
          <t>A 32691-2021</t>
        </is>
      </c>
      <c r="B189" s="1" t="n">
        <v>44375</v>
      </c>
      <c r="C189" s="1" t="n">
        <v>46178</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60607-2021</t>
        </is>
      </c>
      <c r="B190" s="1" t="n">
        <v>44496.58627314815</v>
      </c>
      <c r="C190" s="1" t="n">
        <v>46178</v>
      </c>
      <c r="D190" t="inlineStr">
        <is>
          <t>GOTLANDS LÄN</t>
        </is>
      </c>
      <c r="E190" t="inlineStr">
        <is>
          <t>GOTLAND</t>
        </is>
      </c>
      <c r="G190" t="n">
        <v>0.6</v>
      </c>
      <c r="H190" t="n">
        <v>0</v>
      </c>
      <c r="I190" t="n">
        <v>0</v>
      </c>
      <c r="J190" t="n">
        <v>0</v>
      </c>
      <c r="K190" t="n">
        <v>0</v>
      </c>
      <c r="L190" t="n">
        <v>0</v>
      </c>
      <c r="M190" t="n">
        <v>0</v>
      </c>
      <c r="N190" t="n">
        <v>0</v>
      </c>
      <c r="O190" t="n">
        <v>0</v>
      </c>
      <c r="P190" t="n">
        <v>0</v>
      </c>
      <c r="Q190" t="n">
        <v>0</v>
      </c>
      <c r="R190" s="2" t="inlineStr"/>
    </row>
    <row r="191" ht="15" customHeight="1">
      <c r="A191" t="inlineStr">
        <is>
          <t>A 11029-2022</t>
        </is>
      </c>
      <c r="B191" s="1" t="n">
        <v>44628</v>
      </c>
      <c r="C191" s="1" t="n">
        <v>46178</v>
      </c>
      <c r="D191" t="inlineStr">
        <is>
          <t>GOTLANDS LÄN</t>
        </is>
      </c>
      <c r="E191" t="inlineStr">
        <is>
          <t>GOTLAND</t>
        </is>
      </c>
      <c r="G191" t="n">
        <v>1.8</v>
      </c>
      <c r="H191" t="n">
        <v>0</v>
      </c>
      <c r="I191" t="n">
        <v>0</v>
      </c>
      <c r="J191" t="n">
        <v>0</v>
      </c>
      <c r="K191" t="n">
        <v>0</v>
      </c>
      <c r="L191" t="n">
        <v>0</v>
      </c>
      <c r="M191" t="n">
        <v>0</v>
      </c>
      <c r="N191" t="n">
        <v>0</v>
      </c>
      <c r="O191" t="n">
        <v>0</v>
      </c>
      <c r="P191" t="n">
        <v>0</v>
      </c>
      <c r="Q191" t="n">
        <v>0</v>
      </c>
      <c r="R191" s="2" t="inlineStr"/>
    </row>
    <row r="192" ht="15" customHeight="1">
      <c r="A192" t="inlineStr">
        <is>
          <t>A 31239-2022</t>
        </is>
      </c>
      <c r="B192" s="1" t="n">
        <v>44771.49383101852</v>
      </c>
      <c r="C192" s="1" t="n">
        <v>46178</v>
      </c>
      <c r="D192" t="inlineStr">
        <is>
          <t>GOTLANDS LÄN</t>
        </is>
      </c>
      <c r="E192" t="inlineStr">
        <is>
          <t>GOTLAND</t>
        </is>
      </c>
      <c r="G192" t="n">
        <v>1.9</v>
      </c>
      <c r="H192" t="n">
        <v>0</v>
      </c>
      <c r="I192" t="n">
        <v>0</v>
      </c>
      <c r="J192" t="n">
        <v>0</v>
      </c>
      <c r="K192" t="n">
        <v>0</v>
      </c>
      <c r="L192" t="n">
        <v>0</v>
      </c>
      <c r="M192" t="n">
        <v>0</v>
      </c>
      <c r="N192" t="n">
        <v>0</v>
      </c>
      <c r="O192" t="n">
        <v>0</v>
      </c>
      <c r="P192" t="n">
        <v>0</v>
      </c>
      <c r="Q192" t="n">
        <v>0</v>
      </c>
      <c r="R192" s="2" t="inlineStr"/>
    </row>
    <row r="193" ht="15" customHeight="1">
      <c r="A193" t="inlineStr">
        <is>
          <t>A 47369-2021</t>
        </is>
      </c>
      <c r="B193" s="1" t="n">
        <v>44447</v>
      </c>
      <c r="C193" s="1" t="n">
        <v>46178</v>
      </c>
      <c r="D193" t="inlineStr">
        <is>
          <t>GOTLANDS LÄN</t>
        </is>
      </c>
      <c r="E193" t="inlineStr">
        <is>
          <t>GOTLAND</t>
        </is>
      </c>
      <c r="G193" t="n">
        <v>2.3</v>
      </c>
      <c r="H193" t="n">
        <v>0</v>
      </c>
      <c r="I193" t="n">
        <v>0</v>
      </c>
      <c r="J193" t="n">
        <v>0</v>
      </c>
      <c r="K193" t="n">
        <v>0</v>
      </c>
      <c r="L193" t="n">
        <v>0</v>
      </c>
      <c r="M193" t="n">
        <v>0</v>
      </c>
      <c r="N193" t="n">
        <v>0</v>
      </c>
      <c r="O193" t="n">
        <v>0</v>
      </c>
      <c r="P193" t="n">
        <v>0</v>
      </c>
      <c r="Q193" t="n">
        <v>0</v>
      </c>
      <c r="R193" s="2" t="inlineStr"/>
    </row>
    <row r="194" ht="15" customHeight="1">
      <c r="A194" t="inlineStr">
        <is>
          <t>A 58224-2021</t>
        </is>
      </c>
      <c r="B194" s="1" t="n">
        <v>44487</v>
      </c>
      <c r="C194" s="1" t="n">
        <v>46178</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58815-2021</t>
        </is>
      </c>
      <c r="B195" s="1" t="n">
        <v>44489</v>
      </c>
      <c r="C195" s="1" t="n">
        <v>46178</v>
      </c>
      <c r="D195" t="inlineStr">
        <is>
          <t>GOTLANDS LÄN</t>
        </is>
      </c>
      <c r="E195" t="inlineStr">
        <is>
          <t>GOTLAND</t>
        </is>
      </c>
      <c r="G195" t="n">
        <v>4.1</v>
      </c>
      <c r="H195" t="n">
        <v>0</v>
      </c>
      <c r="I195" t="n">
        <v>0</v>
      </c>
      <c r="J195" t="n">
        <v>0</v>
      </c>
      <c r="K195" t="n">
        <v>0</v>
      </c>
      <c r="L195" t="n">
        <v>0</v>
      </c>
      <c r="M195" t="n">
        <v>0</v>
      </c>
      <c r="N195" t="n">
        <v>0</v>
      </c>
      <c r="O195" t="n">
        <v>0</v>
      </c>
      <c r="P195" t="n">
        <v>0</v>
      </c>
      <c r="Q195" t="n">
        <v>0</v>
      </c>
      <c r="R195" s="2" t="inlineStr"/>
    </row>
    <row r="196" ht="15" customHeight="1">
      <c r="A196" t="inlineStr">
        <is>
          <t>A 71010-2021</t>
        </is>
      </c>
      <c r="B196" s="1" t="n">
        <v>44538.63775462963</v>
      </c>
      <c r="C196" s="1" t="n">
        <v>46178</v>
      </c>
      <c r="D196" t="inlineStr">
        <is>
          <t>GOTLANDS LÄN</t>
        </is>
      </c>
      <c r="E196" t="inlineStr">
        <is>
          <t>GOTLAND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22495-2022</t>
        </is>
      </c>
      <c r="B197" s="1" t="n">
        <v>44713.6452199074</v>
      </c>
      <c r="C197" s="1" t="n">
        <v>46178</v>
      </c>
      <c r="D197" t="inlineStr">
        <is>
          <t>GOTLANDS LÄN</t>
        </is>
      </c>
      <c r="E197" t="inlineStr">
        <is>
          <t>GOTLAND</t>
        </is>
      </c>
      <c r="G197" t="n">
        <v>0.5</v>
      </c>
      <c r="H197" t="n">
        <v>0</v>
      </c>
      <c r="I197" t="n">
        <v>0</v>
      </c>
      <c r="J197" t="n">
        <v>0</v>
      </c>
      <c r="K197" t="n">
        <v>0</v>
      </c>
      <c r="L197" t="n">
        <v>0</v>
      </c>
      <c r="M197" t="n">
        <v>0</v>
      </c>
      <c r="N197" t="n">
        <v>0</v>
      </c>
      <c r="O197" t="n">
        <v>0</v>
      </c>
      <c r="P197" t="n">
        <v>0</v>
      </c>
      <c r="Q197" t="n">
        <v>0</v>
      </c>
      <c r="R197" s="2" t="inlineStr"/>
    </row>
    <row r="198" ht="15" customHeight="1">
      <c r="A198" t="inlineStr">
        <is>
          <t>A 44942-2022</t>
        </is>
      </c>
      <c r="B198" s="1" t="n">
        <v>44841</v>
      </c>
      <c r="C198" s="1" t="n">
        <v>46178</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53225-2022</t>
        </is>
      </c>
      <c r="B199" s="1" t="n">
        <v>44876</v>
      </c>
      <c r="C199" s="1" t="n">
        <v>46178</v>
      </c>
      <c r="D199" t="inlineStr">
        <is>
          <t>GOTLANDS LÄN</t>
        </is>
      </c>
      <c r="E199" t="inlineStr">
        <is>
          <t>GOTLAND</t>
        </is>
      </c>
      <c r="F199" t="inlineStr">
        <is>
          <t>Kyrkan</t>
        </is>
      </c>
      <c r="G199" t="n">
        <v>0.9</v>
      </c>
      <c r="H199" t="n">
        <v>0</v>
      </c>
      <c r="I199" t="n">
        <v>0</v>
      </c>
      <c r="J199" t="n">
        <v>0</v>
      </c>
      <c r="K199" t="n">
        <v>0</v>
      </c>
      <c r="L199" t="n">
        <v>0</v>
      </c>
      <c r="M199" t="n">
        <v>0</v>
      </c>
      <c r="N199" t="n">
        <v>0</v>
      </c>
      <c r="O199" t="n">
        <v>0</v>
      </c>
      <c r="P199" t="n">
        <v>0</v>
      </c>
      <c r="Q199" t="n">
        <v>0</v>
      </c>
      <c r="R199" s="2" t="inlineStr"/>
    </row>
    <row r="200" ht="15" customHeight="1">
      <c r="A200" t="inlineStr">
        <is>
          <t>A 30055-2021</t>
        </is>
      </c>
      <c r="B200" s="1" t="n">
        <v>44363</v>
      </c>
      <c r="C200" s="1" t="n">
        <v>46178</v>
      </c>
      <c r="D200" t="inlineStr">
        <is>
          <t>GOTLANDS LÄN</t>
        </is>
      </c>
      <c r="E200" t="inlineStr">
        <is>
          <t>GOTLAND</t>
        </is>
      </c>
      <c r="G200" t="n">
        <v>1.8</v>
      </c>
      <c r="H200" t="n">
        <v>0</v>
      </c>
      <c r="I200" t="n">
        <v>0</v>
      </c>
      <c r="J200" t="n">
        <v>0</v>
      </c>
      <c r="K200" t="n">
        <v>0</v>
      </c>
      <c r="L200" t="n">
        <v>0</v>
      </c>
      <c r="M200" t="n">
        <v>0</v>
      </c>
      <c r="N200" t="n">
        <v>0</v>
      </c>
      <c r="O200" t="n">
        <v>0</v>
      </c>
      <c r="P200" t="n">
        <v>0</v>
      </c>
      <c r="Q200" t="n">
        <v>0</v>
      </c>
      <c r="R200" s="2" t="inlineStr"/>
    </row>
    <row r="201" ht="15" customHeight="1">
      <c r="A201" t="inlineStr">
        <is>
          <t>A 65393-2021</t>
        </is>
      </c>
      <c r="B201" s="1" t="n">
        <v>44515</v>
      </c>
      <c r="C201" s="1" t="n">
        <v>46178</v>
      </c>
      <c r="D201" t="inlineStr">
        <is>
          <t>GOTLANDS LÄN</t>
        </is>
      </c>
      <c r="E201" t="inlineStr">
        <is>
          <t>GOTLAND</t>
        </is>
      </c>
      <c r="G201" t="n">
        <v>1.1</v>
      </c>
      <c r="H201" t="n">
        <v>0</v>
      </c>
      <c r="I201" t="n">
        <v>0</v>
      </c>
      <c r="J201" t="n">
        <v>0</v>
      </c>
      <c r="K201" t="n">
        <v>0</v>
      </c>
      <c r="L201" t="n">
        <v>0</v>
      </c>
      <c r="M201" t="n">
        <v>0</v>
      </c>
      <c r="N201" t="n">
        <v>0</v>
      </c>
      <c r="O201" t="n">
        <v>0</v>
      </c>
      <c r="P201" t="n">
        <v>0</v>
      </c>
      <c r="Q201" t="n">
        <v>0</v>
      </c>
      <c r="R201" s="2" t="inlineStr"/>
    </row>
    <row r="202" ht="15" customHeight="1">
      <c r="A202" t="inlineStr">
        <is>
          <t>A 17354-2022</t>
        </is>
      </c>
      <c r="B202" s="1" t="n">
        <v>44678</v>
      </c>
      <c r="C202" s="1" t="n">
        <v>46178</v>
      </c>
      <c r="D202" t="inlineStr">
        <is>
          <t>GOTLANDS LÄN</t>
        </is>
      </c>
      <c r="E202" t="inlineStr">
        <is>
          <t>GOTLAND</t>
        </is>
      </c>
      <c r="G202" t="n">
        <v>7.1</v>
      </c>
      <c r="H202" t="n">
        <v>0</v>
      </c>
      <c r="I202" t="n">
        <v>0</v>
      </c>
      <c r="J202" t="n">
        <v>0</v>
      </c>
      <c r="K202" t="n">
        <v>0</v>
      </c>
      <c r="L202" t="n">
        <v>0</v>
      </c>
      <c r="M202" t="n">
        <v>0</v>
      </c>
      <c r="N202" t="n">
        <v>0</v>
      </c>
      <c r="O202" t="n">
        <v>0</v>
      </c>
      <c r="P202" t="n">
        <v>0</v>
      </c>
      <c r="Q202" t="n">
        <v>0</v>
      </c>
      <c r="R202" s="2" t="inlineStr"/>
    </row>
    <row r="203" ht="15" customHeight="1">
      <c r="A203" t="inlineStr">
        <is>
          <t>A 14413-2022</t>
        </is>
      </c>
      <c r="B203" s="1" t="n">
        <v>44652</v>
      </c>
      <c r="C203" s="1" t="n">
        <v>46178</v>
      </c>
      <c r="D203" t="inlineStr">
        <is>
          <t>GOTLANDS LÄN</t>
        </is>
      </c>
      <c r="E203" t="inlineStr">
        <is>
          <t>GOTLAND</t>
        </is>
      </c>
      <c r="G203" t="n">
        <v>3.1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46178</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13498-2022</t>
        </is>
      </c>
      <c r="B205" s="1" t="n">
        <v>44647.78866898148</v>
      </c>
      <c r="C205" s="1" t="n">
        <v>46178</v>
      </c>
      <c r="D205" t="inlineStr">
        <is>
          <t>GOTLANDS LÄN</t>
        </is>
      </c>
      <c r="E205" t="inlineStr">
        <is>
          <t>GOTLAND</t>
        </is>
      </c>
      <c r="G205" t="n">
        <v>1.2</v>
      </c>
      <c r="H205" t="n">
        <v>0</v>
      </c>
      <c r="I205" t="n">
        <v>0</v>
      </c>
      <c r="J205" t="n">
        <v>0</v>
      </c>
      <c r="K205" t="n">
        <v>0</v>
      </c>
      <c r="L205" t="n">
        <v>0</v>
      </c>
      <c r="M205" t="n">
        <v>0</v>
      </c>
      <c r="N205" t="n">
        <v>0</v>
      </c>
      <c r="O205" t="n">
        <v>0</v>
      </c>
      <c r="P205" t="n">
        <v>0</v>
      </c>
      <c r="Q205" t="n">
        <v>0</v>
      </c>
      <c r="R205" s="2" t="inlineStr"/>
    </row>
    <row r="206" ht="15" customHeight="1">
      <c r="A206" t="inlineStr">
        <is>
          <t>A 13500-2022</t>
        </is>
      </c>
      <c r="B206" s="1" t="n">
        <v>44647.79513888889</v>
      </c>
      <c r="C206" s="1" t="n">
        <v>46178</v>
      </c>
      <c r="D206" t="inlineStr">
        <is>
          <t>GOTLANDS LÄN</t>
        </is>
      </c>
      <c r="E206" t="inlineStr">
        <is>
          <t>GOTLAND</t>
        </is>
      </c>
      <c r="G206" t="n">
        <v>1.2</v>
      </c>
      <c r="H206" t="n">
        <v>0</v>
      </c>
      <c r="I206" t="n">
        <v>0</v>
      </c>
      <c r="J206" t="n">
        <v>0</v>
      </c>
      <c r="K206" t="n">
        <v>0</v>
      </c>
      <c r="L206" t="n">
        <v>0</v>
      </c>
      <c r="M206" t="n">
        <v>0</v>
      </c>
      <c r="N206" t="n">
        <v>0</v>
      </c>
      <c r="O206" t="n">
        <v>0</v>
      </c>
      <c r="P206" t="n">
        <v>0</v>
      </c>
      <c r="Q206" t="n">
        <v>0</v>
      </c>
      <c r="R206" s="2" t="inlineStr"/>
    </row>
    <row r="207" ht="15" customHeight="1">
      <c r="A207" t="inlineStr">
        <is>
          <t>A 57219-2021</t>
        </is>
      </c>
      <c r="B207" s="1" t="n">
        <v>44483</v>
      </c>
      <c r="C207" s="1" t="n">
        <v>46178</v>
      </c>
      <c r="D207" t="inlineStr">
        <is>
          <t>GOTLANDS LÄN</t>
        </is>
      </c>
      <c r="E207" t="inlineStr">
        <is>
          <t>GOTLAND</t>
        </is>
      </c>
      <c r="F207" t="inlineStr">
        <is>
          <t>Kyrkan</t>
        </is>
      </c>
      <c r="G207" t="n">
        <v>4</v>
      </c>
      <c r="H207" t="n">
        <v>0</v>
      </c>
      <c r="I207" t="n">
        <v>0</v>
      </c>
      <c r="J207" t="n">
        <v>0</v>
      </c>
      <c r="K207" t="n">
        <v>0</v>
      </c>
      <c r="L207" t="n">
        <v>0</v>
      </c>
      <c r="M207" t="n">
        <v>0</v>
      </c>
      <c r="N207" t="n">
        <v>0</v>
      </c>
      <c r="O207" t="n">
        <v>0</v>
      </c>
      <c r="P207" t="n">
        <v>0</v>
      </c>
      <c r="Q207" t="n">
        <v>0</v>
      </c>
      <c r="R207" s="2" t="inlineStr"/>
    </row>
    <row r="208" ht="15" customHeight="1">
      <c r="A208" t="inlineStr">
        <is>
          <t>A 456-2023</t>
        </is>
      </c>
      <c r="B208" s="1" t="n">
        <v>44929.87122685185</v>
      </c>
      <c r="C208" s="1" t="n">
        <v>46178</v>
      </c>
      <c r="D208" t="inlineStr">
        <is>
          <t>GOTLANDS LÄN</t>
        </is>
      </c>
      <c r="E208" t="inlineStr">
        <is>
          <t>GOTLAND</t>
        </is>
      </c>
      <c r="G208" t="n">
        <v>3.2</v>
      </c>
      <c r="H208" t="n">
        <v>0</v>
      </c>
      <c r="I208" t="n">
        <v>0</v>
      </c>
      <c r="J208" t="n">
        <v>0</v>
      </c>
      <c r="K208" t="n">
        <v>0</v>
      </c>
      <c r="L208" t="n">
        <v>0</v>
      </c>
      <c r="M208" t="n">
        <v>0</v>
      </c>
      <c r="N208" t="n">
        <v>0</v>
      </c>
      <c r="O208" t="n">
        <v>0</v>
      </c>
      <c r="P208" t="n">
        <v>0</v>
      </c>
      <c r="Q208" t="n">
        <v>0</v>
      </c>
      <c r="R208" s="2" t="inlineStr"/>
    </row>
    <row r="209" ht="15" customHeight="1">
      <c r="A209" t="inlineStr">
        <is>
          <t>A 17901-2023</t>
        </is>
      </c>
      <c r="B209" s="1" t="n">
        <v>45039</v>
      </c>
      <c r="C209" s="1" t="n">
        <v>46178</v>
      </c>
      <c r="D209" t="inlineStr">
        <is>
          <t>GOTLANDS LÄN</t>
        </is>
      </c>
      <c r="E209" t="inlineStr">
        <is>
          <t>GOTLAND</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58476-2022</t>
        </is>
      </c>
      <c r="B210" s="1" t="n">
        <v>44902</v>
      </c>
      <c r="C210" s="1" t="n">
        <v>46178</v>
      </c>
      <c r="D210" t="inlineStr">
        <is>
          <t>GOTLANDS LÄN</t>
        </is>
      </c>
      <c r="E210" t="inlineStr">
        <is>
          <t>GOTLAND</t>
        </is>
      </c>
      <c r="G210" t="n">
        <v>0.9</v>
      </c>
      <c r="H210" t="n">
        <v>0</v>
      </c>
      <c r="I210" t="n">
        <v>0</v>
      </c>
      <c r="J210" t="n">
        <v>0</v>
      </c>
      <c r="K210" t="n">
        <v>0</v>
      </c>
      <c r="L210" t="n">
        <v>0</v>
      </c>
      <c r="M210" t="n">
        <v>0</v>
      </c>
      <c r="N210" t="n">
        <v>0</v>
      </c>
      <c r="O210" t="n">
        <v>0</v>
      </c>
      <c r="P210" t="n">
        <v>0</v>
      </c>
      <c r="Q210" t="n">
        <v>0</v>
      </c>
      <c r="R210" s="2" t="inlineStr"/>
    </row>
    <row r="211" ht="15" customHeight="1">
      <c r="A211" t="inlineStr">
        <is>
          <t>A 61596-2023</t>
        </is>
      </c>
      <c r="B211" s="1" t="n">
        <v>45265</v>
      </c>
      <c r="C211" s="1" t="n">
        <v>46178</v>
      </c>
      <c r="D211" t="inlineStr">
        <is>
          <t>GOTLANDS LÄN</t>
        </is>
      </c>
      <c r="E211" t="inlineStr">
        <is>
          <t>GOTLAND</t>
        </is>
      </c>
      <c r="G211" t="n">
        <v>1.7</v>
      </c>
      <c r="H211" t="n">
        <v>0</v>
      </c>
      <c r="I211" t="n">
        <v>0</v>
      </c>
      <c r="J211" t="n">
        <v>0</v>
      </c>
      <c r="K211" t="n">
        <v>0</v>
      </c>
      <c r="L211" t="n">
        <v>0</v>
      </c>
      <c r="M211" t="n">
        <v>0</v>
      </c>
      <c r="N211" t="n">
        <v>0</v>
      </c>
      <c r="O211" t="n">
        <v>0</v>
      </c>
      <c r="P211" t="n">
        <v>0</v>
      </c>
      <c r="Q211" t="n">
        <v>0</v>
      </c>
      <c r="R211" s="2" t="inlineStr"/>
    </row>
    <row r="212" ht="15" customHeight="1">
      <c r="A212" t="inlineStr">
        <is>
          <t>A 873-2024</t>
        </is>
      </c>
      <c r="B212" s="1" t="n">
        <v>45301</v>
      </c>
      <c r="C212" s="1" t="n">
        <v>46178</v>
      </c>
      <c r="D212" t="inlineStr">
        <is>
          <t>GOTLANDS LÄN</t>
        </is>
      </c>
      <c r="E212" t="inlineStr">
        <is>
          <t>GOTLAND</t>
        </is>
      </c>
      <c r="G212" t="n">
        <v>2.7</v>
      </c>
      <c r="H212" t="n">
        <v>0</v>
      </c>
      <c r="I212" t="n">
        <v>0</v>
      </c>
      <c r="J212" t="n">
        <v>0</v>
      </c>
      <c r="K212" t="n">
        <v>0</v>
      </c>
      <c r="L212" t="n">
        <v>0</v>
      </c>
      <c r="M212" t="n">
        <v>0</v>
      </c>
      <c r="N212" t="n">
        <v>0</v>
      </c>
      <c r="O212" t="n">
        <v>0</v>
      </c>
      <c r="P212" t="n">
        <v>0</v>
      </c>
      <c r="Q212" t="n">
        <v>0</v>
      </c>
      <c r="R212" s="2" t="inlineStr"/>
    </row>
    <row r="213" ht="15" customHeight="1">
      <c r="A213" t="inlineStr">
        <is>
          <t>A 44228-2022</t>
        </is>
      </c>
      <c r="B213" s="1" t="n">
        <v>44839.51599537037</v>
      </c>
      <c r="C213" s="1" t="n">
        <v>46178</v>
      </c>
      <c r="D213" t="inlineStr">
        <is>
          <t>GOTLANDS LÄN</t>
        </is>
      </c>
      <c r="E213" t="inlineStr">
        <is>
          <t>GOTLAND</t>
        </is>
      </c>
      <c r="G213" t="n">
        <v>2.1</v>
      </c>
      <c r="H213" t="n">
        <v>0</v>
      </c>
      <c r="I213" t="n">
        <v>0</v>
      </c>
      <c r="J213" t="n">
        <v>0</v>
      </c>
      <c r="K213" t="n">
        <v>0</v>
      </c>
      <c r="L213" t="n">
        <v>0</v>
      </c>
      <c r="M213" t="n">
        <v>0</v>
      </c>
      <c r="N213" t="n">
        <v>0</v>
      </c>
      <c r="O213" t="n">
        <v>0</v>
      </c>
      <c r="P213" t="n">
        <v>0</v>
      </c>
      <c r="Q213" t="n">
        <v>0</v>
      </c>
      <c r="R213" s="2" t="inlineStr"/>
    </row>
    <row r="214" ht="15" customHeight="1">
      <c r="A214" t="inlineStr">
        <is>
          <t>A 61386-2023</t>
        </is>
      </c>
      <c r="B214" s="1" t="n">
        <v>45264</v>
      </c>
      <c r="C214" s="1" t="n">
        <v>46178</v>
      </c>
      <c r="D214" t="inlineStr">
        <is>
          <t>GOTLANDS LÄN</t>
        </is>
      </c>
      <c r="E214" t="inlineStr">
        <is>
          <t>GOTLAND</t>
        </is>
      </c>
      <c r="G214" t="n">
        <v>0.7</v>
      </c>
      <c r="H214" t="n">
        <v>0</v>
      </c>
      <c r="I214" t="n">
        <v>0</v>
      </c>
      <c r="J214" t="n">
        <v>0</v>
      </c>
      <c r="K214" t="n">
        <v>0</v>
      </c>
      <c r="L214" t="n">
        <v>0</v>
      </c>
      <c r="M214" t="n">
        <v>0</v>
      </c>
      <c r="N214" t="n">
        <v>0</v>
      </c>
      <c r="O214" t="n">
        <v>0</v>
      </c>
      <c r="P214" t="n">
        <v>0</v>
      </c>
      <c r="Q214" t="n">
        <v>0</v>
      </c>
      <c r="R214" s="2" t="inlineStr"/>
    </row>
    <row r="215" ht="15" customHeight="1">
      <c r="A215" t="inlineStr">
        <is>
          <t>A 27593-2023</t>
        </is>
      </c>
      <c r="B215" s="1" t="n">
        <v>45097</v>
      </c>
      <c r="C215" s="1" t="n">
        <v>46178</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25129-2023</t>
        </is>
      </c>
      <c r="B216" s="1" t="n">
        <v>45086.44261574074</v>
      </c>
      <c r="C216" s="1" t="n">
        <v>46178</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63229-2021</t>
        </is>
      </c>
      <c r="B217" s="1" t="n">
        <v>44508.34518518519</v>
      </c>
      <c r="C217" s="1" t="n">
        <v>46178</v>
      </c>
      <c r="D217" t="inlineStr">
        <is>
          <t>GOTLANDS LÄN</t>
        </is>
      </c>
      <c r="E217" t="inlineStr">
        <is>
          <t>GOTLAND</t>
        </is>
      </c>
      <c r="F217" t="inlineStr">
        <is>
          <t>Kyrkan</t>
        </is>
      </c>
      <c r="G217" t="n">
        <v>3.8</v>
      </c>
      <c r="H217" t="n">
        <v>0</v>
      </c>
      <c r="I217" t="n">
        <v>0</v>
      </c>
      <c r="J217" t="n">
        <v>0</v>
      </c>
      <c r="K217" t="n">
        <v>0</v>
      </c>
      <c r="L217" t="n">
        <v>0</v>
      </c>
      <c r="M217" t="n">
        <v>0</v>
      </c>
      <c r="N217" t="n">
        <v>0</v>
      </c>
      <c r="O217" t="n">
        <v>0</v>
      </c>
      <c r="P217" t="n">
        <v>0</v>
      </c>
      <c r="Q217" t="n">
        <v>0</v>
      </c>
      <c r="R217" s="2" t="inlineStr"/>
    </row>
    <row r="218" ht="15" customHeight="1">
      <c r="A218" t="inlineStr">
        <is>
          <t>A 54073-2022</t>
        </is>
      </c>
      <c r="B218" s="1" t="n">
        <v>44881.50380787037</v>
      </c>
      <c r="C218" s="1" t="n">
        <v>46178</v>
      </c>
      <c r="D218" t="inlineStr">
        <is>
          <t>GOTLANDS LÄN</t>
        </is>
      </c>
      <c r="E218" t="inlineStr">
        <is>
          <t>GOTLAND</t>
        </is>
      </c>
      <c r="G218" t="n">
        <v>3.8</v>
      </c>
      <c r="H218" t="n">
        <v>0</v>
      </c>
      <c r="I218" t="n">
        <v>0</v>
      </c>
      <c r="J218" t="n">
        <v>0</v>
      </c>
      <c r="K218" t="n">
        <v>0</v>
      </c>
      <c r="L218" t="n">
        <v>0</v>
      </c>
      <c r="M218" t="n">
        <v>0</v>
      </c>
      <c r="N218" t="n">
        <v>0</v>
      </c>
      <c r="O218" t="n">
        <v>0</v>
      </c>
      <c r="P218" t="n">
        <v>0</v>
      </c>
      <c r="Q218" t="n">
        <v>0</v>
      </c>
      <c r="R218" s="2" t="inlineStr"/>
    </row>
    <row r="219" ht="15" customHeight="1">
      <c r="A219" t="inlineStr">
        <is>
          <t>A 3964-2024</t>
        </is>
      </c>
      <c r="B219" s="1" t="n">
        <v>45322</v>
      </c>
      <c r="C219" s="1" t="n">
        <v>46178</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7026-2023</t>
        </is>
      </c>
      <c r="B220" s="1" t="n">
        <v>44968.30340277778</v>
      </c>
      <c r="C220" s="1" t="n">
        <v>46178</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49874-2024</t>
        </is>
      </c>
      <c r="B221" s="1" t="n">
        <v>45597.49274305555</v>
      </c>
      <c r="C221" s="1" t="n">
        <v>46178</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52892-2021</t>
        </is>
      </c>
      <c r="B222" s="1" t="n">
        <v>44467.49048611111</v>
      </c>
      <c r="C222" s="1" t="n">
        <v>46178</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1351-2025</t>
        </is>
      </c>
      <c r="B223" s="1" t="n">
        <v>45667.62246527777</v>
      </c>
      <c r="C223" s="1" t="n">
        <v>46178</v>
      </c>
      <c r="D223" t="inlineStr">
        <is>
          <t>GOTLANDS LÄN</t>
        </is>
      </c>
      <c r="E223" t="inlineStr">
        <is>
          <t>GOTLAND</t>
        </is>
      </c>
      <c r="G223" t="n">
        <v>1.3</v>
      </c>
      <c r="H223" t="n">
        <v>0</v>
      </c>
      <c r="I223" t="n">
        <v>0</v>
      </c>
      <c r="J223" t="n">
        <v>0</v>
      </c>
      <c r="K223" t="n">
        <v>0</v>
      </c>
      <c r="L223" t="n">
        <v>0</v>
      </c>
      <c r="M223" t="n">
        <v>0</v>
      </c>
      <c r="N223" t="n">
        <v>0</v>
      </c>
      <c r="O223" t="n">
        <v>0</v>
      </c>
      <c r="P223" t="n">
        <v>0</v>
      </c>
      <c r="Q223" t="n">
        <v>0</v>
      </c>
      <c r="R223" s="2" t="inlineStr"/>
    </row>
    <row r="224" ht="15" customHeight="1">
      <c r="A224" t="inlineStr">
        <is>
          <t>A 51782-2023</t>
        </is>
      </c>
      <c r="B224" s="1" t="n">
        <v>45222.80952546297</v>
      </c>
      <c r="C224" s="1" t="n">
        <v>46178</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60675-2021</t>
        </is>
      </c>
      <c r="B225" s="1" t="n">
        <v>44496.64855324074</v>
      </c>
      <c r="C225" s="1" t="n">
        <v>46178</v>
      </c>
      <c r="D225" t="inlineStr">
        <is>
          <t>GOTLANDS LÄN</t>
        </is>
      </c>
      <c r="E225" t="inlineStr">
        <is>
          <t>GOTLAND</t>
        </is>
      </c>
      <c r="G225" t="n">
        <v>4.6</v>
      </c>
      <c r="H225" t="n">
        <v>0</v>
      </c>
      <c r="I225" t="n">
        <v>0</v>
      </c>
      <c r="J225" t="n">
        <v>0</v>
      </c>
      <c r="K225" t="n">
        <v>0</v>
      </c>
      <c r="L225" t="n">
        <v>0</v>
      </c>
      <c r="M225" t="n">
        <v>0</v>
      </c>
      <c r="N225" t="n">
        <v>0</v>
      </c>
      <c r="O225" t="n">
        <v>0</v>
      </c>
      <c r="P225" t="n">
        <v>0</v>
      </c>
      <c r="Q225" t="n">
        <v>0</v>
      </c>
      <c r="R225" s="2" t="inlineStr"/>
    </row>
    <row r="226" ht="15" customHeight="1">
      <c r="A226" t="inlineStr">
        <is>
          <t>A 4421-2024</t>
        </is>
      </c>
      <c r="B226" s="1" t="n">
        <v>45327.45173611111</v>
      </c>
      <c r="C226" s="1" t="n">
        <v>46178</v>
      </c>
      <c r="D226" t="inlineStr">
        <is>
          <t>GOTLANDS LÄN</t>
        </is>
      </c>
      <c r="E226" t="inlineStr">
        <is>
          <t>GOTLAND</t>
        </is>
      </c>
      <c r="G226" t="n">
        <v>5.1</v>
      </c>
      <c r="H226" t="n">
        <v>0</v>
      </c>
      <c r="I226" t="n">
        <v>0</v>
      </c>
      <c r="J226" t="n">
        <v>0</v>
      </c>
      <c r="K226" t="n">
        <v>0</v>
      </c>
      <c r="L226" t="n">
        <v>0</v>
      </c>
      <c r="M226" t="n">
        <v>0</v>
      </c>
      <c r="N226" t="n">
        <v>0</v>
      </c>
      <c r="O226" t="n">
        <v>0</v>
      </c>
      <c r="P226" t="n">
        <v>0</v>
      </c>
      <c r="Q226" t="n">
        <v>0</v>
      </c>
      <c r="R226" s="2" t="inlineStr"/>
    </row>
    <row r="227" ht="15" customHeight="1">
      <c r="A227" t="inlineStr">
        <is>
          <t>A 5217-2023</t>
        </is>
      </c>
      <c r="B227" s="1" t="n">
        <v>44959.39582175926</v>
      </c>
      <c r="C227" s="1" t="n">
        <v>46178</v>
      </c>
      <c r="D227" t="inlineStr">
        <is>
          <t>GOTLANDS LÄN</t>
        </is>
      </c>
      <c r="E227" t="inlineStr">
        <is>
          <t>GOTLAND</t>
        </is>
      </c>
      <c r="G227" t="n">
        <v>1.9</v>
      </c>
      <c r="H227" t="n">
        <v>0</v>
      </c>
      <c r="I227" t="n">
        <v>0</v>
      </c>
      <c r="J227" t="n">
        <v>0</v>
      </c>
      <c r="K227" t="n">
        <v>0</v>
      </c>
      <c r="L227" t="n">
        <v>0</v>
      </c>
      <c r="M227" t="n">
        <v>0</v>
      </c>
      <c r="N227" t="n">
        <v>0</v>
      </c>
      <c r="O227" t="n">
        <v>0</v>
      </c>
      <c r="P227" t="n">
        <v>0</v>
      </c>
      <c r="Q227" t="n">
        <v>0</v>
      </c>
      <c r="R227" s="2" t="inlineStr"/>
    </row>
    <row r="228" ht="15" customHeight="1">
      <c r="A228" t="inlineStr">
        <is>
          <t>A 20165-2022</t>
        </is>
      </c>
      <c r="B228" s="1" t="n">
        <v>44698.49854166667</v>
      </c>
      <c r="C228" s="1" t="n">
        <v>46178</v>
      </c>
      <c r="D228" t="inlineStr">
        <is>
          <t>GOTLANDS LÄN</t>
        </is>
      </c>
      <c r="E228" t="inlineStr">
        <is>
          <t>GOTLAND</t>
        </is>
      </c>
      <c r="G228" t="n">
        <v>4.1</v>
      </c>
      <c r="H228" t="n">
        <v>0</v>
      </c>
      <c r="I228" t="n">
        <v>0</v>
      </c>
      <c r="J228" t="n">
        <v>0</v>
      </c>
      <c r="K228" t="n">
        <v>0</v>
      </c>
      <c r="L228" t="n">
        <v>0</v>
      </c>
      <c r="M228" t="n">
        <v>0</v>
      </c>
      <c r="N228" t="n">
        <v>0</v>
      </c>
      <c r="O228" t="n">
        <v>0</v>
      </c>
      <c r="P228" t="n">
        <v>0</v>
      </c>
      <c r="Q228" t="n">
        <v>0</v>
      </c>
      <c r="R228" s="2" t="inlineStr"/>
    </row>
    <row r="229" ht="15" customHeight="1">
      <c r="A229" t="inlineStr">
        <is>
          <t>A 33876-2024</t>
        </is>
      </c>
      <c r="B229" s="1" t="n">
        <v>45521.87988425926</v>
      </c>
      <c r="C229" s="1" t="n">
        <v>46178</v>
      </c>
      <c r="D229" t="inlineStr">
        <is>
          <t>GOTLANDS LÄN</t>
        </is>
      </c>
      <c r="E229" t="inlineStr">
        <is>
          <t>GOTLAND</t>
        </is>
      </c>
      <c r="G229" t="n">
        <v>1.3</v>
      </c>
      <c r="H229" t="n">
        <v>0</v>
      </c>
      <c r="I229" t="n">
        <v>0</v>
      </c>
      <c r="J229" t="n">
        <v>0</v>
      </c>
      <c r="K229" t="n">
        <v>0</v>
      </c>
      <c r="L229" t="n">
        <v>0</v>
      </c>
      <c r="M229" t="n">
        <v>0</v>
      </c>
      <c r="N229" t="n">
        <v>0</v>
      </c>
      <c r="O229" t="n">
        <v>0</v>
      </c>
      <c r="P229" t="n">
        <v>0</v>
      </c>
      <c r="Q229" t="n">
        <v>0</v>
      </c>
      <c r="R229" s="2" t="inlineStr"/>
    </row>
    <row r="230" ht="15" customHeight="1">
      <c r="A230" t="inlineStr">
        <is>
          <t>A 14638-2025</t>
        </is>
      </c>
      <c r="B230" s="1" t="n">
        <v>45742</v>
      </c>
      <c r="C230" s="1" t="n">
        <v>46178</v>
      </c>
      <c r="D230" t="inlineStr">
        <is>
          <t>GOTLANDS LÄN</t>
        </is>
      </c>
      <c r="E230" t="inlineStr">
        <is>
          <t>GOTLAND</t>
        </is>
      </c>
      <c r="G230" t="n">
        <v>13.4</v>
      </c>
      <c r="H230" t="n">
        <v>0</v>
      </c>
      <c r="I230" t="n">
        <v>0</v>
      </c>
      <c r="J230" t="n">
        <v>0</v>
      </c>
      <c r="K230" t="n">
        <v>0</v>
      </c>
      <c r="L230" t="n">
        <v>0</v>
      </c>
      <c r="M230" t="n">
        <v>0</v>
      </c>
      <c r="N230" t="n">
        <v>0</v>
      </c>
      <c r="O230" t="n">
        <v>0</v>
      </c>
      <c r="P230" t="n">
        <v>0</v>
      </c>
      <c r="Q230" t="n">
        <v>0</v>
      </c>
      <c r="R230" s="2" t="inlineStr"/>
    </row>
    <row r="231" ht="15" customHeight="1">
      <c r="A231" t="inlineStr">
        <is>
          <t>A 61962-2024</t>
        </is>
      </c>
      <c r="B231" s="1" t="n">
        <v>45653.54340277778</v>
      </c>
      <c r="C231" s="1" t="n">
        <v>46178</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43223-2023</t>
        </is>
      </c>
      <c r="B232" s="1" t="n">
        <v>45183.45642361111</v>
      </c>
      <c r="C232" s="1" t="n">
        <v>46178</v>
      </c>
      <c r="D232" t="inlineStr">
        <is>
          <t>GOTLANDS LÄN</t>
        </is>
      </c>
      <c r="E232" t="inlineStr">
        <is>
          <t>GOTLAND</t>
        </is>
      </c>
      <c r="G232" t="n">
        <v>1.8</v>
      </c>
      <c r="H232" t="n">
        <v>0</v>
      </c>
      <c r="I232" t="n">
        <v>0</v>
      </c>
      <c r="J232" t="n">
        <v>0</v>
      </c>
      <c r="K232" t="n">
        <v>0</v>
      </c>
      <c r="L232" t="n">
        <v>0</v>
      </c>
      <c r="M232" t="n">
        <v>0</v>
      </c>
      <c r="N232" t="n">
        <v>0</v>
      </c>
      <c r="O232" t="n">
        <v>0</v>
      </c>
      <c r="P232" t="n">
        <v>0</v>
      </c>
      <c r="Q232" t="n">
        <v>0</v>
      </c>
      <c r="R232" s="2" t="inlineStr"/>
    </row>
    <row r="233" ht="15" customHeight="1">
      <c r="A233" t="inlineStr">
        <is>
          <t>A 31264-2021</t>
        </is>
      </c>
      <c r="B233" s="1" t="n">
        <v>44368</v>
      </c>
      <c r="C233" s="1" t="n">
        <v>46178</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27930-2021</t>
        </is>
      </c>
      <c r="B234" s="1" t="n">
        <v>44354</v>
      </c>
      <c r="C234" s="1" t="n">
        <v>46178</v>
      </c>
      <c r="D234" t="inlineStr">
        <is>
          <t>GOTLANDS LÄN</t>
        </is>
      </c>
      <c r="E234" t="inlineStr">
        <is>
          <t>GOTLAND</t>
        </is>
      </c>
      <c r="G234" t="n">
        <v>2.5</v>
      </c>
      <c r="H234" t="n">
        <v>0</v>
      </c>
      <c r="I234" t="n">
        <v>0</v>
      </c>
      <c r="J234" t="n">
        <v>0</v>
      </c>
      <c r="K234" t="n">
        <v>0</v>
      </c>
      <c r="L234" t="n">
        <v>0</v>
      </c>
      <c r="M234" t="n">
        <v>0</v>
      </c>
      <c r="N234" t="n">
        <v>0</v>
      </c>
      <c r="O234" t="n">
        <v>0</v>
      </c>
      <c r="P234" t="n">
        <v>0</v>
      </c>
      <c r="Q234" t="n">
        <v>0</v>
      </c>
      <c r="R234" s="2" t="inlineStr"/>
    </row>
    <row r="235" ht="15" customHeight="1">
      <c r="A235" t="inlineStr">
        <is>
          <t>A 59469-2024</t>
        </is>
      </c>
      <c r="B235" s="1" t="n">
        <v>45638</v>
      </c>
      <c r="C235" s="1" t="n">
        <v>46178</v>
      </c>
      <c r="D235" t="inlineStr">
        <is>
          <t>GOTLANDS LÄN</t>
        </is>
      </c>
      <c r="E235" t="inlineStr">
        <is>
          <t>GOTLAND</t>
        </is>
      </c>
      <c r="G235" t="n">
        <v>0.4</v>
      </c>
      <c r="H235" t="n">
        <v>0</v>
      </c>
      <c r="I235" t="n">
        <v>0</v>
      </c>
      <c r="J235" t="n">
        <v>0</v>
      </c>
      <c r="K235" t="n">
        <v>0</v>
      </c>
      <c r="L235" t="n">
        <v>0</v>
      </c>
      <c r="M235" t="n">
        <v>0</v>
      </c>
      <c r="N235" t="n">
        <v>0</v>
      </c>
      <c r="O235" t="n">
        <v>0</v>
      </c>
      <c r="P235" t="n">
        <v>0</v>
      </c>
      <c r="Q235" t="n">
        <v>0</v>
      </c>
      <c r="R235" s="2" t="inlineStr"/>
    </row>
    <row r="236" ht="15" customHeight="1">
      <c r="A236" t="inlineStr">
        <is>
          <t>A 5462-2025</t>
        </is>
      </c>
      <c r="B236" s="1" t="n">
        <v>45693.29331018519</v>
      </c>
      <c r="C236" s="1" t="n">
        <v>46178</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38649-2025</t>
        </is>
      </c>
      <c r="B237" s="1" t="n">
        <v>45884</v>
      </c>
      <c r="C237" s="1" t="n">
        <v>46178</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20356-2022</t>
        </is>
      </c>
      <c r="B238" s="1" t="n">
        <v>44699</v>
      </c>
      <c r="C238" s="1" t="n">
        <v>46178</v>
      </c>
      <c r="D238" t="inlineStr">
        <is>
          <t>GOTLANDS LÄN</t>
        </is>
      </c>
      <c r="E238" t="inlineStr">
        <is>
          <t>GOTLAND</t>
        </is>
      </c>
      <c r="F238" t="inlineStr">
        <is>
          <t>Övriga Aktiebolag</t>
        </is>
      </c>
      <c r="G238" t="n">
        <v>4.4</v>
      </c>
      <c r="H238" t="n">
        <v>0</v>
      </c>
      <c r="I238" t="n">
        <v>0</v>
      </c>
      <c r="J238" t="n">
        <v>0</v>
      </c>
      <c r="K238" t="n">
        <v>0</v>
      </c>
      <c r="L238" t="n">
        <v>0</v>
      </c>
      <c r="M238" t="n">
        <v>0</v>
      </c>
      <c r="N238" t="n">
        <v>0</v>
      </c>
      <c r="O238" t="n">
        <v>0</v>
      </c>
      <c r="P238" t="n">
        <v>0</v>
      </c>
      <c r="Q238" t="n">
        <v>0</v>
      </c>
      <c r="R238" s="2" t="inlineStr"/>
    </row>
    <row r="239" ht="15" customHeight="1">
      <c r="A239" t="inlineStr">
        <is>
          <t>A 5751-2024</t>
        </is>
      </c>
      <c r="B239" s="1" t="n">
        <v>45335.32702546296</v>
      </c>
      <c r="C239" s="1" t="n">
        <v>46178</v>
      </c>
      <c r="D239" t="inlineStr">
        <is>
          <t>GOTLANDS LÄN</t>
        </is>
      </c>
      <c r="E239" t="inlineStr">
        <is>
          <t>GOTLAND</t>
        </is>
      </c>
      <c r="G239" t="n">
        <v>4.2</v>
      </c>
      <c r="H239" t="n">
        <v>0</v>
      </c>
      <c r="I239" t="n">
        <v>0</v>
      </c>
      <c r="J239" t="n">
        <v>0</v>
      </c>
      <c r="K239" t="n">
        <v>0</v>
      </c>
      <c r="L239" t="n">
        <v>0</v>
      </c>
      <c r="M239" t="n">
        <v>0</v>
      </c>
      <c r="N239" t="n">
        <v>0</v>
      </c>
      <c r="O239" t="n">
        <v>0</v>
      </c>
      <c r="P239" t="n">
        <v>0</v>
      </c>
      <c r="Q239" t="n">
        <v>0</v>
      </c>
      <c r="R239" s="2" t="inlineStr"/>
    </row>
    <row r="240" ht="15" customHeight="1">
      <c r="A240" t="inlineStr">
        <is>
          <t>A 61078-2025</t>
        </is>
      </c>
      <c r="B240" s="1" t="n">
        <v>46000</v>
      </c>
      <c r="C240" s="1" t="n">
        <v>46178</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6696-2023</t>
        </is>
      </c>
      <c r="B241" s="1" t="n">
        <v>44966.66425925926</v>
      </c>
      <c r="C241" s="1" t="n">
        <v>46178</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28480-2023</t>
        </is>
      </c>
      <c r="B242" s="1" t="n">
        <v>45103</v>
      </c>
      <c r="C242" s="1" t="n">
        <v>46178</v>
      </c>
      <c r="D242" t="inlineStr">
        <is>
          <t>GOTLANDS LÄN</t>
        </is>
      </c>
      <c r="E242" t="inlineStr">
        <is>
          <t>GOTLAND</t>
        </is>
      </c>
      <c r="G242" t="n">
        <v>5.7</v>
      </c>
      <c r="H242" t="n">
        <v>0</v>
      </c>
      <c r="I242" t="n">
        <v>0</v>
      </c>
      <c r="J242" t="n">
        <v>0</v>
      </c>
      <c r="K242" t="n">
        <v>0</v>
      </c>
      <c r="L242" t="n">
        <v>0</v>
      </c>
      <c r="M242" t="n">
        <v>0</v>
      </c>
      <c r="N242" t="n">
        <v>0</v>
      </c>
      <c r="O242" t="n">
        <v>0</v>
      </c>
      <c r="P242" t="n">
        <v>0</v>
      </c>
      <c r="Q242" t="n">
        <v>0</v>
      </c>
      <c r="R242" s="2" t="inlineStr"/>
    </row>
    <row r="243" ht="15" customHeight="1">
      <c r="A243" t="inlineStr">
        <is>
          <t>A 28485-2023</t>
        </is>
      </c>
      <c r="B243" s="1" t="n">
        <v>45103.43731481482</v>
      </c>
      <c r="C243" s="1" t="n">
        <v>46178</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4990-2025</t>
        </is>
      </c>
      <c r="B244" s="1" t="n">
        <v>45691</v>
      </c>
      <c r="C244" s="1" t="n">
        <v>46178</v>
      </c>
      <c r="D244" t="inlineStr">
        <is>
          <t>GOTLANDS LÄN</t>
        </is>
      </c>
      <c r="E244" t="inlineStr">
        <is>
          <t>GOTLAND</t>
        </is>
      </c>
      <c r="G244" t="n">
        <v>7.7</v>
      </c>
      <c r="H244" t="n">
        <v>0</v>
      </c>
      <c r="I244" t="n">
        <v>0</v>
      </c>
      <c r="J244" t="n">
        <v>0</v>
      </c>
      <c r="K244" t="n">
        <v>0</v>
      </c>
      <c r="L244" t="n">
        <v>0</v>
      </c>
      <c r="M244" t="n">
        <v>0</v>
      </c>
      <c r="N244" t="n">
        <v>0</v>
      </c>
      <c r="O244" t="n">
        <v>0</v>
      </c>
      <c r="P244" t="n">
        <v>0</v>
      </c>
      <c r="Q244" t="n">
        <v>0</v>
      </c>
      <c r="R244" s="2" t="inlineStr"/>
    </row>
    <row r="245" ht="15" customHeight="1">
      <c r="A245" t="inlineStr">
        <is>
          <t>A 36-2026</t>
        </is>
      </c>
      <c r="B245" s="1" t="n">
        <v>46024.38886574074</v>
      </c>
      <c r="C245" s="1" t="n">
        <v>46178</v>
      </c>
      <c r="D245" t="inlineStr">
        <is>
          <t>GOTLANDS LÄN</t>
        </is>
      </c>
      <c r="E245" t="inlineStr">
        <is>
          <t>GOTLAND</t>
        </is>
      </c>
      <c r="G245" t="n">
        <v>1</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46178</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35141-2025</t>
        </is>
      </c>
      <c r="B247" s="1" t="n">
        <v>45852.65206018519</v>
      </c>
      <c r="C247" s="1" t="n">
        <v>46178</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38165-2023</t>
        </is>
      </c>
      <c r="B248" s="1" t="n">
        <v>45161</v>
      </c>
      <c r="C248" s="1" t="n">
        <v>46178</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26465-2025</t>
        </is>
      </c>
      <c r="B249" s="1" t="n">
        <v>45807.44377314814</v>
      </c>
      <c r="C249" s="1" t="n">
        <v>46178</v>
      </c>
      <c r="D249" t="inlineStr">
        <is>
          <t>GOTLANDS LÄN</t>
        </is>
      </c>
      <c r="E249" t="inlineStr">
        <is>
          <t>GOTLAND</t>
        </is>
      </c>
      <c r="G249" t="n">
        <v>4.5</v>
      </c>
      <c r="H249" t="n">
        <v>0</v>
      </c>
      <c r="I249" t="n">
        <v>0</v>
      </c>
      <c r="J249" t="n">
        <v>0</v>
      </c>
      <c r="K249" t="n">
        <v>0</v>
      </c>
      <c r="L249" t="n">
        <v>0</v>
      </c>
      <c r="M249" t="n">
        <v>0</v>
      </c>
      <c r="N249" t="n">
        <v>0</v>
      </c>
      <c r="O249" t="n">
        <v>0</v>
      </c>
      <c r="P249" t="n">
        <v>0</v>
      </c>
      <c r="Q249" t="n">
        <v>0</v>
      </c>
      <c r="R249" s="2" t="inlineStr"/>
    </row>
    <row r="250" ht="15" customHeight="1">
      <c r="A250" t="inlineStr">
        <is>
          <t>A 26457-2025</t>
        </is>
      </c>
      <c r="B250" s="1" t="n">
        <v>45807.42773148148</v>
      </c>
      <c r="C250" s="1" t="n">
        <v>46178</v>
      </c>
      <c r="D250" t="inlineStr">
        <is>
          <t>GOTLANDS LÄN</t>
        </is>
      </c>
      <c r="E250" t="inlineStr">
        <is>
          <t>GOTLAND</t>
        </is>
      </c>
      <c r="G250" t="n">
        <v>5.7</v>
      </c>
      <c r="H250" t="n">
        <v>0</v>
      </c>
      <c r="I250" t="n">
        <v>0</v>
      </c>
      <c r="J250" t="n">
        <v>0</v>
      </c>
      <c r="K250" t="n">
        <v>0</v>
      </c>
      <c r="L250" t="n">
        <v>0</v>
      </c>
      <c r="M250" t="n">
        <v>0</v>
      </c>
      <c r="N250" t="n">
        <v>0</v>
      </c>
      <c r="O250" t="n">
        <v>0</v>
      </c>
      <c r="P250" t="n">
        <v>0</v>
      </c>
      <c r="Q250" t="n">
        <v>0</v>
      </c>
      <c r="R250" s="2" t="inlineStr"/>
    </row>
    <row r="251" ht="15" customHeight="1">
      <c r="A251" t="inlineStr">
        <is>
          <t>A 39849-2025</t>
        </is>
      </c>
      <c r="B251" s="1" t="n">
        <v>45891.58502314815</v>
      </c>
      <c r="C251" s="1" t="n">
        <v>46178</v>
      </c>
      <c r="D251" t="inlineStr">
        <is>
          <t>GOTLANDS LÄN</t>
        </is>
      </c>
      <c r="E251" t="inlineStr">
        <is>
          <t>GOTLAND</t>
        </is>
      </c>
      <c r="G251" t="n">
        <v>6.1</v>
      </c>
      <c r="H251" t="n">
        <v>0</v>
      </c>
      <c r="I251" t="n">
        <v>0</v>
      </c>
      <c r="J251" t="n">
        <v>0</v>
      </c>
      <c r="K251" t="n">
        <v>0</v>
      </c>
      <c r="L251" t="n">
        <v>0</v>
      </c>
      <c r="M251" t="n">
        <v>0</v>
      </c>
      <c r="N251" t="n">
        <v>0</v>
      </c>
      <c r="O251" t="n">
        <v>0</v>
      </c>
      <c r="P251" t="n">
        <v>0</v>
      </c>
      <c r="Q251" t="n">
        <v>0</v>
      </c>
      <c r="R251" s="2" t="inlineStr"/>
    </row>
    <row r="252" ht="15" customHeight="1">
      <c r="A252" t="inlineStr">
        <is>
          <t>A 1898-2026</t>
        </is>
      </c>
      <c r="B252" s="1" t="n">
        <v>46035.52024305556</v>
      </c>
      <c r="C252" s="1" t="n">
        <v>46178</v>
      </c>
      <c r="D252" t="inlineStr">
        <is>
          <t>GOTLANDS LÄN</t>
        </is>
      </c>
      <c r="E252" t="inlineStr">
        <is>
          <t>GOTLAND</t>
        </is>
      </c>
      <c r="G252" t="n">
        <v>3.7</v>
      </c>
      <c r="H252" t="n">
        <v>0</v>
      </c>
      <c r="I252" t="n">
        <v>0</v>
      </c>
      <c r="J252" t="n">
        <v>0</v>
      </c>
      <c r="K252" t="n">
        <v>0</v>
      </c>
      <c r="L252" t="n">
        <v>0</v>
      </c>
      <c r="M252" t="n">
        <v>0</v>
      </c>
      <c r="N252" t="n">
        <v>0</v>
      </c>
      <c r="O252" t="n">
        <v>0</v>
      </c>
      <c r="P252" t="n">
        <v>0</v>
      </c>
      <c r="Q252" t="n">
        <v>0</v>
      </c>
      <c r="R252" s="2" t="inlineStr"/>
    </row>
    <row r="253" ht="15" customHeight="1">
      <c r="A253" t="inlineStr">
        <is>
          <t>A 39814-2025</t>
        </is>
      </c>
      <c r="B253" s="1" t="n">
        <v>45891.52694444444</v>
      </c>
      <c r="C253" s="1" t="n">
        <v>46178</v>
      </c>
      <c r="D253" t="inlineStr">
        <is>
          <t>GOTLANDS LÄN</t>
        </is>
      </c>
      <c r="E253" t="inlineStr">
        <is>
          <t>GOTLAND</t>
        </is>
      </c>
      <c r="G253" t="n">
        <v>4.5</v>
      </c>
      <c r="H253" t="n">
        <v>0</v>
      </c>
      <c r="I253" t="n">
        <v>0</v>
      </c>
      <c r="J253" t="n">
        <v>0</v>
      </c>
      <c r="K253" t="n">
        <v>0</v>
      </c>
      <c r="L253" t="n">
        <v>0</v>
      </c>
      <c r="M253" t="n">
        <v>0</v>
      </c>
      <c r="N253" t="n">
        <v>0</v>
      </c>
      <c r="O253" t="n">
        <v>0</v>
      </c>
      <c r="P253" t="n">
        <v>0</v>
      </c>
      <c r="Q253" t="n">
        <v>0</v>
      </c>
      <c r="R253" s="2" t="inlineStr"/>
    </row>
    <row r="254" ht="15" customHeight="1">
      <c r="A254" t="inlineStr">
        <is>
          <t>A 49693-2023</t>
        </is>
      </c>
      <c r="B254" s="1" t="n">
        <v>45212.38138888889</v>
      </c>
      <c r="C254" s="1" t="n">
        <v>46178</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49697-2023</t>
        </is>
      </c>
      <c r="B255" s="1" t="n">
        <v>45212.38909722222</v>
      </c>
      <c r="C255" s="1" t="n">
        <v>46178</v>
      </c>
      <c r="D255" t="inlineStr">
        <is>
          <t>GOTLANDS LÄN</t>
        </is>
      </c>
      <c r="E255" t="inlineStr">
        <is>
          <t>GOTLAND</t>
        </is>
      </c>
      <c r="G255" t="n">
        <v>4.4</v>
      </c>
      <c r="H255" t="n">
        <v>0</v>
      </c>
      <c r="I255" t="n">
        <v>0</v>
      </c>
      <c r="J255" t="n">
        <v>0</v>
      </c>
      <c r="K255" t="n">
        <v>0</v>
      </c>
      <c r="L255" t="n">
        <v>0</v>
      </c>
      <c r="M255" t="n">
        <v>0</v>
      </c>
      <c r="N255" t="n">
        <v>0</v>
      </c>
      <c r="O255" t="n">
        <v>0</v>
      </c>
      <c r="P255" t="n">
        <v>0</v>
      </c>
      <c r="Q255" t="n">
        <v>0</v>
      </c>
      <c r="R255" s="2" t="inlineStr"/>
    </row>
    <row r="256" ht="15" customHeight="1">
      <c r="A256" t="inlineStr">
        <is>
          <t>A 34312-2024</t>
        </is>
      </c>
      <c r="B256" s="1" t="n">
        <v>45524.69703703704</v>
      </c>
      <c r="C256" s="1" t="n">
        <v>46178</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2415-2026</t>
        </is>
      </c>
      <c r="B257" s="1" t="n">
        <v>46036.76203703704</v>
      </c>
      <c r="C257" s="1" t="n">
        <v>46178</v>
      </c>
      <c r="D257" t="inlineStr">
        <is>
          <t>GOTLANDS LÄN</t>
        </is>
      </c>
      <c r="E257" t="inlineStr">
        <is>
          <t>GOTLAND</t>
        </is>
      </c>
      <c r="G257" t="n">
        <v>6.9</v>
      </c>
      <c r="H257" t="n">
        <v>0</v>
      </c>
      <c r="I257" t="n">
        <v>0</v>
      </c>
      <c r="J257" t="n">
        <v>0</v>
      </c>
      <c r="K257" t="n">
        <v>0</v>
      </c>
      <c r="L257" t="n">
        <v>0</v>
      </c>
      <c r="M257" t="n">
        <v>0</v>
      </c>
      <c r="N257" t="n">
        <v>0</v>
      </c>
      <c r="O257" t="n">
        <v>0</v>
      </c>
      <c r="P257" t="n">
        <v>0</v>
      </c>
      <c r="Q257" t="n">
        <v>0</v>
      </c>
      <c r="R257" s="2" t="inlineStr"/>
    </row>
    <row r="258" ht="15" customHeight="1">
      <c r="A258" t="inlineStr">
        <is>
          <t>A 39752-2025</t>
        </is>
      </c>
      <c r="B258" s="1" t="n">
        <v>45891</v>
      </c>
      <c r="C258" s="1" t="n">
        <v>46178</v>
      </c>
      <c r="D258" t="inlineStr">
        <is>
          <t>GOTLANDS LÄN</t>
        </is>
      </c>
      <c r="E258" t="inlineStr">
        <is>
          <t>GOTLAND</t>
        </is>
      </c>
      <c r="G258" t="n">
        <v>5.3</v>
      </c>
      <c r="H258" t="n">
        <v>0</v>
      </c>
      <c r="I258" t="n">
        <v>0</v>
      </c>
      <c r="J258" t="n">
        <v>0</v>
      </c>
      <c r="K258" t="n">
        <v>0</v>
      </c>
      <c r="L258" t="n">
        <v>0</v>
      </c>
      <c r="M258" t="n">
        <v>0</v>
      </c>
      <c r="N258" t="n">
        <v>0</v>
      </c>
      <c r="O258" t="n">
        <v>0</v>
      </c>
      <c r="P258" t="n">
        <v>0</v>
      </c>
      <c r="Q258" t="n">
        <v>0</v>
      </c>
      <c r="R258" s="2" t="inlineStr"/>
    </row>
    <row r="259" ht="15" customHeight="1">
      <c r="A259" t="inlineStr">
        <is>
          <t>A 39816-2025</t>
        </is>
      </c>
      <c r="B259" s="1" t="n">
        <v>45891</v>
      </c>
      <c r="C259" s="1" t="n">
        <v>46178</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40372-2025</t>
        </is>
      </c>
      <c r="B260" s="1" t="n">
        <v>45895.5162037037</v>
      </c>
      <c r="C260" s="1" t="n">
        <v>46178</v>
      </c>
      <c r="D260" t="inlineStr">
        <is>
          <t>GOTLANDS LÄN</t>
        </is>
      </c>
      <c r="E260" t="inlineStr">
        <is>
          <t>GOTLAND</t>
        </is>
      </c>
      <c r="G260" t="n">
        <v>3.3</v>
      </c>
      <c r="H260" t="n">
        <v>0</v>
      </c>
      <c r="I260" t="n">
        <v>0</v>
      </c>
      <c r="J260" t="n">
        <v>0</v>
      </c>
      <c r="K260" t="n">
        <v>0</v>
      </c>
      <c r="L260" t="n">
        <v>0</v>
      </c>
      <c r="M260" t="n">
        <v>0</v>
      </c>
      <c r="N260" t="n">
        <v>0</v>
      </c>
      <c r="O260" t="n">
        <v>0</v>
      </c>
      <c r="P260" t="n">
        <v>0</v>
      </c>
      <c r="Q260" t="n">
        <v>0</v>
      </c>
      <c r="R260" s="2" t="inlineStr"/>
    </row>
    <row r="261" ht="15" customHeight="1">
      <c r="A261" t="inlineStr">
        <is>
          <t>A 40373-2025</t>
        </is>
      </c>
      <c r="B261" s="1" t="n">
        <v>45895.51821759259</v>
      </c>
      <c r="C261" s="1" t="n">
        <v>46178</v>
      </c>
      <c r="D261" t="inlineStr">
        <is>
          <t>GOTLANDS LÄN</t>
        </is>
      </c>
      <c r="E261" t="inlineStr">
        <is>
          <t>GOTLAND</t>
        </is>
      </c>
      <c r="G261" t="n">
        <v>0.6</v>
      </c>
      <c r="H261" t="n">
        <v>0</v>
      </c>
      <c r="I261" t="n">
        <v>0</v>
      </c>
      <c r="J261" t="n">
        <v>0</v>
      </c>
      <c r="K261" t="n">
        <v>0</v>
      </c>
      <c r="L261" t="n">
        <v>0</v>
      </c>
      <c r="M261" t="n">
        <v>0</v>
      </c>
      <c r="N261" t="n">
        <v>0</v>
      </c>
      <c r="O261" t="n">
        <v>0</v>
      </c>
      <c r="P261" t="n">
        <v>0</v>
      </c>
      <c r="Q261" t="n">
        <v>0</v>
      </c>
      <c r="R261" s="2" t="inlineStr"/>
    </row>
    <row r="262" ht="15" customHeight="1">
      <c r="A262" t="inlineStr">
        <is>
          <t>A 27355-2025</t>
        </is>
      </c>
      <c r="B262" s="1" t="n">
        <v>45812</v>
      </c>
      <c r="C262" s="1" t="n">
        <v>46178</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48503-2023</t>
        </is>
      </c>
      <c r="B263" s="1" t="n">
        <v>45207</v>
      </c>
      <c r="C263" s="1" t="n">
        <v>46178</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40103-2025</t>
        </is>
      </c>
      <c r="B264" s="1" t="n">
        <v>45894.4880324074</v>
      </c>
      <c r="C264" s="1" t="n">
        <v>46178</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40499-2025</t>
        </is>
      </c>
      <c r="B265" s="1" t="n">
        <v>45896.32517361111</v>
      </c>
      <c r="C265" s="1" t="n">
        <v>46178</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24825-2024</t>
        </is>
      </c>
      <c r="B266" s="1" t="n">
        <v>45461</v>
      </c>
      <c r="C266" s="1" t="n">
        <v>46178</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7850-2025</t>
        </is>
      </c>
      <c r="B267" s="1" t="n">
        <v>45706</v>
      </c>
      <c r="C267" s="1" t="n">
        <v>46178</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41551-2025</t>
        </is>
      </c>
      <c r="B268" s="1" t="n">
        <v>45901.58854166666</v>
      </c>
      <c r="C268" s="1" t="n">
        <v>46178</v>
      </c>
      <c r="D268" t="inlineStr">
        <is>
          <t>GOTLANDS LÄN</t>
        </is>
      </c>
      <c r="E268" t="inlineStr">
        <is>
          <t>GOTLAND</t>
        </is>
      </c>
      <c r="G268" t="n">
        <v>5.6</v>
      </c>
      <c r="H268" t="n">
        <v>0</v>
      </c>
      <c r="I268" t="n">
        <v>0</v>
      </c>
      <c r="J268" t="n">
        <v>0</v>
      </c>
      <c r="K268" t="n">
        <v>0</v>
      </c>
      <c r="L268" t="n">
        <v>0</v>
      </c>
      <c r="M268" t="n">
        <v>0</v>
      </c>
      <c r="N268" t="n">
        <v>0</v>
      </c>
      <c r="O268" t="n">
        <v>0</v>
      </c>
      <c r="P268" t="n">
        <v>0</v>
      </c>
      <c r="Q268" t="n">
        <v>0</v>
      </c>
      <c r="R268" s="2" t="inlineStr"/>
    </row>
    <row r="269" ht="15" customHeight="1">
      <c r="A269" t="inlineStr">
        <is>
          <t>A 22031-2024</t>
        </is>
      </c>
      <c r="B269" s="1" t="n">
        <v>45443.60075231481</v>
      </c>
      <c r="C269" s="1" t="n">
        <v>46178</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17688-2024</t>
        </is>
      </c>
      <c r="B270" s="1" t="n">
        <v>45418.43575231481</v>
      </c>
      <c r="C270" s="1" t="n">
        <v>46178</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8444-2025</t>
        </is>
      </c>
      <c r="B271" s="1" t="n">
        <v>45709</v>
      </c>
      <c r="C271" s="1" t="n">
        <v>46178</v>
      </c>
      <c r="D271" t="inlineStr">
        <is>
          <t>GOTLANDS LÄN</t>
        </is>
      </c>
      <c r="E271" t="inlineStr">
        <is>
          <t>GOTLAND</t>
        </is>
      </c>
      <c r="G271" t="n">
        <v>5.2</v>
      </c>
      <c r="H271" t="n">
        <v>0</v>
      </c>
      <c r="I271" t="n">
        <v>0</v>
      </c>
      <c r="J271" t="n">
        <v>0</v>
      </c>
      <c r="K271" t="n">
        <v>0</v>
      </c>
      <c r="L271" t="n">
        <v>0</v>
      </c>
      <c r="M271" t="n">
        <v>0</v>
      </c>
      <c r="N271" t="n">
        <v>0</v>
      </c>
      <c r="O271" t="n">
        <v>0</v>
      </c>
      <c r="P271" t="n">
        <v>0</v>
      </c>
      <c r="Q271" t="n">
        <v>0</v>
      </c>
      <c r="R271" s="2" t="inlineStr"/>
    </row>
    <row r="272" ht="15" customHeight="1">
      <c r="A272" t="inlineStr">
        <is>
          <t>A 19905-2025</t>
        </is>
      </c>
      <c r="B272" s="1" t="n">
        <v>45771</v>
      </c>
      <c r="C272" s="1" t="n">
        <v>46178</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39278-2025</t>
        </is>
      </c>
      <c r="B273" s="1" t="n">
        <v>45889</v>
      </c>
      <c r="C273" s="1" t="n">
        <v>46178</v>
      </c>
      <c r="D273" t="inlineStr">
        <is>
          <t>GOTLANDS LÄN</t>
        </is>
      </c>
      <c r="E273" t="inlineStr">
        <is>
          <t>GOTLAND</t>
        </is>
      </c>
      <c r="G273" t="n">
        <v>3.7</v>
      </c>
      <c r="H273" t="n">
        <v>0</v>
      </c>
      <c r="I273" t="n">
        <v>0</v>
      </c>
      <c r="J273" t="n">
        <v>0</v>
      </c>
      <c r="K273" t="n">
        <v>0</v>
      </c>
      <c r="L273" t="n">
        <v>0</v>
      </c>
      <c r="M273" t="n">
        <v>0</v>
      </c>
      <c r="N273" t="n">
        <v>0</v>
      </c>
      <c r="O273" t="n">
        <v>0</v>
      </c>
      <c r="P273" t="n">
        <v>0</v>
      </c>
      <c r="Q273" t="n">
        <v>0</v>
      </c>
      <c r="R273" s="2" t="inlineStr"/>
    </row>
    <row r="274" ht="15" customHeight="1">
      <c r="A274" t="inlineStr">
        <is>
          <t>A 27694-2024</t>
        </is>
      </c>
      <c r="B274" s="1" t="n">
        <v>45475</v>
      </c>
      <c r="C274" s="1" t="n">
        <v>46178</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39764-2022</t>
        </is>
      </c>
      <c r="B275" s="1" t="n">
        <v>44819</v>
      </c>
      <c r="C275" s="1" t="n">
        <v>46178</v>
      </c>
      <c r="D275" t="inlineStr">
        <is>
          <t>GOTLANDS LÄN</t>
        </is>
      </c>
      <c r="E275" t="inlineStr">
        <is>
          <t>GOTLAND</t>
        </is>
      </c>
      <c r="F275" t="inlineStr">
        <is>
          <t>Kyrkan</t>
        </is>
      </c>
      <c r="G275" t="n">
        <v>3.7</v>
      </c>
      <c r="H275" t="n">
        <v>0</v>
      </c>
      <c r="I275" t="n">
        <v>0</v>
      </c>
      <c r="J275" t="n">
        <v>0</v>
      </c>
      <c r="K275" t="n">
        <v>0</v>
      </c>
      <c r="L275" t="n">
        <v>0</v>
      </c>
      <c r="M275" t="n">
        <v>0</v>
      </c>
      <c r="N275" t="n">
        <v>0</v>
      </c>
      <c r="O275" t="n">
        <v>0</v>
      </c>
      <c r="P275" t="n">
        <v>0</v>
      </c>
      <c r="Q275" t="n">
        <v>0</v>
      </c>
      <c r="R275" s="2" t="inlineStr"/>
    </row>
    <row r="276" ht="15" customHeight="1">
      <c r="A276" t="inlineStr">
        <is>
          <t>A 29196-2025</t>
        </is>
      </c>
      <c r="B276" s="1" t="n">
        <v>45822</v>
      </c>
      <c r="C276" s="1" t="n">
        <v>46178</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6099-2024</t>
        </is>
      </c>
      <c r="B277" s="1" t="n">
        <v>45337</v>
      </c>
      <c r="C277" s="1" t="n">
        <v>46178</v>
      </c>
      <c r="D277" t="inlineStr">
        <is>
          <t>GOTLANDS LÄN</t>
        </is>
      </c>
      <c r="E277" t="inlineStr">
        <is>
          <t>GOTLAND</t>
        </is>
      </c>
      <c r="G277" t="n">
        <v>12.6</v>
      </c>
      <c r="H277" t="n">
        <v>0</v>
      </c>
      <c r="I277" t="n">
        <v>0</v>
      </c>
      <c r="J277" t="n">
        <v>0</v>
      </c>
      <c r="K277" t="n">
        <v>0</v>
      </c>
      <c r="L277" t="n">
        <v>0</v>
      </c>
      <c r="M277" t="n">
        <v>0</v>
      </c>
      <c r="N277" t="n">
        <v>0</v>
      </c>
      <c r="O277" t="n">
        <v>0</v>
      </c>
      <c r="P277" t="n">
        <v>0</v>
      </c>
      <c r="Q277" t="n">
        <v>0</v>
      </c>
      <c r="R277" s="2" t="inlineStr"/>
    </row>
    <row r="278" ht="15" customHeight="1">
      <c r="A278" t="inlineStr">
        <is>
          <t>A 8260-2023</t>
        </is>
      </c>
      <c r="B278" s="1" t="n">
        <v>44974.61608796296</v>
      </c>
      <c r="C278" s="1" t="n">
        <v>46178</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22287-2022</t>
        </is>
      </c>
      <c r="B279" s="1" t="n">
        <v>44712</v>
      </c>
      <c r="C279" s="1" t="n">
        <v>46178</v>
      </c>
      <c r="D279" t="inlineStr">
        <is>
          <t>GOTLANDS LÄN</t>
        </is>
      </c>
      <c r="E279" t="inlineStr">
        <is>
          <t>GOTLAND</t>
        </is>
      </c>
      <c r="G279" t="n">
        <v>6.1</v>
      </c>
      <c r="H279" t="n">
        <v>0</v>
      </c>
      <c r="I279" t="n">
        <v>0</v>
      </c>
      <c r="J279" t="n">
        <v>0</v>
      </c>
      <c r="K279" t="n">
        <v>0</v>
      </c>
      <c r="L279" t="n">
        <v>0</v>
      </c>
      <c r="M279" t="n">
        <v>0</v>
      </c>
      <c r="N279" t="n">
        <v>0</v>
      </c>
      <c r="O279" t="n">
        <v>0</v>
      </c>
      <c r="P279" t="n">
        <v>0</v>
      </c>
      <c r="Q279" t="n">
        <v>0</v>
      </c>
      <c r="R279" s="2" t="inlineStr"/>
    </row>
    <row r="280" ht="15" customHeight="1">
      <c r="A280" t="inlineStr">
        <is>
          <t>A 57534-2022</t>
        </is>
      </c>
      <c r="B280" s="1" t="n">
        <v>44896</v>
      </c>
      <c r="C280" s="1" t="n">
        <v>46178</v>
      </c>
      <c r="D280" t="inlineStr">
        <is>
          <t>GOTLANDS LÄN</t>
        </is>
      </c>
      <c r="E280" t="inlineStr">
        <is>
          <t>GOTLAND</t>
        </is>
      </c>
      <c r="G280" t="n">
        <v>0.6</v>
      </c>
      <c r="H280" t="n">
        <v>0</v>
      </c>
      <c r="I280" t="n">
        <v>0</v>
      </c>
      <c r="J280" t="n">
        <v>0</v>
      </c>
      <c r="K280" t="n">
        <v>0</v>
      </c>
      <c r="L280" t="n">
        <v>0</v>
      </c>
      <c r="M280" t="n">
        <v>0</v>
      </c>
      <c r="N280" t="n">
        <v>0</v>
      </c>
      <c r="O280" t="n">
        <v>0</v>
      </c>
      <c r="P280" t="n">
        <v>0</v>
      </c>
      <c r="Q280" t="n">
        <v>0</v>
      </c>
      <c r="R280" s="2" t="inlineStr"/>
    </row>
    <row r="281" ht="15" customHeight="1">
      <c r="A281" t="inlineStr">
        <is>
          <t>A 30061-2025</t>
        </is>
      </c>
      <c r="B281" s="1" t="n">
        <v>45826.61488425926</v>
      </c>
      <c r="C281" s="1" t="n">
        <v>46178</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58160-2024</t>
        </is>
      </c>
      <c r="B282" s="1" t="n">
        <v>45632.44927083333</v>
      </c>
      <c r="C282" s="1" t="n">
        <v>46178</v>
      </c>
      <c r="D282" t="inlineStr">
        <is>
          <t>GOTLANDS LÄN</t>
        </is>
      </c>
      <c r="E282" t="inlineStr">
        <is>
          <t>GOTLAND</t>
        </is>
      </c>
      <c r="G282" t="n">
        <v>5.6</v>
      </c>
      <c r="H282" t="n">
        <v>0</v>
      </c>
      <c r="I282" t="n">
        <v>0</v>
      </c>
      <c r="J282" t="n">
        <v>0</v>
      </c>
      <c r="K282" t="n">
        <v>0</v>
      </c>
      <c r="L282" t="n">
        <v>0</v>
      </c>
      <c r="M282" t="n">
        <v>0</v>
      </c>
      <c r="N282" t="n">
        <v>0</v>
      </c>
      <c r="O282" t="n">
        <v>0</v>
      </c>
      <c r="P282" t="n">
        <v>0</v>
      </c>
      <c r="Q282" t="n">
        <v>0</v>
      </c>
      <c r="R282" s="2" t="inlineStr"/>
    </row>
    <row r="283" ht="15" customHeight="1">
      <c r="A283" t="inlineStr">
        <is>
          <t>A 64660-2023</t>
        </is>
      </c>
      <c r="B283" s="1" t="n">
        <v>45281.60122685185</v>
      </c>
      <c r="C283" s="1" t="n">
        <v>46178</v>
      </c>
      <c r="D283" t="inlineStr">
        <is>
          <t>GOTLANDS LÄN</t>
        </is>
      </c>
      <c r="E283" t="inlineStr">
        <is>
          <t>GOTLAND</t>
        </is>
      </c>
      <c r="G283" t="n">
        <v>6.3</v>
      </c>
      <c r="H283" t="n">
        <v>0</v>
      </c>
      <c r="I283" t="n">
        <v>0</v>
      </c>
      <c r="J283" t="n">
        <v>0</v>
      </c>
      <c r="K283" t="n">
        <v>0</v>
      </c>
      <c r="L283" t="n">
        <v>0</v>
      </c>
      <c r="M283" t="n">
        <v>0</v>
      </c>
      <c r="N283" t="n">
        <v>0</v>
      </c>
      <c r="O283" t="n">
        <v>0</v>
      </c>
      <c r="P283" t="n">
        <v>0</v>
      </c>
      <c r="Q283" t="n">
        <v>0</v>
      </c>
      <c r="R283" s="2" t="inlineStr"/>
    </row>
    <row r="284" ht="15" customHeight="1">
      <c r="A284" t="inlineStr">
        <is>
          <t>A 4646-2026</t>
        </is>
      </c>
      <c r="B284" s="1" t="n">
        <v>46048.40357638889</v>
      </c>
      <c r="C284" s="1" t="n">
        <v>46178</v>
      </c>
      <c r="D284" t="inlineStr">
        <is>
          <t>GOTLANDS LÄN</t>
        </is>
      </c>
      <c r="E284" t="inlineStr">
        <is>
          <t>GOTLAND</t>
        </is>
      </c>
      <c r="G284" t="n">
        <v>2.7</v>
      </c>
      <c r="H284" t="n">
        <v>0</v>
      </c>
      <c r="I284" t="n">
        <v>0</v>
      </c>
      <c r="J284" t="n">
        <v>0</v>
      </c>
      <c r="K284" t="n">
        <v>0</v>
      </c>
      <c r="L284" t="n">
        <v>0</v>
      </c>
      <c r="M284" t="n">
        <v>0</v>
      </c>
      <c r="N284" t="n">
        <v>0</v>
      </c>
      <c r="O284" t="n">
        <v>0</v>
      </c>
      <c r="P284" t="n">
        <v>0</v>
      </c>
      <c r="Q284" t="n">
        <v>0</v>
      </c>
      <c r="R284" s="2" t="inlineStr"/>
    </row>
    <row r="285" ht="15" customHeight="1">
      <c r="A285" t="inlineStr">
        <is>
          <t>A 4634-2026</t>
        </is>
      </c>
      <c r="B285" s="1" t="n">
        <v>46048.39304398148</v>
      </c>
      <c r="C285" s="1" t="n">
        <v>46178</v>
      </c>
      <c r="D285" t="inlineStr">
        <is>
          <t>GOTLANDS LÄN</t>
        </is>
      </c>
      <c r="E285" t="inlineStr">
        <is>
          <t>GOTLAND</t>
        </is>
      </c>
      <c r="G285" t="n">
        <v>7.8</v>
      </c>
      <c r="H285" t="n">
        <v>0</v>
      </c>
      <c r="I285" t="n">
        <v>0</v>
      </c>
      <c r="J285" t="n">
        <v>0</v>
      </c>
      <c r="K285" t="n">
        <v>0</v>
      </c>
      <c r="L285" t="n">
        <v>0</v>
      </c>
      <c r="M285" t="n">
        <v>0</v>
      </c>
      <c r="N285" t="n">
        <v>0</v>
      </c>
      <c r="O285" t="n">
        <v>0</v>
      </c>
      <c r="P285" t="n">
        <v>0</v>
      </c>
      <c r="Q285" t="n">
        <v>0</v>
      </c>
      <c r="R285" s="2" t="inlineStr"/>
    </row>
    <row r="286" ht="15" customHeight="1">
      <c r="A286" t="inlineStr">
        <is>
          <t>A 4670-2026</t>
        </is>
      </c>
      <c r="B286" s="1" t="n">
        <v>46048.41733796296</v>
      </c>
      <c r="C286" s="1" t="n">
        <v>46178</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16373-2025</t>
        </is>
      </c>
      <c r="B287" s="1" t="n">
        <v>45751</v>
      </c>
      <c r="C287" s="1" t="n">
        <v>46178</v>
      </c>
      <c r="D287" t="inlineStr">
        <is>
          <t>GOTLANDS LÄN</t>
        </is>
      </c>
      <c r="E287" t="inlineStr">
        <is>
          <t>GOTLAND</t>
        </is>
      </c>
      <c r="G287" t="n">
        <v>1.5</v>
      </c>
      <c r="H287" t="n">
        <v>0</v>
      </c>
      <c r="I287" t="n">
        <v>0</v>
      </c>
      <c r="J287" t="n">
        <v>0</v>
      </c>
      <c r="K287" t="n">
        <v>0</v>
      </c>
      <c r="L287" t="n">
        <v>0</v>
      </c>
      <c r="M287" t="n">
        <v>0</v>
      </c>
      <c r="N287" t="n">
        <v>0</v>
      </c>
      <c r="O287" t="n">
        <v>0</v>
      </c>
      <c r="P287" t="n">
        <v>0</v>
      </c>
      <c r="Q287" t="n">
        <v>0</v>
      </c>
      <c r="R287" s="2" t="inlineStr"/>
    </row>
    <row r="288" ht="15" customHeight="1">
      <c r="A288" t="inlineStr">
        <is>
          <t>A 16109-2025</t>
        </is>
      </c>
      <c r="B288" s="1" t="n">
        <v>45750</v>
      </c>
      <c r="C288" s="1" t="n">
        <v>46178</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20855-2023</t>
        </is>
      </c>
      <c r="B289" s="1" t="n">
        <v>45058.82172453704</v>
      </c>
      <c r="C289" s="1" t="n">
        <v>46178</v>
      </c>
      <c r="D289" t="inlineStr">
        <is>
          <t>GOTLANDS LÄN</t>
        </is>
      </c>
      <c r="E289" t="inlineStr">
        <is>
          <t>GOTLAND</t>
        </is>
      </c>
      <c r="G289" t="n">
        <v>1.7</v>
      </c>
      <c r="H289" t="n">
        <v>0</v>
      </c>
      <c r="I289" t="n">
        <v>0</v>
      </c>
      <c r="J289" t="n">
        <v>0</v>
      </c>
      <c r="K289" t="n">
        <v>0</v>
      </c>
      <c r="L289" t="n">
        <v>0</v>
      </c>
      <c r="M289" t="n">
        <v>0</v>
      </c>
      <c r="N289" t="n">
        <v>0</v>
      </c>
      <c r="O289" t="n">
        <v>0</v>
      </c>
      <c r="P289" t="n">
        <v>0</v>
      </c>
      <c r="Q289" t="n">
        <v>0</v>
      </c>
      <c r="R289" s="2" t="inlineStr"/>
    </row>
    <row r="290" ht="15" customHeight="1">
      <c r="A290" t="inlineStr">
        <is>
          <t>A 10158-2025</t>
        </is>
      </c>
      <c r="B290" s="1" t="n">
        <v>45719</v>
      </c>
      <c r="C290" s="1" t="n">
        <v>46178</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60709-2023</t>
        </is>
      </c>
      <c r="B291" s="1" t="n">
        <v>45260</v>
      </c>
      <c r="C291" s="1" t="n">
        <v>46178</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1000-2024</t>
        </is>
      </c>
      <c r="B292" s="1" t="n">
        <v>45301.63371527778</v>
      </c>
      <c r="C292" s="1" t="n">
        <v>46178</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1010-2024</t>
        </is>
      </c>
      <c r="B293" s="1" t="n">
        <v>45301</v>
      </c>
      <c r="C293" s="1" t="n">
        <v>46178</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65249-2023</t>
        </is>
      </c>
      <c r="B294" s="1" t="n">
        <v>45290</v>
      </c>
      <c r="C294" s="1" t="n">
        <v>46178</v>
      </c>
      <c r="D294" t="inlineStr">
        <is>
          <t>GOTLANDS LÄN</t>
        </is>
      </c>
      <c r="E294" t="inlineStr">
        <is>
          <t>GOTLAND</t>
        </is>
      </c>
      <c r="G294" t="n">
        <v>2.4</v>
      </c>
      <c r="H294" t="n">
        <v>0</v>
      </c>
      <c r="I294" t="n">
        <v>0</v>
      </c>
      <c r="J294" t="n">
        <v>0</v>
      </c>
      <c r="K294" t="n">
        <v>0</v>
      </c>
      <c r="L294" t="n">
        <v>0</v>
      </c>
      <c r="M294" t="n">
        <v>0</v>
      </c>
      <c r="N294" t="n">
        <v>0</v>
      </c>
      <c r="O294" t="n">
        <v>0</v>
      </c>
      <c r="P294" t="n">
        <v>0</v>
      </c>
      <c r="Q294" t="n">
        <v>0</v>
      </c>
      <c r="R294" s="2" t="inlineStr"/>
    </row>
    <row r="295" ht="15" customHeight="1">
      <c r="A295" t="inlineStr">
        <is>
          <t>A 30956-2024</t>
        </is>
      </c>
      <c r="B295" s="1" t="n">
        <v>45499.42527777778</v>
      </c>
      <c r="C295" s="1" t="n">
        <v>46178</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12596-2023</t>
        </is>
      </c>
      <c r="B296" s="1" t="n">
        <v>45000.43310185185</v>
      </c>
      <c r="C296" s="1" t="n">
        <v>46178</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33007-2025</t>
        </is>
      </c>
      <c r="B297" s="1" t="n">
        <v>45840</v>
      </c>
      <c r="C297" s="1" t="n">
        <v>46178</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8045-2022</t>
        </is>
      </c>
      <c r="B298" s="1" t="n">
        <v>44609</v>
      </c>
      <c r="C298" s="1" t="n">
        <v>46178</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6207-2026</t>
        </is>
      </c>
      <c r="B299" s="1" t="n">
        <v>46055.42083333333</v>
      </c>
      <c r="C299" s="1" t="n">
        <v>46178</v>
      </c>
      <c r="D299" t="inlineStr">
        <is>
          <t>GOTLANDS LÄN</t>
        </is>
      </c>
      <c r="E299" t="inlineStr">
        <is>
          <t>GOTLAND</t>
        </is>
      </c>
      <c r="G299" t="n">
        <v>7.6</v>
      </c>
      <c r="H299" t="n">
        <v>0</v>
      </c>
      <c r="I299" t="n">
        <v>0</v>
      </c>
      <c r="J299" t="n">
        <v>0</v>
      </c>
      <c r="K299" t="n">
        <v>0</v>
      </c>
      <c r="L299" t="n">
        <v>0</v>
      </c>
      <c r="M299" t="n">
        <v>0</v>
      </c>
      <c r="N299" t="n">
        <v>0</v>
      </c>
      <c r="O299" t="n">
        <v>0</v>
      </c>
      <c r="P299" t="n">
        <v>0</v>
      </c>
      <c r="Q299" t="n">
        <v>0</v>
      </c>
      <c r="R299" s="2" t="inlineStr"/>
    </row>
    <row r="300" ht="15" customHeight="1">
      <c r="A300" t="inlineStr">
        <is>
          <t>A 6218-2026</t>
        </is>
      </c>
      <c r="B300" s="1" t="n">
        <v>46055.42859953704</v>
      </c>
      <c r="C300" s="1" t="n">
        <v>46178</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6959-2026</t>
        </is>
      </c>
      <c r="B301" s="1" t="n">
        <v>46057.580625</v>
      </c>
      <c r="C301" s="1" t="n">
        <v>46178</v>
      </c>
      <c r="D301" t="inlineStr">
        <is>
          <t>GOTLANDS LÄN</t>
        </is>
      </c>
      <c r="E301" t="inlineStr">
        <is>
          <t>GOTLAND</t>
        </is>
      </c>
      <c r="F301" t="inlineStr">
        <is>
          <t>Kyrkan</t>
        </is>
      </c>
      <c r="G301" t="n">
        <v>1.2</v>
      </c>
      <c r="H301" t="n">
        <v>0</v>
      </c>
      <c r="I301" t="n">
        <v>0</v>
      </c>
      <c r="J301" t="n">
        <v>0</v>
      </c>
      <c r="K301" t="n">
        <v>0</v>
      </c>
      <c r="L301" t="n">
        <v>0</v>
      </c>
      <c r="M301" t="n">
        <v>0</v>
      </c>
      <c r="N301" t="n">
        <v>0</v>
      </c>
      <c r="O301" t="n">
        <v>0</v>
      </c>
      <c r="P301" t="n">
        <v>0</v>
      </c>
      <c r="Q301" t="n">
        <v>0</v>
      </c>
      <c r="R301" s="2" t="inlineStr"/>
    </row>
    <row r="302" ht="15" customHeight="1">
      <c r="A302" t="inlineStr">
        <is>
          <t>A 43951-2025</t>
        </is>
      </c>
      <c r="B302" s="1" t="n">
        <v>45915.38119212963</v>
      </c>
      <c r="C302" s="1" t="n">
        <v>46178</v>
      </c>
      <c r="D302" t="inlineStr">
        <is>
          <t>GOTLANDS LÄN</t>
        </is>
      </c>
      <c r="E302" t="inlineStr">
        <is>
          <t>GOTLAND</t>
        </is>
      </c>
      <c r="G302" t="n">
        <v>4.4</v>
      </c>
      <c r="H302" t="n">
        <v>0</v>
      </c>
      <c r="I302" t="n">
        <v>0</v>
      </c>
      <c r="J302" t="n">
        <v>0</v>
      </c>
      <c r="K302" t="n">
        <v>0</v>
      </c>
      <c r="L302" t="n">
        <v>0</v>
      </c>
      <c r="M302" t="n">
        <v>0</v>
      </c>
      <c r="N302" t="n">
        <v>0</v>
      </c>
      <c r="O302" t="n">
        <v>0</v>
      </c>
      <c r="P302" t="n">
        <v>0</v>
      </c>
      <c r="Q302" t="n">
        <v>0</v>
      </c>
      <c r="R302" s="2" t="inlineStr"/>
    </row>
    <row r="303" ht="15" customHeight="1">
      <c r="A303" t="inlineStr">
        <is>
          <t>A 6960-2026</t>
        </is>
      </c>
      <c r="B303" s="1" t="n">
        <v>46057.58105324074</v>
      </c>
      <c r="C303" s="1" t="n">
        <v>46178</v>
      </c>
      <c r="D303" t="inlineStr">
        <is>
          <t>GOTLANDS LÄN</t>
        </is>
      </c>
      <c r="E303" t="inlineStr">
        <is>
          <t>GOTLAND</t>
        </is>
      </c>
      <c r="F303" t="inlineStr">
        <is>
          <t>Kyrkan</t>
        </is>
      </c>
      <c r="G303" t="n">
        <v>2.4</v>
      </c>
      <c r="H303" t="n">
        <v>0</v>
      </c>
      <c r="I303" t="n">
        <v>0</v>
      </c>
      <c r="J303" t="n">
        <v>0</v>
      </c>
      <c r="K303" t="n">
        <v>0</v>
      </c>
      <c r="L303" t="n">
        <v>0</v>
      </c>
      <c r="M303" t="n">
        <v>0</v>
      </c>
      <c r="N303" t="n">
        <v>0</v>
      </c>
      <c r="O303" t="n">
        <v>0</v>
      </c>
      <c r="P303" t="n">
        <v>0</v>
      </c>
      <c r="Q303" t="n">
        <v>0</v>
      </c>
      <c r="R303" s="2" t="inlineStr"/>
    </row>
    <row r="304" ht="15" customHeight="1">
      <c r="A304" t="inlineStr">
        <is>
          <t>A 999-2024</t>
        </is>
      </c>
      <c r="B304" s="1" t="n">
        <v>45301</v>
      </c>
      <c r="C304" s="1" t="n">
        <v>46178</v>
      </c>
      <c r="D304" t="inlineStr">
        <is>
          <t>GOTLANDS LÄN</t>
        </is>
      </c>
      <c r="E304" t="inlineStr">
        <is>
          <t>GOTLAND</t>
        </is>
      </c>
      <c r="G304" t="n">
        <v>1</v>
      </c>
      <c r="H304" t="n">
        <v>0</v>
      </c>
      <c r="I304" t="n">
        <v>0</v>
      </c>
      <c r="J304" t="n">
        <v>0</v>
      </c>
      <c r="K304" t="n">
        <v>0</v>
      </c>
      <c r="L304" t="n">
        <v>0</v>
      </c>
      <c r="M304" t="n">
        <v>0</v>
      </c>
      <c r="N304" t="n">
        <v>0</v>
      </c>
      <c r="O304" t="n">
        <v>0</v>
      </c>
      <c r="P304" t="n">
        <v>0</v>
      </c>
      <c r="Q304" t="n">
        <v>0</v>
      </c>
      <c r="R304" s="2" t="inlineStr"/>
    </row>
    <row r="305" ht="15" customHeight="1">
      <c r="A305" t="inlineStr">
        <is>
          <t>A 65901-2021</t>
        </is>
      </c>
      <c r="B305" s="1" t="n">
        <v>44516</v>
      </c>
      <c r="C305" s="1" t="n">
        <v>46178</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47762-2023</t>
        </is>
      </c>
      <c r="B306" s="1" t="n">
        <v>45203.86256944444</v>
      </c>
      <c r="C306" s="1" t="n">
        <v>46178</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15413-2025</t>
        </is>
      </c>
      <c r="B307" s="1" t="n">
        <v>45747.451875</v>
      </c>
      <c r="C307" s="1" t="n">
        <v>46178</v>
      </c>
      <c r="D307" t="inlineStr">
        <is>
          <t>GOTLANDS LÄN</t>
        </is>
      </c>
      <c r="E307" t="inlineStr">
        <is>
          <t>GOTLAND</t>
        </is>
      </c>
      <c r="G307" t="n">
        <v>0.6</v>
      </c>
      <c r="H307" t="n">
        <v>0</v>
      </c>
      <c r="I307" t="n">
        <v>0</v>
      </c>
      <c r="J307" t="n">
        <v>0</v>
      </c>
      <c r="K307" t="n">
        <v>0</v>
      </c>
      <c r="L307" t="n">
        <v>0</v>
      </c>
      <c r="M307" t="n">
        <v>0</v>
      </c>
      <c r="N307" t="n">
        <v>0</v>
      </c>
      <c r="O307" t="n">
        <v>0</v>
      </c>
      <c r="P307" t="n">
        <v>0</v>
      </c>
      <c r="Q307" t="n">
        <v>0</v>
      </c>
      <c r="R307" s="2" t="inlineStr"/>
    </row>
    <row r="308" ht="15" customHeight="1">
      <c r="A308" t="inlineStr">
        <is>
          <t>A 35096-2025</t>
        </is>
      </c>
      <c r="B308" s="1" t="n">
        <v>45852.54356481481</v>
      </c>
      <c r="C308" s="1" t="n">
        <v>46178</v>
      </c>
      <c r="D308" t="inlineStr">
        <is>
          <t>GOTLANDS LÄN</t>
        </is>
      </c>
      <c r="E308" t="inlineStr">
        <is>
          <t>GOTLAND</t>
        </is>
      </c>
      <c r="F308" t="inlineStr">
        <is>
          <t>Kyrkan</t>
        </is>
      </c>
      <c r="G308" t="n">
        <v>1</v>
      </c>
      <c r="H308" t="n">
        <v>0</v>
      </c>
      <c r="I308" t="n">
        <v>0</v>
      </c>
      <c r="J308" t="n">
        <v>0</v>
      </c>
      <c r="K308" t="n">
        <v>0</v>
      </c>
      <c r="L308" t="n">
        <v>0</v>
      </c>
      <c r="M308" t="n">
        <v>0</v>
      </c>
      <c r="N308" t="n">
        <v>0</v>
      </c>
      <c r="O308" t="n">
        <v>0</v>
      </c>
      <c r="P308" t="n">
        <v>0</v>
      </c>
      <c r="Q308" t="n">
        <v>0</v>
      </c>
      <c r="R308" s="2" t="inlineStr"/>
    </row>
    <row r="309" ht="15" customHeight="1">
      <c r="A309" t="inlineStr">
        <is>
          <t>A 7627-2026</t>
        </is>
      </c>
      <c r="B309" s="1" t="n">
        <v>46062.35465277778</v>
      </c>
      <c r="C309" s="1" t="n">
        <v>46178</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63105-2025</t>
        </is>
      </c>
      <c r="B310" s="1" t="n">
        <v>46009</v>
      </c>
      <c r="C310" s="1" t="n">
        <v>46178</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40294-2022</t>
        </is>
      </c>
      <c r="B311" s="1" t="n">
        <v>44821</v>
      </c>
      <c r="C311" s="1" t="n">
        <v>46178</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35123-2025</t>
        </is>
      </c>
      <c r="B312" s="1" t="n">
        <v>45852.614375</v>
      </c>
      <c r="C312" s="1" t="n">
        <v>46178</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27602-2023</t>
        </is>
      </c>
      <c r="B313" s="1" t="n">
        <v>45097</v>
      </c>
      <c r="C313" s="1" t="n">
        <v>46178</v>
      </c>
      <c r="D313" t="inlineStr">
        <is>
          <t>GOTLANDS LÄN</t>
        </is>
      </c>
      <c r="E313" t="inlineStr">
        <is>
          <t>GOTLAND</t>
        </is>
      </c>
      <c r="G313" t="n">
        <v>2.7</v>
      </c>
      <c r="H313" t="n">
        <v>0</v>
      </c>
      <c r="I313" t="n">
        <v>0</v>
      </c>
      <c r="J313" t="n">
        <v>0</v>
      </c>
      <c r="K313" t="n">
        <v>0</v>
      </c>
      <c r="L313" t="n">
        <v>0</v>
      </c>
      <c r="M313" t="n">
        <v>0</v>
      </c>
      <c r="N313" t="n">
        <v>0</v>
      </c>
      <c r="O313" t="n">
        <v>0</v>
      </c>
      <c r="P313" t="n">
        <v>0</v>
      </c>
      <c r="Q313" t="n">
        <v>0</v>
      </c>
      <c r="R313" s="2" t="inlineStr"/>
    </row>
    <row r="314" ht="15" customHeight="1">
      <c r="A314" t="inlineStr">
        <is>
          <t>A 2135-2026</t>
        </is>
      </c>
      <c r="B314" s="1" t="n">
        <v>46036</v>
      </c>
      <c r="C314" s="1" t="n">
        <v>46178</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58780-2024</t>
        </is>
      </c>
      <c r="B315" s="1" t="n">
        <v>45635.84113425926</v>
      </c>
      <c r="C315" s="1" t="n">
        <v>46178</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12322-2025</t>
        </is>
      </c>
      <c r="B316" s="1" t="n">
        <v>45730</v>
      </c>
      <c r="C316" s="1" t="n">
        <v>46178</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35290-2025</t>
        </is>
      </c>
      <c r="B317" s="1" t="n">
        <v>45854.38502314815</v>
      </c>
      <c r="C317" s="1" t="n">
        <v>46178</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30104-2025</t>
        </is>
      </c>
      <c r="B318" s="1" t="n">
        <v>45826.68806712963</v>
      </c>
      <c r="C318" s="1" t="n">
        <v>46178</v>
      </c>
      <c r="D318" t="inlineStr">
        <is>
          <t>GOTLANDS LÄN</t>
        </is>
      </c>
      <c r="E318" t="inlineStr">
        <is>
          <t>GOTLAND</t>
        </is>
      </c>
      <c r="G318" t="n">
        <v>15.4</v>
      </c>
      <c r="H318" t="n">
        <v>0</v>
      </c>
      <c r="I318" t="n">
        <v>0</v>
      </c>
      <c r="J318" t="n">
        <v>0</v>
      </c>
      <c r="K318" t="n">
        <v>0</v>
      </c>
      <c r="L318" t="n">
        <v>0</v>
      </c>
      <c r="M318" t="n">
        <v>0</v>
      </c>
      <c r="N318" t="n">
        <v>0</v>
      </c>
      <c r="O318" t="n">
        <v>0</v>
      </c>
      <c r="P318" t="n">
        <v>0</v>
      </c>
      <c r="Q318" t="n">
        <v>0</v>
      </c>
      <c r="R318" s="2" t="inlineStr"/>
    </row>
    <row r="319" ht="15" customHeight="1">
      <c r="A319" t="inlineStr">
        <is>
          <t>A 32669-2024</t>
        </is>
      </c>
      <c r="B319" s="1" t="n">
        <v>45514</v>
      </c>
      <c r="C319" s="1" t="n">
        <v>46178</v>
      </c>
      <c r="D319" t="inlineStr">
        <is>
          <t>GOTLANDS LÄN</t>
        </is>
      </c>
      <c r="E319" t="inlineStr">
        <is>
          <t>GOTLAND</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2134-2026</t>
        </is>
      </c>
      <c r="B320" s="1" t="n">
        <v>46036</v>
      </c>
      <c r="C320" s="1" t="n">
        <v>46178</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24192-2023</t>
        </is>
      </c>
      <c r="B321" s="1" t="n">
        <v>45079</v>
      </c>
      <c r="C321" s="1" t="n">
        <v>46178</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30282-2022</t>
        </is>
      </c>
      <c r="B322" s="1" t="n">
        <v>44760</v>
      </c>
      <c r="C322" s="1" t="n">
        <v>46178</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35537-2025</t>
        </is>
      </c>
      <c r="B323" s="1" t="n">
        <v>45856</v>
      </c>
      <c r="C323" s="1" t="n">
        <v>46178</v>
      </c>
      <c r="D323" t="inlineStr">
        <is>
          <t>GOTLANDS LÄN</t>
        </is>
      </c>
      <c r="E323" t="inlineStr">
        <is>
          <t>GOTLAND</t>
        </is>
      </c>
      <c r="G323" t="n">
        <v>16.8</v>
      </c>
      <c r="H323" t="n">
        <v>0</v>
      </c>
      <c r="I323" t="n">
        <v>0</v>
      </c>
      <c r="J323" t="n">
        <v>0</v>
      </c>
      <c r="K323" t="n">
        <v>0</v>
      </c>
      <c r="L323" t="n">
        <v>0</v>
      </c>
      <c r="M323" t="n">
        <v>0</v>
      </c>
      <c r="N323" t="n">
        <v>0</v>
      </c>
      <c r="O323" t="n">
        <v>0</v>
      </c>
      <c r="P323" t="n">
        <v>0</v>
      </c>
      <c r="Q323" t="n">
        <v>0</v>
      </c>
      <c r="R323" s="2" t="inlineStr"/>
    </row>
    <row r="324" ht="15" customHeight="1">
      <c r="A324" t="inlineStr">
        <is>
          <t>A 7835-2024</t>
        </is>
      </c>
      <c r="B324" s="1" t="n">
        <v>45349.83138888889</v>
      </c>
      <c r="C324" s="1" t="n">
        <v>46178</v>
      </c>
      <c r="D324" t="inlineStr">
        <is>
          <t>GOTLANDS LÄN</t>
        </is>
      </c>
      <c r="E324" t="inlineStr">
        <is>
          <t>GOTLAND</t>
        </is>
      </c>
      <c r="G324" t="n">
        <v>3.8</v>
      </c>
      <c r="H324" t="n">
        <v>0</v>
      </c>
      <c r="I324" t="n">
        <v>0</v>
      </c>
      <c r="J324" t="n">
        <v>0</v>
      </c>
      <c r="K324" t="n">
        <v>0</v>
      </c>
      <c r="L324" t="n">
        <v>0</v>
      </c>
      <c r="M324" t="n">
        <v>0</v>
      </c>
      <c r="N324" t="n">
        <v>0</v>
      </c>
      <c r="O324" t="n">
        <v>0</v>
      </c>
      <c r="P324" t="n">
        <v>0</v>
      </c>
      <c r="Q324" t="n">
        <v>0</v>
      </c>
      <c r="R324" s="2" t="inlineStr"/>
    </row>
    <row r="325" ht="15" customHeight="1">
      <c r="A325" t="inlineStr">
        <is>
          <t>A 10650-2022</t>
        </is>
      </c>
      <c r="B325" s="1" t="n">
        <v>44624.57945601852</v>
      </c>
      <c r="C325" s="1" t="n">
        <v>46178</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30488-2025</t>
        </is>
      </c>
      <c r="B326" s="1" t="n">
        <v>45830</v>
      </c>
      <c r="C326" s="1" t="n">
        <v>46178</v>
      </c>
      <c r="D326" t="inlineStr">
        <is>
          <t>GOTLANDS LÄN</t>
        </is>
      </c>
      <c r="E326" t="inlineStr">
        <is>
          <t>GOTLAND</t>
        </is>
      </c>
      <c r="F326" t="inlineStr">
        <is>
          <t>Kyrkan</t>
        </is>
      </c>
      <c r="G326" t="n">
        <v>3.9</v>
      </c>
      <c r="H326" t="n">
        <v>0</v>
      </c>
      <c r="I326" t="n">
        <v>0</v>
      </c>
      <c r="J326" t="n">
        <v>0</v>
      </c>
      <c r="K326" t="n">
        <v>0</v>
      </c>
      <c r="L326" t="n">
        <v>0</v>
      </c>
      <c r="M326" t="n">
        <v>0</v>
      </c>
      <c r="N326" t="n">
        <v>0</v>
      </c>
      <c r="O326" t="n">
        <v>0</v>
      </c>
      <c r="P326" t="n">
        <v>0</v>
      </c>
      <c r="Q326" t="n">
        <v>0</v>
      </c>
      <c r="R326" s="2" t="inlineStr"/>
    </row>
    <row r="327" ht="15" customHeight="1">
      <c r="A327" t="inlineStr">
        <is>
          <t>A 15216-2025</t>
        </is>
      </c>
      <c r="B327" s="1" t="n">
        <v>45744</v>
      </c>
      <c r="C327" s="1" t="n">
        <v>46178</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15001-2025</t>
        </is>
      </c>
      <c r="B328" s="1" t="n">
        <v>45743</v>
      </c>
      <c r="C328" s="1" t="n">
        <v>46178</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43790-2024</t>
        </is>
      </c>
      <c r="B329" s="1" t="n">
        <v>45571</v>
      </c>
      <c r="C329" s="1" t="n">
        <v>46178</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26391-2025</t>
        </is>
      </c>
      <c r="B330" s="1" t="n">
        <v>45806</v>
      </c>
      <c r="C330" s="1" t="n">
        <v>46178</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17847-2025</t>
        </is>
      </c>
      <c r="B331" s="1" t="n">
        <v>45758</v>
      </c>
      <c r="C331" s="1" t="n">
        <v>46178</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18742-2025</t>
        </is>
      </c>
      <c r="B332" s="1" t="n">
        <v>45763</v>
      </c>
      <c r="C332" s="1" t="n">
        <v>46178</v>
      </c>
      <c r="D332" t="inlineStr">
        <is>
          <t>GOTLANDS LÄN</t>
        </is>
      </c>
      <c r="E332" t="inlineStr">
        <is>
          <t>GOTLAND</t>
        </is>
      </c>
      <c r="G332" t="n">
        <v>3.4</v>
      </c>
      <c r="H332" t="n">
        <v>0</v>
      </c>
      <c r="I332" t="n">
        <v>0</v>
      </c>
      <c r="J332" t="n">
        <v>0</v>
      </c>
      <c r="K332" t="n">
        <v>0</v>
      </c>
      <c r="L332" t="n">
        <v>0</v>
      </c>
      <c r="M332" t="n">
        <v>0</v>
      </c>
      <c r="N332" t="n">
        <v>0</v>
      </c>
      <c r="O332" t="n">
        <v>0</v>
      </c>
      <c r="P332" t="n">
        <v>0</v>
      </c>
      <c r="Q332" t="n">
        <v>0</v>
      </c>
      <c r="R332" s="2" t="inlineStr"/>
    </row>
    <row r="333" ht="15" customHeight="1">
      <c r="A333" t="inlineStr">
        <is>
          <t>A 35129-2025</t>
        </is>
      </c>
      <c r="B333" s="1" t="n">
        <v>45852.63224537037</v>
      </c>
      <c r="C333" s="1" t="n">
        <v>46178</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46836-2025</t>
        </is>
      </c>
      <c r="B334" s="1" t="n">
        <v>45928.31511574074</v>
      </c>
      <c r="C334" s="1" t="n">
        <v>46178</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9540-2026</t>
        </is>
      </c>
      <c r="B335" s="1" t="n">
        <v>46071.61961805556</v>
      </c>
      <c r="C335" s="1" t="n">
        <v>46178</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28425-2023</t>
        </is>
      </c>
      <c r="B336" s="1" t="n">
        <v>45102</v>
      </c>
      <c r="C336" s="1" t="n">
        <v>46178</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9521-2026</t>
        </is>
      </c>
      <c r="B337" s="1" t="n">
        <v>46071.59969907408</v>
      </c>
      <c r="C337" s="1" t="n">
        <v>46178</v>
      </c>
      <c r="D337" t="inlineStr">
        <is>
          <t>GOTLANDS LÄN</t>
        </is>
      </c>
      <c r="E337" t="inlineStr">
        <is>
          <t>GOTLAND</t>
        </is>
      </c>
      <c r="G337" t="n">
        <v>3.9</v>
      </c>
      <c r="H337" t="n">
        <v>0</v>
      </c>
      <c r="I337" t="n">
        <v>0</v>
      </c>
      <c r="J337" t="n">
        <v>0</v>
      </c>
      <c r="K337" t="n">
        <v>0</v>
      </c>
      <c r="L337" t="n">
        <v>0</v>
      </c>
      <c r="M337" t="n">
        <v>0</v>
      </c>
      <c r="N337" t="n">
        <v>0</v>
      </c>
      <c r="O337" t="n">
        <v>0</v>
      </c>
      <c r="P337" t="n">
        <v>0</v>
      </c>
      <c r="Q337" t="n">
        <v>0</v>
      </c>
      <c r="R337" s="2" t="inlineStr"/>
    </row>
    <row r="338" ht="15" customHeight="1">
      <c r="A338" t="inlineStr">
        <is>
          <t>A 9524-2026</t>
        </is>
      </c>
      <c r="B338" s="1" t="n">
        <v>46071.60108796296</v>
      </c>
      <c r="C338" s="1" t="n">
        <v>46178</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9543-2026</t>
        </is>
      </c>
      <c r="B339" s="1" t="n">
        <v>46071.62486111111</v>
      </c>
      <c r="C339" s="1" t="n">
        <v>46178</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46178</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9504-2026</t>
        </is>
      </c>
      <c r="B341" s="1" t="n">
        <v>46071.57730324074</v>
      </c>
      <c r="C341" s="1" t="n">
        <v>46178</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9518-2026</t>
        </is>
      </c>
      <c r="B342" s="1" t="n">
        <v>46071.59653935185</v>
      </c>
      <c r="C342" s="1" t="n">
        <v>46178</v>
      </c>
      <c r="D342" t="inlineStr">
        <is>
          <t>GOTLANDS LÄN</t>
        </is>
      </c>
      <c r="E342" t="inlineStr">
        <is>
          <t>GOTLAND</t>
        </is>
      </c>
      <c r="G342" t="n">
        <v>6.2</v>
      </c>
      <c r="H342" t="n">
        <v>0</v>
      </c>
      <c r="I342" t="n">
        <v>0</v>
      </c>
      <c r="J342" t="n">
        <v>0</v>
      </c>
      <c r="K342" t="n">
        <v>0</v>
      </c>
      <c r="L342" t="n">
        <v>0</v>
      </c>
      <c r="M342" t="n">
        <v>0</v>
      </c>
      <c r="N342" t="n">
        <v>0</v>
      </c>
      <c r="O342" t="n">
        <v>0</v>
      </c>
      <c r="P342" t="n">
        <v>0</v>
      </c>
      <c r="Q342" t="n">
        <v>0</v>
      </c>
      <c r="R342" s="2" t="inlineStr"/>
    </row>
    <row r="343" ht="15" customHeight="1">
      <c r="A343" t="inlineStr">
        <is>
          <t>A 9519-2026</t>
        </is>
      </c>
      <c r="B343" s="1" t="n">
        <v>46071.59820601852</v>
      </c>
      <c r="C343" s="1" t="n">
        <v>46178</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13037-2025</t>
        </is>
      </c>
      <c r="B344" s="1" t="n">
        <v>45734</v>
      </c>
      <c r="C344" s="1" t="n">
        <v>46178</v>
      </c>
      <c r="D344" t="inlineStr">
        <is>
          <t>GOTLANDS LÄN</t>
        </is>
      </c>
      <c r="E344" t="inlineStr">
        <is>
          <t>GOTLAND</t>
        </is>
      </c>
      <c r="G344" t="n">
        <v>9.5</v>
      </c>
      <c r="H344" t="n">
        <v>0</v>
      </c>
      <c r="I344" t="n">
        <v>0</v>
      </c>
      <c r="J344" t="n">
        <v>0</v>
      </c>
      <c r="K344" t="n">
        <v>0</v>
      </c>
      <c r="L344" t="n">
        <v>0</v>
      </c>
      <c r="M344" t="n">
        <v>0</v>
      </c>
      <c r="N344" t="n">
        <v>0</v>
      </c>
      <c r="O344" t="n">
        <v>0</v>
      </c>
      <c r="P344" t="n">
        <v>0</v>
      </c>
      <c r="Q344" t="n">
        <v>0</v>
      </c>
      <c r="R344" s="2" t="inlineStr"/>
    </row>
    <row r="345" ht="15" customHeight="1">
      <c r="A345" t="inlineStr">
        <is>
          <t>A 9901-2026</t>
        </is>
      </c>
      <c r="B345" s="1" t="n">
        <v>46073.40391203704</v>
      </c>
      <c r="C345" s="1" t="n">
        <v>46178</v>
      </c>
      <c r="D345" t="inlineStr">
        <is>
          <t>GOTLANDS LÄN</t>
        </is>
      </c>
      <c r="E345" t="inlineStr">
        <is>
          <t>GOTLAND</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46178</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10284-2026</t>
        </is>
      </c>
      <c r="B347" s="1" t="n">
        <v>46076</v>
      </c>
      <c r="C347" s="1" t="n">
        <v>46178</v>
      </c>
      <c r="D347" t="inlineStr">
        <is>
          <t>GOTLANDS LÄN</t>
        </is>
      </c>
      <c r="E347" t="inlineStr">
        <is>
          <t>GOTLAND</t>
        </is>
      </c>
      <c r="G347" t="n">
        <v>5.2</v>
      </c>
      <c r="H347" t="n">
        <v>0</v>
      </c>
      <c r="I347" t="n">
        <v>0</v>
      </c>
      <c r="J347" t="n">
        <v>0</v>
      </c>
      <c r="K347" t="n">
        <v>0</v>
      </c>
      <c r="L347" t="n">
        <v>0</v>
      </c>
      <c r="M347" t="n">
        <v>0</v>
      </c>
      <c r="N347" t="n">
        <v>0</v>
      </c>
      <c r="O347" t="n">
        <v>0</v>
      </c>
      <c r="P347" t="n">
        <v>0</v>
      </c>
      <c r="Q347" t="n">
        <v>0</v>
      </c>
      <c r="R347" s="2" t="inlineStr"/>
    </row>
    <row r="348" ht="15" customHeight="1">
      <c r="A348" t="inlineStr">
        <is>
          <t>A 10486-2026</t>
        </is>
      </c>
      <c r="B348" s="1" t="n">
        <v>46077.51425925926</v>
      </c>
      <c r="C348" s="1" t="n">
        <v>46178</v>
      </c>
      <c r="D348" t="inlineStr">
        <is>
          <t>GOTLANDS LÄN</t>
        </is>
      </c>
      <c r="E348" t="inlineStr">
        <is>
          <t>GOTLAND</t>
        </is>
      </c>
      <c r="G348" t="n">
        <v>3.5</v>
      </c>
      <c r="H348" t="n">
        <v>0</v>
      </c>
      <c r="I348" t="n">
        <v>0</v>
      </c>
      <c r="J348" t="n">
        <v>0</v>
      </c>
      <c r="K348" t="n">
        <v>0</v>
      </c>
      <c r="L348" t="n">
        <v>0</v>
      </c>
      <c r="M348" t="n">
        <v>0</v>
      </c>
      <c r="N348" t="n">
        <v>0</v>
      </c>
      <c r="O348" t="n">
        <v>0</v>
      </c>
      <c r="P348" t="n">
        <v>0</v>
      </c>
      <c r="Q348" t="n">
        <v>0</v>
      </c>
      <c r="R348" s="2" t="inlineStr"/>
    </row>
    <row r="349" ht="15" customHeight="1">
      <c r="A349" t="inlineStr">
        <is>
          <t>A 35550-2025</t>
        </is>
      </c>
      <c r="B349" s="1" t="n">
        <v>45856.49324074074</v>
      </c>
      <c r="C349" s="1" t="n">
        <v>46178</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10746-2025</t>
        </is>
      </c>
      <c r="B350" s="1" t="n">
        <v>45722.42766203704</v>
      </c>
      <c r="C350" s="1" t="n">
        <v>46178</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30489-2025</t>
        </is>
      </c>
      <c r="B351" s="1" t="n">
        <v>45830</v>
      </c>
      <c r="C351" s="1" t="n">
        <v>46178</v>
      </c>
      <c r="D351" t="inlineStr">
        <is>
          <t>GOTLANDS LÄN</t>
        </is>
      </c>
      <c r="E351" t="inlineStr">
        <is>
          <t>GOTLAND</t>
        </is>
      </c>
      <c r="G351" t="n">
        <v>4.6</v>
      </c>
      <c r="H351" t="n">
        <v>0</v>
      </c>
      <c r="I351" t="n">
        <v>0</v>
      </c>
      <c r="J351" t="n">
        <v>0</v>
      </c>
      <c r="K351" t="n">
        <v>0</v>
      </c>
      <c r="L351" t="n">
        <v>0</v>
      </c>
      <c r="M351" t="n">
        <v>0</v>
      </c>
      <c r="N351" t="n">
        <v>0</v>
      </c>
      <c r="O351" t="n">
        <v>0</v>
      </c>
      <c r="P351" t="n">
        <v>0</v>
      </c>
      <c r="Q351" t="n">
        <v>0</v>
      </c>
      <c r="R351" s="2" t="inlineStr"/>
    </row>
    <row r="352" ht="15" customHeight="1">
      <c r="A352" t="inlineStr">
        <is>
          <t>A 21142-2025</t>
        </is>
      </c>
      <c r="B352" s="1" t="n">
        <v>45779</v>
      </c>
      <c r="C352" s="1" t="n">
        <v>46178</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6108-2025</t>
        </is>
      </c>
      <c r="B353" s="1" t="n">
        <v>45698.29880787037</v>
      </c>
      <c r="C353" s="1" t="n">
        <v>46178</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47578-2025</t>
        </is>
      </c>
      <c r="B354" s="1" t="n">
        <v>45931</v>
      </c>
      <c r="C354" s="1" t="n">
        <v>46178</v>
      </c>
      <c r="D354" t="inlineStr">
        <is>
          <t>GOTLANDS LÄN</t>
        </is>
      </c>
      <c r="E354" t="inlineStr">
        <is>
          <t>GOTLAND</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33011-2025</t>
        </is>
      </c>
      <c r="B355" s="1" t="n">
        <v>45840</v>
      </c>
      <c r="C355" s="1" t="n">
        <v>46178</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17343-2025</t>
        </is>
      </c>
      <c r="B356" s="1" t="n">
        <v>45756.6687037037</v>
      </c>
      <c r="C356" s="1" t="n">
        <v>46178</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18938-2025</t>
        </is>
      </c>
      <c r="B357" s="1" t="n">
        <v>45764.49172453704</v>
      </c>
      <c r="C357" s="1" t="n">
        <v>46178</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20307-2025</t>
        </is>
      </c>
      <c r="B358" s="1" t="n">
        <v>45774.95546296296</v>
      </c>
      <c r="C358" s="1" t="n">
        <v>46178</v>
      </c>
      <c r="D358" t="inlineStr">
        <is>
          <t>GOTLANDS LÄN</t>
        </is>
      </c>
      <c r="E358" t="inlineStr">
        <is>
          <t>GOTLAND</t>
        </is>
      </c>
      <c r="G358" t="n">
        <v>6.8</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46178</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11424-2026</t>
        </is>
      </c>
      <c r="B360" s="1" t="n">
        <v>46083.48068287037</v>
      </c>
      <c r="C360" s="1" t="n">
        <v>46178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3067-2026</t>
        </is>
      </c>
      <c r="B361" s="1" t="n">
        <v>46040.59025462963</v>
      </c>
      <c r="C361" s="1" t="n">
        <v>46178</v>
      </c>
      <c r="D361" t="inlineStr">
        <is>
          <t>GOTLANDS LÄN</t>
        </is>
      </c>
      <c r="E361" t="inlineStr">
        <is>
          <t>GOTLAND</t>
        </is>
      </c>
      <c r="G361" t="n">
        <v>7.8</v>
      </c>
      <c r="H361" t="n">
        <v>0</v>
      </c>
      <c r="I361" t="n">
        <v>0</v>
      </c>
      <c r="J361" t="n">
        <v>0</v>
      </c>
      <c r="K361" t="n">
        <v>0</v>
      </c>
      <c r="L361" t="n">
        <v>0</v>
      </c>
      <c r="M361" t="n">
        <v>0</v>
      </c>
      <c r="N361" t="n">
        <v>0</v>
      </c>
      <c r="O361" t="n">
        <v>0</v>
      </c>
      <c r="P361" t="n">
        <v>0</v>
      </c>
      <c r="Q361" t="n">
        <v>0</v>
      </c>
      <c r="R361" s="2" t="inlineStr"/>
    </row>
    <row r="362" ht="15" customHeight="1">
      <c r="A362" t="inlineStr">
        <is>
          <t>A 11414-2026</t>
        </is>
      </c>
      <c r="B362" s="1" t="n">
        <v>46083.46336805556</v>
      </c>
      <c r="C362" s="1" t="n">
        <v>46178</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12135-2026</t>
        </is>
      </c>
      <c r="B363" s="1" t="n">
        <v>46086</v>
      </c>
      <c r="C363" s="1" t="n">
        <v>46178</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11982-2026</t>
        </is>
      </c>
      <c r="B364" s="1" t="n">
        <v>46085.6434375</v>
      </c>
      <c r="C364" s="1" t="n">
        <v>46178</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49730-2025</t>
        </is>
      </c>
      <c r="B365" s="1" t="n">
        <v>45939.87613425926</v>
      </c>
      <c r="C365" s="1" t="n">
        <v>46178</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43229-2023</t>
        </is>
      </c>
      <c r="B366" s="1" t="n">
        <v>45183.46704861111</v>
      </c>
      <c r="C366" s="1" t="n">
        <v>46178</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18993-2025</t>
        </is>
      </c>
      <c r="B367" s="1" t="n">
        <v>45764</v>
      </c>
      <c r="C367" s="1" t="n">
        <v>46178</v>
      </c>
      <c r="D367" t="inlineStr">
        <is>
          <t>GOTLANDS LÄN</t>
        </is>
      </c>
      <c r="E367" t="inlineStr">
        <is>
          <t>GOTLAND</t>
        </is>
      </c>
      <c r="G367" t="n">
        <v>3</v>
      </c>
      <c r="H367" t="n">
        <v>0</v>
      </c>
      <c r="I367" t="n">
        <v>0</v>
      </c>
      <c r="J367" t="n">
        <v>0</v>
      </c>
      <c r="K367" t="n">
        <v>0</v>
      </c>
      <c r="L367" t="n">
        <v>0</v>
      </c>
      <c r="M367" t="n">
        <v>0</v>
      </c>
      <c r="N367" t="n">
        <v>0</v>
      </c>
      <c r="O367" t="n">
        <v>0</v>
      </c>
      <c r="P367" t="n">
        <v>0</v>
      </c>
      <c r="Q367" t="n">
        <v>0</v>
      </c>
      <c r="R367" s="2" t="inlineStr"/>
    </row>
    <row r="368" ht="15" customHeight="1">
      <c r="A368" t="inlineStr">
        <is>
          <t>A 30135-2025</t>
        </is>
      </c>
      <c r="B368" s="1" t="n">
        <v>45826</v>
      </c>
      <c r="C368" s="1" t="n">
        <v>46178</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41038-2023</t>
        </is>
      </c>
      <c r="B369" s="1" t="n">
        <v>45173.60959490741</v>
      </c>
      <c r="C369" s="1" t="n">
        <v>46178</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50431-2025</t>
        </is>
      </c>
      <c r="B370" s="1" t="n">
        <v>45944.68453703704</v>
      </c>
      <c r="C370" s="1" t="n">
        <v>46178</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12599-2025</t>
        </is>
      </c>
      <c r="B371" s="1" t="n">
        <v>45733.29546296296</v>
      </c>
      <c r="C371" s="1" t="n">
        <v>46178</v>
      </c>
      <c r="D371" t="inlineStr">
        <is>
          <t>GOTLANDS LÄN</t>
        </is>
      </c>
      <c r="E371" t="inlineStr">
        <is>
          <t>GOTLAND</t>
        </is>
      </c>
      <c r="G371" t="n">
        <v>4.7</v>
      </c>
      <c r="H371" t="n">
        <v>0</v>
      </c>
      <c r="I371" t="n">
        <v>0</v>
      </c>
      <c r="J371" t="n">
        <v>0</v>
      </c>
      <c r="K371" t="n">
        <v>0</v>
      </c>
      <c r="L371" t="n">
        <v>0</v>
      </c>
      <c r="M371" t="n">
        <v>0</v>
      </c>
      <c r="N371" t="n">
        <v>0</v>
      </c>
      <c r="O371" t="n">
        <v>0</v>
      </c>
      <c r="P371" t="n">
        <v>0</v>
      </c>
      <c r="Q371" t="n">
        <v>0</v>
      </c>
      <c r="R371" s="2" t="inlineStr"/>
    </row>
    <row r="372" ht="15" customHeight="1">
      <c r="A372" t="inlineStr">
        <is>
          <t>A 50928-2025</t>
        </is>
      </c>
      <c r="B372" s="1" t="n">
        <v>45946.67896990741</v>
      </c>
      <c r="C372" s="1" t="n">
        <v>46178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46178</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42201-2023</t>
        </is>
      </c>
      <c r="B374" s="1" t="n">
        <v>45179</v>
      </c>
      <c r="C374" s="1" t="n">
        <v>46178</v>
      </c>
      <c r="D374" t="inlineStr">
        <is>
          <t>GOTLANDS LÄN</t>
        </is>
      </c>
      <c r="E374" t="inlineStr">
        <is>
          <t>GOTLAND</t>
        </is>
      </c>
      <c r="G374" t="n">
        <v>11.9</v>
      </c>
      <c r="H374" t="n">
        <v>0</v>
      </c>
      <c r="I374" t="n">
        <v>0</v>
      </c>
      <c r="J374" t="n">
        <v>0</v>
      </c>
      <c r="K374" t="n">
        <v>0</v>
      </c>
      <c r="L374" t="n">
        <v>0</v>
      </c>
      <c r="M374" t="n">
        <v>0</v>
      </c>
      <c r="N374" t="n">
        <v>0</v>
      </c>
      <c r="O374" t="n">
        <v>0</v>
      </c>
      <c r="P374" t="n">
        <v>0</v>
      </c>
      <c r="Q374" t="n">
        <v>0</v>
      </c>
      <c r="R374" s="2" t="inlineStr"/>
    </row>
    <row r="375" ht="15" customHeight="1">
      <c r="A375" t="inlineStr">
        <is>
          <t>A 24966-2023</t>
        </is>
      </c>
      <c r="B375" s="1" t="n">
        <v>45085</v>
      </c>
      <c r="C375" s="1" t="n">
        <v>46178</v>
      </c>
      <c r="D375" t="inlineStr">
        <is>
          <t>GOTLANDS LÄN</t>
        </is>
      </c>
      <c r="E375" t="inlineStr">
        <is>
          <t>GOTLAND</t>
        </is>
      </c>
      <c r="G375" t="n">
        <v>7</v>
      </c>
      <c r="H375" t="n">
        <v>0</v>
      </c>
      <c r="I375" t="n">
        <v>0</v>
      </c>
      <c r="J375" t="n">
        <v>0</v>
      </c>
      <c r="K375" t="n">
        <v>0</v>
      </c>
      <c r="L375" t="n">
        <v>0</v>
      </c>
      <c r="M375" t="n">
        <v>0</v>
      </c>
      <c r="N375" t="n">
        <v>0</v>
      </c>
      <c r="O375" t="n">
        <v>0</v>
      </c>
      <c r="P375" t="n">
        <v>0</v>
      </c>
      <c r="Q375" t="n">
        <v>0</v>
      </c>
      <c r="R375" s="2" t="inlineStr"/>
    </row>
    <row r="376" ht="15" customHeight="1">
      <c r="A376" t="inlineStr">
        <is>
          <t>A 57652-2023</t>
        </is>
      </c>
      <c r="B376" s="1" t="n">
        <v>45246</v>
      </c>
      <c r="C376" s="1" t="n">
        <v>46178</v>
      </c>
      <c r="D376" t="inlineStr">
        <is>
          <t>GOTLANDS LÄN</t>
        </is>
      </c>
      <c r="E376" t="inlineStr">
        <is>
          <t>GOTLAND</t>
        </is>
      </c>
      <c r="G376" t="n">
        <v>7.2</v>
      </c>
      <c r="H376" t="n">
        <v>0</v>
      </c>
      <c r="I376" t="n">
        <v>0</v>
      </c>
      <c r="J376" t="n">
        <v>0</v>
      </c>
      <c r="K376" t="n">
        <v>0</v>
      </c>
      <c r="L376" t="n">
        <v>0</v>
      </c>
      <c r="M376" t="n">
        <v>0</v>
      </c>
      <c r="N376" t="n">
        <v>0</v>
      </c>
      <c r="O376" t="n">
        <v>0</v>
      </c>
      <c r="P376" t="n">
        <v>0</v>
      </c>
      <c r="Q376" t="n">
        <v>0</v>
      </c>
      <c r="R376" s="2" t="inlineStr"/>
    </row>
    <row r="377" ht="15" customHeight="1">
      <c r="A377" t="inlineStr">
        <is>
          <t>A 46189-2022</t>
        </is>
      </c>
      <c r="B377" s="1" t="n">
        <v>44847</v>
      </c>
      <c r="C377" s="1" t="n">
        <v>46178</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57522-2022</t>
        </is>
      </c>
      <c r="B378" s="1" t="n">
        <v>44896</v>
      </c>
      <c r="C378" s="1" t="n">
        <v>46178</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14797-2024</t>
        </is>
      </c>
      <c r="B379" s="1" t="n">
        <v>45397.87030092593</v>
      </c>
      <c r="C379" s="1" t="n">
        <v>46178</v>
      </c>
      <c r="D379" t="inlineStr">
        <is>
          <t>GOTLANDS LÄN</t>
        </is>
      </c>
      <c r="E379" t="inlineStr">
        <is>
          <t>GOTLAND</t>
        </is>
      </c>
      <c r="G379" t="n">
        <v>8.1</v>
      </c>
      <c r="H379" t="n">
        <v>0</v>
      </c>
      <c r="I379" t="n">
        <v>0</v>
      </c>
      <c r="J379" t="n">
        <v>0</v>
      </c>
      <c r="K379" t="n">
        <v>0</v>
      </c>
      <c r="L379" t="n">
        <v>0</v>
      </c>
      <c r="M379" t="n">
        <v>0</v>
      </c>
      <c r="N379" t="n">
        <v>0</v>
      </c>
      <c r="O379" t="n">
        <v>0</v>
      </c>
      <c r="P379" t="n">
        <v>0</v>
      </c>
      <c r="Q379" t="n">
        <v>0</v>
      </c>
      <c r="R379" s="2" t="inlineStr"/>
    </row>
    <row r="380" ht="15" customHeight="1">
      <c r="A380" t="inlineStr">
        <is>
          <t>A 7837-2024</t>
        </is>
      </c>
      <c r="B380" s="1" t="n">
        <v>45349.83787037037</v>
      </c>
      <c r="C380" s="1" t="n">
        <v>46178</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63000-2025</t>
        </is>
      </c>
      <c r="B381" s="1" t="n">
        <v>46009</v>
      </c>
      <c r="C381" s="1" t="n">
        <v>46178</v>
      </c>
      <c r="D381" t="inlineStr">
        <is>
          <t>GOTLANDS LÄN</t>
        </is>
      </c>
      <c r="E381" t="inlineStr">
        <is>
          <t>GOTLAND</t>
        </is>
      </c>
      <c r="F381" t="inlineStr">
        <is>
          <t>Övriga Aktiebolag</t>
        </is>
      </c>
      <c r="G381" t="n">
        <v>1.7</v>
      </c>
      <c r="H381" t="n">
        <v>0</v>
      </c>
      <c r="I381" t="n">
        <v>0</v>
      </c>
      <c r="J381" t="n">
        <v>0</v>
      </c>
      <c r="K381" t="n">
        <v>0</v>
      </c>
      <c r="L381" t="n">
        <v>0</v>
      </c>
      <c r="M381" t="n">
        <v>0</v>
      </c>
      <c r="N381" t="n">
        <v>0</v>
      </c>
      <c r="O381" t="n">
        <v>0</v>
      </c>
      <c r="P381" t="n">
        <v>0</v>
      </c>
      <c r="Q381" t="n">
        <v>0</v>
      </c>
      <c r="R381" s="2" t="inlineStr"/>
    </row>
    <row r="382" ht="15" customHeight="1">
      <c r="A382" t="inlineStr">
        <is>
          <t>A 1394-2023</t>
        </is>
      </c>
      <c r="B382" s="1" t="n">
        <v>44936.72997685185</v>
      </c>
      <c r="C382" s="1" t="n">
        <v>46178</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2676-2023</t>
        </is>
      </c>
      <c r="B383" s="1" t="n">
        <v>44944</v>
      </c>
      <c r="C383" s="1" t="n">
        <v>46178</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4387-2023</t>
        </is>
      </c>
      <c r="B384" s="1" t="n">
        <v>44955.73359953704</v>
      </c>
      <c r="C384" s="1" t="n">
        <v>46178</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62751-2025</t>
        </is>
      </c>
      <c r="B385" s="1" t="n">
        <v>46008</v>
      </c>
      <c r="C385" s="1" t="n">
        <v>46178</v>
      </c>
      <c r="D385" t="inlineStr">
        <is>
          <t>GOTLANDS LÄN</t>
        </is>
      </c>
      <c r="E385" t="inlineStr">
        <is>
          <t>GOTLAND</t>
        </is>
      </c>
      <c r="F385" t="inlineStr">
        <is>
          <t>Övriga Aktiebolag</t>
        </is>
      </c>
      <c r="G385" t="n">
        <v>7.8</v>
      </c>
      <c r="H385" t="n">
        <v>0</v>
      </c>
      <c r="I385" t="n">
        <v>0</v>
      </c>
      <c r="J385" t="n">
        <v>0</v>
      </c>
      <c r="K385" t="n">
        <v>0</v>
      </c>
      <c r="L385" t="n">
        <v>0</v>
      </c>
      <c r="M385" t="n">
        <v>0</v>
      </c>
      <c r="N385" t="n">
        <v>0</v>
      </c>
      <c r="O385" t="n">
        <v>0</v>
      </c>
      <c r="P385" t="n">
        <v>0</v>
      </c>
      <c r="Q385" t="n">
        <v>0</v>
      </c>
      <c r="R385" s="2" t="inlineStr"/>
    </row>
    <row r="386" ht="15" customHeight="1">
      <c r="A386" t="inlineStr">
        <is>
          <t>A 13486-2026</t>
        </is>
      </c>
      <c r="B386" s="1" t="n">
        <v>46094</v>
      </c>
      <c r="C386" s="1" t="n">
        <v>46178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49411-2023</t>
        </is>
      </c>
      <c r="B387" s="1" t="n">
        <v>45205</v>
      </c>
      <c r="C387" s="1" t="n">
        <v>46178</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37728-2024</t>
        </is>
      </c>
      <c r="B388" s="1" t="n">
        <v>45541</v>
      </c>
      <c r="C388" s="1" t="n">
        <v>46178</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2241-2025</t>
        </is>
      </c>
      <c r="B389" s="1" t="n">
        <v>45673.48710648148</v>
      </c>
      <c r="C389" s="1" t="n">
        <v>46178</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46178</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53569-2025</t>
        </is>
      </c>
      <c r="B391" s="1" t="n">
        <v>45960.41155092593</v>
      </c>
      <c r="C391" s="1" t="n">
        <v>46178</v>
      </c>
      <c r="D391" t="inlineStr">
        <is>
          <t>GOTLANDS LÄN</t>
        </is>
      </c>
      <c r="E391" t="inlineStr">
        <is>
          <t>GOTLAND</t>
        </is>
      </c>
      <c r="F391" t="inlineStr">
        <is>
          <t>Övriga Aktiebolag</t>
        </is>
      </c>
      <c r="G391" t="n">
        <v>11.3</v>
      </c>
      <c r="H391" t="n">
        <v>0</v>
      </c>
      <c r="I391" t="n">
        <v>0</v>
      </c>
      <c r="J391" t="n">
        <v>0</v>
      </c>
      <c r="K391" t="n">
        <v>0</v>
      </c>
      <c r="L391" t="n">
        <v>0</v>
      </c>
      <c r="M391" t="n">
        <v>0</v>
      </c>
      <c r="N391" t="n">
        <v>0</v>
      </c>
      <c r="O391" t="n">
        <v>0</v>
      </c>
      <c r="P391" t="n">
        <v>0</v>
      </c>
      <c r="Q391" t="n">
        <v>0</v>
      </c>
      <c r="R391" s="2" t="inlineStr"/>
    </row>
    <row r="392" ht="15" customHeight="1">
      <c r="A392" t="inlineStr">
        <is>
          <t>A 22275-2023</t>
        </is>
      </c>
      <c r="B392" s="1" t="n">
        <v>45070.39875</v>
      </c>
      <c r="C392" s="1" t="n">
        <v>46178</v>
      </c>
      <c r="D392" t="inlineStr">
        <is>
          <t>GOTLANDS LÄN</t>
        </is>
      </c>
      <c r="E392" t="inlineStr">
        <is>
          <t>GOTLAND</t>
        </is>
      </c>
      <c r="G392" t="n">
        <v>7.2</v>
      </c>
      <c r="H392" t="n">
        <v>0</v>
      </c>
      <c r="I392" t="n">
        <v>0</v>
      </c>
      <c r="J392" t="n">
        <v>0</v>
      </c>
      <c r="K392" t="n">
        <v>0</v>
      </c>
      <c r="L392" t="n">
        <v>0</v>
      </c>
      <c r="M392" t="n">
        <v>0</v>
      </c>
      <c r="N392" t="n">
        <v>0</v>
      </c>
      <c r="O392" t="n">
        <v>0</v>
      </c>
      <c r="P392" t="n">
        <v>0</v>
      </c>
      <c r="Q392" t="n">
        <v>0</v>
      </c>
      <c r="R392" s="2" t="inlineStr"/>
    </row>
    <row r="393" ht="15" customHeight="1">
      <c r="A393" t="inlineStr">
        <is>
          <t>A 14635-2023</t>
        </is>
      </c>
      <c r="B393" s="1" t="n">
        <v>45013.69365740741</v>
      </c>
      <c r="C393" s="1" t="n">
        <v>46178</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63763-2023</t>
        </is>
      </c>
      <c r="B394" s="1" t="n">
        <v>45278.33944444444</v>
      </c>
      <c r="C394" s="1" t="n">
        <v>46178</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7636-2025</t>
        </is>
      </c>
      <c r="B395" s="1" t="n">
        <v>45705.7687962963</v>
      </c>
      <c r="C395" s="1" t="n">
        <v>46178</v>
      </c>
      <c r="D395" t="inlineStr">
        <is>
          <t>GOTLANDS LÄN</t>
        </is>
      </c>
      <c r="E395" t="inlineStr">
        <is>
          <t>GOTLAND</t>
        </is>
      </c>
      <c r="G395" t="n">
        <v>0.6</v>
      </c>
      <c r="H395" t="n">
        <v>0</v>
      </c>
      <c r="I395" t="n">
        <v>0</v>
      </c>
      <c r="J395" t="n">
        <v>0</v>
      </c>
      <c r="K395" t="n">
        <v>0</v>
      </c>
      <c r="L395" t="n">
        <v>0</v>
      </c>
      <c r="M395" t="n">
        <v>0</v>
      </c>
      <c r="N395" t="n">
        <v>0</v>
      </c>
      <c r="O395" t="n">
        <v>0</v>
      </c>
      <c r="P395" t="n">
        <v>0</v>
      </c>
      <c r="Q395" t="n">
        <v>0</v>
      </c>
      <c r="R395" s="2" t="inlineStr"/>
    </row>
    <row r="396" ht="15" customHeight="1">
      <c r="A396" t="inlineStr">
        <is>
          <t>A 7639-2025</t>
        </is>
      </c>
      <c r="B396" s="1" t="n">
        <v>45705.77465277778</v>
      </c>
      <c r="C396" s="1" t="n">
        <v>46178</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14840-2026</t>
        </is>
      </c>
      <c r="B397" s="1" t="n">
        <v>46104.39498842593</v>
      </c>
      <c r="C397" s="1" t="n">
        <v>46178</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61682-2024</t>
        </is>
      </c>
      <c r="B398" s="1" t="n">
        <v>45647.48824074074</v>
      </c>
      <c r="C398" s="1" t="n">
        <v>46178</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15434-2024</t>
        </is>
      </c>
      <c r="B399" s="1" t="n">
        <v>45401.38836805556</v>
      </c>
      <c r="C399" s="1" t="n">
        <v>46178</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7034-2023</t>
        </is>
      </c>
      <c r="B400" s="1" t="n">
        <v>44968.32108796296</v>
      </c>
      <c r="C400" s="1" t="n">
        <v>46178</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7042-2023</t>
        </is>
      </c>
      <c r="B401" s="1" t="n">
        <v>44968</v>
      </c>
      <c r="C401" s="1" t="n">
        <v>46178</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21396-2026</t>
        </is>
      </c>
      <c r="B402" s="1" t="n">
        <v>46148.30710648148</v>
      </c>
      <c r="C402" s="1" t="n">
        <v>46178</v>
      </c>
      <c r="D402" t="inlineStr">
        <is>
          <t>GOTLANDS LÄN</t>
        </is>
      </c>
      <c r="E402" t="inlineStr">
        <is>
          <t>GOTLAND</t>
        </is>
      </c>
      <c r="G402" t="n">
        <v>6.1</v>
      </c>
      <c r="H402" t="n">
        <v>0</v>
      </c>
      <c r="I402" t="n">
        <v>0</v>
      </c>
      <c r="J402" t="n">
        <v>0</v>
      </c>
      <c r="K402" t="n">
        <v>0</v>
      </c>
      <c r="L402" t="n">
        <v>0</v>
      </c>
      <c r="M402" t="n">
        <v>0</v>
      </c>
      <c r="N402" t="n">
        <v>0</v>
      </c>
      <c r="O402" t="n">
        <v>0</v>
      </c>
      <c r="P402" t="n">
        <v>0</v>
      </c>
      <c r="Q402" t="n">
        <v>0</v>
      </c>
      <c r="R402" s="2" t="inlineStr"/>
    </row>
    <row r="403" ht="15" customHeight="1">
      <c r="A403" t="inlineStr">
        <is>
          <t>A 4662-2026</t>
        </is>
      </c>
      <c r="B403" s="1" t="n">
        <v>46048.40949074074</v>
      </c>
      <c r="C403" s="1" t="n">
        <v>46178</v>
      </c>
      <c r="D403" t="inlineStr">
        <is>
          <t>GOTLANDS LÄN</t>
        </is>
      </c>
      <c r="E403" t="inlineStr">
        <is>
          <t>GOTLAND</t>
        </is>
      </c>
      <c r="G403" t="n">
        <v>7.6</v>
      </c>
      <c r="H403" t="n">
        <v>0</v>
      </c>
      <c r="I403" t="n">
        <v>0</v>
      </c>
      <c r="J403" t="n">
        <v>0</v>
      </c>
      <c r="K403" t="n">
        <v>0</v>
      </c>
      <c r="L403" t="n">
        <v>0</v>
      </c>
      <c r="M403" t="n">
        <v>0</v>
      </c>
      <c r="N403" t="n">
        <v>0</v>
      </c>
      <c r="O403" t="n">
        <v>0</v>
      </c>
      <c r="P403" t="n">
        <v>0</v>
      </c>
      <c r="Q403" t="n">
        <v>0</v>
      </c>
      <c r="R403" s="2" t="inlineStr"/>
    </row>
    <row r="404" ht="15" customHeight="1">
      <c r="A404" t="inlineStr">
        <is>
          <t>A 54074-2022</t>
        </is>
      </c>
      <c r="B404" s="1" t="n">
        <v>44881</v>
      </c>
      <c r="C404" s="1" t="n">
        <v>46178</v>
      </c>
      <c r="D404" t="inlineStr">
        <is>
          <t>GOTLANDS LÄN</t>
        </is>
      </c>
      <c r="E404" t="inlineStr">
        <is>
          <t>GOTLAND</t>
        </is>
      </c>
      <c r="G404" t="n">
        <v>0.9</v>
      </c>
      <c r="H404" t="n">
        <v>0</v>
      </c>
      <c r="I404" t="n">
        <v>0</v>
      </c>
      <c r="J404" t="n">
        <v>0</v>
      </c>
      <c r="K404" t="n">
        <v>0</v>
      </c>
      <c r="L404" t="n">
        <v>0</v>
      </c>
      <c r="M404" t="n">
        <v>0</v>
      </c>
      <c r="N404" t="n">
        <v>0</v>
      </c>
      <c r="O404" t="n">
        <v>0</v>
      </c>
      <c r="P404" t="n">
        <v>0</v>
      </c>
      <c r="Q404" t="n">
        <v>0</v>
      </c>
      <c r="R404" s="2" t="inlineStr"/>
    </row>
    <row r="405" ht="15" customHeight="1">
      <c r="A405" t="inlineStr">
        <is>
          <t>A 22351-2026</t>
        </is>
      </c>
      <c r="B405" s="1" t="n">
        <v>46154.58350694444</v>
      </c>
      <c r="C405" s="1" t="n">
        <v>46178</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61694-2023</t>
        </is>
      </c>
      <c r="B406" s="1" t="n">
        <v>45264</v>
      </c>
      <c r="C406" s="1" t="n">
        <v>46178</v>
      </c>
      <c r="D406" t="inlineStr">
        <is>
          <t>GOTLANDS LÄN</t>
        </is>
      </c>
      <c r="E406" t="inlineStr">
        <is>
          <t>GOTLAND</t>
        </is>
      </c>
      <c r="G406" t="n">
        <v>4.6</v>
      </c>
      <c r="H406" t="n">
        <v>0</v>
      </c>
      <c r="I406" t="n">
        <v>0</v>
      </c>
      <c r="J406" t="n">
        <v>0</v>
      </c>
      <c r="K406" t="n">
        <v>0</v>
      </c>
      <c r="L406" t="n">
        <v>0</v>
      </c>
      <c r="M406" t="n">
        <v>0</v>
      </c>
      <c r="N406" t="n">
        <v>0</v>
      </c>
      <c r="O406" t="n">
        <v>0</v>
      </c>
      <c r="P406" t="n">
        <v>0</v>
      </c>
      <c r="Q406" t="n">
        <v>0</v>
      </c>
      <c r="R406" s="2" t="inlineStr"/>
    </row>
    <row r="407" ht="15" customHeight="1">
      <c r="A407" t="inlineStr">
        <is>
          <t>A 22348-2026</t>
        </is>
      </c>
      <c r="B407" s="1" t="n">
        <v>46154.58071759259</v>
      </c>
      <c r="C407" s="1" t="n">
        <v>46178</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64208-2021</t>
        </is>
      </c>
      <c r="B408" s="1" t="n">
        <v>44510</v>
      </c>
      <c r="C408" s="1" t="n">
        <v>46178</v>
      </c>
      <c r="D408" t="inlineStr">
        <is>
          <t>GOTLANDS LÄN</t>
        </is>
      </c>
      <c r="E408" t="inlineStr">
        <is>
          <t>GOTLAND</t>
        </is>
      </c>
      <c r="G408" t="n">
        <v>4.7</v>
      </c>
      <c r="H408" t="n">
        <v>0</v>
      </c>
      <c r="I408" t="n">
        <v>0</v>
      </c>
      <c r="J408" t="n">
        <v>0</v>
      </c>
      <c r="K408" t="n">
        <v>0</v>
      </c>
      <c r="L408" t="n">
        <v>0</v>
      </c>
      <c r="M408" t="n">
        <v>0</v>
      </c>
      <c r="N408" t="n">
        <v>0</v>
      </c>
      <c r="O408" t="n">
        <v>0</v>
      </c>
      <c r="P408" t="n">
        <v>0</v>
      </c>
      <c r="Q408" t="n">
        <v>0</v>
      </c>
      <c r="R408" s="2" t="inlineStr"/>
    </row>
    <row r="409" ht="15" customHeight="1">
      <c r="A409" t="inlineStr">
        <is>
          <t>A 22275-2026</t>
        </is>
      </c>
      <c r="B409" s="1" t="n">
        <v>46154.41924768518</v>
      </c>
      <c r="C409" s="1" t="n">
        <v>46178</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56688-2025</t>
        </is>
      </c>
      <c r="B410" s="1" t="n">
        <v>45975.84331018518</v>
      </c>
      <c r="C410" s="1" t="n">
        <v>46178</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56799-2025</t>
        </is>
      </c>
      <c r="B411" s="1" t="n">
        <v>45978.43392361111</v>
      </c>
      <c r="C411" s="1" t="n">
        <v>46178</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54268-2022</t>
        </is>
      </c>
      <c r="B412" s="1" t="n">
        <v>44882</v>
      </c>
      <c r="C412" s="1" t="n">
        <v>46178</v>
      </c>
      <c r="D412" t="inlineStr">
        <is>
          <t>GOTLANDS LÄN</t>
        </is>
      </c>
      <c r="E412" t="inlineStr">
        <is>
          <t>GOTLAND</t>
        </is>
      </c>
      <c r="G412" t="n">
        <v>2.7</v>
      </c>
      <c r="H412" t="n">
        <v>0</v>
      </c>
      <c r="I412" t="n">
        <v>0</v>
      </c>
      <c r="J412" t="n">
        <v>0</v>
      </c>
      <c r="K412" t="n">
        <v>0</v>
      </c>
      <c r="L412" t="n">
        <v>0</v>
      </c>
      <c r="M412" t="n">
        <v>0</v>
      </c>
      <c r="N412" t="n">
        <v>0</v>
      </c>
      <c r="O412" t="n">
        <v>0</v>
      </c>
      <c r="P412" t="n">
        <v>0</v>
      </c>
      <c r="Q412" t="n">
        <v>0</v>
      </c>
      <c r="R412" s="2" t="inlineStr"/>
    </row>
    <row r="413" ht="15" customHeight="1">
      <c r="A413" t="inlineStr">
        <is>
          <t>A 1446-2025</t>
        </is>
      </c>
      <c r="B413" s="1" t="n">
        <v>45669.86035879629</v>
      </c>
      <c r="C413" s="1" t="n">
        <v>46178</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1462-2025</t>
        </is>
      </c>
      <c r="B414" s="1" t="n">
        <v>45670.36319444444</v>
      </c>
      <c r="C414" s="1" t="n">
        <v>46178</v>
      </c>
      <c r="D414" t="inlineStr">
        <is>
          <t>GOTLANDS LÄN</t>
        </is>
      </c>
      <c r="E414" t="inlineStr">
        <is>
          <t>GOTLAND</t>
        </is>
      </c>
      <c r="G414" t="n">
        <v>2.8</v>
      </c>
      <c r="H414" t="n">
        <v>0</v>
      </c>
      <c r="I414" t="n">
        <v>0</v>
      </c>
      <c r="J414" t="n">
        <v>0</v>
      </c>
      <c r="K414" t="n">
        <v>0</v>
      </c>
      <c r="L414" t="n">
        <v>0</v>
      </c>
      <c r="M414" t="n">
        <v>0</v>
      </c>
      <c r="N414" t="n">
        <v>0</v>
      </c>
      <c r="O414" t="n">
        <v>0</v>
      </c>
      <c r="P414" t="n">
        <v>0</v>
      </c>
      <c r="Q414" t="n">
        <v>0</v>
      </c>
      <c r="R414" s="2" t="inlineStr"/>
    </row>
    <row r="415" ht="15" customHeight="1">
      <c r="A415" t="inlineStr">
        <is>
          <t>A 17000-2026</t>
        </is>
      </c>
      <c r="B415" s="1" t="n">
        <v>46114.42690972222</v>
      </c>
      <c r="C415" s="1" t="n">
        <v>46178</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57685-2022</t>
        </is>
      </c>
      <c r="B416" s="1" t="n">
        <v>44897.4777662037</v>
      </c>
      <c r="C416" s="1" t="n">
        <v>46178</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811-2023</t>
        </is>
      </c>
      <c r="B417" s="1" t="n">
        <v>44931</v>
      </c>
      <c r="C417" s="1" t="n">
        <v>46178</v>
      </c>
      <c r="D417" t="inlineStr">
        <is>
          <t>GOTLANDS LÄN</t>
        </is>
      </c>
      <c r="E417" t="inlineStr">
        <is>
          <t>GOTLAND</t>
        </is>
      </c>
      <c r="G417" t="n">
        <v>0.6</v>
      </c>
      <c r="H417" t="n">
        <v>0</v>
      </c>
      <c r="I417" t="n">
        <v>0</v>
      </c>
      <c r="J417" t="n">
        <v>0</v>
      </c>
      <c r="K417" t="n">
        <v>0</v>
      </c>
      <c r="L417" t="n">
        <v>0</v>
      </c>
      <c r="M417" t="n">
        <v>0</v>
      </c>
      <c r="N417" t="n">
        <v>0</v>
      </c>
      <c r="O417" t="n">
        <v>0</v>
      </c>
      <c r="P417" t="n">
        <v>0</v>
      </c>
      <c r="Q417" t="n">
        <v>0</v>
      </c>
      <c r="R417" s="2" t="inlineStr"/>
    </row>
    <row r="418" ht="15" customHeight="1">
      <c r="A418" t="inlineStr">
        <is>
          <t>A 16993-2026</t>
        </is>
      </c>
      <c r="B418" s="1" t="n">
        <v>46114.41918981481</v>
      </c>
      <c r="C418" s="1" t="n">
        <v>46178</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22887-2026</t>
        </is>
      </c>
      <c r="B419" s="1" t="n">
        <v>46160.47591435185</v>
      </c>
      <c r="C419" s="1" t="n">
        <v>46178</v>
      </c>
      <c r="D419" t="inlineStr">
        <is>
          <t>GOTLANDS LÄN</t>
        </is>
      </c>
      <c r="E419" t="inlineStr">
        <is>
          <t>GOTLAND</t>
        </is>
      </c>
      <c r="G419" t="n">
        <v>3.6</v>
      </c>
      <c r="H419" t="n">
        <v>0</v>
      </c>
      <c r="I419" t="n">
        <v>0</v>
      </c>
      <c r="J419" t="n">
        <v>0</v>
      </c>
      <c r="K419" t="n">
        <v>0</v>
      </c>
      <c r="L419" t="n">
        <v>0</v>
      </c>
      <c r="M419" t="n">
        <v>0</v>
      </c>
      <c r="N419" t="n">
        <v>0</v>
      </c>
      <c r="O419" t="n">
        <v>0</v>
      </c>
      <c r="P419" t="n">
        <v>0</v>
      </c>
      <c r="Q419" t="n">
        <v>0</v>
      </c>
      <c r="R419" s="2" t="inlineStr"/>
    </row>
    <row r="420" ht="15" customHeight="1">
      <c r="A420" t="inlineStr">
        <is>
          <t>A 63152-2025</t>
        </is>
      </c>
      <c r="B420" s="1" t="n">
        <v>46010</v>
      </c>
      <c r="C420" s="1" t="n">
        <v>46178</v>
      </c>
      <c r="D420" t="inlineStr">
        <is>
          <t>GOTLANDS LÄN</t>
        </is>
      </c>
      <c r="E420" t="inlineStr">
        <is>
          <t>GOTLAND</t>
        </is>
      </c>
      <c r="G420" t="n">
        <v>1.5</v>
      </c>
      <c r="H420" t="n">
        <v>0</v>
      </c>
      <c r="I420" t="n">
        <v>0</v>
      </c>
      <c r="J420" t="n">
        <v>0</v>
      </c>
      <c r="K420" t="n">
        <v>0</v>
      </c>
      <c r="L420" t="n">
        <v>0</v>
      </c>
      <c r="M420" t="n">
        <v>0</v>
      </c>
      <c r="N420" t="n">
        <v>0</v>
      </c>
      <c r="O420" t="n">
        <v>0</v>
      </c>
      <c r="P420" t="n">
        <v>0</v>
      </c>
      <c r="Q420" t="n">
        <v>0</v>
      </c>
      <c r="R420" s="2" t="inlineStr"/>
    </row>
    <row r="421" ht="15" customHeight="1">
      <c r="A421" t="inlineStr">
        <is>
          <t>A 5905-2024</t>
        </is>
      </c>
      <c r="B421" s="1" t="n">
        <v>45335.88993055555</v>
      </c>
      <c r="C421" s="1" t="n">
        <v>46178</v>
      </c>
      <c r="D421" t="inlineStr">
        <is>
          <t>GOTLANDS LÄN</t>
        </is>
      </c>
      <c r="E421" t="inlineStr">
        <is>
          <t>GOTLAND</t>
        </is>
      </c>
      <c r="G421" t="n">
        <v>3</v>
      </c>
      <c r="H421" t="n">
        <v>0</v>
      </c>
      <c r="I421" t="n">
        <v>0</v>
      </c>
      <c r="J421" t="n">
        <v>0</v>
      </c>
      <c r="K421" t="n">
        <v>0</v>
      </c>
      <c r="L421" t="n">
        <v>0</v>
      </c>
      <c r="M421" t="n">
        <v>0</v>
      </c>
      <c r="N421" t="n">
        <v>0</v>
      </c>
      <c r="O421" t="n">
        <v>0</v>
      </c>
      <c r="P421" t="n">
        <v>0</v>
      </c>
      <c r="Q421" t="n">
        <v>0</v>
      </c>
      <c r="R421" s="2" t="inlineStr"/>
    </row>
    <row r="422" ht="15" customHeight="1">
      <c r="A422" t="inlineStr">
        <is>
          <t>A 3431-2025</t>
        </is>
      </c>
      <c r="B422" s="1" t="n">
        <v>45680.42935185185</v>
      </c>
      <c r="C422" s="1" t="n">
        <v>46178</v>
      </c>
      <c r="D422" t="inlineStr">
        <is>
          <t>GOTLANDS LÄN</t>
        </is>
      </c>
      <c r="E422" t="inlineStr">
        <is>
          <t>GOTLAND</t>
        </is>
      </c>
      <c r="G422" t="n">
        <v>4.8</v>
      </c>
      <c r="H422" t="n">
        <v>0</v>
      </c>
      <c r="I422" t="n">
        <v>0</v>
      </c>
      <c r="J422" t="n">
        <v>0</v>
      </c>
      <c r="K422" t="n">
        <v>0</v>
      </c>
      <c r="L422" t="n">
        <v>0</v>
      </c>
      <c r="M422" t="n">
        <v>0</v>
      </c>
      <c r="N422" t="n">
        <v>0</v>
      </c>
      <c r="O422" t="n">
        <v>0</v>
      </c>
      <c r="P422" t="n">
        <v>0</v>
      </c>
      <c r="Q422" t="n">
        <v>0</v>
      </c>
      <c r="R422" s="2" t="inlineStr"/>
    </row>
    <row r="423" ht="15" customHeight="1">
      <c r="A423" t="inlineStr">
        <is>
          <t>A 34407-2023</t>
        </is>
      </c>
      <c r="B423" s="1" t="n">
        <v>45132</v>
      </c>
      <c r="C423" s="1" t="n">
        <v>46178</v>
      </c>
      <c r="D423" t="inlineStr">
        <is>
          <t>GOTLANDS LÄN</t>
        </is>
      </c>
      <c r="E423" t="inlineStr">
        <is>
          <t>GOTLAND</t>
        </is>
      </c>
      <c r="G423" t="n">
        <v>4.4</v>
      </c>
      <c r="H423" t="n">
        <v>0</v>
      </c>
      <c r="I423" t="n">
        <v>0</v>
      </c>
      <c r="J423" t="n">
        <v>0</v>
      </c>
      <c r="K423" t="n">
        <v>0</v>
      </c>
      <c r="L423" t="n">
        <v>0</v>
      </c>
      <c r="M423" t="n">
        <v>0</v>
      </c>
      <c r="N423" t="n">
        <v>0</v>
      </c>
      <c r="O423" t="n">
        <v>0</v>
      </c>
      <c r="P423" t="n">
        <v>0</v>
      </c>
      <c r="Q423" t="n">
        <v>0</v>
      </c>
      <c r="R423" s="2" t="inlineStr"/>
    </row>
    <row r="424" ht="15" customHeight="1">
      <c r="A424" t="inlineStr">
        <is>
          <t>A 30892-2024</t>
        </is>
      </c>
      <c r="B424" s="1" t="n">
        <v>45491</v>
      </c>
      <c r="C424" s="1" t="n">
        <v>46178</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32958-2021</t>
        </is>
      </c>
      <c r="B425" s="1" t="n">
        <v>44376</v>
      </c>
      <c r="C425" s="1" t="n">
        <v>46178</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7858-2025</t>
        </is>
      </c>
      <c r="B426" s="1" t="n">
        <v>45706.68633101852</v>
      </c>
      <c r="C426" s="1" t="n">
        <v>46178</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23103-2026</t>
        </is>
      </c>
      <c r="B427" s="1" t="n">
        <v>46161.57108796296</v>
      </c>
      <c r="C427" s="1" t="n">
        <v>46178</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46545-2024</t>
        </is>
      </c>
      <c r="B428" s="1" t="n">
        <v>45582.65831018519</v>
      </c>
      <c r="C428" s="1" t="n">
        <v>46178</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17935-2026</t>
        </is>
      </c>
      <c r="B429" s="1" t="n">
        <v>46122</v>
      </c>
      <c r="C429" s="1" t="n">
        <v>46178</v>
      </c>
      <c r="D429" t="inlineStr">
        <is>
          <t>GOTLANDS LÄN</t>
        </is>
      </c>
      <c r="E429" t="inlineStr">
        <is>
          <t>GOTLAND</t>
        </is>
      </c>
      <c r="G429" t="n">
        <v>0.9</v>
      </c>
      <c r="H429" t="n">
        <v>0</v>
      </c>
      <c r="I429" t="n">
        <v>0</v>
      </c>
      <c r="J429" t="n">
        <v>0</v>
      </c>
      <c r="K429" t="n">
        <v>0</v>
      </c>
      <c r="L429" t="n">
        <v>0</v>
      </c>
      <c r="M429" t="n">
        <v>0</v>
      </c>
      <c r="N429" t="n">
        <v>0</v>
      </c>
      <c r="O429" t="n">
        <v>0</v>
      </c>
      <c r="P429" t="n">
        <v>0</v>
      </c>
      <c r="Q429" t="n">
        <v>0</v>
      </c>
      <c r="R429" s="2" t="inlineStr"/>
    </row>
    <row r="430" ht="15" customHeight="1">
      <c r="A430" t="inlineStr">
        <is>
          <t>A 23504-2026</t>
        </is>
      </c>
      <c r="B430" s="1" t="n">
        <v>46163.45875</v>
      </c>
      <c r="C430" s="1" t="n">
        <v>46178</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999-2023</t>
        </is>
      </c>
      <c r="B431" s="1" t="n">
        <v>44935</v>
      </c>
      <c r="C431" s="1" t="n">
        <v>46178</v>
      </c>
      <c r="D431" t="inlineStr">
        <is>
          <t>GOTLANDS LÄN</t>
        </is>
      </c>
      <c r="E431" t="inlineStr">
        <is>
          <t>GOTLAND</t>
        </is>
      </c>
      <c r="G431" t="n">
        <v>4.7</v>
      </c>
      <c r="H431" t="n">
        <v>0</v>
      </c>
      <c r="I431" t="n">
        <v>0</v>
      </c>
      <c r="J431" t="n">
        <v>0</v>
      </c>
      <c r="K431" t="n">
        <v>0</v>
      </c>
      <c r="L431" t="n">
        <v>0</v>
      </c>
      <c r="M431" t="n">
        <v>0</v>
      </c>
      <c r="N431" t="n">
        <v>0</v>
      </c>
      <c r="O431" t="n">
        <v>0</v>
      </c>
      <c r="P431" t="n">
        <v>0</v>
      </c>
      <c r="Q431" t="n">
        <v>0</v>
      </c>
      <c r="R431" s="2" t="inlineStr"/>
    </row>
    <row r="432" ht="15" customHeight="1">
      <c r="A432" t="inlineStr">
        <is>
          <t>A 1364-2025</t>
        </is>
      </c>
      <c r="B432" s="1" t="n">
        <v>45667.63929398148</v>
      </c>
      <c r="C432" s="1" t="n">
        <v>46178</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2125-2025</t>
        </is>
      </c>
      <c r="B433" s="1" t="n">
        <v>45672.64940972222</v>
      </c>
      <c r="C433" s="1" t="n">
        <v>46178</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36319-2025</t>
        </is>
      </c>
      <c r="B434" s="1" t="n">
        <v>45868</v>
      </c>
      <c r="C434" s="1" t="n">
        <v>46178</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12155-2023</t>
        </is>
      </c>
      <c r="B435" s="1" t="n">
        <v>44998.49106481481</v>
      </c>
      <c r="C435" s="1" t="n">
        <v>46178</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2774-2024</t>
        </is>
      </c>
      <c r="B436" s="1" t="n">
        <v>45314.62375</v>
      </c>
      <c r="C436" s="1" t="n">
        <v>46178</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18804-2026</t>
        </is>
      </c>
      <c r="B437" s="1" t="n">
        <v>46128.62366898148</v>
      </c>
      <c r="C437" s="1" t="n">
        <v>46178</v>
      </c>
      <c r="D437" t="inlineStr">
        <is>
          <t>GOTLANDS LÄN</t>
        </is>
      </c>
      <c r="E437" t="inlineStr">
        <is>
          <t>GOTLAND</t>
        </is>
      </c>
      <c r="F437" t="inlineStr">
        <is>
          <t>Kyrkan</t>
        </is>
      </c>
      <c r="G437" t="n">
        <v>2.6</v>
      </c>
      <c r="H437" t="n">
        <v>0</v>
      </c>
      <c r="I437" t="n">
        <v>0</v>
      </c>
      <c r="J437" t="n">
        <v>0</v>
      </c>
      <c r="K437" t="n">
        <v>0</v>
      </c>
      <c r="L437" t="n">
        <v>0</v>
      </c>
      <c r="M437" t="n">
        <v>0</v>
      </c>
      <c r="N437" t="n">
        <v>0</v>
      </c>
      <c r="O437" t="n">
        <v>0</v>
      </c>
      <c r="P437" t="n">
        <v>0</v>
      </c>
      <c r="Q437" t="n">
        <v>0</v>
      </c>
      <c r="R437" s="2" t="inlineStr"/>
    </row>
    <row r="438" ht="15" customHeight="1">
      <c r="A438" t="inlineStr">
        <is>
          <t>A 4639-2026</t>
        </is>
      </c>
      <c r="B438" s="1" t="n">
        <v>46048.39880787037</v>
      </c>
      <c r="C438" s="1" t="n">
        <v>46178</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9947-2024</t>
        </is>
      </c>
      <c r="B439" s="1" t="n">
        <v>45363</v>
      </c>
      <c r="C439" s="1" t="n">
        <v>46178</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42007-2023</t>
        </is>
      </c>
      <c r="B440" s="1" t="n">
        <v>45177</v>
      </c>
      <c r="C440" s="1" t="n">
        <v>46178</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24448-2026</t>
        </is>
      </c>
      <c r="B441" s="1" t="n">
        <v>46170.35354166666</v>
      </c>
      <c r="C441" s="1" t="n">
        <v>46178</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62836-2025</t>
        </is>
      </c>
      <c r="B442" s="1" t="n">
        <v>46008</v>
      </c>
      <c r="C442" s="1" t="n">
        <v>46178</v>
      </c>
      <c r="D442" t="inlineStr">
        <is>
          <t>GOTLANDS LÄN</t>
        </is>
      </c>
      <c r="E442" t="inlineStr">
        <is>
          <t>GOTLAND</t>
        </is>
      </c>
      <c r="G442" t="n">
        <v>6.5</v>
      </c>
      <c r="H442" t="n">
        <v>0</v>
      </c>
      <c r="I442" t="n">
        <v>0</v>
      </c>
      <c r="J442" t="n">
        <v>0</v>
      </c>
      <c r="K442" t="n">
        <v>0</v>
      </c>
      <c r="L442" t="n">
        <v>0</v>
      </c>
      <c r="M442" t="n">
        <v>0</v>
      </c>
      <c r="N442" t="n">
        <v>0</v>
      </c>
      <c r="O442" t="n">
        <v>0</v>
      </c>
      <c r="P442" t="n">
        <v>0</v>
      </c>
      <c r="Q442" t="n">
        <v>0</v>
      </c>
      <c r="R442" s="2" t="inlineStr"/>
    </row>
    <row r="443" ht="15" customHeight="1">
      <c r="A443" t="inlineStr">
        <is>
          <t>A 19322-2026</t>
        </is>
      </c>
      <c r="B443" s="1" t="n">
        <v>46129</v>
      </c>
      <c r="C443" s="1" t="n">
        <v>46178</v>
      </c>
      <c r="D443" t="inlineStr">
        <is>
          <t>GOTLANDS LÄN</t>
        </is>
      </c>
      <c r="E443" t="inlineStr">
        <is>
          <t>GOTLAND</t>
        </is>
      </c>
      <c r="G443" t="n">
        <v>1</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46178</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17943-2026</t>
        </is>
      </c>
      <c r="B445" s="1" t="n">
        <v>46122</v>
      </c>
      <c r="C445" s="1" t="n">
        <v>46178</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63002-2025</t>
        </is>
      </c>
      <c r="B446" s="1" t="n">
        <v>46009.56564814815</v>
      </c>
      <c r="C446" s="1" t="n">
        <v>46178</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1066-2024</t>
        </is>
      </c>
      <c r="B447" s="1" t="n">
        <v>45302.285</v>
      </c>
      <c r="C447" s="1" t="n">
        <v>46178</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1839-2026</t>
        </is>
      </c>
      <c r="B448" s="1" t="n">
        <v>46035.3942824074</v>
      </c>
      <c r="C448" s="1" t="n">
        <v>46178</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5863-2026</t>
        </is>
      </c>
      <c r="B449" s="1" t="n">
        <v>46052</v>
      </c>
      <c r="C449" s="1" t="n">
        <v>46178</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7625-2026</t>
        </is>
      </c>
      <c r="B450" s="1" t="n">
        <v>46062.35135416667</v>
      </c>
      <c r="C450" s="1" t="n">
        <v>46178</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37202-2024</t>
        </is>
      </c>
      <c r="B451" s="1" t="n">
        <v>45539.67310185185</v>
      </c>
      <c r="C451" s="1" t="n">
        <v>46178</v>
      </c>
      <c r="D451" t="inlineStr">
        <is>
          <t>GOTLANDS LÄN</t>
        </is>
      </c>
      <c r="E451" t="inlineStr">
        <is>
          <t>GOTLAND</t>
        </is>
      </c>
      <c r="G451" t="n">
        <v>0.3</v>
      </c>
      <c r="H451" t="n">
        <v>0</v>
      </c>
      <c r="I451" t="n">
        <v>0</v>
      </c>
      <c r="J451" t="n">
        <v>0</v>
      </c>
      <c r="K451" t="n">
        <v>0</v>
      </c>
      <c r="L451" t="n">
        <v>0</v>
      </c>
      <c r="M451" t="n">
        <v>0</v>
      </c>
      <c r="N451" t="n">
        <v>0</v>
      </c>
      <c r="O451" t="n">
        <v>0</v>
      </c>
      <c r="P451" t="n">
        <v>0</v>
      </c>
      <c r="Q451" t="n">
        <v>0</v>
      </c>
      <c r="R451" s="2" t="inlineStr"/>
    </row>
    <row r="452" ht="15" customHeight="1">
      <c r="A452" t="inlineStr">
        <is>
          <t>A 883-2025</t>
        </is>
      </c>
      <c r="B452" s="1" t="n">
        <v>45665</v>
      </c>
      <c r="C452" s="1" t="n">
        <v>46178</v>
      </c>
      <c r="D452" t="inlineStr">
        <is>
          <t>GOTLANDS LÄN</t>
        </is>
      </c>
      <c r="E452" t="inlineStr">
        <is>
          <t>GOTLAND</t>
        </is>
      </c>
      <c r="G452" t="n">
        <v>1.3</v>
      </c>
      <c r="H452" t="n">
        <v>0</v>
      </c>
      <c r="I452" t="n">
        <v>0</v>
      </c>
      <c r="J452" t="n">
        <v>0</v>
      </c>
      <c r="K452" t="n">
        <v>0</v>
      </c>
      <c r="L452" t="n">
        <v>0</v>
      </c>
      <c r="M452" t="n">
        <v>0</v>
      </c>
      <c r="N452" t="n">
        <v>0</v>
      </c>
      <c r="O452" t="n">
        <v>0</v>
      </c>
      <c r="P452" t="n">
        <v>0</v>
      </c>
      <c r="Q452" t="n">
        <v>0</v>
      </c>
      <c r="R452" s="2" t="inlineStr"/>
    </row>
    <row r="453" ht="15" customHeight="1">
      <c r="A453" t="inlineStr">
        <is>
          <t>A 58230-2024</t>
        </is>
      </c>
      <c r="B453" s="1" t="n">
        <v>45632.51625</v>
      </c>
      <c r="C453" s="1" t="n">
        <v>46178</v>
      </c>
      <c r="D453" t="inlineStr">
        <is>
          <t>GOTLANDS LÄN</t>
        </is>
      </c>
      <c r="E453" t="inlineStr">
        <is>
          <t>GOTLAND</t>
        </is>
      </c>
      <c r="G453" t="n">
        <v>7.3</v>
      </c>
      <c r="H453" t="n">
        <v>0</v>
      </c>
      <c r="I453" t="n">
        <v>0</v>
      </c>
      <c r="J453" t="n">
        <v>0</v>
      </c>
      <c r="K453" t="n">
        <v>0</v>
      </c>
      <c r="L453" t="n">
        <v>0</v>
      </c>
      <c r="M453" t="n">
        <v>0</v>
      </c>
      <c r="N453" t="n">
        <v>0</v>
      </c>
      <c r="O453" t="n">
        <v>0</v>
      </c>
      <c r="P453" t="n">
        <v>0</v>
      </c>
      <c r="Q453" t="n">
        <v>0</v>
      </c>
      <c r="R453" s="2" t="inlineStr"/>
    </row>
    <row r="454" ht="15" customHeight="1">
      <c r="A454" t="inlineStr">
        <is>
          <t>A 30815-2023</t>
        </is>
      </c>
      <c r="B454" s="1" t="n">
        <v>45112</v>
      </c>
      <c r="C454" s="1" t="n">
        <v>46178</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45106-2024</t>
        </is>
      </c>
      <c r="B455" s="1" t="n">
        <v>45575</v>
      </c>
      <c r="C455" s="1" t="n">
        <v>46178</v>
      </c>
      <c r="D455" t="inlineStr">
        <is>
          <t>GOTLANDS LÄN</t>
        </is>
      </c>
      <c r="E455" t="inlineStr">
        <is>
          <t>GOTLAND</t>
        </is>
      </c>
      <c r="G455" t="n">
        <v>10</v>
      </c>
      <c r="H455" t="n">
        <v>0</v>
      </c>
      <c r="I455" t="n">
        <v>0</v>
      </c>
      <c r="J455" t="n">
        <v>0</v>
      </c>
      <c r="K455" t="n">
        <v>0</v>
      </c>
      <c r="L455" t="n">
        <v>0</v>
      </c>
      <c r="M455" t="n">
        <v>0</v>
      </c>
      <c r="N455" t="n">
        <v>0</v>
      </c>
      <c r="O455" t="n">
        <v>0</v>
      </c>
      <c r="P455" t="n">
        <v>0</v>
      </c>
      <c r="Q455" t="n">
        <v>0</v>
      </c>
      <c r="R455" s="2" t="inlineStr"/>
    </row>
    <row r="456" ht="15" customHeight="1">
      <c r="A456" t="inlineStr">
        <is>
          <t>A 62754-2025</t>
        </is>
      </c>
      <c r="B456" s="1" t="n">
        <v>46008</v>
      </c>
      <c r="C456" s="1" t="n">
        <v>46178</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46400-2023</t>
        </is>
      </c>
      <c r="B457" s="1" t="n">
        <v>45197.49290509259</v>
      </c>
      <c r="C457" s="1" t="n">
        <v>46178</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10492-2023</t>
        </is>
      </c>
      <c r="B458" s="1" t="n">
        <v>44987</v>
      </c>
      <c r="C458" s="1" t="n">
        <v>46178</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1355-2026</t>
        </is>
      </c>
      <c r="B459" s="1" t="n">
        <v>46031.59909722222</v>
      </c>
      <c r="C459" s="1" t="n">
        <v>46178</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4868-2024</t>
        </is>
      </c>
      <c r="B460" s="1" t="n">
        <v>45329</v>
      </c>
      <c r="C460" s="1" t="n">
        <v>46178</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26467-2025</t>
        </is>
      </c>
      <c r="B461" s="1" t="n">
        <v>45807.44640046296</v>
      </c>
      <c r="C461" s="1" t="n">
        <v>46178</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44919-2022</t>
        </is>
      </c>
      <c r="B462" s="1" t="n">
        <v>44841</v>
      </c>
      <c r="C462" s="1" t="n">
        <v>46178</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20225-2025</t>
        </is>
      </c>
      <c r="B463" s="1" t="n">
        <v>45772.65802083333</v>
      </c>
      <c r="C463" s="1" t="n">
        <v>46178</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16501-2023</t>
        </is>
      </c>
      <c r="B464" s="1" t="n">
        <v>45029</v>
      </c>
      <c r="C464" s="1" t="n">
        <v>46178</v>
      </c>
      <c r="D464" t="inlineStr">
        <is>
          <t>GOTLANDS LÄN</t>
        </is>
      </c>
      <c r="E464" t="inlineStr">
        <is>
          <t>GOTLAND</t>
        </is>
      </c>
      <c r="G464" t="n">
        <v>3.1</v>
      </c>
      <c r="H464" t="n">
        <v>0</v>
      </c>
      <c r="I464" t="n">
        <v>0</v>
      </c>
      <c r="J464" t="n">
        <v>0</v>
      </c>
      <c r="K464" t="n">
        <v>0</v>
      </c>
      <c r="L464" t="n">
        <v>0</v>
      </c>
      <c r="M464" t="n">
        <v>0</v>
      </c>
      <c r="N464" t="n">
        <v>0</v>
      </c>
      <c r="O464" t="n">
        <v>0</v>
      </c>
      <c r="P464" t="n">
        <v>0</v>
      </c>
      <c r="Q464" t="n">
        <v>0</v>
      </c>
      <c r="R464" s="2" t="inlineStr"/>
    </row>
    <row r="465" ht="15" customHeight="1">
      <c r="A465" t="inlineStr">
        <is>
          <t>A 27095-2022</t>
        </is>
      </c>
      <c r="B465" s="1" t="n">
        <v>44741</v>
      </c>
      <c r="C465" s="1" t="n">
        <v>46178</v>
      </c>
      <c r="D465" t="inlineStr">
        <is>
          <t>GOTLANDS LÄN</t>
        </is>
      </c>
      <c r="E465" t="inlineStr">
        <is>
          <t>GOTLAND</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458-2023</t>
        </is>
      </c>
      <c r="B466" s="1" t="n">
        <v>44929</v>
      </c>
      <c r="C466" s="1" t="n">
        <v>46178</v>
      </c>
      <c r="D466" t="inlineStr">
        <is>
          <t>GOTLANDS LÄN</t>
        </is>
      </c>
      <c r="E466" t="inlineStr">
        <is>
          <t>GOTLAND</t>
        </is>
      </c>
      <c r="G466" t="n">
        <v>3.6</v>
      </c>
      <c r="H466" t="n">
        <v>0</v>
      </c>
      <c r="I466" t="n">
        <v>0</v>
      </c>
      <c r="J466" t="n">
        <v>0</v>
      </c>
      <c r="K466" t="n">
        <v>0</v>
      </c>
      <c r="L466" t="n">
        <v>0</v>
      </c>
      <c r="M466" t="n">
        <v>0</v>
      </c>
      <c r="N466" t="n">
        <v>0</v>
      </c>
      <c r="O466" t="n">
        <v>0</v>
      </c>
      <c r="P466" t="n">
        <v>0</v>
      </c>
      <c r="Q466" t="n">
        <v>0</v>
      </c>
      <c r="R466" s="2" t="inlineStr"/>
    </row>
    <row r="467" ht="15" customHeight="1">
      <c r="A467" t="inlineStr">
        <is>
          <t>A 1291-2023</t>
        </is>
      </c>
      <c r="B467" s="1" t="n">
        <v>44936.47561342592</v>
      </c>
      <c r="C467" s="1" t="n">
        <v>46178</v>
      </c>
      <c r="D467" t="inlineStr">
        <is>
          <t>GOTLANDS LÄN</t>
        </is>
      </c>
      <c r="E467" t="inlineStr">
        <is>
          <t>GOTLAND</t>
        </is>
      </c>
      <c r="G467" t="n">
        <v>7.4</v>
      </c>
      <c r="H467" t="n">
        <v>0</v>
      </c>
      <c r="I467" t="n">
        <v>0</v>
      </c>
      <c r="J467" t="n">
        <v>0</v>
      </c>
      <c r="K467" t="n">
        <v>0</v>
      </c>
      <c r="L467" t="n">
        <v>0</v>
      </c>
      <c r="M467" t="n">
        <v>0</v>
      </c>
      <c r="N467" t="n">
        <v>0</v>
      </c>
      <c r="O467" t="n">
        <v>0</v>
      </c>
      <c r="P467" t="n">
        <v>0</v>
      </c>
      <c r="Q467" t="n">
        <v>0</v>
      </c>
      <c r="R467" s="2" t="inlineStr"/>
    </row>
    <row r="468" ht="15" customHeight="1">
      <c r="A468" t="inlineStr">
        <is>
          <t>A 33853-2024</t>
        </is>
      </c>
      <c r="B468" s="1" t="n">
        <v>45520.64298611111</v>
      </c>
      <c r="C468" s="1" t="n">
        <v>46178</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53934-2024</t>
        </is>
      </c>
      <c r="B469" s="1" t="n">
        <v>45615</v>
      </c>
      <c r="C469" s="1" t="n">
        <v>46178</v>
      </c>
      <c r="D469" t="inlineStr">
        <is>
          <t>GOTLANDS LÄN</t>
        </is>
      </c>
      <c r="E469" t="inlineStr">
        <is>
          <t>GOTLAND</t>
        </is>
      </c>
      <c r="G469" t="n">
        <v>5</v>
      </c>
      <c r="H469" t="n">
        <v>0</v>
      </c>
      <c r="I469" t="n">
        <v>0</v>
      </c>
      <c r="J469" t="n">
        <v>0</v>
      </c>
      <c r="K469" t="n">
        <v>0</v>
      </c>
      <c r="L469" t="n">
        <v>0</v>
      </c>
      <c r="M469" t="n">
        <v>0</v>
      </c>
      <c r="N469" t="n">
        <v>0</v>
      </c>
      <c r="O469" t="n">
        <v>0</v>
      </c>
      <c r="P469" t="n">
        <v>0</v>
      </c>
      <c r="Q469" t="n">
        <v>0</v>
      </c>
      <c r="R469" s="2" t="inlineStr"/>
    </row>
    <row r="470" ht="15" customHeight="1">
      <c r="A470" t="inlineStr">
        <is>
          <t>A 32330-2024</t>
        </is>
      </c>
      <c r="B470" s="1" t="n">
        <v>45512</v>
      </c>
      <c r="C470" s="1" t="n">
        <v>46178</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5891-2025</t>
        </is>
      </c>
      <c r="B471" s="1" t="n">
        <v>45695.38327546296</v>
      </c>
      <c r="C471" s="1" t="n">
        <v>46178</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32379-2025</t>
        </is>
      </c>
      <c r="B472" s="1" t="n">
        <v>45837</v>
      </c>
      <c r="C472" s="1" t="n">
        <v>46178</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52249-2025</t>
        </is>
      </c>
      <c r="B473" s="1" t="n">
        <v>45953.48637731482</v>
      </c>
      <c r="C473" s="1" t="n">
        <v>46178</v>
      </c>
      <c r="D473" t="inlineStr">
        <is>
          <t>GOTLANDS LÄN</t>
        </is>
      </c>
      <c r="E473" t="inlineStr">
        <is>
          <t>GOTLAND</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27371-2025</t>
        </is>
      </c>
      <c r="B474" s="1" t="n">
        <v>45812</v>
      </c>
      <c r="C474" s="1" t="n">
        <v>46178</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2719-2023</t>
        </is>
      </c>
      <c r="B475" s="1" t="n">
        <v>44944.55361111111</v>
      </c>
      <c r="C475" s="1" t="n">
        <v>46178</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17144-2025</t>
        </is>
      </c>
      <c r="B476" s="1" t="n">
        <v>45755.9499537037</v>
      </c>
      <c r="C476" s="1" t="n">
        <v>46178</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49314-2024</t>
        </is>
      </c>
      <c r="B477" s="1" t="n">
        <v>45595.55893518519</v>
      </c>
      <c r="C477" s="1" t="n">
        <v>46178</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42608-2025</t>
        </is>
      </c>
      <c r="B478" s="1" t="n">
        <v>45905</v>
      </c>
      <c r="C478" s="1" t="n">
        <v>46178</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56009-2024</t>
        </is>
      </c>
      <c r="B479" s="1" t="n">
        <v>45623.80864583333</v>
      </c>
      <c r="C479" s="1" t="n">
        <v>46178</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9875-2025</t>
        </is>
      </c>
      <c r="B480" s="1" t="n">
        <v>45716</v>
      </c>
      <c r="C480" s="1" t="n">
        <v>46178</v>
      </c>
      <c r="D480" t="inlineStr">
        <is>
          <t>GOTLANDS LÄN</t>
        </is>
      </c>
      <c r="E480" t="inlineStr">
        <is>
          <t>GOTLAND</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29809-2022</t>
        </is>
      </c>
      <c r="B481" s="1" t="n">
        <v>44755.8713425926</v>
      </c>
      <c r="C481" s="1" t="n">
        <v>46178</v>
      </c>
      <c r="D481" t="inlineStr">
        <is>
          <t>GOTLANDS LÄN</t>
        </is>
      </c>
      <c r="E481" t="inlineStr">
        <is>
          <t>GOTLAND</t>
        </is>
      </c>
      <c r="G481" t="n">
        <v>11.5</v>
      </c>
      <c r="H481" t="n">
        <v>0</v>
      </c>
      <c r="I481" t="n">
        <v>0</v>
      </c>
      <c r="J481" t="n">
        <v>0</v>
      </c>
      <c r="K481" t="n">
        <v>0</v>
      </c>
      <c r="L481" t="n">
        <v>0</v>
      </c>
      <c r="M481" t="n">
        <v>0</v>
      </c>
      <c r="N481" t="n">
        <v>0</v>
      </c>
      <c r="O481" t="n">
        <v>0</v>
      </c>
      <c r="P481" t="n">
        <v>0</v>
      </c>
      <c r="Q481" t="n">
        <v>0</v>
      </c>
      <c r="R481" s="2" t="inlineStr"/>
    </row>
    <row r="482" ht="15" customHeight="1">
      <c r="A482" t="inlineStr">
        <is>
          <t>A 45112-2024</t>
        </is>
      </c>
      <c r="B482" s="1" t="n">
        <v>45575</v>
      </c>
      <c r="C482" s="1" t="n">
        <v>46178</v>
      </c>
      <c r="D482" t="inlineStr">
        <is>
          <t>GOTLANDS LÄN</t>
        </is>
      </c>
      <c r="E482" t="inlineStr">
        <is>
          <t>GOTLAND</t>
        </is>
      </c>
      <c r="G482" t="n">
        <v>5.1</v>
      </c>
      <c r="H482" t="n">
        <v>0</v>
      </c>
      <c r="I482" t="n">
        <v>0</v>
      </c>
      <c r="J482" t="n">
        <v>0</v>
      </c>
      <c r="K482" t="n">
        <v>0</v>
      </c>
      <c r="L482" t="n">
        <v>0</v>
      </c>
      <c r="M482" t="n">
        <v>0</v>
      </c>
      <c r="N482" t="n">
        <v>0</v>
      </c>
      <c r="O482" t="n">
        <v>0</v>
      </c>
      <c r="P482" t="n">
        <v>0</v>
      </c>
      <c r="Q482" t="n">
        <v>0</v>
      </c>
      <c r="R482" s="2" t="inlineStr"/>
    </row>
    <row r="483" ht="15" customHeight="1">
      <c r="A483" t="inlineStr">
        <is>
          <t>A 29207-2025</t>
        </is>
      </c>
      <c r="B483" s="1" t="n">
        <v>45823</v>
      </c>
      <c r="C483" s="1" t="n">
        <v>46178</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25796-2025</t>
        </is>
      </c>
      <c r="B484" s="1" t="n">
        <v>45804.39543981481</v>
      </c>
      <c r="C484" s="1" t="n">
        <v>46178</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39819-2025</t>
        </is>
      </c>
      <c r="B485" s="1" t="n">
        <v>45891.53418981482</v>
      </c>
      <c r="C485" s="1" t="n">
        <v>46178</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1854-2026</t>
        </is>
      </c>
      <c r="B486" s="1" t="n">
        <v>46035</v>
      </c>
      <c r="C486" s="1" t="n">
        <v>46178</v>
      </c>
      <c r="D486" t="inlineStr">
        <is>
          <t>GOTLANDS LÄN</t>
        </is>
      </c>
      <c r="E486" t="inlineStr">
        <is>
          <t>GOTLAND</t>
        </is>
      </c>
      <c r="G486" t="n">
        <v>3</v>
      </c>
      <c r="H486" t="n">
        <v>0</v>
      </c>
      <c r="I486" t="n">
        <v>0</v>
      </c>
      <c r="J486" t="n">
        <v>0</v>
      </c>
      <c r="K486" t="n">
        <v>0</v>
      </c>
      <c r="L486" t="n">
        <v>0</v>
      </c>
      <c r="M486" t="n">
        <v>0</v>
      </c>
      <c r="N486" t="n">
        <v>0</v>
      </c>
      <c r="O486" t="n">
        <v>0</v>
      </c>
      <c r="P486" t="n">
        <v>0</v>
      </c>
      <c r="Q486" t="n">
        <v>0</v>
      </c>
      <c r="R486" s="2" t="inlineStr"/>
    </row>
    <row r="487" ht="15" customHeight="1">
      <c r="A487" t="inlineStr">
        <is>
          <t>A 16361-2024</t>
        </is>
      </c>
      <c r="B487" s="1" t="n">
        <v>45407</v>
      </c>
      <c r="C487" s="1" t="n">
        <v>46178</v>
      </c>
      <c r="D487" t="inlineStr">
        <is>
          <t>GOTLANDS LÄN</t>
        </is>
      </c>
      <c r="E487" t="inlineStr">
        <is>
          <t>GOTLAND</t>
        </is>
      </c>
      <c r="G487" t="n">
        <v>6</v>
      </c>
      <c r="H487" t="n">
        <v>0</v>
      </c>
      <c r="I487" t="n">
        <v>0</v>
      </c>
      <c r="J487" t="n">
        <v>0</v>
      </c>
      <c r="K487" t="n">
        <v>0</v>
      </c>
      <c r="L487" t="n">
        <v>0</v>
      </c>
      <c r="M487" t="n">
        <v>0</v>
      </c>
      <c r="N487" t="n">
        <v>0</v>
      </c>
      <c r="O487" t="n">
        <v>0</v>
      </c>
      <c r="P487" t="n">
        <v>0</v>
      </c>
      <c r="Q487" t="n">
        <v>0</v>
      </c>
      <c r="R487" s="2" t="inlineStr"/>
    </row>
    <row r="488" ht="15" customHeight="1">
      <c r="A488" t="inlineStr">
        <is>
          <t>A 2180-2025</t>
        </is>
      </c>
      <c r="B488" s="1" t="n">
        <v>45673</v>
      </c>
      <c r="C488" s="1" t="n">
        <v>46178</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46178</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1175-2025</t>
        </is>
      </c>
      <c r="B490" s="1" t="n">
        <v>45667.34449074074</v>
      </c>
      <c r="C490" s="1" t="n">
        <v>46178</v>
      </c>
      <c r="D490" t="inlineStr">
        <is>
          <t>GOTLANDS LÄN</t>
        </is>
      </c>
      <c r="E490" t="inlineStr">
        <is>
          <t>GOTLAND</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3150-2025</t>
        </is>
      </c>
      <c r="B491" s="1" t="n">
        <v>45679.28974537037</v>
      </c>
      <c r="C491" s="1" t="n">
        <v>46178</v>
      </c>
      <c r="D491" t="inlineStr">
        <is>
          <t>GOTLANDS LÄN</t>
        </is>
      </c>
      <c r="E491" t="inlineStr">
        <is>
          <t>GOTLAND</t>
        </is>
      </c>
      <c r="G491" t="n">
        <v>2.5</v>
      </c>
      <c r="H491" t="n">
        <v>0</v>
      </c>
      <c r="I491" t="n">
        <v>0</v>
      </c>
      <c r="J491" t="n">
        <v>0</v>
      </c>
      <c r="K491" t="n">
        <v>0</v>
      </c>
      <c r="L491" t="n">
        <v>0</v>
      </c>
      <c r="M491" t="n">
        <v>0</v>
      </c>
      <c r="N491" t="n">
        <v>0</v>
      </c>
      <c r="O491" t="n">
        <v>0</v>
      </c>
      <c r="P491" t="n">
        <v>0</v>
      </c>
      <c r="Q491" t="n">
        <v>0</v>
      </c>
      <c r="R491" s="2" t="inlineStr"/>
    </row>
    <row r="492" ht="15" customHeight="1">
      <c r="A492" t="inlineStr">
        <is>
          <t>A 42041-2024</t>
        </is>
      </c>
      <c r="B492" s="1" t="n">
        <v>45561</v>
      </c>
      <c r="C492" s="1" t="n">
        <v>46178</v>
      </c>
      <c r="D492" t="inlineStr">
        <is>
          <t>GOTLANDS LÄN</t>
        </is>
      </c>
      <c r="E492" t="inlineStr">
        <is>
          <t>GOTLAND</t>
        </is>
      </c>
      <c r="G492" t="n">
        <v>3.2</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46178</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17780-2022</t>
        </is>
      </c>
      <c r="B494" s="1" t="n">
        <v>44682.82622685185</v>
      </c>
      <c r="C494" s="1" t="n">
        <v>46178</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63516-2023</t>
        </is>
      </c>
      <c r="B495" s="1" t="n">
        <v>45274</v>
      </c>
      <c r="C495" s="1" t="n">
        <v>46178</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53935-2024</t>
        </is>
      </c>
      <c r="B496" s="1" t="n">
        <v>45615</v>
      </c>
      <c r="C496" s="1" t="n">
        <v>46178</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69112-2021</t>
        </is>
      </c>
      <c r="B497" s="1" t="n">
        <v>44530</v>
      </c>
      <c r="C497" s="1" t="n">
        <v>46178</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46178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23516-2023</t>
        </is>
      </c>
      <c r="B499" s="1" t="n">
        <v>45076.93391203704</v>
      </c>
      <c r="C499" s="1" t="n">
        <v>46178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46178</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64555-2023</t>
        </is>
      </c>
      <c r="B501" s="1" t="n">
        <v>45281</v>
      </c>
      <c r="C501" s="1" t="n">
        <v>46178</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457-2023</t>
        </is>
      </c>
      <c r="B502" s="1" t="n">
        <v>44929.87238425926</v>
      </c>
      <c r="C502" s="1" t="n">
        <v>46178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44929.87423611111</v>
      </c>
      <c r="C503" s="1" t="n">
        <v>46178</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876-2024</t>
        </is>
      </c>
      <c r="B504" s="1" t="n">
        <v>45301</v>
      </c>
      <c r="C504" s="1" t="n">
        <v>46178</v>
      </c>
      <c r="D504" t="inlineStr">
        <is>
          <t>GOTLANDS LÄN</t>
        </is>
      </c>
      <c r="E504" t="inlineStr">
        <is>
          <t>GOTLAND</t>
        </is>
      </c>
      <c r="G504" t="n">
        <v>5.3</v>
      </c>
      <c r="H504" t="n">
        <v>0</v>
      </c>
      <c r="I504" t="n">
        <v>0</v>
      </c>
      <c r="J504" t="n">
        <v>0</v>
      </c>
      <c r="K504" t="n">
        <v>0</v>
      </c>
      <c r="L504" t="n">
        <v>0</v>
      </c>
      <c r="M504" t="n">
        <v>0</v>
      </c>
      <c r="N504" t="n">
        <v>0</v>
      </c>
      <c r="O504" t="n">
        <v>0</v>
      </c>
      <c r="P504" t="n">
        <v>0</v>
      </c>
      <c r="Q504" t="n">
        <v>0</v>
      </c>
      <c r="R504" s="2" t="inlineStr"/>
    </row>
    <row r="505" ht="15" customHeight="1">
      <c r="A505" t="inlineStr">
        <is>
          <t>A 26891-2024</t>
        </is>
      </c>
      <c r="B505" s="1" t="n">
        <v>45470.65540509259</v>
      </c>
      <c r="C505" s="1" t="n">
        <v>46178</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5923-2023</t>
        </is>
      </c>
      <c r="B506" s="1" t="n">
        <v>44963.69503472222</v>
      </c>
      <c r="C506" s="1" t="n">
        <v>46178</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50482-2024</t>
        </is>
      </c>
      <c r="B507" s="1" t="n">
        <v>45601.48114583334</v>
      </c>
      <c r="C507" s="1" t="n">
        <v>46178</v>
      </c>
      <c r="D507" t="inlineStr">
        <is>
          <t>GOTLANDS LÄN</t>
        </is>
      </c>
      <c r="E507" t="inlineStr">
        <is>
          <t>GOTLAND</t>
        </is>
      </c>
      <c r="G507" t="n">
        <v>2.3</v>
      </c>
      <c r="H507" t="n">
        <v>0</v>
      </c>
      <c r="I507" t="n">
        <v>0</v>
      </c>
      <c r="J507" t="n">
        <v>0</v>
      </c>
      <c r="K507" t="n">
        <v>0</v>
      </c>
      <c r="L507" t="n">
        <v>0</v>
      </c>
      <c r="M507" t="n">
        <v>0</v>
      </c>
      <c r="N507" t="n">
        <v>0</v>
      </c>
      <c r="O507" t="n">
        <v>0</v>
      </c>
      <c r="P507" t="n">
        <v>0</v>
      </c>
      <c r="Q507" t="n">
        <v>0</v>
      </c>
      <c r="R507" s="2" t="inlineStr"/>
    </row>
    <row r="508" ht="15" customHeight="1">
      <c r="A508" t="inlineStr">
        <is>
          <t>A 5943-2024</t>
        </is>
      </c>
      <c r="B508" s="1" t="n">
        <v>45336</v>
      </c>
      <c r="C508" s="1" t="n">
        <v>46178</v>
      </c>
      <c r="D508" t="inlineStr">
        <is>
          <t>GOTLANDS LÄN</t>
        </is>
      </c>
      <c r="E508" t="inlineStr">
        <is>
          <t>GOTLAND</t>
        </is>
      </c>
      <c r="G508" t="n">
        <v>4.3</v>
      </c>
      <c r="H508" t="n">
        <v>0</v>
      </c>
      <c r="I508" t="n">
        <v>0</v>
      </c>
      <c r="J508" t="n">
        <v>0</v>
      </c>
      <c r="K508" t="n">
        <v>0</v>
      </c>
      <c r="L508" t="n">
        <v>0</v>
      </c>
      <c r="M508" t="n">
        <v>0</v>
      </c>
      <c r="N508" t="n">
        <v>0</v>
      </c>
      <c r="O508" t="n">
        <v>0</v>
      </c>
      <c r="P508" t="n">
        <v>0</v>
      </c>
      <c r="Q508" t="n">
        <v>0</v>
      </c>
      <c r="R508" s="2" t="inlineStr"/>
    </row>
    <row r="509" ht="15" customHeight="1">
      <c r="A509" t="inlineStr">
        <is>
          <t>A 38234-2023</t>
        </is>
      </c>
      <c r="B509" s="1" t="n">
        <v>45161.56663194444</v>
      </c>
      <c r="C509" s="1" t="n">
        <v>46178</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1273-2023</t>
        </is>
      </c>
      <c r="B510" s="1" t="n">
        <v>44936</v>
      </c>
      <c r="C510" s="1" t="n">
        <v>46178</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17724-2024</t>
        </is>
      </c>
      <c r="B511" s="1" t="n">
        <v>45418.55096064815</v>
      </c>
      <c r="C511" s="1" t="n">
        <v>46178</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23978-2023</t>
        </is>
      </c>
      <c r="B512" s="1" t="n">
        <v>45078</v>
      </c>
      <c r="C512" s="1" t="n">
        <v>46178</v>
      </c>
      <c r="D512" t="inlineStr">
        <is>
          <t>GOTLANDS LÄN</t>
        </is>
      </c>
      <c r="E512" t="inlineStr">
        <is>
          <t>GOTLAND</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46178</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12846-2025</t>
        </is>
      </c>
      <c r="B514" s="1" t="n">
        <v>45733.65049768519</v>
      </c>
      <c r="C514" s="1" t="n">
        <v>46178</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43200-2023</t>
        </is>
      </c>
      <c r="B515" s="1" t="n">
        <v>45183</v>
      </c>
      <c r="C515" s="1" t="n">
        <v>46178</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21792-2024</t>
        </is>
      </c>
      <c r="B516" s="1" t="n">
        <v>45442.64326388889</v>
      </c>
      <c r="C516" s="1" t="n">
        <v>46178</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48843-2024</t>
        </is>
      </c>
      <c r="B517" s="1" t="n">
        <v>45593</v>
      </c>
      <c r="C517" s="1" t="n">
        <v>46178</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10653-2023</t>
        </is>
      </c>
      <c r="B518" s="1" t="n">
        <v>44988.48859953704</v>
      </c>
      <c r="C518" s="1" t="n">
        <v>46178</v>
      </c>
      <c r="D518" t="inlineStr">
        <is>
          <t>GOTLANDS LÄN</t>
        </is>
      </c>
      <c r="E518" t="inlineStr">
        <is>
          <t>GOTLAND</t>
        </is>
      </c>
      <c r="F518" t="inlineStr">
        <is>
          <t>Kyrkan</t>
        </is>
      </c>
      <c r="G518" t="n">
        <v>3</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46178</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46178</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1677-2023</t>
        </is>
      </c>
      <c r="B521" s="1" t="n">
        <v>44938</v>
      </c>
      <c r="C521" s="1" t="n">
        <v>46178</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64831-2023</t>
        </is>
      </c>
      <c r="B522" s="1" t="n">
        <v>45282.44924768519</v>
      </c>
      <c r="C522" s="1" t="n">
        <v>46178</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8036-2022</t>
        </is>
      </c>
      <c r="B523" s="1" t="n">
        <v>44609.44362268518</v>
      </c>
      <c r="C523" s="1" t="n">
        <v>46178</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62915-2021</t>
        </is>
      </c>
      <c r="B524" s="1" t="n">
        <v>44504</v>
      </c>
      <c r="C524" s="1" t="n">
        <v>46178</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7638-2025</t>
        </is>
      </c>
      <c r="B525" s="1" t="n">
        <v>45705.77306712963</v>
      </c>
      <c r="C525" s="1" t="n">
        <v>46178</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4377-2023</t>
        </is>
      </c>
      <c r="B526" s="1" t="n">
        <v>44955.5502662037</v>
      </c>
      <c r="C526" s="1" t="n">
        <v>46178</v>
      </c>
      <c r="D526" t="inlineStr">
        <is>
          <t>GOTLANDS LÄN</t>
        </is>
      </c>
      <c r="E526" t="inlineStr">
        <is>
          <t>GOTLAND</t>
        </is>
      </c>
      <c r="F526" t="inlineStr">
        <is>
          <t>Kyrkan</t>
        </is>
      </c>
      <c r="G526" t="n">
        <v>0.6</v>
      </c>
      <c r="H526" t="n">
        <v>0</v>
      </c>
      <c r="I526" t="n">
        <v>0</v>
      </c>
      <c r="J526" t="n">
        <v>0</v>
      </c>
      <c r="K526" t="n">
        <v>0</v>
      </c>
      <c r="L526" t="n">
        <v>0</v>
      </c>
      <c r="M526" t="n">
        <v>0</v>
      </c>
      <c r="N526" t="n">
        <v>0</v>
      </c>
      <c r="O526" t="n">
        <v>0</v>
      </c>
      <c r="P526" t="n">
        <v>0</v>
      </c>
      <c r="Q526" t="n">
        <v>0</v>
      </c>
      <c r="R526" s="2" t="inlineStr"/>
    </row>
    <row r="527" ht="15" customHeight="1">
      <c r="A527" t="inlineStr">
        <is>
          <t>A 43901-2023</t>
        </is>
      </c>
      <c r="B527" s="1" t="n">
        <v>45187</v>
      </c>
      <c r="C527" s="1" t="n">
        <v>46178</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17532-2024</t>
        </is>
      </c>
      <c r="B528" s="1" t="n">
        <v>45415</v>
      </c>
      <c r="C528" s="1" t="n">
        <v>46178</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45692-2023</t>
        </is>
      </c>
      <c r="B529" s="1" t="n">
        <v>45195</v>
      </c>
      <c r="C529" s="1" t="n">
        <v>46178</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37222-2021</t>
        </is>
      </c>
      <c r="B530" s="1" t="n">
        <v>44396</v>
      </c>
      <c r="C530" s="1" t="n">
        <v>46178</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46396-2023</t>
        </is>
      </c>
      <c r="B531" s="1" t="n">
        <v>45197</v>
      </c>
      <c r="C531" s="1" t="n">
        <v>46178</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46178</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58132-2023</t>
        </is>
      </c>
      <c r="B533" s="1" t="n">
        <v>45250</v>
      </c>
      <c r="C533" s="1" t="n">
        <v>46178</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22899-2023</t>
        </is>
      </c>
      <c r="B534" s="1" t="n">
        <v>45072</v>
      </c>
      <c r="C534" s="1" t="n">
        <v>46178</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28285-2024</t>
        </is>
      </c>
      <c r="B535" s="1" t="n">
        <v>45477</v>
      </c>
      <c r="C535" s="1" t="n">
        <v>46178</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51963-2024</t>
        </is>
      </c>
      <c r="B536" s="1" t="n">
        <v>45607.64833333333</v>
      </c>
      <c r="C536" s="1" t="n">
        <v>46178</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1734-2025</t>
        </is>
      </c>
      <c r="B537" s="1" t="n">
        <v>45671.3840625</v>
      </c>
      <c r="C537" s="1" t="n">
        <v>46178</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30365-2024</t>
        </is>
      </c>
      <c r="B538" s="1" t="n">
        <v>45491.3716087963</v>
      </c>
      <c r="C538" s="1" t="n">
        <v>46178</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2674-2023</t>
        </is>
      </c>
      <c r="B539" s="1" t="n">
        <v>44944</v>
      </c>
      <c r="C539" s="1" t="n">
        <v>46178</v>
      </c>
      <c r="D539" t="inlineStr">
        <is>
          <t>GOTLANDS LÄN</t>
        </is>
      </c>
      <c r="E539" t="inlineStr">
        <is>
          <t>GOTLAND</t>
        </is>
      </c>
      <c r="G539" t="n">
        <v>2.5</v>
      </c>
      <c r="H539" t="n">
        <v>0</v>
      </c>
      <c r="I539" t="n">
        <v>0</v>
      </c>
      <c r="J539" t="n">
        <v>0</v>
      </c>
      <c r="K539" t="n">
        <v>0</v>
      </c>
      <c r="L539" t="n">
        <v>0</v>
      </c>
      <c r="M539" t="n">
        <v>0</v>
      </c>
      <c r="N539" t="n">
        <v>0</v>
      </c>
      <c r="O539" t="n">
        <v>0</v>
      </c>
      <c r="P539" t="n">
        <v>0</v>
      </c>
      <c r="Q539" t="n">
        <v>0</v>
      </c>
      <c r="R539" s="2" t="inlineStr"/>
    </row>
    <row r="540" ht="15" customHeight="1">
      <c r="A540" t="inlineStr">
        <is>
          <t>A 61100-2022</t>
        </is>
      </c>
      <c r="B540" s="1" t="n">
        <v>44915</v>
      </c>
      <c r="C540" s="1" t="n">
        <v>46178</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581-2023</t>
        </is>
      </c>
      <c r="B541" s="1" t="n">
        <v>44930</v>
      </c>
      <c r="C541" s="1" t="n">
        <v>46178</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10655-2023</t>
        </is>
      </c>
      <c r="B542" s="1" t="n">
        <v>44988.49543981482</v>
      </c>
      <c r="C542" s="1" t="n">
        <v>46178</v>
      </c>
      <c r="D542" t="inlineStr">
        <is>
          <t>GOTLANDS LÄN</t>
        </is>
      </c>
      <c r="E542" t="inlineStr">
        <is>
          <t>GOTLAND</t>
        </is>
      </c>
      <c r="F542" t="inlineStr">
        <is>
          <t>Kyrkan</t>
        </is>
      </c>
      <c r="G542" t="n">
        <v>2</v>
      </c>
      <c r="H542" t="n">
        <v>0</v>
      </c>
      <c r="I542" t="n">
        <v>0</v>
      </c>
      <c r="J542" t="n">
        <v>0</v>
      </c>
      <c r="K542" t="n">
        <v>0</v>
      </c>
      <c r="L542" t="n">
        <v>0</v>
      </c>
      <c r="M542" t="n">
        <v>0</v>
      </c>
      <c r="N542" t="n">
        <v>0</v>
      </c>
      <c r="O542" t="n">
        <v>0</v>
      </c>
      <c r="P542" t="n">
        <v>0</v>
      </c>
      <c r="Q542" t="n">
        <v>0</v>
      </c>
      <c r="R542" s="2" t="inlineStr"/>
    </row>
    <row r="543" ht="15" customHeight="1">
      <c r="A543" t="inlineStr">
        <is>
          <t>A 44649-2021</t>
        </is>
      </c>
      <c r="B543" s="1" t="n">
        <v>44437</v>
      </c>
      <c r="C543" s="1" t="n">
        <v>46178</v>
      </c>
      <c r="D543" t="inlineStr">
        <is>
          <t>GOTLANDS LÄN</t>
        </is>
      </c>
      <c r="E543" t="inlineStr">
        <is>
          <t>GOTLAND</t>
        </is>
      </c>
      <c r="G543" t="n">
        <v>8.1</v>
      </c>
      <c r="H543" t="n">
        <v>0</v>
      </c>
      <c r="I543" t="n">
        <v>0</v>
      </c>
      <c r="J543" t="n">
        <v>0</v>
      </c>
      <c r="K543" t="n">
        <v>0</v>
      </c>
      <c r="L543" t="n">
        <v>0</v>
      </c>
      <c r="M543" t="n">
        <v>0</v>
      </c>
      <c r="N543" t="n">
        <v>0</v>
      </c>
      <c r="O543" t="n">
        <v>0</v>
      </c>
      <c r="P543" t="n">
        <v>0</v>
      </c>
      <c r="Q543" t="n">
        <v>0</v>
      </c>
      <c r="R543" s="2" t="inlineStr"/>
    </row>
    <row r="544" ht="15" customHeight="1">
      <c r="A544" t="inlineStr">
        <is>
          <t>A 8484-2025</t>
        </is>
      </c>
      <c r="B544" s="1" t="n">
        <v>45709</v>
      </c>
      <c r="C544" s="1" t="n">
        <v>46178</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49962-2023</t>
        </is>
      </c>
      <c r="B545" s="1" t="n">
        <v>45215.38775462963</v>
      </c>
      <c r="C545" s="1" t="n">
        <v>46178</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50744-2024</t>
        </is>
      </c>
      <c r="B546" s="1" t="n">
        <v>45602.4187037037</v>
      </c>
      <c r="C546" s="1" t="n">
        <v>46178</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45244-2024</t>
        </is>
      </c>
      <c r="B547" s="1" t="n">
        <v>45576</v>
      </c>
      <c r="C547" s="1" t="n">
        <v>46178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38787-2023</t>
        </is>
      </c>
      <c r="B548" s="1" t="n">
        <v>45163</v>
      </c>
      <c r="C548" s="1" t="n">
        <v>46178</v>
      </c>
      <c r="D548" t="inlineStr">
        <is>
          <t>GOTLANDS LÄN</t>
        </is>
      </c>
      <c r="E548" t="inlineStr">
        <is>
          <t>GOTLAND</t>
        </is>
      </c>
      <c r="G548" t="n">
        <v>0.4</v>
      </c>
      <c r="H548" t="n">
        <v>0</v>
      </c>
      <c r="I548" t="n">
        <v>0</v>
      </c>
      <c r="J548" t="n">
        <v>0</v>
      </c>
      <c r="K548" t="n">
        <v>0</v>
      </c>
      <c r="L548" t="n">
        <v>0</v>
      </c>
      <c r="M548" t="n">
        <v>0</v>
      </c>
      <c r="N548" t="n">
        <v>0</v>
      </c>
      <c r="O548" t="n">
        <v>0</v>
      </c>
      <c r="P548" t="n">
        <v>0</v>
      </c>
      <c r="Q548" t="n">
        <v>0</v>
      </c>
      <c r="R548" s="2" t="inlineStr"/>
    </row>
    <row r="549" ht="15" customHeight="1">
      <c r="A549" t="inlineStr">
        <is>
          <t>A 2714-2023</t>
        </is>
      </c>
      <c r="B549" s="1" t="n">
        <v>44944.54896990741</v>
      </c>
      <c r="C549" s="1" t="n">
        <v>46178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22897-2023</t>
        </is>
      </c>
      <c r="B550" s="1" t="n">
        <v>45072.55239583334</v>
      </c>
      <c r="C550" s="1" t="n">
        <v>46178</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4568-2025</t>
        </is>
      </c>
      <c r="B551" s="1" t="n">
        <v>45687</v>
      </c>
      <c r="C551" s="1" t="n">
        <v>46178</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1681-2023</t>
        </is>
      </c>
      <c r="B552" s="1" t="n">
        <v>44938.39715277778</v>
      </c>
      <c r="C552" s="1" t="n">
        <v>46178</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42338-2023</t>
        </is>
      </c>
      <c r="B553" s="1" t="n">
        <v>45180</v>
      </c>
      <c r="C553" s="1" t="n">
        <v>46178</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18918-2025</t>
        </is>
      </c>
      <c r="B554" s="1" t="n">
        <v>45764</v>
      </c>
      <c r="C554" s="1" t="n">
        <v>46178</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11013-2024</t>
        </is>
      </c>
      <c r="B555" s="1" t="n">
        <v>45370</v>
      </c>
      <c r="C555" s="1" t="n">
        <v>46178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45084-2024</t>
        </is>
      </c>
      <c r="B556" s="1" t="n">
        <v>45575</v>
      </c>
      <c r="C556" s="1" t="n">
        <v>46178</v>
      </c>
      <c r="D556" t="inlineStr">
        <is>
          <t>GOTLANDS LÄN</t>
        </is>
      </c>
      <c r="E556" t="inlineStr">
        <is>
          <t>GOTLAND</t>
        </is>
      </c>
      <c r="G556" t="n">
        <v>6.8</v>
      </c>
      <c r="H556" t="n">
        <v>0</v>
      </c>
      <c r="I556" t="n">
        <v>0</v>
      </c>
      <c r="J556" t="n">
        <v>0</v>
      </c>
      <c r="K556" t="n">
        <v>0</v>
      </c>
      <c r="L556" t="n">
        <v>0</v>
      </c>
      <c r="M556" t="n">
        <v>0</v>
      </c>
      <c r="N556" t="n">
        <v>0</v>
      </c>
      <c r="O556" t="n">
        <v>0</v>
      </c>
      <c r="P556" t="n">
        <v>0</v>
      </c>
      <c r="Q556" t="n">
        <v>0</v>
      </c>
      <c r="R556" s="2" t="inlineStr"/>
    </row>
    <row r="557" ht="15" customHeight="1">
      <c r="A557" t="inlineStr">
        <is>
          <t>A 20356-2022</t>
        </is>
      </c>
      <c r="B557" s="1" t="n">
        <v>44699</v>
      </c>
      <c r="C557" s="1" t="n">
        <v>46178</v>
      </c>
      <c r="D557" t="inlineStr">
        <is>
          <t>GOTLANDS LÄN</t>
        </is>
      </c>
      <c r="E557" t="inlineStr">
        <is>
          <t>GOTLAND</t>
        </is>
      </c>
      <c r="F557" t="inlineStr">
        <is>
          <t>Övriga Aktiebolag</t>
        </is>
      </c>
      <c r="G557" t="n">
        <v>4.4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46178</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5884-2025</t>
        </is>
      </c>
      <c r="B559" s="1" t="n">
        <v>45695.37482638889</v>
      </c>
      <c r="C559" s="1" t="n">
        <v>46178</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5897-2025</t>
        </is>
      </c>
      <c r="B560" s="1" t="n">
        <v>45695.39273148148</v>
      </c>
      <c r="C560" s="1" t="n">
        <v>46178</v>
      </c>
      <c r="D560" t="inlineStr">
        <is>
          <t>GOTLANDS LÄN</t>
        </is>
      </c>
      <c r="E560" t="inlineStr">
        <is>
          <t>GOTLAND</t>
        </is>
      </c>
      <c r="G560" t="n">
        <v>3.7</v>
      </c>
      <c r="H560" t="n">
        <v>0</v>
      </c>
      <c r="I560" t="n">
        <v>0</v>
      </c>
      <c r="J560" t="n">
        <v>0</v>
      </c>
      <c r="K560" t="n">
        <v>0</v>
      </c>
      <c r="L560" t="n">
        <v>0</v>
      </c>
      <c r="M560" t="n">
        <v>0</v>
      </c>
      <c r="N560" t="n">
        <v>0</v>
      </c>
      <c r="O560" t="n">
        <v>0</v>
      </c>
      <c r="P560" t="n">
        <v>0</v>
      </c>
      <c r="Q560" t="n">
        <v>0</v>
      </c>
      <c r="R560" s="2" t="inlineStr"/>
    </row>
    <row r="561" ht="15" customHeight="1">
      <c r="A561" t="inlineStr">
        <is>
          <t>A 5909-2025</t>
        </is>
      </c>
      <c r="B561" s="1" t="n">
        <v>45695.40634259259</v>
      </c>
      <c r="C561" s="1" t="n">
        <v>46178</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60086-2022</t>
        </is>
      </c>
      <c r="B562" s="1" t="n">
        <v>44909</v>
      </c>
      <c r="C562" s="1" t="n">
        <v>46178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22704-2023</t>
        </is>
      </c>
      <c r="B563" s="1" t="n">
        <v>45071</v>
      </c>
      <c r="C563" s="1" t="n">
        <v>46178</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25866-2022</t>
        </is>
      </c>
      <c r="B564" s="1" t="n">
        <v>44733</v>
      </c>
      <c r="C564" s="1" t="n">
        <v>46178</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9887-2025</t>
        </is>
      </c>
      <c r="B565" s="1" t="n">
        <v>45716</v>
      </c>
      <c r="C565" s="1" t="n">
        <v>46178</v>
      </c>
      <c r="D565" t="inlineStr">
        <is>
          <t>GOTLANDS LÄN</t>
        </is>
      </c>
      <c r="E565" t="inlineStr">
        <is>
          <t>GOTLAND</t>
        </is>
      </c>
      <c r="G565" t="n">
        <v>7.5</v>
      </c>
      <c r="H565" t="n">
        <v>0</v>
      </c>
      <c r="I565" t="n">
        <v>0</v>
      </c>
      <c r="J565" t="n">
        <v>0</v>
      </c>
      <c r="K565" t="n">
        <v>0</v>
      </c>
      <c r="L565" t="n">
        <v>0</v>
      </c>
      <c r="M565" t="n">
        <v>0</v>
      </c>
      <c r="N565" t="n">
        <v>0</v>
      </c>
      <c r="O565" t="n">
        <v>0</v>
      </c>
      <c r="P565" t="n">
        <v>0</v>
      </c>
      <c r="Q565" t="n">
        <v>0</v>
      </c>
      <c r="R565" s="2" t="inlineStr"/>
    </row>
    <row r="566" ht="15" customHeight="1">
      <c r="A566" t="inlineStr">
        <is>
          <t>A 12209-2024</t>
        </is>
      </c>
      <c r="B566" s="1" t="n">
        <v>45378</v>
      </c>
      <c r="C566" s="1" t="n">
        <v>46178</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12210-2024</t>
        </is>
      </c>
      <c r="B567" s="1" t="n">
        <v>45378</v>
      </c>
      <c r="C567" s="1" t="n">
        <v>46178</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59986-2022</t>
        </is>
      </c>
      <c r="B568" s="1" t="n">
        <v>44909</v>
      </c>
      <c r="C568" s="1" t="n">
        <v>46178</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31802-2024</t>
        </is>
      </c>
      <c r="B569" s="1" t="n">
        <v>45509</v>
      </c>
      <c r="C569" s="1" t="n">
        <v>46178</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46178</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15042-2025</t>
        </is>
      </c>
      <c r="B571" s="1" t="n">
        <v>45743</v>
      </c>
      <c r="C571" s="1" t="n">
        <v>46178</v>
      </c>
      <c r="D571" t="inlineStr">
        <is>
          <t>GOTLANDS LÄN</t>
        </is>
      </c>
      <c r="E571" t="inlineStr">
        <is>
          <t>GOTLAND</t>
        </is>
      </c>
      <c r="G571" t="n">
        <v>8.5</v>
      </c>
      <c r="H571" t="n">
        <v>0</v>
      </c>
      <c r="I571" t="n">
        <v>0</v>
      </c>
      <c r="J571" t="n">
        <v>0</v>
      </c>
      <c r="K571" t="n">
        <v>0</v>
      </c>
      <c r="L571" t="n">
        <v>0</v>
      </c>
      <c r="M571" t="n">
        <v>0</v>
      </c>
      <c r="N571" t="n">
        <v>0</v>
      </c>
      <c r="O571" t="n">
        <v>0</v>
      </c>
      <c r="P571" t="n">
        <v>0</v>
      </c>
      <c r="Q571" t="n">
        <v>0</v>
      </c>
      <c r="R571" s="2" t="inlineStr"/>
    </row>
    <row r="572" ht="15" customHeight="1">
      <c r="A572" t="inlineStr">
        <is>
          <t>A 4420-2025</t>
        </is>
      </c>
      <c r="B572" s="1" t="n">
        <v>45686.47157407407</v>
      </c>
      <c r="C572" s="1" t="n">
        <v>46178</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14427-2024</t>
        </is>
      </c>
      <c r="B573" s="1" t="n">
        <v>45394</v>
      </c>
      <c r="C573" s="1" t="n">
        <v>46178</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49257-2024</t>
        </is>
      </c>
      <c r="B574" s="1" t="n">
        <v>45595.47627314815</v>
      </c>
      <c r="C574" s="1" t="n">
        <v>46178</v>
      </c>
      <c r="D574" t="inlineStr">
        <is>
          <t>GOTLANDS LÄN</t>
        </is>
      </c>
      <c r="E574" t="inlineStr">
        <is>
          <t>GOTLAND</t>
        </is>
      </c>
      <c r="G574" t="n">
        <v>6.3</v>
      </c>
      <c r="H574" t="n">
        <v>0</v>
      </c>
      <c r="I574" t="n">
        <v>0</v>
      </c>
      <c r="J574" t="n">
        <v>0</v>
      </c>
      <c r="K574" t="n">
        <v>0</v>
      </c>
      <c r="L574" t="n">
        <v>0</v>
      </c>
      <c r="M574" t="n">
        <v>0</v>
      </c>
      <c r="N574" t="n">
        <v>0</v>
      </c>
      <c r="O574" t="n">
        <v>0</v>
      </c>
      <c r="P574" t="n">
        <v>0</v>
      </c>
      <c r="Q574" t="n">
        <v>0</v>
      </c>
      <c r="R574" s="2" t="inlineStr"/>
    </row>
    <row r="575" ht="15" customHeight="1">
      <c r="A575" t="inlineStr">
        <is>
          <t>A 49315-2024</t>
        </is>
      </c>
      <c r="B575" s="1" t="n">
        <v>45595</v>
      </c>
      <c r="C575" s="1" t="n">
        <v>46178</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27596-2023</t>
        </is>
      </c>
      <c r="B576" s="1" t="n">
        <v>45097</v>
      </c>
      <c r="C576" s="1" t="n">
        <v>46178</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56115-2023</t>
        </is>
      </c>
      <c r="B577" s="1" t="n">
        <v>45236</v>
      </c>
      <c r="C577" s="1" t="n">
        <v>46178</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64969-2023</t>
        </is>
      </c>
      <c r="B578" s="1" t="n">
        <v>45284.54009259259</v>
      </c>
      <c r="C578" s="1" t="n">
        <v>46178</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18223-2025</t>
        </is>
      </c>
      <c r="B579" s="1" t="n">
        <v>45761</v>
      </c>
      <c r="C579" s="1" t="n">
        <v>46178</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46949-2024</t>
        </is>
      </c>
      <c r="B580" s="1" t="n">
        <v>45585</v>
      </c>
      <c r="C580" s="1" t="n">
        <v>46178</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39479-2022</t>
        </is>
      </c>
      <c r="B581" s="1" t="n">
        <v>44818</v>
      </c>
      <c r="C581" s="1" t="n">
        <v>46178</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39496-2022</t>
        </is>
      </c>
      <c r="B582" s="1" t="n">
        <v>44818</v>
      </c>
      <c r="C582" s="1" t="n">
        <v>46178</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46389-2021</t>
        </is>
      </c>
      <c r="B583" s="1" t="n">
        <v>44443</v>
      </c>
      <c r="C583" s="1" t="n">
        <v>46178</v>
      </c>
      <c r="D583" t="inlineStr">
        <is>
          <t>GOTLANDS LÄN</t>
        </is>
      </c>
      <c r="E583" t="inlineStr">
        <is>
          <t>GOTLAND</t>
        </is>
      </c>
      <c r="F583" t="inlineStr">
        <is>
          <t>Kyrkan</t>
        </is>
      </c>
      <c r="G583" t="n">
        <v>2.1</v>
      </c>
      <c r="H583" t="n">
        <v>0</v>
      </c>
      <c r="I583" t="n">
        <v>0</v>
      </c>
      <c r="J583" t="n">
        <v>0</v>
      </c>
      <c r="K583" t="n">
        <v>0</v>
      </c>
      <c r="L583" t="n">
        <v>0</v>
      </c>
      <c r="M583" t="n">
        <v>0</v>
      </c>
      <c r="N583" t="n">
        <v>0</v>
      </c>
      <c r="O583" t="n">
        <v>0</v>
      </c>
      <c r="P583" t="n">
        <v>0</v>
      </c>
      <c r="Q583" t="n">
        <v>0</v>
      </c>
      <c r="R583" s="2" t="inlineStr"/>
    </row>
    <row r="584" ht="15" customHeight="1">
      <c r="A584" t="inlineStr">
        <is>
          <t>A 44949-2023</t>
        </is>
      </c>
      <c r="B584" s="1" t="n">
        <v>45190.69520833333</v>
      </c>
      <c r="C584" s="1" t="n">
        <v>46178</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17682-2024</t>
        </is>
      </c>
      <c r="B585" s="1" t="n">
        <v>45418.42966435185</v>
      </c>
      <c r="C585" s="1" t="n">
        <v>46178</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61897-2024</t>
        </is>
      </c>
      <c r="B586" s="1" t="n">
        <v>45652.75685185185</v>
      </c>
      <c r="C586" s="1" t="n">
        <v>46178</v>
      </c>
      <c r="D586" t="inlineStr">
        <is>
          <t>GOTLANDS LÄN</t>
        </is>
      </c>
      <c r="E586" t="inlineStr">
        <is>
          <t>GOTLAND</t>
        </is>
      </c>
      <c r="G586" t="n">
        <v>6.4</v>
      </c>
      <c r="H586" t="n">
        <v>0</v>
      </c>
      <c r="I586" t="n">
        <v>0</v>
      </c>
      <c r="J586" t="n">
        <v>0</v>
      </c>
      <c r="K586" t="n">
        <v>0</v>
      </c>
      <c r="L586" t="n">
        <v>0</v>
      </c>
      <c r="M586" t="n">
        <v>0</v>
      </c>
      <c r="N586" t="n">
        <v>0</v>
      </c>
      <c r="O586" t="n">
        <v>0</v>
      </c>
      <c r="P586" t="n">
        <v>0</v>
      </c>
      <c r="Q586" t="n">
        <v>0</v>
      </c>
      <c r="R586" s="2" t="inlineStr"/>
    </row>
    <row r="587" ht="15" customHeight="1">
      <c r="A587" t="inlineStr">
        <is>
          <t>A 12032-2025</t>
        </is>
      </c>
      <c r="B587" s="1" t="n">
        <v>45728.64472222222</v>
      </c>
      <c r="C587" s="1" t="n">
        <v>46178</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15595-2024</t>
        </is>
      </c>
      <c r="B588" s="1" t="n">
        <v>45401.81480324074</v>
      </c>
      <c r="C588" s="1" t="n">
        <v>46178</v>
      </c>
      <c r="D588" t="inlineStr">
        <is>
          <t>GOTLANDS LÄN</t>
        </is>
      </c>
      <c r="E588" t="inlineStr">
        <is>
          <t>GOTLAND</t>
        </is>
      </c>
      <c r="G588" t="n">
        <v>6.4</v>
      </c>
      <c r="H588" t="n">
        <v>0</v>
      </c>
      <c r="I588" t="n">
        <v>0</v>
      </c>
      <c r="J588" t="n">
        <v>0</v>
      </c>
      <c r="K588" t="n">
        <v>0</v>
      </c>
      <c r="L588" t="n">
        <v>0</v>
      </c>
      <c r="M588" t="n">
        <v>0</v>
      </c>
      <c r="N588" t="n">
        <v>0</v>
      </c>
      <c r="O588" t="n">
        <v>0</v>
      </c>
      <c r="P588" t="n">
        <v>0</v>
      </c>
      <c r="Q588" t="n">
        <v>0</v>
      </c>
      <c r="R588" s="2" t="inlineStr"/>
    </row>
    <row r="589" ht="15" customHeight="1">
      <c r="A589" t="inlineStr">
        <is>
          <t>A 21164-2024</t>
        </is>
      </c>
      <c r="B589" s="1" t="n">
        <v>45440</v>
      </c>
      <c r="C589" s="1" t="n">
        <v>46178</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17541-2024</t>
        </is>
      </c>
      <c r="B590" s="1" t="n">
        <v>45415</v>
      </c>
      <c r="C590" s="1" t="n">
        <v>46178</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13910-2025</t>
        </is>
      </c>
      <c r="B591" s="1" t="n">
        <v>45737</v>
      </c>
      <c r="C591" s="1" t="n">
        <v>46178</v>
      </c>
      <c r="D591" t="inlineStr">
        <is>
          <t>GOTLANDS LÄN</t>
        </is>
      </c>
      <c r="E591" t="inlineStr">
        <is>
          <t>GOTLAND</t>
        </is>
      </c>
      <c r="F591" t="inlineStr">
        <is>
          <t>Kommuner</t>
        </is>
      </c>
      <c r="G591" t="n">
        <v>3.2</v>
      </c>
      <c r="H591" t="n">
        <v>0</v>
      </c>
      <c r="I591" t="n">
        <v>0</v>
      </c>
      <c r="J591" t="n">
        <v>0</v>
      </c>
      <c r="K591" t="n">
        <v>0</v>
      </c>
      <c r="L591" t="n">
        <v>0</v>
      </c>
      <c r="M591" t="n">
        <v>0</v>
      </c>
      <c r="N591" t="n">
        <v>0</v>
      </c>
      <c r="O591" t="n">
        <v>0</v>
      </c>
      <c r="P591" t="n">
        <v>0</v>
      </c>
      <c r="Q591" t="n">
        <v>0</v>
      </c>
      <c r="R591" s="2" t="inlineStr"/>
    </row>
    <row r="592" ht="15" customHeight="1">
      <c r="A592" t="inlineStr">
        <is>
          <t>A 21389-2025</t>
        </is>
      </c>
      <c r="B592" s="1" t="n">
        <v>45782</v>
      </c>
      <c r="C592" s="1" t="n">
        <v>46178</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21651-2025</t>
        </is>
      </c>
      <c r="B593" s="1" t="n">
        <v>45783</v>
      </c>
      <c r="C593" s="1" t="n">
        <v>46178</v>
      </c>
      <c r="D593" t="inlineStr">
        <is>
          <t>GOTLANDS LÄN</t>
        </is>
      </c>
      <c r="E593" t="inlineStr">
        <is>
          <t>GOTLAND</t>
        </is>
      </c>
      <c r="G593" t="n">
        <v>4.2</v>
      </c>
      <c r="H593" t="n">
        <v>0</v>
      </c>
      <c r="I593" t="n">
        <v>0</v>
      </c>
      <c r="J593" t="n">
        <v>0</v>
      </c>
      <c r="K593" t="n">
        <v>0</v>
      </c>
      <c r="L593" t="n">
        <v>0</v>
      </c>
      <c r="M593" t="n">
        <v>0</v>
      </c>
      <c r="N593" t="n">
        <v>0</v>
      </c>
      <c r="O593" t="n">
        <v>0</v>
      </c>
      <c r="P593" t="n">
        <v>0</v>
      </c>
      <c r="Q593" t="n">
        <v>0</v>
      </c>
      <c r="R593" s="2" t="inlineStr"/>
    </row>
    <row r="594" ht="15" customHeight="1">
      <c r="A594" t="inlineStr">
        <is>
          <t>A 21420-2024</t>
        </is>
      </c>
      <c r="B594" s="1" t="n">
        <v>45441.38293981482</v>
      </c>
      <c r="C594" s="1" t="n">
        <v>46178</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10656-2024</t>
        </is>
      </c>
      <c r="B595" s="1" t="n">
        <v>45368</v>
      </c>
      <c r="C595" s="1" t="n">
        <v>46178</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57356-2023</t>
        </is>
      </c>
      <c r="B596" s="1" t="n">
        <v>45240</v>
      </c>
      <c r="C596" s="1" t="n">
        <v>46178</v>
      </c>
      <c r="D596" t="inlineStr">
        <is>
          <t>GOTLANDS LÄN</t>
        </is>
      </c>
      <c r="E596" t="inlineStr">
        <is>
          <t>GOTLAND</t>
        </is>
      </c>
      <c r="G596" t="n">
        <v>6.4</v>
      </c>
      <c r="H596" t="n">
        <v>0</v>
      </c>
      <c r="I596" t="n">
        <v>0</v>
      </c>
      <c r="J596" t="n">
        <v>0</v>
      </c>
      <c r="K596" t="n">
        <v>0</v>
      </c>
      <c r="L596" t="n">
        <v>0</v>
      </c>
      <c r="M596" t="n">
        <v>0</v>
      </c>
      <c r="N596" t="n">
        <v>0</v>
      </c>
      <c r="O596" t="n">
        <v>0</v>
      </c>
      <c r="P596" t="n">
        <v>0</v>
      </c>
      <c r="Q596" t="n">
        <v>0</v>
      </c>
      <c r="R596" s="2" t="inlineStr"/>
    </row>
    <row r="597" ht="15" customHeight="1">
      <c r="A597" t="inlineStr">
        <is>
          <t>A 28506-2023</t>
        </is>
      </c>
      <c r="B597" s="1" t="n">
        <v>45103</v>
      </c>
      <c r="C597" s="1" t="n">
        <v>46178</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23188-2025</t>
        </is>
      </c>
      <c r="B598" s="1" t="n">
        <v>45791</v>
      </c>
      <c r="C598" s="1" t="n">
        <v>46178</v>
      </c>
      <c r="D598" t="inlineStr">
        <is>
          <t>GOTLANDS LÄN</t>
        </is>
      </c>
      <c r="E598" t="inlineStr">
        <is>
          <t>GOTLAND</t>
        </is>
      </c>
      <c r="G598" t="n">
        <v>6.2</v>
      </c>
      <c r="H598" t="n">
        <v>0</v>
      </c>
      <c r="I598" t="n">
        <v>0</v>
      </c>
      <c r="J598" t="n">
        <v>0</v>
      </c>
      <c r="K598" t="n">
        <v>0</v>
      </c>
      <c r="L598" t="n">
        <v>0</v>
      </c>
      <c r="M598" t="n">
        <v>0</v>
      </c>
      <c r="N598" t="n">
        <v>0</v>
      </c>
      <c r="O598" t="n">
        <v>0</v>
      </c>
      <c r="P598" t="n">
        <v>0</v>
      </c>
      <c r="Q598" t="n">
        <v>0</v>
      </c>
      <c r="R598" s="2" t="inlineStr"/>
    </row>
    <row r="599" ht="15" customHeight="1">
      <c r="A599" t="inlineStr">
        <is>
          <t>A 23856-2025</t>
        </is>
      </c>
      <c r="B599" s="1" t="n">
        <v>45793</v>
      </c>
      <c r="C599" s="1" t="n">
        <v>46178</v>
      </c>
      <c r="D599" t="inlineStr">
        <is>
          <t>GOTLANDS LÄN</t>
        </is>
      </c>
      <c r="E599" t="inlineStr">
        <is>
          <t>GOTLAND</t>
        </is>
      </c>
      <c r="G599" t="n">
        <v>4.4</v>
      </c>
      <c r="H599" t="n">
        <v>0</v>
      </c>
      <c r="I599" t="n">
        <v>0</v>
      </c>
      <c r="J599" t="n">
        <v>0</v>
      </c>
      <c r="K599" t="n">
        <v>0</v>
      </c>
      <c r="L599" t="n">
        <v>0</v>
      </c>
      <c r="M599" t="n">
        <v>0</v>
      </c>
      <c r="N599" t="n">
        <v>0</v>
      </c>
      <c r="O599" t="n">
        <v>0</v>
      </c>
      <c r="P599" t="n">
        <v>0</v>
      </c>
      <c r="Q599" t="n">
        <v>0</v>
      </c>
      <c r="R599" s="2" t="inlineStr"/>
    </row>
    <row r="600" ht="15" customHeight="1">
      <c r="A600" t="inlineStr">
        <is>
          <t>A 23473-2025</t>
        </is>
      </c>
      <c r="B600" s="1" t="n">
        <v>45792</v>
      </c>
      <c r="C600" s="1" t="n">
        <v>46178</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23698-2025</t>
        </is>
      </c>
      <c r="B601" s="1" t="n">
        <v>45793</v>
      </c>
      <c r="C601" s="1" t="n">
        <v>46178</v>
      </c>
      <c r="D601" t="inlineStr">
        <is>
          <t>GOTLANDS LÄN</t>
        </is>
      </c>
      <c r="E601" t="inlineStr">
        <is>
          <t>GOTLAND</t>
        </is>
      </c>
      <c r="G601" t="n">
        <v>0.8</v>
      </c>
      <c r="H601" t="n">
        <v>0</v>
      </c>
      <c r="I601" t="n">
        <v>0</v>
      </c>
      <c r="J601" t="n">
        <v>0</v>
      </c>
      <c r="K601" t="n">
        <v>0</v>
      </c>
      <c r="L601" t="n">
        <v>0</v>
      </c>
      <c r="M601" t="n">
        <v>0</v>
      </c>
      <c r="N601" t="n">
        <v>0</v>
      </c>
      <c r="O601" t="n">
        <v>0</v>
      </c>
      <c r="P601" t="n">
        <v>0</v>
      </c>
      <c r="Q601" t="n">
        <v>0</v>
      </c>
      <c r="R601" s="2" t="inlineStr"/>
    </row>
    <row r="602" ht="15" customHeight="1">
      <c r="A602" t="inlineStr">
        <is>
          <t>A 15073-2025</t>
        </is>
      </c>
      <c r="B602" s="1" t="n">
        <v>45743</v>
      </c>
      <c r="C602" s="1" t="n">
        <v>46178</v>
      </c>
      <c r="D602" t="inlineStr">
        <is>
          <t>GOTLANDS LÄN</t>
        </is>
      </c>
      <c r="E602" t="inlineStr">
        <is>
          <t>GOTLAND</t>
        </is>
      </c>
      <c r="G602" t="n">
        <v>12.1</v>
      </c>
      <c r="H602" t="n">
        <v>0</v>
      </c>
      <c r="I602" t="n">
        <v>0</v>
      </c>
      <c r="J602" t="n">
        <v>0</v>
      </c>
      <c r="K602" t="n">
        <v>0</v>
      </c>
      <c r="L602" t="n">
        <v>0</v>
      </c>
      <c r="M602" t="n">
        <v>0</v>
      </c>
      <c r="N602" t="n">
        <v>0</v>
      </c>
      <c r="O602" t="n">
        <v>0</v>
      </c>
      <c r="P602" t="n">
        <v>0</v>
      </c>
      <c r="Q602" t="n">
        <v>0</v>
      </c>
      <c r="R602" s="2" t="inlineStr"/>
    </row>
    <row r="603">
      <c r="A603" t="inlineStr">
        <is>
          <t>A 6749-2025</t>
        </is>
      </c>
      <c r="B603" s="1" t="n">
        <v>45700</v>
      </c>
      <c r="C603" s="1" t="n">
        <v>46178</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2026-06-05T10:49:05Z</dcterms:created>
  <dcterms:modified xmlns:dcterms="http://purl.org/dc/terms/" xmlns:xsi="http://www.w3.org/2001/XMLSchema-instance" xsi:type="dcterms:W3CDTF">2026-06-05T10:49:05Z</dcterms:modified>
</cp:coreProperties>
</file>