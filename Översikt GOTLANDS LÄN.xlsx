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45971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45971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45971</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45971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45971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45971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45971</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45971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45971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45971</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45971</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45971</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45971</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45971</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45971</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45971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45971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45971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45971</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45971</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45971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45971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45971</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45971</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45971</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45971</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45971</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45971</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45971</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45971</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45971</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45971</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35141-2022</t>
        </is>
      </c>
      <c r="B34" s="1" t="n">
        <v>44797.53318287037</v>
      </c>
      <c r="C34" s="1" t="n">
        <v>45971</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44928-2022</t>
        </is>
      </c>
      <c r="B35" s="1" t="n">
        <v>44841</v>
      </c>
      <c r="C35" s="1" t="n">
        <v>45971</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45971</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45971</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45971</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63872-2021</t>
        </is>
      </c>
      <c r="B39" s="1" t="n">
        <v>44509</v>
      </c>
      <c r="C39" s="1" t="n">
        <v>45971</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45971</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3324-2023</t>
        </is>
      </c>
      <c r="B41" s="1" t="n">
        <v>44949</v>
      </c>
      <c r="C41" s="1" t="n">
        <v>45971</v>
      </c>
      <c r="D41" t="inlineStr">
        <is>
          <t>GOTLANDS LÄN</t>
        </is>
      </c>
      <c r="E41" t="inlineStr">
        <is>
          <t>GOTLAND</t>
        </is>
      </c>
      <c r="G41" t="n">
        <v>6.2</v>
      </c>
      <c r="H41" t="n">
        <v>0</v>
      </c>
      <c r="I41" t="n">
        <v>4</v>
      </c>
      <c r="J41" t="n">
        <v>2</v>
      </c>
      <c r="K41" t="n">
        <v>6</v>
      </c>
      <c r="L41" t="n">
        <v>0</v>
      </c>
      <c r="M41" t="n">
        <v>0</v>
      </c>
      <c r="N41" t="n">
        <v>0</v>
      </c>
      <c r="O41" t="n">
        <v>8</v>
      </c>
      <c r="P41" t="n">
        <v>6</v>
      </c>
      <c r="Q41" t="n">
        <v>12</v>
      </c>
      <c r="R41" s="2" t="inlineStr">
        <is>
          <t>Blåfotad fagerspindling
Duvspindling
Granrotsspindling
Gulsträngad fagerspindling
Svartgrön spindling
Tvillingspindling
Odörspindling
Äggspindling
Anisspindling
Blå slemspindling
Olivspindling
Rödgul trumpetsvamp</t>
        </is>
      </c>
      <c r="S41">
        <f>HYPERLINK("https://klasma.github.io/Logging_0980/artfynd/A 3324-2023 artfynd.xlsx", "A 3324-2023")</f>
        <v/>
      </c>
      <c r="T41">
        <f>HYPERLINK("https://klasma.github.io/Logging_0980/kartor/A 3324-2023 karta.png", "A 3324-2023")</f>
        <v/>
      </c>
      <c r="V41">
        <f>HYPERLINK("https://klasma.github.io/Logging_0980/klagomål/A 3324-2023 FSC-klagomål.docx", "A 3324-2023")</f>
        <v/>
      </c>
      <c r="W41">
        <f>HYPERLINK("https://klasma.github.io/Logging_0980/klagomålsmail/A 3324-2023 FSC-klagomål mail.docx", "A 3324-2023")</f>
        <v/>
      </c>
      <c r="X41">
        <f>HYPERLINK("https://klasma.github.io/Logging_0980/tillsyn/A 3324-2023 tillsynsbegäran.docx", "A 3324-2023")</f>
        <v/>
      </c>
      <c r="Y41">
        <f>HYPERLINK("https://klasma.github.io/Logging_0980/tillsynsmail/A 3324-2023 tillsynsbegäran mail.docx", "A 3324-2023")</f>
        <v/>
      </c>
    </row>
    <row r="42" ht="15" customHeight="1">
      <c r="A42" t="inlineStr">
        <is>
          <t>A 15850-2025</t>
        </is>
      </c>
      <c r="B42" s="1" t="n">
        <v>45748</v>
      </c>
      <c r="C42" s="1" t="n">
        <v>45971</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45971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45971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45971</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45971</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584-2023</t>
        </is>
      </c>
      <c r="B47" s="1" t="n">
        <v>44930</v>
      </c>
      <c r="C47" s="1" t="n">
        <v>45971</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33153-2024</t>
        </is>
      </c>
      <c r="B48" s="1" t="n">
        <v>45518</v>
      </c>
      <c r="C48" s="1" t="n">
        <v>45971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17766-2024</t>
        </is>
      </c>
      <c r="B49" s="1" t="n">
        <v>45418</v>
      </c>
      <c r="C49" s="1" t="n">
        <v>45971</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45971</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45971</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45971</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45971</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45971</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45971</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45971</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45971</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45971</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45971</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4984-2025</t>
        </is>
      </c>
      <c r="B60" s="1" t="n">
        <v>45691.29891203704</v>
      </c>
      <c r="C60" s="1" t="n">
        <v>45971</v>
      </c>
      <c r="D60" t="inlineStr">
        <is>
          <t>GOTLANDS LÄN</t>
        </is>
      </c>
      <c r="E60" t="inlineStr">
        <is>
          <t>GOTLAND</t>
        </is>
      </c>
      <c r="G60" t="n">
        <v>1.3</v>
      </c>
      <c r="H60" t="n">
        <v>4</v>
      </c>
      <c r="I60" t="n">
        <v>2</v>
      </c>
      <c r="J60" t="n">
        <v>3</v>
      </c>
      <c r="K60" t="n">
        <v>0</v>
      </c>
      <c r="L60" t="n">
        <v>0</v>
      </c>
      <c r="M60" t="n">
        <v>0</v>
      </c>
      <c r="N60" t="n">
        <v>0</v>
      </c>
      <c r="O60" t="n">
        <v>3</v>
      </c>
      <c r="P60" t="n">
        <v>0</v>
      </c>
      <c r="Q60" t="n">
        <v>7</v>
      </c>
      <c r="R60" s="2" t="inlineStr">
        <is>
          <t>Gulsparv
Jordtistel
Svinrot
Grönpyrola
Tvåblad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45248-2024</t>
        </is>
      </c>
      <c r="B61" s="1" t="n">
        <v>45576</v>
      </c>
      <c r="C61" s="1" t="n">
        <v>45971</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45971</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27280-2023</t>
        </is>
      </c>
      <c r="B63" s="1" t="n">
        <v>45096</v>
      </c>
      <c r="C63" s="1" t="n">
        <v>45971</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10419-2025</t>
        </is>
      </c>
      <c r="B64" s="1" t="n">
        <v>45720</v>
      </c>
      <c r="C64" s="1" t="n">
        <v>45971</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34142-2024</t>
        </is>
      </c>
      <c r="B65" s="1" t="n">
        <v>45524.36521990741</v>
      </c>
      <c r="C65" s="1" t="n">
        <v>45971</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52223-2025</t>
        </is>
      </c>
      <c r="B66" s="1" t="n">
        <v>45953.44509259259</v>
      </c>
      <c r="C66" s="1" t="n">
        <v>45971</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45971</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45971</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45971</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2085-2023</t>
        </is>
      </c>
      <c r="B70" s="1" t="n">
        <v>44939</v>
      </c>
      <c r="C70" s="1" t="n">
        <v>45971</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65819-2020</t>
        </is>
      </c>
      <c r="B71" s="1" t="n">
        <v>44174</v>
      </c>
      <c r="C71" s="1" t="n">
        <v>45971</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16823-2024</t>
        </is>
      </c>
      <c r="B72" s="1" t="n">
        <v>45411</v>
      </c>
      <c r="C72" s="1" t="n">
        <v>45971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45971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446-2023</t>
        </is>
      </c>
      <c r="B74" s="1" t="n">
        <v>44929</v>
      </c>
      <c r="C74" s="1" t="n">
        <v>45971</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66091-2021</t>
        </is>
      </c>
      <c r="B75" s="1" t="n">
        <v>44517</v>
      </c>
      <c r="C75" s="1" t="n">
        <v>45971</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44944-2022</t>
        </is>
      </c>
      <c r="B76" s="1" t="n">
        <v>44841</v>
      </c>
      <c r="C76" s="1" t="n">
        <v>45971</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54055-2022</t>
        </is>
      </c>
      <c r="B77" s="1" t="n">
        <v>44881</v>
      </c>
      <c r="C77" s="1" t="n">
        <v>45971</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42936-2024</t>
        </is>
      </c>
      <c r="B78" s="1" t="n">
        <v>45567</v>
      </c>
      <c r="C78" s="1" t="n">
        <v>45971</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2213-2023</t>
        </is>
      </c>
      <c r="B79" s="1" t="n">
        <v>44942</v>
      </c>
      <c r="C79" s="1" t="n">
        <v>45971</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32326-2024</t>
        </is>
      </c>
      <c r="B80" s="1" t="n">
        <v>45512</v>
      </c>
      <c r="C80" s="1" t="n">
        <v>45971</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45971</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16375-2025</t>
        </is>
      </c>
      <c r="B82" s="1" t="n">
        <v>45751.41064814815</v>
      </c>
      <c r="C82" s="1" t="n">
        <v>45971</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35293-2025</t>
        </is>
      </c>
      <c r="B83" s="1" t="n">
        <v>45854.39438657407</v>
      </c>
      <c r="C83" s="1" t="n">
        <v>45971</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29331-2021</t>
        </is>
      </c>
      <c r="B84" s="1" t="n">
        <v>44361</v>
      </c>
      <c r="C84" s="1" t="n">
        <v>45971</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5904-2024</t>
        </is>
      </c>
      <c r="B85" s="1" t="n">
        <v>45335</v>
      </c>
      <c r="C85" s="1" t="n">
        <v>45971</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54523-2023</t>
        </is>
      </c>
      <c r="B86" s="1" t="n">
        <v>45233</v>
      </c>
      <c r="C86" s="1" t="n">
        <v>45971</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6159-2023</t>
        </is>
      </c>
      <c r="B87" s="1" t="n">
        <v>44964</v>
      </c>
      <c r="C87" s="1" t="n">
        <v>45971</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43197-2023</t>
        </is>
      </c>
      <c r="B88" s="1" t="n">
        <v>45183</v>
      </c>
      <c r="C88" s="1" t="n">
        <v>45971</v>
      </c>
      <c r="D88" t="inlineStr">
        <is>
          <t>GOTLANDS LÄN</t>
        </is>
      </c>
      <c r="E88" t="inlineStr">
        <is>
          <t>GOTLAND</t>
        </is>
      </c>
      <c r="G88" t="n">
        <v>3.7</v>
      </c>
      <c r="H88" t="n">
        <v>2</v>
      </c>
      <c r="I88" t="n">
        <v>1</v>
      </c>
      <c r="J88" t="n">
        <v>1</v>
      </c>
      <c r="K88" t="n">
        <v>1</v>
      </c>
      <c r="L88" t="n">
        <v>0</v>
      </c>
      <c r="M88" t="n">
        <v>0</v>
      </c>
      <c r="N88" t="n">
        <v>0</v>
      </c>
      <c r="O88" t="n">
        <v>2</v>
      </c>
      <c r="P88" t="n">
        <v>1</v>
      </c>
      <c r="Q88" t="n">
        <v>4</v>
      </c>
      <c r="R88" s="2" t="inlineStr">
        <is>
          <t>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8265-2023</t>
        </is>
      </c>
      <c r="B89" s="1" t="n">
        <v>44974</v>
      </c>
      <c r="C89" s="1" t="n">
        <v>45971</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1971-2023</t>
        </is>
      </c>
      <c r="B90" s="1" t="n">
        <v>44939</v>
      </c>
      <c r="C90" s="1" t="n">
        <v>45971</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186-2023</t>
        </is>
      </c>
      <c r="B91" s="1" t="n">
        <v>44928</v>
      </c>
      <c r="C91" s="1" t="n">
        <v>45971</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56717-2024</t>
        </is>
      </c>
      <c r="B92" s="1" t="n">
        <v>45628.3166550926</v>
      </c>
      <c r="C92" s="1" t="n">
        <v>45971</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64378-2020</t>
        </is>
      </c>
      <c r="B93" s="1" t="n">
        <v>44168</v>
      </c>
      <c r="C93" s="1" t="n">
        <v>45971</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40099-2025</t>
        </is>
      </c>
      <c r="B94" s="1" t="n">
        <v>45894.48462962963</v>
      </c>
      <c r="C94" s="1" t="n">
        <v>45971</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44933-2022</t>
        </is>
      </c>
      <c r="B95" s="1" t="n">
        <v>44841</v>
      </c>
      <c r="C95" s="1" t="n">
        <v>45971</v>
      </c>
      <c r="D95" t="inlineStr">
        <is>
          <t>GOTLANDS LÄN</t>
        </is>
      </c>
      <c r="E95" t="inlineStr">
        <is>
          <t>GOTLAND</t>
        </is>
      </c>
      <c r="G95" t="n">
        <v>4.5</v>
      </c>
      <c r="H95" t="n">
        <v>1</v>
      </c>
      <c r="I95" t="n">
        <v>2</v>
      </c>
      <c r="J95" t="n">
        <v>2</v>
      </c>
      <c r="K95" t="n">
        <v>0</v>
      </c>
      <c r="L95" t="n">
        <v>0</v>
      </c>
      <c r="M95" t="n">
        <v>0</v>
      </c>
      <c r="N95" t="n">
        <v>0</v>
      </c>
      <c r="O95" t="n">
        <v>2</v>
      </c>
      <c r="P95" t="n">
        <v>0</v>
      </c>
      <c r="Q95" t="n">
        <v>4</v>
      </c>
      <c r="R95" s="2" t="inlineStr">
        <is>
          <t>Ekvaxskivling
Odörspindling
Skarp dropptaggsvamp
Skogsknipprot</t>
        </is>
      </c>
      <c r="S95">
        <f>HYPERLINK("https://klasma.github.io/Logging_0980/artfynd/A 44933-2022 artfynd.xlsx", "A 44933-2022")</f>
        <v/>
      </c>
      <c r="T95">
        <f>HYPERLINK("https://klasma.github.io/Logging_0980/kartor/A 44933-2022 karta.png", "A 44933-2022")</f>
        <v/>
      </c>
      <c r="V95">
        <f>HYPERLINK("https://klasma.github.io/Logging_0980/klagomål/A 44933-2022 FSC-klagomål.docx", "A 44933-2022")</f>
        <v/>
      </c>
      <c r="W95">
        <f>HYPERLINK("https://klasma.github.io/Logging_0980/klagomålsmail/A 44933-2022 FSC-klagomål mail.docx", "A 44933-2022")</f>
        <v/>
      </c>
      <c r="X95">
        <f>HYPERLINK("https://klasma.github.io/Logging_0980/tillsyn/A 44933-2022 tillsynsbegäran.docx", "A 44933-2022")</f>
        <v/>
      </c>
      <c r="Y95">
        <f>HYPERLINK("https://klasma.github.io/Logging_0980/tillsynsmail/A 44933-2022 tillsynsbegäran mail.docx", "A 44933-2022")</f>
        <v/>
      </c>
    </row>
    <row r="96" ht="15" customHeight="1">
      <c r="A96" t="inlineStr">
        <is>
          <t>A 2485-2025</t>
        </is>
      </c>
      <c r="B96" s="1" t="n">
        <v>45673</v>
      </c>
      <c r="C96" s="1" t="n">
        <v>45971</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52309-2025</t>
        </is>
      </c>
      <c r="B97" s="1" t="n">
        <v>45953.64381944444</v>
      </c>
      <c r="C97" s="1" t="n">
        <v>45971</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53584-2025</t>
        </is>
      </c>
      <c r="B98" s="1" t="n">
        <v>45960.43130787037</v>
      </c>
      <c r="C98" s="1" t="n">
        <v>45971</v>
      </c>
      <c r="D98" t="inlineStr">
        <is>
          <t>GOTLANDS LÄN</t>
        </is>
      </c>
      <c r="E98" t="inlineStr">
        <is>
          <t>GOTLAND</t>
        </is>
      </c>
      <c r="F98" t="inlineStr">
        <is>
          <t>Övriga Aktiebolag</t>
        </is>
      </c>
      <c r="G98" t="n">
        <v>18.1</v>
      </c>
      <c r="H98" t="n">
        <v>1</v>
      </c>
      <c r="I98" t="n">
        <v>0</v>
      </c>
      <c r="J98" t="n">
        <v>4</v>
      </c>
      <c r="K98" t="n">
        <v>0</v>
      </c>
      <c r="L98" t="n">
        <v>0</v>
      </c>
      <c r="M98" t="n">
        <v>0</v>
      </c>
      <c r="N98" t="n">
        <v>0</v>
      </c>
      <c r="O98" t="n">
        <v>4</v>
      </c>
      <c r="P98" t="n">
        <v>0</v>
      </c>
      <c r="Q98" t="n">
        <v>4</v>
      </c>
      <c r="R98" s="2" t="inlineStr">
        <is>
          <t>Apollofjäril
Jordtistel
Klasefibbla
Majviva</t>
        </is>
      </c>
      <c r="S98">
        <f>HYPERLINK("https://klasma.github.io/Logging_0980/artfynd/A 53584-2025 artfynd.xlsx", "A 53584-2025")</f>
        <v/>
      </c>
      <c r="T98">
        <f>HYPERLINK("https://klasma.github.io/Logging_0980/kartor/A 53584-2025 karta.png", "A 53584-2025")</f>
        <v/>
      </c>
      <c r="V98">
        <f>HYPERLINK("https://klasma.github.io/Logging_0980/klagomål/A 53584-2025 FSC-klagomål.docx", "A 53584-2025")</f>
        <v/>
      </c>
      <c r="W98">
        <f>HYPERLINK("https://klasma.github.io/Logging_0980/klagomålsmail/A 53584-2025 FSC-klagomål mail.docx", "A 53584-2025")</f>
        <v/>
      </c>
      <c r="X98">
        <f>HYPERLINK("https://klasma.github.io/Logging_0980/tillsyn/A 53584-2025 tillsynsbegäran.docx", "A 53584-2025")</f>
        <v/>
      </c>
      <c r="Y98">
        <f>HYPERLINK("https://klasma.github.io/Logging_0980/tillsynsmail/A 53584-2025 tillsynsbegäran mail.docx", "A 53584-2025")</f>
        <v/>
      </c>
    </row>
    <row r="99" ht="15" customHeight="1">
      <c r="A99" t="inlineStr">
        <is>
          <t>A 20833-2024</t>
        </is>
      </c>
      <c r="B99" s="1" t="n">
        <v>45439</v>
      </c>
      <c r="C99" s="1" t="n">
        <v>45971</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65537-2020</t>
        </is>
      </c>
      <c r="B100" s="1" t="n">
        <v>44173</v>
      </c>
      <c r="C100" s="1" t="n">
        <v>45971</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45971</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45971</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45971</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2332-2021</t>
        </is>
      </c>
      <c r="B104" s="1" t="n">
        <v>44214</v>
      </c>
      <c r="C104" s="1" t="n">
        <v>45971</v>
      </c>
      <c r="D104" t="inlineStr">
        <is>
          <t>GOTLANDS LÄN</t>
        </is>
      </c>
      <c r="E104" t="inlineStr">
        <is>
          <t>GOTLAND</t>
        </is>
      </c>
      <c r="G104" t="n">
        <v>2.3</v>
      </c>
      <c r="H104" t="n">
        <v>2</v>
      </c>
      <c r="I104" t="n">
        <v>0</v>
      </c>
      <c r="J104" t="n">
        <v>1</v>
      </c>
      <c r="K104" t="n">
        <v>0</v>
      </c>
      <c r="L104" t="n">
        <v>0</v>
      </c>
      <c r="M104" t="n">
        <v>0</v>
      </c>
      <c r="N104" t="n">
        <v>0</v>
      </c>
      <c r="O104" t="n">
        <v>1</v>
      </c>
      <c r="P104" t="n">
        <v>0</v>
      </c>
      <c r="Q104" t="n">
        <v>3</v>
      </c>
      <c r="R104" s="2" t="inlineStr">
        <is>
          <t>Korpnopping
Sankt pers nycklar
Blåsippa</t>
        </is>
      </c>
      <c r="S104">
        <f>HYPERLINK("https://klasma.github.io/Logging_0980/artfynd/A 2332-2021 artfynd.xlsx", "A 2332-2021")</f>
        <v/>
      </c>
      <c r="T104">
        <f>HYPERLINK("https://klasma.github.io/Logging_0980/kartor/A 2332-2021 karta.png", "A 2332-2021")</f>
        <v/>
      </c>
      <c r="V104">
        <f>HYPERLINK("https://klasma.github.io/Logging_0980/klagomål/A 2332-2021 FSC-klagomål.docx", "A 2332-2021")</f>
        <v/>
      </c>
      <c r="W104">
        <f>HYPERLINK("https://klasma.github.io/Logging_0980/klagomålsmail/A 2332-2021 FSC-klagomål mail.docx", "A 2332-2021")</f>
        <v/>
      </c>
      <c r="X104">
        <f>HYPERLINK("https://klasma.github.io/Logging_0980/tillsyn/A 2332-2021 tillsynsbegäran.docx", "A 2332-2021")</f>
        <v/>
      </c>
      <c r="Y104">
        <f>HYPERLINK("https://klasma.github.io/Logging_0980/tillsynsmail/A 2332-2021 tillsynsbegäran mail.docx", "A 2332-2021")</f>
        <v/>
      </c>
    </row>
    <row r="105" ht="15" customHeight="1">
      <c r="A105" t="inlineStr">
        <is>
          <t>A 32718-2021</t>
        </is>
      </c>
      <c r="B105" s="1" t="n">
        <v>44375</v>
      </c>
      <c r="C105" s="1" t="n">
        <v>45971</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48126-2022</t>
        </is>
      </c>
      <c r="B106" s="1" t="n">
        <v>44857</v>
      </c>
      <c r="C106" s="1" t="n">
        <v>45971</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43013-2022</t>
        </is>
      </c>
      <c r="B107" s="1" t="n">
        <v>44833</v>
      </c>
      <c r="C107" s="1" t="n">
        <v>45971</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5235-2025</t>
        </is>
      </c>
      <c r="B108" s="1" t="n">
        <v>45692.26797453704</v>
      </c>
      <c r="C108" s="1" t="n">
        <v>45971</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53552-2021</t>
        </is>
      </c>
      <c r="B109" s="1" t="n">
        <v>44468</v>
      </c>
      <c r="C109" s="1" t="n">
        <v>45971</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73144-2021</t>
        </is>
      </c>
      <c r="B110" s="1" t="n">
        <v>44550</v>
      </c>
      <c r="C110" s="1" t="n">
        <v>45971</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45971</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49709-2025</t>
        </is>
      </c>
      <c r="B112" s="1" t="n">
        <v>45939.68228009259</v>
      </c>
      <c r="C112" s="1" t="n">
        <v>45971</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17975-2024</t>
        </is>
      </c>
      <c r="B113" s="1" t="n">
        <v>45419.85546296297</v>
      </c>
      <c r="C113" s="1" t="n">
        <v>45971</v>
      </c>
      <c r="D113" t="inlineStr">
        <is>
          <t>GOTLANDS LÄN</t>
        </is>
      </c>
      <c r="E113" t="inlineStr">
        <is>
          <t>GOTLAND</t>
        </is>
      </c>
      <c r="G113" t="n">
        <v>7.9</v>
      </c>
      <c r="H113" t="n">
        <v>0</v>
      </c>
      <c r="I113" t="n">
        <v>1</v>
      </c>
      <c r="J113" t="n">
        <v>1</v>
      </c>
      <c r="K113" t="n">
        <v>0</v>
      </c>
      <c r="L113" t="n">
        <v>1</v>
      </c>
      <c r="M113" t="n">
        <v>0</v>
      </c>
      <c r="N113" t="n">
        <v>0</v>
      </c>
      <c r="O113" t="n">
        <v>2</v>
      </c>
      <c r="P113" t="n">
        <v>1</v>
      </c>
      <c r="Q113" t="n">
        <v>3</v>
      </c>
      <c r="R113" s="2" t="inlineStr">
        <is>
          <t>Ask
Skugglosta
Strävlosta</t>
        </is>
      </c>
      <c r="S113">
        <f>HYPERLINK("https://klasma.github.io/Logging_0980/artfynd/A 17975-2024 artfynd.xlsx", "A 17975-2024")</f>
        <v/>
      </c>
      <c r="T113">
        <f>HYPERLINK("https://klasma.github.io/Logging_0980/kartor/A 17975-2024 karta.png", "A 17975-2024")</f>
        <v/>
      </c>
      <c r="V113">
        <f>HYPERLINK("https://klasma.github.io/Logging_0980/klagomål/A 17975-2024 FSC-klagomål.docx", "A 17975-2024")</f>
        <v/>
      </c>
      <c r="W113">
        <f>HYPERLINK("https://klasma.github.io/Logging_0980/klagomålsmail/A 17975-2024 FSC-klagomål mail.docx", "A 17975-2024")</f>
        <v/>
      </c>
      <c r="X113">
        <f>HYPERLINK("https://klasma.github.io/Logging_0980/tillsyn/A 17975-2024 tillsynsbegäran.docx", "A 17975-2024")</f>
        <v/>
      </c>
      <c r="Y113">
        <f>HYPERLINK("https://klasma.github.io/Logging_0980/tillsynsmail/A 17975-2024 tillsynsbegäran mail.docx", "A 17975-2024")</f>
        <v/>
      </c>
    </row>
    <row r="114" ht="15" customHeight="1">
      <c r="A114" t="inlineStr">
        <is>
          <t>A 13499-2022</t>
        </is>
      </c>
      <c r="B114" s="1" t="n">
        <v>44647.79203703703</v>
      </c>
      <c r="C114" s="1" t="n">
        <v>45971</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30490-2025</t>
        </is>
      </c>
      <c r="B115" s="1" t="n">
        <v>45830</v>
      </c>
      <c r="C115" s="1" t="n">
        <v>45971</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12315-2024</t>
        </is>
      </c>
      <c r="B116" s="1" t="n">
        <v>45378.6434837963</v>
      </c>
      <c r="C116" s="1" t="n">
        <v>45971</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55334-2024</t>
        </is>
      </c>
      <c r="B117" s="1" t="n">
        <v>45621</v>
      </c>
      <c r="C117" s="1" t="n">
        <v>45971</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20831-2024</t>
        </is>
      </c>
      <c r="B118" s="1" t="n">
        <v>45439</v>
      </c>
      <c r="C118" s="1" t="n">
        <v>45971</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62326-2020</t>
        </is>
      </c>
      <c r="B119" s="1" t="n">
        <v>44160</v>
      </c>
      <c r="C119" s="1" t="n">
        <v>45971</v>
      </c>
      <c r="D119" t="inlineStr">
        <is>
          <t>GOTLANDS LÄN</t>
        </is>
      </c>
      <c r="E119" t="inlineStr">
        <is>
          <t>GOTLAND</t>
        </is>
      </c>
      <c r="G119" t="n">
        <v>7.4</v>
      </c>
      <c r="H119" t="n">
        <v>1</v>
      </c>
      <c r="I119" t="n">
        <v>3</v>
      </c>
      <c r="J119" t="n">
        <v>0</v>
      </c>
      <c r="K119" t="n">
        <v>0</v>
      </c>
      <c r="L119" t="n">
        <v>0</v>
      </c>
      <c r="M119" t="n">
        <v>0</v>
      </c>
      <c r="N119" t="n">
        <v>0</v>
      </c>
      <c r="O119" t="n">
        <v>0</v>
      </c>
      <c r="P119" t="n">
        <v>0</v>
      </c>
      <c r="Q119" t="n">
        <v>3</v>
      </c>
      <c r="R119" s="2" t="inlineStr">
        <is>
          <t>Anisspindling
Blåmossa
Skogsknipprot</t>
        </is>
      </c>
      <c r="S119">
        <f>HYPERLINK("https://klasma.github.io/Logging_0980/artfynd/A 62326-2020 artfynd.xlsx", "A 62326-2020")</f>
        <v/>
      </c>
      <c r="T119">
        <f>HYPERLINK("https://klasma.github.io/Logging_0980/kartor/A 62326-2020 karta.png", "A 62326-2020")</f>
        <v/>
      </c>
      <c r="V119">
        <f>HYPERLINK("https://klasma.github.io/Logging_0980/klagomål/A 62326-2020 FSC-klagomål.docx", "A 62326-2020")</f>
        <v/>
      </c>
      <c r="W119">
        <f>HYPERLINK("https://klasma.github.io/Logging_0980/klagomålsmail/A 62326-2020 FSC-klagomål mail.docx", "A 62326-2020")</f>
        <v/>
      </c>
      <c r="X119">
        <f>HYPERLINK("https://klasma.github.io/Logging_0980/tillsyn/A 62326-2020 tillsynsbegäran.docx", "A 62326-2020")</f>
        <v/>
      </c>
      <c r="Y119">
        <f>HYPERLINK("https://klasma.github.io/Logging_0980/tillsynsmail/A 62326-2020 tillsynsbegäran mail.docx", "A 62326-2020")</f>
        <v/>
      </c>
    </row>
    <row r="120" ht="15" customHeight="1">
      <c r="A120" t="inlineStr">
        <is>
          <t>A 29870-2021</t>
        </is>
      </c>
      <c r="B120" s="1" t="n">
        <v>44362</v>
      </c>
      <c r="C120" s="1" t="n">
        <v>45971</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45971</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45971</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45971</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20218-2022</t>
        </is>
      </c>
      <c r="B124" s="1" t="n">
        <v>44698</v>
      </c>
      <c r="C124" s="1" t="n">
        <v>45971</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60665-2021</t>
        </is>
      </c>
      <c r="B125" s="1" t="n">
        <v>44496</v>
      </c>
      <c r="C125" s="1" t="n">
        <v>45971</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26077-2024</t>
        </is>
      </c>
      <c r="B126" s="1" t="n">
        <v>45467</v>
      </c>
      <c r="C126" s="1" t="n">
        <v>45971</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58701-2020</t>
        </is>
      </c>
      <c r="B127" s="1" t="n">
        <v>44146</v>
      </c>
      <c r="C127" s="1" t="n">
        <v>45971</v>
      </c>
      <c r="D127" t="inlineStr">
        <is>
          <t>GOTLANDS LÄN</t>
        </is>
      </c>
      <c r="E127" t="inlineStr">
        <is>
          <t>GOTLAND</t>
        </is>
      </c>
      <c r="G127" t="n">
        <v>5.5</v>
      </c>
      <c r="H127" t="n">
        <v>0</v>
      </c>
      <c r="I127" t="n">
        <v>0</v>
      </c>
      <c r="J127" t="n">
        <v>1</v>
      </c>
      <c r="K127" t="n">
        <v>1</v>
      </c>
      <c r="L127" t="n">
        <v>0</v>
      </c>
      <c r="M127" t="n">
        <v>0</v>
      </c>
      <c r="N127" t="n">
        <v>0</v>
      </c>
      <c r="O127" t="n">
        <v>2</v>
      </c>
      <c r="P127" t="n">
        <v>1</v>
      </c>
      <c r="Q127" t="n">
        <v>2</v>
      </c>
      <c r="R127" s="2" t="inlineStr">
        <is>
          <t>Vit taggsvamp
Odörspindling</t>
        </is>
      </c>
      <c r="S127">
        <f>HYPERLINK("https://klasma.github.io/Logging_0980/artfynd/A 58701-2020 artfynd.xlsx", "A 58701-2020")</f>
        <v/>
      </c>
      <c r="T127">
        <f>HYPERLINK("https://klasma.github.io/Logging_0980/kartor/A 58701-2020 karta.png", "A 58701-2020")</f>
        <v/>
      </c>
      <c r="V127">
        <f>HYPERLINK("https://klasma.github.io/Logging_0980/klagomål/A 58701-2020 FSC-klagomål.docx", "A 58701-2020")</f>
        <v/>
      </c>
      <c r="W127">
        <f>HYPERLINK("https://klasma.github.io/Logging_0980/klagomålsmail/A 58701-2020 FSC-klagomål mail.docx", "A 58701-2020")</f>
        <v/>
      </c>
      <c r="X127">
        <f>HYPERLINK("https://klasma.github.io/Logging_0980/tillsyn/A 58701-2020 tillsynsbegäran.docx", "A 58701-2020")</f>
        <v/>
      </c>
      <c r="Y127">
        <f>HYPERLINK("https://klasma.github.io/Logging_0980/tillsynsmail/A 58701-2020 tillsynsbegäran mail.docx", "A 58701-2020")</f>
        <v/>
      </c>
    </row>
    <row r="128" ht="15" customHeight="1">
      <c r="A128" t="inlineStr">
        <is>
          <t>A 20838-2024</t>
        </is>
      </c>
      <c r="B128" s="1" t="n">
        <v>45439</v>
      </c>
      <c r="C128" s="1" t="n">
        <v>45971</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64263-2020</t>
        </is>
      </c>
      <c r="B129" s="1" t="n">
        <v>44168</v>
      </c>
      <c r="C129" s="1" t="n">
        <v>45971</v>
      </c>
      <c r="D129" t="inlineStr">
        <is>
          <t>GOTLANDS LÄN</t>
        </is>
      </c>
      <c r="E129" t="inlineStr">
        <is>
          <t>GOTLAND</t>
        </is>
      </c>
      <c r="G129" t="n">
        <v>10.9</v>
      </c>
      <c r="H129" t="n">
        <v>1</v>
      </c>
      <c r="I129" t="n">
        <v>0</v>
      </c>
      <c r="J129" t="n">
        <v>2</v>
      </c>
      <c r="K129" t="n">
        <v>0</v>
      </c>
      <c r="L129" t="n">
        <v>0</v>
      </c>
      <c r="M129" t="n">
        <v>0</v>
      </c>
      <c r="N129" t="n">
        <v>0</v>
      </c>
      <c r="O129" t="n">
        <v>2</v>
      </c>
      <c r="P129" t="n">
        <v>0</v>
      </c>
      <c r="Q129" t="n">
        <v>2</v>
      </c>
      <c r="R129" s="2" t="inlineStr">
        <is>
          <t>Mindre hackspett
Ullticka</t>
        </is>
      </c>
      <c r="S129">
        <f>HYPERLINK("https://klasma.github.io/Logging_0980/artfynd/A 64263-2020 artfynd.xlsx", "A 64263-2020")</f>
        <v/>
      </c>
      <c r="T129">
        <f>HYPERLINK("https://klasma.github.io/Logging_0980/kartor/A 64263-2020 karta.png", "A 64263-2020")</f>
        <v/>
      </c>
      <c r="V129">
        <f>HYPERLINK("https://klasma.github.io/Logging_0980/klagomål/A 64263-2020 FSC-klagomål.docx", "A 64263-2020")</f>
        <v/>
      </c>
      <c r="W129">
        <f>HYPERLINK("https://klasma.github.io/Logging_0980/klagomålsmail/A 64263-2020 FSC-klagomål mail.docx", "A 64263-2020")</f>
        <v/>
      </c>
      <c r="X129">
        <f>HYPERLINK("https://klasma.github.io/Logging_0980/tillsyn/A 64263-2020 tillsynsbegäran.docx", "A 64263-2020")</f>
        <v/>
      </c>
      <c r="Y129">
        <f>HYPERLINK("https://klasma.github.io/Logging_0980/tillsynsmail/A 64263-2020 tillsynsbegäran mail.docx", "A 64263-2020")</f>
        <v/>
      </c>
      <c r="Z129">
        <f>HYPERLINK("https://klasma.github.io/Logging_0980/fåglar/A 64263-2020 prioriterade fågelarter.docx", "A 64263-2020")</f>
        <v/>
      </c>
    </row>
    <row r="130" ht="15" customHeight="1">
      <c r="A130" t="inlineStr">
        <is>
          <t>A 28276-2024</t>
        </is>
      </c>
      <c r="B130" s="1" t="n">
        <v>45477</v>
      </c>
      <c r="C130" s="1" t="n">
        <v>45971</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21879-2025</t>
        </is>
      </c>
      <c r="B131" s="1" t="n">
        <v>45784.40533564815</v>
      </c>
      <c r="C131" s="1" t="n">
        <v>45971</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54357-2024</t>
        </is>
      </c>
      <c r="B132" s="1" t="n">
        <v>45617.40662037037</v>
      </c>
      <c r="C132" s="1" t="n">
        <v>45971</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45971</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45971</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45971</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45971</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52245-2025</t>
        </is>
      </c>
      <c r="B137" s="1" t="n">
        <v>45953.47115740741</v>
      </c>
      <c r="C137" s="1" t="n">
        <v>45971</v>
      </c>
      <c r="D137" t="inlineStr">
        <is>
          <t>GOTLANDS LÄN</t>
        </is>
      </c>
      <c r="E137" t="inlineStr">
        <is>
          <t>GOTLAND</t>
        </is>
      </c>
      <c r="F137" t="inlineStr">
        <is>
          <t>Övriga Aktiebolag</t>
        </is>
      </c>
      <c r="G137" t="n">
        <v>10.1</v>
      </c>
      <c r="H137" t="n">
        <v>0</v>
      </c>
      <c r="I137" t="n">
        <v>1</v>
      </c>
      <c r="J137" t="n">
        <v>0</v>
      </c>
      <c r="K137" t="n">
        <v>1</v>
      </c>
      <c r="L137" t="n">
        <v>0</v>
      </c>
      <c r="M137" t="n">
        <v>0</v>
      </c>
      <c r="N137" t="n">
        <v>0</v>
      </c>
      <c r="O137" t="n">
        <v>1</v>
      </c>
      <c r="P137" t="n">
        <v>1</v>
      </c>
      <c r="Q137" t="n">
        <v>2</v>
      </c>
      <c r="R137" s="2" t="inlineStr">
        <is>
          <t>Källnate
Underviol</t>
        </is>
      </c>
      <c r="S137">
        <f>HYPERLINK("https://klasma.github.io/Logging_0980/artfynd/A 52245-2025 artfynd.xlsx", "A 52245-2025")</f>
        <v/>
      </c>
      <c r="T137">
        <f>HYPERLINK("https://klasma.github.io/Logging_0980/kartor/A 52245-2025 karta.png", "A 52245-2025")</f>
        <v/>
      </c>
      <c r="V137">
        <f>HYPERLINK("https://klasma.github.io/Logging_0980/klagomål/A 52245-2025 FSC-klagomål.docx", "A 52245-2025")</f>
        <v/>
      </c>
      <c r="W137">
        <f>HYPERLINK("https://klasma.github.io/Logging_0980/klagomålsmail/A 52245-2025 FSC-klagomål mail.docx", "A 52245-2025")</f>
        <v/>
      </c>
      <c r="X137">
        <f>HYPERLINK("https://klasma.github.io/Logging_0980/tillsyn/A 52245-2025 tillsynsbegäran.docx", "A 52245-2025")</f>
        <v/>
      </c>
      <c r="Y137">
        <f>HYPERLINK("https://klasma.github.io/Logging_0980/tillsynsmail/A 52245-2025 tillsynsbegäran mail.docx", "A 52245-2025")</f>
        <v/>
      </c>
    </row>
    <row r="138" ht="15" customHeight="1">
      <c r="A138" t="inlineStr">
        <is>
          <t>A 55649-2024</t>
        </is>
      </c>
      <c r="B138" s="1" t="n">
        <v>45622.63053240741</v>
      </c>
      <c r="C138" s="1" t="n">
        <v>45971</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24-2021</t>
        </is>
      </c>
      <c r="B139" s="1" t="n">
        <v>44197</v>
      </c>
      <c r="C139" s="1" t="n">
        <v>45971</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45971</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45971</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45971</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45971</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45971</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2476-2025</t>
        </is>
      </c>
      <c r="B145" s="1" t="n">
        <v>45673</v>
      </c>
      <c r="C145" s="1" t="n">
        <v>45971</v>
      </c>
      <c r="D145" t="inlineStr">
        <is>
          <t>GOTLANDS LÄN</t>
        </is>
      </c>
      <c r="E145" t="inlineStr">
        <is>
          <t>GOTLAND</t>
        </is>
      </c>
      <c r="G145" t="n">
        <v>3.1</v>
      </c>
      <c r="H145" t="n">
        <v>0</v>
      </c>
      <c r="I145" t="n">
        <v>1</v>
      </c>
      <c r="J145" t="n">
        <v>0</v>
      </c>
      <c r="K145" t="n">
        <v>0</v>
      </c>
      <c r="L145" t="n">
        <v>0</v>
      </c>
      <c r="M145" t="n">
        <v>0</v>
      </c>
      <c r="N145" t="n">
        <v>0</v>
      </c>
      <c r="O145" t="n">
        <v>0</v>
      </c>
      <c r="P145" t="n">
        <v>0</v>
      </c>
      <c r="Q145" t="n">
        <v>1</v>
      </c>
      <c r="R145" s="2" t="inlineStr">
        <is>
          <t>Kryddspindling</t>
        </is>
      </c>
      <c r="S145">
        <f>HYPERLINK("https://klasma.github.io/Logging_0980/artfynd/A 2476-2025 artfynd.xlsx", "A 2476-2025")</f>
        <v/>
      </c>
      <c r="T145">
        <f>HYPERLINK("https://klasma.github.io/Logging_0980/kartor/A 2476-2025 karta.png", "A 2476-2025")</f>
        <v/>
      </c>
      <c r="V145">
        <f>HYPERLINK("https://klasma.github.io/Logging_0980/klagomål/A 2476-2025 FSC-klagomål.docx", "A 2476-2025")</f>
        <v/>
      </c>
      <c r="W145">
        <f>HYPERLINK("https://klasma.github.io/Logging_0980/klagomålsmail/A 2476-2025 FSC-klagomål mail.docx", "A 2476-2025")</f>
        <v/>
      </c>
      <c r="X145">
        <f>HYPERLINK("https://klasma.github.io/Logging_0980/tillsyn/A 2476-2025 tillsynsbegäran.docx", "A 2476-2025")</f>
        <v/>
      </c>
      <c r="Y145">
        <f>HYPERLINK("https://klasma.github.io/Logging_0980/tillsynsmail/A 2476-2025 tillsynsbegäran mail.docx", "A 2476-2025")</f>
        <v/>
      </c>
    </row>
    <row r="146" ht="15" customHeight="1">
      <c r="A146" t="inlineStr">
        <is>
          <t>A 17723-2021</t>
        </is>
      </c>
      <c r="B146" s="1" t="n">
        <v>44300</v>
      </c>
      <c r="C146" s="1" t="n">
        <v>45971</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22782-2023</t>
        </is>
      </c>
      <c r="B147" s="1" t="n">
        <v>45072</v>
      </c>
      <c r="C147" s="1" t="n">
        <v>45971</v>
      </c>
      <c r="D147" t="inlineStr">
        <is>
          <t>GOTLANDS LÄN</t>
        </is>
      </c>
      <c r="E147" t="inlineStr">
        <is>
          <t>GOTLAND</t>
        </is>
      </c>
      <c r="F147" t="inlineStr">
        <is>
          <t>Kyrkan</t>
        </is>
      </c>
      <c r="G147" t="n">
        <v>3.1</v>
      </c>
      <c r="H147" t="n">
        <v>1</v>
      </c>
      <c r="I147" t="n">
        <v>0</v>
      </c>
      <c r="J147" t="n">
        <v>0</v>
      </c>
      <c r="K147" t="n">
        <v>0</v>
      </c>
      <c r="L147" t="n">
        <v>0</v>
      </c>
      <c r="M147" t="n">
        <v>0</v>
      </c>
      <c r="N147" t="n">
        <v>0</v>
      </c>
      <c r="O147" t="n">
        <v>0</v>
      </c>
      <c r="P147" t="n">
        <v>0</v>
      </c>
      <c r="Q147" t="n">
        <v>1</v>
      </c>
      <c r="R147" s="2" t="inlineStr">
        <is>
          <t>Ängsnycklar × skogsnycklar</t>
        </is>
      </c>
      <c r="S147">
        <f>HYPERLINK("https://klasma.github.io/Logging_0980/artfynd/A 22782-2023 artfynd.xlsx", "A 22782-2023")</f>
        <v/>
      </c>
      <c r="T147">
        <f>HYPERLINK("https://klasma.github.io/Logging_0980/kartor/A 22782-2023 karta.png", "A 22782-2023")</f>
        <v/>
      </c>
      <c r="V147">
        <f>HYPERLINK("https://klasma.github.io/Logging_0980/klagomål/A 22782-2023 FSC-klagomål.docx", "A 22782-2023")</f>
        <v/>
      </c>
      <c r="W147">
        <f>HYPERLINK("https://klasma.github.io/Logging_0980/klagomålsmail/A 22782-2023 FSC-klagomål mail.docx", "A 22782-2023")</f>
        <v/>
      </c>
      <c r="X147">
        <f>HYPERLINK("https://klasma.github.io/Logging_0980/tillsyn/A 22782-2023 tillsynsbegäran.docx", "A 22782-2023")</f>
        <v/>
      </c>
      <c r="Y147">
        <f>HYPERLINK("https://klasma.github.io/Logging_0980/tillsynsmail/A 22782-2023 tillsynsbegäran mail.docx", "A 22782-2023")</f>
        <v/>
      </c>
    </row>
    <row r="148" ht="15" customHeight="1">
      <c r="A148" t="inlineStr">
        <is>
          <t>A 22883-2024</t>
        </is>
      </c>
      <c r="B148" s="1" t="n">
        <v>45448.66368055555</v>
      </c>
      <c r="C148" s="1" t="n">
        <v>45971</v>
      </c>
      <c r="D148" t="inlineStr">
        <is>
          <t>GOTLANDS LÄN</t>
        </is>
      </c>
      <c r="E148" t="inlineStr">
        <is>
          <t>GOTLAND</t>
        </is>
      </c>
      <c r="G148" t="n">
        <v>0.5</v>
      </c>
      <c r="H148" t="n">
        <v>0</v>
      </c>
      <c r="I148" t="n">
        <v>0</v>
      </c>
      <c r="J148" t="n">
        <v>0</v>
      </c>
      <c r="K148" t="n">
        <v>1</v>
      </c>
      <c r="L148" t="n">
        <v>0</v>
      </c>
      <c r="M148" t="n">
        <v>0</v>
      </c>
      <c r="N148" t="n">
        <v>0</v>
      </c>
      <c r="O148" t="n">
        <v>1</v>
      </c>
      <c r="P148" t="n">
        <v>1</v>
      </c>
      <c r="Q148" t="n">
        <v>1</v>
      </c>
      <c r="R148" s="2" t="inlineStr">
        <is>
          <t>Gotlandsmåra</t>
        </is>
      </c>
      <c r="S148">
        <f>HYPERLINK("https://klasma.github.io/Logging_0980/artfynd/A 22883-2024 artfynd.xlsx", "A 22883-2024")</f>
        <v/>
      </c>
      <c r="T148">
        <f>HYPERLINK("https://klasma.github.io/Logging_0980/kartor/A 22883-2024 karta.png", "A 22883-2024")</f>
        <v/>
      </c>
      <c r="V148">
        <f>HYPERLINK("https://klasma.github.io/Logging_0980/klagomål/A 22883-2024 FSC-klagomål.docx", "A 22883-2024")</f>
        <v/>
      </c>
      <c r="W148">
        <f>HYPERLINK("https://klasma.github.io/Logging_0980/klagomålsmail/A 22883-2024 FSC-klagomål mail.docx", "A 22883-2024")</f>
        <v/>
      </c>
      <c r="X148">
        <f>HYPERLINK("https://klasma.github.io/Logging_0980/tillsyn/A 22883-2024 tillsynsbegäran.docx", "A 22883-2024")</f>
        <v/>
      </c>
      <c r="Y148">
        <f>HYPERLINK("https://klasma.github.io/Logging_0980/tillsynsmail/A 22883-2024 tillsynsbegäran mail.docx", "A 22883-2024")</f>
        <v/>
      </c>
    </row>
    <row r="149" ht="15" customHeight="1">
      <c r="A149" t="inlineStr">
        <is>
          <t>A 10995-2023</t>
        </is>
      </c>
      <c r="B149" s="1" t="n">
        <v>44986</v>
      </c>
      <c r="C149" s="1" t="n">
        <v>45971</v>
      </c>
      <c r="D149" t="inlineStr">
        <is>
          <t>GOTLANDS LÄN</t>
        </is>
      </c>
      <c r="E149" t="inlineStr">
        <is>
          <t>GOTLAND</t>
        </is>
      </c>
      <c r="G149" t="n">
        <v>2.8</v>
      </c>
      <c r="H149" t="n">
        <v>0</v>
      </c>
      <c r="I149" t="n">
        <v>0</v>
      </c>
      <c r="J149" t="n">
        <v>0</v>
      </c>
      <c r="K149" t="n">
        <v>1</v>
      </c>
      <c r="L149" t="n">
        <v>0</v>
      </c>
      <c r="M149" t="n">
        <v>0</v>
      </c>
      <c r="N149" t="n">
        <v>0</v>
      </c>
      <c r="O149" t="n">
        <v>1</v>
      </c>
      <c r="P149" t="n">
        <v>1</v>
      </c>
      <c r="Q149" t="n">
        <v>1</v>
      </c>
      <c r="R149" s="2" t="inlineStr">
        <is>
          <t>Violettfläckig spindling</t>
        </is>
      </c>
      <c r="S149">
        <f>HYPERLINK("https://klasma.github.io/Logging_0980/artfynd/A 10995-2023 artfynd.xlsx", "A 10995-2023")</f>
        <v/>
      </c>
      <c r="T149">
        <f>HYPERLINK("https://klasma.github.io/Logging_0980/kartor/A 10995-2023 karta.png", "A 10995-2023")</f>
        <v/>
      </c>
      <c r="V149">
        <f>HYPERLINK("https://klasma.github.io/Logging_0980/klagomål/A 10995-2023 FSC-klagomål.docx", "A 10995-2023")</f>
        <v/>
      </c>
      <c r="W149">
        <f>HYPERLINK("https://klasma.github.io/Logging_0980/klagomålsmail/A 10995-2023 FSC-klagomål mail.docx", "A 10995-2023")</f>
        <v/>
      </c>
      <c r="X149">
        <f>HYPERLINK("https://klasma.github.io/Logging_0980/tillsyn/A 10995-2023 tillsynsbegäran.docx", "A 10995-2023")</f>
        <v/>
      </c>
      <c r="Y149">
        <f>HYPERLINK("https://klasma.github.io/Logging_0980/tillsynsmail/A 10995-2023 tillsynsbegäran mail.docx", "A 10995-2023")</f>
        <v/>
      </c>
    </row>
    <row r="150" ht="15" customHeight="1">
      <c r="A150" t="inlineStr">
        <is>
          <t>A 13939-2021</t>
        </is>
      </c>
      <c r="B150" s="1" t="n">
        <v>44277</v>
      </c>
      <c r="C150" s="1" t="n">
        <v>45971</v>
      </c>
      <c r="D150" t="inlineStr">
        <is>
          <t>GOTLANDS LÄN</t>
        </is>
      </c>
      <c r="E150" t="inlineStr">
        <is>
          <t>GOTLAND</t>
        </is>
      </c>
      <c r="G150" t="n">
        <v>1</v>
      </c>
      <c r="H150" t="n">
        <v>0</v>
      </c>
      <c r="I150" t="n">
        <v>0</v>
      </c>
      <c r="J150" t="n">
        <v>1</v>
      </c>
      <c r="K150" t="n">
        <v>0</v>
      </c>
      <c r="L150" t="n">
        <v>0</v>
      </c>
      <c r="M150" t="n">
        <v>0</v>
      </c>
      <c r="N150" t="n">
        <v>0</v>
      </c>
      <c r="O150" t="n">
        <v>1</v>
      </c>
      <c r="P150" t="n">
        <v>0</v>
      </c>
      <c r="Q150" t="n">
        <v>1</v>
      </c>
      <c r="R150" s="2" t="inlineStr">
        <is>
          <t>Axveronika</t>
        </is>
      </c>
      <c r="S150">
        <f>HYPERLINK("https://klasma.github.io/Logging_0980/artfynd/A 13939-2021 artfynd.xlsx", "A 13939-2021")</f>
        <v/>
      </c>
      <c r="T150">
        <f>HYPERLINK("https://klasma.github.io/Logging_0980/kartor/A 13939-2021 karta.png", "A 13939-2021")</f>
        <v/>
      </c>
      <c r="V150">
        <f>HYPERLINK("https://klasma.github.io/Logging_0980/klagomål/A 13939-2021 FSC-klagomål.docx", "A 13939-2021")</f>
        <v/>
      </c>
      <c r="W150">
        <f>HYPERLINK("https://klasma.github.io/Logging_0980/klagomålsmail/A 13939-2021 FSC-klagomål mail.docx", "A 13939-2021")</f>
        <v/>
      </c>
      <c r="X150">
        <f>HYPERLINK("https://klasma.github.io/Logging_0980/tillsyn/A 13939-2021 tillsynsbegäran.docx", "A 13939-2021")</f>
        <v/>
      </c>
      <c r="Y150">
        <f>HYPERLINK("https://klasma.github.io/Logging_0980/tillsynsmail/A 13939-2021 tillsynsbegäran mail.docx", "A 13939-2021")</f>
        <v/>
      </c>
    </row>
    <row r="151" ht="15" customHeight="1">
      <c r="A151" t="inlineStr">
        <is>
          <t>A 62552-2022</t>
        </is>
      </c>
      <c r="B151" s="1" t="n">
        <v>44924</v>
      </c>
      <c r="C151" s="1" t="n">
        <v>45971</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44088-2022</t>
        </is>
      </c>
      <c r="B152" s="1" t="n">
        <v>44839</v>
      </c>
      <c r="C152" s="1" t="n">
        <v>45971</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25977-2024</t>
        </is>
      </c>
      <c r="B153" s="1" t="n">
        <v>45467.69356481481</v>
      </c>
      <c r="C153" s="1" t="n">
        <v>45971</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44308-2021</t>
        </is>
      </c>
      <c r="B154" s="1" t="n">
        <v>44434</v>
      </c>
      <c r="C154" s="1" t="n">
        <v>45971</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Svavelriska</t>
        </is>
      </c>
      <c r="S154">
        <f>HYPERLINK("https://klasma.github.io/Logging_0980/artfynd/A 44308-2021 artfynd.xlsx", "A 44308-2021")</f>
        <v/>
      </c>
      <c r="T154">
        <f>HYPERLINK("https://klasma.github.io/Logging_0980/kartor/A 44308-2021 karta.png", "A 44308-2021")</f>
        <v/>
      </c>
      <c r="V154">
        <f>HYPERLINK("https://klasma.github.io/Logging_0980/klagomål/A 44308-2021 FSC-klagomål.docx", "A 44308-2021")</f>
        <v/>
      </c>
      <c r="W154">
        <f>HYPERLINK("https://klasma.github.io/Logging_0980/klagomålsmail/A 44308-2021 FSC-klagomål mail.docx", "A 44308-2021")</f>
        <v/>
      </c>
      <c r="X154">
        <f>HYPERLINK("https://klasma.github.io/Logging_0980/tillsyn/A 44308-2021 tillsynsbegäran.docx", "A 44308-2021")</f>
        <v/>
      </c>
      <c r="Y154">
        <f>HYPERLINK("https://klasma.github.io/Logging_0980/tillsynsmail/A 44308-2021 tillsynsbegäran mail.docx", "A 44308-2021")</f>
        <v/>
      </c>
    </row>
    <row r="155" ht="15" customHeight="1">
      <c r="A155" t="inlineStr">
        <is>
          <t>A 20429-2025</t>
        </is>
      </c>
      <c r="B155" s="1" t="n">
        <v>45775.47728009259</v>
      </c>
      <c r="C155" s="1" t="n">
        <v>45971</v>
      </c>
      <c r="D155" t="inlineStr">
        <is>
          <t>GOTLANDS LÄN</t>
        </is>
      </c>
      <c r="E155" t="inlineStr">
        <is>
          <t>GOTLAND</t>
        </is>
      </c>
      <c r="G155" t="n">
        <v>1.4</v>
      </c>
      <c r="H155" t="n">
        <v>1</v>
      </c>
      <c r="I155" t="n">
        <v>0</v>
      </c>
      <c r="J155" t="n">
        <v>0</v>
      </c>
      <c r="K155" t="n">
        <v>0</v>
      </c>
      <c r="L155" t="n">
        <v>0</v>
      </c>
      <c r="M155" t="n">
        <v>0</v>
      </c>
      <c r="N155" t="n">
        <v>0</v>
      </c>
      <c r="O155" t="n">
        <v>0</v>
      </c>
      <c r="P155" t="n">
        <v>0</v>
      </c>
      <c r="Q155" t="n">
        <v>1</v>
      </c>
      <c r="R155" s="2" t="inlineStr">
        <is>
          <t>Äkta lopplummer</t>
        </is>
      </c>
      <c r="S155">
        <f>HYPERLINK("https://klasma.github.io/Logging_0980/artfynd/A 20429-2025 artfynd.xlsx", "A 20429-2025")</f>
        <v/>
      </c>
      <c r="T155">
        <f>HYPERLINK("https://klasma.github.io/Logging_0980/kartor/A 20429-2025 karta.png", "A 20429-2025")</f>
        <v/>
      </c>
      <c r="V155">
        <f>HYPERLINK("https://klasma.github.io/Logging_0980/klagomål/A 20429-2025 FSC-klagomål.docx", "A 20429-2025")</f>
        <v/>
      </c>
      <c r="W155">
        <f>HYPERLINK("https://klasma.github.io/Logging_0980/klagomålsmail/A 20429-2025 FSC-klagomål mail.docx", "A 20429-2025")</f>
        <v/>
      </c>
      <c r="X155">
        <f>HYPERLINK("https://klasma.github.io/Logging_0980/tillsyn/A 20429-2025 tillsynsbegäran.docx", "A 20429-2025")</f>
        <v/>
      </c>
      <c r="Y155">
        <f>HYPERLINK("https://klasma.github.io/Logging_0980/tillsynsmail/A 20429-2025 tillsynsbegäran mail.docx", "A 20429-2025")</f>
        <v/>
      </c>
    </row>
    <row r="156" ht="15" customHeight="1">
      <c r="A156" t="inlineStr">
        <is>
          <t>A 24245-2022</t>
        </is>
      </c>
      <c r="B156" s="1" t="n">
        <v>44725</v>
      </c>
      <c r="C156" s="1" t="n">
        <v>45971</v>
      </c>
      <c r="D156" t="inlineStr">
        <is>
          <t>GOTLANDS LÄN</t>
        </is>
      </c>
      <c r="E156" t="inlineStr">
        <is>
          <t>GOTLAND</t>
        </is>
      </c>
      <c r="G156" t="n">
        <v>4.9</v>
      </c>
      <c r="H156" t="n">
        <v>0</v>
      </c>
      <c r="I156" t="n">
        <v>0</v>
      </c>
      <c r="J156" t="n">
        <v>0</v>
      </c>
      <c r="K156" t="n">
        <v>0</v>
      </c>
      <c r="L156" t="n">
        <v>1</v>
      </c>
      <c r="M156" t="n">
        <v>0</v>
      </c>
      <c r="N156" t="n">
        <v>0</v>
      </c>
      <c r="O156" t="n">
        <v>1</v>
      </c>
      <c r="P156" t="n">
        <v>1</v>
      </c>
      <c r="Q156" t="n">
        <v>1</v>
      </c>
      <c r="R156" s="2" t="inlineStr">
        <is>
          <t>Slät taggsvamp</t>
        </is>
      </c>
      <c r="S156">
        <f>HYPERLINK("https://klasma.github.io/Logging_0980/artfynd/A 24245-2022 artfynd.xlsx", "A 24245-2022")</f>
        <v/>
      </c>
      <c r="T156">
        <f>HYPERLINK("https://klasma.github.io/Logging_0980/kartor/A 24245-2022 karta.png", "A 24245-2022")</f>
        <v/>
      </c>
      <c r="V156">
        <f>HYPERLINK("https://klasma.github.io/Logging_0980/klagomål/A 24245-2022 FSC-klagomål.docx", "A 24245-2022")</f>
        <v/>
      </c>
      <c r="W156">
        <f>HYPERLINK("https://klasma.github.io/Logging_0980/klagomålsmail/A 24245-2022 FSC-klagomål mail.docx", "A 24245-2022")</f>
        <v/>
      </c>
      <c r="X156">
        <f>HYPERLINK("https://klasma.github.io/Logging_0980/tillsyn/A 24245-2022 tillsynsbegäran.docx", "A 24245-2022")</f>
        <v/>
      </c>
      <c r="Y156">
        <f>HYPERLINK("https://klasma.github.io/Logging_0980/tillsynsmail/A 24245-2022 tillsynsbegäran mail.docx", "A 24245-2022")</f>
        <v/>
      </c>
    </row>
    <row r="157" ht="15" customHeight="1">
      <c r="A157" t="inlineStr">
        <is>
          <t>A 65927-2021</t>
        </is>
      </c>
      <c r="B157" s="1" t="n">
        <v>44516</v>
      </c>
      <c r="C157" s="1" t="n">
        <v>45971</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447-2023</t>
        </is>
      </c>
      <c r="B158" s="1" t="n">
        <v>44929</v>
      </c>
      <c r="C158" s="1" t="n">
        <v>45971</v>
      </c>
      <c r="D158" t="inlineStr">
        <is>
          <t>GOTLANDS LÄN</t>
        </is>
      </c>
      <c r="E158" t="inlineStr">
        <is>
          <t>GOTLAND</t>
        </is>
      </c>
      <c r="G158" t="n">
        <v>5.1</v>
      </c>
      <c r="H158" t="n">
        <v>0</v>
      </c>
      <c r="I158" t="n">
        <v>0</v>
      </c>
      <c r="J158" t="n">
        <v>1</v>
      </c>
      <c r="K158" t="n">
        <v>0</v>
      </c>
      <c r="L158" t="n">
        <v>0</v>
      </c>
      <c r="M158" t="n">
        <v>0</v>
      </c>
      <c r="N158" t="n">
        <v>0</v>
      </c>
      <c r="O158" t="n">
        <v>1</v>
      </c>
      <c r="P158" t="n">
        <v>0</v>
      </c>
      <c r="Q158" t="n">
        <v>1</v>
      </c>
      <c r="R158" s="2" t="inlineStr">
        <is>
          <t>Äggspindling</t>
        </is>
      </c>
      <c r="S158">
        <f>HYPERLINK("https://klasma.github.io/Logging_0980/artfynd/A 447-2023 artfynd.xlsx", "A 447-2023")</f>
        <v/>
      </c>
      <c r="T158">
        <f>HYPERLINK("https://klasma.github.io/Logging_0980/kartor/A 447-2023 karta.png", "A 447-2023")</f>
        <v/>
      </c>
      <c r="V158">
        <f>HYPERLINK("https://klasma.github.io/Logging_0980/klagomål/A 447-2023 FSC-klagomål.docx", "A 447-2023")</f>
        <v/>
      </c>
      <c r="W158">
        <f>HYPERLINK("https://klasma.github.io/Logging_0980/klagomålsmail/A 447-2023 FSC-klagomål mail.docx", "A 447-2023")</f>
        <v/>
      </c>
      <c r="X158">
        <f>HYPERLINK("https://klasma.github.io/Logging_0980/tillsyn/A 447-2023 tillsynsbegäran.docx", "A 447-2023")</f>
        <v/>
      </c>
      <c r="Y158">
        <f>HYPERLINK("https://klasma.github.io/Logging_0980/tillsynsmail/A 447-2023 tillsynsbegäran mail.docx", "A 447-2023")</f>
        <v/>
      </c>
    </row>
    <row r="159" ht="15" customHeight="1">
      <c r="A159" t="inlineStr">
        <is>
          <t>A 947-2023</t>
        </is>
      </c>
      <c r="B159" s="1" t="n">
        <v>44934</v>
      </c>
      <c r="C159" s="1" t="n">
        <v>45971</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49847-2023</t>
        </is>
      </c>
      <c r="B160" s="1" t="n">
        <v>45212</v>
      </c>
      <c r="C160" s="1" t="n">
        <v>45971</v>
      </c>
      <c r="D160" t="inlineStr">
        <is>
          <t>GOTLANDS LÄN</t>
        </is>
      </c>
      <c r="E160" t="inlineStr">
        <is>
          <t>GOTLAND</t>
        </is>
      </c>
      <c r="G160" t="n">
        <v>35.2</v>
      </c>
      <c r="H160" t="n">
        <v>0</v>
      </c>
      <c r="I160" t="n">
        <v>0</v>
      </c>
      <c r="J160" t="n">
        <v>0</v>
      </c>
      <c r="K160" t="n">
        <v>1</v>
      </c>
      <c r="L160" t="n">
        <v>0</v>
      </c>
      <c r="M160" t="n">
        <v>0</v>
      </c>
      <c r="N160" t="n">
        <v>0</v>
      </c>
      <c r="O160" t="n">
        <v>1</v>
      </c>
      <c r="P160" t="n">
        <v>1</v>
      </c>
      <c r="Q160" t="n">
        <v>1</v>
      </c>
      <c r="R160" s="2" t="inlineStr">
        <is>
          <t>Strandviol</t>
        </is>
      </c>
      <c r="S160">
        <f>HYPERLINK("https://klasma.github.io/Logging_0980/artfynd/A 49847-2023 artfynd.xlsx", "A 49847-2023")</f>
        <v/>
      </c>
      <c r="T160">
        <f>HYPERLINK("https://klasma.github.io/Logging_0980/kartor/A 49847-2023 karta.png", "A 49847-2023")</f>
        <v/>
      </c>
      <c r="V160">
        <f>HYPERLINK("https://klasma.github.io/Logging_0980/klagomål/A 49847-2023 FSC-klagomål.docx", "A 49847-2023")</f>
        <v/>
      </c>
      <c r="W160">
        <f>HYPERLINK("https://klasma.github.io/Logging_0980/klagomålsmail/A 49847-2023 FSC-klagomål mail.docx", "A 49847-2023")</f>
        <v/>
      </c>
      <c r="X160">
        <f>HYPERLINK("https://klasma.github.io/Logging_0980/tillsyn/A 49847-2023 tillsynsbegäran.docx", "A 49847-2023")</f>
        <v/>
      </c>
      <c r="Y160">
        <f>HYPERLINK("https://klasma.github.io/Logging_0980/tillsynsmail/A 49847-2023 tillsynsbegäran mail.docx", "A 49847-2023")</f>
        <v/>
      </c>
    </row>
    <row r="161" ht="15" customHeight="1">
      <c r="A161" t="inlineStr">
        <is>
          <t>A 61796-2022</t>
        </is>
      </c>
      <c r="B161" s="1" t="n">
        <v>44917</v>
      </c>
      <c r="C161" s="1" t="n">
        <v>45971</v>
      </c>
      <c r="D161" t="inlineStr">
        <is>
          <t>GOTLANDS LÄN</t>
        </is>
      </c>
      <c r="E161" t="inlineStr">
        <is>
          <t>GOTLAND</t>
        </is>
      </c>
      <c r="G161" t="n">
        <v>1.5</v>
      </c>
      <c r="H161" t="n">
        <v>1</v>
      </c>
      <c r="I161" t="n">
        <v>0</v>
      </c>
      <c r="J161" t="n">
        <v>0</v>
      </c>
      <c r="K161" t="n">
        <v>0</v>
      </c>
      <c r="L161" t="n">
        <v>0</v>
      </c>
      <c r="M161" t="n">
        <v>0</v>
      </c>
      <c r="N161" t="n">
        <v>0</v>
      </c>
      <c r="O161" t="n">
        <v>0</v>
      </c>
      <c r="P161" t="n">
        <v>0</v>
      </c>
      <c r="Q161" t="n">
        <v>1</v>
      </c>
      <c r="R161" s="2" t="inlineStr">
        <is>
          <t>Skogsduva</t>
        </is>
      </c>
      <c r="S161">
        <f>HYPERLINK("https://klasma.github.io/Logging_0980/artfynd/A 61796-2022 artfynd.xlsx", "A 61796-2022")</f>
        <v/>
      </c>
      <c r="T161">
        <f>HYPERLINK("https://klasma.github.io/Logging_0980/kartor/A 61796-2022 karta.png", "A 61796-2022")</f>
        <v/>
      </c>
      <c r="V161">
        <f>HYPERLINK("https://klasma.github.io/Logging_0980/klagomål/A 61796-2022 FSC-klagomål.docx", "A 61796-2022")</f>
        <v/>
      </c>
      <c r="W161">
        <f>HYPERLINK("https://klasma.github.io/Logging_0980/klagomålsmail/A 61796-2022 FSC-klagomål mail.docx", "A 61796-2022")</f>
        <v/>
      </c>
      <c r="X161">
        <f>HYPERLINK("https://klasma.github.io/Logging_0980/tillsyn/A 61796-2022 tillsynsbegäran.docx", "A 61796-2022")</f>
        <v/>
      </c>
      <c r="Y161">
        <f>HYPERLINK("https://klasma.github.io/Logging_0980/tillsynsmail/A 61796-2022 tillsynsbegäran mail.docx", "A 61796-2022")</f>
        <v/>
      </c>
      <c r="Z161">
        <f>HYPERLINK("https://klasma.github.io/Logging_0980/fåglar/A 61796-2022 prioriterade fågelarter.docx", "A 61796-2022")</f>
        <v/>
      </c>
    </row>
    <row r="162" ht="15" customHeight="1">
      <c r="A162" t="inlineStr">
        <is>
          <t>A 46527-2023</t>
        </is>
      </c>
      <c r="B162" s="1" t="n">
        <v>45197</v>
      </c>
      <c r="C162" s="1" t="n">
        <v>45971</v>
      </c>
      <c r="D162" t="inlineStr">
        <is>
          <t>GOTLANDS LÄN</t>
        </is>
      </c>
      <c r="E162" t="inlineStr">
        <is>
          <t>GOTLAND</t>
        </is>
      </c>
      <c r="G162" t="n">
        <v>0.9</v>
      </c>
      <c r="H162" t="n">
        <v>0</v>
      </c>
      <c r="I162" t="n">
        <v>0</v>
      </c>
      <c r="J162" t="n">
        <v>1</v>
      </c>
      <c r="K162" t="n">
        <v>0</v>
      </c>
      <c r="L162" t="n">
        <v>0</v>
      </c>
      <c r="M162" t="n">
        <v>0</v>
      </c>
      <c r="N162" t="n">
        <v>0</v>
      </c>
      <c r="O162" t="n">
        <v>1</v>
      </c>
      <c r="P162" t="n">
        <v>0</v>
      </c>
      <c r="Q162" t="n">
        <v>1</v>
      </c>
      <c r="R162" s="2" t="inlineStr">
        <is>
          <t>Guldgräshoppa</t>
        </is>
      </c>
      <c r="S162">
        <f>HYPERLINK("https://klasma.github.io/Logging_0980/artfynd/A 46527-2023 artfynd.xlsx", "A 46527-2023")</f>
        <v/>
      </c>
      <c r="T162">
        <f>HYPERLINK("https://klasma.github.io/Logging_0980/kartor/A 46527-2023 karta.png", "A 46527-2023")</f>
        <v/>
      </c>
      <c r="V162">
        <f>HYPERLINK("https://klasma.github.io/Logging_0980/klagomål/A 46527-2023 FSC-klagomål.docx", "A 46527-2023")</f>
        <v/>
      </c>
      <c r="W162">
        <f>HYPERLINK("https://klasma.github.io/Logging_0980/klagomålsmail/A 46527-2023 FSC-klagomål mail.docx", "A 46527-2023")</f>
        <v/>
      </c>
      <c r="X162">
        <f>HYPERLINK("https://klasma.github.io/Logging_0980/tillsyn/A 46527-2023 tillsynsbegäran.docx", "A 46527-2023")</f>
        <v/>
      </c>
      <c r="Y162">
        <f>HYPERLINK("https://klasma.github.io/Logging_0980/tillsynsmail/A 46527-2023 tillsynsbegäran mail.docx", "A 46527-2023")</f>
        <v/>
      </c>
    </row>
    <row r="163" ht="15" customHeight="1">
      <c r="A163" t="inlineStr">
        <is>
          <t>A 49304-2024</t>
        </is>
      </c>
      <c r="B163" s="1" t="n">
        <v>45595.54996527778</v>
      </c>
      <c r="C163" s="1" t="n">
        <v>45971</v>
      </c>
      <c r="D163" t="inlineStr">
        <is>
          <t>GOTLANDS LÄN</t>
        </is>
      </c>
      <c r="E163" t="inlineStr">
        <is>
          <t>GOTLAND</t>
        </is>
      </c>
      <c r="G163" t="n">
        <v>10.8</v>
      </c>
      <c r="H163" t="n">
        <v>0</v>
      </c>
      <c r="I163" t="n">
        <v>0</v>
      </c>
      <c r="J163" t="n">
        <v>1</v>
      </c>
      <c r="K163" t="n">
        <v>0</v>
      </c>
      <c r="L163" t="n">
        <v>0</v>
      </c>
      <c r="M163" t="n">
        <v>0</v>
      </c>
      <c r="N163" t="n">
        <v>0</v>
      </c>
      <c r="O163" t="n">
        <v>1</v>
      </c>
      <c r="P163" t="n">
        <v>0</v>
      </c>
      <c r="Q163" t="n">
        <v>1</v>
      </c>
      <c r="R163" s="2" t="inlineStr">
        <is>
          <t>Åkerranunkel</t>
        </is>
      </c>
      <c r="S163">
        <f>HYPERLINK("https://klasma.github.io/Logging_0980/artfynd/A 49304-2024 artfynd.xlsx", "A 49304-2024")</f>
        <v/>
      </c>
      <c r="T163">
        <f>HYPERLINK("https://klasma.github.io/Logging_0980/kartor/A 49304-2024 karta.png", "A 49304-2024")</f>
        <v/>
      </c>
      <c r="V163">
        <f>HYPERLINK("https://klasma.github.io/Logging_0980/klagomål/A 49304-2024 FSC-klagomål.docx", "A 49304-2024")</f>
        <v/>
      </c>
      <c r="W163">
        <f>HYPERLINK("https://klasma.github.io/Logging_0980/klagomålsmail/A 49304-2024 FSC-klagomål mail.docx", "A 49304-2024")</f>
        <v/>
      </c>
      <c r="X163">
        <f>HYPERLINK("https://klasma.github.io/Logging_0980/tillsyn/A 49304-2024 tillsynsbegäran.docx", "A 49304-2024")</f>
        <v/>
      </c>
      <c r="Y163">
        <f>HYPERLINK("https://klasma.github.io/Logging_0980/tillsynsmail/A 49304-2024 tillsynsbegäran mail.docx", "A 49304-2024")</f>
        <v/>
      </c>
    </row>
    <row r="164" ht="15" customHeight="1">
      <c r="A164" t="inlineStr">
        <is>
          <t>A 63576-2021</t>
        </is>
      </c>
      <c r="B164" s="1" t="n">
        <v>44508</v>
      </c>
      <c r="C164" s="1" t="n">
        <v>45971</v>
      </c>
      <c r="D164" t="inlineStr">
        <is>
          <t>GOTLANDS LÄN</t>
        </is>
      </c>
      <c r="E164" t="inlineStr">
        <is>
          <t>GOTLAND</t>
        </is>
      </c>
      <c r="F164" t="inlineStr">
        <is>
          <t>Kyrkan</t>
        </is>
      </c>
      <c r="G164" t="n">
        <v>4.1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63576-2021 artfynd.xlsx", "A 63576-2021")</f>
        <v/>
      </c>
      <c r="T164">
        <f>HYPERLINK("https://klasma.github.io/Logging_0980/kartor/A 63576-2021 karta.png", "A 63576-2021")</f>
        <v/>
      </c>
      <c r="V164">
        <f>HYPERLINK("https://klasma.github.io/Logging_0980/klagomål/A 63576-2021 FSC-klagomål.docx", "A 63576-2021")</f>
        <v/>
      </c>
      <c r="W164">
        <f>HYPERLINK("https://klasma.github.io/Logging_0980/klagomålsmail/A 63576-2021 FSC-klagomål mail.docx", "A 63576-2021")</f>
        <v/>
      </c>
      <c r="X164">
        <f>HYPERLINK("https://klasma.github.io/Logging_0980/tillsyn/A 63576-2021 tillsynsbegäran.docx", "A 63576-2021")</f>
        <v/>
      </c>
      <c r="Y164">
        <f>HYPERLINK("https://klasma.github.io/Logging_0980/tillsynsmail/A 63576-2021 tillsynsbegäran mail.docx", "A 63576-2021")</f>
        <v/>
      </c>
    </row>
    <row r="165" ht="15" customHeight="1">
      <c r="A165" t="inlineStr">
        <is>
          <t>A 64700-2021</t>
        </is>
      </c>
      <c r="B165" s="1" t="n">
        <v>44511</v>
      </c>
      <c r="C165" s="1" t="n">
        <v>45971</v>
      </c>
      <c r="D165" t="inlineStr">
        <is>
          <t>GOTLANDS LÄN</t>
        </is>
      </c>
      <c r="E165" t="inlineStr">
        <is>
          <t>GOTLAND</t>
        </is>
      </c>
      <c r="F165" t="inlineStr">
        <is>
          <t>Naturvårdsverket</t>
        </is>
      </c>
      <c r="G165" t="n">
        <v>2.4</v>
      </c>
      <c r="H165" t="n">
        <v>1</v>
      </c>
      <c r="I165" t="n">
        <v>0</v>
      </c>
      <c r="J165" t="n">
        <v>0</v>
      </c>
      <c r="K165" t="n">
        <v>1</v>
      </c>
      <c r="L165" t="n">
        <v>0</v>
      </c>
      <c r="M165" t="n">
        <v>0</v>
      </c>
      <c r="N165" t="n">
        <v>0</v>
      </c>
      <c r="O165" t="n">
        <v>1</v>
      </c>
      <c r="P165" t="n">
        <v>1</v>
      </c>
      <c r="Q165" t="n">
        <v>1</v>
      </c>
      <c r="R165" s="2" t="inlineStr">
        <is>
          <t>Kalkdån</t>
        </is>
      </c>
      <c r="S165">
        <f>HYPERLINK("https://klasma.github.io/Logging_0980/artfynd/A 64700-2021 artfynd.xlsx", "A 64700-2021")</f>
        <v/>
      </c>
      <c r="T165">
        <f>HYPERLINK("https://klasma.github.io/Logging_0980/kartor/A 64700-2021 karta.png", "A 64700-2021")</f>
        <v/>
      </c>
      <c r="V165">
        <f>HYPERLINK("https://klasma.github.io/Logging_0980/klagomål/A 64700-2021 FSC-klagomål.docx", "A 64700-2021")</f>
        <v/>
      </c>
      <c r="W165">
        <f>HYPERLINK("https://klasma.github.io/Logging_0980/klagomålsmail/A 64700-2021 FSC-klagomål mail.docx", "A 64700-2021")</f>
        <v/>
      </c>
      <c r="X165">
        <f>HYPERLINK("https://klasma.github.io/Logging_0980/tillsyn/A 64700-2021 tillsynsbegäran.docx", "A 64700-2021")</f>
        <v/>
      </c>
      <c r="Y165">
        <f>HYPERLINK("https://klasma.github.io/Logging_0980/tillsynsmail/A 64700-2021 tillsynsbegäran mail.docx", "A 64700-2021")</f>
        <v/>
      </c>
    </row>
    <row r="166" ht="15" customHeight="1">
      <c r="A166" t="inlineStr">
        <is>
          <t>A 12324-2025</t>
        </is>
      </c>
      <c r="B166" s="1" t="n">
        <v>45730</v>
      </c>
      <c r="C166" s="1" t="n">
        <v>45971</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39812-2025</t>
        </is>
      </c>
      <c r="B167" s="1" t="n">
        <v>45891</v>
      </c>
      <c r="C167" s="1" t="n">
        <v>45971</v>
      </c>
      <c r="D167" t="inlineStr">
        <is>
          <t>GOTLANDS LÄN</t>
        </is>
      </c>
      <c r="E167" t="inlineStr">
        <is>
          <t>GOTLAND</t>
        </is>
      </c>
      <c r="G167" t="n">
        <v>6</v>
      </c>
      <c r="H167" t="n">
        <v>1</v>
      </c>
      <c r="I167" t="n">
        <v>0</v>
      </c>
      <c r="J167" t="n">
        <v>0</v>
      </c>
      <c r="K167" t="n">
        <v>0</v>
      </c>
      <c r="L167" t="n">
        <v>1</v>
      </c>
      <c r="M167" t="n">
        <v>0</v>
      </c>
      <c r="N167" t="n">
        <v>0</v>
      </c>
      <c r="O167" t="n">
        <v>1</v>
      </c>
      <c r="P167" t="n">
        <v>1</v>
      </c>
      <c r="Q167" t="n">
        <v>1</v>
      </c>
      <c r="R167" s="2" t="inlineStr">
        <is>
          <t>Nålkörvel</t>
        </is>
      </c>
      <c r="S167">
        <f>HYPERLINK("https://klasma.github.io/Logging_0980/artfynd/A 39812-2025 artfynd.xlsx", "A 39812-2025")</f>
        <v/>
      </c>
      <c r="T167">
        <f>HYPERLINK("https://klasma.github.io/Logging_0980/kartor/A 39812-2025 karta.png", "A 39812-2025")</f>
        <v/>
      </c>
      <c r="V167">
        <f>HYPERLINK("https://klasma.github.io/Logging_0980/klagomål/A 39812-2025 FSC-klagomål.docx", "A 39812-2025")</f>
        <v/>
      </c>
      <c r="W167">
        <f>HYPERLINK("https://klasma.github.io/Logging_0980/klagomålsmail/A 39812-2025 FSC-klagomål mail.docx", "A 39812-2025")</f>
        <v/>
      </c>
      <c r="X167">
        <f>HYPERLINK("https://klasma.github.io/Logging_0980/tillsyn/A 39812-2025 tillsynsbegäran.docx", "A 39812-2025")</f>
        <v/>
      </c>
      <c r="Y167">
        <f>HYPERLINK("https://klasma.github.io/Logging_0980/tillsynsmail/A 39812-2025 tillsynsbegäran mail.docx", "A 39812-2025")</f>
        <v/>
      </c>
    </row>
    <row r="168" ht="15" customHeight="1">
      <c r="A168" t="inlineStr">
        <is>
          <t>A 37591-2023</t>
        </is>
      </c>
      <c r="B168" s="1" t="n">
        <v>45159</v>
      </c>
      <c r="C168" s="1" t="n">
        <v>45971</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15637-2024</t>
        </is>
      </c>
      <c r="B169" s="1" t="n">
        <v>45403.6684837963</v>
      </c>
      <c r="C169" s="1" t="n">
        <v>45971</v>
      </c>
      <c r="D169" t="inlineStr">
        <is>
          <t>GOTLANDS LÄN</t>
        </is>
      </c>
      <c r="E169" t="inlineStr">
        <is>
          <t>GOTLAND</t>
        </is>
      </c>
      <c r="G169" t="n">
        <v>4.1</v>
      </c>
      <c r="H169" t="n">
        <v>1</v>
      </c>
      <c r="I169" t="n">
        <v>0</v>
      </c>
      <c r="J169" t="n">
        <v>0</v>
      </c>
      <c r="K169" t="n">
        <v>0</v>
      </c>
      <c r="L169" t="n">
        <v>0</v>
      </c>
      <c r="M169" t="n">
        <v>0</v>
      </c>
      <c r="N169" t="n">
        <v>0</v>
      </c>
      <c r="O169" t="n">
        <v>0</v>
      </c>
      <c r="P169" t="n">
        <v>0</v>
      </c>
      <c r="Q169" t="n">
        <v>1</v>
      </c>
      <c r="R169" s="2" t="inlineStr">
        <is>
          <t>Blåsippa</t>
        </is>
      </c>
      <c r="S169">
        <f>HYPERLINK("https://klasma.github.io/Logging_0980/artfynd/A 15637-2024 artfynd.xlsx", "A 15637-2024")</f>
        <v/>
      </c>
      <c r="T169">
        <f>HYPERLINK("https://klasma.github.io/Logging_0980/kartor/A 15637-2024 karta.png", "A 15637-2024")</f>
        <v/>
      </c>
      <c r="V169">
        <f>HYPERLINK("https://klasma.github.io/Logging_0980/klagomål/A 15637-2024 FSC-klagomål.docx", "A 15637-2024")</f>
        <v/>
      </c>
      <c r="W169">
        <f>HYPERLINK("https://klasma.github.io/Logging_0980/klagomålsmail/A 15637-2024 FSC-klagomål mail.docx", "A 15637-2024")</f>
        <v/>
      </c>
      <c r="X169">
        <f>HYPERLINK("https://klasma.github.io/Logging_0980/tillsyn/A 15637-2024 tillsynsbegäran.docx", "A 15637-2024")</f>
        <v/>
      </c>
      <c r="Y169">
        <f>HYPERLINK("https://klasma.github.io/Logging_0980/tillsynsmail/A 15637-2024 tillsynsbegäran mail.docx", "A 15637-2024")</f>
        <v/>
      </c>
    </row>
    <row r="170" ht="15" customHeight="1">
      <c r="A170" t="inlineStr">
        <is>
          <t>A 27589-2023</t>
        </is>
      </c>
      <c r="B170" s="1" t="n">
        <v>45097</v>
      </c>
      <c r="C170" s="1" t="n">
        <v>45971</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45971</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45971</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45971</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21466-2025</t>
        </is>
      </c>
      <c r="B174" s="1" t="n">
        <v>45782</v>
      </c>
      <c r="C174" s="1" t="n">
        <v>45971</v>
      </c>
      <c r="D174" t="inlineStr">
        <is>
          <t>GOTLANDS LÄN</t>
        </is>
      </c>
      <c r="E174" t="inlineStr">
        <is>
          <t>GOTLAND</t>
        </is>
      </c>
      <c r="F174" t="inlineStr">
        <is>
          <t>Övriga statliga verk och myndigheter</t>
        </is>
      </c>
      <c r="G174" t="n">
        <v>1.7</v>
      </c>
      <c r="H174" t="n">
        <v>1</v>
      </c>
      <c r="I174" t="n">
        <v>0</v>
      </c>
      <c r="J174" t="n">
        <v>0</v>
      </c>
      <c r="K174" t="n">
        <v>0</v>
      </c>
      <c r="L174" t="n">
        <v>0</v>
      </c>
      <c r="M174" t="n">
        <v>0</v>
      </c>
      <c r="N174" t="n">
        <v>0</v>
      </c>
      <c r="O174" t="n">
        <v>0</v>
      </c>
      <c r="P174" t="n">
        <v>0</v>
      </c>
      <c r="Q174" t="n">
        <v>1</v>
      </c>
      <c r="R174" s="2" t="inlineStr">
        <is>
          <t>Blåsippa</t>
        </is>
      </c>
      <c r="S174">
        <f>HYPERLINK("https://klasma.github.io/Logging_0980/artfynd/A 21466-2025 artfynd.xlsx", "A 21466-2025")</f>
        <v/>
      </c>
      <c r="T174">
        <f>HYPERLINK("https://klasma.github.io/Logging_0980/kartor/A 21466-2025 karta.png", "A 21466-2025")</f>
        <v/>
      </c>
      <c r="V174">
        <f>HYPERLINK("https://klasma.github.io/Logging_0980/klagomål/A 21466-2025 FSC-klagomål.docx", "A 21466-2025")</f>
        <v/>
      </c>
      <c r="W174">
        <f>HYPERLINK("https://klasma.github.io/Logging_0980/klagomålsmail/A 21466-2025 FSC-klagomål mail.docx", "A 21466-2025")</f>
        <v/>
      </c>
      <c r="X174">
        <f>HYPERLINK("https://klasma.github.io/Logging_0980/tillsyn/A 21466-2025 tillsynsbegäran.docx", "A 21466-2025")</f>
        <v/>
      </c>
      <c r="Y174">
        <f>HYPERLINK("https://klasma.github.io/Logging_0980/tillsynsmail/A 21466-2025 tillsynsbegäran mail.docx", "A 21466-2025")</f>
        <v/>
      </c>
    </row>
    <row r="175" ht="15" customHeight="1">
      <c r="A175" t="inlineStr">
        <is>
          <t>A 49726-2025</t>
        </is>
      </c>
      <c r="B175" s="1" t="n">
        <v>45939.84466435185</v>
      </c>
      <c r="C175" s="1" t="n">
        <v>45971</v>
      </c>
      <c r="D175" t="inlineStr">
        <is>
          <t>GOTLANDS LÄN</t>
        </is>
      </c>
      <c r="E175" t="inlineStr">
        <is>
          <t>GOTLAND</t>
        </is>
      </c>
      <c r="F175" t="inlineStr">
        <is>
          <t>Kyrkan</t>
        </is>
      </c>
      <c r="G175" t="n">
        <v>5.4</v>
      </c>
      <c r="H175" t="n">
        <v>0</v>
      </c>
      <c r="I175" t="n">
        <v>0</v>
      </c>
      <c r="J175" t="n">
        <v>1</v>
      </c>
      <c r="K175" t="n">
        <v>0</v>
      </c>
      <c r="L175" t="n">
        <v>0</v>
      </c>
      <c r="M175" t="n">
        <v>0</v>
      </c>
      <c r="N175" t="n">
        <v>0</v>
      </c>
      <c r="O175" t="n">
        <v>1</v>
      </c>
      <c r="P175" t="n">
        <v>0</v>
      </c>
      <c r="Q175" t="n">
        <v>1</v>
      </c>
      <c r="R175" s="2" t="inlineStr">
        <is>
          <t>Odörspindling</t>
        </is>
      </c>
      <c r="S175">
        <f>HYPERLINK("https://klasma.github.io/Logging_0980/artfynd/A 49726-2025 artfynd.xlsx", "A 49726-2025")</f>
        <v/>
      </c>
      <c r="T175">
        <f>HYPERLINK("https://klasma.github.io/Logging_0980/kartor/A 49726-2025 karta.png", "A 49726-2025")</f>
        <v/>
      </c>
      <c r="V175">
        <f>HYPERLINK("https://klasma.github.io/Logging_0980/klagomål/A 49726-2025 FSC-klagomål.docx", "A 49726-2025")</f>
        <v/>
      </c>
      <c r="W175">
        <f>HYPERLINK("https://klasma.github.io/Logging_0980/klagomålsmail/A 49726-2025 FSC-klagomål mail.docx", "A 49726-2025")</f>
        <v/>
      </c>
      <c r="X175">
        <f>HYPERLINK("https://klasma.github.io/Logging_0980/tillsyn/A 49726-2025 tillsynsbegäran.docx", "A 49726-2025")</f>
        <v/>
      </c>
      <c r="Y175">
        <f>HYPERLINK("https://klasma.github.io/Logging_0980/tillsynsmail/A 49726-2025 tillsynsbegäran mail.docx", "A 49726-2025")</f>
        <v/>
      </c>
    </row>
    <row r="176" ht="15" customHeight="1">
      <c r="A176" t="inlineStr">
        <is>
          <t>A 10440-2024</t>
        </is>
      </c>
      <c r="B176" s="1" t="n">
        <v>45366.32818287037</v>
      </c>
      <c r="C176" s="1" t="n">
        <v>45971</v>
      </c>
      <c r="D176" t="inlineStr">
        <is>
          <t>GOTLANDS LÄN</t>
        </is>
      </c>
      <c r="E176" t="inlineStr">
        <is>
          <t>GOTLAND</t>
        </is>
      </c>
      <c r="G176" t="n">
        <v>2.5</v>
      </c>
      <c r="H176" t="n">
        <v>1</v>
      </c>
      <c r="I176" t="n">
        <v>0</v>
      </c>
      <c r="J176" t="n">
        <v>1</v>
      </c>
      <c r="K176" t="n">
        <v>0</v>
      </c>
      <c r="L176" t="n">
        <v>0</v>
      </c>
      <c r="M176" t="n">
        <v>0</v>
      </c>
      <c r="N176" t="n">
        <v>0</v>
      </c>
      <c r="O176" t="n">
        <v>1</v>
      </c>
      <c r="P176" t="n">
        <v>0</v>
      </c>
      <c r="Q176" t="n">
        <v>1</v>
      </c>
      <c r="R176" s="2" t="inlineStr">
        <is>
          <t>Mindre hackspett</t>
        </is>
      </c>
      <c r="S176">
        <f>HYPERLINK("https://klasma.github.io/Logging_0980/artfynd/A 10440-2024 artfynd.xlsx", "A 10440-2024")</f>
        <v/>
      </c>
      <c r="T176">
        <f>HYPERLINK("https://klasma.github.io/Logging_0980/kartor/A 10440-2024 karta.png", "A 10440-2024")</f>
        <v/>
      </c>
      <c r="V176">
        <f>HYPERLINK("https://klasma.github.io/Logging_0980/klagomål/A 10440-2024 FSC-klagomål.docx", "A 10440-2024")</f>
        <v/>
      </c>
      <c r="W176">
        <f>HYPERLINK("https://klasma.github.io/Logging_0980/klagomålsmail/A 10440-2024 FSC-klagomål mail.docx", "A 10440-2024")</f>
        <v/>
      </c>
      <c r="X176">
        <f>HYPERLINK("https://klasma.github.io/Logging_0980/tillsyn/A 10440-2024 tillsynsbegäran.docx", "A 10440-2024")</f>
        <v/>
      </c>
      <c r="Y176">
        <f>HYPERLINK("https://klasma.github.io/Logging_0980/tillsynsmail/A 10440-2024 tillsynsbegäran mail.docx", "A 10440-2024")</f>
        <v/>
      </c>
      <c r="Z176">
        <f>HYPERLINK("https://klasma.github.io/Logging_0980/fåglar/A 10440-2024 prioriterade fågelarter.docx", "A 10440-2024")</f>
        <v/>
      </c>
    </row>
    <row r="177" ht="15" customHeight="1">
      <c r="A177" t="inlineStr">
        <is>
          <t>A 6303-2024</t>
        </is>
      </c>
      <c r="B177" s="1" t="n">
        <v>45338.35376157407</v>
      </c>
      <c r="C177" s="1" t="n">
        <v>45971</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26461-2025</t>
        </is>
      </c>
      <c r="B178" s="1" t="n">
        <v>45807.43337962963</v>
      </c>
      <c r="C178" s="1" t="n">
        <v>45971</v>
      </c>
      <c r="D178" t="inlineStr">
        <is>
          <t>GOTLANDS LÄN</t>
        </is>
      </c>
      <c r="E178" t="inlineStr">
        <is>
          <t>GOTLAND</t>
        </is>
      </c>
      <c r="G178" t="n">
        <v>4.1</v>
      </c>
      <c r="H178" t="n">
        <v>0</v>
      </c>
      <c r="I178" t="n">
        <v>0</v>
      </c>
      <c r="J178" t="n">
        <v>0</v>
      </c>
      <c r="K178" t="n">
        <v>1</v>
      </c>
      <c r="L178" t="n">
        <v>0</v>
      </c>
      <c r="M178" t="n">
        <v>0</v>
      </c>
      <c r="N178" t="n">
        <v>0</v>
      </c>
      <c r="O178" t="n">
        <v>1</v>
      </c>
      <c r="P178" t="n">
        <v>1</v>
      </c>
      <c r="Q178" t="n">
        <v>1</v>
      </c>
      <c r="R178" s="2" t="inlineStr">
        <is>
          <t>Gotlandsmåra</t>
        </is>
      </c>
      <c r="S178">
        <f>HYPERLINK("https://klasma.github.io/Logging_0980/artfynd/A 26461-2025 artfynd.xlsx", "A 26461-2025")</f>
        <v/>
      </c>
      <c r="T178">
        <f>HYPERLINK("https://klasma.github.io/Logging_0980/kartor/A 26461-2025 karta.png", "A 26461-2025")</f>
        <v/>
      </c>
      <c r="V178">
        <f>HYPERLINK("https://klasma.github.io/Logging_0980/klagomål/A 26461-2025 FSC-klagomål.docx", "A 26461-2025")</f>
        <v/>
      </c>
      <c r="W178">
        <f>HYPERLINK("https://klasma.github.io/Logging_0980/klagomålsmail/A 26461-2025 FSC-klagomål mail.docx", "A 26461-2025")</f>
        <v/>
      </c>
      <c r="X178">
        <f>HYPERLINK("https://klasma.github.io/Logging_0980/tillsyn/A 26461-2025 tillsynsbegäran.docx", "A 26461-2025")</f>
        <v/>
      </c>
      <c r="Y178">
        <f>HYPERLINK("https://klasma.github.io/Logging_0980/tillsynsmail/A 26461-2025 tillsynsbegäran mail.docx", "A 26461-2025")</f>
        <v/>
      </c>
    </row>
    <row r="179" ht="15" customHeight="1">
      <c r="A179" t="inlineStr">
        <is>
          <t>A 34809-2024</t>
        </is>
      </c>
      <c r="B179" s="1" t="n">
        <v>45526</v>
      </c>
      <c r="C179" s="1" t="n">
        <v>45971</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35467-2021</t>
        </is>
      </c>
      <c r="B180" s="1" t="n">
        <v>44385</v>
      </c>
      <c r="C180" s="1" t="n">
        <v>45971</v>
      </c>
      <c r="D180" t="inlineStr">
        <is>
          <t>GOTLANDS LÄN</t>
        </is>
      </c>
      <c r="E180" t="inlineStr">
        <is>
          <t>GOTLAND</t>
        </is>
      </c>
      <c r="G180" t="n">
        <v>12.7</v>
      </c>
      <c r="H180" t="n">
        <v>0</v>
      </c>
      <c r="I180" t="n">
        <v>0</v>
      </c>
      <c r="J180" t="n">
        <v>1</v>
      </c>
      <c r="K180" t="n">
        <v>0</v>
      </c>
      <c r="L180" t="n">
        <v>0</v>
      </c>
      <c r="M180" t="n">
        <v>0</v>
      </c>
      <c r="N180" t="n">
        <v>0</v>
      </c>
      <c r="O180" t="n">
        <v>1</v>
      </c>
      <c r="P180" t="n">
        <v>0</v>
      </c>
      <c r="Q180" t="n">
        <v>1</v>
      </c>
      <c r="R180" s="2" t="inlineStr">
        <is>
          <t>Loppstarr</t>
        </is>
      </c>
      <c r="S180">
        <f>HYPERLINK("https://klasma.github.io/Logging_0980/artfynd/A 35467-2021 artfynd.xlsx", "A 35467-2021")</f>
        <v/>
      </c>
      <c r="T180">
        <f>HYPERLINK("https://klasma.github.io/Logging_0980/kartor/A 35467-2021 karta.png", "A 35467-2021")</f>
        <v/>
      </c>
      <c r="V180">
        <f>HYPERLINK("https://klasma.github.io/Logging_0980/klagomål/A 35467-2021 FSC-klagomål.docx", "A 35467-2021")</f>
        <v/>
      </c>
      <c r="W180">
        <f>HYPERLINK("https://klasma.github.io/Logging_0980/klagomålsmail/A 35467-2021 FSC-klagomål mail.docx", "A 35467-2021")</f>
        <v/>
      </c>
      <c r="X180">
        <f>HYPERLINK("https://klasma.github.io/Logging_0980/tillsyn/A 35467-2021 tillsynsbegäran.docx", "A 35467-2021")</f>
        <v/>
      </c>
      <c r="Y180">
        <f>HYPERLINK("https://klasma.github.io/Logging_0980/tillsynsmail/A 35467-2021 tillsynsbegäran mail.docx", "A 35467-2021")</f>
        <v/>
      </c>
    </row>
    <row r="181" ht="15" customHeight="1">
      <c r="A181" t="inlineStr">
        <is>
          <t>A 44619-2025</t>
        </is>
      </c>
      <c r="B181" s="1" t="n">
        <v>45917</v>
      </c>
      <c r="C181" s="1" t="n">
        <v>45971</v>
      </c>
      <c r="D181" t="inlineStr">
        <is>
          <t>GOTLANDS LÄN</t>
        </is>
      </c>
      <c r="E181" t="inlineStr">
        <is>
          <t>GOTLAND</t>
        </is>
      </c>
      <c r="G181" t="n">
        <v>4.3</v>
      </c>
      <c r="H181" t="n">
        <v>0</v>
      </c>
      <c r="I181" t="n">
        <v>1</v>
      </c>
      <c r="J181" t="n">
        <v>0</v>
      </c>
      <c r="K181" t="n">
        <v>0</v>
      </c>
      <c r="L181" t="n">
        <v>0</v>
      </c>
      <c r="M181" t="n">
        <v>0</v>
      </c>
      <c r="N181" t="n">
        <v>0</v>
      </c>
      <c r="O181" t="n">
        <v>0</v>
      </c>
      <c r="P181" t="n">
        <v>0</v>
      </c>
      <c r="Q181" t="n">
        <v>1</v>
      </c>
      <c r="R181" s="2" t="inlineStr">
        <is>
          <t>Ögonpyrola</t>
        </is>
      </c>
      <c r="S181">
        <f>HYPERLINK("https://klasma.github.io/Logging_0980/artfynd/A 44619-2025 artfynd.xlsx", "A 44619-2025")</f>
        <v/>
      </c>
      <c r="T181">
        <f>HYPERLINK("https://klasma.github.io/Logging_0980/kartor/A 44619-2025 karta.png", "A 44619-2025")</f>
        <v/>
      </c>
      <c r="V181">
        <f>HYPERLINK("https://klasma.github.io/Logging_0980/klagomål/A 44619-2025 FSC-klagomål.docx", "A 44619-2025")</f>
        <v/>
      </c>
      <c r="W181">
        <f>HYPERLINK("https://klasma.github.io/Logging_0980/klagomålsmail/A 44619-2025 FSC-klagomål mail.docx", "A 44619-2025")</f>
        <v/>
      </c>
      <c r="X181">
        <f>HYPERLINK("https://klasma.github.io/Logging_0980/tillsyn/A 44619-2025 tillsynsbegäran.docx", "A 44619-2025")</f>
        <v/>
      </c>
      <c r="Y181">
        <f>HYPERLINK("https://klasma.github.io/Logging_0980/tillsynsmail/A 44619-2025 tillsynsbegäran mail.docx", "A 44619-2025")</f>
        <v/>
      </c>
    </row>
    <row r="182" ht="15" customHeight="1">
      <c r="A182" t="inlineStr">
        <is>
          <t>A 34141-2024</t>
        </is>
      </c>
      <c r="B182" s="1" t="n">
        <v>45524.36229166666</v>
      </c>
      <c r="C182" s="1" t="n">
        <v>45971</v>
      </c>
      <c r="D182" t="inlineStr">
        <is>
          <t>GOTLANDS LÄN</t>
        </is>
      </c>
      <c r="E182" t="inlineStr">
        <is>
          <t>GOTLAND</t>
        </is>
      </c>
      <c r="G182" t="n">
        <v>0.9</v>
      </c>
      <c r="H182" t="n">
        <v>0</v>
      </c>
      <c r="I182" t="n">
        <v>1</v>
      </c>
      <c r="J182" t="n">
        <v>0</v>
      </c>
      <c r="K182" t="n">
        <v>0</v>
      </c>
      <c r="L182" t="n">
        <v>0</v>
      </c>
      <c r="M182" t="n">
        <v>0</v>
      </c>
      <c r="N182" t="n">
        <v>0</v>
      </c>
      <c r="O182" t="n">
        <v>0</v>
      </c>
      <c r="P182" t="n">
        <v>0</v>
      </c>
      <c r="Q182" t="n">
        <v>1</v>
      </c>
      <c r="R182" s="2" t="inlineStr">
        <is>
          <t>Strävlosta</t>
        </is>
      </c>
      <c r="S182">
        <f>HYPERLINK("https://klasma.github.io/Logging_0980/artfynd/A 34141-2024 artfynd.xlsx", "A 34141-2024")</f>
        <v/>
      </c>
      <c r="T182">
        <f>HYPERLINK("https://klasma.github.io/Logging_0980/kartor/A 34141-2024 karta.png", "A 34141-2024")</f>
        <v/>
      </c>
      <c r="V182">
        <f>HYPERLINK("https://klasma.github.io/Logging_0980/klagomål/A 34141-2024 FSC-klagomål.docx", "A 34141-2024")</f>
        <v/>
      </c>
      <c r="W182">
        <f>HYPERLINK("https://klasma.github.io/Logging_0980/klagomålsmail/A 34141-2024 FSC-klagomål mail.docx", "A 34141-2024")</f>
        <v/>
      </c>
      <c r="X182">
        <f>HYPERLINK("https://klasma.github.io/Logging_0980/tillsyn/A 34141-2024 tillsynsbegäran.docx", "A 34141-2024")</f>
        <v/>
      </c>
      <c r="Y182">
        <f>HYPERLINK("https://klasma.github.io/Logging_0980/tillsynsmail/A 34141-2024 tillsynsbegäran mail.docx", "A 34141-2024")</f>
        <v/>
      </c>
    </row>
    <row r="183" ht="15" customHeight="1">
      <c r="A183" t="inlineStr">
        <is>
          <t>A 9862-2024</t>
        </is>
      </c>
      <c r="B183" s="1" t="n">
        <v>45363</v>
      </c>
      <c r="C183" s="1" t="n">
        <v>45971</v>
      </c>
      <c r="D183" t="inlineStr">
        <is>
          <t>GOTLANDS LÄN</t>
        </is>
      </c>
      <c r="E183" t="inlineStr">
        <is>
          <t>GOTLAND</t>
        </is>
      </c>
      <c r="G183" t="n">
        <v>3.5</v>
      </c>
      <c r="H183" t="n">
        <v>1</v>
      </c>
      <c r="I183" t="n">
        <v>0</v>
      </c>
      <c r="J183" t="n">
        <v>0</v>
      </c>
      <c r="K183" t="n">
        <v>0</v>
      </c>
      <c r="L183" t="n">
        <v>0</v>
      </c>
      <c r="M183" t="n">
        <v>0</v>
      </c>
      <c r="N183" t="n">
        <v>0</v>
      </c>
      <c r="O183" t="n">
        <v>0</v>
      </c>
      <c r="P183" t="n">
        <v>0</v>
      </c>
      <c r="Q183" t="n">
        <v>1</v>
      </c>
      <c r="R183" s="2" t="inlineStr">
        <is>
          <t>Nattviol</t>
        </is>
      </c>
      <c r="S183">
        <f>HYPERLINK("https://klasma.github.io/Logging_0980/artfynd/A 9862-2024 artfynd.xlsx", "A 9862-2024")</f>
        <v/>
      </c>
      <c r="T183">
        <f>HYPERLINK("https://klasma.github.io/Logging_0980/kartor/A 9862-2024 karta.png", "A 9862-2024")</f>
        <v/>
      </c>
      <c r="V183">
        <f>HYPERLINK("https://klasma.github.io/Logging_0980/klagomål/A 9862-2024 FSC-klagomål.docx", "A 9862-2024")</f>
        <v/>
      </c>
      <c r="W183">
        <f>HYPERLINK("https://klasma.github.io/Logging_0980/klagomålsmail/A 9862-2024 FSC-klagomål mail.docx", "A 9862-2024")</f>
        <v/>
      </c>
      <c r="X183">
        <f>HYPERLINK("https://klasma.github.io/Logging_0980/tillsyn/A 9862-2024 tillsynsbegäran.docx", "A 9862-2024")</f>
        <v/>
      </c>
      <c r="Y183">
        <f>HYPERLINK("https://klasma.github.io/Logging_0980/tillsynsmail/A 9862-2024 tillsynsbegäran mail.docx", "A 9862-2024")</f>
        <v/>
      </c>
    </row>
    <row r="184" ht="15" customHeight="1">
      <c r="A184" t="inlineStr">
        <is>
          <t>A 61561-2023</t>
        </is>
      </c>
      <c r="B184" s="1" t="n">
        <v>45265</v>
      </c>
      <c r="C184" s="1" t="n">
        <v>45971</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63299-2020</t>
        </is>
      </c>
      <c r="B185" s="1" t="n">
        <v>44165</v>
      </c>
      <c r="C185" s="1" t="n">
        <v>45971</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12924-2025</t>
        </is>
      </c>
      <c r="B186" s="1" t="n">
        <v>45734</v>
      </c>
      <c r="C186" s="1" t="n">
        <v>45971</v>
      </c>
      <c r="D186" t="inlineStr">
        <is>
          <t>GOTLANDS LÄN</t>
        </is>
      </c>
      <c r="E186" t="inlineStr">
        <is>
          <t>GOTLAND</t>
        </is>
      </c>
      <c r="G186" t="n">
        <v>11.7</v>
      </c>
      <c r="H186" t="n">
        <v>0</v>
      </c>
      <c r="I186" t="n">
        <v>0</v>
      </c>
      <c r="J186" t="n">
        <v>0</v>
      </c>
      <c r="K186" t="n">
        <v>1</v>
      </c>
      <c r="L186" t="n">
        <v>0</v>
      </c>
      <c r="M186" t="n">
        <v>0</v>
      </c>
      <c r="N186" t="n">
        <v>0</v>
      </c>
      <c r="O186" t="n">
        <v>1</v>
      </c>
      <c r="P186" t="n">
        <v>1</v>
      </c>
      <c r="Q186" t="n">
        <v>1</v>
      </c>
      <c r="R186" s="2" t="inlineStr">
        <is>
          <t>Gotlandsmåra</t>
        </is>
      </c>
      <c r="S186">
        <f>HYPERLINK("https://klasma.github.io/Logging_0980/artfynd/A 12924-2025 artfynd.xlsx", "A 12924-2025")</f>
        <v/>
      </c>
      <c r="T186">
        <f>HYPERLINK("https://klasma.github.io/Logging_0980/kartor/A 12924-2025 karta.png", "A 12924-2025")</f>
        <v/>
      </c>
      <c r="V186">
        <f>HYPERLINK("https://klasma.github.io/Logging_0980/klagomål/A 12924-2025 FSC-klagomål.docx", "A 12924-2025")</f>
        <v/>
      </c>
      <c r="W186">
        <f>HYPERLINK("https://klasma.github.io/Logging_0980/klagomålsmail/A 12924-2025 FSC-klagomål mail.docx", "A 12924-2025")</f>
        <v/>
      </c>
      <c r="X186">
        <f>HYPERLINK("https://klasma.github.io/Logging_0980/tillsyn/A 12924-2025 tillsynsbegäran.docx", "A 12924-2025")</f>
        <v/>
      </c>
      <c r="Y186">
        <f>HYPERLINK("https://klasma.github.io/Logging_0980/tillsynsmail/A 12924-2025 tillsynsbegäran mail.docx", "A 12924-2025")</f>
        <v/>
      </c>
    </row>
    <row r="187" ht="15" customHeight="1">
      <c r="A187" t="inlineStr">
        <is>
          <t>A 27168-2022</t>
        </is>
      </c>
      <c r="B187" s="1" t="n">
        <v>44741</v>
      </c>
      <c r="C187" s="1" t="n">
        <v>45971</v>
      </c>
      <c r="D187" t="inlineStr">
        <is>
          <t>GOTLANDS LÄN</t>
        </is>
      </c>
      <c r="E187" t="inlineStr">
        <is>
          <t>GOTLAND</t>
        </is>
      </c>
      <c r="G187" t="n">
        <v>2.2</v>
      </c>
      <c r="H187" t="n">
        <v>1</v>
      </c>
      <c r="I187" t="n">
        <v>1</v>
      </c>
      <c r="J187" t="n">
        <v>0</v>
      </c>
      <c r="K187" t="n">
        <v>0</v>
      </c>
      <c r="L187" t="n">
        <v>0</v>
      </c>
      <c r="M187" t="n">
        <v>0</v>
      </c>
      <c r="N187" t="n">
        <v>0</v>
      </c>
      <c r="O187" t="n">
        <v>0</v>
      </c>
      <c r="P187" t="n">
        <v>0</v>
      </c>
      <c r="Q187" t="n">
        <v>1</v>
      </c>
      <c r="R187" s="2" t="inlineStr">
        <is>
          <t>Purpurknipprot</t>
        </is>
      </c>
      <c r="S187">
        <f>HYPERLINK("https://klasma.github.io/Logging_0980/artfynd/A 27168-2022 artfynd.xlsx", "A 27168-2022")</f>
        <v/>
      </c>
      <c r="T187">
        <f>HYPERLINK("https://klasma.github.io/Logging_0980/kartor/A 27168-2022 karta.png", "A 27168-2022")</f>
        <v/>
      </c>
      <c r="V187">
        <f>HYPERLINK("https://klasma.github.io/Logging_0980/klagomål/A 27168-2022 FSC-klagomål.docx", "A 27168-2022")</f>
        <v/>
      </c>
      <c r="W187">
        <f>HYPERLINK("https://klasma.github.io/Logging_0980/klagomålsmail/A 27168-2022 FSC-klagomål mail.docx", "A 27168-2022")</f>
        <v/>
      </c>
      <c r="X187">
        <f>HYPERLINK("https://klasma.github.io/Logging_0980/tillsyn/A 27168-2022 tillsynsbegäran.docx", "A 27168-2022")</f>
        <v/>
      </c>
      <c r="Y187">
        <f>HYPERLINK("https://klasma.github.io/Logging_0980/tillsynsmail/A 27168-2022 tillsynsbegäran mail.docx", "A 27168-2022")</f>
        <v/>
      </c>
    </row>
    <row r="188" ht="15" customHeight="1">
      <c r="A188" t="inlineStr">
        <is>
          <t>A 19901-2021</t>
        </is>
      </c>
      <c r="B188" s="1" t="n">
        <v>44312</v>
      </c>
      <c r="C188" s="1" t="n">
        <v>45971</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45971</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45971</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45971</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45971</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45971</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45971</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45971</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45971</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45971</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45971</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45971</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45971</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45971</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45971</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45971</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45971</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45971</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45971</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45971</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45971</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45971</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45971</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45971</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45971</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45971</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45971</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45971</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45971</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45971</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45971</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45971</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45971</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45971</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45971</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45971</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45971</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45971</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45971</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45971</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45971</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45971</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45971</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22495-2022</t>
        </is>
      </c>
      <c r="B231" s="1" t="n">
        <v>44713.6452199074</v>
      </c>
      <c r="C231" s="1" t="n">
        <v>45971</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45971</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64380-2020</t>
        </is>
      </c>
      <c r="B233" s="1" t="n">
        <v>44168.60128472222</v>
      </c>
      <c r="C233" s="1" t="n">
        <v>45971</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45971</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44942-2022</t>
        </is>
      </c>
      <c r="B235" s="1" t="n">
        <v>44841</v>
      </c>
      <c r="C235" s="1" t="n">
        <v>45971</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30282-2022</t>
        </is>
      </c>
      <c r="B236" s="1" t="n">
        <v>44760</v>
      </c>
      <c r="C236" s="1" t="n">
        <v>45971</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1229-2021</t>
        </is>
      </c>
      <c r="B237" s="1" t="n">
        <v>44208</v>
      </c>
      <c r="C237" s="1" t="n">
        <v>45971</v>
      </c>
      <c r="D237" t="inlineStr">
        <is>
          <t>GOTLANDS LÄN</t>
        </is>
      </c>
      <c r="E237" t="inlineStr">
        <is>
          <t>GOTLAND</t>
        </is>
      </c>
      <c r="G237" t="n">
        <v>5.3</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45971</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62120-2020</t>
        </is>
      </c>
      <c r="B239" s="1" t="n">
        <v>44158</v>
      </c>
      <c r="C239" s="1" t="n">
        <v>45971</v>
      </c>
      <c r="D239" t="inlineStr">
        <is>
          <t>GOTLANDS LÄN</t>
        </is>
      </c>
      <c r="E239" t="inlineStr">
        <is>
          <t>GOTLAND</t>
        </is>
      </c>
      <c r="G239" t="n">
        <v>2.3</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45971</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53225-2022</t>
        </is>
      </c>
      <c r="B241" s="1" t="n">
        <v>44876</v>
      </c>
      <c r="C241" s="1" t="n">
        <v>45971</v>
      </c>
      <c r="D241" t="inlineStr">
        <is>
          <t>GOTLANDS LÄN</t>
        </is>
      </c>
      <c r="E241" t="inlineStr">
        <is>
          <t>GOTLAND</t>
        </is>
      </c>
      <c r="F241" t="inlineStr">
        <is>
          <t>Kyrkan</t>
        </is>
      </c>
      <c r="G241" t="n">
        <v>0.9</v>
      </c>
      <c r="H241" t="n">
        <v>0</v>
      </c>
      <c r="I241" t="n">
        <v>0</v>
      </c>
      <c r="J241" t="n">
        <v>0</v>
      </c>
      <c r="K241" t="n">
        <v>0</v>
      </c>
      <c r="L241" t="n">
        <v>0</v>
      </c>
      <c r="M241" t="n">
        <v>0</v>
      </c>
      <c r="N241" t="n">
        <v>0</v>
      </c>
      <c r="O241" t="n">
        <v>0</v>
      </c>
      <c r="P241" t="n">
        <v>0</v>
      </c>
      <c r="Q241" t="n">
        <v>0</v>
      </c>
      <c r="R241" s="2" t="inlineStr"/>
    </row>
    <row r="242" ht="15" customHeight="1">
      <c r="A242" t="inlineStr">
        <is>
          <t>A 3271-2021</t>
        </is>
      </c>
      <c r="B242" s="1" t="n">
        <v>44217</v>
      </c>
      <c r="C242" s="1" t="n">
        <v>45971</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30055-2021</t>
        </is>
      </c>
      <c r="B243" s="1" t="n">
        <v>44363</v>
      </c>
      <c r="C243" s="1" t="n">
        <v>45971</v>
      </c>
      <c r="D243" t="inlineStr">
        <is>
          <t>GOTLANDS LÄN</t>
        </is>
      </c>
      <c r="E243" t="inlineStr">
        <is>
          <t>GOTLAND</t>
        </is>
      </c>
      <c r="G243" t="n">
        <v>1.8</v>
      </c>
      <c r="H243" t="n">
        <v>0</v>
      </c>
      <c r="I243" t="n">
        <v>0</v>
      </c>
      <c r="J243" t="n">
        <v>0</v>
      </c>
      <c r="K243" t="n">
        <v>0</v>
      </c>
      <c r="L243" t="n">
        <v>0</v>
      </c>
      <c r="M243" t="n">
        <v>0</v>
      </c>
      <c r="N243" t="n">
        <v>0</v>
      </c>
      <c r="O243" t="n">
        <v>0</v>
      </c>
      <c r="P243" t="n">
        <v>0</v>
      </c>
      <c r="Q243" t="n">
        <v>0</v>
      </c>
      <c r="R243" s="2" t="inlineStr"/>
    </row>
    <row r="244" ht="15" customHeight="1">
      <c r="A244" t="inlineStr">
        <is>
          <t>A 65393-2021</t>
        </is>
      </c>
      <c r="B244" s="1" t="n">
        <v>44515</v>
      </c>
      <c r="C244" s="1" t="n">
        <v>45971</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32330-2024</t>
        </is>
      </c>
      <c r="B245" s="1" t="n">
        <v>45512</v>
      </c>
      <c r="C245" s="1" t="n">
        <v>45971</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1734-2025</t>
        </is>
      </c>
      <c r="B246" s="1" t="n">
        <v>45671.3840625</v>
      </c>
      <c r="C246" s="1" t="n">
        <v>45971</v>
      </c>
      <c r="D246" t="inlineStr">
        <is>
          <t>GOTLANDS LÄN</t>
        </is>
      </c>
      <c r="E246" t="inlineStr">
        <is>
          <t>GOTLAND</t>
        </is>
      </c>
      <c r="G246" t="n">
        <v>1.9</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45971</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20993-2023</t>
        </is>
      </c>
      <c r="B248" s="1" t="n">
        <v>45056</v>
      </c>
      <c r="C248" s="1" t="n">
        <v>45971</v>
      </c>
      <c r="D248" t="inlineStr">
        <is>
          <t>GOTLANDS LÄN</t>
        </is>
      </c>
      <c r="E248" t="inlineStr">
        <is>
          <t>GOTLAND</t>
        </is>
      </c>
      <c r="G248" t="n">
        <v>7.1</v>
      </c>
      <c r="H248" t="n">
        <v>0</v>
      </c>
      <c r="I248" t="n">
        <v>0</v>
      </c>
      <c r="J248" t="n">
        <v>0</v>
      </c>
      <c r="K248" t="n">
        <v>0</v>
      </c>
      <c r="L248" t="n">
        <v>0</v>
      </c>
      <c r="M248" t="n">
        <v>0</v>
      </c>
      <c r="N248" t="n">
        <v>0</v>
      </c>
      <c r="O248" t="n">
        <v>0</v>
      </c>
      <c r="P248" t="n">
        <v>0</v>
      </c>
      <c r="Q248" t="n">
        <v>0</v>
      </c>
      <c r="R248" s="2" t="inlineStr"/>
    </row>
    <row r="249" ht="15" customHeight="1">
      <c r="A249" t="inlineStr">
        <is>
          <t>A 15595-2024</t>
        </is>
      </c>
      <c r="B249" s="1" t="n">
        <v>45401.81480324074</v>
      </c>
      <c r="C249" s="1" t="n">
        <v>45971</v>
      </c>
      <c r="D249" t="inlineStr">
        <is>
          <t>GOTLANDS LÄN</t>
        </is>
      </c>
      <c r="E249" t="inlineStr">
        <is>
          <t>GOTLAND</t>
        </is>
      </c>
      <c r="G249" t="n">
        <v>6.4</v>
      </c>
      <c r="H249" t="n">
        <v>0</v>
      </c>
      <c r="I249" t="n">
        <v>0</v>
      </c>
      <c r="J249" t="n">
        <v>0</v>
      </c>
      <c r="K249" t="n">
        <v>0</v>
      </c>
      <c r="L249" t="n">
        <v>0</v>
      </c>
      <c r="M249" t="n">
        <v>0</v>
      </c>
      <c r="N249" t="n">
        <v>0</v>
      </c>
      <c r="O249" t="n">
        <v>0</v>
      </c>
      <c r="P249" t="n">
        <v>0</v>
      </c>
      <c r="Q249" t="n">
        <v>0</v>
      </c>
      <c r="R249" s="2" t="inlineStr"/>
    </row>
    <row r="250" ht="15" customHeight="1">
      <c r="A250" t="inlineStr">
        <is>
          <t>A 23910-2021</t>
        </is>
      </c>
      <c r="B250" s="1" t="n">
        <v>44335</v>
      </c>
      <c r="C250" s="1" t="n">
        <v>45971</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5751-2024</t>
        </is>
      </c>
      <c r="B251" s="1" t="n">
        <v>45335.32702546296</v>
      </c>
      <c r="C251" s="1" t="n">
        <v>45971</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12596-2023</t>
        </is>
      </c>
      <c r="B252" s="1" t="n">
        <v>45000.43310185185</v>
      </c>
      <c r="C252" s="1" t="n">
        <v>45971</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2125-2025</t>
        </is>
      </c>
      <c r="B253" s="1" t="n">
        <v>45672.64940972222</v>
      </c>
      <c r="C253" s="1" t="n">
        <v>45971</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64555-2023</t>
        </is>
      </c>
      <c r="B254" s="1" t="n">
        <v>45281</v>
      </c>
      <c r="C254" s="1" t="n">
        <v>45971</v>
      </c>
      <c r="D254" t="inlineStr">
        <is>
          <t>GOTLANDS LÄN</t>
        </is>
      </c>
      <c r="E254" t="inlineStr">
        <is>
          <t>GOTLAND</t>
        </is>
      </c>
      <c r="G254" t="n">
        <v>3.5</v>
      </c>
      <c r="H254" t="n">
        <v>0</v>
      </c>
      <c r="I254" t="n">
        <v>0</v>
      </c>
      <c r="J254" t="n">
        <v>0</v>
      </c>
      <c r="K254" t="n">
        <v>0</v>
      </c>
      <c r="L254" t="n">
        <v>0</v>
      </c>
      <c r="M254" t="n">
        <v>0</v>
      </c>
      <c r="N254" t="n">
        <v>0</v>
      </c>
      <c r="O254" t="n">
        <v>0</v>
      </c>
      <c r="P254" t="n">
        <v>0</v>
      </c>
      <c r="Q254" t="n">
        <v>0</v>
      </c>
      <c r="R254" s="2" t="inlineStr"/>
    </row>
    <row r="255" ht="15" customHeight="1">
      <c r="A255" t="inlineStr">
        <is>
          <t>A 64831-2023</t>
        </is>
      </c>
      <c r="B255" s="1" t="n">
        <v>45282.44924768519</v>
      </c>
      <c r="C255" s="1" t="n">
        <v>45971</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14804-2021</t>
        </is>
      </c>
      <c r="B256" s="1" t="n">
        <v>44280</v>
      </c>
      <c r="C256" s="1" t="n">
        <v>45971</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12155-2023</t>
        </is>
      </c>
      <c r="B257" s="1" t="n">
        <v>44998.49106481481</v>
      </c>
      <c r="C257" s="1" t="n">
        <v>45971</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457-2023</t>
        </is>
      </c>
      <c r="B258" s="1" t="n">
        <v>44929.87238425926</v>
      </c>
      <c r="C258" s="1" t="n">
        <v>45971</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459-2023</t>
        </is>
      </c>
      <c r="B259" s="1" t="n">
        <v>44929.87423611111</v>
      </c>
      <c r="C259" s="1" t="n">
        <v>45971</v>
      </c>
      <c r="D259" t="inlineStr">
        <is>
          <t>GOTLANDS LÄN</t>
        </is>
      </c>
      <c r="E259" t="inlineStr">
        <is>
          <t>GOTLAND</t>
        </is>
      </c>
      <c r="G259" t="n">
        <v>4.2</v>
      </c>
      <c r="H259" t="n">
        <v>0</v>
      </c>
      <c r="I259" t="n">
        <v>0</v>
      </c>
      <c r="J259" t="n">
        <v>0</v>
      </c>
      <c r="K259" t="n">
        <v>0</v>
      </c>
      <c r="L259" t="n">
        <v>0</v>
      </c>
      <c r="M259" t="n">
        <v>0</v>
      </c>
      <c r="N259" t="n">
        <v>0</v>
      </c>
      <c r="O259" t="n">
        <v>0</v>
      </c>
      <c r="P259" t="n">
        <v>0</v>
      </c>
      <c r="Q259" t="n">
        <v>0</v>
      </c>
      <c r="R259" s="2" t="inlineStr"/>
    </row>
    <row r="260" ht="15" customHeight="1">
      <c r="A260" t="inlineStr">
        <is>
          <t>A 999-2023</t>
        </is>
      </c>
      <c r="B260" s="1" t="n">
        <v>44935</v>
      </c>
      <c r="C260" s="1" t="n">
        <v>45971</v>
      </c>
      <c r="D260" t="inlineStr">
        <is>
          <t>GOTLANDS LÄN</t>
        </is>
      </c>
      <c r="E260" t="inlineStr">
        <is>
          <t>GOTLAND</t>
        </is>
      </c>
      <c r="G260" t="n">
        <v>4.7</v>
      </c>
      <c r="H260" t="n">
        <v>0</v>
      </c>
      <c r="I260" t="n">
        <v>0</v>
      </c>
      <c r="J260" t="n">
        <v>0</v>
      </c>
      <c r="K260" t="n">
        <v>0</v>
      </c>
      <c r="L260" t="n">
        <v>0</v>
      </c>
      <c r="M260" t="n">
        <v>0</v>
      </c>
      <c r="N260" t="n">
        <v>0</v>
      </c>
      <c r="O260" t="n">
        <v>0</v>
      </c>
      <c r="P260" t="n">
        <v>0</v>
      </c>
      <c r="Q260" t="n">
        <v>0</v>
      </c>
      <c r="R260" s="2" t="inlineStr"/>
    </row>
    <row r="261" ht="15" customHeight="1">
      <c r="A261" t="inlineStr">
        <is>
          <t>A 38234-2023</t>
        </is>
      </c>
      <c r="B261" s="1" t="n">
        <v>45161.56663194444</v>
      </c>
      <c r="C261" s="1" t="n">
        <v>45971</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27602-2023</t>
        </is>
      </c>
      <c r="B262" s="1" t="n">
        <v>45097</v>
      </c>
      <c r="C262" s="1" t="n">
        <v>45971</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50744-2024</t>
        </is>
      </c>
      <c r="B263" s="1" t="n">
        <v>45602.4187037037</v>
      </c>
      <c r="C263" s="1" t="n">
        <v>45971</v>
      </c>
      <c r="D263" t="inlineStr">
        <is>
          <t>GOTLANDS LÄN</t>
        </is>
      </c>
      <c r="E263" t="inlineStr">
        <is>
          <t>GOTLAND</t>
        </is>
      </c>
      <c r="G263" t="n">
        <v>3.2</v>
      </c>
      <c r="H263" t="n">
        <v>0</v>
      </c>
      <c r="I263" t="n">
        <v>0</v>
      </c>
      <c r="J263" t="n">
        <v>0</v>
      </c>
      <c r="K263" t="n">
        <v>0</v>
      </c>
      <c r="L263" t="n">
        <v>0</v>
      </c>
      <c r="M263" t="n">
        <v>0</v>
      </c>
      <c r="N263" t="n">
        <v>0</v>
      </c>
      <c r="O263" t="n">
        <v>0</v>
      </c>
      <c r="P263" t="n">
        <v>0</v>
      </c>
      <c r="Q263" t="n">
        <v>0</v>
      </c>
      <c r="R263" s="2" t="inlineStr"/>
    </row>
    <row r="264" ht="15" customHeight="1">
      <c r="A264" t="inlineStr">
        <is>
          <t>A 24966-2023</t>
        </is>
      </c>
      <c r="B264" s="1" t="n">
        <v>45085</v>
      </c>
      <c r="C264" s="1" t="n">
        <v>45971</v>
      </c>
      <c r="D264" t="inlineStr">
        <is>
          <t>GOTLANDS LÄN</t>
        </is>
      </c>
      <c r="E264" t="inlineStr">
        <is>
          <t>GOTLAND</t>
        </is>
      </c>
      <c r="G264" t="n">
        <v>7</v>
      </c>
      <c r="H264" t="n">
        <v>0</v>
      </c>
      <c r="I264" t="n">
        <v>0</v>
      </c>
      <c r="J264" t="n">
        <v>0</v>
      </c>
      <c r="K264" t="n">
        <v>0</v>
      </c>
      <c r="L264" t="n">
        <v>0</v>
      </c>
      <c r="M264" t="n">
        <v>0</v>
      </c>
      <c r="N264" t="n">
        <v>0</v>
      </c>
      <c r="O264" t="n">
        <v>0</v>
      </c>
      <c r="P264" t="n">
        <v>0</v>
      </c>
      <c r="Q264" t="n">
        <v>0</v>
      </c>
      <c r="R264" s="2" t="inlineStr"/>
    </row>
    <row r="265" ht="15" customHeight="1">
      <c r="A265" t="inlineStr">
        <is>
          <t>A 46189-2022</t>
        </is>
      </c>
      <c r="B265" s="1" t="n">
        <v>44847</v>
      </c>
      <c r="C265" s="1" t="n">
        <v>45971</v>
      </c>
      <c r="D265" t="inlineStr">
        <is>
          <t>GOTLANDS LÄN</t>
        </is>
      </c>
      <c r="E265" t="inlineStr">
        <is>
          <t>GOTLAND</t>
        </is>
      </c>
      <c r="G265" t="n">
        <v>0.4</v>
      </c>
      <c r="H265" t="n">
        <v>0</v>
      </c>
      <c r="I265" t="n">
        <v>0</v>
      </c>
      <c r="J265" t="n">
        <v>0</v>
      </c>
      <c r="K265" t="n">
        <v>0</v>
      </c>
      <c r="L265" t="n">
        <v>0</v>
      </c>
      <c r="M265" t="n">
        <v>0</v>
      </c>
      <c r="N265" t="n">
        <v>0</v>
      </c>
      <c r="O265" t="n">
        <v>0</v>
      </c>
      <c r="P265" t="n">
        <v>0</v>
      </c>
      <c r="Q265" t="n">
        <v>0</v>
      </c>
      <c r="R265" s="2" t="inlineStr"/>
    </row>
    <row r="266" ht="15" customHeight="1">
      <c r="A266" t="inlineStr">
        <is>
          <t>A 53934-2024</t>
        </is>
      </c>
      <c r="B266" s="1" t="n">
        <v>45615</v>
      </c>
      <c r="C266" s="1" t="n">
        <v>45971</v>
      </c>
      <c r="D266" t="inlineStr">
        <is>
          <t>GOTLANDS LÄN</t>
        </is>
      </c>
      <c r="E266" t="inlineStr">
        <is>
          <t>GOTLAND</t>
        </is>
      </c>
      <c r="G266" t="n">
        <v>5</v>
      </c>
      <c r="H266" t="n">
        <v>0</v>
      </c>
      <c r="I266" t="n">
        <v>0</v>
      </c>
      <c r="J266" t="n">
        <v>0</v>
      </c>
      <c r="K266" t="n">
        <v>0</v>
      </c>
      <c r="L266" t="n">
        <v>0</v>
      </c>
      <c r="M266" t="n">
        <v>0</v>
      </c>
      <c r="N266" t="n">
        <v>0</v>
      </c>
      <c r="O266" t="n">
        <v>0</v>
      </c>
      <c r="P266" t="n">
        <v>0</v>
      </c>
      <c r="Q266" t="n">
        <v>0</v>
      </c>
      <c r="R266" s="2" t="inlineStr"/>
    </row>
    <row r="267" ht="15" customHeight="1">
      <c r="A267" t="inlineStr">
        <is>
          <t>A 4377-2023</t>
        </is>
      </c>
      <c r="B267" s="1" t="n">
        <v>44955.5502662037</v>
      </c>
      <c r="C267" s="1" t="n">
        <v>45971</v>
      </c>
      <c r="D267" t="inlineStr">
        <is>
          <t>GOTLANDS LÄN</t>
        </is>
      </c>
      <c r="E267" t="inlineStr">
        <is>
          <t>GOTLAND</t>
        </is>
      </c>
      <c r="F267" t="inlineStr">
        <is>
          <t>Kyrkan</t>
        </is>
      </c>
      <c r="G267" t="n">
        <v>0.6</v>
      </c>
      <c r="H267" t="n">
        <v>0</v>
      </c>
      <c r="I267" t="n">
        <v>0</v>
      </c>
      <c r="J267" t="n">
        <v>0</v>
      </c>
      <c r="K267" t="n">
        <v>0</v>
      </c>
      <c r="L267" t="n">
        <v>0</v>
      </c>
      <c r="M267" t="n">
        <v>0</v>
      </c>
      <c r="N267" t="n">
        <v>0</v>
      </c>
      <c r="O267" t="n">
        <v>0</v>
      </c>
      <c r="P267" t="n">
        <v>0</v>
      </c>
      <c r="Q267" t="n">
        <v>0</v>
      </c>
      <c r="R267" s="2" t="inlineStr"/>
    </row>
    <row r="268" ht="15" customHeight="1">
      <c r="A268" t="inlineStr">
        <is>
          <t>A 4387-2023</t>
        </is>
      </c>
      <c r="B268" s="1" t="n">
        <v>44955.73359953704</v>
      </c>
      <c r="C268" s="1" t="n">
        <v>45971</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39479-2022</t>
        </is>
      </c>
      <c r="B269" s="1" t="n">
        <v>44818</v>
      </c>
      <c r="C269" s="1" t="n">
        <v>45971</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22031-2024</t>
        </is>
      </c>
      <c r="B270" s="1" t="n">
        <v>45443.60075231481</v>
      </c>
      <c r="C270" s="1" t="n">
        <v>45971</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49314-2024</t>
        </is>
      </c>
      <c r="B271" s="1" t="n">
        <v>45595.55893518519</v>
      </c>
      <c r="C271" s="1" t="n">
        <v>45971</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51963-2024</t>
        </is>
      </c>
      <c r="B272" s="1" t="n">
        <v>45607.64833333333</v>
      </c>
      <c r="C272" s="1" t="n">
        <v>45971</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811-2023</t>
        </is>
      </c>
      <c r="B273" s="1" t="n">
        <v>44931</v>
      </c>
      <c r="C273" s="1" t="n">
        <v>45971</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1446-2025</t>
        </is>
      </c>
      <c r="B274" s="1" t="n">
        <v>45669.86035879629</v>
      </c>
      <c r="C274" s="1" t="n">
        <v>45971</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44919-2022</t>
        </is>
      </c>
      <c r="B275" s="1" t="n">
        <v>44841</v>
      </c>
      <c r="C275" s="1" t="n">
        <v>45971</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46389-2021</t>
        </is>
      </c>
      <c r="B276" s="1" t="n">
        <v>44443</v>
      </c>
      <c r="C276" s="1" t="n">
        <v>45971</v>
      </c>
      <c r="D276" t="inlineStr">
        <is>
          <t>GOTLANDS LÄN</t>
        </is>
      </c>
      <c r="E276" t="inlineStr">
        <is>
          <t>GOTLAND</t>
        </is>
      </c>
      <c r="F276" t="inlineStr">
        <is>
          <t>Kyrkan</t>
        </is>
      </c>
      <c r="G276" t="n">
        <v>2.1</v>
      </c>
      <c r="H276" t="n">
        <v>0</v>
      </c>
      <c r="I276" t="n">
        <v>0</v>
      </c>
      <c r="J276" t="n">
        <v>0</v>
      </c>
      <c r="K276" t="n">
        <v>0</v>
      </c>
      <c r="L276" t="n">
        <v>0</v>
      </c>
      <c r="M276" t="n">
        <v>0</v>
      </c>
      <c r="N276" t="n">
        <v>0</v>
      </c>
      <c r="O276" t="n">
        <v>0</v>
      </c>
      <c r="P276" t="n">
        <v>0</v>
      </c>
      <c r="Q276" t="n">
        <v>0</v>
      </c>
      <c r="R276" s="2" t="inlineStr"/>
    </row>
    <row r="277" ht="15" customHeight="1">
      <c r="A277" t="inlineStr">
        <is>
          <t>A 2292-2021</t>
        </is>
      </c>
      <c r="B277" s="1" t="n">
        <v>44212</v>
      </c>
      <c r="C277" s="1" t="n">
        <v>45971</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26810-2021</t>
        </is>
      </c>
      <c r="B278" s="1" t="n">
        <v>44349.55087962963</v>
      </c>
      <c r="C278" s="1" t="n">
        <v>45971</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31264-2021</t>
        </is>
      </c>
      <c r="B279" s="1" t="n">
        <v>44368</v>
      </c>
      <c r="C279" s="1" t="n">
        <v>45971</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43901-2023</t>
        </is>
      </c>
      <c r="B280" s="1" t="n">
        <v>45187</v>
      </c>
      <c r="C280" s="1" t="n">
        <v>45971</v>
      </c>
      <c r="D280" t="inlineStr">
        <is>
          <t>GOTLANDS LÄN</t>
        </is>
      </c>
      <c r="E280" t="inlineStr">
        <is>
          <t>GOTLAND</t>
        </is>
      </c>
      <c r="G280" t="n">
        <v>5.4</v>
      </c>
      <c r="H280" t="n">
        <v>0</v>
      </c>
      <c r="I280" t="n">
        <v>0</v>
      </c>
      <c r="J280" t="n">
        <v>0</v>
      </c>
      <c r="K280" t="n">
        <v>0</v>
      </c>
      <c r="L280" t="n">
        <v>0</v>
      </c>
      <c r="M280" t="n">
        <v>0</v>
      </c>
      <c r="N280" t="n">
        <v>0</v>
      </c>
      <c r="O280" t="n">
        <v>0</v>
      </c>
      <c r="P280" t="n">
        <v>0</v>
      </c>
      <c r="Q280" t="n">
        <v>0</v>
      </c>
      <c r="R280" s="2" t="inlineStr"/>
    </row>
    <row r="281" ht="15" customHeight="1">
      <c r="A281" t="inlineStr">
        <is>
          <t>A 20356-2022</t>
        </is>
      </c>
      <c r="B281" s="1" t="n">
        <v>44699</v>
      </c>
      <c r="C281" s="1" t="n">
        <v>45971</v>
      </c>
      <c r="D281" t="inlineStr">
        <is>
          <t>GOTLANDS LÄN</t>
        </is>
      </c>
      <c r="E281" t="inlineStr">
        <is>
          <t>GOTLAND</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5923-2023</t>
        </is>
      </c>
      <c r="B282" s="1" t="n">
        <v>44963.69503472222</v>
      </c>
      <c r="C282" s="1" t="n">
        <v>45971</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33853-2024</t>
        </is>
      </c>
      <c r="B283" s="1" t="n">
        <v>45520.64298611111</v>
      </c>
      <c r="C283" s="1" t="n">
        <v>45971</v>
      </c>
      <c r="D283" t="inlineStr">
        <is>
          <t>GOTLANDS LÄN</t>
        </is>
      </c>
      <c r="E283" t="inlineStr">
        <is>
          <t>GOTLAND</t>
        </is>
      </c>
      <c r="G283" t="n">
        <v>3.9</v>
      </c>
      <c r="H283" t="n">
        <v>0</v>
      </c>
      <c r="I283" t="n">
        <v>0</v>
      </c>
      <c r="J283" t="n">
        <v>0</v>
      </c>
      <c r="K283" t="n">
        <v>0</v>
      </c>
      <c r="L283" t="n">
        <v>0</v>
      </c>
      <c r="M283" t="n">
        <v>0</v>
      </c>
      <c r="N283" t="n">
        <v>0</v>
      </c>
      <c r="O283" t="n">
        <v>0</v>
      </c>
      <c r="P283" t="n">
        <v>0</v>
      </c>
      <c r="Q283" t="n">
        <v>0</v>
      </c>
      <c r="R283" s="2" t="inlineStr"/>
    </row>
    <row r="284" ht="15" customHeight="1">
      <c r="A284" t="inlineStr">
        <is>
          <t>A 18918-2025</t>
        </is>
      </c>
      <c r="B284" s="1" t="n">
        <v>45764</v>
      </c>
      <c r="C284" s="1" t="n">
        <v>45971</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10746-2025</t>
        </is>
      </c>
      <c r="B285" s="1" t="n">
        <v>45722.42766203704</v>
      </c>
      <c r="C285" s="1" t="n">
        <v>45971</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2674-2023</t>
        </is>
      </c>
      <c r="B286" s="1" t="n">
        <v>44944</v>
      </c>
      <c r="C286" s="1" t="n">
        <v>45971</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16501-2023</t>
        </is>
      </c>
      <c r="B287" s="1" t="n">
        <v>45029</v>
      </c>
      <c r="C287" s="1" t="n">
        <v>45971</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48503-2023</t>
        </is>
      </c>
      <c r="B288" s="1" t="n">
        <v>45207</v>
      </c>
      <c r="C288" s="1" t="n">
        <v>45971</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65901-2021</t>
        </is>
      </c>
      <c r="B289" s="1" t="n">
        <v>44516</v>
      </c>
      <c r="C289" s="1" t="n">
        <v>45971</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44649-2021</t>
        </is>
      </c>
      <c r="B290" s="1" t="n">
        <v>44437</v>
      </c>
      <c r="C290" s="1" t="n">
        <v>45971</v>
      </c>
      <c r="D290" t="inlineStr">
        <is>
          <t>GOTLANDS LÄN</t>
        </is>
      </c>
      <c r="E290" t="inlineStr">
        <is>
          <t>GOTLAND</t>
        </is>
      </c>
      <c r="G290" t="n">
        <v>8.1</v>
      </c>
      <c r="H290" t="n">
        <v>0</v>
      </c>
      <c r="I290" t="n">
        <v>0</v>
      </c>
      <c r="J290" t="n">
        <v>0</v>
      </c>
      <c r="K290" t="n">
        <v>0</v>
      </c>
      <c r="L290" t="n">
        <v>0</v>
      </c>
      <c r="M290" t="n">
        <v>0</v>
      </c>
      <c r="N290" t="n">
        <v>0</v>
      </c>
      <c r="O290" t="n">
        <v>0</v>
      </c>
      <c r="P290" t="n">
        <v>0</v>
      </c>
      <c r="Q290" t="n">
        <v>0</v>
      </c>
      <c r="R290" s="2" t="inlineStr"/>
    </row>
    <row r="291" ht="15" customHeight="1">
      <c r="A291" t="inlineStr">
        <is>
          <t>A 27930-2021</t>
        </is>
      </c>
      <c r="B291" s="1" t="n">
        <v>44354</v>
      </c>
      <c r="C291" s="1" t="n">
        <v>45971</v>
      </c>
      <c r="D291" t="inlineStr">
        <is>
          <t>GOTLANDS LÄN</t>
        </is>
      </c>
      <c r="E291" t="inlineStr">
        <is>
          <t>GOTLAND</t>
        </is>
      </c>
      <c r="G291" t="n">
        <v>2.5</v>
      </c>
      <c r="H291" t="n">
        <v>0</v>
      </c>
      <c r="I291" t="n">
        <v>0</v>
      </c>
      <c r="J291" t="n">
        <v>0</v>
      </c>
      <c r="K291" t="n">
        <v>0</v>
      </c>
      <c r="L291" t="n">
        <v>0</v>
      </c>
      <c r="M291" t="n">
        <v>0</v>
      </c>
      <c r="N291" t="n">
        <v>0</v>
      </c>
      <c r="O291" t="n">
        <v>0</v>
      </c>
      <c r="P291" t="n">
        <v>0</v>
      </c>
      <c r="Q291" t="n">
        <v>0</v>
      </c>
      <c r="R291" s="2" t="inlineStr"/>
    </row>
    <row r="292" ht="15" customHeight="1">
      <c r="A292" t="inlineStr">
        <is>
          <t>A 18993-2025</t>
        </is>
      </c>
      <c r="B292" s="1" t="n">
        <v>45764</v>
      </c>
      <c r="C292" s="1" t="n">
        <v>45971</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9947-2024</t>
        </is>
      </c>
      <c r="B293" s="1" t="n">
        <v>45363</v>
      </c>
      <c r="C293" s="1" t="n">
        <v>45971</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10655-2023</t>
        </is>
      </c>
      <c r="B294" s="1" t="n">
        <v>44988.49543981482</v>
      </c>
      <c r="C294" s="1" t="n">
        <v>45971</v>
      </c>
      <c r="D294" t="inlineStr">
        <is>
          <t>GOTLANDS LÄN</t>
        </is>
      </c>
      <c r="E294" t="inlineStr">
        <is>
          <t>GOTLAND</t>
        </is>
      </c>
      <c r="F294" t="inlineStr">
        <is>
          <t>Kyrkan</t>
        </is>
      </c>
      <c r="G294" t="n">
        <v>2</v>
      </c>
      <c r="H294" t="n">
        <v>0</v>
      </c>
      <c r="I294" t="n">
        <v>0</v>
      </c>
      <c r="J294" t="n">
        <v>0</v>
      </c>
      <c r="K294" t="n">
        <v>0</v>
      </c>
      <c r="L294" t="n">
        <v>0</v>
      </c>
      <c r="M294" t="n">
        <v>0</v>
      </c>
      <c r="N294" t="n">
        <v>0</v>
      </c>
      <c r="O294" t="n">
        <v>0</v>
      </c>
      <c r="P294" t="n">
        <v>0</v>
      </c>
      <c r="Q294" t="n">
        <v>0</v>
      </c>
      <c r="R294" s="2" t="inlineStr"/>
    </row>
    <row r="295" ht="15" customHeight="1">
      <c r="A295" t="inlineStr">
        <is>
          <t>A 47147-2025</t>
        </is>
      </c>
      <c r="B295" s="1" t="n">
        <v>45929.71716435185</v>
      </c>
      <c r="C295" s="1" t="n">
        <v>45971</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44304-2021</t>
        </is>
      </c>
      <c r="B296" s="1" t="n">
        <v>44434</v>
      </c>
      <c r="C296" s="1" t="n">
        <v>45971</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61962-2024</t>
        </is>
      </c>
      <c r="B297" s="1" t="n">
        <v>45653.54340277778</v>
      </c>
      <c r="C297" s="1" t="n">
        <v>45971</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2719-2023</t>
        </is>
      </c>
      <c r="B298" s="1" t="n">
        <v>44944.55361111111</v>
      </c>
      <c r="C298" s="1" t="n">
        <v>45971</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26891-2024</t>
        </is>
      </c>
      <c r="B299" s="1" t="n">
        <v>45470.65540509259</v>
      </c>
      <c r="C299" s="1" t="n">
        <v>45971</v>
      </c>
      <c r="D299" t="inlineStr">
        <is>
          <t>GOTLANDS LÄN</t>
        </is>
      </c>
      <c r="E299" t="inlineStr">
        <is>
          <t>GOTLAND</t>
        </is>
      </c>
      <c r="G299" t="n">
        <v>0.8</v>
      </c>
      <c r="H299" t="n">
        <v>0</v>
      </c>
      <c r="I299" t="n">
        <v>0</v>
      </c>
      <c r="J299" t="n">
        <v>0</v>
      </c>
      <c r="K299" t="n">
        <v>0</v>
      </c>
      <c r="L299" t="n">
        <v>0</v>
      </c>
      <c r="M299" t="n">
        <v>0</v>
      </c>
      <c r="N299" t="n">
        <v>0</v>
      </c>
      <c r="O299" t="n">
        <v>0</v>
      </c>
      <c r="P299" t="n">
        <v>0</v>
      </c>
      <c r="Q299" t="n">
        <v>0</v>
      </c>
      <c r="R299" s="2" t="inlineStr"/>
    </row>
    <row r="300" ht="15" customHeight="1">
      <c r="A300" t="inlineStr">
        <is>
          <t>A 10492-2023</t>
        </is>
      </c>
      <c r="B300" s="1" t="n">
        <v>44987</v>
      </c>
      <c r="C300" s="1" t="n">
        <v>45971</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17682-2024</t>
        </is>
      </c>
      <c r="B301" s="1" t="n">
        <v>45418.42966435185</v>
      </c>
      <c r="C301" s="1" t="n">
        <v>45971</v>
      </c>
      <c r="D301" t="inlineStr">
        <is>
          <t>GOTLANDS LÄN</t>
        </is>
      </c>
      <c r="E301" t="inlineStr">
        <is>
          <t>GOTLAND</t>
        </is>
      </c>
      <c r="G301" t="n">
        <v>2.9</v>
      </c>
      <c r="H301" t="n">
        <v>0</v>
      </c>
      <c r="I301" t="n">
        <v>0</v>
      </c>
      <c r="J301" t="n">
        <v>0</v>
      </c>
      <c r="K301" t="n">
        <v>0</v>
      </c>
      <c r="L301" t="n">
        <v>0</v>
      </c>
      <c r="M301" t="n">
        <v>0</v>
      </c>
      <c r="N301" t="n">
        <v>0</v>
      </c>
      <c r="O301" t="n">
        <v>0</v>
      </c>
      <c r="P301" t="n">
        <v>0</v>
      </c>
      <c r="Q301" t="n">
        <v>0</v>
      </c>
      <c r="R301" s="2" t="inlineStr"/>
    </row>
    <row r="302" ht="15" customHeight="1">
      <c r="A302" t="inlineStr">
        <is>
          <t>A 57522-2022</t>
        </is>
      </c>
      <c r="B302" s="1" t="n">
        <v>44896</v>
      </c>
      <c r="C302" s="1" t="n">
        <v>45971</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42007-2023</t>
        </is>
      </c>
      <c r="B303" s="1" t="n">
        <v>45177</v>
      </c>
      <c r="C303" s="1" t="n">
        <v>45971</v>
      </c>
      <c r="D303" t="inlineStr">
        <is>
          <t>GOTLANDS LÄN</t>
        </is>
      </c>
      <c r="E303" t="inlineStr">
        <is>
          <t>GOTLAND</t>
        </is>
      </c>
      <c r="G303" t="n">
        <v>0.8</v>
      </c>
      <c r="H303" t="n">
        <v>0</v>
      </c>
      <c r="I303" t="n">
        <v>0</v>
      </c>
      <c r="J303" t="n">
        <v>0</v>
      </c>
      <c r="K303" t="n">
        <v>0</v>
      </c>
      <c r="L303" t="n">
        <v>0</v>
      </c>
      <c r="M303" t="n">
        <v>0</v>
      </c>
      <c r="N303" t="n">
        <v>0</v>
      </c>
      <c r="O303" t="n">
        <v>0</v>
      </c>
      <c r="P303" t="n">
        <v>0</v>
      </c>
      <c r="Q303" t="n">
        <v>0</v>
      </c>
      <c r="R303" s="2" t="inlineStr"/>
    </row>
    <row r="304" ht="15" customHeight="1">
      <c r="A304" t="inlineStr">
        <is>
          <t>A 9887-2025</t>
        </is>
      </c>
      <c r="B304" s="1" t="n">
        <v>45716</v>
      </c>
      <c r="C304" s="1" t="n">
        <v>45971</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38165-2023</t>
        </is>
      </c>
      <c r="B305" s="1" t="n">
        <v>45161</v>
      </c>
      <c r="C305" s="1" t="n">
        <v>45971</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5909-2025</t>
        </is>
      </c>
      <c r="B306" s="1" t="n">
        <v>45695.40634259259</v>
      </c>
      <c r="C306" s="1" t="n">
        <v>45971</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27593-2023</t>
        </is>
      </c>
      <c r="B307" s="1" t="n">
        <v>45097</v>
      </c>
      <c r="C307" s="1" t="n">
        <v>45971</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10653-2023</t>
        </is>
      </c>
      <c r="B308" s="1" t="n">
        <v>44988.48859953704</v>
      </c>
      <c r="C308" s="1" t="n">
        <v>45971</v>
      </c>
      <c r="D308" t="inlineStr">
        <is>
          <t>GOTLANDS LÄN</t>
        </is>
      </c>
      <c r="E308" t="inlineStr">
        <is>
          <t>GOTLAND</t>
        </is>
      </c>
      <c r="F308" t="inlineStr">
        <is>
          <t>Kyrkan</t>
        </is>
      </c>
      <c r="G308" t="n">
        <v>3</v>
      </c>
      <c r="H308" t="n">
        <v>0</v>
      </c>
      <c r="I308" t="n">
        <v>0</v>
      </c>
      <c r="J308" t="n">
        <v>0</v>
      </c>
      <c r="K308" t="n">
        <v>0</v>
      </c>
      <c r="L308" t="n">
        <v>0</v>
      </c>
      <c r="M308" t="n">
        <v>0</v>
      </c>
      <c r="N308" t="n">
        <v>0</v>
      </c>
      <c r="O308" t="n">
        <v>0</v>
      </c>
      <c r="P308" t="n">
        <v>0</v>
      </c>
      <c r="Q308" t="n">
        <v>0</v>
      </c>
      <c r="R308" s="2" t="inlineStr"/>
    </row>
    <row r="309" ht="15" customHeight="1">
      <c r="A309" t="inlineStr">
        <is>
          <t>A 27596-2023</t>
        </is>
      </c>
      <c r="B309" s="1" t="n">
        <v>45097</v>
      </c>
      <c r="C309" s="1" t="n">
        <v>45971</v>
      </c>
      <c r="D309" t="inlineStr">
        <is>
          <t>GOTLANDS LÄN</t>
        </is>
      </c>
      <c r="E309" t="inlineStr">
        <is>
          <t>GOTLAND</t>
        </is>
      </c>
      <c r="G309" t="n">
        <v>3.6</v>
      </c>
      <c r="H309" t="n">
        <v>0</v>
      </c>
      <c r="I309" t="n">
        <v>0</v>
      </c>
      <c r="J309" t="n">
        <v>0</v>
      </c>
      <c r="K309" t="n">
        <v>0</v>
      </c>
      <c r="L309" t="n">
        <v>0</v>
      </c>
      <c r="M309" t="n">
        <v>0</v>
      </c>
      <c r="N309" t="n">
        <v>0</v>
      </c>
      <c r="O309" t="n">
        <v>0</v>
      </c>
      <c r="P309" t="n">
        <v>0</v>
      </c>
      <c r="Q309" t="n">
        <v>0</v>
      </c>
      <c r="R309" s="2" t="inlineStr"/>
    </row>
    <row r="310" ht="15" customHeight="1">
      <c r="A310" t="inlineStr">
        <is>
          <t>A 30135-2025</t>
        </is>
      </c>
      <c r="B310" s="1" t="n">
        <v>45826</v>
      </c>
      <c r="C310" s="1" t="n">
        <v>45971</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4990-2025</t>
        </is>
      </c>
      <c r="B311" s="1" t="n">
        <v>45691</v>
      </c>
      <c r="C311" s="1" t="n">
        <v>45971</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24825-2024</t>
        </is>
      </c>
      <c r="B312" s="1" t="n">
        <v>45461</v>
      </c>
      <c r="C312" s="1" t="n">
        <v>45971</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6696-2023</t>
        </is>
      </c>
      <c r="B313" s="1" t="n">
        <v>44966.66425925926</v>
      </c>
      <c r="C313" s="1" t="n">
        <v>45971</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63516-2023</t>
        </is>
      </c>
      <c r="B314" s="1" t="n">
        <v>45274</v>
      </c>
      <c r="C314" s="1" t="n">
        <v>45971</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21247-2022</t>
        </is>
      </c>
      <c r="B315" s="1" t="n">
        <v>44705.38832175926</v>
      </c>
      <c r="C315" s="1" t="n">
        <v>45971</v>
      </c>
      <c r="D315" t="inlineStr">
        <is>
          <t>GOTLANDS LÄN</t>
        </is>
      </c>
      <c r="E315" t="inlineStr">
        <is>
          <t>GOTLAND</t>
        </is>
      </c>
      <c r="G315" t="n">
        <v>16.2</v>
      </c>
      <c r="H315" t="n">
        <v>0</v>
      </c>
      <c r="I315" t="n">
        <v>0</v>
      </c>
      <c r="J315" t="n">
        <v>0</v>
      </c>
      <c r="K315" t="n">
        <v>0</v>
      </c>
      <c r="L315" t="n">
        <v>0</v>
      </c>
      <c r="M315" t="n">
        <v>0</v>
      </c>
      <c r="N315" t="n">
        <v>0</v>
      </c>
      <c r="O315" t="n">
        <v>0</v>
      </c>
      <c r="P315" t="n">
        <v>0</v>
      </c>
      <c r="Q315" t="n">
        <v>0</v>
      </c>
      <c r="R315" s="2" t="inlineStr"/>
    </row>
    <row r="316" ht="15" customHeight="1">
      <c r="A316" t="inlineStr">
        <is>
          <t>A 456-2023</t>
        </is>
      </c>
      <c r="B316" s="1" t="n">
        <v>44929.87122685185</v>
      </c>
      <c r="C316" s="1" t="n">
        <v>45971</v>
      </c>
      <c r="D316" t="inlineStr">
        <is>
          <t>GOTLANDS LÄN</t>
        </is>
      </c>
      <c r="E316" t="inlineStr">
        <is>
          <t>GOTLAND</t>
        </is>
      </c>
      <c r="G316" t="n">
        <v>3.2</v>
      </c>
      <c r="H316" t="n">
        <v>0</v>
      </c>
      <c r="I316" t="n">
        <v>0</v>
      </c>
      <c r="J316" t="n">
        <v>0</v>
      </c>
      <c r="K316" t="n">
        <v>0</v>
      </c>
      <c r="L316" t="n">
        <v>0</v>
      </c>
      <c r="M316" t="n">
        <v>0</v>
      </c>
      <c r="N316" t="n">
        <v>0</v>
      </c>
      <c r="O316" t="n">
        <v>0</v>
      </c>
      <c r="P316" t="n">
        <v>0</v>
      </c>
      <c r="Q316" t="n">
        <v>0</v>
      </c>
      <c r="R316" s="2" t="inlineStr"/>
    </row>
    <row r="317" ht="15" customHeight="1">
      <c r="A317" t="inlineStr">
        <is>
          <t>A 2714-2023</t>
        </is>
      </c>
      <c r="B317" s="1" t="n">
        <v>44944.54896990741</v>
      </c>
      <c r="C317" s="1" t="n">
        <v>45971</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43081-2022</t>
        </is>
      </c>
      <c r="B318" s="1" t="n">
        <v>44833</v>
      </c>
      <c r="C318" s="1" t="n">
        <v>45971</v>
      </c>
      <c r="D318" t="inlineStr">
        <is>
          <t>GOTLANDS LÄN</t>
        </is>
      </c>
      <c r="E318" t="inlineStr">
        <is>
          <t>GOTLAND</t>
        </is>
      </c>
      <c r="G318" t="n">
        <v>6.8</v>
      </c>
      <c r="H318" t="n">
        <v>0</v>
      </c>
      <c r="I318" t="n">
        <v>0</v>
      </c>
      <c r="J318" t="n">
        <v>0</v>
      </c>
      <c r="K318" t="n">
        <v>0</v>
      </c>
      <c r="L318" t="n">
        <v>0</v>
      </c>
      <c r="M318" t="n">
        <v>0</v>
      </c>
      <c r="N318" t="n">
        <v>0</v>
      </c>
      <c r="O318" t="n">
        <v>0</v>
      </c>
      <c r="P318" t="n">
        <v>0</v>
      </c>
      <c r="Q318" t="n">
        <v>0</v>
      </c>
      <c r="R318" s="2" t="inlineStr"/>
    </row>
    <row r="319" ht="15" customHeight="1">
      <c r="A319" t="inlineStr">
        <is>
          <t>A 24001-2021</t>
        </is>
      </c>
      <c r="B319" s="1" t="n">
        <v>44335</v>
      </c>
      <c r="C319" s="1" t="n">
        <v>45971</v>
      </c>
      <c r="D319" t="inlineStr">
        <is>
          <t>GOTLANDS LÄN</t>
        </is>
      </c>
      <c r="E319" t="inlineStr">
        <is>
          <t>GOTLAND</t>
        </is>
      </c>
      <c r="G319" t="n">
        <v>3.4</v>
      </c>
      <c r="H319" t="n">
        <v>0</v>
      </c>
      <c r="I319" t="n">
        <v>0</v>
      </c>
      <c r="J319" t="n">
        <v>0</v>
      </c>
      <c r="K319" t="n">
        <v>0</v>
      </c>
      <c r="L319" t="n">
        <v>0</v>
      </c>
      <c r="M319" t="n">
        <v>0</v>
      </c>
      <c r="N319" t="n">
        <v>0</v>
      </c>
      <c r="O319" t="n">
        <v>0</v>
      </c>
      <c r="P319" t="n">
        <v>0</v>
      </c>
      <c r="Q319" t="n">
        <v>0</v>
      </c>
      <c r="R319" s="2" t="inlineStr"/>
    </row>
    <row r="320" ht="15" customHeight="1">
      <c r="A320" t="inlineStr">
        <is>
          <t>A 32958-2021</t>
        </is>
      </c>
      <c r="B320" s="1" t="n">
        <v>44376</v>
      </c>
      <c r="C320" s="1" t="n">
        <v>45971</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4421-2024</t>
        </is>
      </c>
      <c r="B321" s="1" t="n">
        <v>45327.45173611111</v>
      </c>
      <c r="C321" s="1" t="n">
        <v>45971</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5884-2025</t>
        </is>
      </c>
      <c r="B322" s="1" t="n">
        <v>45695.37482638889</v>
      </c>
      <c r="C322" s="1" t="n">
        <v>45971</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5897-2025</t>
        </is>
      </c>
      <c r="B323" s="1" t="n">
        <v>45695.39273148148</v>
      </c>
      <c r="C323" s="1" t="n">
        <v>45971</v>
      </c>
      <c r="D323" t="inlineStr">
        <is>
          <t>GOTLANDS LÄN</t>
        </is>
      </c>
      <c r="E323" t="inlineStr">
        <is>
          <t>GOTLAND</t>
        </is>
      </c>
      <c r="G323" t="n">
        <v>3.7</v>
      </c>
      <c r="H323" t="n">
        <v>0</v>
      </c>
      <c r="I323" t="n">
        <v>0</v>
      </c>
      <c r="J323" t="n">
        <v>0</v>
      </c>
      <c r="K323" t="n">
        <v>0</v>
      </c>
      <c r="L323" t="n">
        <v>0</v>
      </c>
      <c r="M323" t="n">
        <v>0</v>
      </c>
      <c r="N323" t="n">
        <v>0</v>
      </c>
      <c r="O323" t="n">
        <v>0</v>
      </c>
      <c r="P323" t="n">
        <v>0</v>
      </c>
      <c r="Q323" t="n">
        <v>0</v>
      </c>
      <c r="R323" s="2" t="inlineStr"/>
    </row>
    <row r="324" ht="15" customHeight="1">
      <c r="A324" t="inlineStr">
        <is>
          <t>A 51782-2023</t>
        </is>
      </c>
      <c r="B324" s="1" t="n">
        <v>45222.80952546297</v>
      </c>
      <c r="C324" s="1" t="n">
        <v>45971</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54268-2022</t>
        </is>
      </c>
      <c r="B325" s="1" t="n">
        <v>44882</v>
      </c>
      <c r="C325" s="1" t="n">
        <v>45971</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49693-2023</t>
        </is>
      </c>
      <c r="B326" s="1" t="n">
        <v>45212.38138888889</v>
      </c>
      <c r="C326" s="1" t="n">
        <v>45971</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49697-2023</t>
        </is>
      </c>
      <c r="B327" s="1" t="n">
        <v>45212.38909722222</v>
      </c>
      <c r="C327" s="1" t="n">
        <v>45971</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57534-2022</t>
        </is>
      </c>
      <c r="B328" s="1" t="n">
        <v>44896</v>
      </c>
      <c r="C328" s="1" t="n">
        <v>45971</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30365-2024</t>
        </is>
      </c>
      <c r="B329" s="1" t="n">
        <v>45491.3716087963</v>
      </c>
      <c r="C329" s="1" t="n">
        <v>45971</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25866-2022</t>
        </is>
      </c>
      <c r="B330" s="1" t="n">
        <v>44733</v>
      </c>
      <c r="C330" s="1" t="n">
        <v>45971</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1681-2023</t>
        </is>
      </c>
      <c r="B331" s="1" t="n">
        <v>44938.39715277778</v>
      </c>
      <c r="C331" s="1" t="n">
        <v>45971</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17901-2023</t>
        </is>
      </c>
      <c r="B332" s="1" t="n">
        <v>45039</v>
      </c>
      <c r="C332" s="1" t="n">
        <v>45971</v>
      </c>
      <c r="D332" t="inlineStr">
        <is>
          <t>GOTLANDS LÄN</t>
        </is>
      </c>
      <c r="E332" t="inlineStr">
        <is>
          <t>GOTLAND</t>
        </is>
      </c>
      <c r="F332" t="inlineStr">
        <is>
          <t>Kyrkan</t>
        </is>
      </c>
      <c r="G332" t="n">
        <v>0.6</v>
      </c>
      <c r="H332" t="n">
        <v>0</v>
      </c>
      <c r="I332" t="n">
        <v>0</v>
      </c>
      <c r="J332" t="n">
        <v>0</v>
      </c>
      <c r="K332" t="n">
        <v>0</v>
      </c>
      <c r="L332" t="n">
        <v>0</v>
      </c>
      <c r="M332" t="n">
        <v>0</v>
      </c>
      <c r="N332" t="n">
        <v>0</v>
      </c>
      <c r="O332" t="n">
        <v>0</v>
      </c>
      <c r="P332" t="n">
        <v>0</v>
      </c>
      <c r="Q332" t="n">
        <v>0</v>
      </c>
      <c r="R332" s="2" t="inlineStr"/>
    </row>
    <row r="333" ht="15" customHeight="1">
      <c r="A333" t="inlineStr">
        <is>
          <t>A 12599-2025</t>
        </is>
      </c>
      <c r="B333" s="1" t="n">
        <v>45733.29546296296</v>
      </c>
      <c r="C333" s="1" t="n">
        <v>45971</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43229-2023</t>
        </is>
      </c>
      <c r="B334" s="1" t="n">
        <v>45183.46704861111</v>
      </c>
      <c r="C334" s="1" t="n">
        <v>45971</v>
      </c>
      <c r="D334" t="inlineStr">
        <is>
          <t>GOTLANDS LÄN</t>
        </is>
      </c>
      <c r="E334" t="inlineStr">
        <is>
          <t>GOTLAND</t>
        </is>
      </c>
      <c r="G334" t="n">
        <v>7.1</v>
      </c>
      <c r="H334" t="n">
        <v>0</v>
      </c>
      <c r="I334" t="n">
        <v>0</v>
      </c>
      <c r="J334" t="n">
        <v>0</v>
      </c>
      <c r="K334" t="n">
        <v>0</v>
      </c>
      <c r="L334" t="n">
        <v>0</v>
      </c>
      <c r="M334" t="n">
        <v>0</v>
      </c>
      <c r="N334" t="n">
        <v>0</v>
      </c>
      <c r="O334" t="n">
        <v>0</v>
      </c>
      <c r="P334" t="n">
        <v>0</v>
      </c>
      <c r="Q334" t="n">
        <v>0</v>
      </c>
      <c r="R334" s="2" t="inlineStr"/>
    </row>
    <row r="335" ht="15" customHeight="1">
      <c r="A335" t="inlineStr">
        <is>
          <t>A 1175-2025</t>
        </is>
      </c>
      <c r="B335" s="1" t="n">
        <v>45667.34449074074</v>
      </c>
      <c r="C335" s="1" t="n">
        <v>45971</v>
      </c>
      <c r="D335" t="inlineStr">
        <is>
          <t>GOTLANDS LÄN</t>
        </is>
      </c>
      <c r="E335" t="inlineStr">
        <is>
          <t>GOTLAND</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27095-2022</t>
        </is>
      </c>
      <c r="B336" s="1" t="n">
        <v>44741</v>
      </c>
      <c r="C336" s="1" t="n">
        <v>45971</v>
      </c>
      <c r="D336" t="inlineStr">
        <is>
          <t>GOTLANDS LÄN</t>
        </is>
      </c>
      <c r="E336" t="inlineStr">
        <is>
          <t>GOTLAND</t>
        </is>
      </c>
      <c r="F336" t="inlineStr">
        <is>
          <t>Övriga Aktiebolag</t>
        </is>
      </c>
      <c r="G336" t="n">
        <v>2.9</v>
      </c>
      <c r="H336" t="n">
        <v>0</v>
      </c>
      <c r="I336" t="n">
        <v>0</v>
      </c>
      <c r="J336" t="n">
        <v>0</v>
      </c>
      <c r="K336" t="n">
        <v>0</v>
      </c>
      <c r="L336" t="n">
        <v>0</v>
      </c>
      <c r="M336" t="n">
        <v>0</v>
      </c>
      <c r="N336" t="n">
        <v>0</v>
      </c>
      <c r="O336" t="n">
        <v>0</v>
      </c>
      <c r="P336" t="n">
        <v>0</v>
      </c>
      <c r="Q336" t="n">
        <v>0</v>
      </c>
      <c r="R336" s="2" t="inlineStr"/>
    </row>
    <row r="337" ht="15" customHeight="1">
      <c r="A337" t="inlineStr">
        <is>
          <t>A 22899-2023</t>
        </is>
      </c>
      <c r="B337" s="1" t="n">
        <v>45072</v>
      </c>
      <c r="C337" s="1" t="n">
        <v>45971</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23978-2023</t>
        </is>
      </c>
      <c r="B338" s="1" t="n">
        <v>45078</v>
      </c>
      <c r="C338" s="1" t="n">
        <v>45971</v>
      </c>
      <c r="D338" t="inlineStr">
        <is>
          <t>GOTLANDS LÄN</t>
        </is>
      </c>
      <c r="E338" t="inlineStr">
        <is>
          <t>GOTLAND</t>
        </is>
      </c>
      <c r="F338" t="inlineStr">
        <is>
          <t>Naturvårdsverket</t>
        </is>
      </c>
      <c r="G338" t="n">
        <v>1.7</v>
      </c>
      <c r="H338" t="n">
        <v>0</v>
      </c>
      <c r="I338" t="n">
        <v>0</v>
      </c>
      <c r="J338" t="n">
        <v>0</v>
      </c>
      <c r="K338" t="n">
        <v>0</v>
      </c>
      <c r="L338" t="n">
        <v>0</v>
      </c>
      <c r="M338" t="n">
        <v>0</v>
      </c>
      <c r="N338" t="n">
        <v>0</v>
      </c>
      <c r="O338" t="n">
        <v>0</v>
      </c>
      <c r="P338" t="n">
        <v>0</v>
      </c>
      <c r="Q338" t="n">
        <v>0</v>
      </c>
      <c r="R338" s="2" t="inlineStr"/>
    </row>
    <row r="339" ht="15" customHeight="1">
      <c r="A339" t="inlineStr">
        <is>
          <t>A 52892-2021</t>
        </is>
      </c>
      <c r="B339" s="1" t="n">
        <v>44467.49048611111</v>
      </c>
      <c r="C339" s="1" t="n">
        <v>45971</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6099-2024</t>
        </is>
      </c>
      <c r="B340" s="1" t="n">
        <v>45337</v>
      </c>
      <c r="C340" s="1" t="n">
        <v>45971</v>
      </c>
      <c r="D340" t="inlineStr">
        <is>
          <t>GOTLANDS LÄN</t>
        </is>
      </c>
      <c r="E340" t="inlineStr">
        <is>
          <t>GOTLAND</t>
        </is>
      </c>
      <c r="G340" t="n">
        <v>12.6</v>
      </c>
      <c r="H340" t="n">
        <v>0</v>
      </c>
      <c r="I340" t="n">
        <v>0</v>
      </c>
      <c r="J340" t="n">
        <v>0</v>
      </c>
      <c r="K340" t="n">
        <v>0</v>
      </c>
      <c r="L340" t="n">
        <v>0</v>
      </c>
      <c r="M340" t="n">
        <v>0</v>
      </c>
      <c r="N340" t="n">
        <v>0</v>
      </c>
      <c r="O340" t="n">
        <v>0</v>
      </c>
      <c r="P340" t="n">
        <v>0</v>
      </c>
      <c r="Q340" t="n">
        <v>0</v>
      </c>
      <c r="R340" s="2" t="inlineStr"/>
    </row>
    <row r="341" ht="15" customHeight="1">
      <c r="A341" t="inlineStr">
        <is>
          <t>A 34407-2023</t>
        </is>
      </c>
      <c r="B341" s="1" t="n">
        <v>45132</v>
      </c>
      <c r="C341" s="1" t="n">
        <v>45971</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11013-2024</t>
        </is>
      </c>
      <c r="B342" s="1" t="n">
        <v>45370</v>
      </c>
      <c r="C342" s="1" t="n">
        <v>45971</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27694-2024</t>
        </is>
      </c>
      <c r="B343" s="1" t="n">
        <v>45475</v>
      </c>
      <c r="C343" s="1" t="n">
        <v>45971</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1273-2023</t>
        </is>
      </c>
      <c r="B344" s="1" t="n">
        <v>44936</v>
      </c>
      <c r="C344" s="1" t="n">
        <v>45971</v>
      </c>
      <c r="D344" t="inlineStr">
        <is>
          <t>GOTLANDS LÄN</t>
        </is>
      </c>
      <c r="E344" t="inlineStr">
        <is>
          <t>GOTLAND</t>
        </is>
      </c>
      <c r="G344" t="n">
        <v>4.5</v>
      </c>
      <c r="H344" t="n">
        <v>0</v>
      </c>
      <c r="I344" t="n">
        <v>0</v>
      </c>
      <c r="J344" t="n">
        <v>0</v>
      </c>
      <c r="K344" t="n">
        <v>0</v>
      </c>
      <c r="L344" t="n">
        <v>0</v>
      </c>
      <c r="M344" t="n">
        <v>0</v>
      </c>
      <c r="N344" t="n">
        <v>0</v>
      </c>
      <c r="O344" t="n">
        <v>0</v>
      </c>
      <c r="P344" t="n">
        <v>0</v>
      </c>
      <c r="Q344" t="n">
        <v>0</v>
      </c>
      <c r="R344" s="2" t="inlineStr"/>
    </row>
    <row r="345" ht="15" customHeight="1">
      <c r="A345" t="inlineStr">
        <is>
          <t>A 15083-2025</t>
        </is>
      </c>
      <c r="B345" s="1" t="n">
        <v>45743</v>
      </c>
      <c r="C345" s="1" t="n">
        <v>45971</v>
      </c>
      <c r="D345" t="inlineStr">
        <is>
          <t>GOTLANDS LÄN</t>
        </is>
      </c>
      <c r="E345" t="inlineStr">
        <is>
          <t>GOTLAND</t>
        </is>
      </c>
      <c r="G345" t="n">
        <v>2.3</v>
      </c>
      <c r="H345" t="n">
        <v>0</v>
      </c>
      <c r="I345" t="n">
        <v>0</v>
      </c>
      <c r="J345" t="n">
        <v>0</v>
      </c>
      <c r="K345" t="n">
        <v>0</v>
      </c>
      <c r="L345" t="n">
        <v>0</v>
      </c>
      <c r="M345" t="n">
        <v>0</v>
      </c>
      <c r="N345" t="n">
        <v>0</v>
      </c>
      <c r="O345" t="n">
        <v>0</v>
      </c>
      <c r="P345" t="n">
        <v>0</v>
      </c>
      <c r="Q345" t="n">
        <v>0</v>
      </c>
      <c r="R345" s="2" t="inlineStr"/>
    </row>
    <row r="346" ht="15" customHeight="1">
      <c r="A346" t="inlineStr">
        <is>
          <t>A 46396-2023</t>
        </is>
      </c>
      <c r="B346" s="1" t="n">
        <v>45197</v>
      </c>
      <c r="C346" s="1" t="n">
        <v>45971</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13037-2025</t>
        </is>
      </c>
      <c r="B347" s="1" t="n">
        <v>45734</v>
      </c>
      <c r="C347" s="1" t="n">
        <v>45971</v>
      </c>
      <c r="D347" t="inlineStr">
        <is>
          <t>GOTLANDS LÄN</t>
        </is>
      </c>
      <c r="E347" t="inlineStr">
        <is>
          <t>GOTLAND</t>
        </is>
      </c>
      <c r="G347" t="n">
        <v>9.5</v>
      </c>
      <c r="H347" t="n">
        <v>0</v>
      </c>
      <c r="I347" t="n">
        <v>0</v>
      </c>
      <c r="J347" t="n">
        <v>0</v>
      </c>
      <c r="K347" t="n">
        <v>0</v>
      </c>
      <c r="L347" t="n">
        <v>0</v>
      </c>
      <c r="M347" t="n">
        <v>0</v>
      </c>
      <c r="N347" t="n">
        <v>0</v>
      </c>
      <c r="O347" t="n">
        <v>0</v>
      </c>
      <c r="P347" t="n">
        <v>0</v>
      </c>
      <c r="Q347" t="n">
        <v>0</v>
      </c>
      <c r="R347" s="2" t="inlineStr"/>
    </row>
    <row r="348" ht="15" customHeight="1">
      <c r="A348" t="inlineStr">
        <is>
          <t>A 58780-2024</t>
        </is>
      </c>
      <c r="B348" s="1" t="n">
        <v>45635.84113425926</v>
      </c>
      <c r="C348" s="1" t="n">
        <v>45971</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458-2023</t>
        </is>
      </c>
      <c r="B349" s="1" t="n">
        <v>44929</v>
      </c>
      <c r="C349" s="1" t="n">
        <v>45971</v>
      </c>
      <c r="D349" t="inlineStr">
        <is>
          <t>GOTLANDS LÄN</t>
        </is>
      </c>
      <c r="E349" t="inlineStr">
        <is>
          <t>GOTLAND</t>
        </is>
      </c>
      <c r="G349" t="n">
        <v>3.6</v>
      </c>
      <c r="H349" t="n">
        <v>0</v>
      </c>
      <c r="I349" t="n">
        <v>0</v>
      </c>
      <c r="J349" t="n">
        <v>0</v>
      </c>
      <c r="K349" t="n">
        <v>0</v>
      </c>
      <c r="L349" t="n">
        <v>0</v>
      </c>
      <c r="M349" t="n">
        <v>0</v>
      </c>
      <c r="N349" t="n">
        <v>0</v>
      </c>
      <c r="O349" t="n">
        <v>0</v>
      </c>
      <c r="P349" t="n">
        <v>0</v>
      </c>
      <c r="Q349" t="n">
        <v>0</v>
      </c>
      <c r="R349" s="2" t="inlineStr"/>
    </row>
    <row r="350" ht="15" customHeight="1">
      <c r="A350" t="inlineStr">
        <is>
          <t>A 45692-2023</t>
        </is>
      </c>
      <c r="B350" s="1" t="n">
        <v>45195</v>
      </c>
      <c r="C350" s="1" t="n">
        <v>45971</v>
      </c>
      <c r="D350" t="inlineStr">
        <is>
          <t>GOTLANDS LÄN</t>
        </is>
      </c>
      <c r="E350" t="inlineStr">
        <is>
          <t>GOTLAND</t>
        </is>
      </c>
      <c r="G350" t="n">
        <v>5.3</v>
      </c>
      <c r="H350" t="n">
        <v>0</v>
      </c>
      <c r="I350" t="n">
        <v>0</v>
      </c>
      <c r="J350" t="n">
        <v>0</v>
      </c>
      <c r="K350" t="n">
        <v>0</v>
      </c>
      <c r="L350" t="n">
        <v>0</v>
      </c>
      <c r="M350" t="n">
        <v>0</v>
      </c>
      <c r="N350" t="n">
        <v>0</v>
      </c>
      <c r="O350" t="n">
        <v>0</v>
      </c>
      <c r="P350" t="n">
        <v>0</v>
      </c>
      <c r="Q350" t="n">
        <v>0</v>
      </c>
      <c r="R350" s="2" t="inlineStr"/>
    </row>
    <row r="351" ht="15" customHeight="1">
      <c r="A351" t="inlineStr">
        <is>
          <t>A 33876-2024</t>
        </is>
      </c>
      <c r="B351" s="1" t="n">
        <v>45521.87988425926</v>
      </c>
      <c r="C351" s="1" t="n">
        <v>45971</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35141-2025</t>
        </is>
      </c>
      <c r="B352" s="1" t="n">
        <v>45852.65206018519</v>
      </c>
      <c r="C352" s="1" t="n">
        <v>45971</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17724-2024</t>
        </is>
      </c>
      <c r="B353" s="1" t="n">
        <v>45418.55096064815</v>
      </c>
      <c r="C353" s="1" t="n">
        <v>45971</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34312-2024</t>
        </is>
      </c>
      <c r="B354" s="1" t="n">
        <v>45524.69703703704</v>
      </c>
      <c r="C354" s="1" t="n">
        <v>45971</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44228-2022</t>
        </is>
      </c>
      <c r="B355" s="1" t="n">
        <v>44839.51599537037</v>
      </c>
      <c r="C355" s="1" t="n">
        <v>45971</v>
      </c>
      <c r="D355" t="inlineStr">
        <is>
          <t>GOTLANDS LÄN</t>
        </is>
      </c>
      <c r="E355" t="inlineStr">
        <is>
          <t>GOTLAND</t>
        </is>
      </c>
      <c r="G355" t="n">
        <v>2.1</v>
      </c>
      <c r="H355" t="n">
        <v>0</v>
      </c>
      <c r="I355" t="n">
        <v>0</v>
      </c>
      <c r="J355" t="n">
        <v>0</v>
      </c>
      <c r="K355" t="n">
        <v>0</v>
      </c>
      <c r="L355" t="n">
        <v>0</v>
      </c>
      <c r="M355" t="n">
        <v>0</v>
      </c>
      <c r="N355" t="n">
        <v>0</v>
      </c>
      <c r="O355" t="n">
        <v>0</v>
      </c>
      <c r="P355" t="n">
        <v>0</v>
      </c>
      <c r="Q355" t="n">
        <v>0</v>
      </c>
      <c r="R355" s="2" t="inlineStr"/>
    </row>
    <row r="356" ht="15" customHeight="1">
      <c r="A356" t="inlineStr">
        <is>
          <t>A 46836-2025</t>
        </is>
      </c>
      <c r="B356" s="1" t="n">
        <v>45928.31511574074</v>
      </c>
      <c r="C356" s="1" t="n">
        <v>45971</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58132-2023</t>
        </is>
      </c>
      <c r="B357" s="1" t="n">
        <v>45250</v>
      </c>
      <c r="C357" s="1" t="n">
        <v>45971</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35142-2025</t>
        </is>
      </c>
      <c r="B358" s="1" t="n">
        <v>45852.65532407408</v>
      </c>
      <c r="C358" s="1" t="n">
        <v>45971</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28285-2024</t>
        </is>
      </c>
      <c r="B359" s="1" t="n">
        <v>45477</v>
      </c>
      <c r="C359" s="1" t="n">
        <v>45971</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61100-2022</t>
        </is>
      </c>
      <c r="B360" s="1" t="n">
        <v>44915</v>
      </c>
      <c r="C360" s="1" t="n">
        <v>45971</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61682-2024</t>
        </is>
      </c>
      <c r="B361" s="1" t="n">
        <v>45647.48824074074</v>
      </c>
      <c r="C361" s="1" t="n">
        <v>45971</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49884-2023</t>
        </is>
      </c>
      <c r="B362" s="1" t="n">
        <v>45213</v>
      </c>
      <c r="C362" s="1" t="n">
        <v>45971</v>
      </c>
      <c r="D362" t="inlineStr">
        <is>
          <t>GOTLANDS LÄN</t>
        </is>
      </c>
      <c r="E362" t="inlineStr">
        <is>
          <t>GOTLAND</t>
        </is>
      </c>
      <c r="G362" t="n">
        <v>8.9</v>
      </c>
      <c r="H362" t="n">
        <v>0</v>
      </c>
      <c r="I362" t="n">
        <v>0</v>
      </c>
      <c r="J362" t="n">
        <v>0</v>
      </c>
      <c r="K362" t="n">
        <v>0</v>
      </c>
      <c r="L362" t="n">
        <v>0</v>
      </c>
      <c r="M362" t="n">
        <v>0</v>
      </c>
      <c r="N362" t="n">
        <v>0</v>
      </c>
      <c r="O362" t="n">
        <v>0</v>
      </c>
      <c r="P362" t="n">
        <v>0</v>
      </c>
      <c r="Q362" t="n">
        <v>0</v>
      </c>
      <c r="R362" s="2" t="inlineStr"/>
    </row>
    <row r="363" ht="15" customHeight="1">
      <c r="A363" t="inlineStr">
        <is>
          <t>A 69112-2021</t>
        </is>
      </c>
      <c r="B363" s="1" t="n">
        <v>44530</v>
      </c>
      <c r="C363" s="1" t="n">
        <v>45971</v>
      </c>
      <c r="D363" t="inlineStr">
        <is>
          <t>GOTLANDS LÄN</t>
        </is>
      </c>
      <c r="E363" t="inlineStr">
        <is>
          <t>GOTLAND</t>
        </is>
      </c>
      <c r="G363" t="n">
        <v>4.2</v>
      </c>
      <c r="H363" t="n">
        <v>0</v>
      </c>
      <c r="I363" t="n">
        <v>0</v>
      </c>
      <c r="J363" t="n">
        <v>0</v>
      </c>
      <c r="K363" t="n">
        <v>0</v>
      </c>
      <c r="L363" t="n">
        <v>0</v>
      </c>
      <c r="M363" t="n">
        <v>0</v>
      </c>
      <c r="N363" t="n">
        <v>0</v>
      </c>
      <c r="O363" t="n">
        <v>0</v>
      </c>
      <c r="P363" t="n">
        <v>0</v>
      </c>
      <c r="Q363" t="n">
        <v>0</v>
      </c>
      <c r="R363" s="2" t="inlineStr"/>
    </row>
    <row r="364" ht="15" customHeight="1">
      <c r="A364" t="inlineStr">
        <is>
          <t>A 7638-2025</t>
        </is>
      </c>
      <c r="B364" s="1" t="n">
        <v>45705.77306712963</v>
      </c>
      <c r="C364" s="1" t="n">
        <v>45971</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876-2024</t>
        </is>
      </c>
      <c r="B365" s="1" t="n">
        <v>45301</v>
      </c>
      <c r="C365" s="1" t="n">
        <v>45971</v>
      </c>
      <c r="D365" t="inlineStr">
        <is>
          <t>GOTLANDS LÄN</t>
        </is>
      </c>
      <c r="E365" t="inlineStr">
        <is>
          <t>GOTLAND</t>
        </is>
      </c>
      <c r="G365" t="n">
        <v>5.3</v>
      </c>
      <c r="H365" t="n">
        <v>0</v>
      </c>
      <c r="I365" t="n">
        <v>0</v>
      </c>
      <c r="J365" t="n">
        <v>0</v>
      </c>
      <c r="K365" t="n">
        <v>0</v>
      </c>
      <c r="L365" t="n">
        <v>0</v>
      </c>
      <c r="M365" t="n">
        <v>0</v>
      </c>
      <c r="N365" t="n">
        <v>0</v>
      </c>
      <c r="O365" t="n">
        <v>0</v>
      </c>
      <c r="P365" t="n">
        <v>0</v>
      </c>
      <c r="Q365" t="n">
        <v>0</v>
      </c>
      <c r="R365" s="2" t="inlineStr"/>
    </row>
    <row r="366" ht="15" customHeight="1">
      <c r="A366" t="inlineStr">
        <is>
          <t>A 50482-2024</t>
        </is>
      </c>
      <c r="B366" s="1" t="n">
        <v>45601.48114583334</v>
      </c>
      <c r="C366" s="1" t="n">
        <v>45971</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1394-2023</t>
        </is>
      </c>
      <c r="B367" s="1" t="n">
        <v>44936.72997685185</v>
      </c>
      <c r="C367" s="1" t="n">
        <v>45971</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58388-2022</t>
        </is>
      </c>
      <c r="B368" s="1" t="n">
        <v>44894</v>
      </c>
      <c r="C368" s="1" t="n">
        <v>45971</v>
      </c>
      <c r="D368" t="inlineStr">
        <is>
          <t>GOTLANDS LÄN</t>
        </is>
      </c>
      <c r="E368" t="inlineStr">
        <is>
          <t>GOTLAND</t>
        </is>
      </c>
      <c r="F368" t="inlineStr">
        <is>
          <t>Övriga statliga verk och myndigheter</t>
        </is>
      </c>
      <c r="G368" t="n">
        <v>3.1</v>
      </c>
      <c r="H368" t="n">
        <v>0</v>
      </c>
      <c r="I368" t="n">
        <v>0</v>
      </c>
      <c r="J368" t="n">
        <v>0</v>
      </c>
      <c r="K368" t="n">
        <v>0</v>
      </c>
      <c r="L368" t="n">
        <v>0</v>
      </c>
      <c r="M368" t="n">
        <v>0</v>
      </c>
      <c r="N368" t="n">
        <v>0</v>
      </c>
      <c r="O368" t="n">
        <v>0</v>
      </c>
      <c r="P368" t="n">
        <v>0</v>
      </c>
      <c r="Q368" t="n">
        <v>0</v>
      </c>
      <c r="R368" s="2" t="inlineStr"/>
    </row>
    <row r="369" ht="15" customHeight="1">
      <c r="A369" t="inlineStr">
        <is>
          <t>A 22704-2023</t>
        </is>
      </c>
      <c r="B369" s="1" t="n">
        <v>45071</v>
      </c>
      <c r="C369" s="1" t="n">
        <v>45971</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21792-2024</t>
        </is>
      </c>
      <c r="B370" s="1" t="n">
        <v>45442.64326388889</v>
      </c>
      <c r="C370" s="1" t="n">
        <v>45971</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58230-2024</t>
        </is>
      </c>
      <c r="B371" s="1" t="n">
        <v>45632.51625</v>
      </c>
      <c r="C371" s="1" t="n">
        <v>45971</v>
      </c>
      <c r="D371" t="inlineStr">
        <is>
          <t>GOTLANDS LÄN</t>
        </is>
      </c>
      <c r="E371" t="inlineStr">
        <is>
          <t>GOTLAND</t>
        </is>
      </c>
      <c r="G371" t="n">
        <v>7.3</v>
      </c>
      <c r="H371" t="n">
        <v>0</v>
      </c>
      <c r="I371" t="n">
        <v>0</v>
      </c>
      <c r="J371" t="n">
        <v>0</v>
      </c>
      <c r="K371" t="n">
        <v>0</v>
      </c>
      <c r="L371" t="n">
        <v>0</v>
      </c>
      <c r="M371" t="n">
        <v>0</v>
      </c>
      <c r="N371" t="n">
        <v>0</v>
      </c>
      <c r="O371" t="n">
        <v>0</v>
      </c>
      <c r="P371" t="n">
        <v>0</v>
      </c>
      <c r="Q371" t="n">
        <v>0</v>
      </c>
      <c r="R371" s="2" t="inlineStr"/>
    </row>
    <row r="372" ht="15" customHeight="1">
      <c r="A372" t="inlineStr">
        <is>
          <t>A 28425-2023</t>
        </is>
      </c>
      <c r="B372" s="1" t="n">
        <v>45102</v>
      </c>
      <c r="C372" s="1" t="n">
        <v>45971</v>
      </c>
      <c r="D372" t="inlineStr">
        <is>
          <t>GOTLANDS LÄN</t>
        </is>
      </c>
      <c r="E372" t="inlineStr">
        <is>
          <t>GOTLAND</t>
        </is>
      </c>
      <c r="G372" t="n">
        <v>0.5</v>
      </c>
      <c r="H372" t="n">
        <v>0</v>
      </c>
      <c r="I372" t="n">
        <v>0</v>
      </c>
      <c r="J372" t="n">
        <v>0</v>
      </c>
      <c r="K372" t="n">
        <v>0</v>
      </c>
      <c r="L372" t="n">
        <v>0</v>
      </c>
      <c r="M372" t="n">
        <v>0</v>
      </c>
      <c r="N372" t="n">
        <v>0</v>
      </c>
      <c r="O372" t="n">
        <v>0</v>
      </c>
      <c r="P372" t="n">
        <v>0</v>
      </c>
      <c r="Q372" t="n">
        <v>0</v>
      </c>
      <c r="R372" s="2" t="inlineStr"/>
    </row>
    <row r="373" ht="15" customHeight="1">
      <c r="A373" t="inlineStr">
        <is>
          <t>A 1462-2025</t>
        </is>
      </c>
      <c r="B373" s="1" t="n">
        <v>45670.36319444444</v>
      </c>
      <c r="C373" s="1" t="n">
        <v>45971</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58476-2022</t>
        </is>
      </c>
      <c r="B374" s="1" t="n">
        <v>44902</v>
      </c>
      <c r="C374" s="1" t="n">
        <v>45971</v>
      </c>
      <c r="D374" t="inlineStr">
        <is>
          <t>GOTLANDS LÄN</t>
        </is>
      </c>
      <c r="E374" t="inlineStr">
        <is>
          <t>GOTLAND</t>
        </is>
      </c>
      <c r="G374" t="n">
        <v>0.9</v>
      </c>
      <c r="H374" t="n">
        <v>0</v>
      </c>
      <c r="I374" t="n">
        <v>0</v>
      </c>
      <c r="J374" t="n">
        <v>0</v>
      </c>
      <c r="K374" t="n">
        <v>0</v>
      </c>
      <c r="L374" t="n">
        <v>0</v>
      </c>
      <c r="M374" t="n">
        <v>0</v>
      </c>
      <c r="N374" t="n">
        <v>0</v>
      </c>
      <c r="O374" t="n">
        <v>0</v>
      </c>
      <c r="P374" t="n">
        <v>0</v>
      </c>
      <c r="Q374" t="n">
        <v>0</v>
      </c>
      <c r="R374" s="2" t="inlineStr"/>
    </row>
    <row r="375" ht="15" customHeight="1">
      <c r="A375" t="inlineStr">
        <is>
          <t>A 43200-2023</t>
        </is>
      </c>
      <c r="B375" s="1" t="n">
        <v>45183</v>
      </c>
      <c r="C375" s="1" t="n">
        <v>45971</v>
      </c>
      <c r="D375" t="inlineStr">
        <is>
          <t>GOTLANDS LÄN</t>
        </is>
      </c>
      <c r="E375" t="inlineStr">
        <is>
          <t>GOTLAND</t>
        </is>
      </c>
      <c r="G375" t="n">
        <v>0.5</v>
      </c>
      <c r="H375" t="n">
        <v>0</v>
      </c>
      <c r="I375" t="n">
        <v>0</v>
      </c>
      <c r="J375" t="n">
        <v>0</v>
      </c>
      <c r="K375" t="n">
        <v>0</v>
      </c>
      <c r="L375" t="n">
        <v>0</v>
      </c>
      <c r="M375" t="n">
        <v>0</v>
      </c>
      <c r="N375" t="n">
        <v>0</v>
      </c>
      <c r="O375" t="n">
        <v>0</v>
      </c>
      <c r="P375" t="n">
        <v>0</v>
      </c>
      <c r="Q375" t="n">
        <v>0</v>
      </c>
      <c r="R375" s="2" t="inlineStr"/>
    </row>
    <row r="376" ht="15" customHeight="1">
      <c r="A376" t="inlineStr">
        <is>
          <t>A 43223-2023</t>
        </is>
      </c>
      <c r="B376" s="1" t="n">
        <v>45183.45642361111</v>
      </c>
      <c r="C376" s="1" t="n">
        <v>45971</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25129-2023</t>
        </is>
      </c>
      <c r="B377" s="1" t="n">
        <v>45086.44261574074</v>
      </c>
      <c r="C377" s="1" t="n">
        <v>45971</v>
      </c>
      <c r="D377" t="inlineStr">
        <is>
          <t>GOTLANDS LÄN</t>
        </is>
      </c>
      <c r="E377" t="inlineStr">
        <is>
          <t>GOTLAND</t>
        </is>
      </c>
      <c r="G377" t="n">
        <v>1.5</v>
      </c>
      <c r="H377" t="n">
        <v>0</v>
      </c>
      <c r="I377" t="n">
        <v>0</v>
      </c>
      <c r="J377" t="n">
        <v>0</v>
      </c>
      <c r="K377" t="n">
        <v>0</v>
      </c>
      <c r="L377" t="n">
        <v>0</v>
      </c>
      <c r="M377" t="n">
        <v>0</v>
      </c>
      <c r="N377" t="n">
        <v>0</v>
      </c>
      <c r="O377" t="n">
        <v>0</v>
      </c>
      <c r="P377" t="n">
        <v>0</v>
      </c>
      <c r="Q377" t="n">
        <v>0</v>
      </c>
      <c r="R377" s="2" t="inlineStr"/>
    </row>
    <row r="378" ht="15" customHeight="1">
      <c r="A378" t="inlineStr">
        <is>
          <t>A 24192-2023</t>
        </is>
      </c>
      <c r="B378" s="1" t="n">
        <v>45079</v>
      </c>
      <c r="C378" s="1" t="n">
        <v>45971</v>
      </c>
      <c r="D378" t="inlineStr">
        <is>
          <t>GOTLANDS LÄN</t>
        </is>
      </c>
      <c r="E378" t="inlineStr">
        <is>
          <t>GOTLAND</t>
        </is>
      </c>
      <c r="G378" t="n">
        <v>2.1</v>
      </c>
      <c r="H378" t="n">
        <v>0</v>
      </c>
      <c r="I378" t="n">
        <v>0</v>
      </c>
      <c r="J378" t="n">
        <v>0</v>
      </c>
      <c r="K378" t="n">
        <v>0</v>
      </c>
      <c r="L378" t="n">
        <v>0</v>
      </c>
      <c r="M378" t="n">
        <v>0</v>
      </c>
      <c r="N378" t="n">
        <v>0</v>
      </c>
      <c r="O378" t="n">
        <v>0</v>
      </c>
      <c r="P378" t="n">
        <v>0</v>
      </c>
      <c r="Q378" t="n">
        <v>0</v>
      </c>
      <c r="R378" s="2" t="inlineStr"/>
    </row>
    <row r="379" ht="15" customHeight="1">
      <c r="A379" t="inlineStr">
        <is>
          <t>A 12327-2025</t>
        </is>
      </c>
      <c r="B379" s="1" t="n">
        <v>45730</v>
      </c>
      <c r="C379" s="1" t="n">
        <v>45971</v>
      </c>
      <c r="D379" t="inlineStr">
        <is>
          <t>GOTLANDS LÄN</t>
        </is>
      </c>
      <c r="E379" t="inlineStr">
        <is>
          <t>GOTLAND</t>
        </is>
      </c>
      <c r="G379" t="n">
        <v>1.8</v>
      </c>
      <c r="H379" t="n">
        <v>0</v>
      </c>
      <c r="I379" t="n">
        <v>0</v>
      </c>
      <c r="J379" t="n">
        <v>0</v>
      </c>
      <c r="K379" t="n">
        <v>0</v>
      </c>
      <c r="L379" t="n">
        <v>0</v>
      </c>
      <c r="M379" t="n">
        <v>0</v>
      </c>
      <c r="N379" t="n">
        <v>0</v>
      </c>
      <c r="O379" t="n">
        <v>0</v>
      </c>
      <c r="P379" t="n">
        <v>0</v>
      </c>
      <c r="Q379" t="n">
        <v>0</v>
      </c>
      <c r="R379" s="2" t="inlineStr"/>
    </row>
    <row r="380" ht="15" customHeight="1">
      <c r="A380" t="inlineStr">
        <is>
          <t>A 3431-2025</t>
        </is>
      </c>
      <c r="B380" s="1" t="n">
        <v>45680.42935185185</v>
      </c>
      <c r="C380" s="1" t="n">
        <v>45971</v>
      </c>
      <c r="D380" t="inlineStr">
        <is>
          <t>GOTLANDS LÄN</t>
        </is>
      </c>
      <c r="E380" t="inlineStr">
        <is>
          <t>GOTLAND</t>
        </is>
      </c>
      <c r="G380" t="n">
        <v>4.8</v>
      </c>
      <c r="H380" t="n">
        <v>0</v>
      </c>
      <c r="I380" t="n">
        <v>0</v>
      </c>
      <c r="J380" t="n">
        <v>0</v>
      </c>
      <c r="K380" t="n">
        <v>0</v>
      </c>
      <c r="L380" t="n">
        <v>0</v>
      </c>
      <c r="M380" t="n">
        <v>0</v>
      </c>
      <c r="N380" t="n">
        <v>0</v>
      </c>
      <c r="O380" t="n">
        <v>0</v>
      </c>
      <c r="P380" t="n">
        <v>0</v>
      </c>
      <c r="Q380" t="n">
        <v>0</v>
      </c>
      <c r="R380" s="2" t="inlineStr"/>
    </row>
    <row r="381" ht="15" customHeight="1">
      <c r="A381" t="inlineStr">
        <is>
          <t>A 17688-2024</t>
        </is>
      </c>
      <c r="B381" s="1" t="n">
        <v>45418.43575231481</v>
      </c>
      <c r="C381" s="1" t="n">
        <v>45971</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12209-2024</t>
        </is>
      </c>
      <c r="B382" s="1" t="n">
        <v>45378</v>
      </c>
      <c r="C382" s="1" t="n">
        <v>45971</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12210-2024</t>
        </is>
      </c>
      <c r="B383" s="1" t="n">
        <v>45378</v>
      </c>
      <c r="C383" s="1" t="n">
        <v>45971</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7837-2024</t>
        </is>
      </c>
      <c r="B384" s="1" t="n">
        <v>45349.83787037037</v>
      </c>
      <c r="C384" s="1" t="n">
        <v>45971</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1364-2025</t>
        </is>
      </c>
      <c r="B385" s="1" t="n">
        <v>45667.63929398148</v>
      </c>
      <c r="C385" s="1" t="n">
        <v>45971</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15042-2025</t>
        </is>
      </c>
      <c r="B386" s="1" t="n">
        <v>45743</v>
      </c>
      <c r="C386" s="1" t="n">
        <v>45971</v>
      </c>
      <c r="D386" t="inlineStr">
        <is>
          <t>GOTLANDS LÄN</t>
        </is>
      </c>
      <c r="E386" t="inlineStr">
        <is>
          <t>GOTLAND</t>
        </is>
      </c>
      <c r="G386" t="n">
        <v>8.5</v>
      </c>
      <c r="H386" t="n">
        <v>0</v>
      </c>
      <c r="I386" t="n">
        <v>0</v>
      </c>
      <c r="J386" t="n">
        <v>0</v>
      </c>
      <c r="K386" t="n">
        <v>0</v>
      </c>
      <c r="L386" t="n">
        <v>0</v>
      </c>
      <c r="M386" t="n">
        <v>0</v>
      </c>
      <c r="N386" t="n">
        <v>0</v>
      </c>
      <c r="O386" t="n">
        <v>0</v>
      </c>
      <c r="P386" t="n">
        <v>0</v>
      </c>
      <c r="Q386" t="n">
        <v>0</v>
      </c>
      <c r="R386" s="2" t="inlineStr"/>
    </row>
    <row r="387" ht="15" customHeight="1">
      <c r="A387" t="inlineStr">
        <is>
          <t>A 5386-2023</t>
        </is>
      </c>
      <c r="B387" s="1" t="n">
        <v>44959</v>
      </c>
      <c r="C387" s="1" t="n">
        <v>45971</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47637-2025</t>
        </is>
      </c>
      <c r="B388" s="1" t="n">
        <v>45931.49753472222</v>
      </c>
      <c r="C388" s="1" t="n">
        <v>45971</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7026-2023</t>
        </is>
      </c>
      <c r="B389" s="1" t="n">
        <v>44968.30340277778</v>
      </c>
      <c r="C389" s="1" t="n">
        <v>45971</v>
      </c>
      <c r="D389" t="inlineStr">
        <is>
          <t>GOTLANDS LÄN</t>
        </is>
      </c>
      <c r="E389" t="inlineStr">
        <is>
          <t>GOTLAND</t>
        </is>
      </c>
      <c r="G389" t="n">
        <v>2.9</v>
      </c>
      <c r="H389" t="n">
        <v>0</v>
      </c>
      <c r="I389" t="n">
        <v>0</v>
      </c>
      <c r="J389" t="n">
        <v>0</v>
      </c>
      <c r="K389" t="n">
        <v>0</v>
      </c>
      <c r="L389" t="n">
        <v>0</v>
      </c>
      <c r="M389" t="n">
        <v>0</v>
      </c>
      <c r="N389" t="n">
        <v>0</v>
      </c>
      <c r="O389" t="n">
        <v>0</v>
      </c>
      <c r="P389" t="n">
        <v>0</v>
      </c>
      <c r="Q389" t="n">
        <v>0</v>
      </c>
      <c r="R389" s="2" t="inlineStr"/>
    </row>
    <row r="390" ht="15" customHeight="1">
      <c r="A390" t="inlineStr">
        <is>
          <t>A 20855-2023</t>
        </is>
      </c>
      <c r="B390" s="1" t="n">
        <v>45058.82172453704</v>
      </c>
      <c r="C390" s="1" t="n">
        <v>45971</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47578-2025</t>
        </is>
      </c>
      <c r="B391" s="1" t="n">
        <v>45931</v>
      </c>
      <c r="C391" s="1" t="n">
        <v>45971</v>
      </c>
      <c r="D391" t="inlineStr">
        <is>
          <t>GOTLANDS LÄN</t>
        </is>
      </c>
      <c r="E391" t="inlineStr">
        <is>
          <t>GOTLAND</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45971</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2180-2025</t>
        </is>
      </c>
      <c r="B393" s="1" t="n">
        <v>45673</v>
      </c>
      <c r="C393" s="1" t="n">
        <v>45971</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15436-2025</t>
        </is>
      </c>
      <c r="B394" s="1" t="n">
        <v>45747.47462962963</v>
      </c>
      <c r="C394" s="1" t="n">
        <v>45971</v>
      </c>
      <c r="D394" t="inlineStr">
        <is>
          <t>GOTLANDS LÄN</t>
        </is>
      </c>
      <c r="E394" t="inlineStr">
        <is>
          <t>GOTLAND</t>
        </is>
      </c>
      <c r="G394" t="n">
        <v>4.1</v>
      </c>
      <c r="H394" t="n">
        <v>0</v>
      </c>
      <c r="I394" t="n">
        <v>0</v>
      </c>
      <c r="J394" t="n">
        <v>0</v>
      </c>
      <c r="K394" t="n">
        <v>0</v>
      </c>
      <c r="L394" t="n">
        <v>0</v>
      </c>
      <c r="M394" t="n">
        <v>0</v>
      </c>
      <c r="N394" t="n">
        <v>0</v>
      </c>
      <c r="O394" t="n">
        <v>0</v>
      </c>
      <c r="P394" t="n">
        <v>0</v>
      </c>
      <c r="Q394" t="n">
        <v>0</v>
      </c>
      <c r="R394" s="2" t="inlineStr"/>
    </row>
    <row r="395" ht="15" customHeight="1">
      <c r="A395" t="inlineStr">
        <is>
          <t>A 1000-2024</t>
        </is>
      </c>
      <c r="B395" s="1" t="n">
        <v>45301.63371527778</v>
      </c>
      <c r="C395" s="1" t="n">
        <v>45971</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1010-2024</t>
        </is>
      </c>
      <c r="B396" s="1" t="n">
        <v>45301</v>
      </c>
      <c r="C396" s="1" t="n">
        <v>45971</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39819-2025</t>
        </is>
      </c>
      <c r="B397" s="1" t="n">
        <v>45891.53418981482</v>
      </c>
      <c r="C397" s="1" t="n">
        <v>45971</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49257-2024</t>
        </is>
      </c>
      <c r="B398" s="1" t="n">
        <v>45595.47627314815</v>
      </c>
      <c r="C398" s="1" t="n">
        <v>45971</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37202-2024</t>
        </is>
      </c>
      <c r="B399" s="1" t="n">
        <v>45539.67310185185</v>
      </c>
      <c r="C399" s="1" t="n">
        <v>45971</v>
      </c>
      <c r="D399" t="inlineStr">
        <is>
          <t>GOTLANDS LÄN</t>
        </is>
      </c>
      <c r="E399" t="inlineStr">
        <is>
          <t>GOTLAND</t>
        </is>
      </c>
      <c r="G399" t="n">
        <v>0.3</v>
      </c>
      <c r="H399" t="n">
        <v>0</v>
      </c>
      <c r="I399" t="n">
        <v>0</v>
      </c>
      <c r="J399" t="n">
        <v>0</v>
      </c>
      <c r="K399" t="n">
        <v>0</v>
      </c>
      <c r="L399" t="n">
        <v>0</v>
      </c>
      <c r="M399" t="n">
        <v>0</v>
      </c>
      <c r="N399" t="n">
        <v>0</v>
      </c>
      <c r="O399" t="n">
        <v>0</v>
      </c>
      <c r="P399" t="n">
        <v>0</v>
      </c>
      <c r="Q399" t="n">
        <v>0</v>
      </c>
      <c r="R399" s="2" t="inlineStr"/>
    </row>
    <row r="400" ht="15" customHeight="1">
      <c r="A400" t="inlineStr">
        <is>
          <t>A 35512-2023</t>
        </is>
      </c>
      <c r="B400" s="1" t="n">
        <v>45147.25623842593</v>
      </c>
      <c r="C400" s="1" t="n">
        <v>45971</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5905-2024</t>
        </is>
      </c>
      <c r="B401" s="1" t="n">
        <v>45335.88993055555</v>
      </c>
      <c r="C401" s="1" t="n">
        <v>45971</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56115-2023</t>
        </is>
      </c>
      <c r="B402" s="1" t="n">
        <v>45236</v>
      </c>
      <c r="C402" s="1" t="n">
        <v>45971</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39814-2025</t>
        </is>
      </c>
      <c r="B403" s="1" t="n">
        <v>45891.52694444444</v>
      </c>
      <c r="C403" s="1" t="n">
        <v>45971</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1291-2023</t>
        </is>
      </c>
      <c r="B404" s="1" t="n">
        <v>44936.47561342592</v>
      </c>
      <c r="C404" s="1" t="n">
        <v>45971</v>
      </c>
      <c r="D404" t="inlineStr">
        <is>
          <t>GOTLANDS LÄN</t>
        </is>
      </c>
      <c r="E404" t="inlineStr">
        <is>
          <t>GOTLAND</t>
        </is>
      </c>
      <c r="G404" t="n">
        <v>7.4</v>
      </c>
      <c r="H404" t="n">
        <v>0</v>
      </c>
      <c r="I404" t="n">
        <v>0</v>
      </c>
      <c r="J404" t="n">
        <v>0</v>
      </c>
      <c r="K404" t="n">
        <v>0</v>
      </c>
      <c r="L404" t="n">
        <v>0</v>
      </c>
      <c r="M404" t="n">
        <v>0</v>
      </c>
      <c r="N404" t="n">
        <v>0</v>
      </c>
      <c r="O404" t="n">
        <v>0</v>
      </c>
      <c r="P404" t="n">
        <v>0</v>
      </c>
      <c r="Q404" t="n">
        <v>0</v>
      </c>
      <c r="R404" s="2" t="inlineStr"/>
    </row>
    <row r="405" ht="15" customHeight="1">
      <c r="A405" t="inlineStr">
        <is>
          <t>A 47762-2023</t>
        </is>
      </c>
      <c r="B405" s="1" t="n">
        <v>45203.86256944444</v>
      </c>
      <c r="C405" s="1" t="n">
        <v>45971</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45971</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46545-2024</t>
        </is>
      </c>
      <c r="B407" s="1" t="n">
        <v>45582.65831018519</v>
      </c>
      <c r="C407" s="1" t="n">
        <v>45971</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60086-2022</t>
        </is>
      </c>
      <c r="B408" s="1" t="n">
        <v>44909</v>
      </c>
      <c r="C408" s="1" t="n">
        <v>45971</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28480-2023</t>
        </is>
      </c>
      <c r="B409" s="1" t="n">
        <v>45103</v>
      </c>
      <c r="C409" s="1" t="n">
        <v>45971</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28485-2023</t>
        </is>
      </c>
      <c r="B410" s="1" t="n">
        <v>45103.43731481482</v>
      </c>
      <c r="C410" s="1" t="n">
        <v>45971</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49315-2024</t>
        </is>
      </c>
      <c r="B411" s="1" t="n">
        <v>45595</v>
      </c>
      <c r="C411" s="1" t="n">
        <v>45971</v>
      </c>
      <c r="D411" t="inlineStr">
        <is>
          <t>GOTLANDS LÄN</t>
        </is>
      </c>
      <c r="E411" t="inlineStr">
        <is>
          <t>GOTLAND</t>
        </is>
      </c>
      <c r="G411" t="n">
        <v>1.5</v>
      </c>
      <c r="H411" t="n">
        <v>0</v>
      </c>
      <c r="I411" t="n">
        <v>0</v>
      </c>
      <c r="J411" t="n">
        <v>0</v>
      </c>
      <c r="K411" t="n">
        <v>0</v>
      </c>
      <c r="L411" t="n">
        <v>0</v>
      </c>
      <c r="M411" t="n">
        <v>0</v>
      </c>
      <c r="N411" t="n">
        <v>0</v>
      </c>
      <c r="O411" t="n">
        <v>0</v>
      </c>
      <c r="P411" t="n">
        <v>0</v>
      </c>
      <c r="Q411" t="n">
        <v>0</v>
      </c>
      <c r="R411" s="2" t="inlineStr"/>
    </row>
    <row r="412" ht="15" customHeight="1">
      <c r="A412" t="inlineStr">
        <is>
          <t>A 2774-2024</t>
        </is>
      </c>
      <c r="B412" s="1" t="n">
        <v>45314.62375</v>
      </c>
      <c r="C412" s="1" t="n">
        <v>45971</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62915-2021</t>
        </is>
      </c>
      <c r="B413" s="1" t="n">
        <v>44504</v>
      </c>
      <c r="C413" s="1" t="n">
        <v>45971</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45106-2024</t>
        </is>
      </c>
      <c r="B414" s="1" t="n">
        <v>45575</v>
      </c>
      <c r="C414" s="1" t="n">
        <v>45971</v>
      </c>
      <c r="D414" t="inlineStr">
        <is>
          <t>GOTLANDS LÄN</t>
        </is>
      </c>
      <c r="E414" t="inlineStr">
        <is>
          <t>GOTLAND</t>
        </is>
      </c>
      <c r="G414" t="n">
        <v>10</v>
      </c>
      <c r="H414" t="n">
        <v>0</v>
      </c>
      <c r="I414" t="n">
        <v>0</v>
      </c>
      <c r="J414" t="n">
        <v>0</v>
      </c>
      <c r="K414" t="n">
        <v>0</v>
      </c>
      <c r="L414" t="n">
        <v>0</v>
      </c>
      <c r="M414" t="n">
        <v>0</v>
      </c>
      <c r="N414" t="n">
        <v>0</v>
      </c>
      <c r="O414" t="n">
        <v>0</v>
      </c>
      <c r="P414" t="n">
        <v>0</v>
      </c>
      <c r="Q414" t="n">
        <v>0</v>
      </c>
      <c r="R414" s="2" t="inlineStr"/>
    </row>
    <row r="415" ht="15" customHeight="1">
      <c r="A415" t="inlineStr">
        <is>
          <t>A 45112-2024</t>
        </is>
      </c>
      <c r="B415" s="1" t="n">
        <v>45575</v>
      </c>
      <c r="C415" s="1" t="n">
        <v>45971</v>
      </c>
      <c r="D415" t="inlineStr">
        <is>
          <t>GOTLANDS LÄN</t>
        </is>
      </c>
      <c r="E415" t="inlineStr">
        <is>
          <t>GOTLAND</t>
        </is>
      </c>
      <c r="G415" t="n">
        <v>5.1</v>
      </c>
      <c r="H415" t="n">
        <v>0</v>
      </c>
      <c r="I415" t="n">
        <v>0</v>
      </c>
      <c r="J415" t="n">
        <v>0</v>
      </c>
      <c r="K415" t="n">
        <v>0</v>
      </c>
      <c r="L415" t="n">
        <v>0</v>
      </c>
      <c r="M415" t="n">
        <v>0</v>
      </c>
      <c r="N415" t="n">
        <v>0</v>
      </c>
      <c r="O415" t="n">
        <v>0</v>
      </c>
      <c r="P415" t="n">
        <v>0</v>
      </c>
      <c r="Q415" t="n">
        <v>0</v>
      </c>
      <c r="R415" s="2" t="inlineStr"/>
    </row>
    <row r="416" ht="15" customHeight="1">
      <c r="A416" t="inlineStr">
        <is>
          <t>A 39849-2025</t>
        </is>
      </c>
      <c r="B416" s="1" t="n">
        <v>45891.58502314815</v>
      </c>
      <c r="C416" s="1" t="n">
        <v>45971</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2676-2023</t>
        </is>
      </c>
      <c r="B417" s="1" t="n">
        <v>44944</v>
      </c>
      <c r="C417" s="1" t="n">
        <v>45971</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44949-2023</t>
        </is>
      </c>
      <c r="B418" s="1" t="n">
        <v>45190.69520833333</v>
      </c>
      <c r="C418" s="1" t="n">
        <v>45971</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60709-2023</t>
        </is>
      </c>
      <c r="B419" s="1" t="n">
        <v>45260</v>
      </c>
      <c r="C419" s="1" t="n">
        <v>45971</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45971</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45971</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45971</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45971</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45971</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45971</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64208-2021</t>
        </is>
      </c>
      <c r="B426" s="1" t="n">
        <v>44510</v>
      </c>
      <c r="C426" s="1" t="n">
        <v>45971</v>
      </c>
      <c r="D426" t="inlineStr">
        <is>
          <t>GOTLANDS LÄN</t>
        </is>
      </c>
      <c r="E426" t="inlineStr">
        <is>
          <t>GOTLAND</t>
        </is>
      </c>
      <c r="G426" t="n">
        <v>4.7</v>
      </c>
      <c r="H426" t="n">
        <v>0</v>
      </c>
      <c r="I426" t="n">
        <v>0</v>
      </c>
      <c r="J426" t="n">
        <v>0</v>
      </c>
      <c r="K426" t="n">
        <v>0</v>
      </c>
      <c r="L426" t="n">
        <v>0</v>
      </c>
      <c r="M426" t="n">
        <v>0</v>
      </c>
      <c r="N426" t="n">
        <v>0</v>
      </c>
      <c r="O426" t="n">
        <v>0</v>
      </c>
      <c r="P426" t="n">
        <v>0</v>
      </c>
      <c r="Q426" t="n">
        <v>0</v>
      </c>
      <c r="R426" s="2" t="inlineStr"/>
    </row>
    <row r="427" ht="15" customHeight="1">
      <c r="A427" t="inlineStr">
        <is>
          <t>A 39764-2022</t>
        </is>
      </c>
      <c r="B427" s="1" t="n">
        <v>44819</v>
      </c>
      <c r="C427" s="1" t="n">
        <v>45971</v>
      </c>
      <c r="D427" t="inlineStr">
        <is>
          <t>GOTLANDS LÄN</t>
        </is>
      </c>
      <c r="E427" t="inlineStr">
        <is>
          <t>GOTLAND</t>
        </is>
      </c>
      <c r="F427" t="inlineStr">
        <is>
          <t>Kyrkan</t>
        </is>
      </c>
      <c r="G427" t="n">
        <v>3.7</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45971</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48734-2022</t>
        </is>
      </c>
      <c r="B429" s="1" t="n">
        <v>44855</v>
      </c>
      <c r="C429" s="1" t="n">
        <v>45971</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3964-2024</t>
        </is>
      </c>
      <c r="B430" s="1" t="n">
        <v>45322</v>
      </c>
      <c r="C430" s="1" t="n">
        <v>45971</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45971</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58211-2024</t>
        </is>
      </c>
      <c r="B432" s="1" t="n">
        <v>45632.49292824074</v>
      </c>
      <c r="C432" s="1" t="n">
        <v>45971</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30956-2024</t>
        </is>
      </c>
      <c r="B433" s="1" t="n">
        <v>45499.42527777778</v>
      </c>
      <c r="C433" s="1" t="n">
        <v>45971</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29809-2022</t>
        </is>
      </c>
      <c r="B434" s="1" t="n">
        <v>44755.8713425926</v>
      </c>
      <c r="C434" s="1" t="n">
        <v>45971</v>
      </c>
      <c r="D434" t="inlineStr">
        <is>
          <t>GOTLANDS LÄN</t>
        </is>
      </c>
      <c r="E434" t="inlineStr">
        <is>
          <t>GOTLAND</t>
        </is>
      </c>
      <c r="G434" t="n">
        <v>11.5</v>
      </c>
      <c r="H434" t="n">
        <v>0</v>
      </c>
      <c r="I434" t="n">
        <v>0</v>
      </c>
      <c r="J434" t="n">
        <v>0</v>
      </c>
      <c r="K434" t="n">
        <v>0</v>
      </c>
      <c r="L434" t="n">
        <v>0</v>
      </c>
      <c r="M434" t="n">
        <v>0</v>
      </c>
      <c r="N434" t="n">
        <v>0</v>
      </c>
      <c r="O434" t="n">
        <v>0</v>
      </c>
      <c r="P434" t="n">
        <v>0</v>
      </c>
      <c r="Q434" t="n">
        <v>0</v>
      </c>
      <c r="R434" s="2" t="inlineStr"/>
    </row>
    <row r="435" ht="15" customHeight="1">
      <c r="A435" t="inlineStr">
        <is>
          <t>A 45084-2024</t>
        </is>
      </c>
      <c r="B435" s="1" t="n">
        <v>45575</v>
      </c>
      <c r="C435" s="1" t="n">
        <v>45971</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30892-2024</t>
        </is>
      </c>
      <c r="B436" s="1" t="n">
        <v>45491</v>
      </c>
      <c r="C436" s="1" t="n">
        <v>45971</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14635-2023</t>
        </is>
      </c>
      <c r="B437" s="1" t="n">
        <v>45013.69365740741</v>
      </c>
      <c r="C437" s="1" t="n">
        <v>45971</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59469-2024</t>
        </is>
      </c>
      <c r="B438" s="1" t="n">
        <v>45638</v>
      </c>
      <c r="C438" s="1" t="n">
        <v>45971</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7858-2025</t>
        </is>
      </c>
      <c r="B439" s="1" t="n">
        <v>45706.68633101852</v>
      </c>
      <c r="C439" s="1" t="n">
        <v>45971</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45971</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18223-2025</t>
        </is>
      </c>
      <c r="B441" s="1" t="n">
        <v>45761</v>
      </c>
      <c r="C441" s="1" t="n">
        <v>45971</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4420-2025</t>
        </is>
      </c>
      <c r="B442" s="1" t="n">
        <v>45686.47157407407</v>
      </c>
      <c r="C442" s="1" t="n">
        <v>45971</v>
      </c>
      <c r="D442" t="inlineStr">
        <is>
          <t>GOTLANDS LÄN</t>
        </is>
      </c>
      <c r="E442" t="inlineStr">
        <is>
          <t>GOTLAND</t>
        </is>
      </c>
      <c r="G442" t="n">
        <v>1.6</v>
      </c>
      <c r="H442" t="n">
        <v>0</v>
      </c>
      <c r="I442" t="n">
        <v>0</v>
      </c>
      <c r="J442" t="n">
        <v>0</v>
      </c>
      <c r="K442" t="n">
        <v>0</v>
      </c>
      <c r="L442" t="n">
        <v>0</v>
      </c>
      <c r="M442" t="n">
        <v>0</v>
      </c>
      <c r="N442" t="n">
        <v>0</v>
      </c>
      <c r="O442" t="n">
        <v>0</v>
      </c>
      <c r="P442" t="n">
        <v>0</v>
      </c>
      <c r="Q442" t="n">
        <v>0</v>
      </c>
      <c r="R442" s="2" t="inlineStr"/>
    </row>
    <row r="443" ht="15" customHeight="1">
      <c r="A443" t="inlineStr">
        <is>
          <t>A 57685-2022</t>
        </is>
      </c>
      <c r="B443" s="1" t="n">
        <v>44897.4777662037</v>
      </c>
      <c r="C443" s="1" t="n">
        <v>45971</v>
      </c>
      <c r="D443" t="inlineStr">
        <is>
          <t>GOTLANDS LÄN</t>
        </is>
      </c>
      <c r="E443" t="inlineStr">
        <is>
          <t>GOTLAND</t>
        </is>
      </c>
      <c r="G443" t="n">
        <v>3.7</v>
      </c>
      <c r="H443" t="n">
        <v>0</v>
      </c>
      <c r="I443" t="n">
        <v>0</v>
      </c>
      <c r="J443" t="n">
        <v>0</v>
      </c>
      <c r="K443" t="n">
        <v>0</v>
      </c>
      <c r="L443" t="n">
        <v>0</v>
      </c>
      <c r="M443" t="n">
        <v>0</v>
      </c>
      <c r="N443" t="n">
        <v>0</v>
      </c>
      <c r="O443" t="n">
        <v>0</v>
      </c>
      <c r="P443" t="n">
        <v>0</v>
      </c>
      <c r="Q443" t="n">
        <v>0</v>
      </c>
      <c r="R443" s="2" t="inlineStr"/>
    </row>
    <row r="444" ht="15" customHeight="1">
      <c r="A444" t="inlineStr">
        <is>
          <t>A 39752-2025</t>
        </is>
      </c>
      <c r="B444" s="1" t="n">
        <v>45891</v>
      </c>
      <c r="C444" s="1" t="n">
        <v>45971</v>
      </c>
      <c r="D444" t="inlineStr">
        <is>
          <t>GOTLANDS LÄN</t>
        </is>
      </c>
      <c r="E444" t="inlineStr">
        <is>
          <t>GOTLAND</t>
        </is>
      </c>
      <c r="G444" t="n">
        <v>5.3</v>
      </c>
      <c r="H444" t="n">
        <v>0</v>
      </c>
      <c r="I444" t="n">
        <v>0</v>
      </c>
      <c r="J444" t="n">
        <v>0</v>
      </c>
      <c r="K444" t="n">
        <v>0</v>
      </c>
      <c r="L444" t="n">
        <v>0</v>
      </c>
      <c r="M444" t="n">
        <v>0</v>
      </c>
      <c r="N444" t="n">
        <v>0</v>
      </c>
      <c r="O444" t="n">
        <v>0</v>
      </c>
      <c r="P444" t="n">
        <v>0</v>
      </c>
      <c r="Q444" t="n">
        <v>0</v>
      </c>
      <c r="R444" s="2" t="inlineStr"/>
    </row>
    <row r="445" ht="15" customHeight="1">
      <c r="A445" t="inlineStr">
        <is>
          <t>A 5891-2025</t>
        </is>
      </c>
      <c r="B445" s="1" t="n">
        <v>45695.38327546296</v>
      </c>
      <c r="C445" s="1" t="n">
        <v>45971</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30815-2023</t>
        </is>
      </c>
      <c r="B446" s="1" t="n">
        <v>45112</v>
      </c>
      <c r="C446" s="1" t="n">
        <v>45971</v>
      </c>
      <c r="D446" t="inlineStr">
        <is>
          <t>GOTLANDS LÄN</t>
        </is>
      </c>
      <c r="E446" t="inlineStr">
        <is>
          <t>GOTLAND</t>
        </is>
      </c>
      <c r="G446" t="n">
        <v>6</v>
      </c>
      <c r="H446" t="n">
        <v>0</v>
      </c>
      <c r="I446" t="n">
        <v>0</v>
      </c>
      <c r="J446" t="n">
        <v>0</v>
      </c>
      <c r="K446" t="n">
        <v>0</v>
      </c>
      <c r="L446" t="n">
        <v>0</v>
      </c>
      <c r="M446" t="n">
        <v>0</v>
      </c>
      <c r="N446" t="n">
        <v>0</v>
      </c>
      <c r="O446" t="n">
        <v>0</v>
      </c>
      <c r="P446" t="n">
        <v>0</v>
      </c>
      <c r="Q446" t="n">
        <v>0</v>
      </c>
      <c r="R446" s="2" t="inlineStr"/>
    </row>
    <row r="447" ht="15" customHeight="1">
      <c r="A447" t="inlineStr">
        <is>
          <t>A 5217-2023</t>
        </is>
      </c>
      <c r="B447" s="1" t="n">
        <v>44959.39582175926</v>
      </c>
      <c r="C447" s="1" t="n">
        <v>45971</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38649-2025</t>
        </is>
      </c>
      <c r="B448" s="1" t="n">
        <v>45884</v>
      </c>
      <c r="C448" s="1" t="n">
        <v>45971</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39816-2025</t>
        </is>
      </c>
      <c r="B449" s="1" t="n">
        <v>45891</v>
      </c>
      <c r="C449" s="1" t="n">
        <v>45971</v>
      </c>
      <c r="D449" t="inlineStr">
        <is>
          <t>GOTLANDS LÄN</t>
        </is>
      </c>
      <c r="E449" t="inlineStr">
        <is>
          <t>GOTLAND</t>
        </is>
      </c>
      <c r="G449" t="n">
        <v>0.9</v>
      </c>
      <c r="H449" t="n">
        <v>0</v>
      </c>
      <c r="I449" t="n">
        <v>0</v>
      </c>
      <c r="J449" t="n">
        <v>0</v>
      </c>
      <c r="K449" t="n">
        <v>0</v>
      </c>
      <c r="L449" t="n">
        <v>0</v>
      </c>
      <c r="M449" t="n">
        <v>0</v>
      </c>
      <c r="N449" t="n">
        <v>0</v>
      </c>
      <c r="O449" t="n">
        <v>0</v>
      </c>
      <c r="P449" t="n">
        <v>0</v>
      </c>
      <c r="Q449" t="n">
        <v>0</v>
      </c>
      <c r="R449" s="2" t="inlineStr"/>
    </row>
    <row r="450" ht="15" customHeight="1">
      <c r="A450" t="inlineStr">
        <is>
          <t>A 40103-2025</t>
        </is>
      </c>
      <c r="B450" s="1" t="n">
        <v>45894.4880324074</v>
      </c>
      <c r="C450" s="1" t="n">
        <v>45971</v>
      </c>
      <c r="D450" t="inlineStr">
        <is>
          <t>GOTLANDS LÄN</t>
        </is>
      </c>
      <c r="E450" t="inlineStr">
        <is>
          <t>GOTLAND</t>
        </is>
      </c>
      <c r="G450" t="n">
        <v>0.9</v>
      </c>
      <c r="H450" t="n">
        <v>0</v>
      </c>
      <c r="I450" t="n">
        <v>0</v>
      </c>
      <c r="J450" t="n">
        <v>0</v>
      </c>
      <c r="K450" t="n">
        <v>0</v>
      </c>
      <c r="L450" t="n">
        <v>0</v>
      </c>
      <c r="M450" t="n">
        <v>0</v>
      </c>
      <c r="N450" t="n">
        <v>0</v>
      </c>
      <c r="O450" t="n">
        <v>0</v>
      </c>
      <c r="P450" t="n">
        <v>0</v>
      </c>
      <c r="Q450" t="n">
        <v>0</v>
      </c>
      <c r="R450" s="2" t="inlineStr"/>
    </row>
    <row r="451" ht="15" customHeight="1">
      <c r="A451" t="inlineStr">
        <is>
          <t>A 40373-2025</t>
        </is>
      </c>
      <c r="B451" s="1" t="n">
        <v>45895.51821759259</v>
      </c>
      <c r="C451" s="1" t="n">
        <v>45971</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7034-2023</t>
        </is>
      </c>
      <c r="B452" s="1" t="n">
        <v>44968.32108796296</v>
      </c>
      <c r="C452" s="1" t="n">
        <v>45971</v>
      </c>
      <c r="D452" t="inlineStr">
        <is>
          <t>GOTLANDS LÄN</t>
        </is>
      </c>
      <c r="E452" t="inlineStr">
        <is>
          <t>GOTLAND</t>
        </is>
      </c>
      <c r="G452" t="n">
        <v>1.6</v>
      </c>
      <c r="H452" t="n">
        <v>0</v>
      </c>
      <c r="I452" t="n">
        <v>0</v>
      </c>
      <c r="J452" t="n">
        <v>0</v>
      </c>
      <c r="K452" t="n">
        <v>0</v>
      </c>
      <c r="L452" t="n">
        <v>0</v>
      </c>
      <c r="M452" t="n">
        <v>0</v>
      </c>
      <c r="N452" t="n">
        <v>0</v>
      </c>
      <c r="O452" t="n">
        <v>0</v>
      </c>
      <c r="P452" t="n">
        <v>0</v>
      </c>
      <c r="Q452" t="n">
        <v>0</v>
      </c>
      <c r="R452" s="2" t="inlineStr"/>
    </row>
    <row r="453" ht="15" customHeight="1">
      <c r="A453" t="inlineStr">
        <is>
          <t>A 7042-2023</t>
        </is>
      </c>
      <c r="B453" s="1" t="n">
        <v>44968</v>
      </c>
      <c r="C453" s="1" t="n">
        <v>45971</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40499-2025</t>
        </is>
      </c>
      <c r="B454" s="1" t="n">
        <v>45896.32517361111</v>
      </c>
      <c r="C454" s="1" t="n">
        <v>45971</v>
      </c>
      <c r="D454" t="inlineStr">
        <is>
          <t>GOTLANDS LÄN</t>
        </is>
      </c>
      <c r="E454" t="inlineStr">
        <is>
          <t>GOTLAND</t>
        </is>
      </c>
      <c r="G454" t="n">
        <v>2.6</v>
      </c>
      <c r="H454" t="n">
        <v>0</v>
      </c>
      <c r="I454" t="n">
        <v>0</v>
      </c>
      <c r="J454" t="n">
        <v>0</v>
      </c>
      <c r="K454" t="n">
        <v>0</v>
      </c>
      <c r="L454" t="n">
        <v>0</v>
      </c>
      <c r="M454" t="n">
        <v>0</v>
      </c>
      <c r="N454" t="n">
        <v>0</v>
      </c>
      <c r="O454" t="n">
        <v>0</v>
      </c>
      <c r="P454" t="n">
        <v>0</v>
      </c>
      <c r="Q454" t="n">
        <v>0</v>
      </c>
      <c r="R454" s="2" t="inlineStr"/>
    </row>
    <row r="455" ht="15" customHeight="1">
      <c r="A455" t="inlineStr">
        <is>
          <t>A 23516-2023</t>
        </is>
      </c>
      <c r="B455" s="1" t="n">
        <v>45076.93391203704</v>
      </c>
      <c r="C455" s="1" t="n">
        <v>45971</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40372-2025</t>
        </is>
      </c>
      <c r="B456" s="1" t="n">
        <v>45895.5162037037</v>
      </c>
      <c r="C456" s="1" t="n">
        <v>45971</v>
      </c>
      <c r="D456" t="inlineStr">
        <is>
          <t>GOTLANDS LÄN</t>
        </is>
      </c>
      <c r="E456" t="inlineStr">
        <is>
          <t>GOTLAND</t>
        </is>
      </c>
      <c r="G456" t="n">
        <v>3.3</v>
      </c>
      <c r="H456" t="n">
        <v>0</v>
      </c>
      <c r="I456" t="n">
        <v>0</v>
      </c>
      <c r="J456" t="n">
        <v>0</v>
      </c>
      <c r="K456" t="n">
        <v>0</v>
      </c>
      <c r="L456" t="n">
        <v>0</v>
      </c>
      <c r="M456" t="n">
        <v>0</v>
      </c>
      <c r="N456" t="n">
        <v>0</v>
      </c>
      <c r="O456" t="n">
        <v>0</v>
      </c>
      <c r="P456" t="n">
        <v>0</v>
      </c>
      <c r="Q456" t="n">
        <v>0</v>
      </c>
      <c r="R456" s="2" t="inlineStr"/>
    </row>
    <row r="457" ht="15" customHeight="1">
      <c r="A457" t="inlineStr">
        <is>
          <t>A 64660-2023</t>
        </is>
      </c>
      <c r="B457" s="1" t="n">
        <v>45281.60122685185</v>
      </c>
      <c r="C457" s="1" t="n">
        <v>45971</v>
      </c>
      <c r="D457" t="inlineStr">
        <is>
          <t>GOTLANDS LÄN</t>
        </is>
      </c>
      <c r="E457" t="inlineStr">
        <is>
          <t>GOTLAND</t>
        </is>
      </c>
      <c r="G457" t="n">
        <v>6.3</v>
      </c>
      <c r="H457" t="n">
        <v>0</v>
      </c>
      <c r="I457" t="n">
        <v>0</v>
      </c>
      <c r="J457" t="n">
        <v>0</v>
      </c>
      <c r="K457" t="n">
        <v>0</v>
      </c>
      <c r="L457" t="n">
        <v>0</v>
      </c>
      <c r="M457" t="n">
        <v>0</v>
      </c>
      <c r="N457" t="n">
        <v>0</v>
      </c>
      <c r="O457" t="n">
        <v>0</v>
      </c>
      <c r="P457" t="n">
        <v>0</v>
      </c>
      <c r="Q457" t="n">
        <v>0</v>
      </c>
      <c r="R457" s="2" t="inlineStr"/>
    </row>
    <row r="458" ht="15" customHeight="1">
      <c r="A458" t="inlineStr">
        <is>
          <t>A 7835-2024</t>
        </is>
      </c>
      <c r="B458" s="1" t="n">
        <v>45349.83138888889</v>
      </c>
      <c r="C458" s="1" t="n">
        <v>45971</v>
      </c>
      <c r="D458" t="inlineStr">
        <is>
          <t>GOTLANDS LÄN</t>
        </is>
      </c>
      <c r="E458" t="inlineStr">
        <is>
          <t>GOTLAND</t>
        </is>
      </c>
      <c r="G458" t="n">
        <v>3.8</v>
      </c>
      <c r="H458" t="n">
        <v>0</v>
      </c>
      <c r="I458" t="n">
        <v>0</v>
      </c>
      <c r="J458" t="n">
        <v>0</v>
      </c>
      <c r="K458" t="n">
        <v>0</v>
      </c>
      <c r="L458" t="n">
        <v>0</v>
      </c>
      <c r="M458" t="n">
        <v>0</v>
      </c>
      <c r="N458" t="n">
        <v>0</v>
      </c>
      <c r="O458" t="n">
        <v>0</v>
      </c>
      <c r="P458" t="n">
        <v>0</v>
      </c>
      <c r="Q458" t="n">
        <v>0</v>
      </c>
      <c r="R458" s="2" t="inlineStr"/>
    </row>
    <row r="459" ht="15" customHeight="1">
      <c r="A459" t="inlineStr">
        <is>
          <t>A 63763-2023</t>
        </is>
      </c>
      <c r="B459" s="1" t="n">
        <v>45278.33944444444</v>
      </c>
      <c r="C459" s="1" t="n">
        <v>45971</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1677-2023</t>
        </is>
      </c>
      <c r="B460" s="1" t="n">
        <v>44938</v>
      </c>
      <c r="C460" s="1" t="n">
        <v>45971</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20794-2025</t>
        </is>
      </c>
      <c r="B461" s="1" t="n">
        <v>45776</v>
      </c>
      <c r="C461" s="1" t="n">
        <v>45971</v>
      </c>
      <c r="D461" t="inlineStr">
        <is>
          <t>GOTLANDS LÄN</t>
        </is>
      </c>
      <c r="E461" t="inlineStr">
        <is>
          <t>GOTLAND</t>
        </is>
      </c>
      <c r="G461" t="n">
        <v>6</v>
      </c>
      <c r="H461" t="n">
        <v>0</v>
      </c>
      <c r="I461" t="n">
        <v>0</v>
      </c>
      <c r="J461" t="n">
        <v>0</v>
      </c>
      <c r="K461" t="n">
        <v>0</v>
      </c>
      <c r="L461" t="n">
        <v>0</v>
      </c>
      <c r="M461" t="n">
        <v>0</v>
      </c>
      <c r="N461" t="n">
        <v>0</v>
      </c>
      <c r="O461" t="n">
        <v>0</v>
      </c>
      <c r="P461" t="n">
        <v>0</v>
      </c>
      <c r="Q461" t="n">
        <v>0</v>
      </c>
      <c r="R461" s="2" t="inlineStr"/>
    </row>
    <row r="462" ht="15" customHeight="1">
      <c r="A462" t="inlineStr">
        <is>
          <t>A 45244-2024</t>
        </is>
      </c>
      <c r="B462" s="1" t="n">
        <v>45576</v>
      </c>
      <c r="C462" s="1" t="n">
        <v>45971</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20805-2025</t>
        </is>
      </c>
      <c r="B463" s="1" t="n">
        <v>45776</v>
      </c>
      <c r="C463" s="1" t="n">
        <v>45971</v>
      </c>
      <c r="D463" t="inlineStr">
        <is>
          <t>GOTLANDS LÄN</t>
        </is>
      </c>
      <c r="E463" t="inlineStr">
        <is>
          <t>GOTLAND</t>
        </is>
      </c>
      <c r="G463" t="n">
        <v>3.1</v>
      </c>
      <c r="H463" t="n">
        <v>0</v>
      </c>
      <c r="I463" t="n">
        <v>0</v>
      </c>
      <c r="J463" t="n">
        <v>0</v>
      </c>
      <c r="K463" t="n">
        <v>0</v>
      </c>
      <c r="L463" t="n">
        <v>0</v>
      </c>
      <c r="M463" t="n">
        <v>0</v>
      </c>
      <c r="N463" t="n">
        <v>0</v>
      </c>
      <c r="O463" t="n">
        <v>0</v>
      </c>
      <c r="P463" t="n">
        <v>0</v>
      </c>
      <c r="Q463" t="n">
        <v>0</v>
      </c>
      <c r="R463" s="2" t="inlineStr"/>
    </row>
    <row r="464" ht="15" customHeight="1">
      <c r="A464" t="inlineStr">
        <is>
          <t>A 63229-2021</t>
        </is>
      </c>
      <c r="B464" s="1" t="n">
        <v>44508.34518518519</v>
      </c>
      <c r="C464" s="1" t="n">
        <v>45971</v>
      </c>
      <c r="D464" t="inlineStr">
        <is>
          <t>GOTLANDS LÄN</t>
        </is>
      </c>
      <c r="E464" t="inlineStr">
        <is>
          <t>GOTLAND</t>
        </is>
      </c>
      <c r="F464" t="inlineStr">
        <is>
          <t>Kyrkan</t>
        </is>
      </c>
      <c r="G464" t="n">
        <v>3.8</v>
      </c>
      <c r="H464" t="n">
        <v>0</v>
      </c>
      <c r="I464" t="n">
        <v>0</v>
      </c>
      <c r="J464" t="n">
        <v>0</v>
      </c>
      <c r="K464" t="n">
        <v>0</v>
      </c>
      <c r="L464" t="n">
        <v>0</v>
      </c>
      <c r="M464" t="n">
        <v>0</v>
      </c>
      <c r="N464" t="n">
        <v>0</v>
      </c>
      <c r="O464" t="n">
        <v>0</v>
      </c>
      <c r="P464" t="n">
        <v>0</v>
      </c>
      <c r="Q464" t="n">
        <v>0</v>
      </c>
      <c r="R464" s="2" t="inlineStr"/>
    </row>
    <row r="465" ht="15" customHeight="1">
      <c r="A465" t="inlineStr">
        <is>
          <t>A 46375-2024</t>
        </is>
      </c>
      <c r="B465" s="1" t="n">
        <v>45582</v>
      </c>
      <c r="C465" s="1" t="n">
        <v>45971</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8260-2023</t>
        </is>
      </c>
      <c r="B466" s="1" t="n">
        <v>44974.61608796296</v>
      </c>
      <c r="C466" s="1" t="n">
        <v>45971</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21389-2025</t>
        </is>
      </c>
      <c r="B467" s="1" t="n">
        <v>45782</v>
      </c>
      <c r="C467" s="1" t="n">
        <v>45971</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64969-2023</t>
        </is>
      </c>
      <c r="B468" s="1" t="n">
        <v>45284.54009259259</v>
      </c>
      <c r="C468" s="1" t="n">
        <v>45971</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48843-2024</t>
        </is>
      </c>
      <c r="B469" s="1" t="n">
        <v>45593</v>
      </c>
      <c r="C469" s="1" t="n">
        <v>45971</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17541-2024</t>
        </is>
      </c>
      <c r="B470" s="1" t="n">
        <v>45415</v>
      </c>
      <c r="C470" s="1" t="n">
        <v>45971</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21651-2025</t>
        </is>
      </c>
      <c r="B471" s="1" t="n">
        <v>45783</v>
      </c>
      <c r="C471" s="1" t="n">
        <v>45971</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2241-2025</t>
        </is>
      </c>
      <c r="B472" s="1" t="n">
        <v>45673.48710648148</v>
      </c>
      <c r="C472" s="1" t="n">
        <v>45971</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15434-2024</t>
        </is>
      </c>
      <c r="B473" s="1" t="n">
        <v>45401.38836805556</v>
      </c>
      <c r="C473" s="1" t="n">
        <v>45971</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39278-2025</t>
        </is>
      </c>
      <c r="B474" s="1" t="n">
        <v>45889</v>
      </c>
      <c r="C474" s="1" t="n">
        <v>45971</v>
      </c>
      <c r="D474" t="inlineStr">
        <is>
          <t>GOTLANDS LÄN</t>
        </is>
      </c>
      <c r="E474" t="inlineStr">
        <is>
          <t>GOTLAND</t>
        </is>
      </c>
      <c r="G474" t="n">
        <v>3.7</v>
      </c>
      <c r="H474" t="n">
        <v>0</v>
      </c>
      <c r="I474" t="n">
        <v>0</v>
      </c>
      <c r="J474" t="n">
        <v>0</v>
      </c>
      <c r="K474" t="n">
        <v>0</v>
      </c>
      <c r="L474" t="n">
        <v>0</v>
      </c>
      <c r="M474" t="n">
        <v>0</v>
      </c>
      <c r="N474" t="n">
        <v>0</v>
      </c>
      <c r="O474" t="n">
        <v>0</v>
      </c>
      <c r="P474" t="n">
        <v>0</v>
      </c>
      <c r="Q474" t="n">
        <v>0</v>
      </c>
      <c r="R474" s="2" t="inlineStr"/>
    </row>
    <row r="475" ht="15" customHeight="1">
      <c r="A475" t="inlineStr">
        <is>
          <t>A 5943-2024</t>
        </is>
      </c>
      <c r="B475" s="1" t="n">
        <v>45336</v>
      </c>
      <c r="C475" s="1" t="n">
        <v>45971</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54073-2022</t>
        </is>
      </c>
      <c r="B476" s="1" t="n">
        <v>44881.50380787037</v>
      </c>
      <c r="C476" s="1" t="n">
        <v>45971</v>
      </c>
      <c r="D476" t="inlineStr">
        <is>
          <t>GOTLANDS LÄN</t>
        </is>
      </c>
      <c r="E476" t="inlineStr">
        <is>
          <t>GOTLAND</t>
        </is>
      </c>
      <c r="G476" t="n">
        <v>3.8</v>
      </c>
      <c r="H476" t="n">
        <v>0</v>
      </c>
      <c r="I476" t="n">
        <v>0</v>
      </c>
      <c r="J476" t="n">
        <v>0</v>
      </c>
      <c r="K476" t="n">
        <v>0</v>
      </c>
      <c r="L476" t="n">
        <v>0</v>
      </c>
      <c r="M476" t="n">
        <v>0</v>
      </c>
      <c r="N476" t="n">
        <v>0</v>
      </c>
      <c r="O476" t="n">
        <v>0</v>
      </c>
      <c r="P476" t="n">
        <v>0</v>
      </c>
      <c r="Q476" t="n">
        <v>0</v>
      </c>
      <c r="R476" s="2" t="inlineStr"/>
    </row>
    <row r="477" ht="15" customHeight="1">
      <c r="A477" t="inlineStr">
        <is>
          <t>A 16361-2024</t>
        </is>
      </c>
      <c r="B477" s="1" t="n">
        <v>45407</v>
      </c>
      <c r="C477" s="1" t="n">
        <v>45971</v>
      </c>
      <c r="D477" t="inlineStr">
        <is>
          <t>GOTLANDS LÄN</t>
        </is>
      </c>
      <c r="E477" t="inlineStr">
        <is>
          <t>GOTLAND</t>
        </is>
      </c>
      <c r="G477" t="n">
        <v>6</v>
      </c>
      <c r="H477" t="n">
        <v>0</v>
      </c>
      <c r="I477" t="n">
        <v>0</v>
      </c>
      <c r="J477" t="n">
        <v>0</v>
      </c>
      <c r="K477" t="n">
        <v>0</v>
      </c>
      <c r="L477" t="n">
        <v>0</v>
      </c>
      <c r="M477" t="n">
        <v>0</v>
      </c>
      <c r="N477" t="n">
        <v>0</v>
      </c>
      <c r="O477" t="n">
        <v>0</v>
      </c>
      <c r="P477" t="n">
        <v>0</v>
      </c>
      <c r="Q477" t="n">
        <v>0</v>
      </c>
      <c r="R477" s="2" t="inlineStr"/>
    </row>
    <row r="478" ht="15" customHeight="1">
      <c r="A478" t="inlineStr">
        <is>
          <t>A 41038-2023</t>
        </is>
      </c>
      <c r="B478" s="1" t="n">
        <v>45173.60959490741</v>
      </c>
      <c r="C478" s="1" t="n">
        <v>45971</v>
      </c>
      <c r="D478" t="inlineStr">
        <is>
          <t>GOTLANDS LÄN</t>
        </is>
      </c>
      <c r="E478" t="inlineStr">
        <is>
          <t>GOTLAND</t>
        </is>
      </c>
      <c r="G478" t="n">
        <v>2.7</v>
      </c>
      <c r="H478" t="n">
        <v>0</v>
      </c>
      <c r="I478" t="n">
        <v>0</v>
      </c>
      <c r="J478" t="n">
        <v>0</v>
      </c>
      <c r="K478" t="n">
        <v>0</v>
      </c>
      <c r="L478" t="n">
        <v>0</v>
      </c>
      <c r="M478" t="n">
        <v>0</v>
      </c>
      <c r="N478" t="n">
        <v>0</v>
      </c>
      <c r="O478" t="n">
        <v>0</v>
      </c>
      <c r="P478" t="n">
        <v>0</v>
      </c>
      <c r="Q478" t="n">
        <v>0</v>
      </c>
      <c r="R478" s="2" t="inlineStr"/>
    </row>
    <row r="479" ht="15" customHeight="1">
      <c r="A479" t="inlineStr">
        <is>
          <t>A 57356-2023</t>
        </is>
      </c>
      <c r="B479" s="1" t="n">
        <v>45240</v>
      </c>
      <c r="C479" s="1" t="n">
        <v>45971</v>
      </c>
      <c r="D479" t="inlineStr">
        <is>
          <t>GOTLANDS LÄN</t>
        </is>
      </c>
      <c r="E479" t="inlineStr">
        <is>
          <t>GOTLAND</t>
        </is>
      </c>
      <c r="G479" t="n">
        <v>6.4</v>
      </c>
      <c r="H479" t="n">
        <v>0</v>
      </c>
      <c r="I479" t="n">
        <v>0</v>
      </c>
      <c r="J479" t="n">
        <v>0</v>
      </c>
      <c r="K479" t="n">
        <v>0</v>
      </c>
      <c r="L479" t="n">
        <v>0</v>
      </c>
      <c r="M479" t="n">
        <v>0</v>
      </c>
      <c r="N479" t="n">
        <v>0</v>
      </c>
      <c r="O479" t="n">
        <v>0</v>
      </c>
      <c r="P479" t="n">
        <v>0</v>
      </c>
      <c r="Q479" t="n">
        <v>0</v>
      </c>
      <c r="R479" s="2" t="inlineStr"/>
    </row>
    <row r="480" ht="15" customHeight="1">
      <c r="A480" t="inlineStr">
        <is>
          <t>A 10656-2024</t>
        </is>
      </c>
      <c r="B480" s="1" t="n">
        <v>45368</v>
      </c>
      <c r="C480" s="1" t="n">
        <v>45971</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49690-2025</t>
        </is>
      </c>
      <c r="B481" s="1" t="n">
        <v>45939.66730324074</v>
      </c>
      <c r="C481" s="1" t="n">
        <v>45971</v>
      </c>
      <c r="D481" t="inlineStr">
        <is>
          <t>GOTLANDS LÄN</t>
        </is>
      </c>
      <c r="E481" t="inlineStr">
        <is>
          <t>GOTLAND</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28506-2023</t>
        </is>
      </c>
      <c r="B482" s="1" t="n">
        <v>45103</v>
      </c>
      <c r="C482" s="1" t="n">
        <v>45971</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21420-2024</t>
        </is>
      </c>
      <c r="B483" s="1" t="n">
        <v>45441.38293981482</v>
      </c>
      <c r="C483" s="1" t="n">
        <v>45971</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49724-2025</t>
        </is>
      </c>
      <c r="B484" s="1" t="n">
        <v>45939.83730324074</v>
      </c>
      <c r="C484" s="1" t="n">
        <v>45971</v>
      </c>
      <c r="D484" t="inlineStr">
        <is>
          <t>GOTLANDS LÄN</t>
        </is>
      </c>
      <c r="E484" t="inlineStr">
        <is>
          <t>GOTLAND</t>
        </is>
      </c>
      <c r="F484" t="inlineStr">
        <is>
          <t>Kyrkan</t>
        </is>
      </c>
      <c r="G484" t="n">
        <v>3.1</v>
      </c>
      <c r="H484" t="n">
        <v>0</v>
      </c>
      <c r="I484" t="n">
        <v>0</v>
      </c>
      <c r="J484" t="n">
        <v>0</v>
      </c>
      <c r="K484" t="n">
        <v>0</v>
      </c>
      <c r="L484" t="n">
        <v>0</v>
      </c>
      <c r="M484" t="n">
        <v>0</v>
      </c>
      <c r="N484" t="n">
        <v>0</v>
      </c>
      <c r="O484" t="n">
        <v>0</v>
      </c>
      <c r="P484" t="n">
        <v>0</v>
      </c>
      <c r="Q484" t="n">
        <v>0</v>
      </c>
      <c r="R484" s="2" t="inlineStr"/>
    </row>
    <row r="485" ht="15" customHeight="1">
      <c r="A485" t="inlineStr">
        <is>
          <t>A 49730-2025</t>
        </is>
      </c>
      <c r="B485" s="1" t="n">
        <v>45939.87613425926</v>
      </c>
      <c r="C485" s="1" t="n">
        <v>45971</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23188-2025</t>
        </is>
      </c>
      <c r="B486" s="1" t="n">
        <v>45791</v>
      </c>
      <c r="C486" s="1" t="n">
        <v>45971</v>
      </c>
      <c r="D486" t="inlineStr">
        <is>
          <t>GOTLANDS LÄN</t>
        </is>
      </c>
      <c r="E486" t="inlineStr">
        <is>
          <t>GOTLAND</t>
        </is>
      </c>
      <c r="G486" t="n">
        <v>6.2</v>
      </c>
      <c r="H486" t="n">
        <v>0</v>
      </c>
      <c r="I486" t="n">
        <v>0</v>
      </c>
      <c r="J486" t="n">
        <v>0</v>
      </c>
      <c r="K486" t="n">
        <v>0</v>
      </c>
      <c r="L486" t="n">
        <v>0</v>
      </c>
      <c r="M486" t="n">
        <v>0</v>
      </c>
      <c r="N486" t="n">
        <v>0</v>
      </c>
      <c r="O486" t="n">
        <v>0</v>
      </c>
      <c r="P486" t="n">
        <v>0</v>
      </c>
      <c r="Q486" t="n">
        <v>0</v>
      </c>
      <c r="R486" s="2" t="inlineStr"/>
    </row>
    <row r="487" ht="15" customHeight="1">
      <c r="A487" t="inlineStr">
        <is>
          <t>A 14427-2024</t>
        </is>
      </c>
      <c r="B487" s="1" t="n">
        <v>45394</v>
      </c>
      <c r="C487" s="1" t="n">
        <v>45971</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23473-2025</t>
        </is>
      </c>
      <c r="B488" s="1" t="n">
        <v>45792</v>
      </c>
      <c r="C488" s="1" t="n">
        <v>45971</v>
      </c>
      <c r="D488" t="inlineStr">
        <is>
          <t>GOTLANDS LÄN</t>
        </is>
      </c>
      <c r="E488" t="inlineStr">
        <is>
          <t>GOTLAND</t>
        </is>
      </c>
      <c r="G488" t="n">
        <v>3.6</v>
      </c>
      <c r="H488" t="n">
        <v>0</v>
      </c>
      <c r="I488" t="n">
        <v>0</v>
      </c>
      <c r="J488" t="n">
        <v>0</v>
      </c>
      <c r="K488" t="n">
        <v>0</v>
      </c>
      <c r="L488" t="n">
        <v>0</v>
      </c>
      <c r="M488" t="n">
        <v>0</v>
      </c>
      <c r="N488" t="n">
        <v>0</v>
      </c>
      <c r="O488" t="n">
        <v>0</v>
      </c>
      <c r="P488" t="n">
        <v>0</v>
      </c>
      <c r="Q488" t="n">
        <v>0</v>
      </c>
      <c r="R488" s="2" t="inlineStr"/>
    </row>
    <row r="489" ht="15" customHeight="1">
      <c r="A489" t="inlineStr">
        <is>
          <t>A 31802-2024</t>
        </is>
      </c>
      <c r="B489" s="1" t="n">
        <v>45509</v>
      </c>
      <c r="C489" s="1" t="n">
        <v>45971</v>
      </c>
      <c r="D489" t="inlineStr">
        <is>
          <t>GOTLANDS LÄN</t>
        </is>
      </c>
      <c r="E489" t="inlineStr">
        <is>
          <t>GOTLAND</t>
        </is>
      </c>
      <c r="G489" t="n">
        <v>2.8</v>
      </c>
      <c r="H489" t="n">
        <v>0</v>
      </c>
      <c r="I489" t="n">
        <v>0</v>
      </c>
      <c r="J489" t="n">
        <v>0</v>
      </c>
      <c r="K489" t="n">
        <v>0</v>
      </c>
      <c r="L489" t="n">
        <v>0</v>
      </c>
      <c r="M489" t="n">
        <v>0</v>
      </c>
      <c r="N489" t="n">
        <v>0</v>
      </c>
      <c r="O489" t="n">
        <v>0</v>
      </c>
      <c r="P489" t="n">
        <v>0</v>
      </c>
      <c r="Q489" t="n">
        <v>0</v>
      </c>
      <c r="R489" s="2" t="inlineStr"/>
    </row>
    <row r="490" ht="15" customHeight="1">
      <c r="A490" t="inlineStr">
        <is>
          <t>A 23856-2025</t>
        </is>
      </c>
      <c r="B490" s="1" t="n">
        <v>45793</v>
      </c>
      <c r="C490" s="1" t="n">
        <v>45971</v>
      </c>
      <c r="D490" t="inlineStr">
        <is>
          <t>GOTLANDS LÄN</t>
        </is>
      </c>
      <c r="E490" t="inlineStr">
        <is>
          <t>GOTLAND</t>
        </is>
      </c>
      <c r="G490" t="n">
        <v>4.4</v>
      </c>
      <c r="H490" t="n">
        <v>0</v>
      </c>
      <c r="I490" t="n">
        <v>0</v>
      </c>
      <c r="J490" t="n">
        <v>0</v>
      </c>
      <c r="K490" t="n">
        <v>0</v>
      </c>
      <c r="L490" t="n">
        <v>0</v>
      </c>
      <c r="M490" t="n">
        <v>0</v>
      </c>
      <c r="N490" t="n">
        <v>0</v>
      </c>
      <c r="O490" t="n">
        <v>0</v>
      </c>
      <c r="P490" t="n">
        <v>0</v>
      </c>
      <c r="Q490" t="n">
        <v>0</v>
      </c>
      <c r="R490" s="2" t="inlineStr"/>
    </row>
    <row r="491" ht="15" customHeight="1">
      <c r="A491" t="inlineStr">
        <is>
          <t>A 50421-2025</t>
        </is>
      </c>
      <c r="B491" s="1" t="n">
        <v>45944.66049768519</v>
      </c>
      <c r="C491" s="1" t="n">
        <v>45971</v>
      </c>
      <c r="D491" t="inlineStr">
        <is>
          <t>GOTLANDS LÄN</t>
        </is>
      </c>
      <c r="E491" t="inlineStr">
        <is>
          <t>GOTLAND</t>
        </is>
      </c>
      <c r="G491" t="n">
        <v>3.9</v>
      </c>
      <c r="H491" t="n">
        <v>0</v>
      </c>
      <c r="I491" t="n">
        <v>0</v>
      </c>
      <c r="J491" t="n">
        <v>0</v>
      </c>
      <c r="K491" t="n">
        <v>0</v>
      </c>
      <c r="L491" t="n">
        <v>0</v>
      </c>
      <c r="M491" t="n">
        <v>0</v>
      </c>
      <c r="N491" t="n">
        <v>0</v>
      </c>
      <c r="O491" t="n">
        <v>0</v>
      </c>
      <c r="P491" t="n">
        <v>0</v>
      </c>
      <c r="Q491" t="n">
        <v>0</v>
      </c>
      <c r="R491" s="2" t="inlineStr"/>
    </row>
    <row r="492" ht="15" customHeight="1">
      <c r="A492" t="inlineStr">
        <is>
          <t>A 15073-2025</t>
        </is>
      </c>
      <c r="B492" s="1" t="n">
        <v>45743</v>
      </c>
      <c r="C492" s="1" t="n">
        <v>45971</v>
      </c>
      <c r="D492" t="inlineStr">
        <is>
          <t>GOTLANDS LÄN</t>
        </is>
      </c>
      <c r="E492" t="inlineStr">
        <is>
          <t>GOTLAND</t>
        </is>
      </c>
      <c r="G492" t="n">
        <v>12.1</v>
      </c>
      <c r="H492" t="n">
        <v>0</v>
      </c>
      <c r="I492" t="n">
        <v>0</v>
      </c>
      <c r="J492" t="n">
        <v>0</v>
      </c>
      <c r="K492" t="n">
        <v>0</v>
      </c>
      <c r="L492" t="n">
        <v>0</v>
      </c>
      <c r="M492" t="n">
        <v>0</v>
      </c>
      <c r="N492" t="n">
        <v>0</v>
      </c>
      <c r="O492" t="n">
        <v>0</v>
      </c>
      <c r="P492" t="n">
        <v>0</v>
      </c>
      <c r="Q492" t="n">
        <v>0</v>
      </c>
      <c r="R492" s="2" t="inlineStr"/>
    </row>
    <row r="493" ht="15" customHeight="1">
      <c r="A493" t="inlineStr">
        <is>
          <t>A 41435-2025</t>
        </is>
      </c>
      <c r="B493" s="1" t="n">
        <v>45901.39974537037</v>
      </c>
      <c r="C493" s="1" t="n">
        <v>45971</v>
      </c>
      <c r="D493" t="inlineStr">
        <is>
          <t>GOTLANDS LÄN</t>
        </is>
      </c>
      <c r="E493" t="inlineStr">
        <is>
          <t>GOTLAND</t>
        </is>
      </c>
      <c r="G493" t="n">
        <v>4.9</v>
      </c>
      <c r="H493" t="n">
        <v>0</v>
      </c>
      <c r="I493" t="n">
        <v>0</v>
      </c>
      <c r="J493" t="n">
        <v>0</v>
      </c>
      <c r="K493" t="n">
        <v>0</v>
      </c>
      <c r="L493" t="n">
        <v>0</v>
      </c>
      <c r="M493" t="n">
        <v>0</v>
      </c>
      <c r="N493" t="n">
        <v>0</v>
      </c>
      <c r="O493" t="n">
        <v>0</v>
      </c>
      <c r="P493" t="n">
        <v>0</v>
      </c>
      <c r="Q493" t="n">
        <v>0</v>
      </c>
      <c r="R493" s="2" t="inlineStr"/>
    </row>
    <row r="494" ht="15" customHeight="1">
      <c r="A494" t="inlineStr">
        <is>
          <t>A 8036-2022</t>
        </is>
      </c>
      <c r="B494" s="1" t="n">
        <v>44609.44362268518</v>
      </c>
      <c r="C494" s="1" t="n">
        <v>45971</v>
      </c>
      <c r="D494" t="inlineStr">
        <is>
          <t>GOTLANDS LÄN</t>
        </is>
      </c>
      <c r="E494" t="inlineStr">
        <is>
          <t>GOTLAND</t>
        </is>
      </c>
      <c r="G494" t="n">
        <v>6.1</v>
      </c>
      <c r="H494" t="n">
        <v>0</v>
      </c>
      <c r="I494" t="n">
        <v>0</v>
      </c>
      <c r="J494" t="n">
        <v>0</v>
      </c>
      <c r="K494" t="n">
        <v>0</v>
      </c>
      <c r="L494" t="n">
        <v>0</v>
      </c>
      <c r="M494" t="n">
        <v>0</v>
      </c>
      <c r="N494" t="n">
        <v>0</v>
      </c>
      <c r="O494" t="n">
        <v>0</v>
      </c>
      <c r="P494" t="n">
        <v>0</v>
      </c>
      <c r="Q494" t="n">
        <v>0</v>
      </c>
      <c r="R494" s="2" t="inlineStr"/>
    </row>
    <row r="495" ht="15" customHeight="1">
      <c r="A495" t="inlineStr">
        <is>
          <t>A 12846-2025</t>
        </is>
      </c>
      <c r="B495" s="1" t="n">
        <v>45733.65049768519</v>
      </c>
      <c r="C495" s="1" t="n">
        <v>45971</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6749-2025</t>
        </is>
      </c>
      <c r="B496" s="1" t="n">
        <v>45700</v>
      </c>
      <c r="C496" s="1" t="n">
        <v>45971</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33011-2025</t>
        </is>
      </c>
      <c r="B497" s="1" t="n">
        <v>45840</v>
      </c>
      <c r="C497" s="1" t="n">
        <v>45971</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23698-2025</t>
        </is>
      </c>
      <c r="B498" s="1" t="n">
        <v>45793</v>
      </c>
      <c r="C498" s="1" t="n">
        <v>45971</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50431-2025</t>
        </is>
      </c>
      <c r="B499" s="1" t="n">
        <v>45944.68453703704</v>
      </c>
      <c r="C499" s="1" t="n">
        <v>45971</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46949-2024</t>
        </is>
      </c>
      <c r="B500" s="1" t="n">
        <v>45585</v>
      </c>
      <c r="C500" s="1" t="n">
        <v>45971</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44624.57945601852</v>
      </c>
      <c r="C501" s="1" t="n">
        <v>45971</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41551-2025</t>
        </is>
      </c>
      <c r="B502" s="1" t="n">
        <v>45901.58854166666</v>
      </c>
      <c r="C502" s="1" t="n">
        <v>45971</v>
      </c>
      <c r="D502" t="inlineStr">
        <is>
          <t>GOTLANDS LÄN</t>
        </is>
      </c>
      <c r="E502" t="inlineStr">
        <is>
          <t>GOTLAND</t>
        </is>
      </c>
      <c r="G502" t="n">
        <v>5.6</v>
      </c>
      <c r="H502" t="n">
        <v>0</v>
      </c>
      <c r="I502" t="n">
        <v>0</v>
      </c>
      <c r="J502" t="n">
        <v>0</v>
      </c>
      <c r="K502" t="n">
        <v>0</v>
      </c>
      <c r="L502" t="n">
        <v>0</v>
      </c>
      <c r="M502" t="n">
        <v>0</v>
      </c>
      <c r="N502" t="n">
        <v>0</v>
      </c>
      <c r="O502" t="n">
        <v>0</v>
      </c>
      <c r="P502" t="n">
        <v>0</v>
      </c>
      <c r="Q502" t="n">
        <v>0</v>
      </c>
      <c r="R502" s="2" t="inlineStr"/>
    </row>
    <row r="503" ht="15" customHeight="1">
      <c r="A503" t="inlineStr">
        <is>
          <t>A 5462-2025</t>
        </is>
      </c>
      <c r="B503" s="1" t="n">
        <v>45693.29331018519</v>
      </c>
      <c r="C503" s="1" t="n">
        <v>45971</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11634-2024</t>
        </is>
      </c>
      <c r="B504" s="1" t="n">
        <v>45373</v>
      </c>
      <c r="C504" s="1" t="n">
        <v>45971</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1351-2025</t>
        </is>
      </c>
      <c r="B505" s="1" t="n">
        <v>45667.62246527777</v>
      </c>
      <c r="C505" s="1" t="n">
        <v>45971</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25796-2025</t>
        </is>
      </c>
      <c r="B506" s="1" t="n">
        <v>45804.39543981481</v>
      </c>
      <c r="C506" s="1" t="n">
        <v>45971</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45971</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50928-2025</t>
        </is>
      </c>
      <c r="B508" s="1" t="n">
        <v>45946.67896990741</v>
      </c>
      <c r="C508" s="1" t="n">
        <v>45971</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49874-2024</t>
        </is>
      </c>
      <c r="B509" s="1" t="n">
        <v>45597.49274305555</v>
      </c>
      <c r="C509" s="1" t="n">
        <v>45971</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42201-2023</t>
        </is>
      </c>
      <c r="B510" s="1" t="n">
        <v>45179</v>
      </c>
      <c r="C510" s="1" t="n">
        <v>45971</v>
      </c>
      <c r="D510" t="inlineStr">
        <is>
          <t>GOTLANDS LÄN</t>
        </is>
      </c>
      <c r="E510" t="inlineStr">
        <is>
          <t>GOTLAND</t>
        </is>
      </c>
      <c r="G510" t="n">
        <v>11.9</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45971</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9875-2025</t>
        </is>
      </c>
      <c r="B512" s="1" t="n">
        <v>45716</v>
      </c>
      <c r="C512" s="1" t="n">
        <v>45971</v>
      </c>
      <c r="D512" t="inlineStr">
        <is>
          <t>GOTLANDS LÄN</t>
        </is>
      </c>
      <c r="E512" t="inlineStr">
        <is>
          <t>GOTLAND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26457-2025</t>
        </is>
      </c>
      <c r="B513" s="1" t="n">
        <v>45807.42773148148</v>
      </c>
      <c r="C513" s="1" t="n">
        <v>45971</v>
      </c>
      <c r="D513" t="inlineStr">
        <is>
          <t>GOTLANDS LÄN</t>
        </is>
      </c>
      <c r="E513" t="inlineStr">
        <is>
          <t>GOTLAND</t>
        </is>
      </c>
      <c r="G513" t="n">
        <v>5.7</v>
      </c>
      <c r="H513" t="n">
        <v>0</v>
      </c>
      <c r="I513" t="n">
        <v>0</v>
      </c>
      <c r="J513" t="n">
        <v>0</v>
      </c>
      <c r="K513" t="n">
        <v>0</v>
      </c>
      <c r="L513" t="n">
        <v>0</v>
      </c>
      <c r="M513" t="n">
        <v>0</v>
      </c>
      <c r="N513" t="n">
        <v>0</v>
      </c>
      <c r="O513" t="n">
        <v>0</v>
      </c>
      <c r="P513" t="n">
        <v>0</v>
      </c>
      <c r="Q513" t="n">
        <v>0</v>
      </c>
      <c r="R513" s="2" t="inlineStr"/>
    </row>
    <row r="514" ht="15" customHeight="1">
      <c r="A514" t="inlineStr">
        <is>
          <t>A 26467-2025</t>
        </is>
      </c>
      <c r="B514" s="1" t="n">
        <v>45807.44640046296</v>
      </c>
      <c r="C514" s="1" t="n">
        <v>45971</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51262-2025</t>
        </is>
      </c>
      <c r="B515" s="1" t="n">
        <v>45949.49872685185</v>
      </c>
      <c r="C515" s="1" t="n">
        <v>45971</v>
      </c>
      <c r="D515" t="inlineStr">
        <is>
          <t>GOTLANDS LÄN</t>
        </is>
      </c>
      <c r="E515" t="inlineStr">
        <is>
          <t>GOTLAND</t>
        </is>
      </c>
      <c r="G515" t="n">
        <v>1.6</v>
      </c>
      <c r="H515" t="n">
        <v>0</v>
      </c>
      <c r="I515" t="n">
        <v>0</v>
      </c>
      <c r="J515" t="n">
        <v>0</v>
      </c>
      <c r="K515" t="n">
        <v>0</v>
      </c>
      <c r="L515" t="n">
        <v>0</v>
      </c>
      <c r="M515" t="n">
        <v>0</v>
      </c>
      <c r="N515" t="n">
        <v>0</v>
      </c>
      <c r="O515" t="n">
        <v>0</v>
      </c>
      <c r="P515" t="n">
        <v>0</v>
      </c>
      <c r="Q515" t="n">
        <v>0</v>
      </c>
      <c r="R515" s="2" t="inlineStr"/>
    </row>
    <row r="516" ht="15" customHeight="1">
      <c r="A516" t="inlineStr">
        <is>
          <t>A 26465-2025</t>
        </is>
      </c>
      <c r="B516" s="1" t="n">
        <v>45807.44377314814</v>
      </c>
      <c r="C516" s="1" t="n">
        <v>45971</v>
      </c>
      <c r="D516" t="inlineStr">
        <is>
          <t>GOTLANDS LÄN</t>
        </is>
      </c>
      <c r="E516" t="inlineStr">
        <is>
          <t>GOTLAND</t>
        </is>
      </c>
      <c r="G516" t="n">
        <v>4.5</v>
      </c>
      <c r="H516" t="n">
        <v>0</v>
      </c>
      <c r="I516" t="n">
        <v>0</v>
      </c>
      <c r="J516" t="n">
        <v>0</v>
      </c>
      <c r="K516" t="n">
        <v>0</v>
      </c>
      <c r="L516" t="n">
        <v>0</v>
      </c>
      <c r="M516" t="n">
        <v>0</v>
      </c>
      <c r="N516" t="n">
        <v>0</v>
      </c>
      <c r="O516" t="n">
        <v>0</v>
      </c>
      <c r="P516" t="n">
        <v>0</v>
      </c>
      <c r="Q516" t="n">
        <v>0</v>
      </c>
      <c r="R516" s="2" t="inlineStr"/>
    </row>
    <row r="517" ht="15" customHeight="1">
      <c r="A517" t="inlineStr">
        <is>
          <t>A 21164-2024</t>
        </is>
      </c>
      <c r="B517" s="1" t="n">
        <v>45440</v>
      </c>
      <c r="C517" s="1" t="n">
        <v>45971</v>
      </c>
      <c r="D517" t="inlineStr">
        <is>
          <t>GOTLANDS LÄN</t>
        </is>
      </c>
      <c r="E517" t="inlineStr">
        <is>
          <t>GOTLAND</t>
        </is>
      </c>
      <c r="G517" t="n">
        <v>6.3</v>
      </c>
      <c r="H517" t="n">
        <v>0</v>
      </c>
      <c r="I517" t="n">
        <v>0</v>
      </c>
      <c r="J517" t="n">
        <v>0</v>
      </c>
      <c r="K517" t="n">
        <v>0</v>
      </c>
      <c r="L517" t="n">
        <v>0</v>
      </c>
      <c r="M517" t="n">
        <v>0</v>
      </c>
      <c r="N517" t="n">
        <v>0</v>
      </c>
      <c r="O517" t="n">
        <v>0</v>
      </c>
      <c r="P517" t="n">
        <v>0</v>
      </c>
      <c r="Q517" t="n">
        <v>0</v>
      </c>
      <c r="R517" s="2" t="inlineStr"/>
    </row>
    <row r="518" ht="15" customHeight="1">
      <c r="A518" t="inlineStr">
        <is>
          <t>A 26660-2025</t>
        </is>
      </c>
      <c r="B518" s="1" t="n">
        <v>45810.39737268518</v>
      </c>
      <c r="C518" s="1" t="n">
        <v>45971</v>
      </c>
      <c r="D518" t="inlineStr">
        <is>
          <t>GOTLANDS LÄN</t>
        </is>
      </c>
      <c r="E518" t="inlineStr">
        <is>
          <t>GOTLAND</t>
        </is>
      </c>
      <c r="G518" t="n">
        <v>1.8</v>
      </c>
      <c r="H518" t="n">
        <v>0</v>
      </c>
      <c r="I518" t="n">
        <v>0</v>
      </c>
      <c r="J518" t="n">
        <v>0</v>
      </c>
      <c r="K518" t="n">
        <v>0</v>
      </c>
      <c r="L518" t="n">
        <v>0</v>
      </c>
      <c r="M518" t="n">
        <v>0</v>
      </c>
      <c r="N518" t="n">
        <v>0</v>
      </c>
      <c r="O518" t="n">
        <v>0</v>
      </c>
      <c r="P518" t="n">
        <v>0</v>
      </c>
      <c r="Q518" t="n">
        <v>0</v>
      </c>
      <c r="R518" s="2" t="inlineStr"/>
    </row>
    <row r="519" ht="15" customHeight="1">
      <c r="A519" t="inlineStr">
        <is>
          <t>A 42608-2025</t>
        </is>
      </c>
      <c r="B519" s="1" t="n">
        <v>45905</v>
      </c>
      <c r="C519" s="1" t="n">
        <v>45971</v>
      </c>
      <c r="D519" t="inlineStr">
        <is>
          <t>GOTLANDS LÄN</t>
        </is>
      </c>
      <c r="E519" t="inlineStr">
        <is>
          <t>GOTLAND</t>
        </is>
      </c>
      <c r="G519" t="n">
        <v>1.3</v>
      </c>
      <c r="H519" t="n">
        <v>0</v>
      </c>
      <c r="I519" t="n">
        <v>0</v>
      </c>
      <c r="J519" t="n">
        <v>0</v>
      </c>
      <c r="K519" t="n">
        <v>0</v>
      </c>
      <c r="L519" t="n">
        <v>0</v>
      </c>
      <c r="M519" t="n">
        <v>0</v>
      </c>
      <c r="N519" t="n">
        <v>0</v>
      </c>
      <c r="O519" t="n">
        <v>0</v>
      </c>
      <c r="P519" t="n">
        <v>0</v>
      </c>
      <c r="Q519" t="n">
        <v>0</v>
      </c>
      <c r="R519" s="2" t="inlineStr"/>
    </row>
    <row r="520" ht="15" customHeight="1">
      <c r="A520" t="inlineStr">
        <is>
          <t>A 8045-2022</t>
        </is>
      </c>
      <c r="B520" s="1" t="n">
        <v>44609</v>
      </c>
      <c r="C520" s="1" t="n">
        <v>45971</v>
      </c>
      <c r="D520" t="inlineStr">
        <is>
          <t>GOTLANDS LÄN</t>
        </is>
      </c>
      <c r="E520" t="inlineStr">
        <is>
          <t>GOTLAND</t>
        </is>
      </c>
      <c r="G520" t="n">
        <v>7</v>
      </c>
      <c r="H520" t="n">
        <v>0</v>
      </c>
      <c r="I520" t="n">
        <v>0</v>
      </c>
      <c r="J520" t="n">
        <v>0</v>
      </c>
      <c r="K520" t="n">
        <v>0</v>
      </c>
      <c r="L520" t="n">
        <v>0</v>
      </c>
      <c r="M520" t="n">
        <v>0</v>
      </c>
      <c r="N520" t="n">
        <v>0</v>
      </c>
      <c r="O520" t="n">
        <v>0</v>
      </c>
      <c r="P520" t="n">
        <v>0</v>
      </c>
      <c r="Q520" t="n">
        <v>0</v>
      </c>
      <c r="R520" s="2" t="inlineStr"/>
    </row>
    <row r="521" ht="15" customHeight="1">
      <c r="A521" t="inlineStr">
        <is>
          <t>A 22897-2023</t>
        </is>
      </c>
      <c r="B521" s="1" t="n">
        <v>45072.55239583334</v>
      </c>
      <c r="C521" s="1" t="n">
        <v>45971</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16373-2025</t>
        </is>
      </c>
      <c r="B522" s="1" t="n">
        <v>45751</v>
      </c>
      <c r="C522" s="1" t="n">
        <v>45971</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27371-2025</t>
        </is>
      </c>
      <c r="B523" s="1" t="n">
        <v>45812</v>
      </c>
      <c r="C523" s="1" t="n">
        <v>45971</v>
      </c>
      <c r="D523" t="inlineStr">
        <is>
          <t>GOTLANDS LÄN</t>
        </is>
      </c>
      <c r="E523" t="inlineStr">
        <is>
          <t>GOTLAND</t>
        </is>
      </c>
      <c r="G523" t="n">
        <v>8</v>
      </c>
      <c r="H523" t="n">
        <v>0</v>
      </c>
      <c r="I523" t="n">
        <v>0</v>
      </c>
      <c r="J523" t="n">
        <v>0</v>
      </c>
      <c r="K523" t="n">
        <v>0</v>
      </c>
      <c r="L523" t="n">
        <v>0</v>
      </c>
      <c r="M523" t="n">
        <v>0</v>
      </c>
      <c r="N523" t="n">
        <v>0</v>
      </c>
      <c r="O523" t="n">
        <v>0</v>
      </c>
      <c r="P523" t="n">
        <v>0</v>
      </c>
      <c r="Q523" t="n">
        <v>0</v>
      </c>
      <c r="R523" s="2" t="inlineStr"/>
    </row>
    <row r="524" ht="15" customHeight="1">
      <c r="A524" t="inlineStr">
        <is>
          <t>A 27355-2025</t>
        </is>
      </c>
      <c r="B524" s="1" t="n">
        <v>45812</v>
      </c>
      <c r="C524" s="1" t="n">
        <v>45971</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61897-2024</t>
        </is>
      </c>
      <c r="B525" s="1" t="n">
        <v>45652.75685185185</v>
      </c>
      <c r="C525" s="1" t="n">
        <v>45971</v>
      </c>
      <c r="D525" t="inlineStr">
        <is>
          <t>GOTLANDS LÄN</t>
        </is>
      </c>
      <c r="E525" t="inlineStr">
        <is>
          <t>GOTLAND</t>
        </is>
      </c>
      <c r="G525" t="n">
        <v>6.4</v>
      </c>
      <c r="H525" t="n">
        <v>0</v>
      </c>
      <c r="I525" t="n">
        <v>0</v>
      </c>
      <c r="J525" t="n">
        <v>0</v>
      </c>
      <c r="K525" t="n">
        <v>0</v>
      </c>
      <c r="L525" t="n">
        <v>0</v>
      </c>
      <c r="M525" t="n">
        <v>0</v>
      </c>
      <c r="N525" t="n">
        <v>0</v>
      </c>
      <c r="O525" t="n">
        <v>0</v>
      </c>
      <c r="P525" t="n">
        <v>0</v>
      </c>
      <c r="Q525" t="n">
        <v>0</v>
      </c>
      <c r="R525" s="2" t="inlineStr"/>
    </row>
    <row r="526" ht="15" customHeight="1">
      <c r="A526" t="inlineStr">
        <is>
          <t>A 6739-2025</t>
        </is>
      </c>
      <c r="B526" s="1" t="n">
        <v>45700</v>
      </c>
      <c r="C526" s="1" t="n">
        <v>45971</v>
      </c>
      <c r="D526" t="inlineStr">
        <is>
          <t>GOTLANDS LÄN</t>
        </is>
      </c>
      <c r="E526" t="inlineStr">
        <is>
          <t>GOTLAND</t>
        </is>
      </c>
      <c r="G526" t="n">
        <v>4.5</v>
      </c>
      <c r="H526" t="n">
        <v>0</v>
      </c>
      <c r="I526" t="n">
        <v>0</v>
      </c>
      <c r="J526" t="n">
        <v>0</v>
      </c>
      <c r="K526" t="n">
        <v>0</v>
      </c>
      <c r="L526" t="n">
        <v>0</v>
      </c>
      <c r="M526" t="n">
        <v>0</v>
      </c>
      <c r="N526" t="n">
        <v>0</v>
      </c>
      <c r="O526" t="n">
        <v>0</v>
      </c>
      <c r="P526" t="n">
        <v>0</v>
      </c>
      <c r="Q526" t="n">
        <v>0</v>
      </c>
      <c r="R526" s="2" t="inlineStr"/>
    </row>
    <row r="527" ht="15" customHeight="1">
      <c r="A527" t="inlineStr">
        <is>
          <t>A 7850-2025</t>
        </is>
      </c>
      <c r="B527" s="1" t="n">
        <v>45706</v>
      </c>
      <c r="C527" s="1" t="n">
        <v>45971</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49962-2023</t>
        </is>
      </c>
      <c r="B528" s="1" t="n">
        <v>45215.38775462963</v>
      </c>
      <c r="C528" s="1" t="n">
        <v>45971</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8444-2025</t>
        </is>
      </c>
      <c r="B529" s="1" t="n">
        <v>45709</v>
      </c>
      <c r="C529" s="1" t="n">
        <v>45971</v>
      </c>
      <c r="D529" t="inlineStr">
        <is>
          <t>GOTLANDS LÄN</t>
        </is>
      </c>
      <c r="E529" t="inlineStr">
        <is>
          <t>GOTLAND</t>
        </is>
      </c>
      <c r="G529" t="n">
        <v>5.2</v>
      </c>
      <c r="H529" t="n">
        <v>0</v>
      </c>
      <c r="I529" t="n">
        <v>0</v>
      </c>
      <c r="J529" t="n">
        <v>0</v>
      </c>
      <c r="K529" t="n">
        <v>0</v>
      </c>
      <c r="L529" t="n">
        <v>0</v>
      </c>
      <c r="M529" t="n">
        <v>0</v>
      </c>
      <c r="N529" t="n">
        <v>0</v>
      </c>
      <c r="O529" t="n">
        <v>0</v>
      </c>
      <c r="P529" t="n">
        <v>0</v>
      </c>
      <c r="Q529" t="n">
        <v>0</v>
      </c>
      <c r="R529" s="2" t="inlineStr"/>
    </row>
    <row r="530" ht="15" customHeight="1">
      <c r="A530" t="inlineStr">
        <is>
          <t>A 52637-2025</t>
        </is>
      </c>
      <c r="B530" s="1" t="n">
        <v>45954.75099537037</v>
      </c>
      <c r="C530" s="1" t="n">
        <v>45971</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20165-2022</t>
        </is>
      </c>
      <c r="B531" s="1" t="n">
        <v>44698.49854166667</v>
      </c>
      <c r="C531" s="1" t="n">
        <v>45971</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45971</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12032-2025</t>
        </is>
      </c>
      <c r="B533" s="1" t="n">
        <v>45728.64472222222</v>
      </c>
      <c r="C533" s="1" t="n">
        <v>45971</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38787-2023</t>
        </is>
      </c>
      <c r="B534" s="1" t="n">
        <v>45163</v>
      </c>
      <c r="C534" s="1" t="n">
        <v>45971</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52249-2025</t>
        </is>
      </c>
      <c r="B535" s="1" t="n">
        <v>45953.48637731482</v>
      </c>
      <c r="C535" s="1" t="n">
        <v>45971</v>
      </c>
      <c r="D535" t="inlineStr">
        <is>
          <t>GOTLANDS LÄN</t>
        </is>
      </c>
      <c r="E535" t="inlineStr">
        <is>
          <t>GOTLAND</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10158-2025</t>
        </is>
      </c>
      <c r="B536" s="1" t="n">
        <v>45719</v>
      </c>
      <c r="C536" s="1" t="n">
        <v>45971</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19905-2025</t>
        </is>
      </c>
      <c r="B537" s="1" t="n">
        <v>45771</v>
      </c>
      <c r="C537" s="1" t="n">
        <v>45971</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29196-2025</t>
        </is>
      </c>
      <c r="B538" s="1" t="n">
        <v>45822</v>
      </c>
      <c r="C538" s="1" t="n">
        <v>45971</v>
      </c>
      <c r="D538" t="inlineStr">
        <is>
          <t>GOTLANDS LÄN</t>
        </is>
      </c>
      <c r="E538" t="inlineStr">
        <is>
          <t>GOTLAND</t>
        </is>
      </c>
      <c r="G538" t="n">
        <v>0.5</v>
      </c>
      <c r="H538" t="n">
        <v>0</v>
      </c>
      <c r="I538" t="n">
        <v>0</v>
      </c>
      <c r="J538" t="n">
        <v>0</v>
      </c>
      <c r="K538" t="n">
        <v>0</v>
      </c>
      <c r="L538" t="n">
        <v>0</v>
      </c>
      <c r="M538" t="n">
        <v>0</v>
      </c>
      <c r="N538" t="n">
        <v>0</v>
      </c>
      <c r="O538" t="n">
        <v>0</v>
      </c>
      <c r="P538" t="n">
        <v>0</v>
      </c>
      <c r="Q538" t="n">
        <v>0</v>
      </c>
      <c r="R538" s="2" t="inlineStr"/>
    </row>
    <row r="539" ht="15" customHeight="1">
      <c r="A539" t="inlineStr">
        <is>
          <t>A 43231-2023</t>
        </is>
      </c>
      <c r="B539" s="1" t="n">
        <v>45183.47025462963</v>
      </c>
      <c r="C539" s="1" t="n">
        <v>45971</v>
      </c>
      <c r="D539" t="inlineStr">
        <is>
          <t>GOTLANDS LÄN</t>
        </is>
      </c>
      <c r="E539" t="inlineStr">
        <is>
          <t>GOTLAND</t>
        </is>
      </c>
      <c r="G539" t="n">
        <v>3.6</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45971</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45971</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3935-2025</t>
        </is>
      </c>
      <c r="B542" s="1" t="n">
        <v>45684.46070601852</v>
      </c>
      <c r="C542" s="1" t="n">
        <v>45971</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30061-2025</t>
        </is>
      </c>
      <c r="B543" s="1" t="n">
        <v>45826.61488425926</v>
      </c>
      <c r="C543" s="1" t="n">
        <v>45971</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58160-2024</t>
        </is>
      </c>
      <c r="B544" s="1" t="n">
        <v>45632.44927083333</v>
      </c>
      <c r="C544" s="1" t="n">
        <v>45971</v>
      </c>
      <c r="D544" t="inlineStr">
        <is>
          <t>GOTLANDS LÄN</t>
        </is>
      </c>
      <c r="E544" t="inlineStr">
        <is>
          <t>GOTLAND</t>
        </is>
      </c>
      <c r="G544" t="n">
        <v>5.6</v>
      </c>
      <c r="H544" t="n">
        <v>0</v>
      </c>
      <c r="I544" t="n">
        <v>0</v>
      </c>
      <c r="J544" t="n">
        <v>0</v>
      </c>
      <c r="K544" t="n">
        <v>0</v>
      </c>
      <c r="L544" t="n">
        <v>0</v>
      </c>
      <c r="M544" t="n">
        <v>0</v>
      </c>
      <c r="N544" t="n">
        <v>0</v>
      </c>
      <c r="O544" t="n">
        <v>0</v>
      </c>
      <c r="P544" t="n">
        <v>0</v>
      </c>
      <c r="Q544" t="n">
        <v>0</v>
      </c>
      <c r="R544" s="2" t="inlineStr"/>
    </row>
    <row r="545" ht="15" customHeight="1">
      <c r="A545" t="inlineStr">
        <is>
          <t>A 20225-2025</t>
        </is>
      </c>
      <c r="B545" s="1" t="n">
        <v>45772.65802083333</v>
      </c>
      <c r="C545" s="1" t="n">
        <v>45971</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883-2025</t>
        </is>
      </c>
      <c r="B546" s="1" t="n">
        <v>45665</v>
      </c>
      <c r="C546" s="1" t="n">
        <v>45971</v>
      </c>
      <c r="D546" t="inlineStr">
        <is>
          <t>GOTLANDS LÄN</t>
        </is>
      </c>
      <c r="E546" t="inlineStr">
        <is>
          <t>GOTLAND</t>
        </is>
      </c>
      <c r="G546" t="n">
        <v>1.3</v>
      </c>
      <c r="H546" t="n">
        <v>0</v>
      </c>
      <c r="I546" t="n">
        <v>0</v>
      </c>
      <c r="J546" t="n">
        <v>0</v>
      </c>
      <c r="K546" t="n">
        <v>0</v>
      </c>
      <c r="L546" t="n">
        <v>0</v>
      </c>
      <c r="M546" t="n">
        <v>0</v>
      </c>
      <c r="N546" t="n">
        <v>0</v>
      </c>
      <c r="O546" t="n">
        <v>0</v>
      </c>
      <c r="P546" t="n">
        <v>0</v>
      </c>
      <c r="Q546" t="n">
        <v>0</v>
      </c>
      <c r="R546" s="2" t="inlineStr"/>
    </row>
    <row r="547" ht="15" customHeight="1">
      <c r="A547" t="inlineStr">
        <is>
          <t>A 43911-2025</t>
        </is>
      </c>
      <c r="B547" s="1" t="n">
        <v>45914.3881712963</v>
      </c>
      <c r="C547" s="1" t="n">
        <v>45971</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44410-2025</t>
        </is>
      </c>
      <c r="B548" s="1" t="n">
        <v>45916.53699074074</v>
      </c>
      <c r="C548" s="1" t="n">
        <v>45971</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43951-2025</t>
        </is>
      </c>
      <c r="B549" s="1" t="n">
        <v>45915.38119212963</v>
      </c>
      <c r="C549" s="1" t="n">
        <v>45971</v>
      </c>
      <c r="D549" t="inlineStr">
        <is>
          <t>GOTLANDS LÄN</t>
        </is>
      </c>
      <c r="E549" t="inlineStr">
        <is>
          <t>GOTLAND</t>
        </is>
      </c>
      <c r="G549" t="n">
        <v>4.4</v>
      </c>
      <c r="H549" t="n">
        <v>0</v>
      </c>
      <c r="I549" t="n">
        <v>0</v>
      </c>
      <c r="J549" t="n">
        <v>0</v>
      </c>
      <c r="K549" t="n">
        <v>0</v>
      </c>
      <c r="L549" t="n">
        <v>0</v>
      </c>
      <c r="M549" t="n">
        <v>0</v>
      </c>
      <c r="N549" t="n">
        <v>0</v>
      </c>
      <c r="O549" t="n">
        <v>0</v>
      </c>
      <c r="P549" t="n">
        <v>0</v>
      </c>
      <c r="Q549" t="n">
        <v>0</v>
      </c>
      <c r="R549" s="2" t="inlineStr"/>
    </row>
    <row r="550" ht="15" customHeight="1">
      <c r="A550" t="inlineStr">
        <is>
          <t>A 1066-2024</t>
        </is>
      </c>
      <c r="B550" s="1" t="n">
        <v>45302.285</v>
      </c>
      <c r="C550" s="1" t="n">
        <v>45971</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44405-2025</t>
        </is>
      </c>
      <c r="B551" s="1" t="n">
        <v>45916.52405092592</v>
      </c>
      <c r="C551" s="1" t="n">
        <v>45971</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17144-2025</t>
        </is>
      </c>
      <c r="B552" s="1" t="n">
        <v>45755.9499537037</v>
      </c>
      <c r="C552" s="1" t="n">
        <v>45971</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53561-2025</t>
        </is>
      </c>
      <c r="B553" s="1" t="n">
        <v>45960.4059375</v>
      </c>
      <c r="C553" s="1" t="n">
        <v>45971</v>
      </c>
      <c r="D553" t="inlineStr">
        <is>
          <t>GOTLANDS LÄN</t>
        </is>
      </c>
      <c r="E553" t="inlineStr">
        <is>
          <t>GOTLAND</t>
        </is>
      </c>
      <c r="F553" t="inlineStr">
        <is>
          <t>Övriga Aktiebolag</t>
        </is>
      </c>
      <c r="G553" t="n">
        <v>2.4</v>
      </c>
      <c r="H553" t="n">
        <v>0</v>
      </c>
      <c r="I553" t="n">
        <v>0</v>
      </c>
      <c r="J553" t="n">
        <v>0</v>
      </c>
      <c r="K553" t="n">
        <v>0</v>
      </c>
      <c r="L553" t="n">
        <v>0</v>
      </c>
      <c r="M553" t="n">
        <v>0</v>
      </c>
      <c r="N553" t="n">
        <v>0</v>
      </c>
      <c r="O553" t="n">
        <v>0</v>
      </c>
      <c r="P553" t="n">
        <v>0</v>
      </c>
      <c r="Q553" t="n">
        <v>0</v>
      </c>
      <c r="R553" s="2" t="inlineStr"/>
    </row>
    <row r="554" ht="15" customHeight="1">
      <c r="A554" t="inlineStr">
        <is>
          <t>A 53569-2025</t>
        </is>
      </c>
      <c r="B554" s="1" t="n">
        <v>45960.41155092593</v>
      </c>
      <c r="C554" s="1" t="n">
        <v>45971</v>
      </c>
      <c r="D554" t="inlineStr">
        <is>
          <t>GOTLANDS LÄN</t>
        </is>
      </c>
      <c r="E554" t="inlineStr">
        <is>
          <t>GOTLAND</t>
        </is>
      </c>
      <c r="F554" t="inlineStr">
        <is>
          <t>Övriga Aktiebolag</t>
        </is>
      </c>
      <c r="G554" t="n">
        <v>11.3</v>
      </c>
      <c r="H554" t="n">
        <v>0</v>
      </c>
      <c r="I554" t="n">
        <v>0</v>
      </c>
      <c r="J554" t="n">
        <v>0</v>
      </c>
      <c r="K554" t="n">
        <v>0</v>
      </c>
      <c r="L554" t="n">
        <v>0</v>
      </c>
      <c r="M554" t="n">
        <v>0</v>
      </c>
      <c r="N554" t="n">
        <v>0</v>
      </c>
      <c r="O554" t="n">
        <v>0</v>
      </c>
      <c r="P554" t="n">
        <v>0</v>
      </c>
      <c r="Q554" t="n">
        <v>0</v>
      </c>
      <c r="R554" s="2" t="inlineStr"/>
    </row>
    <row r="555" ht="15" customHeight="1">
      <c r="A555" t="inlineStr">
        <is>
          <t>A 53577-2025</t>
        </is>
      </c>
      <c r="B555" s="1" t="n">
        <v>45960.42224537037</v>
      </c>
      <c r="C555" s="1" t="n">
        <v>45971</v>
      </c>
      <c r="D555" t="inlineStr">
        <is>
          <t>GOTLANDS LÄN</t>
        </is>
      </c>
      <c r="E555" t="inlineStr">
        <is>
          <t>GOTLAND</t>
        </is>
      </c>
      <c r="F555" t="inlineStr">
        <is>
          <t>Övriga Aktiebolag</t>
        </is>
      </c>
      <c r="G555" t="n">
        <v>3.3</v>
      </c>
      <c r="H555" t="n">
        <v>0</v>
      </c>
      <c r="I555" t="n">
        <v>0</v>
      </c>
      <c r="J555" t="n">
        <v>0</v>
      </c>
      <c r="K555" t="n">
        <v>0</v>
      </c>
      <c r="L555" t="n">
        <v>0</v>
      </c>
      <c r="M555" t="n">
        <v>0</v>
      </c>
      <c r="N555" t="n">
        <v>0</v>
      </c>
      <c r="O555" t="n">
        <v>0</v>
      </c>
      <c r="P555" t="n">
        <v>0</v>
      </c>
      <c r="Q555" t="n">
        <v>0</v>
      </c>
      <c r="R555" s="2" t="inlineStr"/>
    </row>
    <row r="556" ht="15" customHeight="1">
      <c r="A556" t="inlineStr">
        <is>
          <t>A 53587-2025</t>
        </is>
      </c>
      <c r="B556" s="1" t="n">
        <v>45960.43681712963</v>
      </c>
      <c r="C556" s="1" t="n">
        <v>45971</v>
      </c>
      <c r="D556" t="inlineStr">
        <is>
          <t>GOTLANDS LÄN</t>
        </is>
      </c>
      <c r="E556" t="inlineStr">
        <is>
          <t>GOTLAND</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32379-2025</t>
        </is>
      </c>
      <c r="B557" s="1" t="n">
        <v>45837</v>
      </c>
      <c r="C557" s="1" t="n">
        <v>45971</v>
      </c>
      <c r="D557" t="inlineStr">
        <is>
          <t>GOTLANDS LÄN</t>
        </is>
      </c>
      <c r="E557" t="inlineStr">
        <is>
          <t>GOTLAND</t>
        </is>
      </c>
      <c r="G557" t="n">
        <v>1</v>
      </c>
      <c r="H557" t="n">
        <v>0</v>
      </c>
      <c r="I557" t="n">
        <v>0</v>
      </c>
      <c r="J557" t="n">
        <v>0</v>
      </c>
      <c r="K557" t="n">
        <v>0</v>
      </c>
      <c r="L557" t="n">
        <v>0</v>
      </c>
      <c r="M557" t="n">
        <v>0</v>
      </c>
      <c r="N557" t="n">
        <v>0</v>
      </c>
      <c r="O557" t="n">
        <v>0</v>
      </c>
      <c r="P557" t="n">
        <v>0</v>
      </c>
      <c r="Q557" t="n">
        <v>0</v>
      </c>
      <c r="R557" s="2" t="inlineStr"/>
    </row>
    <row r="558" ht="15" customHeight="1">
      <c r="A558" t="inlineStr">
        <is>
          <t>A 32467-2025</t>
        </is>
      </c>
      <c r="B558" s="1" t="n">
        <v>45838.42111111111</v>
      </c>
      <c r="C558" s="1" t="n">
        <v>45971</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32378-2025</t>
        </is>
      </c>
      <c r="B559" s="1" t="n">
        <v>45837</v>
      </c>
      <c r="C559" s="1" t="n">
        <v>45971</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56009-2024</t>
        </is>
      </c>
      <c r="B560" s="1" t="n">
        <v>45623.80864583333</v>
      </c>
      <c r="C560" s="1" t="n">
        <v>45971</v>
      </c>
      <c r="D560" t="inlineStr">
        <is>
          <t>GOTLANDS LÄN</t>
        </is>
      </c>
      <c r="E560" t="inlineStr">
        <is>
          <t>GOTLAND</t>
        </is>
      </c>
      <c r="G560" t="n">
        <v>2.8</v>
      </c>
      <c r="H560" t="n">
        <v>0</v>
      </c>
      <c r="I560" t="n">
        <v>0</v>
      </c>
      <c r="J560" t="n">
        <v>0</v>
      </c>
      <c r="K560" t="n">
        <v>0</v>
      </c>
      <c r="L560" t="n">
        <v>0</v>
      </c>
      <c r="M560" t="n">
        <v>0</v>
      </c>
      <c r="N560" t="n">
        <v>0</v>
      </c>
      <c r="O560" t="n">
        <v>0</v>
      </c>
      <c r="P560" t="n">
        <v>0</v>
      </c>
      <c r="Q560" t="n">
        <v>0</v>
      </c>
      <c r="R560" s="2" t="inlineStr"/>
    </row>
    <row r="561" ht="15" customHeight="1">
      <c r="A561" t="inlineStr">
        <is>
          <t>A 16109-2025</t>
        </is>
      </c>
      <c r="B561" s="1" t="n">
        <v>45750</v>
      </c>
      <c r="C561" s="1" t="n">
        <v>45971</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42338-2023</t>
        </is>
      </c>
      <c r="B562" s="1" t="n">
        <v>45180</v>
      </c>
      <c r="C562" s="1" t="n">
        <v>45971</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33007-2025</t>
        </is>
      </c>
      <c r="B563" s="1" t="n">
        <v>45840</v>
      </c>
      <c r="C563" s="1" t="n">
        <v>45971</v>
      </c>
      <c r="D563" t="inlineStr">
        <is>
          <t>GOTLANDS LÄN</t>
        </is>
      </c>
      <c r="E563" t="inlineStr">
        <is>
          <t>GOTLAND</t>
        </is>
      </c>
      <c r="G563" t="n">
        <v>4.9</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45971</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15413-2025</t>
        </is>
      </c>
      <c r="B565" s="1" t="n">
        <v>45747.451875</v>
      </c>
      <c r="C565" s="1" t="n">
        <v>45971</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61386-2023</t>
        </is>
      </c>
      <c r="B566" s="1" t="n">
        <v>45264</v>
      </c>
      <c r="C566" s="1" t="n">
        <v>45971</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52250-2025</t>
        </is>
      </c>
      <c r="B567" s="1" t="n">
        <v>45953.48998842593</v>
      </c>
      <c r="C567" s="1" t="n">
        <v>45971</v>
      </c>
      <c r="D567" t="inlineStr">
        <is>
          <t>GOTLANDS LÄN</t>
        </is>
      </c>
      <c r="E567" t="inlineStr">
        <is>
          <t>GOTLAND</t>
        </is>
      </c>
      <c r="F567" t="inlineStr">
        <is>
          <t>Övriga Aktiebolag</t>
        </is>
      </c>
      <c r="G567" t="n">
        <v>1.2</v>
      </c>
      <c r="H567" t="n">
        <v>0</v>
      </c>
      <c r="I567" t="n">
        <v>0</v>
      </c>
      <c r="J567" t="n">
        <v>0</v>
      </c>
      <c r="K567" t="n">
        <v>0</v>
      </c>
      <c r="L567" t="n">
        <v>0</v>
      </c>
      <c r="M567" t="n">
        <v>0</v>
      </c>
      <c r="N567" t="n">
        <v>0</v>
      </c>
      <c r="O567" t="n">
        <v>0</v>
      </c>
      <c r="P567" t="n">
        <v>0</v>
      </c>
      <c r="Q567" t="n">
        <v>0</v>
      </c>
      <c r="R567" s="2" t="inlineStr"/>
    </row>
    <row r="568" ht="15" customHeight="1">
      <c r="A568" t="inlineStr">
        <is>
          <t>A 35123-2025</t>
        </is>
      </c>
      <c r="B568" s="1" t="n">
        <v>45852.614375</v>
      </c>
      <c r="C568" s="1" t="n">
        <v>45971</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873-2024</t>
        </is>
      </c>
      <c r="B569" s="1" t="n">
        <v>45301</v>
      </c>
      <c r="C569" s="1" t="n">
        <v>45971</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49411-2023</t>
        </is>
      </c>
      <c r="B570" s="1" t="n">
        <v>45205</v>
      </c>
      <c r="C570" s="1" t="n">
        <v>45971</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35096-2025</t>
        </is>
      </c>
      <c r="B571" s="1" t="n">
        <v>45852.54356481481</v>
      </c>
      <c r="C571" s="1" t="n">
        <v>45971</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22275-2023</t>
        </is>
      </c>
      <c r="B572" s="1" t="n">
        <v>45070.39875</v>
      </c>
      <c r="C572" s="1" t="n">
        <v>45971</v>
      </c>
      <c r="D572" t="inlineStr">
        <is>
          <t>GOTLANDS LÄN</t>
        </is>
      </c>
      <c r="E572" t="inlineStr">
        <is>
          <t>GOTLAND</t>
        </is>
      </c>
      <c r="G572" t="n">
        <v>7.2</v>
      </c>
      <c r="H572" t="n">
        <v>0</v>
      </c>
      <c r="I572" t="n">
        <v>0</v>
      </c>
      <c r="J572" t="n">
        <v>0</v>
      </c>
      <c r="K572" t="n">
        <v>0</v>
      </c>
      <c r="L572" t="n">
        <v>0</v>
      </c>
      <c r="M572" t="n">
        <v>0</v>
      </c>
      <c r="N572" t="n">
        <v>0</v>
      </c>
      <c r="O572" t="n">
        <v>0</v>
      </c>
      <c r="P572" t="n">
        <v>0</v>
      </c>
      <c r="Q572" t="n">
        <v>0</v>
      </c>
      <c r="R572" s="2" t="inlineStr"/>
    </row>
    <row r="573" ht="15" customHeight="1">
      <c r="A573" t="inlineStr">
        <is>
          <t>A 12322-2025</t>
        </is>
      </c>
      <c r="B573" s="1" t="n">
        <v>45730</v>
      </c>
      <c r="C573" s="1" t="n">
        <v>45971</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30104-2025</t>
        </is>
      </c>
      <c r="B574" s="1" t="n">
        <v>45826.68806712963</v>
      </c>
      <c r="C574" s="1" t="n">
        <v>45971</v>
      </c>
      <c r="D574" t="inlineStr">
        <is>
          <t>GOTLANDS LÄN</t>
        </is>
      </c>
      <c r="E574" t="inlineStr">
        <is>
          <t>GOTLAND</t>
        </is>
      </c>
      <c r="G574" t="n">
        <v>15.4</v>
      </c>
      <c r="H574" t="n">
        <v>0</v>
      </c>
      <c r="I574" t="n">
        <v>0</v>
      </c>
      <c r="J574" t="n">
        <v>0</v>
      </c>
      <c r="K574" t="n">
        <v>0</v>
      </c>
      <c r="L574" t="n">
        <v>0</v>
      </c>
      <c r="M574" t="n">
        <v>0</v>
      </c>
      <c r="N574" t="n">
        <v>0</v>
      </c>
      <c r="O574" t="n">
        <v>0</v>
      </c>
      <c r="P574" t="n">
        <v>0</v>
      </c>
      <c r="Q574" t="n">
        <v>0</v>
      </c>
      <c r="R574" s="2" t="inlineStr"/>
    </row>
    <row r="575" ht="15" customHeight="1">
      <c r="A575" t="inlineStr">
        <is>
          <t>A 14797-2024</t>
        </is>
      </c>
      <c r="B575" s="1" t="n">
        <v>45397.87030092593</v>
      </c>
      <c r="C575" s="1" t="n">
        <v>45971</v>
      </c>
      <c r="D575" t="inlineStr">
        <is>
          <t>GOTLANDS LÄN</t>
        </is>
      </c>
      <c r="E575" t="inlineStr">
        <is>
          <t>GOTLAND</t>
        </is>
      </c>
      <c r="G575" t="n">
        <v>8.1</v>
      </c>
      <c r="H575" t="n">
        <v>0</v>
      </c>
      <c r="I575" t="n">
        <v>0</v>
      </c>
      <c r="J575" t="n">
        <v>0</v>
      </c>
      <c r="K575" t="n">
        <v>0</v>
      </c>
      <c r="L575" t="n">
        <v>0</v>
      </c>
      <c r="M575" t="n">
        <v>0</v>
      </c>
      <c r="N575" t="n">
        <v>0</v>
      </c>
      <c r="O575" t="n">
        <v>0</v>
      </c>
      <c r="P575" t="n">
        <v>0</v>
      </c>
      <c r="Q575" t="n">
        <v>0</v>
      </c>
      <c r="R575" s="2" t="inlineStr"/>
    </row>
    <row r="576" ht="15" customHeight="1">
      <c r="A576" t="inlineStr">
        <is>
          <t>A 999-2024</t>
        </is>
      </c>
      <c r="B576" s="1" t="n">
        <v>45301</v>
      </c>
      <c r="C576" s="1" t="n">
        <v>45971</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35290-2025</t>
        </is>
      </c>
      <c r="B577" s="1" t="n">
        <v>45854.38502314815</v>
      </c>
      <c r="C577" s="1" t="n">
        <v>45971</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32669-2024</t>
        </is>
      </c>
      <c r="B578" s="1" t="n">
        <v>45514</v>
      </c>
      <c r="C578" s="1" t="n">
        <v>45971</v>
      </c>
      <c r="D578" t="inlineStr">
        <is>
          <t>GOTLANDS LÄN</t>
        </is>
      </c>
      <c r="E578" t="inlineStr">
        <is>
          <t>GOTLAND</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61596-2023</t>
        </is>
      </c>
      <c r="B579" s="1" t="n">
        <v>45265</v>
      </c>
      <c r="C579" s="1" t="n">
        <v>45971</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35537-2025</t>
        </is>
      </c>
      <c r="B580" s="1" t="n">
        <v>45856</v>
      </c>
      <c r="C580" s="1" t="n">
        <v>45971</v>
      </c>
      <c r="D580" t="inlineStr">
        <is>
          <t>GOTLANDS LÄN</t>
        </is>
      </c>
      <c r="E580" t="inlineStr">
        <is>
          <t>GOTLAND</t>
        </is>
      </c>
      <c r="G580" t="n">
        <v>16.8</v>
      </c>
      <c r="H580" t="n">
        <v>0</v>
      </c>
      <c r="I580" t="n">
        <v>0</v>
      </c>
      <c r="J580" t="n">
        <v>0</v>
      </c>
      <c r="K580" t="n">
        <v>0</v>
      </c>
      <c r="L580" t="n">
        <v>0</v>
      </c>
      <c r="M580" t="n">
        <v>0</v>
      </c>
      <c r="N580" t="n">
        <v>0</v>
      </c>
      <c r="O580" t="n">
        <v>0</v>
      </c>
      <c r="P580" t="n">
        <v>0</v>
      </c>
      <c r="Q580" t="n">
        <v>0</v>
      </c>
      <c r="R580" s="2" t="inlineStr"/>
    </row>
    <row r="581" ht="15" customHeight="1">
      <c r="A581" t="inlineStr">
        <is>
          <t>A 35550-2025</t>
        </is>
      </c>
      <c r="B581" s="1" t="n">
        <v>45856.49324074074</v>
      </c>
      <c r="C581" s="1" t="n">
        <v>45971</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14638-2025</t>
        </is>
      </c>
      <c r="B582" s="1" t="n">
        <v>45742</v>
      </c>
      <c r="C582" s="1" t="n">
        <v>45971</v>
      </c>
      <c r="D582" t="inlineStr">
        <is>
          <t>GOTLANDS LÄN</t>
        </is>
      </c>
      <c r="E582" t="inlineStr">
        <is>
          <t>GOTLAND</t>
        </is>
      </c>
      <c r="G582" t="n">
        <v>13.4</v>
      </c>
      <c r="H582" t="n">
        <v>0</v>
      </c>
      <c r="I582" t="n">
        <v>0</v>
      </c>
      <c r="J582" t="n">
        <v>0</v>
      </c>
      <c r="K582" t="n">
        <v>0</v>
      </c>
      <c r="L582" t="n">
        <v>0</v>
      </c>
      <c r="M582" t="n">
        <v>0</v>
      </c>
      <c r="N582" t="n">
        <v>0</v>
      </c>
      <c r="O582" t="n">
        <v>0</v>
      </c>
      <c r="P582" t="n">
        <v>0</v>
      </c>
      <c r="Q582" t="n">
        <v>0</v>
      </c>
      <c r="R582" s="2" t="inlineStr"/>
    </row>
    <row r="583" ht="15" customHeight="1">
      <c r="A583" t="inlineStr">
        <is>
          <t>A 60675-2021</t>
        </is>
      </c>
      <c r="B583" s="1" t="n">
        <v>44496.64855324074</v>
      </c>
      <c r="C583" s="1" t="n">
        <v>45971</v>
      </c>
      <c r="D583" t="inlineStr">
        <is>
          <t>GOTLANDS LÄN</t>
        </is>
      </c>
      <c r="E583" t="inlineStr">
        <is>
          <t>GOTLAND</t>
        </is>
      </c>
      <c r="G583" t="n">
        <v>4.6</v>
      </c>
      <c r="H583" t="n">
        <v>0</v>
      </c>
      <c r="I583" t="n">
        <v>0</v>
      </c>
      <c r="J583" t="n">
        <v>0</v>
      </c>
      <c r="K583" t="n">
        <v>0</v>
      </c>
      <c r="L583" t="n">
        <v>0</v>
      </c>
      <c r="M583" t="n">
        <v>0</v>
      </c>
      <c r="N583" t="n">
        <v>0</v>
      </c>
      <c r="O583" t="n">
        <v>0</v>
      </c>
      <c r="P583" t="n">
        <v>0</v>
      </c>
      <c r="Q583" t="n">
        <v>0</v>
      </c>
      <c r="R583" s="2" t="inlineStr"/>
    </row>
    <row r="584" ht="15" customHeight="1">
      <c r="A584" t="inlineStr">
        <is>
          <t>A 37728-2024</t>
        </is>
      </c>
      <c r="B584" s="1" t="n">
        <v>45541</v>
      </c>
      <c r="C584" s="1" t="n">
        <v>45971</v>
      </c>
      <c r="D584" t="inlineStr">
        <is>
          <t>GOTLANDS LÄN</t>
        </is>
      </c>
      <c r="E584" t="inlineStr">
        <is>
          <t>GOTLAND</t>
        </is>
      </c>
      <c r="G584" t="n">
        <v>0.4</v>
      </c>
      <c r="H584" t="n">
        <v>0</v>
      </c>
      <c r="I584" t="n">
        <v>0</v>
      </c>
      <c r="J584" t="n">
        <v>0</v>
      </c>
      <c r="K584" t="n">
        <v>0</v>
      </c>
      <c r="L584" t="n">
        <v>0</v>
      </c>
      <c r="M584" t="n">
        <v>0</v>
      </c>
      <c r="N584" t="n">
        <v>0</v>
      </c>
      <c r="O584" t="n">
        <v>0</v>
      </c>
      <c r="P584" t="n">
        <v>0</v>
      </c>
      <c r="Q584" t="n">
        <v>0</v>
      </c>
      <c r="R584" s="2" t="inlineStr"/>
    </row>
    <row r="585" ht="15" customHeight="1">
      <c r="A585" t="inlineStr">
        <is>
          <t>A 15216-2025</t>
        </is>
      </c>
      <c r="B585" s="1" t="n">
        <v>45744</v>
      </c>
      <c r="C585" s="1" t="n">
        <v>45971</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43790-2024</t>
        </is>
      </c>
      <c r="B586" s="1" t="n">
        <v>45571</v>
      </c>
      <c r="C586" s="1" t="n">
        <v>45971</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22287-2022</t>
        </is>
      </c>
      <c r="B587" s="1" t="n">
        <v>44712</v>
      </c>
      <c r="C587" s="1" t="n">
        <v>45971</v>
      </c>
      <c r="D587" t="inlineStr">
        <is>
          <t>GOTLANDS LÄN</t>
        </is>
      </c>
      <c r="E587" t="inlineStr">
        <is>
          <t>GOTLAND</t>
        </is>
      </c>
      <c r="G587" t="n">
        <v>6.1</v>
      </c>
      <c r="H587" t="n">
        <v>0</v>
      </c>
      <c r="I587" t="n">
        <v>0</v>
      </c>
      <c r="J587" t="n">
        <v>0</v>
      </c>
      <c r="K587" t="n">
        <v>0</v>
      </c>
      <c r="L587" t="n">
        <v>0</v>
      </c>
      <c r="M587" t="n">
        <v>0</v>
      </c>
      <c r="N587" t="n">
        <v>0</v>
      </c>
      <c r="O587" t="n">
        <v>0</v>
      </c>
      <c r="P587" t="n">
        <v>0</v>
      </c>
      <c r="Q587" t="n">
        <v>0</v>
      </c>
      <c r="R587" s="2" t="inlineStr"/>
    </row>
    <row r="588" ht="15" customHeight="1">
      <c r="A588" t="inlineStr">
        <is>
          <t>A 15001-2025</t>
        </is>
      </c>
      <c r="B588" s="1" t="n">
        <v>45743</v>
      </c>
      <c r="C588" s="1" t="n">
        <v>45971</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30488-2025</t>
        </is>
      </c>
      <c r="B589" s="1" t="n">
        <v>45830</v>
      </c>
      <c r="C589" s="1" t="n">
        <v>45971</v>
      </c>
      <c r="D589" t="inlineStr">
        <is>
          <t>GOTLANDS LÄN</t>
        </is>
      </c>
      <c r="E589" t="inlineStr">
        <is>
          <t>GOTLAND</t>
        </is>
      </c>
      <c r="F589" t="inlineStr">
        <is>
          <t>Kyrkan</t>
        </is>
      </c>
      <c r="G589" t="n">
        <v>3.9</v>
      </c>
      <c r="H589" t="n">
        <v>0</v>
      </c>
      <c r="I589" t="n">
        <v>0</v>
      </c>
      <c r="J589" t="n">
        <v>0</v>
      </c>
      <c r="K589" t="n">
        <v>0</v>
      </c>
      <c r="L589" t="n">
        <v>0</v>
      </c>
      <c r="M589" t="n">
        <v>0</v>
      </c>
      <c r="N589" t="n">
        <v>0</v>
      </c>
      <c r="O589" t="n">
        <v>0</v>
      </c>
      <c r="P589" t="n">
        <v>0</v>
      </c>
      <c r="Q589" t="n">
        <v>0</v>
      </c>
      <c r="R589" s="2" t="inlineStr"/>
    </row>
    <row r="590" ht="15" customHeight="1">
      <c r="A590" t="inlineStr">
        <is>
          <t>A 17847-2025</t>
        </is>
      </c>
      <c r="B590" s="1" t="n">
        <v>45758</v>
      </c>
      <c r="C590" s="1" t="n">
        <v>45971</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18742-2025</t>
        </is>
      </c>
      <c r="B591" s="1" t="n">
        <v>45763</v>
      </c>
      <c r="C591" s="1" t="n">
        <v>45971</v>
      </c>
      <c r="D591" t="inlineStr">
        <is>
          <t>GOTLANDS LÄN</t>
        </is>
      </c>
      <c r="E591" t="inlineStr">
        <is>
          <t>GOTLAND</t>
        </is>
      </c>
      <c r="G591" t="n">
        <v>3.4</v>
      </c>
      <c r="H591" t="n">
        <v>0</v>
      </c>
      <c r="I591" t="n">
        <v>0</v>
      </c>
      <c r="J591" t="n">
        <v>0</v>
      </c>
      <c r="K591" t="n">
        <v>0</v>
      </c>
      <c r="L591" t="n">
        <v>0</v>
      </c>
      <c r="M591" t="n">
        <v>0</v>
      </c>
      <c r="N591" t="n">
        <v>0</v>
      </c>
      <c r="O591" t="n">
        <v>0</v>
      </c>
      <c r="P591" t="n">
        <v>0</v>
      </c>
      <c r="Q591" t="n">
        <v>0</v>
      </c>
      <c r="R591" s="2" t="inlineStr"/>
    </row>
    <row r="592" ht="15" customHeight="1">
      <c r="A592" t="inlineStr">
        <is>
          <t>A 36319-2025</t>
        </is>
      </c>
      <c r="B592" s="1" t="n">
        <v>45868</v>
      </c>
      <c r="C592" s="1" t="n">
        <v>45971</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54074-2022</t>
        </is>
      </c>
      <c r="B593" s="1" t="n">
        <v>44881</v>
      </c>
      <c r="C593" s="1" t="n">
        <v>45971</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35129-2025</t>
        </is>
      </c>
      <c r="B594" s="1" t="n">
        <v>45852.63224537037</v>
      </c>
      <c r="C594" s="1" t="n">
        <v>45971</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65249-2023</t>
        </is>
      </c>
      <c r="B595" s="1" t="n">
        <v>45290</v>
      </c>
      <c r="C595" s="1" t="n">
        <v>45971</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54584-2025</t>
        </is>
      </c>
      <c r="B596" s="1" t="n">
        <v>45965.71788194445</v>
      </c>
      <c r="C596" s="1" t="n">
        <v>45971</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13910-2025</t>
        </is>
      </c>
      <c r="B597" s="1" t="n">
        <v>45737</v>
      </c>
      <c r="C597" s="1" t="n">
        <v>45971</v>
      </c>
      <c r="D597" t="inlineStr">
        <is>
          <t>GOTLANDS LÄN</t>
        </is>
      </c>
      <c r="E597" t="inlineStr">
        <is>
          <t>GOTLAND</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17780-2022</t>
        </is>
      </c>
      <c r="B598" s="1" t="n">
        <v>44682.82622685185</v>
      </c>
      <c r="C598" s="1" t="n">
        <v>45971</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59986-2022</t>
        </is>
      </c>
      <c r="B599" s="1" t="n">
        <v>44909</v>
      </c>
      <c r="C599" s="1" t="n">
        <v>45971</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14536-2021</t>
        </is>
      </c>
      <c r="B600" s="1" t="n">
        <v>44279.66168981481</v>
      </c>
      <c r="C600" s="1" t="n">
        <v>45971</v>
      </c>
      <c r="D600" t="inlineStr">
        <is>
          <t>GOTLANDS LÄN</t>
        </is>
      </c>
      <c r="E600" t="inlineStr">
        <is>
          <t>GOTLAND</t>
        </is>
      </c>
      <c r="G600" t="n">
        <v>8.5</v>
      </c>
      <c r="H600" t="n">
        <v>0</v>
      </c>
      <c r="I600" t="n">
        <v>0</v>
      </c>
      <c r="J600" t="n">
        <v>0</v>
      </c>
      <c r="K600" t="n">
        <v>0</v>
      </c>
      <c r="L600" t="n">
        <v>0</v>
      </c>
      <c r="M600" t="n">
        <v>0</v>
      </c>
      <c r="N600" t="n">
        <v>0</v>
      </c>
      <c r="O600" t="n">
        <v>0</v>
      </c>
      <c r="P600" t="n">
        <v>0</v>
      </c>
      <c r="Q600" t="n">
        <v>0</v>
      </c>
      <c r="R600" s="2" t="inlineStr"/>
    </row>
    <row r="601" ht="15" customHeight="1">
      <c r="A601" t="inlineStr">
        <is>
          <t>A 6108-2025</t>
        </is>
      </c>
      <c r="B601" s="1" t="n">
        <v>45698.29880787037</v>
      </c>
      <c r="C601" s="1" t="n">
        <v>45971</v>
      </c>
      <c r="D601" t="inlineStr">
        <is>
          <t>GOTLANDS LÄN</t>
        </is>
      </c>
      <c r="E601" t="inlineStr">
        <is>
          <t>GOTLAND</t>
        </is>
      </c>
      <c r="G601" t="n">
        <v>2.8</v>
      </c>
      <c r="H601" t="n">
        <v>0</v>
      </c>
      <c r="I601" t="n">
        <v>0</v>
      </c>
      <c r="J601" t="n">
        <v>0</v>
      </c>
      <c r="K601" t="n">
        <v>0</v>
      </c>
      <c r="L601" t="n">
        <v>0</v>
      </c>
      <c r="M601" t="n">
        <v>0</v>
      </c>
      <c r="N601" t="n">
        <v>0</v>
      </c>
      <c r="O601" t="n">
        <v>0</v>
      </c>
      <c r="P601" t="n">
        <v>0</v>
      </c>
      <c r="Q601" t="n">
        <v>0</v>
      </c>
      <c r="R601" s="2" t="inlineStr"/>
    </row>
    <row r="602" ht="15" customHeight="1">
      <c r="A602" t="inlineStr">
        <is>
          <t>A 21142-2025</t>
        </is>
      </c>
      <c r="B602" s="1" t="n">
        <v>45779</v>
      </c>
      <c r="C602" s="1" t="n">
        <v>45971</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17343-2025</t>
        </is>
      </c>
      <c r="B603" s="1" t="n">
        <v>45756.6687037037</v>
      </c>
      <c r="C603" s="1" t="n">
        <v>45971</v>
      </c>
      <c r="D603" t="inlineStr">
        <is>
          <t>GOTLANDS LÄN</t>
        </is>
      </c>
      <c r="E603" t="inlineStr">
        <is>
          <t>GOTLAND</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18938-2025</t>
        </is>
      </c>
      <c r="B604" s="1" t="n">
        <v>45764.49172453704</v>
      </c>
      <c r="C604" s="1" t="n">
        <v>45971</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30489-2025</t>
        </is>
      </c>
      <c r="B605" s="1" t="n">
        <v>45830</v>
      </c>
      <c r="C605" s="1" t="n">
        <v>45971</v>
      </c>
      <c r="D605" t="inlineStr">
        <is>
          <t>GOTLANDS LÄN</t>
        </is>
      </c>
      <c r="E605" t="inlineStr">
        <is>
          <t>GOTLAND</t>
        </is>
      </c>
      <c r="G605" t="n">
        <v>4.6</v>
      </c>
      <c r="H605" t="n">
        <v>0</v>
      </c>
      <c r="I605" t="n">
        <v>0</v>
      </c>
      <c r="J605" t="n">
        <v>0</v>
      </c>
      <c r="K605" t="n">
        <v>0</v>
      </c>
      <c r="L605" t="n">
        <v>0</v>
      </c>
      <c r="M605" t="n">
        <v>0</v>
      </c>
      <c r="N605" t="n">
        <v>0</v>
      </c>
      <c r="O605" t="n">
        <v>0</v>
      </c>
      <c r="P605" t="n">
        <v>0</v>
      </c>
      <c r="Q605" t="n">
        <v>0</v>
      </c>
      <c r="R605" s="2" t="inlineStr"/>
    </row>
    <row r="606" ht="15" customHeight="1">
      <c r="A606" t="inlineStr">
        <is>
          <t>A 11874-2024</t>
        </is>
      </c>
      <c r="B606" s="1" t="n">
        <v>45376.46956018519</v>
      </c>
      <c r="C606" s="1" t="n">
        <v>45971</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20307-2025</t>
        </is>
      </c>
      <c r="B607" s="1" t="n">
        <v>45774.95546296296</v>
      </c>
      <c r="C607" s="1" t="n">
        <v>45971</v>
      </c>
      <c r="D607" t="inlineStr">
        <is>
          <t>GOTLANDS LÄN</t>
        </is>
      </c>
      <c r="E607" t="inlineStr">
        <is>
          <t>GOTLAND</t>
        </is>
      </c>
      <c r="G607" t="n">
        <v>6.8</v>
      </c>
      <c r="H607" t="n">
        <v>0</v>
      </c>
      <c r="I607" t="n">
        <v>0</v>
      </c>
      <c r="J607" t="n">
        <v>0</v>
      </c>
      <c r="K607" t="n">
        <v>0</v>
      </c>
      <c r="L607" t="n">
        <v>0</v>
      </c>
      <c r="M607" t="n">
        <v>0</v>
      </c>
      <c r="N607" t="n">
        <v>0</v>
      </c>
      <c r="O607" t="n">
        <v>0</v>
      </c>
      <c r="P607" t="n">
        <v>0</v>
      </c>
      <c r="Q607" t="n">
        <v>0</v>
      </c>
      <c r="R607" s="2" t="inlineStr"/>
    </row>
    <row r="608" ht="15" customHeight="1">
      <c r="A608" t="inlineStr">
        <is>
          <t>A 42041-2024</t>
        </is>
      </c>
      <c r="B608" s="1" t="n">
        <v>45561</v>
      </c>
      <c r="C608" s="1" t="n">
        <v>45971</v>
      </c>
      <c r="D608" t="inlineStr">
        <is>
          <t>GOTLANDS LÄN</t>
        </is>
      </c>
      <c r="E608" t="inlineStr">
        <is>
          <t>GOTLAND</t>
        </is>
      </c>
      <c r="G608" t="n">
        <v>3.2</v>
      </c>
      <c r="H608" t="n">
        <v>0</v>
      </c>
      <c r="I608" t="n">
        <v>0</v>
      </c>
      <c r="J608" t="n">
        <v>0</v>
      </c>
      <c r="K608" t="n">
        <v>0</v>
      </c>
      <c r="L608" t="n">
        <v>0</v>
      </c>
      <c r="M608" t="n">
        <v>0</v>
      </c>
      <c r="N608" t="n">
        <v>0</v>
      </c>
      <c r="O608" t="n">
        <v>0</v>
      </c>
      <c r="P608" t="n">
        <v>0</v>
      </c>
      <c r="Q608" t="n">
        <v>0</v>
      </c>
      <c r="R608" s="2" t="inlineStr"/>
    </row>
    <row r="609" ht="15" customHeight="1">
      <c r="A609" t="inlineStr">
        <is>
          <t>A 61694-2023</t>
        </is>
      </c>
      <c r="B609" s="1" t="n">
        <v>45264</v>
      </c>
      <c r="C609" s="1" t="n">
        <v>45971</v>
      </c>
      <c r="D609" t="inlineStr">
        <is>
          <t>GOTLANDS LÄN</t>
        </is>
      </c>
      <c r="E609" t="inlineStr">
        <is>
          <t>GOTLAND</t>
        </is>
      </c>
      <c r="G609" t="n">
        <v>4.6</v>
      </c>
      <c r="H609" t="n">
        <v>0</v>
      </c>
      <c r="I609" t="n">
        <v>0</v>
      </c>
      <c r="J609" t="n">
        <v>0</v>
      </c>
      <c r="K609" t="n">
        <v>0</v>
      </c>
      <c r="L609" t="n">
        <v>0</v>
      </c>
      <c r="M609" t="n">
        <v>0</v>
      </c>
      <c r="N609" t="n">
        <v>0</v>
      </c>
      <c r="O609" t="n">
        <v>0</v>
      </c>
      <c r="P609" t="n">
        <v>0</v>
      </c>
      <c r="Q609" t="n">
        <v>0</v>
      </c>
      <c r="R609" s="2" t="inlineStr"/>
    </row>
    <row r="610">
      <c r="A610" t="inlineStr">
        <is>
          <t>A 26391-2025</t>
        </is>
      </c>
      <c r="B610" s="1" t="n">
        <v>45806</v>
      </c>
      <c r="C610" s="1" t="n">
        <v>45971</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2025-11-10T10:12:56Z</dcterms:created>
  <dcterms:modified xmlns:dcterms="http://purl.org/dc/terms/" xmlns:xsi="http://www.w3.org/2001/XMLSchema-instance" xsi:type="dcterms:W3CDTF">2025-11-10T10:12:56Z</dcterms:modified>
</cp:coreProperties>
</file>