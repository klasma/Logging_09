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45880</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45880</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45880</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45880</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45880</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45880</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45880</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45880</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45880</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45880</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45880</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45880</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45880</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45880</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24309-2025</t>
        </is>
      </c>
      <c r="B22" s="1" t="n">
        <v>45797</v>
      </c>
      <c r="C22" s="1" t="n">
        <v>45880</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45880</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569-2023</t>
        </is>
      </c>
      <c r="B24" s="1" t="n">
        <v>44930</v>
      </c>
      <c r="C24" s="1" t="n">
        <v>45880</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2222-2024</t>
        </is>
      </c>
      <c r="B25" s="1" t="n">
        <v>45309</v>
      </c>
      <c r="C25" s="1" t="n">
        <v>45880</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45880</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45880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45880</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45880</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45880</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45880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45880</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45880</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45880</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45880</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45880</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45880</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45880</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45880</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45880</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45880</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45880</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45880</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45880</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45880</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45880</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45880</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45880</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45880</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45880</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10419-2025</t>
        </is>
      </c>
      <c r="B52" s="1" t="n">
        <v>45720</v>
      </c>
      <c r="C52" s="1" t="n">
        <v>45880</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45880</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45880</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45880</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45880</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45880</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45880</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45880</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45880</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45880</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45880</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45880</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45880</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32326-2024</t>
        </is>
      </c>
      <c r="B66" s="1" t="n">
        <v>45512</v>
      </c>
      <c r="C66" s="1" t="n">
        <v>45880</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54055-2022</t>
        </is>
      </c>
      <c r="B67" s="1" t="n">
        <v>44881</v>
      </c>
      <c r="C67" s="1" t="n">
        <v>45880</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39425-2023</t>
        </is>
      </c>
      <c r="B68" s="1" t="n">
        <v>45166</v>
      </c>
      <c r="C68" s="1" t="n">
        <v>45880</v>
      </c>
      <c r="D68" t="inlineStr">
        <is>
          <t>GOTLANDS LÄN</t>
        </is>
      </c>
      <c r="E68" t="inlineStr">
        <is>
          <t>GOTLAND</t>
        </is>
      </c>
      <c r="G68" t="n">
        <v>3.9</v>
      </c>
      <c r="H68" t="n">
        <v>1</v>
      </c>
      <c r="I68" t="n">
        <v>3</v>
      </c>
      <c r="J68" t="n">
        <v>0</v>
      </c>
      <c r="K68" t="n">
        <v>2</v>
      </c>
      <c r="L68" t="n">
        <v>0</v>
      </c>
      <c r="M68" t="n">
        <v>0</v>
      </c>
      <c r="N68" t="n">
        <v>0</v>
      </c>
      <c r="O68" t="n">
        <v>2</v>
      </c>
      <c r="P68" t="n">
        <v>2</v>
      </c>
      <c r="Q68" t="n">
        <v>5</v>
      </c>
      <c r="R68" s="2" t="inlineStr">
        <is>
          <t>Knärot
Violgubbe
Anisspindling
Rödgul trumpetsvamp
Svavelriska</t>
        </is>
      </c>
      <c r="S68">
        <f>HYPERLINK("https://klasma.github.io/Logging_0980/artfynd/A 39425-2023 artfynd.xlsx", "A 39425-2023")</f>
        <v/>
      </c>
      <c r="T68">
        <f>HYPERLINK("https://klasma.github.io/Logging_0980/kartor/A 39425-2023 karta.png", "A 39425-2023")</f>
        <v/>
      </c>
      <c r="U68">
        <f>HYPERLINK("https://klasma.github.io/Logging_0980/knärot/A 39425-2023 karta knärot.png", "A 39425-2023")</f>
        <v/>
      </c>
      <c r="V68">
        <f>HYPERLINK("https://klasma.github.io/Logging_0980/klagomål/A 39425-2023 FSC-klagomål.docx", "A 39425-2023")</f>
        <v/>
      </c>
      <c r="W68">
        <f>HYPERLINK("https://klasma.github.io/Logging_0980/klagomålsmail/A 39425-2023 FSC-klagomål mail.docx", "A 39425-2023")</f>
        <v/>
      </c>
      <c r="X68">
        <f>HYPERLINK("https://klasma.github.io/Logging_0980/tillsyn/A 39425-2023 tillsynsbegäran.docx", "A 39425-2023")</f>
        <v/>
      </c>
      <c r="Y68">
        <f>HYPERLINK("https://klasma.github.io/Logging_0980/tillsynsmail/A 39425-2023 tillsynsbegäran mail.docx", "A 39425-2023")</f>
        <v/>
      </c>
    </row>
    <row r="69" ht="15" customHeight="1">
      <c r="A69" t="inlineStr">
        <is>
          <t>A 42936-2024</t>
        </is>
      </c>
      <c r="B69" s="1" t="n">
        <v>45567</v>
      </c>
      <c r="C69" s="1" t="n">
        <v>45880</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45880</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45880</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45880</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45880</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45880</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45880</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45880</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45880</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45880</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45880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45880</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45880</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45880</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45880</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45880</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45880</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45880</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45880</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45880</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45880</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45880</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45880</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45880</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45880</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45880</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45880</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20831-2024</t>
        </is>
      </c>
      <c r="B96" s="1" t="n">
        <v>45439</v>
      </c>
      <c r="C96" s="1" t="n">
        <v>45880</v>
      </c>
      <c r="D96" t="inlineStr">
        <is>
          <t>GOTLANDS LÄN</t>
        </is>
      </c>
      <c r="E96" t="inlineStr">
        <is>
          <t>GOTLAND</t>
        </is>
      </c>
      <c r="G96" t="n">
        <v>2.9</v>
      </c>
      <c r="H96" t="n">
        <v>2</v>
      </c>
      <c r="I96" t="n">
        <v>1</v>
      </c>
      <c r="J96" t="n">
        <v>2</v>
      </c>
      <c r="K96" t="n">
        <v>0</v>
      </c>
      <c r="L96" t="n">
        <v>0</v>
      </c>
      <c r="M96" t="n">
        <v>0</v>
      </c>
      <c r="N96" t="n">
        <v>0</v>
      </c>
      <c r="O96" t="n">
        <v>2</v>
      </c>
      <c r="P96" t="n">
        <v>0</v>
      </c>
      <c r="Q96" t="n">
        <v>3</v>
      </c>
      <c r="R96" s="2" t="inlineStr">
        <is>
          <t>Dårgräsfjäril
Svinrot
Skogsknipprot</t>
        </is>
      </c>
      <c r="S96">
        <f>HYPERLINK("https://klasma.github.io/Logging_0980/artfynd/A 20831-2024 artfynd.xlsx", "A 20831-2024")</f>
        <v/>
      </c>
      <c r="T96">
        <f>HYPERLINK("https://klasma.github.io/Logging_0980/kartor/A 20831-2024 karta.png", "A 20831-2024")</f>
        <v/>
      </c>
      <c r="V96">
        <f>HYPERLINK("https://klasma.github.io/Logging_0980/klagomål/A 20831-2024 FSC-klagomål.docx", "A 20831-2024")</f>
        <v/>
      </c>
      <c r="W96">
        <f>HYPERLINK("https://klasma.github.io/Logging_0980/klagomålsmail/A 20831-2024 FSC-klagomål mail.docx", "A 20831-2024")</f>
        <v/>
      </c>
      <c r="X96">
        <f>HYPERLINK("https://klasma.github.io/Logging_0980/tillsyn/A 20831-2024 tillsynsbegäran.docx", "A 20831-2024")</f>
        <v/>
      </c>
      <c r="Y96">
        <f>HYPERLINK("https://klasma.github.io/Logging_0980/tillsynsmail/A 20831-2024 tillsynsbegäran mail.docx", "A 20831-2024")</f>
        <v/>
      </c>
    </row>
    <row r="97" ht="15" customHeight="1">
      <c r="A97" t="inlineStr">
        <is>
          <t>A 12315-2024</t>
        </is>
      </c>
      <c r="B97" s="1" t="n">
        <v>45378.6434837963</v>
      </c>
      <c r="C97" s="1" t="n">
        <v>45880</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43013-2022</t>
        </is>
      </c>
      <c r="B98" s="1" t="n">
        <v>44833</v>
      </c>
      <c r="C98" s="1" t="n">
        <v>45880</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45880</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30490-2025</t>
        </is>
      </c>
      <c r="B100" s="1" t="n">
        <v>45830</v>
      </c>
      <c r="C100" s="1" t="n">
        <v>45880</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62326-2020</t>
        </is>
      </c>
      <c r="B101" s="1" t="n">
        <v>44160</v>
      </c>
      <c r="C101" s="1" t="n">
        <v>45880</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45880</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45880</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45880</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45880</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45880</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45880</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45880</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45880</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45880</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64263-2020</t>
        </is>
      </c>
      <c r="B111" s="1" t="n">
        <v>44168</v>
      </c>
      <c r="C111" s="1" t="n">
        <v>45880</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45880</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45880</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45880</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43321-2020</t>
        </is>
      </c>
      <c r="B115" s="1" t="n">
        <v>44081</v>
      </c>
      <c r="C115" s="1" t="n">
        <v>45880</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21879-2025</t>
        </is>
      </c>
      <c r="B116" s="1" t="n">
        <v>45784.40533564815</v>
      </c>
      <c r="C116" s="1" t="n">
        <v>45880</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54357-2024</t>
        </is>
      </c>
      <c r="B117" s="1" t="n">
        <v>45617.40662037037</v>
      </c>
      <c r="C117" s="1" t="n">
        <v>45880</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45880</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45880</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45880</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45880</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45880</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45880</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45880</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45880</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45880</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45880</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45880</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45880</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45880</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9862-2024</t>
        </is>
      </c>
      <c r="B131" s="1" t="n">
        <v>45363</v>
      </c>
      <c r="C131" s="1" t="n">
        <v>45880</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44308-2021</t>
        </is>
      </c>
      <c r="B132" s="1" t="n">
        <v>44434</v>
      </c>
      <c r="C132" s="1" t="n">
        <v>45880</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24245-2022</t>
        </is>
      </c>
      <c r="B133" s="1" t="n">
        <v>44725</v>
      </c>
      <c r="C133" s="1" t="n">
        <v>45880</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12379-2024</t>
        </is>
      </c>
      <c r="B134" s="1" t="n">
        <v>45379.28155092592</v>
      </c>
      <c r="C134" s="1" t="n">
        <v>45880</v>
      </c>
      <c r="D134" t="inlineStr">
        <is>
          <t>GOTLANDS LÄN</t>
        </is>
      </c>
      <c r="E134" t="inlineStr">
        <is>
          <t>GOTLAND</t>
        </is>
      </c>
      <c r="G134" t="n">
        <v>4.4</v>
      </c>
      <c r="H134" t="n">
        <v>0</v>
      </c>
      <c r="I134" t="n">
        <v>0</v>
      </c>
      <c r="J134" t="n">
        <v>1</v>
      </c>
      <c r="K134" t="n">
        <v>0</v>
      </c>
      <c r="L134" t="n">
        <v>0</v>
      </c>
      <c r="M134" t="n">
        <v>0</v>
      </c>
      <c r="N134" t="n">
        <v>0</v>
      </c>
      <c r="O134" t="n">
        <v>1</v>
      </c>
      <c r="P134" t="n">
        <v>0</v>
      </c>
      <c r="Q134" t="n">
        <v>1</v>
      </c>
      <c r="R134" s="2" t="inlineStr">
        <is>
          <t>Svinrot</t>
        </is>
      </c>
      <c r="S134">
        <f>HYPERLINK("https://klasma.github.io/Logging_0980/artfynd/A 12379-2024 artfynd.xlsx", "A 12379-2024")</f>
        <v/>
      </c>
      <c r="T134">
        <f>HYPERLINK("https://klasma.github.io/Logging_0980/kartor/A 12379-2024 karta.png", "A 12379-2024")</f>
        <v/>
      </c>
      <c r="V134">
        <f>HYPERLINK("https://klasma.github.io/Logging_0980/klagomål/A 12379-2024 FSC-klagomål.docx", "A 12379-2024")</f>
        <v/>
      </c>
      <c r="W134">
        <f>HYPERLINK("https://klasma.github.io/Logging_0980/klagomålsmail/A 12379-2024 FSC-klagomål mail.docx", "A 12379-2024")</f>
        <v/>
      </c>
      <c r="X134">
        <f>HYPERLINK("https://klasma.github.io/Logging_0980/tillsyn/A 12379-2024 tillsynsbegäran.docx", "A 12379-2024")</f>
        <v/>
      </c>
      <c r="Y134">
        <f>HYPERLINK("https://klasma.github.io/Logging_0980/tillsynsmail/A 12379-2024 tillsynsbegäran mail.docx", "A 12379-2024")</f>
        <v/>
      </c>
    </row>
    <row r="135" ht="15" customHeight="1">
      <c r="A135" t="inlineStr">
        <is>
          <t>A 17723-2021</t>
        </is>
      </c>
      <c r="B135" s="1" t="n">
        <v>44300</v>
      </c>
      <c r="C135" s="1" t="n">
        <v>45880</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447-2023</t>
        </is>
      </c>
      <c r="B136" s="1" t="n">
        <v>44929</v>
      </c>
      <c r="C136" s="1" t="n">
        <v>45880</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2213-2023</t>
        </is>
      </c>
      <c r="B137" s="1" t="n">
        <v>44942</v>
      </c>
      <c r="C137" s="1" t="n">
        <v>45880</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49847-2023</t>
        </is>
      </c>
      <c r="B138" s="1" t="n">
        <v>45212</v>
      </c>
      <c r="C138" s="1" t="n">
        <v>45880</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947-2023</t>
        </is>
      </c>
      <c r="B139" s="1" t="n">
        <v>44934</v>
      </c>
      <c r="C139" s="1" t="n">
        <v>45880</v>
      </c>
      <c r="D139" t="inlineStr">
        <is>
          <t>GOTLANDS LÄN</t>
        </is>
      </c>
      <c r="E139" t="inlineStr">
        <is>
          <t>GOTLAND</t>
        </is>
      </c>
      <c r="G139" t="n">
        <v>0.7</v>
      </c>
      <c r="H139" t="n">
        <v>1</v>
      </c>
      <c r="I139" t="n">
        <v>0</v>
      </c>
      <c r="J139" t="n">
        <v>0</v>
      </c>
      <c r="K139" t="n">
        <v>1</v>
      </c>
      <c r="L139" t="n">
        <v>0</v>
      </c>
      <c r="M139" t="n">
        <v>0</v>
      </c>
      <c r="N139" t="n">
        <v>0</v>
      </c>
      <c r="O139" t="n">
        <v>1</v>
      </c>
      <c r="P139" t="n">
        <v>1</v>
      </c>
      <c r="Q139" t="n">
        <v>1</v>
      </c>
      <c r="R139" s="2" t="inlineStr">
        <is>
          <t>Garderönn</t>
        </is>
      </c>
      <c r="S139">
        <f>HYPERLINK("https://klasma.github.io/Logging_0980/artfynd/A 947-2023 artfynd.xlsx", "A 947-2023")</f>
        <v/>
      </c>
      <c r="T139">
        <f>HYPERLINK("https://klasma.github.io/Logging_0980/kartor/A 947-2023 karta.png", "A 947-2023")</f>
        <v/>
      </c>
      <c r="V139">
        <f>HYPERLINK("https://klasma.github.io/Logging_0980/klagomål/A 947-2023 FSC-klagomål.docx", "A 947-2023")</f>
        <v/>
      </c>
      <c r="W139">
        <f>HYPERLINK("https://klasma.github.io/Logging_0980/klagomålsmail/A 947-2023 FSC-klagomål mail.docx", "A 947-2023")</f>
        <v/>
      </c>
      <c r="X139">
        <f>HYPERLINK("https://klasma.github.io/Logging_0980/tillsyn/A 947-2023 tillsynsbegäran.docx", "A 947-2023")</f>
        <v/>
      </c>
      <c r="Y139">
        <f>HYPERLINK("https://klasma.github.io/Logging_0980/tillsynsmail/A 947-2023 tillsynsbegäran mail.docx", "A 947-2023")</f>
        <v/>
      </c>
    </row>
    <row r="140" ht="15" customHeight="1">
      <c r="A140" t="inlineStr">
        <is>
          <t>A 46527-2023</t>
        </is>
      </c>
      <c r="B140" s="1" t="n">
        <v>45197</v>
      </c>
      <c r="C140" s="1" t="n">
        <v>45880</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12324-2025</t>
        </is>
      </c>
      <c r="B141" s="1" t="n">
        <v>45730</v>
      </c>
      <c r="C141" s="1" t="n">
        <v>45880</v>
      </c>
      <c r="D141" t="inlineStr">
        <is>
          <t>GOTLANDS LÄN</t>
        </is>
      </c>
      <c r="E141" t="inlineStr">
        <is>
          <t>GOTLAND</t>
        </is>
      </c>
      <c r="G141" t="n">
        <v>5</v>
      </c>
      <c r="H141" t="n">
        <v>0</v>
      </c>
      <c r="I141" t="n">
        <v>0</v>
      </c>
      <c r="J141" t="n">
        <v>0</v>
      </c>
      <c r="K141" t="n">
        <v>1</v>
      </c>
      <c r="L141" t="n">
        <v>0</v>
      </c>
      <c r="M141" t="n">
        <v>0</v>
      </c>
      <c r="N141" t="n">
        <v>0</v>
      </c>
      <c r="O141" t="n">
        <v>1</v>
      </c>
      <c r="P141" t="n">
        <v>1</v>
      </c>
      <c r="Q141" t="n">
        <v>1</v>
      </c>
      <c r="R141" s="2" t="inlineStr">
        <is>
          <t>Sommarklynne</t>
        </is>
      </c>
      <c r="S141">
        <f>HYPERLINK("https://klasma.github.io/Logging_0980/artfynd/A 12324-2025 artfynd.xlsx", "A 12324-2025")</f>
        <v/>
      </c>
      <c r="T141">
        <f>HYPERLINK("https://klasma.github.io/Logging_0980/kartor/A 12324-2025 karta.png", "A 12324-2025")</f>
        <v/>
      </c>
      <c r="V141">
        <f>HYPERLINK("https://klasma.github.io/Logging_0980/klagomål/A 12324-2025 FSC-klagomål.docx", "A 12324-2025")</f>
        <v/>
      </c>
      <c r="W141">
        <f>HYPERLINK("https://klasma.github.io/Logging_0980/klagomålsmail/A 12324-2025 FSC-klagomål mail.docx", "A 12324-2025")</f>
        <v/>
      </c>
      <c r="X141">
        <f>HYPERLINK("https://klasma.github.io/Logging_0980/tillsyn/A 12324-2025 tillsynsbegäran.docx", "A 12324-2025")</f>
        <v/>
      </c>
      <c r="Y141">
        <f>HYPERLINK("https://klasma.github.io/Logging_0980/tillsynsmail/A 12324-2025 tillsynsbegäran mail.docx", "A 12324-2025")</f>
        <v/>
      </c>
    </row>
    <row r="142" ht="15" customHeight="1">
      <c r="A142" t="inlineStr">
        <is>
          <t>A 49304-2024</t>
        </is>
      </c>
      <c r="B142" s="1" t="n">
        <v>45595.54996527778</v>
      </c>
      <c r="C142" s="1" t="n">
        <v>45880</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45880</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45880</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44958-2020</t>
        </is>
      </c>
      <c r="B145" s="1" t="n">
        <v>44088</v>
      </c>
      <c r="C145" s="1" t="n">
        <v>45880</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25977-2024</t>
        </is>
      </c>
      <c r="B146" s="1" t="n">
        <v>45467.69356481481</v>
      </c>
      <c r="C146" s="1" t="n">
        <v>45880</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21466-2025</t>
        </is>
      </c>
      <c r="B147" s="1" t="n">
        <v>45782</v>
      </c>
      <c r="C147" s="1" t="n">
        <v>45880</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27589-2023</t>
        </is>
      </c>
      <c r="B148" s="1" t="n">
        <v>45097</v>
      </c>
      <c r="C148" s="1" t="n">
        <v>45880</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35574-2024</t>
        </is>
      </c>
      <c r="B149" s="1" t="n">
        <v>45531</v>
      </c>
      <c r="C149" s="1" t="n">
        <v>45880</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65927-2021</t>
        </is>
      </c>
      <c r="B150" s="1" t="n">
        <v>44516</v>
      </c>
      <c r="C150" s="1" t="n">
        <v>45880</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7637-2025</t>
        </is>
      </c>
      <c r="B151" s="1" t="n">
        <v>45705.77181712963</v>
      </c>
      <c r="C151" s="1" t="n">
        <v>45880</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10440-2024</t>
        </is>
      </c>
      <c r="B152" s="1" t="n">
        <v>45366.32818287037</v>
      </c>
      <c r="C152" s="1" t="n">
        <v>45880</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61796-2022</t>
        </is>
      </c>
      <c r="B153" s="1" t="n">
        <v>44917</v>
      </c>
      <c r="C153" s="1" t="n">
        <v>45880</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48155-2024</t>
        </is>
      </c>
      <c r="B154" s="1" t="n">
        <v>45589.68863425926</v>
      </c>
      <c r="C154" s="1" t="n">
        <v>45880</v>
      </c>
      <c r="D154" t="inlineStr">
        <is>
          <t>GOTLANDS LÄN</t>
        </is>
      </c>
      <c r="E154" t="inlineStr">
        <is>
          <t>GOTLAND</t>
        </is>
      </c>
      <c r="G154" t="n">
        <v>2.4</v>
      </c>
      <c r="H154" t="n">
        <v>1</v>
      </c>
      <c r="I154" t="n">
        <v>0</v>
      </c>
      <c r="J154" t="n">
        <v>0</v>
      </c>
      <c r="K154" t="n">
        <v>0</v>
      </c>
      <c r="L154" t="n">
        <v>0</v>
      </c>
      <c r="M154" t="n">
        <v>0</v>
      </c>
      <c r="N154" t="n">
        <v>0</v>
      </c>
      <c r="O154" t="n">
        <v>0</v>
      </c>
      <c r="P154" t="n">
        <v>0</v>
      </c>
      <c r="Q154" t="n">
        <v>1</v>
      </c>
      <c r="R154" s="2" t="inlineStr">
        <is>
          <t>Gröngöling</t>
        </is>
      </c>
      <c r="S154">
        <f>HYPERLINK("https://klasma.github.io/Logging_0980/artfynd/A 48155-2024 artfynd.xlsx", "A 48155-2024")</f>
        <v/>
      </c>
      <c r="T154">
        <f>HYPERLINK("https://klasma.github.io/Logging_0980/kartor/A 48155-2024 karta.png", "A 48155-2024")</f>
        <v/>
      </c>
      <c r="V154">
        <f>HYPERLINK("https://klasma.github.io/Logging_0980/klagomål/A 48155-2024 FSC-klagomål.docx", "A 48155-2024")</f>
        <v/>
      </c>
      <c r="W154">
        <f>HYPERLINK("https://klasma.github.io/Logging_0980/klagomålsmail/A 48155-2024 FSC-klagomål mail.docx", "A 48155-2024")</f>
        <v/>
      </c>
      <c r="X154">
        <f>HYPERLINK("https://klasma.github.io/Logging_0980/tillsyn/A 48155-2024 tillsynsbegäran.docx", "A 48155-2024")</f>
        <v/>
      </c>
      <c r="Y154">
        <f>HYPERLINK("https://klasma.github.io/Logging_0980/tillsynsmail/A 48155-2024 tillsynsbegäran mail.docx", "A 48155-2024")</f>
        <v/>
      </c>
      <c r="Z154">
        <f>HYPERLINK("https://klasma.github.io/Logging_0980/fåglar/A 48155-2024 prioriterade fågelarter.docx", "A 48155-2024")</f>
        <v/>
      </c>
    </row>
    <row r="155" ht="15" customHeight="1">
      <c r="A155" t="inlineStr">
        <is>
          <t>A 12924-2025</t>
        </is>
      </c>
      <c r="B155" s="1" t="n">
        <v>45734</v>
      </c>
      <c r="C155" s="1" t="n">
        <v>45880</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6303-2024</t>
        </is>
      </c>
      <c r="B156" s="1" t="n">
        <v>45338.35376157407</v>
      </c>
      <c r="C156" s="1" t="n">
        <v>45880</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15637-2024</t>
        </is>
      </c>
      <c r="B157" s="1" t="n">
        <v>45403.6684837963</v>
      </c>
      <c r="C157" s="1" t="n">
        <v>45880</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44468-2024</t>
        </is>
      </c>
      <c r="B158" s="1" t="n">
        <v>45574.36651620371</v>
      </c>
      <c r="C158" s="1" t="n">
        <v>45880</v>
      </c>
      <c r="D158" t="inlineStr">
        <is>
          <t>GOTLANDS LÄN</t>
        </is>
      </c>
      <c r="E158" t="inlineStr">
        <is>
          <t>GOTLAND</t>
        </is>
      </c>
      <c r="G158" t="n">
        <v>7</v>
      </c>
      <c r="H158" t="n">
        <v>0</v>
      </c>
      <c r="I158" t="n">
        <v>0</v>
      </c>
      <c r="J158" t="n">
        <v>0</v>
      </c>
      <c r="K158" t="n">
        <v>0</v>
      </c>
      <c r="L158" t="n">
        <v>0</v>
      </c>
      <c r="M158" t="n">
        <v>1</v>
      </c>
      <c r="N158" t="n">
        <v>0</v>
      </c>
      <c r="O158" t="n">
        <v>1</v>
      </c>
      <c r="P158" t="n">
        <v>1</v>
      </c>
      <c r="Q158" t="n">
        <v>1</v>
      </c>
      <c r="R158" s="2" t="inlineStr">
        <is>
          <t>Skogsalm</t>
        </is>
      </c>
      <c r="S158">
        <f>HYPERLINK("https://klasma.github.io/Logging_0980/artfynd/A 44468-2024 artfynd.xlsx", "A 44468-2024")</f>
        <v/>
      </c>
      <c r="T158">
        <f>HYPERLINK("https://klasma.github.io/Logging_0980/kartor/A 44468-2024 karta.png", "A 44468-2024")</f>
        <v/>
      </c>
      <c r="V158">
        <f>HYPERLINK("https://klasma.github.io/Logging_0980/klagomål/A 44468-2024 FSC-klagomål.docx", "A 44468-2024")</f>
        <v/>
      </c>
      <c r="W158">
        <f>HYPERLINK("https://klasma.github.io/Logging_0980/klagomålsmail/A 44468-2024 FSC-klagomål mail.docx", "A 44468-2024")</f>
        <v/>
      </c>
      <c r="X158">
        <f>HYPERLINK("https://klasma.github.io/Logging_0980/tillsyn/A 44468-2024 tillsynsbegäran.docx", "A 44468-2024")</f>
        <v/>
      </c>
      <c r="Y158">
        <f>HYPERLINK("https://klasma.github.io/Logging_0980/tillsynsmail/A 44468-2024 tillsynsbegäran mail.docx", "A 44468-2024")</f>
        <v/>
      </c>
    </row>
    <row r="159" ht="15" customHeight="1">
      <c r="A159" t="inlineStr">
        <is>
          <t>A 34809-2024</t>
        </is>
      </c>
      <c r="B159" s="1" t="n">
        <v>45526</v>
      </c>
      <c r="C159" s="1" t="n">
        <v>45880</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43219-2023</t>
        </is>
      </c>
      <c r="B160" s="1" t="n">
        <v>45183</v>
      </c>
      <c r="C160" s="1" t="n">
        <v>45880</v>
      </c>
      <c r="D160" t="inlineStr">
        <is>
          <t>GOTLANDS LÄN</t>
        </is>
      </c>
      <c r="E160" t="inlineStr">
        <is>
          <t>GOTLAND</t>
        </is>
      </c>
      <c r="G160" t="n">
        <v>3.6</v>
      </c>
      <c r="H160" t="n">
        <v>1</v>
      </c>
      <c r="I160" t="n">
        <v>0</v>
      </c>
      <c r="J160" t="n">
        <v>0</v>
      </c>
      <c r="K160" t="n">
        <v>0</v>
      </c>
      <c r="L160" t="n">
        <v>0</v>
      </c>
      <c r="M160" t="n">
        <v>0</v>
      </c>
      <c r="N160" t="n">
        <v>0</v>
      </c>
      <c r="O160" t="n">
        <v>0</v>
      </c>
      <c r="P160" t="n">
        <v>0</v>
      </c>
      <c r="Q160" t="n">
        <v>1</v>
      </c>
      <c r="R160" s="2" t="inlineStr">
        <is>
          <t>Skogsduva</t>
        </is>
      </c>
      <c r="S160">
        <f>HYPERLINK("https://klasma.github.io/Logging_0980/artfynd/A 43219-2023 artfynd.xlsx", "A 43219-2023")</f>
        <v/>
      </c>
      <c r="T160">
        <f>HYPERLINK("https://klasma.github.io/Logging_0980/kartor/A 43219-2023 karta.png", "A 43219-2023")</f>
        <v/>
      </c>
      <c r="V160">
        <f>HYPERLINK("https://klasma.github.io/Logging_0980/klagomål/A 43219-2023 FSC-klagomål.docx", "A 43219-2023")</f>
        <v/>
      </c>
      <c r="W160">
        <f>HYPERLINK("https://klasma.github.io/Logging_0980/klagomålsmail/A 43219-2023 FSC-klagomål mail.docx", "A 43219-2023")</f>
        <v/>
      </c>
      <c r="X160">
        <f>HYPERLINK("https://klasma.github.io/Logging_0980/tillsyn/A 43219-2023 tillsynsbegäran.docx", "A 43219-2023")</f>
        <v/>
      </c>
      <c r="Y160">
        <f>HYPERLINK("https://klasma.github.io/Logging_0980/tillsynsmail/A 43219-2023 tillsynsbegäran mail.docx", "A 43219-2023")</f>
        <v/>
      </c>
      <c r="Z160">
        <f>HYPERLINK("https://klasma.github.io/Logging_0980/fåglar/A 43219-2023 prioriterade fågelarter.docx", "A 43219-2023")</f>
        <v/>
      </c>
    </row>
    <row r="161" ht="15" customHeight="1">
      <c r="A161" t="inlineStr">
        <is>
          <t>A 2476-2025</t>
        </is>
      </c>
      <c r="B161" s="1" t="n">
        <v>45673</v>
      </c>
      <c r="C161" s="1" t="n">
        <v>45880</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26461-2025</t>
        </is>
      </c>
      <c r="B162" s="1" t="n">
        <v>45807.43337962963</v>
      </c>
      <c r="C162" s="1" t="n">
        <v>45880</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10995-2023</t>
        </is>
      </c>
      <c r="B163" s="1" t="n">
        <v>44986</v>
      </c>
      <c r="C163" s="1" t="n">
        <v>45880</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45880</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61561-2023</t>
        </is>
      </c>
      <c r="B165" s="1" t="n">
        <v>45265</v>
      </c>
      <c r="C165" s="1" t="n">
        <v>45880</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8725-2025</t>
        </is>
      </c>
      <c r="B166" s="1" t="n">
        <v>45712</v>
      </c>
      <c r="C166" s="1" t="n">
        <v>45880</v>
      </c>
      <c r="D166" t="inlineStr">
        <is>
          <t>GOTLANDS LÄN</t>
        </is>
      </c>
      <c r="E166" t="inlineStr">
        <is>
          <t>GOTLAND</t>
        </is>
      </c>
      <c r="G166" t="n">
        <v>4.4</v>
      </c>
      <c r="H166" t="n">
        <v>1</v>
      </c>
      <c r="I166" t="n">
        <v>0</v>
      </c>
      <c r="J166" t="n">
        <v>1</v>
      </c>
      <c r="K166" t="n">
        <v>0</v>
      </c>
      <c r="L166" t="n">
        <v>0</v>
      </c>
      <c r="M166" t="n">
        <v>0</v>
      </c>
      <c r="N166" t="n">
        <v>0</v>
      </c>
      <c r="O166" t="n">
        <v>1</v>
      </c>
      <c r="P166" t="n">
        <v>0</v>
      </c>
      <c r="Q166" t="n">
        <v>1</v>
      </c>
      <c r="R166" s="2" t="inlineStr">
        <is>
          <t>Spillkråka</t>
        </is>
      </c>
      <c r="S166">
        <f>HYPERLINK("https://klasma.github.io/Logging_0980/artfynd/A 8725-2025 artfynd.xlsx", "A 8725-2025")</f>
        <v/>
      </c>
      <c r="T166">
        <f>HYPERLINK("https://klasma.github.io/Logging_0980/kartor/A 8725-2025 karta.png", "A 8725-2025")</f>
        <v/>
      </c>
      <c r="V166">
        <f>HYPERLINK("https://klasma.github.io/Logging_0980/klagomål/A 8725-2025 FSC-klagomål.docx", "A 8725-2025")</f>
        <v/>
      </c>
      <c r="W166">
        <f>HYPERLINK("https://klasma.github.io/Logging_0980/klagomålsmail/A 8725-2025 FSC-klagomål mail.docx", "A 8725-2025")</f>
        <v/>
      </c>
      <c r="X166">
        <f>HYPERLINK("https://klasma.github.io/Logging_0980/tillsyn/A 8725-2025 tillsynsbegäran.docx", "A 8725-2025")</f>
        <v/>
      </c>
      <c r="Y166">
        <f>HYPERLINK("https://klasma.github.io/Logging_0980/tillsynsmail/A 8725-2025 tillsynsbegäran mail.docx", "A 8725-2025")</f>
        <v/>
      </c>
      <c r="Z166">
        <f>HYPERLINK("https://klasma.github.io/Logging_0980/fåglar/A 8725-2025 prioriterade fågelarter.docx", "A 8725-2025")</f>
        <v/>
      </c>
    </row>
    <row r="167" ht="15" customHeight="1">
      <c r="A167" t="inlineStr">
        <is>
          <t>A 44088-2022</t>
        </is>
      </c>
      <c r="B167" s="1" t="n">
        <v>44839</v>
      </c>
      <c r="C167" s="1" t="n">
        <v>45880</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34141-2024</t>
        </is>
      </c>
      <c r="B168" s="1" t="n">
        <v>45524.36229166666</v>
      </c>
      <c r="C168" s="1" t="n">
        <v>45880</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45880</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45880</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45880</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45880</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45880</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45880</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45880</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45880</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45880</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45880</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45880</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45880</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45880</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45880</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45880</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45880</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45880</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45880</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45880</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45880</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45880</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45880</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45880</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45880</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45880</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45880</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45880</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45880</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45880</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45880</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45880</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45880</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45880</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45880</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45880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45880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45880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45880</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45880</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45880</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45880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45880</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45880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45880</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45880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45880</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45880</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45880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45880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37204-2020</t>
        </is>
      </c>
      <c r="B233" s="1" t="n">
        <v>44054</v>
      </c>
      <c r="C233" s="1" t="n">
        <v>45880</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45880</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45880</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37569-2022</t>
        </is>
      </c>
      <c r="B236" s="1" t="n">
        <v>44809.68125</v>
      </c>
      <c r="C236" s="1" t="n">
        <v>45880</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55334-2024</t>
        </is>
      </c>
      <c r="B237" s="1" t="n">
        <v>45621</v>
      </c>
      <c r="C237" s="1" t="n">
        <v>45880</v>
      </c>
      <c r="D237" t="inlineStr">
        <is>
          <t>GOTLANDS LÄN</t>
        </is>
      </c>
      <c r="E237" t="inlineStr">
        <is>
          <t>GOTLAND</t>
        </is>
      </c>
      <c r="G237" t="n">
        <v>21.7</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45880</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45880</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43229-2023</t>
        </is>
      </c>
      <c r="B240" s="1" t="n">
        <v>45183.46704861111</v>
      </c>
      <c r="C240" s="1" t="n">
        <v>45880</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1175-2025</t>
        </is>
      </c>
      <c r="B241" s="1" t="n">
        <v>45667.34449074074</v>
      </c>
      <c r="C241" s="1" t="n">
        <v>45880</v>
      </c>
      <c r="D241" t="inlineStr">
        <is>
          <t>GOTLANDS LÄN</t>
        </is>
      </c>
      <c r="E241" t="inlineStr">
        <is>
          <t>GOTLAND</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27095-2022</t>
        </is>
      </c>
      <c r="B242" s="1" t="n">
        <v>44741</v>
      </c>
      <c r="C242" s="1" t="n">
        <v>45880</v>
      </c>
      <c r="D242" t="inlineStr">
        <is>
          <t>GOTLANDS LÄN</t>
        </is>
      </c>
      <c r="E242" t="inlineStr">
        <is>
          <t>GOTLAND</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22899-2023</t>
        </is>
      </c>
      <c r="B243" s="1" t="n">
        <v>45072</v>
      </c>
      <c r="C243" s="1" t="n">
        <v>45880</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37037-2021</t>
        </is>
      </c>
      <c r="B244" s="1" t="n">
        <v>44393.84688657407</v>
      </c>
      <c r="C244" s="1" t="n">
        <v>45880</v>
      </c>
      <c r="D244" t="inlineStr">
        <is>
          <t>GOTLANDS LÄN</t>
        </is>
      </c>
      <c r="E244" t="inlineStr">
        <is>
          <t>GOTLAND</t>
        </is>
      </c>
      <c r="G244" t="n">
        <v>10.2</v>
      </c>
      <c r="H244" t="n">
        <v>0</v>
      </c>
      <c r="I244" t="n">
        <v>0</v>
      </c>
      <c r="J244" t="n">
        <v>0</v>
      </c>
      <c r="K244" t="n">
        <v>0</v>
      </c>
      <c r="L244" t="n">
        <v>0</v>
      </c>
      <c r="M244" t="n">
        <v>0</v>
      </c>
      <c r="N244" t="n">
        <v>0</v>
      </c>
      <c r="O244" t="n">
        <v>0</v>
      </c>
      <c r="P244" t="n">
        <v>0</v>
      </c>
      <c r="Q244" t="n">
        <v>0</v>
      </c>
      <c r="R244" s="2" t="inlineStr"/>
    </row>
    <row r="245" ht="15" customHeight="1">
      <c r="A245" t="inlineStr">
        <is>
          <t>A 17901-2023</t>
        </is>
      </c>
      <c r="B245" s="1" t="n">
        <v>45039</v>
      </c>
      <c r="C245" s="1" t="n">
        <v>45880</v>
      </c>
      <c r="D245" t="inlineStr">
        <is>
          <t>GOTLANDS LÄN</t>
        </is>
      </c>
      <c r="E245" t="inlineStr">
        <is>
          <t>GOTLAND</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45880</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34407-2023</t>
        </is>
      </c>
      <c r="B247" s="1" t="n">
        <v>45132</v>
      </c>
      <c r="C247" s="1" t="n">
        <v>45880</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11013-2024</t>
        </is>
      </c>
      <c r="B248" s="1" t="n">
        <v>45370</v>
      </c>
      <c r="C248" s="1" t="n">
        <v>45880</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27694-2024</t>
        </is>
      </c>
      <c r="B249" s="1" t="n">
        <v>45475</v>
      </c>
      <c r="C249" s="1" t="n">
        <v>45880</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45880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15083-2025</t>
        </is>
      </c>
      <c r="B251" s="1" t="n">
        <v>45743</v>
      </c>
      <c r="C251" s="1" t="n">
        <v>45880</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45880</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13037-2025</t>
        </is>
      </c>
      <c r="B253" s="1" t="n">
        <v>45734</v>
      </c>
      <c r="C253" s="1" t="n">
        <v>45880</v>
      </c>
      <c r="D253" t="inlineStr">
        <is>
          <t>GOTLANDS LÄN</t>
        </is>
      </c>
      <c r="E253" t="inlineStr">
        <is>
          <t>GOTLAND</t>
        </is>
      </c>
      <c r="G253" t="n">
        <v>9.5</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45880</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6108-2025</t>
        </is>
      </c>
      <c r="B255" s="1" t="n">
        <v>45698.29880787037</v>
      </c>
      <c r="C255" s="1" t="n">
        <v>45880</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1713-2025</t>
        </is>
      </c>
      <c r="B256" s="1" t="n">
        <v>45671.32342592593</v>
      </c>
      <c r="C256" s="1" t="n">
        <v>45880</v>
      </c>
      <c r="D256" t="inlineStr">
        <is>
          <t>GOTLANDS LÄN</t>
        </is>
      </c>
      <c r="E256" t="inlineStr">
        <is>
          <t>GOTLAND</t>
        </is>
      </c>
      <c r="G256" t="n">
        <v>10.1</v>
      </c>
      <c r="H256" t="n">
        <v>0</v>
      </c>
      <c r="I256" t="n">
        <v>0</v>
      </c>
      <c r="J256" t="n">
        <v>0</v>
      </c>
      <c r="K256" t="n">
        <v>0</v>
      </c>
      <c r="L256" t="n">
        <v>0</v>
      </c>
      <c r="M256" t="n">
        <v>0</v>
      </c>
      <c r="N256" t="n">
        <v>0</v>
      </c>
      <c r="O256" t="n">
        <v>0</v>
      </c>
      <c r="P256" t="n">
        <v>0</v>
      </c>
      <c r="Q256" t="n">
        <v>0</v>
      </c>
      <c r="R256" s="2" t="inlineStr"/>
    </row>
    <row r="257" ht="15" customHeight="1">
      <c r="A257" t="inlineStr">
        <is>
          <t>A 8701-2025</t>
        </is>
      </c>
      <c r="B257" s="1" t="n">
        <v>45712</v>
      </c>
      <c r="C257" s="1" t="n">
        <v>45880</v>
      </c>
      <c r="D257" t="inlineStr">
        <is>
          <t>GOTLANDS LÄN</t>
        </is>
      </c>
      <c r="E257" t="inlineStr">
        <is>
          <t>GOTLAND</t>
        </is>
      </c>
      <c r="G257" t="n">
        <v>7</v>
      </c>
      <c r="H257" t="n">
        <v>0</v>
      </c>
      <c r="I257" t="n">
        <v>0</v>
      </c>
      <c r="J257" t="n">
        <v>0</v>
      </c>
      <c r="K257" t="n">
        <v>0</v>
      </c>
      <c r="L257" t="n">
        <v>0</v>
      </c>
      <c r="M257" t="n">
        <v>0</v>
      </c>
      <c r="N257" t="n">
        <v>0</v>
      </c>
      <c r="O257" t="n">
        <v>0</v>
      </c>
      <c r="P257" t="n">
        <v>0</v>
      </c>
      <c r="Q257" t="n">
        <v>0</v>
      </c>
      <c r="R257" s="2" t="inlineStr"/>
    </row>
    <row r="258" ht="15" customHeight="1">
      <c r="A258" t="inlineStr">
        <is>
          <t>A 458-2023</t>
        </is>
      </c>
      <c r="B258" s="1" t="n">
        <v>44929</v>
      </c>
      <c r="C258" s="1" t="n">
        <v>45880</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45880</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45880</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44228-2022</t>
        </is>
      </c>
      <c r="B261" s="1" t="n">
        <v>44839.51599537037</v>
      </c>
      <c r="C261" s="1" t="n">
        <v>45880</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58132-2023</t>
        </is>
      </c>
      <c r="B262" s="1" t="n">
        <v>45250</v>
      </c>
      <c r="C262" s="1" t="n">
        <v>45880</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17724-2024</t>
        </is>
      </c>
      <c r="B263" s="1" t="n">
        <v>45418.55096064815</v>
      </c>
      <c r="C263" s="1" t="n">
        <v>45880</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9613-2025</t>
        </is>
      </c>
      <c r="B264" s="1" t="n">
        <v>45715</v>
      </c>
      <c r="C264" s="1" t="n">
        <v>45880</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34312-2024</t>
        </is>
      </c>
      <c r="B265" s="1" t="n">
        <v>45524.69703703704</v>
      </c>
      <c r="C265" s="1" t="n">
        <v>45880</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15595-2024</t>
        </is>
      </c>
      <c r="B266" s="1" t="n">
        <v>45401.81480324074</v>
      </c>
      <c r="C266" s="1" t="n">
        <v>45880</v>
      </c>
      <c r="D266" t="inlineStr">
        <is>
          <t>GOTLANDS LÄN</t>
        </is>
      </c>
      <c r="E266" t="inlineStr">
        <is>
          <t>GOTLAND</t>
        </is>
      </c>
      <c r="G266" t="n">
        <v>6.4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45880</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49884-2023</t>
        </is>
      </c>
      <c r="B268" s="1" t="n">
        <v>45213</v>
      </c>
      <c r="C268" s="1" t="n">
        <v>45880</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45880</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15216-2025</t>
        </is>
      </c>
      <c r="B270" s="1" t="n">
        <v>45744</v>
      </c>
      <c r="C270" s="1" t="n">
        <v>45880</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6153-2024</t>
        </is>
      </c>
      <c r="B271" s="1" t="n">
        <v>45337</v>
      </c>
      <c r="C271" s="1" t="n">
        <v>45880</v>
      </c>
      <c r="D271" t="inlineStr">
        <is>
          <t>GOTLANDS LÄN</t>
        </is>
      </c>
      <c r="E271" t="inlineStr">
        <is>
          <t>GOTLAND</t>
        </is>
      </c>
      <c r="G271" t="n">
        <v>14.2</v>
      </c>
      <c r="H271" t="n">
        <v>0</v>
      </c>
      <c r="I271" t="n">
        <v>0</v>
      </c>
      <c r="J271" t="n">
        <v>0</v>
      </c>
      <c r="K271" t="n">
        <v>0</v>
      </c>
      <c r="L271" t="n">
        <v>0</v>
      </c>
      <c r="M271" t="n">
        <v>0</v>
      </c>
      <c r="N271" t="n">
        <v>0</v>
      </c>
      <c r="O271" t="n">
        <v>0</v>
      </c>
      <c r="P271" t="n">
        <v>0</v>
      </c>
      <c r="Q271" t="n">
        <v>0</v>
      </c>
      <c r="R271" s="2" t="inlineStr"/>
    </row>
    <row r="272" ht="15" customHeight="1">
      <c r="A272" t="inlineStr">
        <is>
          <t>A 876-2024</t>
        </is>
      </c>
      <c r="B272" s="1" t="n">
        <v>45301</v>
      </c>
      <c r="C272" s="1" t="n">
        <v>45880</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69112-2021</t>
        </is>
      </c>
      <c r="B273" s="1" t="n">
        <v>44530</v>
      </c>
      <c r="C273" s="1" t="n">
        <v>45880</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6796-2025</t>
        </is>
      </c>
      <c r="B274" s="1" t="n">
        <v>45700.66559027778</v>
      </c>
      <c r="C274" s="1" t="n">
        <v>45880</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45880</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46189-2022</t>
        </is>
      </c>
      <c r="B276" s="1" t="n">
        <v>44847</v>
      </c>
      <c r="C276" s="1" t="n">
        <v>45880</v>
      </c>
      <c r="D276" t="inlineStr">
        <is>
          <t>GOTLANDS LÄN</t>
        </is>
      </c>
      <c r="E276" t="inlineStr">
        <is>
          <t>GOTLAND</t>
        </is>
      </c>
      <c r="G276" t="n">
        <v>0.4</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45880</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50482-2024</t>
        </is>
      </c>
      <c r="B278" s="1" t="n">
        <v>45601.48114583334</v>
      </c>
      <c r="C278" s="1" t="n">
        <v>45880</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22704-2023</t>
        </is>
      </c>
      <c r="B279" s="1" t="n">
        <v>45071</v>
      </c>
      <c r="C279" s="1" t="n">
        <v>45880</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28425-2023</t>
        </is>
      </c>
      <c r="B280" s="1" t="n">
        <v>45102</v>
      </c>
      <c r="C280" s="1" t="n">
        <v>45880</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45880</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1394-2023</t>
        </is>
      </c>
      <c r="B282" s="1" t="n">
        <v>44936.72997685185</v>
      </c>
      <c r="C282" s="1" t="n">
        <v>45880</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58230-2024</t>
        </is>
      </c>
      <c r="B283" s="1" t="n">
        <v>45632.51625</v>
      </c>
      <c r="C283" s="1" t="n">
        <v>45880</v>
      </c>
      <c r="D283" t="inlineStr">
        <is>
          <t>GOTLANDS LÄN</t>
        </is>
      </c>
      <c r="E283" t="inlineStr">
        <is>
          <t>GOTLAND</t>
        </is>
      </c>
      <c r="G283" t="n">
        <v>7.3</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45880</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43200-2023</t>
        </is>
      </c>
      <c r="B285" s="1" t="n">
        <v>45183</v>
      </c>
      <c r="C285" s="1" t="n">
        <v>45880</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43223-2023</t>
        </is>
      </c>
      <c r="B286" s="1" t="n">
        <v>45183.45642361111</v>
      </c>
      <c r="C286" s="1" t="n">
        <v>45880</v>
      </c>
      <c r="D286" t="inlineStr">
        <is>
          <t>GOTLANDS LÄN</t>
        </is>
      </c>
      <c r="E286" t="inlineStr">
        <is>
          <t>GOTLAND</t>
        </is>
      </c>
      <c r="G286" t="n">
        <v>1.8</v>
      </c>
      <c r="H286" t="n">
        <v>0</v>
      </c>
      <c r="I286" t="n">
        <v>0</v>
      </c>
      <c r="J286" t="n">
        <v>0</v>
      </c>
      <c r="K286" t="n">
        <v>0</v>
      </c>
      <c r="L286" t="n">
        <v>0</v>
      </c>
      <c r="M286" t="n">
        <v>0</v>
      </c>
      <c r="N286" t="n">
        <v>0</v>
      </c>
      <c r="O286" t="n">
        <v>0</v>
      </c>
      <c r="P286" t="n">
        <v>0</v>
      </c>
      <c r="Q286" t="n">
        <v>0</v>
      </c>
      <c r="R286" s="2" t="inlineStr"/>
    </row>
    <row r="287" ht="15" customHeight="1">
      <c r="A287" t="inlineStr">
        <is>
          <t>A 12327-2025</t>
        </is>
      </c>
      <c r="B287" s="1" t="n">
        <v>45730</v>
      </c>
      <c r="C287" s="1" t="n">
        <v>45880</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3431-2025</t>
        </is>
      </c>
      <c r="B288" s="1" t="n">
        <v>45680.42935185185</v>
      </c>
      <c r="C288" s="1" t="n">
        <v>45880</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45880</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44204-2022</t>
        </is>
      </c>
      <c r="B290" s="1" t="n">
        <v>44839</v>
      </c>
      <c r="C290" s="1" t="n">
        <v>45880</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49314-2024</t>
        </is>
      </c>
      <c r="B291" s="1" t="n">
        <v>45595.55893518519</v>
      </c>
      <c r="C291" s="1" t="n">
        <v>45880</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44919-2022</t>
        </is>
      </c>
      <c r="B292" s="1" t="n">
        <v>44841</v>
      </c>
      <c r="C292" s="1" t="n">
        <v>45880</v>
      </c>
      <c r="D292" t="inlineStr">
        <is>
          <t>GOTLANDS LÄN</t>
        </is>
      </c>
      <c r="E292" t="inlineStr">
        <is>
          <t>GOTLAND</t>
        </is>
      </c>
      <c r="G292" t="n">
        <v>2.2</v>
      </c>
      <c r="H292" t="n">
        <v>0</v>
      </c>
      <c r="I292" t="n">
        <v>0</v>
      </c>
      <c r="J292" t="n">
        <v>0</v>
      </c>
      <c r="K292" t="n">
        <v>0</v>
      </c>
      <c r="L292" t="n">
        <v>0</v>
      </c>
      <c r="M292" t="n">
        <v>0</v>
      </c>
      <c r="N292" t="n">
        <v>0</v>
      </c>
      <c r="O292" t="n">
        <v>0</v>
      </c>
      <c r="P292" t="n">
        <v>0</v>
      </c>
      <c r="Q292" t="n">
        <v>0</v>
      </c>
      <c r="R292" s="2" t="inlineStr"/>
    </row>
    <row r="293" ht="15" customHeight="1">
      <c r="A293" t="inlineStr">
        <is>
          <t>A 25129-2023</t>
        </is>
      </c>
      <c r="B293" s="1" t="n">
        <v>45086.44261574074</v>
      </c>
      <c r="C293" s="1" t="n">
        <v>45880</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45880</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24192-2023</t>
        </is>
      </c>
      <c r="B295" s="1" t="n">
        <v>45079</v>
      </c>
      <c r="C295" s="1" t="n">
        <v>45880</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12209-2024</t>
        </is>
      </c>
      <c r="B296" s="1" t="n">
        <v>45378</v>
      </c>
      <c r="C296" s="1" t="n">
        <v>45880</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12210-2024</t>
        </is>
      </c>
      <c r="B297" s="1" t="n">
        <v>45378</v>
      </c>
      <c r="C297" s="1" t="n">
        <v>45880</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18914-2025</t>
        </is>
      </c>
      <c r="B298" s="1" t="n">
        <v>45764.46783564815</v>
      </c>
      <c r="C298" s="1" t="n">
        <v>45880</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1364-2025</t>
        </is>
      </c>
      <c r="B299" s="1" t="n">
        <v>45667.63929398148</v>
      </c>
      <c r="C299" s="1" t="n">
        <v>45880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15042-2025</t>
        </is>
      </c>
      <c r="B300" s="1" t="n">
        <v>45743</v>
      </c>
      <c r="C300" s="1" t="n">
        <v>45880</v>
      </c>
      <c r="D300" t="inlineStr">
        <is>
          <t>GOTLANDS LÄN</t>
        </is>
      </c>
      <c r="E300" t="inlineStr">
        <is>
          <t>GOTLAND</t>
        </is>
      </c>
      <c r="G300" t="n">
        <v>8.5</v>
      </c>
      <c r="H300" t="n">
        <v>0</v>
      </c>
      <c r="I300" t="n">
        <v>0</v>
      </c>
      <c r="J300" t="n">
        <v>0</v>
      </c>
      <c r="K300" t="n">
        <v>0</v>
      </c>
      <c r="L300" t="n">
        <v>0</v>
      </c>
      <c r="M300" t="n">
        <v>0</v>
      </c>
      <c r="N300" t="n">
        <v>0</v>
      </c>
      <c r="O300" t="n">
        <v>0</v>
      </c>
      <c r="P300" t="n">
        <v>0</v>
      </c>
      <c r="Q300" t="n">
        <v>0</v>
      </c>
      <c r="R300" s="2" t="inlineStr"/>
    </row>
    <row r="301" ht="15" customHeight="1">
      <c r="A301" t="inlineStr">
        <is>
          <t>A 18742-2025</t>
        </is>
      </c>
      <c r="B301" s="1" t="n">
        <v>45763</v>
      </c>
      <c r="C301" s="1" t="n">
        <v>45880</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5386-2023</t>
        </is>
      </c>
      <c r="B302" s="1" t="n">
        <v>44959</v>
      </c>
      <c r="C302" s="1" t="n">
        <v>45880</v>
      </c>
      <c r="D302" t="inlineStr">
        <is>
          <t>GOTLANDS LÄN</t>
        </is>
      </c>
      <c r="E302" t="inlineStr">
        <is>
          <t>GOTLAND</t>
        </is>
      </c>
      <c r="G302" t="n">
        <v>5.4</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45880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45880</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2180-2025</t>
        </is>
      </c>
      <c r="B305" s="1" t="n">
        <v>45673</v>
      </c>
      <c r="C305" s="1" t="n">
        <v>45880</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15436-2025</t>
        </is>
      </c>
      <c r="B306" s="1" t="n">
        <v>45747.47462962963</v>
      </c>
      <c r="C306" s="1" t="n">
        <v>45880</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10652-2025</t>
        </is>
      </c>
      <c r="B307" s="1" t="n">
        <v>45721.68640046296</v>
      </c>
      <c r="C307" s="1" t="n">
        <v>45880</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45880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45880</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45880</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49257-2024</t>
        </is>
      </c>
      <c r="B311" s="1" t="n">
        <v>45595.47627314815</v>
      </c>
      <c r="C311" s="1" t="n">
        <v>45880</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1000-2024</t>
        </is>
      </c>
      <c r="B312" s="1" t="n">
        <v>45301.63371527778</v>
      </c>
      <c r="C312" s="1" t="n">
        <v>45880</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1010-2024</t>
        </is>
      </c>
      <c r="B313" s="1" t="n">
        <v>45301</v>
      </c>
      <c r="C313" s="1" t="n">
        <v>45880</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45880</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45880</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44649-2021</t>
        </is>
      </c>
      <c r="B316" s="1" t="n">
        <v>44437</v>
      </c>
      <c r="C316" s="1" t="n">
        <v>45880</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9947-2024</t>
        </is>
      </c>
      <c r="B317" s="1" t="n">
        <v>45363</v>
      </c>
      <c r="C317" s="1" t="n">
        <v>45880</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45880</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45880</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45880</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32669-2024</t>
        </is>
      </c>
      <c r="B321" s="1" t="n">
        <v>45514</v>
      </c>
      <c r="C321" s="1" t="n">
        <v>45880</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2774-2024</t>
        </is>
      </c>
      <c r="B322" s="1" t="n">
        <v>45314.62375</v>
      </c>
      <c r="C322" s="1" t="n">
        <v>45880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27593-2023</t>
        </is>
      </c>
      <c r="B323" s="1" t="n">
        <v>45097</v>
      </c>
      <c r="C323" s="1" t="n">
        <v>45880</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60709-2023</t>
        </is>
      </c>
      <c r="B324" s="1" t="n">
        <v>45260</v>
      </c>
      <c r="C324" s="1" t="n">
        <v>45880</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47762-2023</t>
        </is>
      </c>
      <c r="B325" s="1" t="n">
        <v>45203.86256944444</v>
      </c>
      <c r="C325" s="1" t="n">
        <v>45880</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46545-2024</t>
        </is>
      </c>
      <c r="B326" s="1" t="n">
        <v>45582.65831018519</v>
      </c>
      <c r="C326" s="1" t="n">
        <v>45880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64208-2021</t>
        </is>
      </c>
      <c r="B327" s="1" t="n">
        <v>44510</v>
      </c>
      <c r="C327" s="1" t="n">
        <v>45880</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45880</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60086-2022</t>
        </is>
      </c>
      <c r="B329" s="1" t="n">
        <v>44909</v>
      </c>
      <c r="C329" s="1" t="n">
        <v>45880</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28480-2023</t>
        </is>
      </c>
      <c r="B330" s="1" t="n">
        <v>45103</v>
      </c>
      <c r="C330" s="1" t="n">
        <v>45880</v>
      </c>
      <c r="D330" t="inlineStr">
        <is>
          <t>GOTLANDS LÄN</t>
        </is>
      </c>
      <c r="E330" t="inlineStr">
        <is>
          <t>GOTLAND</t>
        </is>
      </c>
      <c r="G330" t="n">
        <v>5.7</v>
      </c>
      <c r="H330" t="n">
        <v>0</v>
      </c>
      <c r="I330" t="n">
        <v>0</v>
      </c>
      <c r="J330" t="n">
        <v>0</v>
      </c>
      <c r="K330" t="n">
        <v>0</v>
      </c>
      <c r="L330" t="n">
        <v>0</v>
      </c>
      <c r="M330" t="n">
        <v>0</v>
      </c>
      <c r="N330" t="n">
        <v>0</v>
      </c>
      <c r="O330" t="n">
        <v>0</v>
      </c>
      <c r="P330" t="n">
        <v>0</v>
      </c>
      <c r="Q330" t="n">
        <v>0</v>
      </c>
      <c r="R330" s="2" t="inlineStr"/>
    </row>
    <row r="331" ht="15" customHeight="1">
      <c r="A331" t="inlineStr">
        <is>
          <t>A 28485-2023</t>
        </is>
      </c>
      <c r="B331" s="1" t="n">
        <v>45103.43731481482</v>
      </c>
      <c r="C331" s="1" t="n">
        <v>45880</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63516-2023</t>
        </is>
      </c>
      <c r="B332" s="1" t="n">
        <v>45274</v>
      </c>
      <c r="C332" s="1" t="n">
        <v>45880</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45880</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62915-2021</t>
        </is>
      </c>
      <c r="B334" s="1" t="n">
        <v>44504</v>
      </c>
      <c r="C334" s="1" t="n">
        <v>45880</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45880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30892-2024</t>
        </is>
      </c>
      <c r="B336" s="1" t="n">
        <v>45491</v>
      </c>
      <c r="C336" s="1" t="n">
        <v>45880</v>
      </c>
      <c r="D336" t="inlineStr">
        <is>
          <t>GOTLANDS LÄN</t>
        </is>
      </c>
      <c r="E336" t="inlineStr">
        <is>
          <t>GOTLAND</t>
        </is>
      </c>
      <c r="G336" t="n">
        <v>6.1</v>
      </c>
      <c r="H336" t="n">
        <v>0</v>
      </c>
      <c r="I336" t="n">
        <v>0</v>
      </c>
      <c r="J336" t="n">
        <v>0</v>
      </c>
      <c r="K336" t="n">
        <v>0</v>
      </c>
      <c r="L336" t="n">
        <v>0</v>
      </c>
      <c r="M336" t="n">
        <v>0</v>
      </c>
      <c r="N336" t="n">
        <v>0</v>
      </c>
      <c r="O336" t="n">
        <v>0</v>
      </c>
      <c r="P336" t="n">
        <v>0</v>
      </c>
      <c r="Q336" t="n">
        <v>0</v>
      </c>
      <c r="R336" s="2" t="inlineStr"/>
    </row>
    <row r="337" ht="15" customHeight="1">
      <c r="A337" t="inlineStr">
        <is>
          <t>A 14635-2023</t>
        </is>
      </c>
      <c r="B337" s="1" t="n">
        <v>45013.69365740741</v>
      </c>
      <c r="C337" s="1" t="n">
        <v>45880</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45880</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45880</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45880</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45880</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45880</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45880</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37222-2021</t>
        </is>
      </c>
      <c r="B344" s="1" t="n">
        <v>44396</v>
      </c>
      <c r="C344" s="1" t="n">
        <v>45880</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45880</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45880</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45880</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45880</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1681-2023</t>
        </is>
      </c>
      <c r="B349" s="1" t="n">
        <v>44938.39715277778</v>
      </c>
      <c r="C349" s="1" t="n">
        <v>45880</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3964-2024</t>
        </is>
      </c>
      <c r="B350" s="1" t="n">
        <v>45322</v>
      </c>
      <c r="C350" s="1" t="n">
        <v>45880</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45084-2024</t>
        </is>
      </c>
      <c r="B351" s="1" t="n">
        <v>45575</v>
      </c>
      <c r="C351" s="1" t="n">
        <v>45880</v>
      </c>
      <c r="D351" t="inlineStr">
        <is>
          <t>GOTLANDS LÄN</t>
        </is>
      </c>
      <c r="E351" t="inlineStr">
        <is>
          <t>GOTLAND</t>
        </is>
      </c>
      <c r="G351" t="n">
        <v>6.8</v>
      </c>
      <c r="H351" t="n">
        <v>0</v>
      </c>
      <c r="I351" t="n">
        <v>0</v>
      </c>
      <c r="J351" t="n">
        <v>0</v>
      </c>
      <c r="K351" t="n">
        <v>0</v>
      </c>
      <c r="L351" t="n">
        <v>0</v>
      </c>
      <c r="M351" t="n">
        <v>0</v>
      </c>
      <c r="N351" t="n">
        <v>0</v>
      </c>
      <c r="O351" t="n">
        <v>0</v>
      </c>
      <c r="P351" t="n">
        <v>0</v>
      </c>
      <c r="Q351" t="n">
        <v>0</v>
      </c>
      <c r="R351" s="2" t="inlineStr"/>
    </row>
    <row r="352" ht="15" customHeight="1">
      <c r="A352" t="inlineStr">
        <is>
          <t>A 6099-2024</t>
        </is>
      </c>
      <c r="B352" s="1" t="n">
        <v>45337</v>
      </c>
      <c r="C352" s="1" t="n">
        <v>45880</v>
      </c>
      <c r="D352" t="inlineStr">
        <is>
          <t>GOTLANDS LÄN</t>
        </is>
      </c>
      <c r="E352" t="inlineStr">
        <is>
          <t>GOTLAND</t>
        </is>
      </c>
      <c r="G352" t="n">
        <v>12.6</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45880</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1273-2023</t>
        </is>
      </c>
      <c r="B354" s="1" t="n">
        <v>44936</v>
      </c>
      <c r="C354" s="1" t="n">
        <v>45880</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20794-2025</t>
        </is>
      </c>
      <c r="B355" s="1" t="n">
        <v>45776</v>
      </c>
      <c r="C355" s="1" t="n">
        <v>45880</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13627-2023</t>
        </is>
      </c>
      <c r="B356" s="1" t="n">
        <v>45006</v>
      </c>
      <c r="C356" s="1" t="n">
        <v>45880</v>
      </c>
      <c r="D356" t="inlineStr">
        <is>
          <t>GOTLANDS LÄN</t>
        </is>
      </c>
      <c r="E356" t="inlineStr">
        <is>
          <t>GOTLAND</t>
        </is>
      </c>
      <c r="G356" t="n">
        <v>10.7</v>
      </c>
      <c r="H356" t="n">
        <v>0</v>
      </c>
      <c r="I356" t="n">
        <v>0</v>
      </c>
      <c r="J356" t="n">
        <v>0</v>
      </c>
      <c r="K356" t="n">
        <v>0</v>
      </c>
      <c r="L356" t="n">
        <v>0</v>
      </c>
      <c r="M356" t="n">
        <v>0</v>
      </c>
      <c r="N356" t="n">
        <v>0</v>
      </c>
      <c r="O356" t="n">
        <v>0</v>
      </c>
      <c r="P356" t="n">
        <v>0</v>
      </c>
      <c r="Q356" t="n">
        <v>0</v>
      </c>
      <c r="R356" s="2" t="inlineStr"/>
    </row>
    <row r="357" ht="15" customHeight="1">
      <c r="A357" t="inlineStr">
        <is>
          <t>A 20812-2025</t>
        </is>
      </c>
      <c r="B357" s="1" t="n">
        <v>45776</v>
      </c>
      <c r="C357" s="1" t="n">
        <v>45880</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45880</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20805-2025</t>
        </is>
      </c>
      <c r="B359" s="1" t="n">
        <v>45776</v>
      </c>
      <c r="C359" s="1" t="n">
        <v>45880</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45880</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33876-2024</t>
        </is>
      </c>
      <c r="B361" s="1" t="n">
        <v>45521.87988425926</v>
      </c>
      <c r="C361" s="1" t="n">
        <v>45880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45880</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45880</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14915-2025</t>
        </is>
      </c>
      <c r="B364" s="1" t="n">
        <v>45743.53121527778</v>
      </c>
      <c r="C364" s="1" t="n">
        <v>45880</v>
      </c>
      <c r="D364" t="inlineStr">
        <is>
          <t>GOTLANDS LÄN</t>
        </is>
      </c>
      <c r="E364" t="inlineStr">
        <is>
          <t>GOTLAND</t>
        </is>
      </c>
      <c r="G364" t="n">
        <v>5.9</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45880</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45880</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45880</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61682-2024</t>
        </is>
      </c>
      <c r="B368" s="1" t="n">
        <v>45647.48824074074</v>
      </c>
      <c r="C368" s="1" t="n">
        <v>45880</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45880</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21651-2025</t>
        </is>
      </c>
      <c r="B370" s="1" t="n">
        <v>45783</v>
      </c>
      <c r="C370" s="1" t="n">
        <v>45880</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45880</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41373-2024</t>
        </is>
      </c>
      <c r="B372" s="1" t="n">
        <v>45559.82556712963</v>
      </c>
      <c r="C372" s="1" t="n">
        <v>45880</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1477-2024</t>
        </is>
      </c>
      <c r="B373" s="1" t="n">
        <v>45305.37987268518</v>
      </c>
      <c r="C373" s="1" t="n">
        <v>45880</v>
      </c>
      <c r="D373" t="inlineStr">
        <is>
          <t>GOTLANDS LÄN</t>
        </is>
      </c>
      <c r="E373" t="inlineStr">
        <is>
          <t>GOTLAND</t>
        </is>
      </c>
      <c r="G373" t="n">
        <v>6.9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45880</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43785-2024</t>
        </is>
      </c>
      <c r="B375" s="1" t="n">
        <v>45570</v>
      </c>
      <c r="C375" s="1" t="n">
        <v>45880</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45880</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58388-2022</t>
        </is>
      </c>
      <c r="B377" s="1" t="n">
        <v>44894</v>
      </c>
      <c r="C377" s="1" t="n">
        <v>45880</v>
      </c>
      <c r="D377" t="inlineStr">
        <is>
          <t>GOTLANDS LÄN</t>
        </is>
      </c>
      <c r="E377" t="inlineStr">
        <is>
          <t>GOTLAND</t>
        </is>
      </c>
      <c r="F377" t="inlineStr">
        <is>
          <t>Övriga statliga verk och myndigheter</t>
        </is>
      </c>
      <c r="G377" t="n">
        <v>3.1</v>
      </c>
      <c r="H377" t="n">
        <v>0</v>
      </c>
      <c r="I377" t="n">
        <v>0</v>
      </c>
      <c r="J377" t="n">
        <v>0</v>
      </c>
      <c r="K377" t="n">
        <v>0</v>
      </c>
      <c r="L377" t="n">
        <v>0</v>
      </c>
      <c r="M377" t="n">
        <v>0</v>
      </c>
      <c r="N377" t="n">
        <v>0</v>
      </c>
      <c r="O377" t="n">
        <v>0</v>
      </c>
      <c r="P377" t="n">
        <v>0</v>
      </c>
      <c r="Q377" t="n">
        <v>0</v>
      </c>
      <c r="R377" s="2" t="inlineStr"/>
    </row>
    <row r="378" ht="15" customHeight="1">
      <c r="A378" t="inlineStr">
        <is>
          <t>A 8260-2023</t>
        </is>
      </c>
      <c r="B378" s="1" t="n">
        <v>44974.61608796296</v>
      </c>
      <c r="C378" s="1" t="n">
        <v>45880</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21792-2024</t>
        </is>
      </c>
      <c r="B379" s="1" t="n">
        <v>45442.64326388889</v>
      </c>
      <c r="C379" s="1" t="n">
        <v>45880</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64969-2023</t>
        </is>
      </c>
      <c r="B380" s="1" t="n">
        <v>45284.54009259259</v>
      </c>
      <c r="C380" s="1" t="n">
        <v>45880</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48843-2024</t>
        </is>
      </c>
      <c r="B381" s="1" t="n">
        <v>45593</v>
      </c>
      <c r="C381" s="1" t="n">
        <v>45880</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17541-2024</t>
        </is>
      </c>
      <c r="B382" s="1" t="n">
        <v>45415</v>
      </c>
      <c r="C382" s="1" t="n">
        <v>45880</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45880</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45880</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45880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45880</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15434-2024</t>
        </is>
      </c>
      <c r="B387" s="1" t="n">
        <v>45401.38836805556</v>
      </c>
      <c r="C387" s="1" t="n">
        <v>45880</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45880</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45880</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1345-2025</t>
        </is>
      </c>
      <c r="B390" s="1" t="n">
        <v>45667.60511574074</v>
      </c>
      <c r="C390" s="1" t="n">
        <v>45880</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45880</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45880</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54073-2022</t>
        </is>
      </c>
      <c r="B393" s="1" t="n">
        <v>44881.50380787037</v>
      </c>
      <c r="C393" s="1" t="n">
        <v>45880</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16361-2024</t>
        </is>
      </c>
      <c r="B394" s="1" t="n">
        <v>45407</v>
      </c>
      <c r="C394" s="1" t="n">
        <v>45880</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45880</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28506-2023</t>
        </is>
      </c>
      <c r="B396" s="1" t="n">
        <v>45103</v>
      </c>
      <c r="C396" s="1" t="n">
        <v>45880</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45880</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35512-2023</t>
        </is>
      </c>
      <c r="B398" s="1" t="n">
        <v>45147.25623842593</v>
      </c>
      <c r="C398" s="1" t="n">
        <v>45880</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5905-2024</t>
        </is>
      </c>
      <c r="B399" s="1" t="n">
        <v>45335.88993055555</v>
      </c>
      <c r="C399" s="1" t="n">
        <v>45880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34142-2024</t>
        </is>
      </c>
      <c r="B400" s="1" t="n">
        <v>45524.36521990741</v>
      </c>
      <c r="C400" s="1" t="n">
        <v>45880</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14427-2024</t>
        </is>
      </c>
      <c r="B401" s="1" t="n">
        <v>45394</v>
      </c>
      <c r="C401" s="1" t="n">
        <v>45880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23188-2025</t>
        </is>
      </c>
      <c r="B402" s="1" t="n">
        <v>45791</v>
      </c>
      <c r="C402" s="1" t="n">
        <v>45880</v>
      </c>
      <c r="D402" t="inlineStr">
        <is>
          <t>GOTLANDS LÄN</t>
        </is>
      </c>
      <c r="E402" t="inlineStr">
        <is>
          <t>GOTLAND</t>
        </is>
      </c>
      <c r="G402" t="n">
        <v>6.2</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45880</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31802-2024</t>
        </is>
      </c>
      <c r="B404" s="1" t="n">
        <v>45509</v>
      </c>
      <c r="C404" s="1" t="n">
        <v>45880</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23473-2025</t>
        </is>
      </c>
      <c r="B405" s="1" t="n">
        <v>45792</v>
      </c>
      <c r="C405" s="1" t="n">
        <v>45880</v>
      </c>
      <c r="D405" t="inlineStr">
        <is>
          <t>GOTLANDS LÄN</t>
        </is>
      </c>
      <c r="E405" t="inlineStr">
        <is>
          <t>GOTLAND</t>
        </is>
      </c>
      <c r="G405" t="n">
        <v>3.6</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45880</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8684-2025</t>
        </is>
      </c>
      <c r="B407" s="1" t="n">
        <v>45712.45605324074</v>
      </c>
      <c r="C407" s="1" t="n">
        <v>45880</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8036-2022</t>
        </is>
      </c>
      <c r="B408" s="1" t="n">
        <v>44609.44362268518</v>
      </c>
      <c r="C408" s="1" t="n">
        <v>45880</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12846-2025</t>
        </is>
      </c>
      <c r="B409" s="1" t="n">
        <v>45733.65049768519</v>
      </c>
      <c r="C409" s="1" t="n">
        <v>45880</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45880</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23700-2025</t>
        </is>
      </c>
      <c r="B411" s="1" t="n">
        <v>45793</v>
      </c>
      <c r="C411" s="1" t="n">
        <v>45880</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45880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45106-2024</t>
        </is>
      </c>
      <c r="B413" s="1" t="n">
        <v>45575</v>
      </c>
      <c r="C413" s="1" t="n">
        <v>45880</v>
      </c>
      <c r="D413" t="inlineStr">
        <is>
          <t>GOTLANDS LÄN</t>
        </is>
      </c>
      <c r="E413" t="inlineStr">
        <is>
          <t>GOTLAND</t>
        </is>
      </c>
      <c r="G413" t="n">
        <v>10</v>
      </c>
      <c r="H413" t="n">
        <v>0</v>
      </c>
      <c r="I413" t="n">
        <v>0</v>
      </c>
      <c r="J413" t="n">
        <v>0</v>
      </c>
      <c r="K413" t="n">
        <v>0</v>
      </c>
      <c r="L413" t="n">
        <v>0</v>
      </c>
      <c r="M413" t="n">
        <v>0</v>
      </c>
      <c r="N413" t="n">
        <v>0</v>
      </c>
      <c r="O413" t="n">
        <v>0</v>
      </c>
      <c r="P413" t="n">
        <v>0</v>
      </c>
      <c r="Q413" t="n">
        <v>0</v>
      </c>
      <c r="R413" s="2" t="inlineStr"/>
    </row>
    <row r="414" ht="15" customHeight="1">
      <c r="A414" t="inlineStr">
        <is>
          <t>A 45112-2024</t>
        </is>
      </c>
      <c r="B414" s="1" t="n">
        <v>45575</v>
      </c>
      <c r="C414" s="1" t="n">
        <v>45880</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45880</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46949-2024</t>
        </is>
      </c>
      <c r="B416" s="1" t="n">
        <v>45585</v>
      </c>
      <c r="C416" s="1" t="n">
        <v>45880</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45880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45880</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45880</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10650-2022</t>
        </is>
      </c>
      <c r="B420" s="1" t="n">
        <v>44624.57945601852</v>
      </c>
      <c r="C420" s="1" t="n">
        <v>45880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45880</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45880</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45880</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45880</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45880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15075-2025</t>
        </is>
      </c>
      <c r="B426" s="1" t="n">
        <v>45743</v>
      </c>
      <c r="C426" s="1" t="n">
        <v>45880</v>
      </c>
      <c r="D426" t="inlineStr">
        <is>
          <t>GOTLANDS LÄN</t>
        </is>
      </c>
      <c r="E426" t="inlineStr">
        <is>
          <t>GOTLAND</t>
        </is>
      </c>
      <c r="G426" t="n">
        <v>20.9</v>
      </c>
      <c r="H426" t="n">
        <v>0</v>
      </c>
      <c r="I426" t="n">
        <v>0</v>
      </c>
      <c r="J426" t="n">
        <v>0</v>
      </c>
      <c r="K426" t="n">
        <v>0</v>
      </c>
      <c r="L426" t="n">
        <v>0</v>
      </c>
      <c r="M426" t="n">
        <v>0</v>
      </c>
      <c r="N426" t="n">
        <v>0</v>
      </c>
      <c r="O426" t="n">
        <v>0</v>
      </c>
      <c r="P426" t="n">
        <v>0</v>
      </c>
      <c r="Q426" t="n">
        <v>0</v>
      </c>
      <c r="R426" s="2" t="inlineStr"/>
    </row>
    <row r="427" ht="15" customHeight="1">
      <c r="A427" t="inlineStr">
        <is>
          <t>A 23698-2025</t>
        </is>
      </c>
      <c r="B427" s="1" t="n">
        <v>45793</v>
      </c>
      <c r="C427" s="1" t="n">
        <v>45880</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45880</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45880</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45880</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45880</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45880</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45880</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1351-2025</t>
        </is>
      </c>
      <c r="B434" s="1" t="n">
        <v>45667.62246527777</v>
      </c>
      <c r="C434" s="1" t="n">
        <v>45880</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39496-2022</t>
        </is>
      </c>
      <c r="B435" s="1" t="n">
        <v>44818</v>
      </c>
      <c r="C435" s="1" t="n">
        <v>45880</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49874-2024</t>
        </is>
      </c>
      <c r="B436" s="1" t="n">
        <v>45597.49274305555</v>
      </c>
      <c r="C436" s="1" t="n">
        <v>45880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57685-2022</t>
        </is>
      </c>
      <c r="B437" s="1" t="n">
        <v>44897.4777662037</v>
      </c>
      <c r="C437" s="1" t="n">
        <v>45880</v>
      </c>
      <c r="D437" t="inlineStr">
        <is>
          <t>GOTLANDS LÄN</t>
        </is>
      </c>
      <c r="E437" t="inlineStr">
        <is>
          <t>GOTLAND</t>
        </is>
      </c>
      <c r="G437" t="n">
        <v>3.7</v>
      </c>
      <c r="H437" t="n">
        <v>0</v>
      </c>
      <c r="I437" t="n">
        <v>0</v>
      </c>
      <c r="J437" t="n">
        <v>0</v>
      </c>
      <c r="K437" t="n">
        <v>0</v>
      </c>
      <c r="L437" t="n">
        <v>0</v>
      </c>
      <c r="M437" t="n">
        <v>0</v>
      </c>
      <c r="N437" t="n">
        <v>0</v>
      </c>
      <c r="O437" t="n">
        <v>0</v>
      </c>
      <c r="P437" t="n">
        <v>0</v>
      </c>
      <c r="Q437" t="n">
        <v>0</v>
      </c>
      <c r="R437" s="2" t="inlineStr"/>
    </row>
    <row r="438" ht="15" customHeight="1">
      <c r="A438" t="inlineStr">
        <is>
          <t>A 3930-2025</t>
        </is>
      </c>
      <c r="B438" s="1" t="n">
        <v>45684.45427083333</v>
      </c>
      <c r="C438" s="1" t="n">
        <v>45880</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12599-2025</t>
        </is>
      </c>
      <c r="B439" s="1" t="n">
        <v>45733.29546296296</v>
      </c>
      <c r="C439" s="1" t="n">
        <v>45880</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30815-2023</t>
        </is>
      </c>
      <c r="B440" s="1" t="n">
        <v>45112</v>
      </c>
      <c r="C440" s="1" t="n">
        <v>45880</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33078-2025</t>
        </is>
      </c>
      <c r="B441" s="1" t="n">
        <v>45840</v>
      </c>
      <c r="C441" s="1" t="n">
        <v>45880</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42201-2023</t>
        </is>
      </c>
      <c r="B442" s="1" t="n">
        <v>45179</v>
      </c>
      <c r="C442" s="1" t="n">
        <v>45880</v>
      </c>
      <c r="D442" t="inlineStr">
        <is>
          <t>GOTLANDS LÄN</t>
        </is>
      </c>
      <c r="E442" t="inlineStr">
        <is>
          <t>GOTLAND</t>
        </is>
      </c>
      <c r="G442" t="n">
        <v>11.9</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45880</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32686-2025</t>
        </is>
      </c>
      <c r="B444" s="1" t="n">
        <v>45838</v>
      </c>
      <c r="C444" s="1" t="n">
        <v>45880</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45880</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19002-2025</t>
        </is>
      </c>
      <c r="B446" s="1" t="n">
        <v>45764</v>
      </c>
      <c r="C446" s="1" t="n">
        <v>45880</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21164-2024</t>
        </is>
      </c>
      <c r="B447" s="1" t="n">
        <v>45440</v>
      </c>
      <c r="C447" s="1" t="n">
        <v>45880</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7034-2023</t>
        </is>
      </c>
      <c r="B448" s="1" t="n">
        <v>44968.32108796296</v>
      </c>
      <c r="C448" s="1" t="n">
        <v>45880</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7042-2023</t>
        </is>
      </c>
      <c r="B449" s="1" t="n">
        <v>44968</v>
      </c>
      <c r="C449" s="1" t="n">
        <v>45880</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14570-2025</t>
        </is>
      </c>
      <c r="B450" s="1" t="n">
        <v>45741.87113425926</v>
      </c>
      <c r="C450" s="1" t="n">
        <v>45880</v>
      </c>
      <c r="D450" t="inlineStr">
        <is>
          <t>GOTLANDS LÄN</t>
        </is>
      </c>
      <c r="E450" t="inlineStr">
        <is>
          <t>GOTLAND</t>
        </is>
      </c>
      <c r="G450" t="n">
        <v>6.2</v>
      </c>
      <c r="H450" t="n">
        <v>0</v>
      </c>
      <c r="I450" t="n">
        <v>0</v>
      </c>
      <c r="J450" t="n">
        <v>0</v>
      </c>
      <c r="K450" t="n">
        <v>0</v>
      </c>
      <c r="L450" t="n">
        <v>0</v>
      </c>
      <c r="M450" t="n">
        <v>0</v>
      </c>
      <c r="N450" t="n">
        <v>0</v>
      </c>
      <c r="O450" t="n">
        <v>0</v>
      </c>
      <c r="P450" t="n">
        <v>0</v>
      </c>
      <c r="Q450" t="n">
        <v>0</v>
      </c>
      <c r="R450" s="2" t="inlineStr"/>
    </row>
    <row r="451" ht="15" customHeight="1">
      <c r="A451" t="inlineStr">
        <is>
          <t>A 23516-2023</t>
        </is>
      </c>
      <c r="B451" s="1" t="n">
        <v>45076.93391203704</v>
      </c>
      <c r="C451" s="1" t="n">
        <v>45880</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45880</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64660-2023</t>
        </is>
      </c>
      <c r="B453" s="1" t="n">
        <v>45281.60122685185</v>
      </c>
      <c r="C453" s="1" t="n">
        <v>45880</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63763-2023</t>
        </is>
      </c>
      <c r="B454" s="1" t="n">
        <v>45278.33944444444</v>
      </c>
      <c r="C454" s="1" t="n">
        <v>45880</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5462-2025</t>
        </is>
      </c>
      <c r="B455" s="1" t="n">
        <v>45693.29331018519</v>
      </c>
      <c r="C455" s="1" t="n">
        <v>45880</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22897-2023</t>
        </is>
      </c>
      <c r="B456" s="1" t="n">
        <v>45072.55239583334</v>
      </c>
      <c r="C456" s="1" t="n">
        <v>45880</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45880</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45880</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45880</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32124-2025</t>
        </is>
      </c>
      <c r="B460" s="1" t="n">
        <v>45835</v>
      </c>
      <c r="C460" s="1" t="n">
        <v>45880</v>
      </c>
      <c r="D460" t="inlineStr">
        <is>
          <t>GOTLANDS LÄN</t>
        </is>
      </c>
      <c r="E460" t="inlineStr">
        <is>
          <t>GOTLAND</t>
        </is>
      </c>
      <c r="G460" t="n">
        <v>17.7</v>
      </c>
      <c r="H460" t="n">
        <v>0</v>
      </c>
      <c r="I460" t="n">
        <v>0</v>
      </c>
      <c r="J460" t="n">
        <v>0</v>
      </c>
      <c r="K460" t="n">
        <v>0</v>
      </c>
      <c r="L460" t="n">
        <v>0</v>
      </c>
      <c r="M460" t="n">
        <v>0</v>
      </c>
      <c r="N460" t="n">
        <v>0</v>
      </c>
      <c r="O460" t="n">
        <v>0</v>
      </c>
      <c r="P460" t="n">
        <v>0</v>
      </c>
      <c r="Q460" t="n">
        <v>0</v>
      </c>
      <c r="R460" s="2" t="inlineStr"/>
    </row>
    <row r="461" ht="15" customHeight="1">
      <c r="A461" t="inlineStr">
        <is>
          <t>A 61897-2024</t>
        </is>
      </c>
      <c r="B461" s="1" t="n">
        <v>45652.75685185185</v>
      </c>
      <c r="C461" s="1" t="n">
        <v>45880</v>
      </c>
      <c r="D461" t="inlineStr">
        <is>
          <t>GOTLANDS LÄN</t>
        </is>
      </c>
      <c r="E461" t="inlineStr">
        <is>
          <t>GOTLAND</t>
        </is>
      </c>
      <c r="G461" t="n">
        <v>6.4</v>
      </c>
      <c r="H461" t="n">
        <v>0</v>
      </c>
      <c r="I461" t="n">
        <v>0</v>
      </c>
      <c r="J461" t="n">
        <v>0</v>
      </c>
      <c r="K461" t="n">
        <v>0</v>
      </c>
      <c r="L461" t="n">
        <v>0</v>
      </c>
      <c r="M461" t="n">
        <v>0</v>
      </c>
      <c r="N461" t="n">
        <v>0</v>
      </c>
      <c r="O461" t="n">
        <v>0</v>
      </c>
      <c r="P461" t="n">
        <v>0</v>
      </c>
      <c r="Q461" t="n">
        <v>0</v>
      </c>
      <c r="R461" s="2" t="inlineStr"/>
    </row>
    <row r="462" ht="15" customHeight="1">
      <c r="A462" t="inlineStr">
        <is>
          <t>A 25796-2025</t>
        </is>
      </c>
      <c r="B462" s="1" t="n">
        <v>45804.39543981481</v>
      </c>
      <c r="C462" s="1" t="n">
        <v>45880</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49962-2023</t>
        </is>
      </c>
      <c r="B463" s="1" t="n">
        <v>45215.38775462963</v>
      </c>
      <c r="C463" s="1" t="n">
        <v>45880</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5674-2025</t>
        </is>
      </c>
      <c r="B464" s="1" t="n">
        <v>45694.28993055555</v>
      </c>
      <c r="C464" s="1" t="n">
        <v>45880</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5676-2025</t>
        </is>
      </c>
      <c r="B465" s="1" t="n">
        <v>45694.29512731481</v>
      </c>
      <c r="C465" s="1" t="n">
        <v>45880</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44698.49854166667</v>
      </c>
      <c r="C466" s="1" t="n">
        <v>45880</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25678-2025</t>
        </is>
      </c>
      <c r="B467" s="1" t="n">
        <v>45803.64118055555</v>
      </c>
      <c r="C467" s="1" t="n">
        <v>45880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45880</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33932-2025</t>
        </is>
      </c>
      <c r="B469" s="1" t="n">
        <v>45842</v>
      </c>
      <c r="C469" s="1" t="n">
        <v>45880</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45880</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45880</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45880</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1734-2025</t>
        </is>
      </c>
      <c r="B473" s="1" t="n">
        <v>45671.3840625</v>
      </c>
      <c r="C473" s="1" t="n">
        <v>45880</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45880</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26391-2025</t>
        </is>
      </c>
      <c r="B475" s="1" t="n">
        <v>45806</v>
      </c>
      <c r="C475" s="1" t="n">
        <v>45880</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17532-2024</t>
        </is>
      </c>
      <c r="B476" s="1" t="n">
        <v>45415</v>
      </c>
      <c r="C476" s="1" t="n">
        <v>45880</v>
      </c>
      <c r="D476" t="inlineStr">
        <is>
          <t>GOTLANDS LÄN</t>
        </is>
      </c>
      <c r="E476" t="inlineStr">
        <is>
          <t>GOTLAND</t>
        </is>
      </c>
      <c r="G476" t="n">
        <v>4.3</v>
      </c>
      <c r="H476" t="n">
        <v>0</v>
      </c>
      <c r="I476" t="n">
        <v>0</v>
      </c>
      <c r="J476" t="n">
        <v>0</v>
      </c>
      <c r="K476" t="n">
        <v>0</v>
      </c>
      <c r="L476" t="n">
        <v>0</v>
      </c>
      <c r="M476" t="n">
        <v>0</v>
      </c>
      <c r="N476" t="n">
        <v>0</v>
      </c>
      <c r="O476" t="n">
        <v>0</v>
      </c>
      <c r="P476" t="n">
        <v>0</v>
      </c>
      <c r="Q476" t="n">
        <v>0</v>
      </c>
      <c r="R476" s="2" t="inlineStr"/>
    </row>
    <row r="477" ht="15" customHeight="1">
      <c r="A477" t="inlineStr">
        <is>
          <t>A 20993-2023</t>
        </is>
      </c>
      <c r="B477" s="1" t="n">
        <v>45056</v>
      </c>
      <c r="C477" s="1" t="n">
        <v>45880</v>
      </c>
      <c r="D477" t="inlineStr">
        <is>
          <t>GOTLANDS LÄN</t>
        </is>
      </c>
      <c r="E477" t="inlineStr">
        <is>
          <t>GOTLAND</t>
        </is>
      </c>
      <c r="G477" t="n">
        <v>7.1</v>
      </c>
      <c r="H477" t="n">
        <v>0</v>
      </c>
      <c r="I477" t="n">
        <v>0</v>
      </c>
      <c r="J477" t="n">
        <v>0</v>
      </c>
      <c r="K477" t="n">
        <v>0</v>
      </c>
      <c r="L477" t="n">
        <v>0</v>
      </c>
      <c r="M477" t="n">
        <v>0</v>
      </c>
      <c r="N477" t="n">
        <v>0</v>
      </c>
      <c r="O477" t="n">
        <v>0</v>
      </c>
      <c r="P477" t="n">
        <v>0</v>
      </c>
      <c r="Q477" t="n">
        <v>0</v>
      </c>
      <c r="R477" s="2" t="inlineStr"/>
    </row>
    <row r="478" ht="15" customHeight="1">
      <c r="A478" t="inlineStr">
        <is>
          <t>A 60908-2024</t>
        </is>
      </c>
      <c r="B478" s="1" t="n">
        <v>45645.31320601852</v>
      </c>
      <c r="C478" s="1" t="n">
        <v>45880</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3935-2025</t>
        </is>
      </c>
      <c r="B479" s="1" t="n">
        <v>45684.46070601852</v>
      </c>
      <c r="C479" s="1" t="n">
        <v>45880</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35133-2025</t>
        </is>
      </c>
      <c r="B480" s="1" t="n">
        <v>45852.6363425926</v>
      </c>
      <c r="C480" s="1" t="n">
        <v>45880</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35141-2025</t>
        </is>
      </c>
      <c r="B481" s="1" t="n">
        <v>45852.65206018519</v>
      </c>
      <c r="C481" s="1" t="n">
        <v>45880</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35096-2025</t>
        </is>
      </c>
      <c r="B482" s="1" t="n">
        <v>45852.54356481481</v>
      </c>
      <c r="C482" s="1" t="n">
        <v>45880</v>
      </c>
      <c r="D482" t="inlineStr">
        <is>
          <t>GOTLANDS LÄN</t>
        </is>
      </c>
      <c r="E482" t="inlineStr">
        <is>
          <t>GOTLAND</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12596-2023</t>
        </is>
      </c>
      <c r="B483" s="1" t="n">
        <v>45000.43310185185</v>
      </c>
      <c r="C483" s="1" t="n">
        <v>45880</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45880</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12155-2023</t>
        </is>
      </c>
      <c r="B485" s="1" t="n">
        <v>44998.49106481481</v>
      </c>
      <c r="C485" s="1" t="n">
        <v>45880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45880</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45880</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38234-2023</t>
        </is>
      </c>
      <c r="B488" s="1" t="n">
        <v>45161.56663194444</v>
      </c>
      <c r="C488" s="1" t="n">
        <v>45880</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33011-2025</t>
        </is>
      </c>
      <c r="B489" s="1" t="n">
        <v>45840</v>
      </c>
      <c r="C489" s="1" t="n">
        <v>45880</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50744-2024</t>
        </is>
      </c>
      <c r="B490" s="1" t="n">
        <v>45602.4187037037</v>
      </c>
      <c r="C490" s="1" t="n">
        <v>45880</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26457-2025</t>
        </is>
      </c>
      <c r="B491" s="1" t="n">
        <v>45807.42773148148</v>
      </c>
      <c r="C491" s="1" t="n">
        <v>45880</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26467-2025</t>
        </is>
      </c>
      <c r="B492" s="1" t="n">
        <v>45807.44640046296</v>
      </c>
      <c r="C492" s="1" t="n">
        <v>45880</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45880</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883-2025</t>
        </is>
      </c>
      <c r="B494" s="1" t="n">
        <v>45665</v>
      </c>
      <c r="C494" s="1" t="n">
        <v>45880</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45880</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26465-2025</t>
        </is>
      </c>
      <c r="B496" s="1" t="n">
        <v>45807.44377314814</v>
      </c>
      <c r="C496" s="1" t="n">
        <v>45880</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35142-2025</t>
        </is>
      </c>
      <c r="B497" s="1" t="n">
        <v>45852.65532407408</v>
      </c>
      <c r="C497" s="1" t="n">
        <v>45880</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18938-2025</t>
        </is>
      </c>
      <c r="B498" s="1" t="n">
        <v>45764.49172453704</v>
      </c>
      <c r="C498" s="1" t="n">
        <v>45880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26660-2025</t>
        </is>
      </c>
      <c r="B499" s="1" t="n">
        <v>45810.39737268518</v>
      </c>
      <c r="C499" s="1" t="n">
        <v>45880</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35123-2025</t>
        </is>
      </c>
      <c r="B500" s="1" t="n">
        <v>45852.614375</v>
      </c>
      <c r="C500" s="1" t="n">
        <v>45880</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35129-2025</t>
        </is>
      </c>
      <c r="B501" s="1" t="n">
        <v>45852.63224537037</v>
      </c>
      <c r="C501" s="1" t="n">
        <v>45880</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10497-2025</t>
        </is>
      </c>
      <c r="B502" s="1" t="n">
        <v>45721</v>
      </c>
      <c r="C502" s="1" t="n">
        <v>45880</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45880</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27348-2025</t>
        </is>
      </c>
      <c r="B504" s="1" t="n">
        <v>45812.62451388889</v>
      </c>
      <c r="C504" s="1" t="n">
        <v>45880</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35290-2025</t>
        </is>
      </c>
      <c r="B505" s="1" t="n">
        <v>45854.38502314815</v>
      </c>
      <c r="C505" s="1" t="n">
        <v>45880</v>
      </c>
      <c r="D505" t="inlineStr">
        <is>
          <t>GOTLANDS LÄN</t>
        </is>
      </c>
      <c r="E505" t="inlineStr">
        <is>
          <t>GOTLAND</t>
        </is>
      </c>
      <c r="G505" t="n">
        <v>5.4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45880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10158-2025</t>
        </is>
      </c>
      <c r="B507" s="1" t="n">
        <v>45719</v>
      </c>
      <c r="C507" s="1" t="n">
        <v>45880</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1446-2025</t>
        </is>
      </c>
      <c r="B508" s="1" t="n">
        <v>45669.86035879629</v>
      </c>
      <c r="C508" s="1" t="n">
        <v>45880</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10813-2025</t>
        </is>
      </c>
      <c r="B509" s="1" t="n">
        <v>45722.54163194444</v>
      </c>
      <c r="C509" s="1" t="n">
        <v>45880</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45880</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32378-2025</t>
        </is>
      </c>
      <c r="B511" s="1" t="n">
        <v>45837</v>
      </c>
      <c r="C511" s="1" t="n">
        <v>45880</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32379-2025</t>
        </is>
      </c>
      <c r="B512" s="1" t="n">
        <v>45837</v>
      </c>
      <c r="C512" s="1" t="n">
        <v>45880</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27355-2025</t>
        </is>
      </c>
      <c r="B513" s="1" t="n">
        <v>45812</v>
      </c>
      <c r="C513" s="1" t="n">
        <v>45880</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17227-2021</t>
        </is>
      </c>
      <c r="B514" s="1" t="n">
        <v>44298.49725694444</v>
      </c>
      <c r="C514" s="1" t="n">
        <v>45880</v>
      </c>
      <c r="D514" t="inlineStr">
        <is>
          <t>GOTLANDS LÄN</t>
        </is>
      </c>
      <c r="E514" t="inlineStr">
        <is>
          <t>GOTLAND</t>
        </is>
      </c>
      <c r="G514" t="n">
        <v>6.2</v>
      </c>
      <c r="H514" t="n">
        <v>0</v>
      </c>
      <c r="I514" t="n">
        <v>0</v>
      </c>
      <c r="J514" t="n">
        <v>0</v>
      </c>
      <c r="K514" t="n">
        <v>0</v>
      </c>
      <c r="L514" t="n">
        <v>0</v>
      </c>
      <c r="M514" t="n">
        <v>0</v>
      </c>
      <c r="N514" t="n">
        <v>0</v>
      </c>
      <c r="O514" t="n">
        <v>0</v>
      </c>
      <c r="P514" t="n">
        <v>0</v>
      </c>
      <c r="Q514" t="n">
        <v>0</v>
      </c>
      <c r="R514" s="2" t="inlineStr"/>
    </row>
    <row r="515" ht="15" customHeight="1">
      <c r="A515" t="inlineStr">
        <is>
          <t>A 6739-2025</t>
        </is>
      </c>
      <c r="B515" s="1" t="n">
        <v>45700</v>
      </c>
      <c r="C515" s="1" t="n">
        <v>45880</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7850-2025</t>
        </is>
      </c>
      <c r="B516" s="1" t="n">
        <v>45706</v>
      </c>
      <c r="C516" s="1" t="n">
        <v>45880</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31264-2021</t>
        </is>
      </c>
      <c r="B517" s="1" t="n">
        <v>44368</v>
      </c>
      <c r="C517" s="1" t="n">
        <v>45880</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45880</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45880</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45880</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35537-2025</t>
        </is>
      </c>
      <c r="B521" s="1" t="n">
        <v>45856</v>
      </c>
      <c r="C521" s="1" t="n">
        <v>45880</v>
      </c>
      <c r="D521" t="inlineStr">
        <is>
          <t>GOTLANDS LÄN</t>
        </is>
      </c>
      <c r="E521" t="inlineStr">
        <is>
          <t>GOTLAND</t>
        </is>
      </c>
      <c r="G521" t="n">
        <v>16.8</v>
      </c>
      <c r="H521" t="n">
        <v>0</v>
      </c>
      <c r="I521" t="n">
        <v>0</v>
      </c>
      <c r="J521" t="n">
        <v>0</v>
      </c>
      <c r="K521" t="n">
        <v>0</v>
      </c>
      <c r="L521" t="n">
        <v>0</v>
      </c>
      <c r="M521" t="n">
        <v>0</v>
      </c>
      <c r="N521" t="n">
        <v>0</v>
      </c>
      <c r="O521" t="n">
        <v>0</v>
      </c>
      <c r="P521" t="n">
        <v>0</v>
      </c>
      <c r="Q521" t="n">
        <v>0</v>
      </c>
      <c r="R521" s="2" t="inlineStr"/>
    </row>
    <row r="522" ht="15" customHeight="1">
      <c r="A522" t="inlineStr">
        <is>
          <t>A 8444-2025</t>
        </is>
      </c>
      <c r="B522" s="1" t="n">
        <v>45709</v>
      </c>
      <c r="C522" s="1" t="n">
        <v>45880</v>
      </c>
      <c r="D522" t="inlineStr">
        <is>
          <t>GOTLANDS LÄN</t>
        </is>
      </c>
      <c r="E522" t="inlineStr">
        <is>
          <t>GOTLAND</t>
        </is>
      </c>
      <c r="G522" t="n">
        <v>5.2</v>
      </c>
      <c r="H522" t="n">
        <v>0</v>
      </c>
      <c r="I522" t="n">
        <v>0</v>
      </c>
      <c r="J522" t="n">
        <v>0</v>
      </c>
      <c r="K522" t="n">
        <v>0</v>
      </c>
      <c r="L522" t="n">
        <v>0</v>
      </c>
      <c r="M522" t="n">
        <v>0</v>
      </c>
      <c r="N522" t="n">
        <v>0</v>
      </c>
      <c r="O522" t="n">
        <v>0</v>
      </c>
      <c r="P522" t="n">
        <v>0</v>
      </c>
      <c r="Q522" t="n">
        <v>0</v>
      </c>
      <c r="R522" s="2" t="inlineStr"/>
    </row>
    <row r="523" ht="15" customHeight="1">
      <c r="A523" t="inlineStr">
        <is>
          <t>A 43901-2023</t>
        </is>
      </c>
      <c r="B523" s="1" t="n">
        <v>45187</v>
      </c>
      <c r="C523" s="1" t="n">
        <v>45880</v>
      </c>
      <c r="D523" t="inlineStr">
        <is>
          <t>GOTLANDS LÄN</t>
        </is>
      </c>
      <c r="E523" t="inlineStr">
        <is>
          <t>GOTLAND</t>
        </is>
      </c>
      <c r="G523" t="n">
        <v>5.4</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45880</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16501-2023</t>
        </is>
      </c>
      <c r="B525" s="1" t="n">
        <v>45029</v>
      </c>
      <c r="C525" s="1" t="n">
        <v>45880</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27930-2021</t>
        </is>
      </c>
      <c r="B526" s="1" t="n">
        <v>44354</v>
      </c>
      <c r="C526" s="1" t="n">
        <v>45880</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16109-2025</t>
        </is>
      </c>
      <c r="B527" s="1" t="n">
        <v>45750</v>
      </c>
      <c r="C527" s="1" t="n">
        <v>45880</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581-2023</t>
        </is>
      </c>
      <c r="B528" s="1" t="n">
        <v>44930</v>
      </c>
      <c r="C528" s="1" t="n">
        <v>45880</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20660-2025</t>
        </is>
      </c>
      <c r="B529" s="1" t="n">
        <v>45776</v>
      </c>
      <c r="C529" s="1" t="n">
        <v>45880</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45880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61964-2024</t>
        </is>
      </c>
      <c r="B531" s="1" t="n">
        <v>45653.54789351852</v>
      </c>
      <c r="C531" s="1" t="n">
        <v>45880</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19905-2025</t>
        </is>
      </c>
      <c r="B532" s="1" t="n">
        <v>45771</v>
      </c>
      <c r="C532" s="1" t="n">
        <v>45880</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45880</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45880</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45880</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10492-2023</t>
        </is>
      </c>
      <c r="B536" s="1" t="n">
        <v>44987</v>
      </c>
      <c r="C536" s="1" t="n">
        <v>45880</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49411-2023</t>
        </is>
      </c>
      <c r="B537" s="1" t="n">
        <v>45205</v>
      </c>
      <c r="C537" s="1" t="n">
        <v>45880</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22275-2023</t>
        </is>
      </c>
      <c r="B538" s="1" t="n">
        <v>45070.39875</v>
      </c>
      <c r="C538" s="1" t="n">
        <v>45880</v>
      </c>
      <c r="D538" t="inlineStr">
        <is>
          <t>GOTLANDS LÄN</t>
        </is>
      </c>
      <c r="E538" t="inlineStr">
        <is>
          <t>GOTLAND</t>
        </is>
      </c>
      <c r="G538" t="n">
        <v>7.2</v>
      </c>
      <c r="H538" t="n">
        <v>0</v>
      </c>
      <c r="I538" t="n">
        <v>0</v>
      </c>
      <c r="J538" t="n">
        <v>0</v>
      </c>
      <c r="K538" t="n">
        <v>0</v>
      </c>
      <c r="L538" t="n">
        <v>0</v>
      </c>
      <c r="M538" t="n">
        <v>0</v>
      </c>
      <c r="N538" t="n">
        <v>0</v>
      </c>
      <c r="O538" t="n">
        <v>0</v>
      </c>
      <c r="P538" t="n">
        <v>0</v>
      </c>
      <c r="Q538" t="n">
        <v>0</v>
      </c>
      <c r="R538" s="2" t="inlineStr"/>
    </row>
    <row r="539" ht="15" customHeight="1">
      <c r="A539" t="inlineStr">
        <is>
          <t>A 12322-2025</t>
        </is>
      </c>
      <c r="B539" s="1" t="n">
        <v>45730</v>
      </c>
      <c r="C539" s="1" t="n">
        <v>45880</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29207-2025</t>
        </is>
      </c>
      <c r="B540" s="1" t="n">
        <v>45823</v>
      </c>
      <c r="C540" s="1" t="n">
        <v>45880</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5909-2025</t>
        </is>
      </c>
      <c r="B541" s="1" t="n">
        <v>45695.40634259259</v>
      </c>
      <c r="C541" s="1" t="n">
        <v>45880</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44988.48859953704</v>
      </c>
      <c r="C542" s="1" t="n">
        <v>45880</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14797-2024</t>
        </is>
      </c>
      <c r="B543" s="1" t="n">
        <v>45397.87030092593</v>
      </c>
      <c r="C543" s="1" t="n">
        <v>45880</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999-2024</t>
        </is>
      </c>
      <c r="B544" s="1" t="n">
        <v>45301</v>
      </c>
      <c r="C544" s="1" t="n">
        <v>45880</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30104-2025</t>
        </is>
      </c>
      <c r="B545" s="1" t="n">
        <v>45826.68806712963</v>
      </c>
      <c r="C545" s="1" t="n">
        <v>45880</v>
      </c>
      <c r="D545" t="inlineStr">
        <is>
          <t>GOTLANDS LÄN</t>
        </is>
      </c>
      <c r="E545" t="inlineStr">
        <is>
          <t>GOTLAND</t>
        </is>
      </c>
      <c r="G545" t="n">
        <v>15.4</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45880</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15001-2025</t>
        </is>
      </c>
      <c r="B547" s="1" t="n">
        <v>45743</v>
      </c>
      <c r="C547" s="1" t="n">
        <v>45880</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45880</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45880</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30157-2025</t>
        </is>
      </c>
      <c r="B550" s="1" t="n">
        <v>45826</v>
      </c>
      <c r="C550" s="1" t="n">
        <v>45880</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36319-2025</t>
        </is>
      </c>
      <c r="B551" s="1" t="n">
        <v>45868.38543981482</v>
      </c>
      <c r="C551" s="1" t="n">
        <v>45880</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30061-2025</t>
        </is>
      </c>
      <c r="B552" s="1" t="n">
        <v>45826.61488425926</v>
      </c>
      <c r="C552" s="1" t="n">
        <v>45880</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58160-2024</t>
        </is>
      </c>
      <c r="B553" s="1" t="n">
        <v>45632.44927083333</v>
      </c>
      <c r="C553" s="1" t="n">
        <v>45880</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43081-2022</t>
        </is>
      </c>
      <c r="B554" s="1" t="n">
        <v>44833</v>
      </c>
      <c r="C554" s="1" t="n">
        <v>45880</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32958-2021</t>
        </is>
      </c>
      <c r="B555" s="1" t="n">
        <v>44376</v>
      </c>
      <c r="C555" s="1" t="n">
        <v>45880</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5884-2025</t>
        </is>
      </c>
      <c r="B556" s="1" t="n">
        <v>45695.37482638889</v>
      </c>
      <c r="C556" s="1" t="n">
        <v>45880</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5897-2025</t>
        </is>
      </c>
      <c r="B557" s="1" t="n">
        <v>45695.39273148148</v>
      </c>
      <c r="C557" s="1" t="n">
        <v>45880</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60675-2021</t>
        </is>
      </c>
      <c r="B558" s="1" t="n">
        <v>44496.64855324074</v>
      </c>
      <c r="C558" s="1" t="n">
        <v>45880</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37728-2024</t>
        </is>
      </c>
      <c r="B559" s="1" t="n">
        <v>45541</v>
      </c>
      <c r="C559" s="1" t="n">
        <v>45880</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49693-2023</t>
        </is>
      </c>
      <c r="B560" s="1" t="n">
        <v>45212.38138888889</v>
      </c>
      <c r="C560" s="1" t="n">
        <v>45880</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49697-2023</t>
        </is>
      </c>
      <c r="B561" s="1" t="n">
        <v>45212.38909722222</v>
      </c>
      <c r="C561" s="1" t="n">
        <v>45880</v>
      </c>
      <c r="D561" t="inlineStr">
        <is>
          <t>GOTLANDS LÄN</t>
        </is>
      </c>
      <c r="E561" t="inlineStr">
        <is>
          <t>GOTLAND</t>
        </is>
      </c>
      <c r="G561" t="n">
        <v>4.4</v>
      </c>
      <c r="H561" t="n">
        <v>0</v>
      </c>
      <c r="I561" t="n">
        <v>0</v>
      </c>
      <c r="J561" t="n">
        <v>0</v>
      </c>
      <c r="K561" t="n">
        <v>0</v>
      </c>
      <c r="L561" t="n">
        <v>0</v>
      </c>
      <c r="M561" t="n">
        <v>0</v>
      </c>
      <c r="N561" t="n">
        <v>0</v>
      </c>
      <c r="O561" t="n">
        <v>0</v>
      </c>
      <c r="P561" t="n">
        <v>0</v>
      </c>
      <c r="Q561" t="n">
        <v>0</v>
      </c>
      <c r="R561" s="2" t="inlineStr"/>
    </row>
    <row r="562" ht="15" customHeight="1">
      <c r="A562" t="inlineStr">
        <is>
          <t>A 30488-2025</t>
        </is>
      </c>
      <c r="B562" s="1" t="n">
        <v>45830</v>
      </c>
      <c r="C562" s="1" t="n">
        <v>45880</v>
      </c>
      <c r="D562" t="inlineStr">
        <is>
          <t>GOTLANDS LÄN</t>
        </is>
      </c>
      <c r="E562" t="inlineStr">
        <is>
          <t>GOTLAND</t>
        </is>
      </c>
      <c r="F562" t="inlineStr">
        <is>
          <t>Kyrkan</t>
        </is>
      </c>
      <c r="G562" t="n">
        <v>3.9</v>
      </c>
      <c r="H562" t="n">
        <v>0</v>
      </c>
      <c r="I562" t="n">
        <v>0</v>
      </c>
      <c r="J562" t="n">
        <v>0</v>
      </c>
      <c r="K562" t="n">
        <v>0</v>
      </c>
      <c r="L562" t="n">
        <v>0</v>
      </c>
      <c r="M562" t="n">
        <v>0</v>
      </c>
      <c r="N562" t="n">
        <v>0</v>
      </c>
      <c r="O562" t="n">
        <v>0</v>
      </c>
      <c r="P562" t="n">
        <v>0</v>
      </c>
      <c r="Q562" t="n">
        <v>0</v>
      </c>
      <c r="R562" s="2" t="inlineStr"/>
    </row>
    <row r="563" ht="15" customHeight="1">
      <c r="A563" t="inlineStr">
        <is>
          <t>A 22287-2022</t>
        </is>
      </c>
      <c r="B563" s="1" t="n">
        <v>44712</v>
      </c>
      <c r="C563" s="1" t="n">
        <v>45880</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30489-2025</t>
        </is>
      </c>
      <c r="B564" s="1" t="n">
        <v>45830</v>
      </c>
      <c r="C564" s="1" t="n">
        <v>45880</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54074-2022</t>
        </is>
      </c>
      <c r="B565" s="1" t="n">
        <v>44881</v>
      </c>
      <c r="C565" s="1" t="n">
        <v>45880</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65249-2023</t>
        </is>
      </c>
      <c r="B566" s="1" t="n">
        <v>45290</v>
      </c>
      <c r="C566" s="1" t="n">
        <v>45880</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2035-2025</t>
        </is>
      </c>
      <c r="B567" s="1" t="n">
        <v>45672</v>
      </c>
      <c r="C567" s="1" t="n">
        <v>45880</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30135-2025</t>
        </is>
      </c>
      <c r="B568" s="1" t="n">
        <v>45826</v>
      </c>
      <c r="C568" s="1" t="n">
        <v>45880</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45880</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1728-2025</t>
        </is>
      </c>
      <c r="B570" s="1" t="n">
        <v>45671.3565162037</v>
      </c>
      <c r="C570" s="1" t="n">
        <v>45880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45880</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45880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45880</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11874-2024</t>
        </is>
      </c>
      <c r="B574" s="1" t="n">
        <v>45376.46956018519</v>
      </c>
      <c r="C574" s="1" t="n">
        <v>45880</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2292-2021</t>
        </is>
      </c>
      <c r="B575" s="1" t="n">
        <v>44212</v>
      </c>
      <c r="C575" s="1" t="n">
        <v>45880</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42041-2024</t>
        </is>
      </c>
      <c r="B576" s="1" t="n">
        <v>45561</v>
      </c>
      <c r="C576" s="1" t="n">
        <v>45880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61694-2023</t>
        </is>
      </c>
      <c r="B577" s="1" t="n">
        <v>45264</v>
      </c>
      <c r="C577" s="1" t="n">
        <v>45880</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64555-2023</t>
        </is>
      </c>
      <c r="B578" s="1" t="n">
        <v>45281</v>
      </c>
      <c r="C578" s="1" t="n">
        <v>45880</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64831-2023</t>
        </is>
      </c>
      <c r="B579" s="1" t="n">
        <v>45282.44924768519</v>
      </c>
      <c r="C579" s="1" t="n">
        <v>45880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45880</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45880</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27602-2023</t>
        </is>
      </c>
      <c r="B582" s="1" t="n">
        <v>45097</v>
      </c>
      <c r="C582" s="1" t="n">
        <v>45880</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45880</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45880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45880</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45880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22883-2024</t>
        </is>
      </c>
      <c r="B587" s="1" t="n">
        <v>45448.66368055555</v>
      </c>
      <c r="C587" s="1" t="n">
        <v>45880</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45880</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45880</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26810-2021</t>
        </is>
      </c>
      <c r="B590" s="1" t="n">
        <v>44349.55087962963</v>
      </c>
      <c r="C590" s="1" t="n">
        <v>45880</v>
      </c>
      <c r="D590" t="inlineStr">
        <is>
          <t>GOTLANDS LÄN</t>
        </is>
      </c>
      <c r="E590" t="inlineStr">
        <is>
          <t>GOTLAND</t>
        </is>
      </c>
      <c r="G590" t="n">
        <v>3.5</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44963.69503472222</v>
      </c>
      <c r="C591" s="1" t="n">
        <v>45880</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45880</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18918-2025</t>
        </is>
      </c>
      <c r="B593" s="1" t="n">
        <v>45764</v>
      </c>
      <c r="C593" s="1" t="n">
        <v>45880</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45880</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45880</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44944.55361111111</v>
      </c>
      <c r="C596" s="1" t="n">
        <v>45880</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26891-2024</t>
        </is>
      </c>
      <c r="B597" s="1" t="n">
        <v>45470.65540509259</v>
      </c>
      <c r="C597" s="1" t="n">
        <v>45880</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42007-2023</t>
        </is>
      </c>
      <c r="B598" s="1" t="n">
        <v>45177</v>
      </c>
      <c r="C598" s="1" t="n">
        <v>45880</v>
      </c>
      <c r="D598" t="inlineStr">
        <is>
          <t>GOTLANDS LÄN</t>
        </is>
      </c>
      <c r="E598" t="inlineStr">
        <is>
          <t>GOTLAND</t>
        </is>
      </c>
      <c r="G598" t="n">
        <v>0.8</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45880</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38165-2023</t>
        </is>
      </c>
      <c r="B600" s="1" t="n">
        <v>45161</v>
      </c>
      <c r="C600" s="1" t="n">
        <v>45880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45880</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45880</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45880</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45880</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45880</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2714-2023</t>
        </is>
      </c>
      <c r="B606" s="1" t="n">
        <v>44944.54896990741</v>
      </c>
      <c r="C606" s="1" t="n">
        <v>45880</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4421-2024</t>
        </is>
      </c>
      <c r="B607" s="1" t="n">
        <v>45327.45173611111</v>
      </c>
      <c r="C607" s="1" t="n">
        <v>45880</v>
      </c>
      <c r="D607" t="inlineStr">
        <is>
          <t>GOTLANDS LÄN</t>
        </is>
      </c>
      <c r="E607" t="inlineStr">
        <is>
          <t>GOTLAND</t>
        </is>
      </c>
      <c r="G607" t="n">
        <v>5.1</v>
      </c>
      <c r="H607" t="n">
        <v>0</v>
      </c>
      <c r="I607" t="n">
        <v>0</v>
      </c>
      <c r="J607" t="n">
        <v>0</v>
      </c>
      <c r="K607" t="n">
        <v>0</v>
      </c>
      <c r="L607" t="n">
        <v>0</v>
      </c>
      <c r="M607" t="n">
        <v>0</v>
      </c>
      <c r="N607" t="n">
        <v>0</v>
      </c>
      <c r="O607" t="n">
        <v>0</v>
      </c>
      <c r="P607" t="n">
        <v>0</v>
      </c>
      <c r="Q607" t="n">
        <v>0</v>
      </c>
      <c r="R607" s="2" t="inlineStr"/>
    </row>
    <row r="608" ht="15" customHeight="1">
      <c r="A608" t="inlineStr">
        <is>
          <t>A 51782-2023</t>
        </is>
      </c>
      <c r="B608" s="1" t="n">
        <v>45222.80952546297</v>
      </c>
      <c r="C608" s="1" t="n">
        <v>45880</v>
      </c>
      <c r="D608" t="inlineStr">
        <is>
          <t>GOTLANDS LÄN</t>
        </is>
      </c>
      <c r="E608" t="inlineStr">
        <is>
          <t>GOTLAND</t>
        </is>
      </c>
      <c r="G608" t="n">
        <v>1.2</v>
      </c>
      <c r="H608" t="n">
        <v>0</v>
      </c>
      <c r="I608" t="n">
        <v>0</v>
      </c>
      <c r="J608" t="n">
        <v>0</v>
      </c>
      <c r="K608" t="n">
        <v>0</v>
      </c>
      <c r="L608" t="n">
        <v>0</v>
      </c>
      <c r="M608" t="n">
        <v>0</v>
      </c>
      <c r="N608" t="n">
        <v>0</v>
      </c>
      <c r="O608" t="n">
        <v>0</v>
      </c>
      <c r="P608" t="n">
        <v>0</v>
      </c>
      <c r="Q608" t="n">
        <v>0</v>
      </c>
      <c r="R608" s="2" t="inlineStr"/>
    </row>
    <row r="609" ht="15" customHeight="1">
      <c r="A609" t="inlineStr">
        <is>
          <t>A 54268-2022</t>
        </is>
      </c>
      <c r="B609" s="1" t="n">
        <v>44882</v>
      </c>
      <c r="C609" s="1" t="n">
        <v>45880</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row r="610">
      <c r="A610" t="inlineStr">
        <is>
          <t>A 57534-2022</t>
        </is>
      </c>
      <c r="B610" s="1" t="n">
        <v>44896</v>
      </c>
      <c r="C610" s="1" t="n">
        <v>45880</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2025-08-11T08:30:03Z</dcterms:created>
  <dcterms:modified xmlns:dcterms="http://purl.org/dc/terms/" xmlns:xsi="http://www.w3.org/2001/XMLSchema-instance" xsi:type="dcterms:W3CDTF">2025-08-11T08:30:03Z</dcterms:modified>
</cp:coreProperties>
</file>