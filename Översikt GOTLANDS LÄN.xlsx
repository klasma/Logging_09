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45833</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45833</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45833</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45833</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45833</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45833</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45833</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45833</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45833</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45833</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45833</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45833</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45833</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45833</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45833</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45833</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45833</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45833</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45833</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45833</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45833</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45833</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45833</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45833</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45833</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45833</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45833</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25252-2021</t>
        </is>
      </c>
      <c r="B40" s="1" t="n">
        <v>44342</v>
      </c>
      <c r="C40" s="1" t="n">
        <v>45833</v>
      </c>
      <c r="D40" t="inlineStr">
        <is>
          <t>GOTLANDS LÄN</t>
        </is>
      </c>
      <c r="E40" t="inlineStr">
        <is>
          <t>GOTLAND</t>
        </is>
      </c>
      <c r="G40" t="n">
        <v>4.3</v>
      </c>
      <c r="H40" t="n">
        <v>0</v>
      </c>
      <c r="I40" t="n">
        <v>2</v>
      </c>
      <c r="J40" t="n">
        <v>3</v>
      </c>
      <c r="K40" t="n">
        <v>5</v>
      </c>
      <c r="L40" t="n">
        <v>0</v>
      </c>
      <c r="M40" t="n">
        <v>0</v>
      </c>
      <c r="N40" t="n">
        <v>0</v>
      </c>
      <c r="O40" t="n">
        <v>9</v>
      </c>
      <c r="P40" t="n">
        <v>5</v>
      </c>
      <c r="Q40" t="n">
        <v>11</v>
      </c>
      <c r="R40" s="2" t="inlineStr">
        <is>
          <t>Granrotsspindling
Gulsträngad fagerspindling
Narrspindling
Svartgrön spindling
Vit taggsvamp
Flattoppad klubbsvamp
Odörspindling
Orange taggsvamp
Trollspindling
Blå slemspindling
Fransig jordstjärna</t>
        </is>
      </c>
      <c r="S40">
        <f>HYPERLINK("https://klasma.github.io/Logging_0980/artfynd/A 25252-2021 artfynd.xlsx", "A 25252-2021")</f>
        <v/>
      </c>
      <c r="T40">
        <f>HYPERLINK("https://klasma.github.io/Logging_0980/kartor/A 25252-2021 karta.png", "A 25252-2021")</f>
        <v/>
      </c>
      <c r="V40">
        <f>HYPERLINK("https://klasma.github.io/Logging_0980/klagomål/A 25252-2021 FSC-klagomål.docx", "A 25252-2021")</f>
        <v/>
      </c>
      <c r="W40">
        <f>HYPERLINK("https://klasma.github.io/Logging_0980/klagomålsmail/A 25252-2021 FSC-klagomål mail.docx", "A 25252-2021")</f>
        <v/>
      </c>
      <c r="X40">
        <f>HYPERLINK("https://klasma.github.io/Logging_0980/tillsyn/A 25252-2021 tillsynsbegäran.docx", "A 25252-2021")</f>
        <v/>
      </c>
      <c r="Y40">
        <f>HYPERLINK("https://klasma.github.io/Logging_0980/tillsynsmail/A 25252-2021 tillsynsbegäran mail.docx", "A 25252-2021")</f>
        <v/>
      </c>
    </row>
    <row r="41" ht="15" customHeight="1">
      <c r="A41" t="inlineStr">
        <is>
          <t>A 43201-2023</t>
        </is>
      </c>
      <c r="B41" s="1" t="n">
        <v>45183</v>
      </c>
      <c r="C41" s="1" t="n">
        <v>45833</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54797-2023</t>
        </is>
      </c>
      <c r="B42" s="1" t="n">
        <v>45236</v>
      </c>
      <c r="C42" s="1" t="n">
        <v>45833</v>
      </c>
      <c r="D42" t="inlineStr">
        <is>
          <t>GOTLANDS LÄN</t>
        </is>
      </c>
      <c r="E42" t="inlineStr">
        <is>
          <t>GOTLAND</t>
        </is>
      </c>
      <c r="G42" t="n">
        <v>4.2</v>
      </c>
      <c r="H42" t="n">
        <v>1</v>
      </c>
      <c r="I42" t="n">
        <v>5</v>
      </c>
      <c r="J42" t="n">
        <v>3</v>
      </c>
      <c r="K42" t="n">
        <v>2</v>
      </c>
      <c r="L42" t="n">
        <v>0</v>
      </c>
      <c r="M42" t="n">
        <v>0</v>
      </c>
      <c r="N42" t="n">
        <v>0</v>
      </c>
      <c r="O42" t="n">
        <v>5</v>
      </c>
      <c r="P42" t="n">
        <v>2</v>
      </c>
      <c r="Q42" t="n">
        <v>11</v>
      </c>
      <c r="R42" s="2" t="inlineStr">
        <is>
          <t>Gulsträngad fagerspindling
Svartgrön spindling
Denisespindling
Odörspindling
Svinrot
Anisspindling
Blåmossa
Kattfotslav
Rödgul trumpetsvamp
Svavelriska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3372-2024</t>
        </is>
      </c>
      <c r="B43" s="1" t="n">
        <v>45317</v>
      </c>
      <c r="C43" s="1" t="n">
        <v>45833</v>
      </c>
      <c r="D43" t="inlineStr">
        <is>
          <t>GOTLANDS LÄN</t>
        </is>
      </c>
      <c r="E43" t="inlineStr">
        <is>
          <t>GOTLAND</t>
        </is>
      </c>
      <c r="G43" t="n">
        <v>6</v>
      </c>
      <c r="H43" t="n">
        <v>1</v>
      </c>
      <c r="I43" t="n">
        <v>5</v>
      </c>
      <c r="J43" t="n">
        <v>2</v>
      </c>
      <c r="K43" t="n">
        <v>2</v>
      </c>
      <c r="L43" t="n">
        <v>1</v>
      </c>
      <c r="M43" t="n">
        <v>1</v>
      </c>
      <c r="N43" t="n">
        <v>0</v>
      </c>
      <c r="O43" t="n">
        <v>6</v>
      </c>
      <c r="P43" t="n">
        <v>4</v>
      </c>
      <c r="Q43" t="n">
        <v>11</v>
      </c>
      <c r="R43" s="2" t="inlineStr">
        <is>
          <t>Lundalm
Ädellav
Gul lammticka
Vit taggsvamp
Barrviolspindling
Odörspindling
Anisspindling
Brandticka
Fjällig taggsvamp s.str.
Nästrot
Svavelriska</t>
        </is>
      </c>
      <c r="S43">
        <f>HYPERLINK("https://klasma.github.io/Logging_0980/artfynd/A 3372-2024 artfynd.xlsx", "A 3372-2024")</f>
        <v/>
      </c>
      <c r="T43">
        <f>HYPERLINK("https://klasma.github.io/Logging_0980/kartor/A 3372-2024 karta.png", "A 3372-2024")</f>
        <v/>
      </c>
      <c r="V43">
        <f>HYPERLINK("https://klasma.github.io/Logging_0980/klagomål/A 3372-2024 FSC-klagomål.docx", "A 3372-2024")</f>
        <v/>
      </c>
      <c r="W43">
        <f>HYPERLINK("https://klasma.github.io/Logging_0980/klagomålsmail/A 3372-2024 FSC-klagomål mail.docx", "A 3372-2024")</f>
        <v/>
      </c>
      <c r="X43">
        <f>HYPERLINK("https://klasma.github.io/Logging_0980/tillsyn/A 3372-2024 tillsynsbegäran.docx", "A 3372-2024")</f>
        <v/>
      </c>
      <c r="Y43">
        <f>HYPERLINK("https://klasma.github.io/Logging_0980/tillsynsmail/A 3372-2024 tillsynsbegäran mail.docx", "A 3372-2024")</f>
        <v/>
      </c>
    </row>
    <row r="44" ht="15" customHeight="1">
      <c r="A44" t="inlineStr">
        <is>
          <t>A 5686-2024</t>
        </is>
      </c>
      <c r="B44" s="1" t="n">
        <v>45334</v>
      </c>
      <c r="C44" s="1" t="n">
        <v>45833</v>
      </c>
      <c r="D44" t="inlineStr">
        <is>
          <t>GOTLANDS LÄN</t>
        </is>
      </c>
      <c r="E44" t="inlineStr">
        <is>
          <t>GOTLAND</t>
        </is>
      </c>
      <c r="G44" t="n">
        <v>6</v>
      </c>
      <c r="H44" t="n">
        <v>9</v>
      </c>
      <c r="I44" t="n">
        <v>1</v>
      </c>
      <c r="J44" t="n">
        <v>3</v>
      </c>
      <c r="K44" t="n">
        <v>0</v>
      </c>
      <c r="L44" t="n">
        <v>0</v>
      </c>
      <c r="M44" t="n">
        <v>0</v>
      </c>
      <c r="N44" t="n">
        <v>0</v>
      </c>
      <c r="O44" t="n">
        <v>3</v>
      </c>
      <c r="P44" t="n">
        <v>0</v>
      </c>
      <c r="Q44" t="n">
        <v>11</v>
      </c>
      <c r="R44" s="2" t="inlineStr">
        <is>
          <t>Grönsångare
Majviva
Ängsstarr
Purpurknipprot
Halsbandsflugsnappare
Skogsduva
Brudsporre
Dactylorhiza incarnata subsp. incarnata
Fläcknycklar
Grönvit nattviol
Kärrknipprot</t>
        </is>
      </c>
      <c r="S44">
        <f>HYPERLINK("https://klasma.github.io/Logging_0980/artfynd/A 5686-2024 artfynd.xlsx", "A 5686-2024")</f>
        <v/>
      </c>
      <c r="T44">
        <f>HYPERLINK("https://klasma.github.io/Logging_0980/kartor/A 5686-2024 karta.png", "A 5686-2024")</f>
        <v/>
      </c>
      <c r="V44">
        <f>HYPERLINK("https://klasma.github.io/Logging_0980/klagomål/A 5686-2024 FSC-klagomål.docx", "A 5686-2024")</f>
        <v/>
      </c>
      <c r="W44">
        <f>HYPERLINK("https://klasma.github.io/Logging_0980/klagomålsmail/A 5686-2024 FSC-klagomål mail.docx", "A 5686-2024")</f>
        <v/>
      </c>
      <c r="X44">
        <f>HYPERLINK("https://klasma.github.io/Logging_0980/tillsyn/A 5686-2024 tillsynsbegäran.docx", "A 5686-2024")</f>
        <v/>
      </c>
      <c r="Y44">
        <f>HYPERLINK("https://klasma.github.io/Logging_0980/tillsynsmail/A 5686-2024 tillsynsbegäran mail.docx", "A 5686-2024")</f>
        <v/>
      </c>
      <c r="Z44">
        <f>HYPERLINK("https://klasma.github.io/Logging_0980/fåglar/A 5686-2024 prioriterade fågelarter.docx", "A 5686-2024")</f>
        <v/>
      </c>
    </row>
    <row r="45" ht="15" customHeight="1">
      <c r="A45" t="inlineStr">
        <is>
          <t>A 6052-2024</t>
        </is>
      </c>
      <c r="B45" s="1" t="n">
        <v>45336</v>
      </c>
      <c r="C45" s="1" t="n">
        <v>45833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45833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18957-2024</t>
        </is>
      </c>
      <c r="B47" s="1" t="n">
        <v>45427</v>
      </c>
      <c r="C47" s="1" t="n">
        <v>45833</v>
      </c>
      <c r="D47" t="inlineStr">
        <is>
          <t>GOTLANDS LÄN</t>
        </is>
      </c>
      <c r="E47" t="inlineStr">
        <is>
          <t>GOTLAND</t>
        </is>
      </c>
      <c r="G47" t="n">
        <v>7</v>
      </c>
      <c r="H47" t="n">
        <v>7</v>
      </c>
      <c r="I47" t="n">
        <v>2</v>
      </c>
      <c r="J47" t="n">
        <v>6</v>
      </c>
      <c r="K47" t="n">
        <v>0</v>
      </c>
      <c r="L47" t="n">
        <v>0</v>
      </c>
      <c r="M47" t="n">
        <v>0</v>
      </c>
      <c r="N47" t="n">
        <v>0</v>
      </c>
      <c r="O47" t="n">
        <v>6</v>
      </c>
      <c r="P47" t="n">
        <v>0</v>
      </c>
      <c r="Q47" t="n">
        <v>11</v>
      </c>
      <c r="R47" s="2" t="inlineStr">
        <is>
          <t>Dårgräsfjäril
Jordtistel
Sexfläckig bastardsvärmare
Solvända
Svartfläckig blåvinge
Svinrot
Skogsknipprot
Tvåblad
Nattviol
Blåsippa
Revlummer</t>
        </is>
      </c>
      <c r="S47">
        <f>HYPERLINK("https://klasma.github.io/Logging_0980/artfynd/A 18957-2024 artfynd.xlsx", "A 18957-2024")</f>
        <v/>
      </c>
      <c r="T47">
        <f>HYPERLINK("https://klasma.github.io/Logging_0980/kartor/A 18957-2024 karta.png", "A 18957-2024")</f>
        <v/>
      </c>
      <c r="V47">
        <f>HYPERLINK("https://klasma.github.io/Logging_0980/klagomål/A 18957-2024 FSC-klagomål.docx", "A 18957-2024")</f>
        <v/>
      </c>
      <c r="W47">
        <f>HYPERLINK("https://klasma.github.io/Logging_0980/klagomålsmail/A 18957-2024 FSC-klagomål mail.docx", "A 18957-2024")</f>
        <v/>
      </c>
      <c r="X47">
        <f>HYPERLINK("https://klasma.github.io/Logging_0980/tillsyn/A 18957-2024 tillsynsbegäran.docx", "A 18957-2024")</f>
        <v/>
      </c>
      <c r="Y47">
        <f>HYPERLINK("https://klasma.github.io/Logging_0980/tillsynsmail/A 18957-2024 tillsynsbegäran mail.docx", "A 18957-2024")</f>
        <v/>
      </c>
    </row>
    <row r="48" ht="15" customHeight="1">
      <c r="A48" t="inlineStr">
        <is>
          <t>A 15068-2025</t>
        </is>
      </c>
      <c r="B48" s="1" t="n">
        <v>45743</v>
      </c>
      <c r="C48" s="1" t="n">
        <v>45833</v>
      </c>
      <c r="D48" t="inlineStr">
        <is>
          <t>GOTLANDS LÄN</t>
        </is>
      </c>
      <c r="E48" t="inlineStr">
        <is>
          <t>GOTLAND</t>
        </is>
      </c>
      <c r="G48" t="n">
        <v>37.3</v>
      </c>
      <c r="H48" t="n">
        <v>5</v>
      </c>
      <c r="I48" t="n">
        <v>1</v>
      </c>
      <c r="J48" t="n">
        <v>3</v>
      </c>
      <c r="K48" t="n">
        <v>1</v>
      </c>
      <c r="L48" t="n">
        <v>0</v>
      </c>
      <c r="M48" t="n">
        <v>0</v>
      </c>
      <c r="N48" t="n">
        <v>0</v>
      </c>
      <c r="O48" t="n">
        <v>5</v>
      </c>
      <c r="P48" t="n">
        <v>1</v>
      </c>
      <c r="Q48" t="n">
        <v>11</v>
      </c>
      <c r="R48" s="2" t="inlineStr">
        <is>
          <t>Källnate
Majviva
Silversmygare
Ängsstarr
Blodkula
Axag
Brudsporre
Dactylorhiza incarnata subsp. incarnata
Dubbelnycklar
Kärrknipprot
Ängsnycklar</t>
        </is>
      </c>
      <c r="S48">
        <f>HYPERLINK("https://klasma.github.io/Logging_090980/artfynd/A 15068-2025 artfynd.xlsx", "A 15068-2025")</f>
        <v/>
      </c>
      <c r="T48">
        <f>HYPERLINK("https://klasma.github.io/Logging_090980/kartor/A 15068-2025 karta.png", "A 15068-2025")</f>
        <v/>
      </c>
      <c r="V48">
        <f>HYPERLINK("https://klasma.github.io/Logging_090980/klagomål/A 15068-2025 FSC-klagomål.docx", "A 15068-2025")</f>
        <v/>
      </c>
      <c r="W48">
        <f>HYPERLINK("https://klasma.github.io/Logging_090980/klagomålsmail/A 15068-2025 FSC-klagomål mail.docx", "A 15068-2025")</f>
        <v/>
      </c>
      <c r="X48">
        <f>HYPERLINK("https://klasma.github.io/Logging_090980/tillsyn/A 15068-2025 tillsynsbegäran.docx", "A 15068-2025")</f>
        <v/>
      </c>
      <c r="Y48">
        <f>HYPERLINK("https://klasma.github.io/Logging_090980/tillsynsmail/A 15068-2025 tillsynsbegäran mail.docx", "A 15068-2025")</f>
        <v/>
      </c>
    </row>
    <row r="49" ht="15" customHeight="1">
      <c r="A49" t="inlineStr">
        <is>
          <t>A 15850-2025</t>
        </is>
      </c>
      <c r="B49" s="1" t="n">
        <v>45749</v>
      </c>
      <c r="C49" s="1" t="n">
        <v>45833</v>
      </c>
      <c r="D49" t="inlineStr">
        <is>
          <t>GOTLANDS LÄN</t>
        </is>
      </c>
      <c r="E49" t="inlineStr">
        <is>
          <t>GOTLAND</t>
        </is>
      </c>
      <c r="G49" t="n">
        <v>5.1</v>
      </c>
      <c r="H49" t="n">
        <v>4</v>
      </c>
      <c r="I49" t="n">
        <v>3</v>
      </c>
      <c r="J49" t="n">
        <v>4</v>
      </c>
      <c r="K49" t="n">
        <v>2</v>
      </c>
      <c r="L49" t="n">
        <v>0</v>
      </c>
      <c r="M49" t="n">
        <v>0</v>
      </c>
      <c r="N49" t="n">
        <v>0</v>
      </c>
      <c r="O49" t="n">
        <v>7</v>
      </c>
      <c r="P49" t="n">
        <v>2</v>
      </c>
      <c r="Q49" t="n">
        <v>11</v>
      </c>
      <c r="R49" s="2" t="inlineStr">
        <is>
          <t>Gulsträngad fagerspindling
Tvillingspindling
Gulsparv
Odörspindling
Spillkråka
Svinrot
Trollspindling
Anisspindling
Mindre märgborre
Skogsknipprot
Sankt pers nycklar</t>
        </is>
      </c>
      <c r="S49">
        <f>HYPERLINK("https://klasma.github.io/Logging_090980/artfynd/A 15850-2025 artfynd.xlsx", "A 15850-2025")</f>
        <v/>
      </c>
      <c r="T49">
        <f>HYPERLINK("https://klasma.github.io/Logging_090980/kartor/A 15850-2025 karta.png", "A 15850-2025")</f>
        <v/>
      </c>
      <c r="V49">
        <f>HYPERLINK("https://klasma.github.io/Logging_090980/klagomål/A 15850-2025 FSC-klagomål.docx", "A 15850-2025")</f>
        <v/>
      </c>
      <c r="W49">
        <f>HYPERLINK("https://klasma.github.io/Logging_090980/klagomålsmail/A 15850-2025 FSC-klagomål mail.docx", "A 15850-2025")</f>
        <v/>
      </c>
      <c r="X49">
        <f>HYPERLINK("https://klasma.github.io/Logging_090980/tillsyn/A 15850-2025 tillsynsbegäran.docx", "A 15850-2025")</f>
        <v/>
      </c>
      <c r="Y49">
        <f>HYPERLINK("https://klasma.github.io/Logging_090980/tillsynsmail/A 15850-2025 tillsynsbegäran mail.docx", "A 15850-2025")</f>
        <v/>
      </c>
      <c r="Z49">
        <f>HYPERLINK("https://klasma.github.io/Logging_090980/fåglar/A 15850-2025 prioriterade fågelarter.docx", "A 15850-2025")</f>
        <v/>
      </c>
    </row>
    <row r="50" ht="15" customHeight="1">
      <c r="A50" t="inlineStr">
        <is>
          <t>A 64683-2023</t>
        </is>
      </c>
      <c r="B50" s="1" t="n">
        <v>45281</v>
      </c>
      <c r="C50" s="1" t="n">
        <v>45833</v>
      </c>
      <c r="D50" t="inlineStr">
        <is>
          <t>GOTLANDS LÄN</t>
        </is>
      </c>
      <c r="E50" t="inlineStr">
        <is>
          <t>GOTLAND</t>
        </is>
      </c>
      <c r="G50" t="n">
        <v>6.3</v>
      </c>
      <c r="H50" t="n">
        <v>0</v>
      </c>
      <c r="I50" t="n">
        <v>7</v>
      </c>
      <c r="J50" t="n">
        <v>1</v>
      </c>
      <c r="K50" t="n">
        <v>2</v>
      </c>
      <c r="L50" t="n">
        <v>0</v>
      </c>
      <c r="M50" t="n">
        <v>0</v>
      </c>
      <c r="N50" t="n">
        <v>0</v>
      </c>
      <c r="O50" t="n">
        <v>3</v>
      </c>
      <c r="P50" t="n">
        <v>2</v>
      </c>
      <c r="Q50" t="n">
        <v>10</v>
      </c>
      <c r="R50" s="2" t="inlineStr">
        <is>
          <t>Gulsträngad fagerspindling
Violettfläckig spindling
Odörspindling
Anisspindling
Blomkålssvamp
Blå slemspindling
Grönpyrola
Olivspindling
Rödgul trumpetsvamp
Rökmusseron</t>
        </is>
      </c>
      <c r="S50">
        <f>HYPERLINK("https://klasma.github.io/Logging_0980/artfynd/A 64683-2023 artfynd.xlsx", "A 64683-2023")</f>
        <v/>
      </c>
      <c r="T50">
        <f>HYPERLINK("https://klasma.github.io/Logging_0980/kartor/A 64683-2023 karta.png", "A 64683-2023")</f>
        <v/>
      </c>
      <c r="V50">
        <f>HYPERLINK("https://klasma.github.io/Logging_0980/klagomål/A 64683-2023 FSC-klagomål.docx", "A 64683-2023")</f>
        <v/>
      </c>
      <c r="W50">
        <f>HYPERLINK("https://klasma.github.io/Logging_0980/klagomålsmail/A 64683-2023 FSC-klagomål mail.docx", "A 64683-2023")</f>
        <v/>
      </c>
      <c r="X50">
        <f>HYPERLINK("https://klasma.github.io/Logging_0980/tillsyn/A 64683-2023 tillsynsbegäran.docx", "A 64683-2023")</f>
        <v/>
      </c>
      <c r="Y50">
        <f>HYPERLINK("https://klasma.github.io/Logging_0980/tillsynsmail/A 64683-2023 tillsynsbegäran mail.docx", "A 64683-2023")</f>
        <v/>
      </c>
    </row>
    <row r="51" ht="15" customHeight="1">
      <c r="A51" t="inlineStr">
        <is>
          <t>A 17739-2024</t>
        </is>
      </c>
      <c r="B51" s="1" t="n">
        <v>45418</v>
      </c>
      <c r="C51" s="1" t="n">
        <v>45833</v>
      </c>
      <c r="D51" t="inlineStr">
        <is>
          <t>GOTLANDS LÄN</t>
        </is>
      </c>
      <c r="E51" t="inlineStr">
        <is>
          <t>GOTLAND</t>
        </is>
      </c>
      <c r="G51" t="n">
        <v>14.3</v>
      </c>
      <c r="H51" t="n">
        <v>3</v>
      </c>
      <c r="I51" t="n">
        <v>2</v>
      </c>
      <c r="J51" t="n">
        <v>6</v>
      </c>
      <c r="K51" t="n">
        <v>1</v>
      </c>
      <c r="L51" t="n">
        <v>0</v>
      </c>
      <c r="M51" t="n">
        <v>0</v>
      </c>
      <c r="N51" t="n">
        <v>0</v>
      </c>
      <c r="O51" t="n">
        <v>7</v>
      </c>
      <c r="P51" t="n">
        <v>1</v>
      </c>
      <c r="Q51" t="n">
        <v>10</v>
      </c>
      <c r="R51" s="2" t="inlineStr">
        <is>
          <t>Ljungsnärja
Axveronika
Backtimjan
Flentimotej
Havsörn
Jordtistel
Solvända
Blåmossa
Tvåblad
Blåsippa</t>
        </is>
      </c>
      <c r="S51">
        <f>HYPERLINK("https://klasma.github.io/Logging_0980/artfynd/A 17739-2024 artfynd.xlsx", "A 17739-2024")</f>
        <v/>
      </c>
      <c r="T51">
        <f>HYPERLINK("https://klasma.github.io/Logging_0980/kartor/A 17739-2024 karta.png", "A 17739-2024")</f>
        <v/>
      </c>
      <c r="V51">
        <f>HYPERLINK("https://klasma.github.io/Logging_0980/klagomål/A 17739-2024 FSC-klagomål.docx", "A 17739-2024")</f>
        <v/>
      </c>
      <c r="W51">
        <f>HYPERLINK("https://klasma.github.io/Logging_0980/klagomålsmail/A 17739-2024 FSC-klagomål mail.docx", "A 17739-2024")</f>
        <v/>
      </c>
      <c r="X51">
        <f>HYPERLINK("https://klasma.github.io/Logging_0980/tillsyn/A 17739-2024 tillsynsbegäran.docx", "A 17739-2024")</f>
        <v/>
      </c>
      <c r="Y51">
        <f>HYPERLINK("https://klasma.github.io/Logging_0980/tillsynsmail/A 17739-2024 tillsynsbegäran mail.docx", "A 17739-2024")</f>
        <v/>
      </c>
      <c r="Z51">
        <f>HYPERLINK("https://klasma.github.io/Logging_0980/fåglar/A 17739-2024 prioriterade fågelarter.docx", "A 17739-2024")</f>
        <v/>
      </c>
    </row>
    <row r="52" ht="15" customHeight="1">
      <c r="A52" t="inlineStr">
        <is>
          <t>A 17766-2024</t>
        </is>
      </c>
      <c r="B52" s="1" t="n">
        <v>45418</v>
      </c>
      <c r="C52" s="1" t="n">
        <v>45833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22404-2024</t>
        </is>
      </c>
      <c r="B53" s="1" t="n">
        <v>45446</v>
      </c>
      <c r="C53" s="1" t="n">
        <v>45833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33153-2024</t>
        </is>
      </c>
      <c r="B54" s="1" t="n">
        <v>45518</v>
      </c>
      <c r="C54" s="1" t="n">
        <v>45833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49418-2024</t>
        </is>
      </c>
      <c r="B55" s="1" t="n">
        <v>45595</v>
      </c>
      <c r="C55" s="1" t="n">
        <v>45833</v>
      </c>
      <c r="D55" t="inlineStr">
        <is>
          <t>GOTLANDS LÄN</t>
        </is>
      </c>
      <c r="E55" t="inlineStr">
        <is>
          <t>GOTLAND</t>
        </is>
      </c>
      <c r="G55" t="n">
        <v>39.8</v>
      </c>
      <c r="H55" t="n">
        <v>6</v>
      </c>
      <c r="I55" t="n">
        <v>2</v>
      </c>
      <c r="J55" t="n">
        <v>3</v>
      </c>
      <c r="K55" t="n">
        <v>0</v>
      </c>
      <c r="L55" t="n">
        <v>1</v>
      </c>
      <c r="M55" t="n">
        <v>0</v>
      </c>
      <c r="N55" t="n">
        <v>0</v>
      </c>
      <c r="O55" t="n">
        <v>4</v>
      </c>
      <c r="P55" t="n">
        <v>1</v>
      </c>
      <c r="Q55" t="n">
        <v>10</v>
      </c>
      <c r="R55" s="2" t="inlineStr">
        <is>
          <t>Ängshök
Majviva
Svinrot
Ängsstarr
Axag
Skogsknipprot
Brudsporre
Dactylorhiza incarnata subsp. incarnata
Kärrknipprot
Ängsnycklar</t>
        </is>
      </c>
      <c r="S55">
        <f>HYPERLINK("https://klasma.github.io/Logging_0980/artfynd/A 49418-2024 artfynd.xlsx", "A 49418-2024")</f>
        <v/>
      </c>
      <c r="T55">
        <f>HYPERLINK("https://klasma.github.io/Logging_0980/kartor/A 49418-2024 karta.png", "A 49418-2024")</f>
        <v/>
      </c>
      <c r="V55">
        <f>HYPERLINK("https://klasma.github.io/Logging_0980/klagomål/A 49418-2024 FSC-klagomål.docx", "A 49418-2024")</f>
        <v/>
      </c>
      <c r="W55">
        <f>HYPERLINK("https://klasma.github.io/Logging_0980/klagomålsmail/A 49418-2024 FSC-klagomål mail.docx", "A 49418-2024")</f>
        <v/>
      </c>
      <c r="X55">
        <f>HYPERLINK("https://klasma.github.io/Logging_0980/tillsyn/A 49418-2024 tillsynsbegäran.docx", "A 49418-2024")</f>
        <v/>
      </c>
      <c r="Y55">
        <f>HYPERLINK("https://klasma.github.io/Logging_0980/tillsynsmail/A 49418-2024 tillsynsbegäran mail.docx", "A 49418-2024")</f>
        <v/>
      </c>
    </row>
    <row r="56" ht="15" customHeight="1">
      <c r="A56" t="inlineStr">
        <is>
          <t>A 1719-2025</t>
        </is>
      </c>
      <c r="B56" s="1" t="n">
        <v>45671</v>
      </c>
      <c r="C56" s="1" t="n">
        <v>45833</v>
      </c>
      <c r="D56" t="inlineStr">
        <is>
          <t>GOTLANDS LÄN</t>
        </is>
      </c>
      <c r="E56" t="inlineStr">
        <is>
          <t>GOTLAND</t>
        </is>
      </c>
      <c r="G56" t="n">
        <v>6</v>
      </c>
      <c r="H56" t="n">
        <v>3</v>
      </c>
      <c r="I56" t="n">
        <v>2</v>
      </c>
      <c r="J56" t="n">
        <v>3</v>
      </c>
      <c r="K56" t="n">
        <v>3</v>
      </c>
      <c r="L56" t="n">
        <v>1</v>
      </c>
      <c r="M56" t="n">
        <v>0</v>
      </c>
      <c r="N56" t="n">
        <v>0</v>
      </c>
      <c r="O56" t="n">
        <v>7</v>
      </c>
      <c r="P56" t="n">
        <v>4</v>
      </c>
      <c r="Q56" t="n">
        <v>10</v>
      </c>
      <c r="R56" s="2" t="inlineStr">
        <is>
          <t>Ask
Gulsträngad fagerspindling
Skogskorn
Vit taggsvamp
Backtimjan
Doftskinn
Spillkråka
Besk kastanjemusseron
Skogsknipprot
Blåsippa</t>
        </is>
      </c>
      <c r="S56">
        <f>HYPERLINK("https://klasma.github.io/Logging_0980/artfynd/A 1719-2025 artfynd.xlsx", "A 1719-2025")</f>
        <v/>
      </c>
      <c r="T56">
        <f>HYPERLINK("https://klasma.github.io/Logging_0980/kartor/A 1719-2025 karta.png", "A 1719-2025")</f>
        <v/>
      </c>
      <c r="V56">
        <f>HYPERLINK("https://klasma.github.io/Logging_0980/klagomål/A 1719-2025 FSC-klagomål.docx", "A 1719-2025")</f>
        <v/>
      </c>
      <c r="W56">
        <f>HYPERLINK("https://klasma.github.io/Logging_0980/klagomålsmail/A 1719-2025 FSC-klagomål mail.docx", "A 1719-2025")</f>
        <v/>
      </c>
      <c r="X56">
        <f>HYPERLINK("https://klasma.github.io/Logging_0980/tillsyn/A 1719-2025 tillsynsbegäran.docx", "A 1719-2025")</f>
        <v/>
      </c>
      <c r="Y56">
        <f>HYPERLINK("https://klasma.github.io/Logging_0980/tillsynsmail/A 1719-2025 tillsynsbegäran mail.docx", "A 1719-2025")</f>
        <v/>
      </c>
      <c r="Z56">
        <f>HYPERLINK("https://klasma.github.io/Logging_0980/fåglar/A 1719-2025 prioriterade fågelarter.docx", "A 1719-2025")</f>
        <v/>
      </c>
    </row>
    <row r="57" ht="15" customHeight="1">
      <c r="A57" t="inlineStr">
        <is>
          <t>A 3475-2025</t>
        </is>
      </c>
      <c r="B57" s="1" t="n">
        <v>45680</v>
      </c>
      <c r="C57" s="1" t="n">
        <v>45833</v>
      </c>
      <c r="D57" t="inlineStr">
        <is>
          <t>GOTLANDS LÄN</t>
        </is>
      </c>
      <c r="E57" t="inlineStr">
        <is>
          <t>GOTLAND</t>
        </is>
      </c>
      <c r="G57" t="n">
        <v>4.6</v>
      </c>
      <c r="H57" t="n">
        <v>3</v>
      </c>
      <c r="I57" t="n">
        <v>3</v>
      </c>
      <c r="J57" t="n">
        <v>3</v>
      </c>
      <c r="K57" t="n">
        <v>2</v>
      </c>
      <c r="L57" t="n">
        <v>0</v>
      </c>
      <c r="M57" t="n">
        <v>0</v>
      </c>
      <c r="N57" t="n">
        <v>0</v>
      </c>
      <c r="O57" t="n">
        <v>6</v>
      </c>
      <c r="P57" t="n">
        <v>2</v>
      </c>
      <c r="Q57" t="n">
        <v>10</v>
      </c>
      <c r="R57" s="2" t="inlineStr">
        <is>
          <t>Gulsträngad fagerspindling
Tvillingspindling
Gulsparv
Odörspindling
Svinrot
Trollspindling
Anisspindling
Mindre märgborre
Skogsknipprot
Sankt pers nycklar</t>
        </is>
      </c>
      <c r="S57">
        <f>HYPERLINK("https://klasma.github.io/Logging_0980/artfynd/A 3475-2025 artfynd.xlsx", "A 3475-2025")</f>
        <v/>
      </c>
      <c r="T57">
        <f>HYPERLINK("https://klasma.github.io/Logging_0980/kartor/A 3475-2025 karta.png", "A 3475-2025")</f>
        <v/>
      </c>
      <c r="V57">
        <f>HYPERLINK("https://klasma.github.io/Logging_0980/klagomål/A 3475-2025 FSC-klagomål.docx", "A 3475-2025")</f>
        <v/>
      </c>
      <c r="W57">
        <f>HYPERLINK("https://klasma.github.io/Logging_0980/klagomålsmail/A 3475-2025 FSC-klagomål mail.docx", "A 3475-2025")</f>
        <v/>
      </c>
      <c r="X57">
        <f>HYPERLINK("https://klasma.github.io/Logging_0980/tillsyn/A 3475-2025 tillsynsbegäran.docx", "A 3475-2025")</f>
        <v/>
      </c>
      <c r="Y57">
        <f>HYPERLINK("https://klasma.github.io/Logging_0980/tillsynsmail/A 3475-2025 tillsynsbegäran mail.docx", "A 3475-2025")</f>
        <v/>
      </c>
      <c r="Z57">
        <f>HYPERLINK("https://klasma.github.io/Logging_0980/fåglar/A 3475-2025 prioriterade fågelarter.docx", "A 3475-2025")</f>
        <v/>
      </c>
    </row>
    <row r="58" ht="15" customHeight="1">
      <c r="A58" t="inlineStr">
        <is>
          <t>A 8915-2023</t>
        </is>
      </c>
      <c r="B58" s="1" t="n">
        <v>44973</v>
      </c>
      <c r="C58" s="1" t="n">
        <v>45833</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45833</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45833</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45833</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45833</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45833</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45833</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45833</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45833</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45833</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45833</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45833</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45833</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45833</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45833</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45833</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45833</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45833</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45833</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45833</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45833</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45833</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45833</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45833</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45833</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45833</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45833</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45833</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45833</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45833</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45833</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45833</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45833</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45833</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45833</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45833</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45833</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45833</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45833</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45833</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45833</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45833</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45833</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45833</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45833</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45833</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45833</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45833</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45833</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45833</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45833</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45833</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45833</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45833</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45833</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45833</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45833</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45833</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45833</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45833</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45833</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45833</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45833</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45833</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45833</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45833</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45833</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45833</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45833</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45833</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45833</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45833</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45833</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45833</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45833</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45833</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45833</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45833</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45833</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45833</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45833</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45833</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45833</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45833</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45833</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45833</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45833</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45833</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45833</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45833</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45833</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45833</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45833</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45833</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45833</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45833</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45833</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45833</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45833</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45833</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45833</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45833</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45833</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45833</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45833</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45833</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45833</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45833</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45833</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45833</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45833</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45833</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45833</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45833</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45833</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45833</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45833</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45833</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45833</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45833</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45833</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45833</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45833</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45833</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45833</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45833</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45833</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45833</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45833</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45833</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45833</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45833</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45833</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45833</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45833</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45833</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45833</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45833</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45833</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45833</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45833</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45833</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45833</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45833</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45833</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45833</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45833</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45833</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45833</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45833</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45833</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45833</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45833</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45833</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45833</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45833</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45833</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45833</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45833</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45833</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45833</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45833</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45833</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45833</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45833</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45833</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45833</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45833</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45833</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45833</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45833</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45833</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45833</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45833</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45833</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45833</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45833</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45833</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45833</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45833</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45833</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45833</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45833</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45833</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45833</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45833</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45833</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45833</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45833</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45833</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45833</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45833</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45833</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45833</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45833</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45833</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45833</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45833</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45833</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45833</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45833</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45833</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45833</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45833</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45833</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45833</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45833</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45833</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45833</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45833</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45833</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45833</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45833</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45833</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45833</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45833</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45833</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45833</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45833</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45833</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45833</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45833</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45833</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45833</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45833</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45833</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45833</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45833</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45833</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45833</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45833</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45833</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45833</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45833</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45833</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45833</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45833</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45833</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45833</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45833</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45833</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45833</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45833</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45833</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45833</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45833</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45833</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45833</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45833</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45833</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45833</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45833</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45833</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45833</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45833</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45833</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45833</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45833</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45833</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45833</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45833</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45833</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45833</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45833</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45833</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45833</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45833</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45833</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45833</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45833</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45833</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45833</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45833</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45833</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45833</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45833</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45833</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45833</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45833</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45833</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45833</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45833</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45833</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45833</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45833</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45833</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45833</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45833</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45833</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45833</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45833</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45833</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45833</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45833</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45833</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45833</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45833</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45833</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45833</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45833</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45833</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45833</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45833</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45833</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45833</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45833</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45833</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45833</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45833</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45833</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45833</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45833</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45833</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45833</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45833</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45833</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45833</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45833</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45833</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45833</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45833</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45833</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45833</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45833</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45833</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45833</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45833</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45833</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45833</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45833</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45833</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45833</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45833</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45833</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45833</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45833</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45833</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45833</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45833</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45833</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45833</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45833</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45833</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45833</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45833</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45833</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45833</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45833</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45833</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45833</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45833</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45833</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45833</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45833</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45833</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45833</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45833</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45833</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45833</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45833</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45833</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45833</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45833</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45833</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45833</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45833</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45833</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45833</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45833</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45833</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45833</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45833</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45833</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45833</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45833</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45833</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45833</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45833</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45833</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45833</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45833</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45833</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45833</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45833</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45833</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45833</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45833</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45833</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45833</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45833</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45833</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45833</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45833</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45833</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45833</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45833</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45833</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45833</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45833</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45833</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45833</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45833</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45833</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45833</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45833</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45833</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45833</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45833</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45833</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45833</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45833</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45833</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45833</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45833</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45833</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45833</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45833</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45833</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45833</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45833</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45833</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45833</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45833</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45833</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45833</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45833</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45833</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45833</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45833</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45833</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45833</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45833</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45833</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45833</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45833</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45833</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45833</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45833</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45833</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45833</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45833</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45833</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45833</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45833</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45833</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45833</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45833</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45833</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45833</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45833</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45833</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45833</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45833</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45833</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45833</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45833</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45833</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45833</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45833</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45833</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45833</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45833</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45833</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45833</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45833</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45833</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45833</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45833</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45833</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45833</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45833</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45833</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45833</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45833</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45833</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45833</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45833</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45833</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45833</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45833</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45833</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45833</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45833</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45833</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45833</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45833</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45833</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45833</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45833</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45833</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45833</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45833</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45833</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45833</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45833</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45833</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45833</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45833</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45833</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45833</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45833</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45833</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45833</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45833</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45833</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45833</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45833</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45833</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45833</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45833</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45833</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45833</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45833</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45833</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45833</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45833</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45833</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45833</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45833</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45833</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45833</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45833</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45833</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45833</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45833</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45833</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45833</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45833</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45833</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45833</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45833</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45833</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45833</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45833</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45833</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45833</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45833</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45833</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45833</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45833</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45833</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45833</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45833</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45833</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45833</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45833</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45833</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45833</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45833</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45833</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45833</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45833</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45833</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45833</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45833</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45833</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45833</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45833</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45833</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45833</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45833</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45833</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45833</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45833</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45833</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45833</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45833</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45833</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45833</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45833</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45833</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45833</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45833</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45833</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45833</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45833</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45833</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45833</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45833</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45833</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45833</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45833</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45833</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45833</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45833</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45833</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45833</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45833</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45833</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45833</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45833</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45833</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45833</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45833</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45833</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45833</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45833</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45833</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45833</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45833</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45833</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45833</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45833</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45833</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45833</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45833</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45833</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45833</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45833</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45833</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45833</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45833</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45833</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45833</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45833</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45833</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45833</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45833</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45833</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45833</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45833</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45833</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45833</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45833</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45833</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45833</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45833</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45833</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45833</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45833</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45833</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45833</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45833</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45833</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45833</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45833</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45833</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45833</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45833</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45833</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45833</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45833</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45833</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45833</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45833</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45833</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45833</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45833</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45833</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45833</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45833</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45833</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45833</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45833</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45833</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45833</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45833</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45833</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45833</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45833</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45833</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45833</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45833</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45833</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45833</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45833</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45833</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45833</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45833</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45833</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45833</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45833</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45833</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45833</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45833</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45833</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45833</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45833</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45833</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45833</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45833</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45833</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45833</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45833</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45833</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45833</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45833</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45833</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45833</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45833</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45833</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45833</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45833</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45833</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45833</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45833</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45833</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45833</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45833</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45833</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45833</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45833</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45833</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45833</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45833</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45833</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45833</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45833</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45833</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45833</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45833</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45833</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45833</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45833</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45833</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45833</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45833</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45833</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45833</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45833</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45833</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45833</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45833</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45833</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45833</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45833</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45833</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45833</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45833</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45833</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45833</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45833</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45833</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45833</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45833</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45833</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45833</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45833</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45833</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45833</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45833</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45833</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45833</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45833</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45833</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45833</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45833</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45833</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45833</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45833</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45833</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45833</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45833</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45833</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45833</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45833</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45833</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45833</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45833</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45833</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45833</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45833</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45833</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45833</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45833</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45833</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45833</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45833</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45833</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45833</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45833</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45833</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45833</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45833</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45833</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45833</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45833</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45833</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45833</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45833</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45833</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45833</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45833</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45833</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45833</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45833</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45833</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45833</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45833</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45833</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45833</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45833</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45833</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45833</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45833</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45833</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45833</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45833</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45833</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45833</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45833</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45833</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45833</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45833</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45833</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45833</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45833</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45833</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45833</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45833</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45833</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45833</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45833</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45833</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45833</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45833</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45833</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45833</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45833</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45833</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45833</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45833</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45833</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45833</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45833</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45833</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45833</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45833</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45833</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45833</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45833</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45833</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45833</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45833</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45833</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45833</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45833</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45833</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45833</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45833</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45833</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45833</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45833</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45833</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45833</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45833</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45833</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45833</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45833</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45833</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45833</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45833</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45833</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45833</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45833</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45833</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45833</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45833</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45833</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45833</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45833</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45833</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45833</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45833</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45833</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45833</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45833</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45833</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45833</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45833</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45833</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45833</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45833</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45833</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45833</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45833</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45833</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45833</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45833</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45833</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45833</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45833</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45833</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45833</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45833</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45833</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45833</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45833</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45833</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45833</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45833</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45833</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45833</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45833</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45833</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45833</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45833</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45833</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45833</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45833</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45833</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45833</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45833</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45833</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45833</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45833</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45833</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45833</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45833</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45833</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45833</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45833</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45833</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45833</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45833</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45833</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45833</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45833</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45833</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45833</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45833</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45833</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45833</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45833</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45833</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45833</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45833</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45833</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45833</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45833</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45833</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45833</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45833</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45833</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45833</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45833</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45833</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45833</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45833</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45833</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45833</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45833</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45833</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45833</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45833</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45833</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45833</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45833</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45833</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45833</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45833</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45833</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45833</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45833</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45833</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45833</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45833</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45833</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45833</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45833</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45833</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45833</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45833</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45833</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45833</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45833</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45833</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45833</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45833</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45833</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45833</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45833</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45833</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45833</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45833</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45833</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45833</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45833</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45833</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45833</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45833</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45833</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45833</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45833</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45833</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45833</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45833</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45833</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45833</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45833</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45833</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45833</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45833</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45833</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45833</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45833</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45833</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45833</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45833</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45833</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45833</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45833</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45833</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45833</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45833</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45833</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45833</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45833</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45833</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45833</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45833</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45833</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45833</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45833</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45833</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45833</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45833</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45833</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45833</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45833</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45833</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45833</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45833</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45833</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45833</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45833</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45833</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45833</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45833</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45833</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45833</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45833</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45833</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45833</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45833</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45833</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45833</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45833</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45833</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45833</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45833</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45833</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45833</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45833</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45833</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45833</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45833</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45833</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45833</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45833</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45833</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45833</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45833</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45833</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45833</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45833</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45833</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45833</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45833</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45833</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26457-2025</t>
        </is>
      </c>
      <c r="B1144" s="1" t="n">
        <v>45807</v>
      </c>
      <c r="C1144" s="1" t="n">
        <v>45833</v>
      </c>
      <c r="D1144" t="inlineStr">
        <is>
          <t>GOTLANDS LÄN</t>
        </is>
      </c>
      <c r="E1144" t="inlineStr">
        <is>
          <t>GOTLAND</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45833</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45833</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45833</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45833</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45833</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45833</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45833</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30135-2025</t>
        </is>
      </c>
      <c r="B1152" s="1" t="n">
        <v>45826</v>
      </c>
      <c r="C1152" s="1" t="n">
        <v>45833</v>
      </c>
      <c r="D1152" t="inlineStr">
        <is>
          <t>GOTLANDS LÄN</t>
        </is>
      </c>
      <c r="E1152" t="inlineStr">
        <is>
          <t>GOTLAND</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45833</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45833</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45833</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30488-2025</t>
        </is>
      </c>
      <c r="B1156" s="1" t="n">
        <v>45830</v>
      </c>
      <c r="C1156" s="1" t="n">
        <v>45833</v>
      </c>
      <c r="D1156" t="inlineStr">
        <is>
          <t>GOTLANDS LÄN</t>
        </is>
      </c>
      <c r="E1156" t="inlineStr">
        <is>
          <t>GOTLAND</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c r="A1157" t="inlineStr">
        <is>
          <t>A 30489-2025</t>
        </is>
      </c>
      <c r="B1157" s="1" t="n">
        <v>45830</v>
      </c>
      <c r="C1157" s="1" t="n">
        <v>45833</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2025-06-25T19:43:29Z</dcterms:created>
  <dcterms:modified xmlns:dcterms="http://purl.org/dc/terms/" xmlns:xsi="http://www.w3.org/2001/XMLSchema-instance" xsi:type="dcterms:W3CDTF">2025-06-25T19:43:30Z</dcterms:modified>
</cp:coreProperties>
</file>