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46198</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46198</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46198</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46198</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46198</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46198</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46198</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46198</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46198</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46198</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46198</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46198</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46198</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46198</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46198</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15850-2025</t>
        </is>
      </c>
      <c r="B17" s="1" t="n">
        <v>45748</v>
      </c>
      <c r="C17" s="1" t="n">
        <v>46198</v>
      </c>
      <c r="D17" t="inlineStr">
        <is>
          <t>GOTLANDS LÄN</t>
        </is>
      </c>
      <c r="E17" t="inlineStr">
        <is>
          <t>GOTLAND</t>
        </is>
      </c>
      <c r="G17" t="n">
        <v>5.1</v>
      </c>
      <c r="H17" t="n">
        <v>6</v>
      </c>
      <c r="I17" t="n">
        <v>5</v>
      </c>
      <c r="J17" t="n">
        <v>8</v>
      </c>
      <c r="K17" t="n">
        <v>6</v>
      </c>
      <c r="L17" t="n">
        <v>0</v>
      </c>
      <c r="M17" t="n">
        <v>0</v>
      </c>
      <c r="N17" t="n">
        <v>0</v>
      </c>
      <c r="O17" t="n">
        <v>14</v>
      </c>
      <c r="P17" t="n">
        <v>6</v>
      </c>
      <c r="Q17" t="n">
        <v>21</v>
      </c>
      <c r="R17"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17">
        <f>HYPERLINK("https://klasma.github.io/Logging_0980/artfynd/A 15850-2025 artfynd.xlsx", "A 15850-2025")</f>
        <v/>
      </c>
      <c r="T17">
        <f>HYPERLINK("https://klasma.github.io/Logging_0980/kartor/A 15850-2025 karta.png", "A 15850-2025")</f>
        <v/>
      </c>
      <c r="V17">
        <f>HYPERLINK("https://klasma.github.io/Logging_0980/klagomål/A 15850-2025 FSC-klagomål.docx", "A 15850-2025")</f>
        <v/>
      </c>
      <c r="W17">
        <f>HYPERLINK("https://klasma.github.io/Logging_0980/klagomålsmail/A 15850-2025 FSC-klagomål mail.docx", "A 15850-2025")</f>
        <v/>
      </c>
      <c r="X17">
        <f>HYPERLINK("https://klasma.github.io/Logging_0980/tillsyn/A 15850-2025 tillsynsbegäran.docx", "A 15850-2025")</f>
        <v/>
      </c>
      <c r="Y17">
        <f>HYPERLINK("https://klasma.github.io/Logging_0980/tillsynsmail/A 15850-2025 tillsynsbegäran mail.docx", "A 15850-2025")</f>
        <v/>
      </c>
      <c r="Z17">
        <f>HYPERLINK("https://klasma.github.io/Logging_0980/fåglar/A 15850-2025 prioriterade fågelarter.docx", "A 15850-2025")</f>
        <v/>
      </c>
    </row>
    <row r="18" ht="15" customHeight="1">
      <c r="A18" t="inlineStr">
        <is>
          <t>A 62551-2022</t>
        </is>
      </c>
      <c r="B18" s="1" t="n">
        <v>44924</v>
      </c>
      <c r="C18" s="1" t="n">
        <v>46198</v>
      </c>
      <c r="D18" t="inlineStr">
        <is>
          <t>GOTLANDS LÄN</t>
        </is>
      </c>
      <c r="E18" t="inlineStr">
        <is>
          <t>GOTLAND</t>
        </is>
      </c>
      <c r="G18" t="n">
        <v>7.9</v>
      </c>
      <c r="H18" t="n">
        <v>4</v>
      </c>
      <c r="I18" t="n">
        <v>7</v>
      </c>
      <c r="J18" t="n">
        <v>9</v>
      </c>
      <c r="K18" t="n">
        <v>4</v>
      </c>
      <c r="L18" t="n">
        <v>0</v>
      </c>
      <c r="M18" t="n">
        <v>0</v>
      </c>
      <c r="N18" t="n">
        <v>0</v>
      </c>
      <c r="O18" t="n">
        <v>13</v>
      </c>
      <c r="P18" t="n">
        <v>4</v>
      </c>
      <c r="Q18" t="n">
        <v>21</v>
      </c>
      <c r="R18"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15068-2025</t>
        </is>
      </c>
      <c r="B19" s="1" t="n">
        <v>45743</v>
      </c>
      <c r="C19" s="1" t="n">
        <v>46198</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569-2023</t>
        </is>
      </c>
      <c r="B20" s="1" t="n">
        <v>44930</v>
      </c>
      <c r="C20" s="1" t="n">
        <v>46198</v>
      </c>
      <c r="D20" t="inlineStr">
        <is>
          <t>GOTLANDS LÄN</t>
        </is>
      </c>
      <c r="E20" t="inlineStr">
        <is>
          <t>GOTLAND</t>
        </is>
      </c>
      <c r="G20" t="n">
        <v>12.8</v>
      </c>
      <c r="H20" t="n">
        <v>2</v>
      </c>
      <c r="I20" t="n">
        <v>4</v>
      </c>
      <c r="J20" t="n">
        <v>9</v>
      </c>
      <c r="K20" t="n">
        <v>5</v>
      </c>
      <c r="L20" t="n">
        <v>0</v>
      </c>
      <c r="M20" t="n">
        <v>0</v>
      </c>
      <c r="N20" t="n">
        <v>0</v>
      </c>
      <c r="O20" t="n">
        <v>14</v>
      </c>
      <c r="P20" t="n">
        <v>5</v>
      </c>
      <c r="Q20" t="n">
        <v>19</v>
      </c>
      <c r="R20"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24575-2025</t>
        </is>
      </c>
      <c r="B21" s="1" t="n">
        <v>45798</v>
      </c>
      <c r="C21" s="1" t="n">
        <v>46198</v>
      </c>
      <c r="D21" t="inlineStr">
        <is>
          <t>GOTLANDS LÄN</t>
        </is>
      </c>
      <c r="E21" t="inlineStr">
        <is>
          <t>GOTLAND</t>
        </is>
      </c>
      <c r="G21" t="n">
        <v>6.7</v>
      </c>
      <c r="H21" t="n">
        <v>9</v>
      </c>
      <c r="I21" t="n">
        <v>4</v>
      </c>
      <c r="J21" t="n">
        <v>9</v>
      </c>
      <c r="K21" t="n">
        <v>1</v>
      </c>
      <c r="L21" t="n">
        <v>1</v>
      </c>
      <c r="M21" t="n">
        <v>0</v>
      </c>
      <c r="N21" t="n">
        <v>0</v>
      </c>
      <c r="O21" t="n">
        <v>11</v>
      </c>
      <c r="P21" t="n">
        <v>2</v>
      </c>
      <c r="Q21" t="n">
        <v>19</v>
      </c>
      <c r="R21" s="2" t="inlineStr">
        <is>
          <t>Ask
Knärot
Axveronika
Backtimjan
Jordtistel
Månlåsbräken
Reliktbock
Solvända
Svinrot
Sårläka
Ängsstarr
Nästrot
Skogsknipprot
Tvåblad
Vit skogslilja
Spillkråka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8645-2025</t>
        </is>
      </c>
      <c r="B22" s="1" t="n">
        <v>45712</v>
      </c>
      <c r="C22" s="1" t="n">
        <v>46198</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46198</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46198</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46198</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46198</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46198</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46198</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46198</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46198</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46198</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46198</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46198</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27759-2026</t>
        </is>
      </c>
      <c r="B34" s="1" t="n">
        <v>46191</v>
      </c>
      <c r="C34" s="1" t="n">
        <v>46198</v>
      </c>
      <c r="D34" t="inlineStr">
        <is>
          <t>GOTLANDS LÄN</t>
        </is>
      </c>
      <c r="E34" t="inlineStr">
        <is>
          <t>GOTLAND</t>
        </is>
      </c>
      <c r="G34" t="n">
        <v>12.1</v>
      </c>
      <c r="H34" t="n">
        <v>3</v>
      </c>
      <c r="I34" t="n">
        <v>5</v>
      </c>
      <c r="J34" t="n">
        <v>1</v>
      </c>
      <c r="K34" t="n">
        <v>4</v>
      </c>
      <c r="L34" t="n">
        <v>0</v>
      </c>
      <c r="M34" t="n">
        <v>2</v>
      </c>
      <c r="N34" t="n">
        <v>0</v>
      </c>
      <c r="O34" t="n">
        <v>7</v>
      </c>
      <c r="P34" t="n">
        <v>6</v>
      </c>
      <c r="Q34" t="n">
        <v>15</v>
      </c>
      <c r="R34" s="2" t="inlineStr">
        <is>
          <t>Cinnoberfläck
Coniocarpon fallax
Aspfjädermossa
Mörk kraterlav
Tvådoftspindling
Ädellav
Odörspindling
Anisspindling
Havstulpanlav
Korallblylav
Pluteus cyanopus
Rikfruktig blemlav
Kråka
Skogsduva
Revlummer</t>
        </is>
      </c>
      <c r="S34">
        <f>HYPERLINK("https://klasma.github.io/Logging_0980/artfynd/A 27759-2026 artfynd.xlsx", "A 27759-2026")</f>
        <v/>
      </c>
      <c r="T34">
        <f>HYPERLINK("https://klasma.github.io/Logging_0980/kartor/A 27759-2026 karta.png", "A 27759-2026")</f>
        <v/>
      </c>
      <c r="V34">
        <f>HYPERLINK("https://klasma.github.io/Logging_0980/klagomål/A 27759-2026 FSC-klagomål.docx", "A 27759-2026")</f>
        <v/>
      </c>
      <c r="W34">
        <f>HYPERLINK("https://klasma.github.io/Logging_0980/klagomålsmail/A 27759-2026 FSC-klagomål mail.docx", "A 27759-2026")</f>
        <v/>
      </c>
      <c r="X34">
        <f>HYPERLINK("https://klasma.github.io/Logging_0980/tillsyn/A 27759-2026 tillsynsbegäran.docx", "A 27759-2026")</f>
        <v/>
      </c>
      <c r="Y34">
        <f>HYPERLINK("https://klasma.github.io/Logging_0980/tillsynsmail/A 27759-2026 tillsynsbegäran mail.docx", "A 27759-2026")</f>
        <v/>
      </c>
    </row>
    <row r="35" ht="15" customHeight="1">
      <c r="A35" t="inlineStr">
        <is>
          <t>A 43201-2023</t>
        </is>
      </c>
      <c r="B35" s="1" t="n">
        <v>45183</v>
      </c>
      <c r="C35" s="1" t="n">
        <v>46198</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46198</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46198</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44204-2022</t>
        </is>
      </c>
      <c r="B38" s="1" t="n">
        <v>44839</v>
      </c>
      <c r="C38" s="1" t="n">
        <v>46198</v>
      </c>
      <c r="D38" t="inlineStr">
        <is>
          <t>GOTLANDS LÄN</t>
        </is>
      </c>
      <c r="E38" t="inlineStr">
        <is>
          <t>GOTLAND</t>
        </is>
      </c>
      <c r="G38" t="n">
        <v>2.3</v>
      </c>
      <c r="H38" t="n">
        <v>2</v>
      </c>
      <c r="I38" t="n">
        <v>3</v>
      </c>
      <c r="J38" t="n">
        <v>5</v>
      </c>
      <c r="K38" t="n">
        <v>3</v>
      </c>
      <c r="L38" t="n">
        <v>2</v>
      </c>
      <c r="M38" t="n">
        <v>0</v>
      </c>
      <c r="N38" t="n">
        <v>0</v>
      </c>
      <c r="O38" t="n">
        <v>10</v>
      </c>
      <c r="P38" t="n">
        <v>5</v>
      </c>
      <c r="Q38" t="n">
        <v>14</v>
      </c>
      <c r="R38" s="2" t="inlineStr">
        <is>
          <t>Bitter taggsvamp
Sienamusseron
Fläckfingersvamp
Granrotspindling
Violettfläckig spindling
Blå slemspindling
Denisespindling
Duvhök
Odörspindling
Tjockfotad fingersvamp
Anisspindling
Blomkålssvamp
Olivspindling
Spillkråka</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14354-2024</t>
        </is>
      </c>
      <c r="B39" s="1" t="n">
        <v>45393</v>
      </c>
      <c r="C39" s="1" t="n">
        <v>46198</v>
      </c>
      <c r="D39" t="inlineStr">
        <is>
          <t>GOTLANDS LÄN</t>
        </is>
      </c>
      <c r="E39" t="inlineStr">
        <is>
          <t>GOTLAND</t>
        </is>
      </c>
      <c r="G39" t="n">
        <v>2.4</v>
      </c>
      <c r="H39" t="n">
        <v>10</v>
      </c>
      <c r="I39" t="n">
        <v>4</v>
      </c>
      <c r="J39" t="n">
        <v>6</v>
      </c>
      <c r="K39" t="n">
        <v>0</v>
      </c>
      <c r="L39" t="n">
        <v>0</v>
      </c>
      <c r="M39" t="n">
        <v>0</v>
      </c>
      <c r="N39" t="n">
        <v>0</v>
      </c>
      <c r="O39" t="n">
        <v>6</v>
      </c>
      <c r="P39" t="n">
        <v>0</v>
      </c>
      <c r="Q39" t="n">
        <v>14</v>
      </c>
      <c r="R39" s="2" t="inlineStr">
        <is>
          <t>Dårgräsfjäril
Entita
Grönsångare
Smedbock
Svinrot
Ängsskära
Blåmossa
Nästrot
Skogsknipprot
Tvåblad
Blåsippa
Spillkråka
Fläcknycklar
Nattviol</t>
        </is>
      </c>
      <c r="S39">
        <f>HYPERLINK("https://klasma.github.io/Logging_0980/artfynd/A 14354-2024 artfynd.xlsx", "A 14354-2024")</f>
        <v/>
      </c>
      <c r="T39">
        <f>HYPERLINK("https://klasma.github.io/Logging_0980/kartor/A 14354-2024 karta.png", "A 14354-2024")</f>
        <v/>
      </c>
      <c r="V39">
        <f>HYPERLINK("https://klasma.github.io/Logging_0980/klagomål/A 14354-2024 FSC-klagomål.docx", "A 14354-2024")</f>
        <v/>
      </c>
      <c r="W39">
        <f>HYPERLINK("https://klasma.github.io/Logging_0980/klagomålsmail/A 14354-2024 FSC-klagomål mail.docx", "A 14354-2024")</f>
        <v/>
      </c>
      <c r="X39">
        <f>HYPERLINK("https://klasma.github.io/Logging_0980/tillsyn/A 14354-2024 tillsynsbegäran.docx", "A 14354-2024")</f>
        <v/>
      </c>
      <c r="Y39">
        <f>HYPERLINK("https://klasma.github.io/Logging_0980/tillsynsmail/A 14354-2024 tillsynsbegäran mail.docx", "A 14354-2024")</f>
        <v/>
      </c>
      <c r="Z39">
        <f>HYPERLINK("https://klasma.github.io/Logging_0980/fåglar/A 14354-2024 prioriterade fågelarter.docx", "A 14354-2024")</f>
        <v/>
      </c>
    </row>
    <row r="40" ht="15" customHeight="1">
      <c r="A40" t="inlineStr">
        <is>
          <t>A 33153-2024</t>
        </is>
      </c>
      <c r="B40" s="1" t="n">
        <v>45518</v>
      </c>
      <c r="C40" s="1" t="n">
        <v>46198</v>
      </c>
      <c r="D40" t="inlineStr">
        <is>
          <t>GOTLANDS LÄN</t>
        </is>
      </c>
      <c r="E40" t="inlineStr">
        <is>
          <t>GOTLAND</t>
        </is>
      </c>
      <c r="G40" t="n">
        <v>10.3</v>
      </c>
      <c r="H40" t="n">
        <v>3</v>
      </c>
      <c r="I40" t="n">
        <v>8</v>
      </c>
      <c r="J40" t="n">
        <v>5</v>
      </c>
      <c r="K40" t="n">
        <v>1</v>
      </c>
      <c r="L40" t="n">
        <v>0</v>
      </c>
      <c r="M40" t="n">
        <v>0</v>
      </c>
      <c r="N40" t="n">
        <v>0</v>
      </c>
      <c r="O40" t="n">
        <v>6</v>
      </c>
      <c r="P40" t="n">
        <v>1</v>
      </c>
      <c r="Q40" t="n">
        <v>14</v>
      </c>
      <c r="R40" s="2" t="inlineStr">
        <is>
          <t>Duvspindling
Blå slemspindling
Flattoppad klubbsvamp
Jordtistel
Odörspindling
Solvända
Nästrot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10274-2026</t>
        </is>
      </c>
      <c r="B41" s="1" t="n">
        <v>46076</v>
      </c>
      <c r="C41" s="1" t="n">
        <v>46198</v>
      </c>
      <c r="D41" t="inlineStr">
        <is>
          <t>GOTLANDS LÄN</t>
        </is>
      </c>
      <c r="E41" t="inlineStr">
        <is>
          <t>GOTLAND</t>
        </is>
      </c>
      <c r="G41" t="n">
        <v>9.800000000000001</v>
      </c>
      <c r="H41" t="n">
        <v>6</v>
      </c>
      <c r="I41" t="n">
        <v>3</v>
      </c>
      <c r="J41" t="n">
        <v>5</v>
      </c>
      <c r="K41" t="n">
        <v>2</v>
      </c>
      <c r="L41" t="n">
        <v>0</v>
      </c>
      <c r="M41" t="n">
        <v>0</v>
      </c>
      <c r="N41" t="n">
        <v>0</v>
      </c>
      <c r="O41" t="n">
        <v>7</v>
      </c>
      <c r="P41" t="n">
        <v>2</v>
      </c>
      <c r="Q41" t="n">
        <v>14</v>
      </c>
      <c r="R41" s="2" t="inlineStr">
        <is>
          <t>Garderönn
Gråfingerört
Backstarr
Backtimjan
Dårgräsfjäril
Reliktbock
Vippärt
Axag
Grönpyrola
Kragjordstjärna
Spillkråka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27168-2022</t>
        </is>
      </c>
      <c r="B42" s="1" t="n">
        <v>44741</v>
      </c>
      <c r="C42" s="1" t="n">
        <v>46198</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37037-2021</t>
        </is>
      </c>
      <c r="B43" s="1" t="n">
        <v>44393</v>
      </c>
      <c r="C43" s="1" t="n">
        <v>46198</v>
      </c>
      <c r="D43" t="inlineStr">
        <is>
          <t>GOTLANDS LÄN</t>
        </is>
      </c>
      <c r="E43" t="inlineStr">
        <is>
          <t>GOTLAND</t>
        </is>
      </c>
      <c r="G43" t="n">
        <v>10.2</v>
      </c>
      <c r="H43" t="n">
        <v>1</v>
      </c>
      <c r="I43" t="n">
        <v>4</v>
      </c>
      <c r="J43" t="n">
        <v>4</v>
      </c>
      <c r="K43" t="n">
        <v>4</v>
      </c>
      <c r="L43" t="n">
        <v>0</v>
      </c>
      <c r="M43" t="n">
        <v>0</v>
      </c>
      <c r="N43" t="n">
        <v>0</v>
      </c>
      <c r="O43" t="n">
        <v>8</v>
      </c>
      <c r="P43" t="n">
        <v>4</v>
      </c>
      <c r="Q43" t="n">
        <v>12</v>
      </c>
      <c r="R43" s="2" t="inlineStr">
        <is>
          <t>Gulsträngad fagerspindling
Svartgrön spindling
Trollspindling
Vit taggsvamp
Apollofjäril
Blå slemspindling
Kattfotslav
Odörspindling
Anisspindling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3324-2023</t>
        </is>
      </c>
      <c r="B44" s="1" t="n">
        <v>44949</v>
      </c>
      <c r="C44" s="1" t="n">
        <v>46198</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28287-2024</t>
        </is>
      </c>
      <c r="B45" s="1" t="n">
        <v>45477</v>
      </c>
      <c r="C45" s="1" t="n">
        <v>46198</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6052-2024</t>
        </is>
      </c>
      <c r="B46" s="1" t="n">
        <v>45336</v>
      </c>
      <c r="C46" s="1" t="n">
        <v>46198</v>
      </c>
      <c r="D46" t="inlineStr">
        <is>
          <t>GOTLANDS LÄN</t>
        </is>
      </c>
      <c r="E46" t="inlineStr">
        <is>
          <t>GOTLAND</t>
        </is>
      </c>
      <c r="G46" t="n">
        <v>10.3</v>
      </c>
      <c r="H46" t="n">
        <v>1</v>
      </c>
      <c r="I46" t="n">
        <v>3</v>
      </c>
      <c r="J46" t="n">
        <v>7</v>
      </c>
      <c r="K46" t="n">
        <v>2</v>
      </c>
      <c r="L46" t="n">
        <v>0</v>
      </c>
      <c r="M46" t="n">
        <v>0</v>
      </c>
      <c r="N46" t="n">
        <v>0</v>
      </c>
      <c r="O46" t="n">
        <v>9</v>
      </c>
      <c r="P46" t="n">
        <v>2</v>
      </c>
      <c r="Q46" t="n">
        <v>12</v>
      </c>
      <c r="R46" s="2" t="inlineStr">
        <is>
          <t>Lansettfibbla
Narrspindling
Ladlav
Odörspindling
Smedbock
Svinrot
Tallticka
Vippärt
Vårärt
Anisspindling
Nästrot
Olivspindling</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17766-2024</t>
        </is>
      </c>
      <c r="B47" s="1" t="n">
        <v>45418</v>
      </c>
      <c r="C47" s="1" t="n">
        <v>46198</v>
      </c>
      <c r="D47" t="inlineStr">
        <is>
          <t>GOTLANDS LÄN</t>
        </is>
      </c>
      <c r="E47" t="inlineStr">
        <is>
          <t>GOTLAND</t>
        </is>
      </c>
      <c r="G47" t="n">
        <v>1.3</v>
      </c>
      <c r="H47" t="n">
        <v>2</v>
      </c>
      <c r="I47" t="n">
        <v>3</v>
      </c>
      <c r="J47" t="n">
        <v>3</v>
      </c>
      <c r="K47" t="n">
        <v>5</v>
      </c>
      <c r="L47" t="n">
        <v>1</v>
      </c>
      <c r="M47" t="n">
        <v>0</v>
      </c>
      <c r="N47" t="n">
        <v>0</v>
      </c>
      <c r="O47" t="n">
        <v>9</v>
      </c>
      <c r="P47" t="n">
        <v>6</v>
      </c>
      <c r="Q47" t="n">
        <v>12</v>
      </c>
      <c r="R47" s="2" t="inlineStr">
        <is>
          <t>Svartnande fingersvamp
Bredbrämad bastardsvärmare
Gråfingerört
Gulsträngad fagerspindling
Naveljordstjärna
Svartfläckig blåvinge
Fyrflikig jordstjärna
Timjansnyltrot
Vippärt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46198</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27280-2023</t>
        </is>
      </c>
      <c r="B49" s="1" t="n">
        <v>45096</v>
      </c>
      <c r="C49" s="1" t="n">
        <v>46198</v>
      </c>
      <c r="D49" t="inlineStr">
        <is>
          <t>GOTLANDS LÄN</t>
        </is>
      </c>
      <c r="E49" t="inlineStr">
        <is>
          <t>GOTLAND</t>
        </is>
      </c>
      <c r="G49" t="n">
        <v>2.7</v>
      </c>
      <c r="H49" t="n">
        <v>11</v>
      </c>
      <c r="I49" t="n">
        <v>2</v>
      </c>
      <c r="J49" t="n">
        <v>2</v>
      </c>
      <c r="K49" t="n">
        <v>1</v>
      </c>
      <c r="L49" t="n">
        <v>1</v>
      </c>
      <c r="M49" t="n">
        <v>0</v>
      </c>
      <c r="N49" t="n">
        <v>0</v>
      </c>
      <c r="O49" t="n">
        <v>4</v>
      </c>
      <c r="P49" t="n">
        <v>2</v>
      </c>
      <c r="Q49" t="n">
        <v>11</v>
      </c>
      <c r="R49" s="2" t="inlineStr">
        <is>
          <t>Sommargylling
Stare
Björktrast
Mindre hackspett
Skogsknipprot
Tvåblad
Spillkråka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2649-2023</t>
        </is>
      </c>
      <c r="B50" s="1" t="n">
        <v>44943</v>
      </c>
      <c r="C50" s="1" t="n">
        <v>46198</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66091-2021</t>
        </is>
      </c>
      <c r="B51" s="1" t="n">
        <v>44517</v>
      </c>
      <c r="C51" s="1" t="n">
        <v>46198</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55649-2024</t>
        </is>
      </c>
      <c r="B52" s="1" t="n">
        <v>45622</v>
      </c>
      <c r="C52" s="1" t="n">
        <v>46198</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32326-2024</t>
        </is>
      </c>
      <c r="B53" s="1" t="n">
        <v>45512</v>
      </c>
      <c r="C53" s="1" t="n">
        <v>46198</v>
      </c>
      <c r="D53" t="inlineStr">
        <is>
          <t>GOTLANDS LÄN</t>
        </is>
      </c>
      <c r="E53" t="inlineStr">
        <is>
          <t>GOTLAND</t>
        </is>
      </c>
      <c r="G53" t="n">
        <v>9.199999999999999</v>
      </c>
      <c r="H53" t="n">
        <v>4</v>
      </c>
      <c r="I53" t="n">
        <v>2</v>
      </c>
      <c r="J53" t="n">
        <v>5</v>
      </c>
      <c r="K53" t="n">
        <v>1</v>
      </c>
      <c r="L53" t="n">
        <v>0</v>
      </c>
      <c r="M53" t="n">
        <v>0</v>
      </c>
      <c r="N53" t="n">
        <v>0</v>
      </c>
      <c r="O53" t="n">
        <v>6</v>
      </c>
      <c r="P53" t="n">
        <v>1</v>
      </c>
      <c r="Q53" t="n">
        <v>10</v>
      </c>
      <c r="R53" s="2" t="inlineStr">
        <is>
          <t>Tallgångbagge
Backruta
Backtimjan
Jordtistel
Svinrot
Säfferot
Purpurknipprot
Skogsknipprot
Nattskärra
Brudsporre</t>
        </is>
      </c>
      <c r="S53">
        <f>HYPERLINK("https://klasma.github.io/Logging_0980/artfynd/A 32326-2024 artfynd.xlsx", "A 32326-2024")</f>
        <v/>
      </c>
      <c r="T53">
        <f>HYPERLINK("https://klasma.github.io/Logging_0980/kartor/A 32326-2024 karta.png", "A 32326-2024")</f>
        <v/>
      </c>
      <c r="V53">
        <f>HYPERLINK("https://klasma.github.io/Logging_0980/klagomål/A 32326-2024 FSC-klagomål.docx", "A 32326-2024")</f>
        <v/>
      </c>
      <c r="W53">
        <f>HYPERLINK("https://klasma.github.io/Logging_0980/klagomålsmail/A 32326-2024 FSC-klagomål mail.docx", "A 32326-2024")</f>
        <v/>
      </c>
      <c r="X53">
        <f>HYPERLINK("https://klasma.github.io/Logging_0980/tillsyn/A 32326-2024 tillsynsbegäran.docx", "A 32326-2024")</f>
        <v/>
      </c>
      <c r="Y53">
        <f>HYPERLINK("https://klasma.github.io/Logging_0980/tillsynsmail/A 32326-2024 tillsynsbegäran mail.docx", "A 32326-2024")</f>
        <v/>
      </c>
      <c r="Z53">
        <f>HYPERLINK("https://klasma.github.io/Logging_0980/fåglar/A 32326-2024 prioriterade fågelarter.docx", "A 32326-2024")</f>
        <v/>
      </c>
    </row>
    <row r="54" ht="15" customHeight="1">
      <c r="A54" t="inlineStr">
        <is>
          <t>A 44944-2022</t>
        </is>
      </c>
      <c r="B54" s="1" t="n">
        <v>44841</v>
      </c>
      <c r="C54" s="1" t="n">
        <v>46198</v>
      </c>
      <c r="D54" t="inlineStr">
        <is>
          <t>GOTLANDS LÄN</t>
        </is>
      </c>
      <c r="E54" t="inlineStr">
        <is>
          <t>GOTLAND</t>
        </is>
      </c>
      <c r="G54" t="n">
        <v>2.8</v>
      </c>
      <c r="H54" t="n">
        <v>0</v>
      </c>
      <c r="I54" t="n">
        <v>3</v>
      </c>
      <c r="J54" t="n">
        <v>4</v>
      </c>
      <c r="K54" t="n">
        <v>2</v>
      </c>
      <c r="L54" t="n">
        <v>1</v>
      </c>
      <c r="M54" t="n">
        <v>0</v>
      </c>
      <c r="N54" t="n">
        <v>0</v>
      </c>
      <c r="O54" t="n">
        <v>7</v>
      </c>
      <c r="P54" t="n">
        <v>3</v>
      </c>
      <c r="Q54" t="n">
        <v>10</v>
      </c>
      <c r="R54" s="2" t="inlineStr">
        <is>
          <t>Sienamusseron
Bredbrämad bastardsvärmare
Gotlandsmåra
Axveronika
Denisespindling
Fjällig taggsvamp s.str.
Odörspindling
Anisspindling
Olivspindling
Rödgul trumpetsvamp</t>
        </is>
      </c>
      <c r="S54">
        <f>HYPERLINK("https://klasma.github.io/Logging_0980/artfynd/A 44944-2022 artfynd.xlsx", "A 44944-2022")</f>
        <v/>
      </c>
      <c r="T54">
        <f>HYPERLINK("https://klasma.github.io/Logging_0980/kartor/A 44944-2022 karta.png", "A 44944-2022")</f>
        <v/>
      </c>
      <c r="V54">
        <f>HYPERLINK("https://klasma.github.io/Logging_0980/klagomål/A 44944-2022 FSC-klagomål.docx", "A 44944-2022")</f>
        <v/>
      </c>
      <c r="W54">
        <f>HYPERLINK("https://klasma.github.io/Logging_0980/klagomålsmail/A 44944-2022 FSC-klagomål mail.docx", "A 44944-2022")</f>
        <v/>
      </c>
      <c r="X54">
        <f>HYPERLINK("https://klasma.github.io/Logging_0980/tillsyn/A 44944-2022 tillsynsbegäran.docx", "A 44944-2022")</f>
        <v/>
      </c>
      <c r="Y54">
        <f>HYPERLINK("https://klasma.github.io/Logging_0980/tillsynsmail/A 44944-2022 tillsynsbegäran mail.docx", "A 44944-2022")</f>
        <v/>
      </c>
    </row>
    <row r="55" ht="15" customHeight="1">
      <c r="A55" t="inlineStr">
        <is>
          <t>A 186-2023</t>
        </is>
      </c>
      <c r="B55" s="1" t="n">
        <v>44928</v>
      </c>
      <c r="C55" s="1" t="n">
        <v>46198</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45248-2024</t>
        </is>
      </c>
      <c r="B56" s="1" t="n">
        <v>45576</v>
      </c>
      <c r="C56" s="1" t="n">
        <v>46198</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63149-2025</t>
        </is>
      </c>
      <c r="B57" s="1" t="n">
        <v>46010</v>
      </c>
      <c r="C57" s="1" t="n">
        <v>46198</v>
      </c>
      <c r="D57" t="inlineStr">
        <is>
          <t>GOTLANDS LÄN</t>
        </is>
      </c>
      <c r="E57" t="inlineStr">
        <is>
          <t>GOTLAND</t>
        </is>
      </c>
      <c r="G57" t="n">
        <v>4.3</v>
      </c>
      <c r="H57" t="n">
        <v>4</v>
      </c>
      <c r="I57" t="n">
        <v>2</v>
      </c>
      <c r="J57" t="n">
        <v>5</v>
      </c>
      <c r="K57" t="n">
        <v>0</v>
      </c>
      <c r="L57" t="n">
        <v>0</v>
      </c>
      <c r="M57" t="n">
        <v>0</v>
      </c>
      <c r="N57" t="n">
        <v>0</v>
      </c>
      <c r="O57" t="n">
        <v>5</v>
      </c>
      <c r="P57" t="n">
        <v>0</v>
      </c>
      <c r="Q57" t="n">
        <v>10</v>
      </c>
      <c r="R57" s="2" t="inlineStr">
        <is>
          <t>Backtimjan
Berggräsfjäril
Gulsparv
Solvända
Svinrot
Anisspindling
Skogsknipprot
Ormbär
Spillkråka
Sankt pers nycklar</t>
        </is>
      </c>
      <c r="S57">
        <f>HYPERLINK("https://klasma.github.io/Logging_0980/artfynd/A 63149-2025 artfynd.xlsx", "A 63149-2025")</f>
        <v/>
      </c>
      <c r="T57">
        <f>HYPERLINK("https://klasma.github.io/Logging_0980/kartor/A 63149-2025 karta.png", "A 63149-2025")</f>
        <v/>
      </c>
      <c r="V57">
        <f>HYPERLINK("https://klasma.github.io/Logging_0980/klagomål/A 63149-2025 FSC-klagomål.docx", "A 63149-2025")</f>
        <v/>
      </c>
      <c r="W57">
        <f>HYPERLINK("https://klasma.github.io/Logging_0980/klagomålsmail/A 63149-2025 FSC-klagomål mail.docx", "A 63149-2025")</f>
        <v/>
      </c>
      <c r="X57">
        <f>HYPERLINK("https://klasma.github.io/Logging_0980/tillsyn/A 63149-2025 tillsynsbegäran.docx", "A 63149-2025")</f>
        <v/>
      </c>
      <c r="Y57">
        <f>HYPERLINK("https://klasma.github.io/Logging_0980/tillsynsmail/A 63149-2025 tillsynsbegäran mail.docx", "A 63149-2025")</f>
        <v/>
      </c>
      <c r="Z57">
        <f>HYPERLINK("https://klasma.github.io/Logging_0980/fåglar/A 63149-2025 prioriterade fågelarter.docx", "A 63149-2025")</f>
        <v/>
      </c>
    </row>
    <row r="58" ht="15" customHeight="1">
      <c r="A58" t="inlineStr">
        <is>
          <t>A 18541-2024</t>
        </is>
      </c>
      <c r="B58" s="1" t="n">
        <v>45425</v>
      </c>
      <c r="C58" s="1" t="n">
        <v>46198</v>
      </c>
      <c r="D58" t="inlineStr">
        <is>
          <t>GOTLANDS LÄN</t>
        </is>
      </c>
      <c r="E58" t="inlineStr">
        <is>
          <t>GOTLAND</t>
        </is>
      </c>
      <c r="F58" t="inlineStr">
        <is>
          <t>Övriga statliga verk och myndigheter</t>
        </is>
      </c>
      <c r="G58" t="n">
        <v>2.2</v>
      </c>
      <c r="H58" t="n">
        <v>7</v>
      </c>
      <c r="I58" t="n">
        <v>2</v>
      </c>
      <c r="J58" t="n">
        <v>4</v>
      </c>
      <c r="K58" t="n">
        <v>1</v>
      </c>
      <c r="L58" t="n">
        <v>0</v>
      </c>
      <c r="M58" t="n">
        <v>0</v>
      </c>
      <c r="N58" t="n">
        <v>0</v>
      </c>
      <c r="O58" t="n">
        <v>5</v>
      </c>
      <c r="P58" t="n">
        <v>1</v>
      </c>
      <c r="Q58" t="n">
        <v>10</v>
      </c>
      <c r="R58" s="2" t="inlineStr">
        <is>
          <t>Garderönn
Backtimjan
Dårgräsfjäril
Solvända
Svinrot
Nästrot
Tvåblad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row>
    <row r="59" ht="15" customHeight="1">
      <c r="A59" t="inlineStr">
        <is>
          <t>A 4984-2025</t>
        </is>
      </c>
      <c r="B59" s="1" t="n">
        <v>45691</v>
      </c>
      <c r="C59" s="1" t="n">
        <v>46198</v>
      </c>
      <c r="D59" t="inlineStr">
        <is>
          <t>GOTLANDS LÄN</t>
        </is>
      </c>
      <c r="E59" t="inlineStr">
        <is>
          <t>GOTLAND</t>
        </is>
      </c>
      <c r="G59" t="n">
        <v>1.3</v>
      </c>
      <c r="H59" t="n">
        <v>6</v>
      </c>
      <c r="I59" t="n">
        <v>2</v>
      </c>
      <c r="J59" t="n">
        <v>4</v>
      </c>
      <c r="K59" t="n">
        <v>0</v>
      </c>
      <c r="L59" t="n">
        <v>0</v>
      </c>
      <c r="M59" t="n">
        <v>0</v>
      </c>
      <c r="N59" t="n">
        <v>0</v>
      </c>
      <c r="O59" t="n">
        <v>4</v>
      </c>
      <c r="P59" t="n">
        <v>0</v>
      </c>
      <c r="Q59" t="n">
        <v>10</v>
      </c>
      <c r="R59" s="2" t="inlineStr">
        <is>
          <t>Gulsparv
Jordtistel
Sminkrot
Svinrot
Grönpyrola
Tvåblad
Ärtsångare
Brudsporre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22404-2024</t>
        </is>
      </c>
      <c r="B60" s="1" t="n">
        <v>45446</v>
      </c>
      <c r="C60" s="1" t="n">
        <v>46198</v>
      </c>
      <c r="D60" t="inlineStr">
        <is>
          <t>GOTLANDS LÄN</t>
        </is>
      </c>
      <c r="E60" t="inlineStr">
        <is>
          <t>GOTLAND</t>
        </is>
      </c>
      <c r="G60" t="n">
        <v>11.4</v>
      </c>
      <c r="H60" t="n">
        <v>3</v>
      </c>
      <c r="I60" t="n">
        <v>5</v>
      </c>
      <c r="J60" t="n">
        <v>2</v>
      </c>
      <c r="K60" t="n">
        <v>3</v>
      </c>
      <c r="L60" t="n">
        <v>0</v>
      </c>
      <c r="M60" t="n">
        <v>0</v>
      </c>
      <c r="N60" t="n">
        <v>0</v>
      </c>
      <c r="O60" t="n">
        <v>5</v>
      </c>
      <c r="P60" t="n">
        <v>3</v>
      </c>
      <c r="Q60" t="n">
        <v>10</v>
      </c>
      <c r="R60" s="2" t="inlineStr">
        <is>
          <t>Blåfotad fagerspindling
Bullspindling
Vit taggsvamp
Barrfagerspindling
Blå slemspindling
Flugblomster
Purpurknipprot
Rödgul trumpetsvamp
Svavelriska
Tvåblad</t>
        </is>
      </c>
      <c r="S60">
        <f>HYPERLINK("https://klasma.github.io/Logging_0980/artfynd/A 22404-2024 artfynd.xlsx", "A 22404-2024")</f>
        <v/>
      </c>
      <c r="T60">
        <f>HYPERLINK("https://klasma.github.io/Logging_0980/kartor/A 22404-2024 karta.png", "A 22404-2024")</f>
        <v/>
      </c>
      <c r="V60">
        <f>HYPERLINK("https://klasma.github.io/Logging_0980/klagomål/A 22404-2024 FSC-klagomål.docx", "A 22404-2024")</f>
        <v/>
      </c>
      <c r="W60">
        <f>HYPERLINK("https://klasma.github.io/Logging_0980/klagomålsmail/A 22404-2024 FSC-klagomål mail.docx", "A 22404-2024")</f>
        <v/>
      </c>
      <c r="X60">
        <f>HYPERLINK("https://klasma.github.io/Logging_0980/tillsyn/A 22404-2024 tillsynsbegäran.docx", "A 22404-2024")</f>
        <v/>
      </c>
      <c r="Y60">
        <f>HYPERLINK("https://klasma.github.io/Logging_0980/tillsynsmail/A 22404-2024 tillsynsbegäran mail.docx", "A 22404-2024")</f>
        <v/>
      </c>
    </row>
    <row r="61" ht="15" customHeight="1">
      <c r="A61" t="inlineStr">
        <is>
          <t>A 39376-2023</t>
        </is>
      </c>
      <c r="B61" s="1" t="n">
        <v>45166</v>
      </c>
      <c r="C61" s="1" t="n">
        <v>46198</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17328-2026</t>
        </is>
      </c>
      <c r="B62" s="1" t="n">
        <v>46119</v>
      </c>
      <c r="C62" s="1" t="n">
        <v>46198</v>
      </c>
      <c r="D62" t="inlineStr">
        <is>
          <t>GOTLANDS LÄN</t>
        </is>
      </c>
      <c r="E62" t="inlineStr">
        <is>
          <t>GOTLAND</t>
        </is>
      </c>
      <c r="F62" t="inlineStr">
        <is>
          <t>Kyrkan</t>
        </is>
      </c>
      <c r="G62" t="n">
        <v>4</v>
      </c>
      <c r="H62" t="n">
        <v>3</v>
      </c>
      <c r="I62" t="n">
        <v>0</v>
      </c>
      <c r="J62" t="n">
        <v>6</v>
      </c>
      <c r="K62" t="n">
        <v>1</v>
      </c>
      <c r="L62" t="n">
        <v>1</v>
      </c>
      <c r="M62" t="n">
        <v>0</v>
      </c>
      <c r="N62" t="n">
        <v>0</v>
      </c>
      <c r="O62" t="n">
        <v>8</v>
      </c>
      <c r="P62" t="n">
        <v>2</v>
      </c>
      <c r="Q62" t="n">
        <v>9</v>
      </c>
      <c r="R62" s="2" t="inlineStr">
        <is>
          <t>Ask
Garderönn
Backtimjan
Bergjohannesört
Dårgräsfjäril
Jordtistel
Solvända
Svinrot
Spillkråka</t>
        </is>
      </c>
      <c r="S62">
        <f>HYPERLINK("https://klasma.github.io/Logging_0980/artfynd/A 17328-2026 artfynd.xlsx", "A 17328-2026")</f>
        <v/>
      </c>
      <c r="T62">
        <f>HYPERLINK("https://klasma.github.io/Logging_0980/kartor/A 17328-2026 karta.png", "A 17328-2026")</f>
        <v/>
      </c>
      <c r="V62">
        <f>HYPERLINK("https://klasma.github.io/Logging_0980/klagomål/A 17328-2026 FSC-klagomål.docx", "A 17328-2026")</f>
        <v/>
      </c>
      <c r="W62">
        <f>HYPERLINK("https://klasma.github.io/Logging_0980/klagomålsmail/A 17328-2026 FSC-klagomål mail.docx", "A 17328-2026")</f>
        <v/>
      </c>
      <c r="X62">
        <f>HYPERLINK("https://klasma.github.io/Logging_0980/tillsyn/A 17328-2026 tillsynsbegäran.docx", "A 17328-2026")</f>
        <v/>
      </c>
      <c r="Y62">
        <f>HYPERLINK("https://klasma.github.io/Logging_0980/tillsynsmail/A 17328-2026 tillsynsbegäran mail.docx", "A 17328-2026")</f>
        <v/>
      </c>
      <c r="Z62">
        <f>HYPERLINK("https://klasma.github.io/Logging_0980/fåglar/A 17328-2026 prioriterade fågelarter.docx", "A 17328-2026")</f>
        <v/>
      </c>
    </row>
    <row r="63" ht="15" customHeight="1">
      <c r="A63" t="inlineStr">
        <is>
          <t>A 7039-2023</t>
        </is>
      </c>
      <c r="B63" s="1" t="n">
        <v>44968</v>
      </c>
      <c r="C63" s="1" t="n">
        <v>46198</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46198</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1769-2022</t>
        </is>
      </c>
      <c r="B65" s="1" t="n">
        <v>44574</v>
      </c>
      <c r="C65" s="1" t="n">
        <v>46198</v>
      </c>
      <c r="D65" t="inlineStr">
        <is>
          <t>GOTLANDS LÄN</t>
        </is>
      </c>
      <c r="E65" t="inlineStr">
        <is>
          <t>GOTLAND</t>
        </is>
      </c>
      <c r="G65" t="n">
        <v>31.3</v>
      </c>
      <c r="H65" t="n">
        <v>5</v>
      </c>
      <c r="I65" t="n">
        <v>1</v>
      </c>
      <c r="J65" t="n">
        <v>4</v>
      </c>
      <c r="K65" t="n">
        <v>0</v>
      </c>
      <c r="L65" t="n">
        <v>0</v>
      </c>
      <c r="M65" t="n">
        <v>0</v>
      </c>
      <c r="N65" t="n">
        <v>0</v>
      </c>
      <c r="O65" t="n">
        <v>4</v>
      </c>
      <c r="P65" t="n">
        <v>0</v>
      </c>
      <c r="Q65" t="n">
        <v>9</v>
      </c>
      <c r="R65" s="2" t="inlineStr">
        <is>
          <t>Axveronika
Loppstarr
Majviva
Ängsstarr
Flugblomster
Brudsporre
Grönvit nattviol
Kärrknipprot
Vanliga ängsnycklar</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44308-2021</t>
        </is>
      </c>
      <c r="B66" s="1" t="n">
        <v>44434</v>
      </c>
      <c r="C66" s="1" t="n">
        <v>46198</v>
      </c>
      <c r="D66" t="inlineStr">
        <is>
          <t>GOTLANDS LÄN</t>
        </is>
      </c>
      <c r="E66" t="inlineStr">
        <is>
          <t>GOTLAND</t>
        </is>
      </c>
      <c r="G66" t="n">
        <v>5.9</v>
      </c>
      <c r="H66" t="n">
        <v>0</v>
      </c>
      <c r="I66" t="n">
        <v>3</v>
      </c>
      <c r="J66" t="n">
        <v>3</v>
      </c>
      <c r="K66" t="n">
        <v>2</v>
      </c>
      <c r="L66" t="n">
        <v>0</v>
      </c>
      <c r="M66" t="n">
        <v>0</v>
      </c>
      <c r="N66" t="n">
        <v>0</v>
      </c>
      <c r="O66" t="n">
        <v>5</v>
      </c>
      <c r="P66" t="n">
        <v>2</v>
      </c>
      <c r="Q66" t="n">
        <v>8</v>
      </c>
      <c r="R66" s="2" t="inlineStr">
        <is>
          <t>Gul lammticka
Tvillingspindling
Barrfagerspindling
Svinrot
Sårläka
Anisspindling
Olivspindling
Svavelriska</t>
        </is>
      </c>
      <c r="S66">
        <f>HYPERLINK("https://klasma.github.io/Logging_0980/artfynd/A 44308-2021 artfynd.xlsx", "A 44308-2021")</f>
        <v/>
      </c>
      <c r="T66">
        <f>HYPERLINK("https://klasma.github.io/Logging_0980/kartor/A 44308-2021 karta.png", "A 44308-2021")</f>
        <v/>
      </c>
      <c r="V66">
        <f>HYPERLINK("https://klasma.github.io/Logging_0980/klagomål/A 44308-2021 FSC-klagomål.docx", "A 44308-2021")</f>
        <v/>
      </c>
      <c r="W66">
        <f>HYPERLINK("https://klasma.github.io/Logging_0980/klagomålsmail/A 44308-2021 FSC-klagomål mail.docx", "A 44308-2021")</f>
        <v/>
      </c>
      <c r="X66">
        <f>HYPERLINK("https://klasma.github.io/Logging_0980/tillsyn/A 44308-2021 tillsynsbegäran.docx", "A 44308-2021")</f>
        <v/>
      </c>
      <c r="Y66">
        <f>HYPERLINK("https://klasma.github.io/Logging_0980/tillsynsmail/A 44308-2021 tillsynsbegäran mail.docx", "A 44308-2021")</f>
        <v/>
      </c>
    </row>
    <row r="67" ht="15" customHeight="1">
      <c r="A67" t="inlineStr">
        <is>
          <t>A 54527-2023</t>
        </is>
      </c>
      <c r="B67" s="1" t="n">
        <v>45233</v>
      </c>
      <c r="C67" s="1" t="n">
        <v>46198</v>
      </c>
      <c r="D67" t="inlineStr">
        <is>
          <t>GOTLANDS LÄN</t>
        </is>
      </c>
      <c r="E67" t="inlineStr">
        <is>
          <t>GOTLAND</t>
        </is>
      </c>
      <c r="G67" t="n">
        <v>28.5</v>
      </c>
      <c r="H67" t="n">
        <v>2</v>
      </c>
      <c r="I67" t="n">
        <v>0</v>
      </c>
      <c r="J67" t="n">
        <v>4</v>
      </c>
      <c r="K67" t="n">
        <v>1</v>
      </c>
      <c r="L67" t="n">
        <v>1</v>
      </c>
      <c r="M67" t="n">
        <v>0</v>
      </c>
      <c r="N67" t="n">
        <v>0</v>
      </c>
      <c r="O67" t="n">
        <v>6</v>
      </c>
      <c r="P67" t="n">
        <v>2</v>
      </c>
      <c r="Q67" t="n">
        <v>8</v>
      </c>
      <c r="R67" s="2" t="inlineStr">
        <is>
          <t>Ask
Sexfläckig bastardsvärmare
Backstarr
Backtimjan
Jordtistel
Solvända
Nattskärra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c r="Z67">
        <f>HYPERLINK("https://klasma.github.io/Logging_0980/fåglar/A 54527-2023 prioriterade fågelarter.docx", "A 54527-2023")</f>
        <v/>
      </c>
    </row>
    <row r="68" ht="15" customHeight="1">
      <c r="A68" t="inlineStr">
        <is>
          <t>A 7038-2023</t>
        </is>
      </c>
      <c r="B68" s="1" t="n">
        <v>44968</v>
      </c>
      <c r="C68" s="1" t="n">
        <v>46198</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1971-2023</t>
        </is>
      </c>
      <c r="B69" s="1" t="n">
        <v>44939</v>
      </c>
      <c r="C69" s="1" t="n">
        <v>46198</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46198</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57773-2025</t>
        </is>
      </c>
      <c r="B71" s="1" t="n">
        <v>45981</v>
      </c>
      <c r="C71" s="1" t="n">
        <v>46198</v>
      </c>
      <c r="D71" t="inlineStr">
        <is>
          <t>GOTLANDS LÄN</t>
        </is>
      </c>
      <c r="E71" t="inlineStr">
        <is>
          <t>GOTLAND</t>
        </is>
      </c>
      <c r="G71" t="n">
        <v>4.4</v>
      </c>
      <c r="H71" t="n">
        <v>0</v>
      </c>
      <c r="I71" t="n">
        <v>5</v>
      </c>
      <c r="J71" t="n">
        <v>1</v>
      </c>
      <c r="K71" t="n">
        <v>2</v>
      </c>
      <c r="L71" t="n">
        <v>0</v>
      </c>
      <c r="M71" t="n">
        <v>0</v>
      </c>
      <c r="N71" t="n">
        <v>0</v>
      </c>
      <c r="O71" t="n">
        <v>3</v>
      </c>
      <c r="P71" t="n">
        <v>2</v>
      </c>
      <c r="Q71" t="n">
        <v>8</v>
      </c>
      <c r="R71" s="2" t="inlineStr">
        <is>
          <t>Duvspindling
Mörkfjällig olivspindling
Backklöver
Besk kastanjemusseron
Brun klibbskivling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20831-2024</t>
        </is>
      </c>
      <c r="B72" s="1" t="n">
        <v>45439</v>
      </c>
      <c r="C72" s="1" t="n">
        <v>46198</v>
      </c>
      <c r="D72" t="inlineStr">
        <is>
          <t>GOTLANDS LÄN</t>
        </is>
      </c>
      <c r="E72" t="inlineStr">
        <is>
          <t>GOTLAND</t>
        </is>
      </c>
      <c r="G72" t="n">
        <v>2.9</v>
      </c>
      <c r="H72" t="n">
        <v>2</v>
      </c>
      <c r="I72" t="n">
        <v>1</v>
      </c>
      <c r="J72" t="n">
        <v>6</v>
      </c>
      <c r="K72" t="n">
        <v>1</v>
      </c>
      <c r="L72" t="n">
        <v>0</v>
      </c>
      <c r="M72" t="n">
        <v>0</v>
      </c>
      <c r="N72" t="n">
        <v>0</v>
      </c>
      <c r="O72" t="n">
        <v>7</v>
      </c>
      <c r="P72" t="n">
        <v>1</v>
      </c>
      <c r="Q72" t="n">
        <v>8</v>
      </c>
      <c r="R72" s="2" t="inlineStr">
        <is>
          <t>Vit taggsvamp
Axveronika
Backtimjan
Dårgräsfjäril
Jordtistel
Solvända
Svinrot
Skogsknipprot</t>
        </is>
      </c>
      <c r="S72">
        <f>HYPERLINK("https://klasma.github.io/Logging_0980/artfynd/A 20831-2024 artfynd.xlsx", "A 20831-2024")</f>
        <v/>
      </c>
      <c r="T72">
        <f>HYPERLINK("https://klasma.github.io/Logging_0980/kartor/A 20831-2024 karta.png", "A 20831-2024")</f>
        <v/>
      </c>
      <c r="V72">
        <f>HYPERLINK("https://klasma.github.io/Logging_0980/klagomål/A 20831-2024 FSC-klagomål.docx", "A 20831-2024")</f>
        <v/>
      </c>
      <c r="W72">
        <f>HYPERLINK("https://klasma.github.io/Logging_0980/klagomålsmail/A 20831-2024 FSC-klagomål mail.docx", "A 20831-2024")</f>
        <v/>
      </c>
      <c r="X72">
        <f>HYPERLINK("https://klasma.github.io/Logging_0980/tillsyn/A 20831-2024 tillsynsbegäran.docx", "A 20831-2024")</f>
        <v/>
      </c>
      <c r="Y72">
        <f>HYPERLINK("https://klasma.github.io/Logging_0980/tillsynsmail/A 20831-2024 tillsynsbegäran mail.docx", "A 20831-2024")</f>
        <v/>
      </c>
    </row>
    <row r="73" ht="15" customHeight="1">
      <c r="A73" t="inlineStr">
        <is>
          <t>A 6836-2026</t>
        </is>
      </c>
      <c r="B73" s="1" t="n">
        <v>46057</v>
      </c>
      <c r="C73" s="1" t="n">
        <v>46198</v>
      </c>
      <c r="D73" t="inlineStr">
        <is>
          <t>GOTLANDS LÄN</t>
        </is>
      </c>
      <c r="E73" t="inlineStr">
        <is>
          <t>GOTLAND</t>
        </is>
      </c>
      <c r="G73" t="n">
        <v>3.8</v>
      </c>
      <c r="H73" t="n">
        <v>1</v>
      </c>
      <c r="I73" t="n">
        <v>3</v>
      </c>
      <c r="J73" t="n">
        <v>2</v>
      </c>
      <c r="K73" t="n">
        <v>3</v>
      </c>
      <c r="L73" t="n">
        <v>0</v>
      </c>
      <c r="M73" t="n">
        <v>0</v>
      </c>
      <c r="N73" t="n">
        <v>0</v>
      </c>
      <c r="O73" t="n">
        <v>5</v>
      </c>
      <c r="P73" t="n">
        <v>3</v>
      </c>
      <c r="Q73" t="n">
        <v>8</v>
      </c>
      <c r="R73" s="2" t="inlineStr">
        <is>
          <t>Knärot
Svartgrön spindling
Violettfläckig spindling
Odörspindling
Skarp dropptaggsvamp
Fransig jordstjärna
Rödgul trumpetsvamp
Svavelriska</t>
        </is>
      </c>
      <c r="S73">
        <f>HYPERLINK("https://klasma.github.io/Logging_0980/artfynd/A 6836-2026 artfynd.xlsx", "A 6836-2026")</f>
        <v/>
      </c>
      <c r="T73">
        <f>HYPERLINK("https://klasma.github.io/Logging_0980/kartor/A 6836-2026 karta.png", "A 6836-2026")</f>
        <v/>
      </c>
      <c r="U73">
        <f>HYPERLINK("https://klasma.github.io/Logging_0980/knärot/A 6836-2026 karta knärot.png", "A 6836-2026")</f>
        <v/>
      </c>
      <c r="V73">
        <f>HYPERLINK("https://klasma.github.io/Logging_0980/klagomål/A 6836-2026 FSC-klagomål.docx", "A 6836-2026")</f>
        <v/>
      </c>
      <c r="W73">
        <f>HYPERLINK("https://klasma.github.io/Logging_0980/klagomålsmail/A 6836-2026 FSC-klagomål mail.docx", "A 6836-2026")</f>
        <v/>
      </c>
      <c r="X73">
        <f>HYPERLINK("https://klasma.github.io/Logging_0980/tillsyn/A 6836-2026 tillsynsbegäran.docx", "A 6836-2026")</f>
        <v/>
      </c>
      <c r="Y73">
        <f>HYPERLINK("https://klasma.github.io/Logging_0980/tillsynsmail/A 6836-2026 tillsynsbegäran mail.docx", "A 6836-2026")</f>
        <v/>
      </c>
    </row>
    <row r="74" ht="15" customHeight="1">
      <c r="A74" t="inlineStr">
        <is>
          <t>A 51737-2021</t>
        </is>
      </c>
      <c r="B74" s="1" t="n">
        <v>44462</v>
      </c>
      <c r="C74" s="1" t="n">
        <v>46198</v>
      </c>
      <c r="D74" t="inlineStr">
        <is>
          <t>GOTLANDS LÄN</t>
        </is>
      </c>
      <c r="E74" t="inlineStr">
        <is>
          <t>GOTLAND</t>
        </is>
      </c>
      <c r="G74" t="n">
        <v>8.6</v>
      </c>
      <c r="H74" t="n">
        <v>1</v>
      </c>
      <c r="I74" t="n">
        <v>4</v>
      </c>
      <c r="J74" t="n">
        <v>2</v>
      </c>
      <c r="K74" t="n">
        <v>1</v>
      </c>
      <c r="L74" t="n">
        <v>0</v>
      </c>
      <c r="M74" t="n">
        <v>0</v>
      </c>
      <c r="N74" t="n">
        <v>0</v>
      </c>
      <c r="O74" t="n">
        <v>3</v>
      </c>
      <c r="P74" t="n">
        <v>1</v>
      </c>
      <c r="Q74" t="n">
        <v>7</v>
      </c>
      <c r="R74" s="2" t="inlineStr">
        <is>
          <t>Igelkott
Blå slemspindling
Vårärt
Blåmossa
Kambräken
Skogsknipprot
Västlig hakmossa</t>
        </is>
      </c>
      <c r="S74">
        <f>HYPERLINK("https://klasma.github.io/Logging_0980/artfynd/A 51737-2021 artfynd.xlsx", "A 51737-2021")</f>
        <v/>
      </c>
      <c r="T74">
        <f>HYPERLINK("https://klasma.github.io/Logging_0980/kartor/A 51737-2021 karta.png", "A 51737-2021")</f>
        <v/>
      </c>
      <c r="V74">
        <f>HYPERLINK("https://klasma.github.io/Logging_0980/klagomål/A 51737-2021 FSC-klagomål.docx", "A 51737-2021")</f>
        <v/>
      </c>
      <c r="W74">
        <f>HYPERLINK("https://klasma.github.io/Logging_0980/klagomålsmail/A 51737-2021 FSC-klagomål mail.docx", "A 51737-2021")</f>
        <v/>
      </c>
      <c r="X74">
        <f>HYPERLINK("https://klasma.github.io/Logging_0980/tillsyn/A 51737-2021 tillsynsbegäran.docx", "A 51737-2021")</f>
        <v/>
      </c>
      <c r="Y74">
        <f>HYPERLINK("https://klasma.github.io/Logging_0980/tillsynsmail/A 51737-2021 tillsynsbegäran mail.docx", "A 51737-2021")</f>
        <v/>
      </c>
    </row>
    <row r="75" ht="15" customHeight="1">
      <c r="A75" t="inlineStr">
        <is>
          <t>A 2085-2023</t>
        </is>
      </c>
      <c r="B75" s="1" t="n">
        <v>44939</v>
      </c>
      <c r="C75" s="1" t="n">
        <v>46198</v>
      </c>
      <c r="D75" t="inlineStr">
        <is>
          <t>GOTLANDS LÄN</t>
        </is>
      </c>
      <c r="E75" t="inlineStr">
        <is>
          <t>GOTLAND</t>
        </is>
      </c>
      <c r="G75" t="n">
        <v>0.9</v>
      </c>
      <c r="H75" t="n">
        <v>2</v>
      </c>
      <c r="I75" t="n">
        <v>4</v>
      </c>
      <c r="J75" t="n">
        <v>2</v>
      </c>
      <c r="K75" t="n">
        <v>0</v>
      </c>
      <c r="L75" t="n">
        <v>0</v>
      </c>
      <c r="M75" t="n">
        <v>0</v>
      </c>
      <c r="N75" t="n">
        <v>0</v>
      </c>
      <c r="O75" t="n">
        <v>2</v>
      </c>
      <c r="P75" t="n">
        <v>0</v>
      </c>
      <c r="Q75" t="n">
        <v>7</v>
      </c>
      <c r="R75" s="2" t="inlineStr">
        <is>
          <t>Blå slemspindling
Kattfotslav
Blåmossa
Mindre märgborre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row>
    <row r="76" ht="15" customHeight="1">
      <c r="A76" t="inlineStr">
        <is>
          <t>A 6159-2023</t>
        </is>
      </c>
      <c r="B76" s="1" t="n">
        <v>44964</v>
      </c>
      <c r="C76" s="1" t="n">
        <v>46198</v>
      </c>
      <c r="D76" t="inlineStr">
        <is>
          <t>GOTLANDS LÄN</t>
        </is>
      </c>
      <c r="E76" t="inlineStr">
        <is>
          <t>GOTLAND</t>
        </is>
      </c>
      <c r="G76" t="n">
        <v>2</v>
      </c>
      <c r="H76" t="n">
        <v>0</v>
      </c>
      <c r="I76" t="n">
        <v>2</v>
      </c>
      <c r="J76" t="n">
        <v>2</v>
      </c>
      <c r="K76" t="n">
        <v>1</v>
      </c>
      <c r="L76" t="n">
        <v>1</v>
      </c>
      <c r="M76" t="n">
        <v>1</v>
      </c>
      <c r="N76" t="n">
        <v>0</v>
      </c>
      <c r="O76" t="n">
        <v>5</v>
      </c>
      <c r="P76" t="n">
        <v>3</v>
      </c>
      <c r="Q76" t="n">
        <v>7</v>
      </c>
      <c r="R76" s="2" t="inlineStr">
        <is>
          <t>Coniocarpon fallax
Knölig taggsvamp
Gyllenspindling
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26987-2026</t>
        </is>
      </c>
      <c r="B77" s="1" t="n">
        <v>46185</v>
      </c>
      <c r="C77" s="1" t="n">
        <v>46198</v>
      </c>
      <c r="D77" t="inlineStr">
        <is>
          <t>GOTLANDS LÄN</t>
        </is>
      </c>
      <c r="E77" t="inlineStr">
        <is>
          <t>GOTLAND</t>
        </is>
      </c>
      <c r="G77" t="n">
        <v>4.6</v>
      </c>
      <c r="H77" t="n">
        <v>1</v>
      </c>
      <c r="I77" t="n">
        <v>1</v>
      </c>
      <c r="J77" t="n">
        <v>4</v>
      </c>
      <c r="K77" t="n">
        <v>1</v>
      </c>
      <c r="L77" t="n">
        <v>0</v>
      </c>
      <c r="M77" t="n">
        <v>0</v>
      </c>
      <c r="N77" t="n">
        <v>0</v>
      </c>
      <c r="O77" t="n">
        <v>5</v>
      </c>
      <c r="P77" t="n">
        <v>1</v>
      </c>
      <c r="Q77" t="n">
        <v>7</v>
      </c>
      <c r="R77" s="2" t="inlineStr">
        <is>
          <t>Granrotspindling
Backtimjan
Blå slemspindling
Odörspindling
Solvända
Svavelriska
Spillkråka</t>
        </is>
      </c>
      <c r="S77">
        <f>HYPERLINK("https://klasma.github.io/Logging_0980/artfynd/A 26987-2026 artfynd.xlsx", "A 26987-2026")</f>
        <v/>
      </c>
      <c r="T77">
        <f>HYPERLINK("https://klasma.github.io/Logging_0980/kartor/A 26987-2026 karta.png", "A 26987-2026")</f>
        <v/>
      </c>
      <c r="V77">
        <f>HYPERLINK("https://klasma.github.io/Logging_0980/klagomål/A 26987-2026 FSC-klagomål.docx", "A 26987-2026")</f>
        <v/>
      </c>
      <c r="W77">
        <f>HYPERLINK("https://klasma.github.io/Logging_0980/klagomålsmail/A 26987-2026 FSC-klagomål mail.docx", "A 26987-2026")</f>
        <v/>
      </c>
      <c r="X77">
        <f>HYPERLINK("https://klasma.github.io/Logging_0980/tillsyn/A 26987-2026 tillsynsbegäran.docx", "A 26987-2026")</f>
        <v/>
      </c>
      <c r="Y77">
        <f>HYPERLINK("https://klasma.github.io/Logging_0980/tillsynsmail/A 26987-2026 tillsynsbegäran mail.docx", "A 26987-2026")</f>
        <v/>
      </c>
      <c r="Z77">
        <f>HYPERLINK("https://klasma.github.io/Logging_0980/fåglar/A 26987-2026 prioriterade fågelarter.docx", "A 26987-2026")</f>
        <v/>
      </c>
    </row>
    <row r="78" ht="15" customHeight="1">
      <c r="A78" t="inlineStr">
        <is>
          <t>A 34142-2024</t>
        </is>
      </c>
      <c r="B78" s="1" t="n">
        <v>45524</v>
      </c>
      <c r="C78" s="1" t="n">
        <v>46198</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10419-2025</t>
        </is>
      </c>
      <c r="B79" s="1" t="n">
        <v>45720</v>
      </c>
      <c r="C79" s="1" t="n">
        <v>46198</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35293-2025</t>
        </is>
      </c>
      <c r="B80" s="1" t="n">
        <v>45854</v>
      </c>
      <c r="C80" s="1" t="n">
        <v>46198</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48126-2022</t>
        </is>
      </c>
      <c r="B81" s="1" t="n">
        <v>44857</v>
      </c>
      <c r="C81" s="1" t="n">
        <v>46198</v>
      </c>
      <c r="D81" t="inlineStr">
        <is>
          <t>GOTLANDS LÄN</t>
        </is>
      </c>
      <c r="E81" t="inlineStr">
        <is>
          <t>GOTLAND</t>
        </is>
      </c>
      <c r="G81" t="n">
        <v>9.800000000000001</v>
      </c>
      <c r="H81" t="n">
        <v>3</v>
      </c>
      <c r="I81" t="n">
        <v>0</v>
      </c>
      <c r="J81" t="n">
        <v>3</v>
      </c>
      <c r="K81" t="n">
        <v>0</v>
      </c>
      <c r="L81" t="n">
        <v>0</v>
      </c>
      <c r="M81" t="n">
        <v>0</v>
      </c>
      <c r="N81" t="n">
        <v>0</v>
      </c>
      <c r="O81" t="n">
        <v>3</v>
      </c>
      <c r="P81" t="n">
        <v>0</v>
      </c>
      <c r="Q81" t="n">
        <v>6</v>
      </c>
      <c r="R81" s="2" t="inlineStr">
        <is>
          <t>Jordtistel
Jungfrulin
Svinrot
Spillkråka
Näktergal
Skogsduva</t>
        </is>
      </c>
      <c r="S81">
        <f>HYPERLINK("https://klasma.github.io/Logging_0980/artfynd/A 48126-2022 artfynd.xlsx", "A 48126-2022")</f>
        <v/>
      </c>
      <c r="T81">
        <f>HYPERLINK("https://klasma.github.io/Logging_0980/kartor/A 48126-2022 karta.png", "A 48126-2022")</f>
        <v/>
      </c>
      <c r="V81">
        <f>HYPERLINK("https://klasma.github.io/Logging_0980/klagomål/A 48126-2022 FSC-klagomål.docx", "A 48126-2022")</f>
        <v/>
      </c>
      <c r="W81">
        <f>HYPERLINK("https://klasma.github.io/Logging_0980/klagomålsmail/A 48126-2022 FSC-klagomål mail.docx", "A 48126-2022")</f>
        <v/>
      </c>
      <c r="X81">
        <f>HYPERLINK("https://klasma.github.io/Logging_0980/tillsyn/A 48126-2022 tillsynsbegäran.docx", "A 48126-2022")</f>
        <v/>
      </c>
      <c r="Y81">
        <f>HYPERLINK("https://klasma.github.io/Logging_0980/tillsynsmail/A 48126-2022 tillsynsbegäran mail.docx", "A 48126-2022")</f>
        <v/>
      </c>
      <c r="Z81">
        <f>HYPERLINK("https://klasma.github.io/Logging_0980/fåglar/A 48126-2022 prioriterade fågelarter.docx", "A 48126-2022")</f>
        <v/>
      </c>
    </row>
    <row r="82" ht="15" customHeight="1">
      <c r="A82" t="inlineStr">
        <is>
          <t>A 49709-2025</t>
        </is>
      </c>
      <c r="B82" s="1" t="n">
        <v>45939</v>
      </c>
      <c r="C82" s="1" t="n">
        <v>46198</v>
      </c>
      <c r="D82" t="inlineStr">
        <is>
          <t>GOTLANDS LÄN</t>
        </is>
      </c>
      <c r="E82" t="inlineStr">
        <is>
          <t>GOTLAND</t>
        </is>
      </c>
      <c r="G82" t="n">
        <v>10.2</v>
      </c>
      <c r="H82" t="n">
        <v>1</v>
      </c>
      <c r="I82" t="n">
        <v>3</v>
      </c>
      <c r="J82" t="n">
        <v>3</v>
      </c>
      <c r="K82" t="n">
        <v>0</v>
      </c>
      <c r="L82" t="n">
        <v>0</v>
      </c>
      <c r="M82" t="n">
        <v>0</v>
      </c>
      <c r="N82" t="n">
        <v>0</v>
      </c>
      <c r="O82" t="n">
        <v>3</v>
      </c>
      <c r="P82" t="n">
        <v>0</v>
      </c>
      <c r="Q82" t="n">
        <v>6</v>
      </c>
      <c r="R82" s="2" t="inlineStr">
        <is>
          <t>Mindre hackspett
Mörk dunört
Tallticka
Blåmossa
Grovticka
Kambräken</t>
        </is>
      </c>
      <c r="S82">
        <f>HYPERLINK("https://klasma.github.io/Logging_0980/artfynd/A 49709-2025 artfynd.xlsx", "A 49709-2025")</f>
        <v/>
      </c>
      <c r="T82">
        <f>HYPERLINK("https://klasma.github.io/Logging_0980/kartor/A 49709-2025 karta.png", "A 49709-2025")</f>
        <v/>
      </c>
      <c r="V82">
        <f>HYPERLINK("https://klasma.github.io/Logging_0980/klagomål/A 49709-2025 FSC-klagomål.docx", "A 49709-2025")</f>
        <v/>
      </c>
      <c r="W82">
        <f>HYPERLINK("https://klasma.github.io/Logging_0980/klagomålsmail/A 49709-2025 FSC-klagomål mail.docx", "A 49709-2025")</f>
        <v/>
      </c>
      <c r="X82">
        <f>HYPERLINK("https://klasma.github.io/Logging_0980/tillsyn/A 49709-2025 tillsynsbegäran.docx", "A 49709-2025")</f>
        <v/>
      </c>
      <c r="Y82">
        <f>HYPERLINK("https://klasma.github.io/Logging_0980/tillsynsmail/A 49709-2025 tillsynsbegäran mail.docx", "A 49709-2025")</f>
        <v/>
      </c>
      <c r="Z82">
        <f>HYPERLINK("https://klasma.github.io/Logging_0980/fåglar/A 49709-2025 prioriterade fågelarter.docx", "A 49709-2025")</f>
        <v/>
      </c>
    </row>
    <row r="83" ht="15" customHeight="1">
      <c r="A83" t="inlineStr">
        <is>
          <t>A 64208-2021</t>
        </is>
      </c>
      <c r="B83" s="1" t="n">
        <v>44510</v>
      </c>
      <c r="C83" s="1" t="n">
        <v>46198</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43200-2023</t>
        </is>
      </c>
      <c r="B84" s="1" t="n">
        <v>45183</v>
      </c>
      <c r="C84" s="1" t="n">
        <v>46198</v>
      </c>
      <c r="D84" t="inlineStr">
        <is>
          <t>GOTLANDS LÄN</t>
        </is>
      </c>
      <c r="E84" t="inlineStr">
        <is>
          <t>GOTLAND</t>
        </is>
      </c>
      <c r="G84" t="n">
        <v>0.5</v>
      </c>
      <c r="H84" t="n">
        <v>2</v>
      </c>
      <c r="I84" t="n">
        <v>3</v>
      </c>
      <c r="J84" t="n">
        <v>3</v>
      </c>
      <c r="K84" t="n">
        <v>0</v>
      </c>
      <c r="L84" t="n">
        <v>0</v>
      </c>
      <c r="M84" t="n">
        <v>0</v>
      </c>
      <c r="N84" t="n">
        <v>0</v>
      </c>
      <c r="O84" t="n">
        <v>3</v>
      </c>
      <c r="P84" t="n">
        <v>0</v>
      </c>
      <c r="Q84" t="n">
        <v>6</v>
      </c>
      <c r="R84" s="2" t="inlineStr">
        <is>
          <t>Kattfotslav
Sårläka
Vårärt
Kalktallört
Nästrot
Skogsknipprot</t>
        </is>
      </c>
      <c r="S84">
        <f>HYPERLINK("https://klasma.github.io/Logging_0980/artfynd/A 43200-2023 artfynd.xlsx", "A 43200-2023")</f>
        <v/>
      </c>
      <c r="T84">
        <f>HYPERLINK("https://klasma.github.io/Logging_0980/kartor/A 43200-2023 karta.png", "A 43200-2023")</f>
        <v/>
      </c>
      <c r="V84">
        <f>HYPERLINK("https://klasma.github.io/Logging_0980/klagomål/A 43200-2023 FSC-klagomål.docx", "A 43200-2023")</f>
        <v/>
      </c>
      <c r="W84">
        <f>HYPERLINK("https://klasma.github.io/Logging_0980/klagomålsmail/A 43200-2023 FSC-klagomål mail.docx", "A 43200-2023")</f>
        <v/>
      </c>
      <c r="X84">
        <f>HYPERLINK("https://klasma.github.io/Logging_0980/tillsyn/A 43200-2023 tillsynsbegäran.docx", "A 43200-2023")</f>
        <v/>
      </c>
      <c r="Y84">
        <f>HYPERLINK("https://klasma.github.io/Logging_0980/tillsynsmail/A 43200-2023 tillsynsbegäran mail.docx", "A 43200-2023")</f>
        <v/>
      </c>
    </row>
    <row r="85" ht="15" customHeight="1">
      <c r="A85" t="inlineStr">
        <is>
          <t>A 63152-2025</t>
        </is>
      </c>
      <c r="B85" s="1" t="n">
        <v>46010</v>
      </c>
      <c r="C85" s="1" t="n">
        <v>46198</v>
      </c>
      <c r="D85" t="inlineStr">
        <is>
          <t>GOTLANDS LÄN</t>
        </is>
      </c>
      <c r="E85" t="inlineStr">
        <is>
          <t>GOTLAND</t>
        </is>
      </c>
      <c r="G85" t="n">
        <v>1.5</v>
      </c>
      <c r="H85" t="n">
        <v>3</v>
      </c>
      <c r="I85" t="n">
        <v>1</v>
      </c>
      <c r="J85" t="n">
        <v>2</v>
      </c>
      <c r="K85" t="n">
        <v>0</v>
      </c>
      <c r="L85" t="n">
        <v>0</v>
      </c>
      <c r="M85" t="n">
        <v>0</v>
      </c>
      <c r="N85" t="n">
        <v>0</v>
      </c>
      <c r="O85" t="n">
        <v>2</v>
      </c>
      <c r="P85" t="n">
        <v>0</v>
      </c>
      <c r="Q85" t="n">
        <v>6</v>
      </c>
      <c r="R85" s="2" t="inlineStr">
        <is>
          <t>Berggräsfjäril
Svinrot
Nästrot
Spillkråka
Sälg
Sankt pers nycklar</t>
        </is>
      </c>
      <c r="S85">
        <f>HYPERLINK("https://klasma.github.io/Logging_0980/artfynd/A 63152-2025 artfynd.xlsx", "A 63152-2025")</f>
        <v/>
      </c>
      <c r="T85">
        <f>HYPERLINK("https://klasma.github.io/Logging_0980/kartor/A 63152-2025 karta.png", "A 63152-2025")</f>
        <v/>
      </c>
      <c r="V85">
        <f>HYPERLINK("https://klasma.github.io/Logging_0980/klagomål/A 63152-2025 FSC-klagomål.docx", "A 63152-2025")</f>
        <v/>
      </c>
      <c r="W85">
        <f>HYPERLINK("https://klasma.github.io/Logging_0980/klagomålsmail/A 63152-2025 FSC-klagomål mail.docx", "A 63152-2025")</f>
        <v/>
      </c>
      <c r="X85">
        <f>HYPERLINK("https://klasma.github.io/Logging_0980/tillsyn/A 63152-2025 tillsynsbegäran.docx", "A 63152-2025")</f>
        <v/>
      </c>
      <c r="Y85">
        <f>HYPERLINK("https://klasma.github.io/Logging_0980/tillsynsmail/A 63152-2025 tillsynsbegäran mail.docx", "A 63152-2025")</f>
        <v/>
      </c>
      <c r="Z85">
        <f>HYPERLINK("https://klasma.github.io/Logging_0980/fåglar/A 63152-2025 prioriterade fågelarter.docx", "A 63152-2025")</f>
        <v/>
      </c>
    </row>
    <row r="86" ht="15" customHeight="1">
      <c r="A86" t="inlineStr">
        <is>
          <t>A 16823-2024</t>
        </is>
      </c>
      <c r="B86" s="1" t="n">
        <v>45411</v>
      </c>
      <c r="C86" s="1" t="n">
        <v>46198</v>
      </c>
      <c r="D86" t="inlineStr">
        <is>
          <t>GOTLANDS LÄN</t>
        </is>
      </c>
      <c r="E86" t="inlineStr">
        <is>
          <t>GOTLAND</t>
        </is>
      </c>
      <c r="G86" t="n">
        <v>25.4</v>
      </c>
      <c r="H86" t="n">
        <v>5</v>
      </c>
      <c r="I86" t="n">
        <v>1</v>
      </c>
      <c r="J86" t="n">
        <v>2</v>
      </c>
      <c r="K86" t="n">
        <v>0</v>
      </c>
      <c r="L86" t="n">
        <v>0</v>
      </c>
      <c r="M86" t="n">
        <v>0</v>
      </c>
      <c r="N86" t="n">
        <v>0</v>
      </c>
      <c r="O86" t="n">
        <v>2</v>
      </c>
      <c r="P86" t="n">
        <v>0</v>
      </c>
      <c r="Q86" t="n">
        <v>6</v>
      </c>
      <c r="R86" s="2" t="inlineStr">
        <is>
          <t>Gulsparv
Jordtistel
Flugblomster
Brudsporre
Johannesnycklar
Sankt pers nycklar</t>
        </is>
      </c>
      <c r="S86">
        <f>HYPERLINK("https://klasma.github.io/Logging_0980/artfynd/A 16823-2024 artfynd.xlsx", "A 16823-2024")</f>
        <v/>
      </c>
      <c r="T86">
        <f>HYPERLINK("https://klasma.github.io/Logging_0980/kartor/A 16823-2024 karta.png", "A 16823-2024")</f>
        <v/>
      </c>
      <c r="V86">
        <f>HYPERLINK("https://klasma.github.io/Logging_0980/klagomål/A 16823-2024 FSC-klagomål.docx", "A 16823-2024")</f>
        <v/>
      </c>
      <c r="W86">
        <f>HYPERLINK("https://klasma.github.io/Logging_0980/klagomålsmail/A 16823-2024 FSC-klagomål mail.docx", "A 16823-2024")</f>
        <v/>
      </c>
      <c r="X86">
        <f>HYPERLINK("https://klasma.github.io/Logging_0980/tillsyn/A 16823-2024 tillsynsbegäran.docx", "A 16823-2024")</f>
        <v/>
      </c>
      <c r="Y86">
        <f>HYPERLINK("https://klasma.github.io/Logging_0980/tillsynsmail/A 16823-2024 tillsynsbegäran mail.docx", "A 16823-2024")</f>
        <v/>
      </c>
      <c r="Z86">
        <f>HYPERLINK("https://klasma.github.io/Logging_0980/fåglar/A 16823-2024 prioriterade fågelarter.docx", "A 16823-2024")</f>
        <v/>
      </c>
    </row>
    <row r="87" ht="15" customHeight="1">
      <c r="A87" t="inlineStr">
        <is>
          <t>A 73144-2021</t>
        </is>
      </c>
      <c r="B87" s="1" t="n">
        <v>44550</v>
      </c>
      <c r="C87" s="1" t="n">
        <v>46198</v>
      </c>
      <c r="D87" t="inlineStr">
        <is>
          <t>GOTLANDS LÄN</t>
        </is>
      </c>
      <c r="E87" t="inlineStr">
        <is>
          <t>GOTLAND</t>
        </is>
      </c>
      <c r="G87" t="n">
        <v>1.9</v>
      </c>
      <c r="H87" t="n">
        <v>0</v>
      </c>
      <c r="I87" t="n">
        <v>1</v>
      </c>
      <c r="J87" t="n">
        <v>1</v>
      </c>
      <c r="K87" t="n">
        <v>3</v>
      </c>
      <c r="L87" t="n">
        <v>0</v>
      </c>
      <c r="M87" t="n">
        <v>0</v>
      </c>
      <c r="N87" t="n">
        <v>0</v>
      </c>
      <c r="O87" t="n">
        <v>4</v>
      </c>
      <c r="P87" t="n">
        <v>3</v>
      </c>
      <c r="Q87" t="n">
        <v>5</v>
      </c>
      <c r="R87" s="2" t="inlineStr">
        <is>
          <t>Igelkott
Skogskorn
Svartgrön spindling
Äggspindling
Kambräken</t>
        </is>
      </c>
      <c r="S87">
        <f>HYPERLINK("https://klasma.github.io/Logging_0980/artfynd/A 73144-2021 artfynd.xlsx", "A 73144-2021")</f>
        <v/>
      </c>
      <c r="T87">
        <f>HYPERLINK("https://klasma.github.io/Logging_0980/kartor/A 73144-2021 karta.png", "A 73144-2021")</f>
        <v/>
      </c>
      <c r="V87">
        <f>HYPERLINK("https://klasma.github.io/Logging_0980/klagomål/A 73144-2021 FSC-klagomål.docx", "A 73144-2021")</f>
        <v/>
      </c>
      <c r="W87">
        <f>HYPERLINK("https://klasma.github.io/Logging_0980/klagomålsmail/A 73144-2021 FSC-klagomål mail.docx", "A 73144-2021")</f>
        <v/>
      </c>
      <c r="X87">
        <f>HYPERLINK("https://klasma.github.io/Logging_0980/tillsyn/A 73144-2021 tillsynsbegäran.docx", "A 73144-2021")</f>
        <v/>
      </c>
      <c r="Y87">
        <f>HYPERLINK("https://klasma.github.io/Logging_0980/tillsynsmail/A 73144-2021 tillsynsbegäran mail.docx", "A 73144-2021")</f>
        <v/>
      </c>
    </row>
    <row r="88" ht="15" customHeight="1">
      <c r="A88" t="inlineStr">
        <is>
          <t>A 5904-2024</t>
        </is>
      </c>
      <c r="B88" s="1" t="n">
        <v>45335</v>
      </c>
      <c r="C88" s="1" t="n">
        <v>46198</v>
      </c>
      <c r="D88" t="inlineStr">
        <is>
          <t>GOTLANDS LÄN</t>
        </is>
      </c>
      <c r="E88" t="inlineStr">
        <is>
          <t>GOTLAND</t>
        </is>
      </c>
      <c r="G88" t="n">
        <v>6.4</v>
      </c>
      <c r="H88" t="n">
        <v>1</v>
      </c>
      <c r="I88" t="n">
        <v>1</v>
      </c>
      <c r="J88" t="n">
        <v>3</v>
      </c>
      <c r="K88" t="n">
        <v>0</v>
      </c>
      <c r="L88" t="n">
        <v>0</v>
      </c>
      <c r="M88" t="n">
        <v>0</v>
      </c>
      <c r="N88" t="n">
        <v>0</v>
      </c>
      <c r="O88" t="n">
        <v>3</v>
      </c>
      <c r="P88" t="n">
        <v>0</v>
      </c>
      <c r="Q88" t="n">
        <v>5</v>
      </c>
      <c r="R88" s="2" t="inlineStr">
        <is>
          <t>Backstarr
Backtimjan
Kattfotslav
Blåmossa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43197-2023</t>
        </is>
      </c>
      <c r="B89" s="1" t="n">
        <v>45183</v>
      </c>
      <c r="C89" s="1" t="n">
        <v>46198</v>
      </c>
      <c r="D89" t="inlineStr">
        <is>
          <t>GOTLANDS LÄN</t>
        </is>
      </c>
      <c r="E89" t="inlineStr">
        <is>
          <t>GOTLAND</t>
        </is>
      </c>
      <c r="G89" t="n">
        <v>3.7</v>
      </c>
      <c r="H89" t="n">
        <v>2</v>
      </c>
      <c r="I89" t="n">
        <v>1</v>
      </c>
      <c r="J89" t="n">
        <v>1</v>
      </c>
      <c r="K89" t="n">
        <v>1</v>
      </c>
      <c r="L89" t="n">
        <v>1</v>
      </c>
      <c r="M89" t="n">
        <v>0</v>
      </c>
      <c r="N89" t="n">
        <v>0</v>
      </c>
      <c r="O89" t="n">
        <v>3</v>
      </c>
      <c r="P89" t="n">
        <v>2</v>
      </c>
      <c r="Q89" t="n">
        <v>5</v>
      </c>
      <c r="R89" s="2" t="inlineStr">
        <is>
          <t>Ask
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446-2023</t>
        </is>
      </c>
      <c r="B90" s="1" t="n">
        <v>44929</v>
      </c>
      <c r="C90" s="1" t="n">
        <v>46198</v>
      </c>
      <c r="D90" t="inlineStr">
        <is>
          <t>GOTLANDS LÄN</t>
        </is>
      </c>
      <c r="E90" t="inlineStr">
        <is>
          <t>GOTLAND</t>
        </is>
      </c>
      <c r="G90" t="n">
        <v>7.1</v>
      </c>
      <c r="H90" t="n">
        <v>2</v>
      </c>
      <c r="I90" t="n">
        <v>2</v>
      </c>
      <c r="J90" t="n">
        <v>1</v>
      </c>
      <c r="K90" t="n">
        <v>1</v>
      </c>
      <c r="L90" t="n">
        <v>0</v>
      </c>
      <c r="M90" t="n">
        <v>0</v>
      </c>
      <c r="N90" t="n">
        <v>0</v>
      </c>
      <c r="O90" t="n">
        <v>2</v>
      </c>
      <c r="P90" t="n">
        <v>1</v>
      </c>
      <c r="Q90" t="n">
        <v>5</v>
      </c>
      <c r="R90" s="2" t="inlineStr">
        <is>
          <t>Svartgrön spindling
Äggspindling
Skogsknipprot
Svavelriska
Spillkråka</t>
        </is>
      </c>
      <c r="S90">
        <f>HYPERLINK("https://klasma.github.io/Logging_0980/artfynd/A 446-2023 artfynd.xlsx", "A 446-2023")</f>
        <v/>
      </c>
      <c r="T90">
        <f>HYPERLINK("https://klasma.github.io/Logging_0980/kartor/A 446-2023 karta.png", "A 446-2023")</f>
        <v/>
      </c>
      <c r="V90">
        <f>HYPERLINK("https://klasma.github.io/Logging_0980/klagomål/A 446-2023 FSC-klagomål.docx", "A 446-2023")</f>
        <v/>
      </c>
      <c r="W90">
        <f>HYPERLINK("https://klasma.github.io/Logging_0980/klagomålsmail/A 446-2023 FSC-klagomål mail.docx", "A 446-2023")</f>
        <v/>
      </c>
      <c r="X90">
        <f>HYPERLINK("https://klasma.github.io/Logging_0980/tillsyn/A 446-2023 tillsynsbegäran.docx", "A 446-2023")</f>
        <v/>
      </c>
      <c r="Y90">
        <f>HYPERLINK("https://klasma.github.io/Logging_0980/tillsynsmail/A 446-2023 tillsynsbegäran mail.docx", "A 446-2023")</f>
        <v/>
      </c>
      <c r="Z90">
        <f>HYPERLINK("https://klasma.github.io/Logging_0980/fåglar/A 446-2023 prioriterade fågelarter.docx", "A 446-2023")</f>
        <v/>
      </c>
    </row>
    <row r="91" ht="15" customHeight="1">
      <c r="A91" t="inlineStr">
        <is>
          <t>A 20838-2024</t>
        </is>
      </c>
      <c r="B91" s="1" t="n">
        <v>45439</v>
      </c>
      <c r="C91" s="1" t="n">
        <v>46198</v>
      </c>
      <c r="D91" t="inlineStr">
        <is>
          <t>GOTLANDS LÄN</t>
        </is>
      </c>
      <c r="E91" t="inlineStr">
        <is>
          <t>GOTLAND</t>
        </is>
      </c>
      <c r="G91" t="n">
        <v>0.7</v>
      </c>
      <c r="H91" t="n">
        <v>3</v>
      </c>
      <c r="I91" t="n">
        <v>2</v>
      </c>
      <c r="J91" t="n">
        <v>2</v>
      </c>
      <c r="K91" t="n">
        <v>0</v>
      </c>
      <c r="L91" t="n">
        <v>0</v>
      </c>
      <c r="M91" t="n">
        <v>0</v>
      </c>
      <c r="N91" t="n">
        <v>0</v>
      </c>
      <c r="O91" t="n">
        <v>2</v>
      </c>
      <c r="P91" t="n">
        <v>0</v>
      </c>
      <c r="Q91" t="n">
        <v>5</v>
      </c>
      <c r="R91" s="2" t="inlineStr">
        <is>
          <t>Backtimjan
Solvända
Skogsknipprot
Tvåblad
Spillkråka</t>
        </is>
      </c>
      <c r="S91">
        <f>HYPERLINK("https://klasma.github.io/Logging_0980/artfynd/A 20838-2024 artfynd.xlsx", "A 20838-2024")</f>
        <v/>
      </c>
      <c r="T91">
        <f>HYPERLINK("https://klasma.github.io/Logging_0980/kartor/A 20838-2024 karta.png", "A 20838-2024")</f>
        <v/>
      </c>
      <c r="V91">
        <f>HYPERLINK("https://klasma.github.io/Logging_0980/klagomål/A 20838-2024 FSC-klagomål.docx", "A 20838-2024")</f>
        <v/>
      </c>
      <c r="W91">
        <f>HYPERLINK("https://klasma.github.io/Logging_0980/klagomålsmail/A 20838-2024 FSC-klagomål mail.docx", "A 20838-2024")</f>
        <v/>
      </c>
      <c r="X91">
        <f>HYPERLINK("https://klasma.github.io/Logging_0980/tillsyn/A 20838-2024 tillsynsbegäran.docx", "A 20838-2024")</f>
        <v/>
      </c>
      <c r="Y91">
        <f>HYPERLINK("https://klasma.github.io/Logging_0980/tillsynsmail/A 20838-2024 tillsynsbegäran mail.docx", "A 20838-2024")</f>
        <v/>
      </c>
      <c r="Z91">
        <f>HYPERLINK("https://klasma.github.io/Logging_0980/fåglar/A 20838-2024 prioriterade fågelarter.docx", "A 20838-2024")</f>
        <v/>
      </c>
    </row>
    <row r="92" ht="15" customHeight="1">
      <c r="A92" t="inlineStr">
        <is>
          <t>A 39425-2023</t>
        </is>
      </c>
      <c r="B92" s="1" t="n">
        <v>45166</v>
      </c>
      <c r="C92" s="1" t="n">
        <v>46198</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42936-2024</t>
        </is>
      </c>
      <c r="B93" s="1" t="n">
        <v>45567</v>
      </c>
      <c r="C93" s="1" t="n">
        <v>46198</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54055-2022</t>
        </is>
      </c>
      <c r="B94" s="1" t="n">
        <v>44881</v>
      </c>
      <c r="C94" s="1" t="n">
        <v>46198</v>
      </c>
      <c r="D94" t="inlineStr">
        <is>
          <t>GOTLANDS LÄN</t>
        </is>
      </c>
      <c r="E94" t="inlineStr">
        <is>
          <t>GOTLAND</t>
        </is>
      </c>
      <c r="G94" t="n">
        <v>4.6</v>
      </c>
      <c r="H94" t="n">
        <v>0</v>
      </c>
      <c r="I94" t="n">
        <v>2</v>
      </c>
      <c r="J94" t="n">
        <v>2</v>
      </c>
      <c r="K94" t="n">
        <v>1</v>
      </c>
      <c r="L94" t="n">
        <v>0</v>
      </c>
      <c r="M94" t="n">
        <v>0</v>
      </c>
      <c r="N94" t="n">
        <v>0</v>
      </c>
      <c r="O94" t="n">
        <v>3</v>
      </c>
      <c r="P94" t="n">
        <v>1</v>
      </c>
      <c r="Q94" t="n">
        <v>5</v>
      </c>
      <c r="R94" s="2" t="inlineStr">
        <is>
          <t>Duvspindling
Kryddspindling
Odörspindling
Diskvaxskivling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57463-2025</t>
        </is>
      </c>
      <c r="B95" s="1" t="n">
        <v>45980</v>
      </c>
      <c r="C95" s="1" t="n">
        <v>46198</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8265-2023</t>
        </is>
      </c>
      <c r="B96" s="1" t="n">
        <v>44974</v>
      </c>
      <c r="C96" s="1" t="n">
        <v>46198</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44323-2021</t>
        </is>
      </c>
      <c r="B97" s="1" t="n">
        <v>44434</v>
      </c>
      <c r="C97" s="1" t="n">
        <v>46198</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46198</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56717-2024</t>
        </is>
      </c>
      <c r="B99" s="1" t="n">
        <v>45628</v>
      </c>
      <c r="C99" s="1" t="n">
        <v>46198</v>
      </c>
      <c r="D99" t="inlineStr">
        <is>
          <t>GOTLANDS LÄN</t>
        </is>
      </c>
      <c r="E99" t="inlineStr">
        <is>
          <t>GOTLAND</t>
        </is>
      </c>
      <c r="G99" t="n">
        <v>9.699999999999999</v>
      </c>
      <c r="H99" t="n">
        <v>0</v>
      </c>
      <c r="I99" t="n">
        <v>1</v>
      </c>
      <c r="J99" t="n">
        <v>3</v>
      </c>
      <c r="K99" t="n">
        <v>0</v>
      </c>
      <c r="L99" t="n">
        <v>0</v>
      </c>
      <c r="M99" t="n">
        <v>0</v>
      </c>
      <c r="N99" t="n">
        <v>0</v>
      </c>
      <c r="O99" t="n">
        <v>3</v>
      </c>
      <c r="P99" t="n">
        <v>0</v>
      </c>
      <c r="Q99" t="n">
        <v>4</v>
      </c>
      <c r="R99" s="2" t="inlineStr">
        <is>
          <t>Fjällig taggsvamp s.str.
Kattfotslav
Odörspindling
Havstulpanlav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2485-2025</t>
        </is>
      </c>
      <c r="B100" s="1" t="n">
        <v>45673</v>
      </c>
      <c r="C100" s="1" t="n">
        <v>46198</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44304-2021</t>
        </is>
      </c>
      <c r="B101" s="1" t="n">
        <v>44434</v>
      </c>
      <c r="C101" s="1" t="n">
        <v>46198</v>
      </c>
      <c r="D101" t="inlineStr">
        <is>
          <t>GOTLANDS LÄN</t>
        </is>
      </c>
      <c r="E101" t="inlineStr">
        <is>
          <t>GOTLAND</t>
        </is>
      </c>
      <c r="G101" t="n">
        <v>5.8</v>
      </c>
      <c r="H101" t="n">
        <v>2</v>
      </c>
      <c r="I101" t="n">
        <v>0</v>
      </c>
      <c r="J101" t="n">
        <v>2</v>
      </c>
      <c r="K101" t="n">
        <v>0</v>
      </c>
      <c r="L101" t="n">
        <v>0</v>
      </c>
      <c r="M101" t="n">
        <v>0</v>
      </c>
      <c r="N101" t="n">
        <v>0</v>
      </c>
      <c r="O101" t="n">
        <v>2</v>
      </c>
      <c r="P101" t="n">
        <v>0</v>
      </c>
      <c r="Q101" t="n">
        <v>4</v>
      </c>
      <c r="R101" s="2" t="inlineStr">
        <is>
          <t>Majviva
Svinrot
Blåsippa
Nattviol</t>
        </is>
      </c>
      <c r="S101">
        <f>HYPERLINK("https://klasma.github.io/Logging_0980/artfynd/A 44304-2021 artfynd.xlsx", "A 44304-2021")</f>
        <v/>
      </c>
      <c r="T101">
        <f>HYPERLINK("https://klasma.github.io/Logging_0980/kartor/A 44304-2021 karta.png", "A 44304-2021")</f>
        <v/>
      </c>
      <c r="V101">
        <f>HYPERLINK("https://klasma.github.io/Logging_0980/klagomål/A 44304-2021 FSC-klagomål.docx", "A 44304-2021")</f>
        <v/>
      </c>
      <c r="W101">
        <f>HYPERLINK("https://klasma.github.io/Logging_0980/klagomålsmail/A 44304-2021 FSC-klagomål mail.docx", "A 44304-2021")</f>
        <v/>
      </c>
      <c r="X101">
        <f>HYPERLINK("https://klasma.github.io/Logging_0980/tillsyn/A 44304-2021 tillsynsbegäran.docx", "A 44304-2021")</f>
        <v/>
      </c>
      <c r="Y101">
        <f>HYPERLINK("https://klasma.github.io/Logging_0980/tillsynsmail/A 44304-2021 tillsynsbegäran mail.docx", "A 44304-2021")</f>
        <v/>
      </c>
    </row>
    <row r="102" ht="15" customHeight="1">
      <c r="A102" t="inlineStr">
        <is>
          <t>A 54523-2023</t>
        </is>
      </c>
      <c r="B102" s="1" t="n">
        <v>45233</v>
      </c>
      <c r="C102" s="1" t="n">
        <v>46198</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1273-2023</t>
        </is>
      </c>
      <c r="B103" s="1" t="n">
        <v>44936</v>
      </c>
      <c r="C103" s="1" t="n">
        <v>46198</v>
      </c>
      <c r="D103" t="inlineStr">
        <is>
          <t>GOTLANDS LÄN</t>
        </is>
      </c>
      <c r="E103" t="inlineStr">
        <is>
          <t>GOTLAND</t>
        </is>
      </c>
      <c r="G103" t="n">
        <v>4.5</v>
      </c>
      <c r="H103" t="n">
        <v>2</v>
      </c>
      <c r="I103" t="n">
        <v>1</v>
      </c>
      <c r="J103" t="n">
        <v>2</v>
      </c>
      <c r="K103" t="n">
        <v>1</v>
      </c>
      <c r="L103" t="n">
        <v>0</v>
      </c>
      <c r="M103" t="n">
        <v>0</v>
      </c>
      <c r="N103" t="n">
        <v>0</v>
      </c>
      <c r="O103" t="n">
        <v>3</v>
      </c>
      <c r="P103" t="n">
        <v>1</v>
      </c>
      <c r="Q103" t="n">
        <v>4</v>
      </c>
      <c r="R103" s="2" t="inlineStr">
        <is>
          <t>Garderönn
Svinrot
Vårärt
Skogsknipprot</t>
        </is>
      </c>
      <c r="S103">
        <f>HYPERLINK("https://klasma.github.io/Logging_0980/artfynd/A 1273-2023 artfynd.xlsx", "A 1273-2023")</f>
        <v/>
      </c>
      <c r="T103">
        <f>HYPERLINK("https://klasma.github.io/Logging_0980/kartor/A 1273-2023 karta.png", "A 1273-2023")</f>
        <v/>
      </c>
      <c r="V103">
        <f>HYPERLINK("https://klasma.github.io/Logging_0980/klagomål/A 1273-2023 FSC-klagomål.docx", "A 1273-2023")</f>
        <v/>
      </c>
      <c r="W103">
        <f>HYPERLINK("https://klasma.github.io/Logging_0980/klagomålsmail/A 1273-2023 FSC-klagomål mail.docx", "A 1273-2023")</f>
        <v/>
      </c>
      <c r="X103">
        <f>HYPERLINK("https://klasma.github.io/Logging_0980/tillsyn/A 1273-2023 tillsynsbegäran.docx", "A 1273-2023")</f>
        <v/>
      </c>
      <c r="Y103">
        <f>HYPERLINK("https://klasma.github.io/Logging_0980/tillsynsmail/A 1273-2023 tillsynsbegäran mail.docx", "A 1273-2023")</f>
        <v/>
      </c>
    </row>
    <row r="104" ht="15" customHeight="1">
      <c r="A104" t="inlineStr">
        <is>
          <t>A 16997-2026</t>
        </is>
      </c>
      <c r="B104" s="1" t="n">
        <v>46114</v>
      </c>
      <c r="C104" s="1" t="n">
        <v>46198</v>
      </c>
      <c r="D104" t="inlineStr">
        <is>
          <t>GOTLANDS LÄN</t>
        </is>
      </c>
      <c r="E104" t="inlineStr">
        <is>
          <t>GOTLAND</t>
        </is>
      </c>
      <c r="G104" t="n">
        <v>0.7</v>
      </c>
      <c r="H104" t="n">
        <v>0</v>
      </c>
      <c r="I104" t="n">
        <v>3</v>
      </c>
      <c r="J104" t="n">
        <v>0</v>
      </c>
      <c r="K104" t="n">
        <v>0</v>
      </c>
      <c r="L104" t="n">
        <v>1</v>
      </c>
      <c r="M104" t="n">
        <v>0</v>
      </c>
      <c r="N104" t="n">
        <v>0</v>
      </c>
      <c r="O104" t="n">
        <v>1</v>
      </c>
      <c r="P104" t="n">
        <v>1</v>
      </c>
      <c r="Q104" t="n">
        <v>4</v>
      </c>
      <c r="R104" s="2" t="inlineStr">
        <is>
          <t>Ask
Hasselticka
Läderskål
Stubbspretmossa</t>
        </is>
      </c>
      <c r="S104">
        <f>HYPERLINK("https://klasma.github.io/Logging_0980/artfynd/A 16997-2026 artfynd.xlsx", "A 16997-2026")</f>
        <v/>
      </c>
      <c r="T104">
        <f>HYPERLINK("https://klasma.github.io/Logging_0980/kartor/A 16997-2026 karta.png", "A 16997-2026")</f>
        <v/>
      </c>
      <c r="V104">
        <f>HYPERLINK("https://klasma.github.io/Logging_0980/klagomål/A 16997-2026 FSC-klagomål.docx", "A 16997-2026")</f>
        <v/>
      </c>
      <c r="W104">
        <f>HYPERLINK("https://klasma.github.io/Logging_0980/klagomålsmail/A 16997-2026 FSC-klagomål mail.docx", "A 16997-2026")</f>
        <v/>
      </c>
      <c r="X104">
        <f>HYPERLINK("https://klasma.github.io/Logging_0980/tillsyn/A 16997-2026 tillsynsbegäran.docx", "A 16997-2026")</f>
        <v/>
      </c>
      <c r="Y104">
        <f>HYPERLINK("https://klasma.github.io/Logging_0980/tillsynsmail/A 16997-2026 tillsynsbegäran mail.docx", "A 16997-2026")</f>
        <v/>
      </c>
    </row>
    <row r="105" ht="15" customHeight="1">
      <c r="A105" t="inlineStr">
        <is>
          <t>A 61100-2022</t>
        </is>
      </c>
      <c r="B105" s="1" t="n">
        <v>44915</v>
      </c>
      <c r="C105" s="1" t="n">
        <v>46198</v>
      </c>
      <c r="D105" t="inlineStr">
        <is>
          <t>GOTLANDS LÄN</t>
        </is>
      </c>
      <c r="E105" t="inlineStr">
        <is>
          <t>GOTLAND</t>
        </is>
      </c>
      <c r="G105" t="n">
        <v>1.4</v>
      </c>
      <c r="H105" t="n">
        <v>3</v>
      </c>
      <c r="I105" t="n">
        <v>0</v>
      </c>
      <c r="J105" t="n">
        <v>2</v>
      </c>
      <c r="K105" t="n">
        <v>1</v>
      </c>
      <c r="L105" t="n">
        <v>0</v>
      </c>
      <c r="M105" t="n">
        <v>0</v>
      </c>
      <c r="N105" t="n">
        <v>0</v>
      </c>
      <c r="O105" t="n">
        <v>3</v>
      </c>
      <c r="P105" t="n">
        <v>1</v>
      </c>
      <c r="Q105" t="n">
        <v>4</v>
      </c>
      <c r="R105" s="2" t="inlineStr">
        <is>
          <t>Garderönn
Dårgräsfjäril
Solvända
Gullviva</t>
        </is>
      </c>
      <c r="S105">
        <f>HYPERLINK("https://klasma.github.io/Logging_0980/artfynd/A 61100-2022 artfynd.xlsx", "A 61100-2022")</f>
        <v/>
      </c>
      <c r="T105">
        <f>HYPERLINK("https://klasma.github.io/Logging_0980/kartor/A 61100-2022 karta.png", "A 61100-2022")</f>
        <v/>
      </c>
      <c r="V105">
        <f>HYPERLINK("https://klasma.github.io/Logging_0980/klagomål/A 61100-2022 FSC-klagomål.docx", "A 61100-2022")</f>
        <v/>
      </c>
      <c r="W105">
        <f>HYPERLINK("https://klasma.github.io/Logging_0980/klagomålsmail/A 61100-2022 FSC-klagomål mail.docx", "A 61100-2022")</f>
        <v/>
      </c>
      <c r="X105">
        <f>HYPERLINK("https://klasma.github.io/Logging_0980/tillsyn/A 61100-2022 tillsynsbegäran.docx", "A 61100-2022")</f>
        <v/>
      </c>
      <c r="Y105">
        <f>HYPERLINK("https://klasma.github.io/Logging_0980/tillsynsmail/A 61100-2022 tillsynsbegäran mail.docx", "A 61100-2022")</f>
        <v/>
      </c>
    </row>
    <row r="106" ht="15" customHeight="1">
      <c r="A106" t="inlineStr">
        <is>
          <t>A 37591-2023</t>
        </is>
      </c>
      <c r="B106" s="1" t="n">
        <v>45159</v>
      </c>
      <c r="C106" s="1" t="n">
        <v>46198</v>
      </c>
      <c r="D106" t="inlineStr">
        <is>
          <t>GOTLANDS LÄN</t>
        </is>
      </c>
      <c r="E106" t="inlineStr">
        <is>
          <t>GOTLAND</t>
        </is>
      </c>
      <c r="G106" t="n">
        <v>8.300000000000001</v>
      </c>
      <c r="H106" t="n">
        <v>1</v>
      </c>
      <c r="I106" t="n">
        <v>0</v>
      </c>
      <c r="J106" t="n">
        <v>3</v>
      </c>
      <c r="K106" t="n">
        <v>0</v>
      </c>
      <c r="L106" t="n">
        <v>0</v>
      </c>
      <c r="M106" t="n">
        <v>0</v>
      </c>
      <c r="N106" t="n">
        <v>0</v>
      </c>
      <c r="O106" t="n">
        <v>3</v>
      </c>
      <c r="P106" t="n">
        <v>0</v>
      </c>
      <c r="Q106" t="n">
        <v>4</v>
      </c>
      <c r="R106" s="2" t="inlineStr">
        <is>
          <t>Bergjohannesört
Solvända
Ängsstarr
Vanlig snok</t>
        </is>
      </c>
      <c r="S106">
        <f>HYPERLINK("https://klasma.github.io/Logging_0980/artfynd/A 37591-2023 artfynd.xlsx", "A 37591-2023")</f>
        <v/>
      </c>
      <c r="T106">
        <f>HYPERLINK("https://klasma.github.io/Logging_0980/kartor/A 37591-2023 karta.png", "A 37591-2023")</f>
        <v/>
      </c>
      <c r="V106">
        <f>HYPERLINK("https://klasma.github.io/Logging_0980/klagomål/A 37591-2023 FSC-klagomål.docx", "A 37591-2023")</f>
        <v/>
      </c>
      <c r="W106">
        <f>HYPERLINK("https://klasma.github.io/Logging_0980/klagomålsmail/A 37591-2023 FSC-klagomål mail.docx", "A 37591-2023")</f>
        <v/>
      </c>
      <c r="X106">
        <f>HYPERLINK("https://klasma.github.io/Logging_0980/tillsyn/A 37591-2023 tillsynsbegäran.docx", "A 37591-2023")</f>
        <v/>
      </c>
      <c r="Y106">
        <f>HYPERLINK("https://klasma.github.io/Logging_0980/tillsynsmail/A 37591-2023 tillsynsbegäran mail.docx", "A 37591-2023")</f>
        <v/>
      </c>
    </row>
    <row r="107" ht="15" customHeight="1">
      <c r="A107" t="inlineStr">
        <is>
          <t>A 6839-2026</t>
        </is>
      </c>
      <c r="B107" s="1" t="n">
        <v>46057</v>
      </c>
      <c r="C107" s="1" t="n">
        <v>46198</v>
      </c>
      <c r="D107" t="inlineStr">
        <is>
          <t>GOTLANDS LÄN</t>
        </is>
      </c>
      <c r="E107" t="inlineStr">
        <is>
          <t>GOTLAND</t>
        </is>
      </c>
      <c r="G107" t="n">
        <v>4.9</v>
      </c>
      <c r="H107" t="n">
        <v>0</v>
      </c>
      <c r="I107" t="n">
        <v>1</v>
      </c>
      <c r="J107" t="n">
        <v>0</v>
      </c>
      <c r="K107" t="n">
        <v>3</v>
      </c>
      <c r="L107" t="n">
        <v>0</v>
      </c>
      <c r="M107" t="n">
        <v>0</v>
      </c>
      <c r="N107" t="n">
        <v>0</v>
      </c>
      <c r="O107" t="n">
        <v>3</v>
      </c>
      <c r="P107" t="n">
        <v>3</v>
      </c>
      <c r="Q107" t="n">
        <v>4</v>
      </c>
      <c r="R107" s="2" t="inlineStr">
        <is>
          <t>Mörk kraterlav
Skogskorn
Ädellav
Besk kastanjemusseron</t>
        </is>
      </c>
      <c r="S107">
        <f>HYPERLINK("https://klasma.github.io/Logging_0980/artfynd/A 6839-2026 artfynd.xlsx", "A 6839-2026")</f>
        <v/>
      </c>
      <c r="T107">
        <f>HYPERLINK("https://klasma.github.io/Logging_0980/kartor/A 6839-2026 karta.png", "A 6839-2026")</f>
        <v/>
      </c>
      <c r="V107">
        <f>HYPERLINK("https://klasma.github.io/Logging_0980/klagomål/A 6839-2026 FSC-klagomål.docx", "A 6839-2026")</f>
        <v/>
      </c>
      <c r="W107">
        <f>HYPERLINK("https://klasma.github.io/Logging_0980/klagomålsmail/A 6839-2026 FSC-klagomål mail.docx", "A 6839-2026")</f>
        <v/>
      </c>
      <c r="X107">
        <f>HYPERLINK("https://klasma.github.io/Logging_0980/tillsyn/A 6839-2026 tillsynsbegäran.docx", "A 6839-2026")</f>
        <v/>
      </c>
      <c r="Y107">
        <f>HYPERLINK("https://klasma.github.io/Logging_0980/tillsynsmail/A 6839-2026 tillsynsbegäran mail.docx", "A 6839-2026")</f>
        <v/>
      </c>
    </row>
    <row r="108" ht="15" customHeight="1">
      <c r="A108" t="inlineStr">
        <is>
          <t>A 7625-2026</t>
        </is>
      </c>
      <c r="B108" s="1" t="n">
        <v>46062</v>
      </c>
      <c r="C108" s="1" t="n">
        <v>46198</v>
      </c>
      <c r="D108" t="inlineStr">
        <is>
          <t>GOTLANDS LÄN</t>
        </is>
      </c>
      <c r="E108" t="inlineStr">
        <is>
          <t>GOTLAND</t>
        </is>
      </c>
      <c r="G108" t="n">
        <v>2.1</v>
      </c>
      <c r="H108" t="n">
        <v>1</v>
      </c>
      <c r="I108" t="n">
        <v>0</v>
      </c>
      <c r="J108" t="n">
        <v>4</v>
      </c>
      <c r="K108" t="n">
        <v>0</v>
      </c>
      <c r="L108" t="n">
        <v>0</v>
      </c>
      <c r="M108" t="n">
        <v>0</v>
      </c>
      <c r="N108" t="n">
        <v>0</v>
      </c>
      <c r="O108" t="n">
        <v>4</v>
      </c>
      <c r="P108" t="n">
        <v>0</v>
      </c>
      <c r="Q108" t="n">
        <v>4</v>
      </c>
      <c r="R108" s="2" t="inlineStr">
        <is>
          <t>Backstarr
Backtimjan
Dårgräsfjäril
Solvända</t>
        </is>
      </c>
      <c r="S108">
        <f>HYPERLINK("https://klasma.github.io/Logging_0980/artfynd/A 7625-2026 artfynd.xlsx", "A 7625-2026")</f>
        <v/>
      </c>
      <c r="T108">
        <f>HYPERLINK("https://klasma.github.io/Logging_0980/kartor/A 7625-2026 karta.png", "A 7625-2026")</f>
        <v/>
      </c>
      <c r="V108">
        <f>HYPERLINK("https://klasma.github.io/Logging_0980/klagomål/A 7625-2026 FSC-klagomål.docx", "A 7625-2026")</f>
        <v/>
      </c>
      <c r="W108">
        <f>HYPERLINK("https://klasma.github.io/Logging_0980/klagomålsmail/A 7625-2026 FSC-klagomål mail.docx", "A 7625-2026")</f>
        <v/>
      </c>
      <c r="X108">
        <f>HYPERLINK("https://klasma.github.io/Logging_0980/tillsyn/A 7625-2026 tillsynsbegäran.docx", "A 7625-2026")</f>
        <v/>
      </c>
      <c r="Y108">
        <f>HYPERLINK("https://klasma.github.io/Logging_0980/tillsynsmail/A 7625-2026 tillsynsbegäran mail.docx", "A 7625-2026")</f>
        <v/>
      </c>
    </row>
    <row r="109" ht="15" customHeight="1">
      <c r="A109" t="inlineStr">
        <is>
          <t>A 32666-2021</t>
        </is>
      </c>
      <c r="B109" s="1" t="n">
        <v>44375</v>
      </c>
      <c r="C109" s="1" t="n">
        <v>46198</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46198</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43013-2022</t>
        </is>
      </c>
      <c r="B111" s="1" t="n">
        <v>44833</v>
      </c>
      <c r="C111" s="1" t="n">
        <v>46198</v>
      </c>
      <c r="D111" t="inlineStr">
        <is>
          <t>GOTLANDS LÄN</t>
        </is>
      </c>
      <c r="E111" t="inlineStr">
        <is>
          <t>GOTLAND</t>
        </is>
      </c>
      <c r="G111" t="n">
        <v>9.300000000000001</v>
      </c>
      <c r="H111" t="n">
        <v>0</v>
      </c>
      <c r="I111" t="n">
        <v>1</v>
      </c>
      <c r="J111" t="n">
        <v>1</v>
      </c>
      <c r="K111" t="n">
        <v>1</v>
      </c>
      <c r="L111" t="n">
        <v>0</v>
      </c>
      <c r="M111" t="n">
        <v>0</v>
      </c>
      <c r="N111" t="n">
        <v>0</v>
      </c>
      <c r="O111" t="n">
        <v>2</v>
      </c>
      <c r="P111" t="n">
        <v>1</v>
      </c>
      <c r="Q111" t="n">
        <v>3</v>
      </c>
      <c r="R111" s="2" t="inlineStr">
        <is>
          <t>Violettfläckig spindling
Blå slemspindling
Anisspindling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13499-2022</t>
        </is>
      </c>
      <c r="B112" s="1" t="n">
        <v>44647</v>
      </c>
      <c r="C112" s="1" t="n">
        <v>46198</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v>
      </c>
      <c r="C113" s="1" t="n">
        <v>46198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34312-2024</t>
        </is>
      </c>
      <c r="B114" s="1" t="n">
        <v>45524</v>
      </c>
      <c r="C114" s="1" t="n">
        <v>46198</v>
      </c>
      <c r="D114" t="inlineStr">
        <is>
          <t>GOTLANDS LÄN</t>
        </is>
      </c>
      <c r="E114" t="inlineStr">
        <is>
          <t>GOTLAND</t>
        </is>
      </c>
      <c r="G114" t="n">
        <v>2</v>
      </c>
      <c r="H114" t="n">
        <v>1</v>
      </c>
      <c r="I114" t="n">
        <v>0</v>
      </c>
      <c r="J114" t="n">
        <v>2</v>
      </c>
      <c r="K114" t="n">
        <v>0</v>
      </c>
      <c r="L114" t="n">
        <v>0</v>
      </c>
      <c r="M114" t="n">
        <v>0</v>
      </c>
      <c r="N114" t="n">
        <v>0</v>
      </c>
      <c r="O114" t="n">
        <v>2</v>
      </c>
      <c r="P114" t="n">
        <v>0</v>
      </c>
      <c r="Q114" t="n">
        <v>3</v>
      </c>
      <c r="R114" s="2" t="inlineStr">
        <is>
          <t>Svinrot
Ängsstarr
Sankt pers nycklar</t>
        </is>
      </c>
      <c r="S114">
        <f>HYPERLINK("https://klasma.github.io/Logging_0980/artfynd/A 34312-2024 artfynd.xlsx", "A 34312-2024")</f>
        <v/>
      </c>
      <c r="T114">
        <f>HYPERLINK("https://klasma.github.io/Logging_0980/kartor/A 34312-2024 karta.png", "A 34312-2024")</f>
        <v/>
      </c>
      <c r="V114">
        <f>HYPERLINK("https://klasma.github.io/Logging_0980/klagomål/A 34312-2024 FSC-klagomål.docx", "A 34312-2024")</f>
        <v/>
      </c>
      <c r="W114">
        <f>HYPERLINK("https://klasma.github.io/Logging_0980/klagomålsmail/A 34312-2024 FSC-klagomål mail.docx", "A 34312-2024")</f>
        <v/>
      </c>
      <c r="X114">
        <f>HYPERLINK("https://klasma.github.io/Logging_0980/tillsyn/A 34312-2024 tillsynsbegäran.docx", "A 34312-2024")</f>
        <v/>
      </c>
      <c r="Y114">
        <f>HYPERLINK("https://klasma.github.io/Logging_0980/tillsynsmail/A 34312-2024 tillsynsbegäran mail.docx", "A 34312-2024")</f>
        <v/>
      </c>
    </row>
    <row r="115" ht="15" customHeight="1">
      <c r="A115" t="inlineStr">
        <is>
          <t>A 65927-2021</t>
        </is>
      </c>
      <c r="B115" s="1" t="n">
        <v>44516</v>
      </c>
      <c r="C115" s="1" t="n">
        <v>46198</v>
      </c>
      <c r="D115" t="inlineStr">
        <is>
          <t>GOTLANDS LÄN</t>
        </is>
      </c>
      <c r="E115" t="inlineStr">
        <is>
          <t>GOTLAND</t>
        </is>
      </c>
      <c r="G115" t="n">
        <v>3.1</v>
      </c>
      <c r="H115" t="n">
        <v>2</v>
      </c>
      <c r="I115" t="n">
        <v>0</v>
      </c>
      <c r="J115" t="n">
        <v>2</v>
      </c>
      <c r="K115" t="n">
        <v>0</v>
      </c>
      <c r="L115" t="n">
        <v>0</v>
      </c>
      <c r="M115" t="n">
        <v>0</v>
      </c>
      <c r="N115" t="n">
        <v>0</v>
      </c>
      <c r="O115" t="n">
        <v>2</v>
      </c>
      <c r="P115" t="n">
        <v>0</v>
      </c>
      <c r="Q115" t="n">
        <v>3</v>
      </c>
      <c r="R115" s="2" t="inlineStr">
        <is>
          <t>Grenigt kungsljus
Åkerkulla
Gullviva</t>
        </is>
      </c>
      <c r="S115">
        <f>HYPERLINK("https://klasma.github.io/Logging_0980/artfynd/A 65927-2021 artfynd.xlsx", "A 65927-2021")</f>
        <v/>
      </c>
      <c r="T115">
        <f>HYPERLINK("https://klasma.github.io/Logging_0980/kartor/A 65927-2021 karta.png", "A 65927-2021")</f>
        <v/>
      </c>
      <c r="V115">
        <f>HYPERLINK("https://klasma.github.io/Logging_0980/klagomål/A 65927-2021 FSC-klagomål.docx", "A 65927-2021")</f>
        <v/>
      </c>
      <c r="W115">
        <f>HYPERLINK("https://klasma.github.io/Logging_0980/klagomålsmail/A 65927-2021 FSC-klagomål mail.docx", "A 65927-2021")</f>
        <v/>
      </c>
      <c r="X115">
        <f>HYPERLINK("https://klasma.github.io/Logging_0980/tillsyn/A 65927-2021 tillsynsbegäran.docx", "A 65927-2021")</f>
        <v/>
      </c>
      <c r="Y115">
        <f>HYPERLINK("https://klasma.github.io/Logging_0980/tillsynsmail/A 65927-2021 tillsynsbegäran mail.docx", "A 65927-2021")</f>
        <v/>
      </c>
    </row>
    <row r="116" ht="15" customHeight="1">
      <c r="A116" t="inlineStr">
        <is>
          <t>A 61561-2023</t>
        </is>
      </c>
      <c r="B116" s="1" t="n">
        <v>45265</v>
      </c>
      <c r="C116" s="1" t="n">
        <v>46198</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46198</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17975-2024</t>
        </is>
      </c>
      <c r="B118" s="1" t="n">
        <v>45419</v>
      </c>
      <c r="C118" s="1" t="n">
        <v>46198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2476-2025</t>
        </is>
      </c>
      <c r="B119" s="1" t="n">
        <v>45673</v>
      </c>
      <c r="C119" s="1" t="n">
        <v>46198</v>
      </c>
      <c r="D119" t="inlineStr">
        <is>
          <t>GOTLANDS LÄN</t>
        </is>
      </c>
      <c r="E119" t="inlineStr">
        <is>
          <t>GOTLAND</t>
        </is>
      </c>
      <c r="G119" t="n">
        <v>3.1</v>
      </c>
      <c r="H119" t="n">
        <v>0</v>
      </c>
      <c r="I119" t="n">
        <v>1</v>
      </c>
      <c r="J119" t="n">
        <v>2</v>
      </c>
      <c r="K119" t="n">
        <v>0</v>
      </c>
      <c r="L119" t="n">
        <v>0</v>
      </c>
      <c r="M119" t="n">
        <v>0</v>
      </c>
      <c r="N119" t="n">
        <v>0</v>
      </c>
      <c r="O119" t="n">
        <v>2</v>
      </c>
      <c r="P119" t="n">
        <v>0</v>
      </c>
      <c r="Q119" t="n">
        <v>3</v>
      </c>
      <c r="R119" s="2" t="inlineStr">
        <is>
          <t>Barrviolspindling
Kryddspindling
Strimspindling</t>
        </is>
      </c>
      <c r="S119">
        <f>HYPERLINK("https://klasma.github.io/Logging_0980/artfynd/A 2476-2025 artfynd.xlsx", "A 2476-2025")</f>
        <v/>
      </c>
      <c r="T119">
        <f>HYPERLINK("https://klasma.github.io/Logging_0980/kartor/A 2476-2025 karta.png", "A 2476-2025")</f>
        <v/>
      </c>
      <c r="V119">
        <f>HYPERLINK("https://klasma.github.io/Logging_0980/klagomål/A 2476-2025 FSC-klagomål.docx", "A 2476-2025")</f>
        <v/>
      </c>
      <c r="W119">
        <f>HYPERLINK("https://klasma.github.io/Logging_0980/klagomålsmail/A 2476-2025 FSC-klagomål mail.docx", "A 2476-2025")</f>
        <v/>
      </c>
      <c r="X119">
        <f>HYPERLINK("https://klasma.github.io/Logging_0980/tillsyn/A 2476-2025 tillsynsbegäran.docx", "A 2476-2025")</f>
        <v/>
      </c>
      <c r="Y119">
        <f>HYPERLINK("https://klasma.github.io/Logging_0980/tillsynsmail/A 2476-2025 tillsynsbegäran mail.docx", "A 2476-2025")</f>
        <v/>
      </c>
    </row>
    <row r="120" ht="15" customHeight="1">
      <c r="A120" t="inlineStr">
        <is>
          <t>A 26992-2026</t>
        </is>
      </c>
      <c r="B120" s="1" t="n">
        <v>46185</v>
      </c>
      <c r="C120" s="1" t="n">
        <v>46198</v>
      </c>
      <c r="D120" t="inlineStr">
        <is>
          <t>GOTLANDS LÄN</t>
        </is>
      </c>
      <c r="E120" t="inlineStr">
        <is>
          <t>GOTLAND</t>
        </is>
      </c>
      <c r="G120" t="n">
        <v>0.8</v>
      </c>
      <c r="H120" t="n">
        <v>2</v>
      </c>
      <c r="I120" t="n">
        <v>1</v>
      </c>
      <c r="J120" t="n">
        <v>1</v>
      </c>
      <c r="K120" t="n">
        <v>0</v>
      </c>
      <c r="L120" t="n">
        <v>0</v>
      </c>
      <c r="M120" t="n">
        <v>0</v>
      </c>
      <c r="N120" t="n">
        <v>0</v>
      </c>
      <c r="O120" t="n">
        <v>1</v>
      </c>
      <c r="P120" t="n">
        <v>0</v>
      </c>
      <c r="Q120" t="n">
        <v>3</v>
      </c>
      <c r="R120" s="2" t="inlineStr">
        <is>
          <t>Svinrot
Nästrot
Blåsippa</t>
        </is>
      </c>
      <c r="S120">
        <f>HYPERLINK("https://klasma.github.io/Logging_0980/artfynd/A 26992-2026 artfynd.xlsx", "A 26992-2026")</f>
        <v/>
      </c>
      <c r="T120">
        <f>HYPERLINK("https://klasma.github.io/Logging_0980/kartor/A 26992-2026 karta.png", "A 26992-2026")</f>
        <v/>
      </c>
      <c r="V120">
        <f>HYPERLINK("https://klasma.github.io/Logging_0980/klagomål/A 26992-2026 FSC-klagomål.docx", "A 26992-2026")</f>
        <v/>
      </c>
      <c r="W120">
        <f>HYPERLINK("https://klasma.github.io/Logging_0980/klagomålsmail/A 26992-2026 FSC-klagomål mail.docx", "A 26992-2026")</f>
        <v/>
      </c>
      <c r="X120">
        <f>HYPERLINK("https://klasma.github.io/Logging_0980/tillsyn/A 26992-2026 tillsynsbegäran.docx", "A 26992-2026")</f>
        <v/>
      </c>
      <c r="Y120">
        <f>HYPERLINK("https://klasma.github.io/Logging_0980/tillsynsmail/A 26992-2026 tillsynsbegäran mail.docx", "A 26992-2026")</f>
        <v/>
      </c>
    </row>
    <row r="121" ht="15" customHeight="1">
      <c r="A121" t="inlineStr">
        <is>
          <t>A 17982-2023</t>
        </is>
      </c>
      <c r="B121" s="1" t="n">
        <v>45040</v>
      </c>
      <c r="C121" s="1" t="n">
        <v>46198</v>
      </c>
      <c r="D121" t="inlineStr">
        <is>
          <t>GOTLANDS LÄN</t>
        </is>
      </c>
      <c r="E121" t="inlineStr">
        <is>
          <t>GOTLAND</t>
        </is>
      </c>
      <c r="G121" t="n">
        <v>2.2</v>
      </c>
      <c r="H121" t="n">
        <v>0</v>
      </c>
      <c r="I121" t="n">
        <v>0</v>
      </c>
      <c r="J121" t="n">
        <v>2</v>
      </c>
      <c r="K121" t="n">
        <v>0</v>
      </c>
      <c r="L121" t="n">
        <v>1</v>
      </c>
      <c r="M121" t="n">
        <v>0</v>
      </c>
      <c r="N121" t="n">
        <v>0</v>
      </c>
      <c r="O121" t="n">
        <v>3</v>
      </c>
      <c r="P121" t="n">
        <v>1</v>
      </c>
      <c r="Q121" t="n">
        <v>3</v>
      </c>
      <c r="R121" s="2" t="inlineStr">
        <is>
          <t>Lundalm
Krusfrö
Ängsskära</t>
        </is>
      </c>
      <c r="S121">
        <f>HYPERLINK("https://klasma.github.io/Logging_0980/artfynd/A 17982-2023 artfynd.xlsx", "A 17982-2023")</f>
        <v/>
      </c>
      <c r="T121">
        <f>HYPERLINK("https://klasma.github.io/Logging_0980/kartor/A 17982-2023 karta.png", "A 17982-2023")</f>
        <v/>
      </c>
      <c r="V121">
        <f>HYPERLINK("https://klasma.github.io/Logging_0980/klagomål/A 17982-2023 FSC-klagomål.docx", "A 17982-2023")</f>
        <v/>
      </c>
      <c r="W121">
        <f>HYPERLINK("https://klasma.github.io/Logging_0980/klagomålsmail/A 17982-2023 FSC-klagomål mail.docx", "A 17982-2023")</f>
        <v/>
      </c>
      <c r="X121">
        <f>HYPERLINK("https://klasma.github.io/Logging_0980/tillsyn/A 17982-2023 tillsynsbegäran.docx", "A 17982-2023")</f>
        <v/>
      </c>
      <c r="Y121">
        <f>HYPERLINK("https://klasma.github.io/Logging_0980/tillsynsmail/A 17982-2023 tillsynsbegäran mail.docx", "A 17982-2023")</f>
        <v/>
      </c>
    </row>
    <row r="122" ht="15" customHeight="1">
      <c r="A122" t="inlineStr">
        <is>
          <t>A 53552-2021</t>
        </is>
      </c>
      <c r="B122" s="1" t="n">
        <v>44468</v>
      </c>
      <c r="C122" s="1" t="n">
        <v>46198</v>
      </c>
      <c r="D122" t="inlineStr">
        <is>
          <t>GOTLANDS LÄN</t>
        </is>
      </c>
      <c r="E122" t="inlineStr">
        <is>
          <t>GOTLAND</t>
        </is>
      </c>
      <c r="G122" t="n">
        <v>6.2</v>
      </c>
      <c r="H122" t="n">
        <v>2</v>
      </c>
      <c r="I122" t="n">
        <v>0</v>
      </c>
      <c r="J122" t="n">
        <v>0</v>
      </c>
      <c r="K122" t="n">
        <v>1</v>
      </c>
      <c r="L122" t="n">
        <v>0</v>
      </c>
      <c r="M122" t="n">
        <v>0</v>
      </c>
      <c r="N122" t="n">
        <v>0</v>
      </c>
      <c r="O122" t="n">
        <v>1</v>
      </c>
      <c r="P122" t="n">
        <v>1</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12315-2024</t>
        </is>
      </c>
      <c r="B123" s="1" t="n">
        <v>45378</v>
      </c>
      <c r="C123" s="1" t="n">
        <v>46198</v>
      </c>
      <c r="D123" t="inlineStr">
        <is>
          <t>GOTLANDS LÄN</t>
        </is>
      </c>
      <c r="E123" t="inlineStr">
        <is>
          <t>GOTLAND</t>
        </is>
      </c>
      <c r="G123" t="n">
        <v>6</v>
      </c>
      <c r="H123" t="n">
        <v>3</v>
      </c>
      <c r="I123" t="n">
        <v>1</v>
      </c>
      <c r="J123" t="n">
        <v>0</v>
      </c>
      <c r="K123" t="n">
        <v>0</v>
      </c>
      <c r="L123" t="n">
        <v>0</v>
      </c>
      <c r="M123" t="n">
        <v>0</v>
      </c>
      <c r="N123" t="n">
        <v>0</v>
      </c>
      <c r="O123" t="n">
        <v>0</v>
      </c>
      <c r="P123" t="n">
        <v>0</v>
      </c>
      <c r="Q123" t="n">
        <v>3</v>
      </c>
      <c r="R123" s="2" t="inlineStr">
        <is>
          <t>Tvåblad
Buskskvätta
Fläcknycklar</t>
        </is>
      </c>
      <c r="S123">
        <f>HYPERLINK("https://klasma.github.io/Logging_0980/artfynd/A 12315-2024 artfynd.xlsx", "A 12315-2024")</f>
        <v/>
      </c>
      <c r="T123">
        <f>HYPERLINK("https://klasma.github.io/Logging_0980/kartor/A 12315-2024 karta.png", "A 12315-2024")</f>
        <v/>
      </c>
      <c r="V123">
        <f>HYPERLINK("https://klasma.github.io/Logging_0980/klagomål/A 12315-2024 FSC-klagomål.docx", "A 12315-2024")</f>
        <v/>
      </c>
      <c r="W123">
        <f>HYPERLINK("https://klasma.github.io/Logging_0980/klagomålsmail/A 12315-2024 FSC-klagomål mail.docx", "A 12315-2024")</f>
        <v/>
      </c>
      <c r="X123">
        <f>HYPERLINK("https://klasma.github.io/Logging_0980/tillsyn/A 12315-2024 tillsynsbegäran.docx", "A 12315-2024")</f>
        <v/>
      </c>
      <c r="Y123">
        <f>HYPERLINK("https://klasma.github.io/Logging_0980/tillsynsmail/A 12315-2024 tillsynsbegäran mail.docx", "A 12315-2024")</f>
        <v/>
      </c>
    </row>
    <row r="124" ht="15" customHeight="1">
      <c r="A124" t="inlineStr">
        <is>
          <t>A 37222-2021</t>
        </is>
      </c>
      <c r="B124" s="1" t="n">
        <v>44396</v>
      </c>
      <c r="C124" s="1" t="n">
        <v>46198</v>
      </c>
      <c r="D124" t="inlineStr">
        <is>
          <t>GOTLANDS LÄN</t>
        </is>
      </c>
      <c r="E124" t="inlineStr">
        <is>
          <t>GOTLAND</t>
        </is>
      </c>
      <c r="G124" t="n">
        <v>3</v>
      </c>
      <c r="H124" t="n">
        <v>3</v>
      </c>
      <c r="I124" t="n">
        <v>1</v>
      </c>
      <c r="J124" t="n">
        <v>1</v>
      </c>
      <c r="K124" t="n">
        <v>0</v>
      </c>
      <c r="L124" t="n">
        <v>0</v>
      </c>
      <c r="M124" t="n">
        <v>0</v>
      </c>
      <c r="N124" t="n">
        <v>0</v>
      </c>
      <c r="O124" t="n">
        <v>1</v>
      </c>
      <c r="P124" t="n">
        <v>0</v>
      </c>
      <c r="Q124" t="n">
        <v>3</v>
      </c>
      <c r="R124" s="2" t="inlineStr">
        <is>
          <t>Mindre hackspett
Skogsknipprot
Bergfink</t>
        </is>
      </c>
      <c r="S124">
        <f>HYPERLINK("https://klasma.github.io/Logging_0980/artfynd/A 37222-2021 artfynd.xlsx", "A 37222-2021")</f>
        <v/>
      </c>
      <c r="T124">
        <f>HYPERLINK("https://klasma.github.io/Logging_0980/kartor/A 37222-2021 karta.png", "A 37222-2021")</f>
        <v/>
      </c>
      <c r="V124">
        <f>HYPERLINK("https://klasma.github.io/Logging_0980/klagomål/A 37222-2021 FSC-klagomål.docx", "A 37222-2021")</f>
        <v/>
      </c>
      <c r="W124">
        <f>HYPERLINK("https://klasma.github.io/Logging_0980/klagomålsmail/A 37222-2021 FSC-klagomål mail.docx", "A 37222-2021")</f>
        <v/>
      </c>
      <c r="X124">
        <f>HYPERLINK("https://klasma.github.io/Logging_0980/tillsyn/A 37222-2021 tillsynsbegäran.docx", "A 37222-2021")</f>
        <v/>
      </c>
      <c r="Y124">
        <f>HYPERLINK("https://klasma.github.io/Logging_0980/tillsynsmail/A 37222-2021 tillsynsbegäran mail.docx", "A 37222-2021")</f>
        <v/>
      </c>
      <c r="Z124">
        <f>HYPERLINK("https://klasma.github.io/Logging_0980/fåglar/A 37222-2021 prioriterade fågelarter.docx", "A 37222-2021")</f>
        <v/>
      </c>
    </row>
    <row r="125" ht="15" customHeight="1">
      <c r="A125" t="inlineStr">
        <is>
          <t>A 35574-2024</t>
        </is>
      </c>
      <c r="B125" s="1" t="n">
        <v>45531</v>
      </c>
      <c r="C125" s="1" t="n">
        <v>46198</v>
      </c>
      <c r="D125" t="inlineStr">
        <is>
          <t>GOTLANDS LÄN</t>
        </is>
      </c>
      <c r="E125" t="inlineStr">
        <is>
          <t>GOTLAND</t>
        </is>
      </c>
      <c r="G125" t="n">
        <v>5.7</v>
      </c>
      <c r="H125" t="n">
        <v>0</v>
      </c>
      <c r="I125" t="n">
        <v>2</v>
      </c>
      <c r="J125" t="n">
        <v>1</v>
      </c>
      <c r="K125" t="n">
        <v>0</v>
      </c>
      <c r="L125" t="n">
        <v>0</v>
      </c>
      <c r="M125" t="n">
        <v>0</v>
      </c>
      <c r="N125" t="n">
        <v>0</v>
      </c>
      <c r="O125" t="n">
        <v>1</v>
      </c>
      <c r="P125" t="n">
        <v>0</v>
      </c>
      <c r="Q125" t="n">
        <v>3</v>
      </c>
      <c r="R125" s="2" t="inlineStr">
        <is>
          <t>Svinrot
Kambräken
Murgröna</t>
        </is>
      </c>
      <c r="S125">
        <f>HYPERLINK("https://klasma.github.io/Logging_0980/artfynd/A 35574-2024 artfynd.xlsx", "A 35574-2024")</f>
        <v/>
      </c>
      <c r="T125">
        <f>HYPERLINK("https://klasma.github.io/Logging_0980/kartor/A 35574-2024 karta.png", "A 35574-2024")</f>
        <v/>
      </c>
      <c r="V125">
        <f>HYPERLINK("https://klasma.github.io/Logging_0980/klagomål/A 35574-2024 FSC-klagomål.docx", "A 35574-2024")</f>
        <v/>
      </c>
      <c r="W125">
        <f>HYPERLINK("https://klasma.github.io/Logging_0980/klagomålsmail/A 35574-2024 FSC-klagomål mail.docx", "A 35574-2024")</f>
        <v/>
      </c>
      <c r="X125">
        <f>HYPERLINK("https://klasma.github.io/Logging_0980/tillsyn/A 35574-2024 tillsynsbegäran.docx", "A 35574-2024")</f>
        <v/>
      </c>
      <c r="Y125">
        <f>HYPERLINK("https://klasma.github.io/Logging_0980/tillsynsmail/A 35574-2024 tillsynsbegäran mail.docx", "A 35574-2024")</f>
        <v/>
      </c>
    </row>
    <row r="126" ht="15" customHeight="1">
      <c r="A126" t="inlineStr">
        <is>
          <t>A 19322-2026</t>
        </is>
      </c>
      <c r="B126" s="1" t="n">
        <v>46129</v>
      </c>
      <c r="C126" s="1" t="n">
        <v>46198</v>
      </c>
      <c r="D126" t="inlineStr">
        <is>
          <t>GOTLANDS LÄN</t>
        </is>
      </c>
      <c r="E126" t="inlineStr">
        <is>
          <t>GOTLAND</t>
        </is>
      </c>
      <c r="G126" t="n">
        <v>1</v>
      </c>
      <c r="H126" t="n">
        <v>2</v>
      </c>
      <c r="I126" t="n">
        <v>1</v>
      </c>
      <c r="J126" t="n">
        <v>2</v>
      </c>
      <c r="K126" t="n">
        <v>0</v>
      </c>
      <c r="L126" t="n">
        <v>0</v>
      </c>
      <c r="M126" t="n">
        <v>0</v>
      </c>
      <c r="N126" t="n">
        <v>0</v>
      </c>
      <c r="O126" t="n">
        <v>2</v>
      </c>
      <c r="P126" t="n">
        <v>0</v>
      </c>
      <c r="Q126" t="n">
        <v>3</v>
      </c>
      <c r="R126" s="2" t="inlineStr">
        <is>
          <t>Gulsparv
Svinrot
Tvåblad</t>
        </is>
      </c>
      <c r="S126">
        <f>HYPERLINK("https://klasma.github.io/Logging_0980/artfynd/A 19322-2026 artfynd.xlsx", "A 19322-2026")</f>
        <v/>
      </c>
      <c r="T126">
        <f>HYPERLINK("https://klasma.github.io/Logging_0980/kartor/A 19322-2026 karta.png", "A 19322-2026")</f>
        <v/>
      </c>
      <c r="V126">
        <f>HYPERLINK("https://klasma.github.io/Logging_0980/klagomål/A 19322-2026 FSC-klagomål.docx", "A 19322-2026")</f>
        <v/>
      </c>
      <c r="W126">
        <f>HYPERLINK("https://klasma.github.io/Logging_0980/klagomålsmail/A 19322-2026 FSC-klagomål mail.docx", "A 19322-2026")</f>
        <v/>
      </c>
      <c r="X126">
        <f>HYPERLINK("https://klasma.github.io/Logging_0980/tillsyn/A 19322-2026 tillsynsbegäran.docx", "A 19322-2026")</f>
        <v/>
      </c>
      <c r="Y126">
        <f>HYPERLINK("https://klasma.github.io/Logging_0980/tillsynsmail/A 19322-2026 tillsynsbegäran mail.docx", "A 19322-2026")</f>
        <v/>
      </c>
      <c r="Z126">
        <f>HYPERLINK("https://klasma.github.io/Logging_0980/fåglar/A 19322-2026 prioriterade fågelarter.docx", "A 19322-2026")</f>
        <v/>
      </c>
    </row>
    <row r="127" ht="15" customHeight="1">
      <c r="A127" t="inlineStr">
        <is>
          <t>A 43219-2023</t>
        </is>
      </c>
      <c r="B127" s="1" t="n">
        <v>45183</v>
      </c>
      <c r="C127" s="1" t="n">
        <v>46198</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46198</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10440-2024</t>
        </is>
      </c>
      <c r="B129" s="1" t="n">
        <v>45366</v>
      </c>
      <c r="C129" s="1" t="n">
        <v>46198</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46198</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46198</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46198</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28261-2024</t>
        </is>
      </c>
      <c r="B133" s="1" t="n">
        <v>45477</v>
      </c>
      <c r="C133" s="1" t="n">
        <v>46198</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7070-2022</t>
        </is>
      </c>
      <c r="B134" s="1" t="n">
        <v>44603</v>
      </c>
      <c r="C134" s="1" t="n">
        <v>46198</v>
      </c>
      <c r="D134" t="inlineStr">
        <is>
          <t>GOTLANDS LÄN</t>
        </is>
      </c>
      <c r="E134" t="inlineStr">
        <is>
          <t>GOTLAND</t>
        </is>
      </c>
      <c r="G134" t="n">
        <v>2.6</v>
      </c>
      <c r="H134" t="n">
        <v>0</v>
      </c>
      <c r="I134" t="n">
        <v>1</v>
      </c>
      <c r="J134" t="n">
        <v>1</v>
      </c>
      <c r="K134" t="n">
        <v>0</v>
      </c>
      <c r="L134" t="n">
        <v>0</v>
      </c>
      <c r="M134" t="n">
        <v>0</v>
      </c>
      <c r="N134" t="n">
        <v>0</v>
      </c>
      <c r="O134" t="n">
        <v>1</v>
      </c>
      <c r="P134" t="n">
        <v>0</v>
      </c>
      <c r="Q134" t="n">
        <v>2</v>
      </c>
      <c r="R134" s="2" t="inlineStr">
        <is>
          <t>Kattfotslav
Blåmossa</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27589-2023</t>
        </is>
      </c>
      <c r="B135" s="1" t="n">
        <v>45097</v>
      </c>
      <c r="C135" s="1" t="n">
        <v>46198</v>
      </c>
      <c r="D135" t="inlineStr">
        <is>
          <t>GOTLANDS LÄN</t>
        </is>
      </c>
      <c r="E135" t="inlineStr">
        <is>
          <t>GOTLAND</t>
        </is>
      </c>
      <c r="G135" t="n">
        <v>5.4</v>
      </c>
      <c r="H135" t="n">
        <v>0</v>
      </c>
      <c r="I135" t="n">
        <v>1</v>
      </c>
      <c r="J135" t="n">
        <v>0</v>
      </c>
      <c r="K135" t="n">
        <v>0</v>
      </c>
      <c r="L135" t="n">
        <v>1</v>
      </c>
      <c r="M135" t="n">
        <v>0</v>
      </c>
      <c r="N135" t="n">
        <v>0</v>
      </c>
      <c r="O135" t="n">
        <v>1</v>
      </c>
      <c r="P135" t="n">
        <v>1</v>
      </c>
      <c r="Q135" t="n">
        <v>2</v>
      </c>
      <c r="R135" s="2" t="inlineStr">
        <is>
          <t>Skogsalm
Underviol</t>
        </is>
      </c>
      <c r="S135">
        <f>HYPERLINK("https://klasma.github.io/Logging_0980/artfynd/A 27589-2023 artfynd.xlsx", "A 27589-2023")</f>
        <v/>
      </c>
      <c r="T135">
        <f>HYPERLINK("https://klasma.github.io/Logging_0980/kartor/A 27589-2023 karta.png", "A 27589-2023")</f>
        <v/>
      </c>
      <c r="V135">
        <f>HYPERLINK("https://klasma.github.io/Logging_0980/klagomål/A 27589-2023 FSC-klagomål.docx", "A 27589-2023")</f>
        <v/>
      </c>
      <c r="W135">
        <f>HYPERLINK("https://klasma.github.io/Logging_0980/klagomålsmail/A 27589-2023 FSC-klagomål mail.docx", "A 27589-2023")</f>
        <v/>
      </c>
      <c r="X135">
        <f>HYPERLINK("https://klasma.github.io/Logging_0980/tillsyn/A 27589-2023 tillsynsbegäran.docx", "A 27589-2023")</f>
        <v/>
      </c>
      <c r="Y135">
        <f>HYPERLINK("https://klasma.github.io/Logging_0980/tillsynsmail/A 27589-2023 tillsynsbegäran mail.docx", "A 27589-2023")</f>
        <v/>
      </c>
    </row>
    <row r="136" ht="15" customHeight="1">
      <c r="A136" t="inlineStr">
        <is>
          <t>A 1010-2024</t>
        </is>
      </c>
      <c r="B136" s="1" t="n">
        <v>45301</v>
      </c>
      <c r="C136" s="1" t="n">
        <v>46198</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12914-2025</t>
        </is>
      </c>
      <c r="B137" s="1" t="n">
        <v>45733</v>
      </c>
      <c r="C137" s="1" t="n">
        <v>46198</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49411-2023</t>
        </is>
      </c>
      <c r="B138" s="1" t="n">
        <v>45205</v>
      </c>
      <c r="C138" s="1" t="n">
        <v>46198</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883-2025</t>
        </is>
      </c>
      <c r="B139" s="1" t="n">
        <v>45665</v>
      </c>
      <c r="C139" s="1" t="n">
        <v>46198</v>
      </c>
      <c r="D139" t="inlineStr">
        <is>
          <t>GOTLANDS LÄN</t>
        </is>
      </c>
      <c r="E139" t="inlineStr">
        <is>
          <t>GOTLAND</t>
        </is>
      </c>
      <c r="G139" t="n">
        <v>1.3</v>
      </c>
      <c r="H139" t="n">
        <v>0</v>
      </c>
      <c r="I139" t="n">
        <v>2</v>
      </c>
      <c r="J139" t="n">
        <v>0</v>
      </c>
      <c r="K139" t="n">
        <v>0</v>
      </c>
      <c r="L139" t="n">
        <v>0</v>
      </c>
      <c r="M139" t="n">
        <v>0</v>
      </c>
      <c r="N139" t="n">
        <v>0</v>
      </c>
      <c r="O139" t="n">
        <v>0</v>
      </c>
      <c r="P139" t="n">
        <v>0</v>
      </c>
      <c r="Q139" t="n">
        <v>2</v>
      </c>
      <c r="R139" s="2" t="inlineStr">
        <is>
          <t>Axag
Kärrlilja</t>
        </is>
      </c>
      <c r="S139">
        <f>HYPERLINK("https://klasma.github.io/Logging_0980/artfynd/A 883-2025 artfynd.xlsx", "A 883-2025")</f>
        <v/>
      </c>
      <c r="T139">
        <f>HYPERLINK("https://klasma.github.io/Logging_0980/kartor/A 883-2025 karta.png", "A 883-2025")</f>
        <v/>
      </c>
      <c r="V139">
        <f>HYPERLINK("https://klasma.github.io/Logging_0980/klagomål/A 883-2025 FSC-klagomål.docx", "A 883-2025")</f>
        <v/>
      </c>
      <c r="W139">
        <f>HYPERLINK("https://klasma.github.io/Logging_0980/klagomålsmail/A 883-2025 FSC-klagomål mail.docx", "A 883-2025")</f>
        <v/>
      </c>
      <c r="X139">
        <f>HYPERLINK("https://klasma.github.io/Logging_0980/tillsyn/A 883-2025 tillsynsbegäran.docx", "A 883-2025")</f>
        <v/>
      </c>
      <c r="Y139">
        <f>HYPERLINK("https://klasma.github.io/Logging_0980/tillsynsmail/A 883-2025 tillsynsbegäran mail.docx", "A 883-2025")</f>
        <v/>
      </c>
    </row>
    <row r="140" ht="15" customHeight="1">
      <c r="A140" t="inlineStr">
        <is>
          <t>A 33011-2025</t>
        </is>
      </c>
      <c r="B140" s="1" t="n">
        <v>45840</v>
      </c>
      <c r="C140" s="1" t="n">
        <v>46198</v>
      </c>
      <c r="D140" t="inlineStr">
        <is>
          <t>GOTLANDS LÄN</t>
        </is>
      </c>
      <c r="E140" t="inlineStr">
        <is>
          <t>GOTLAND</t>
        </is>
      </c>
      <c r="G140" t="n">
        <v>1.7</v>
      </c>
      <c r="H140" t="n">
        <v>2</v>
      </c>
      <c r="I140" t="n">
        <v>0</v>
      </c>
      <c r="J140" t="n">
        <v>1</v>
      </c>
      <c r="K140" t="n">
        <v>1</v>
      </c>
      <c r="L140" t="n">
        <v>0</v>
      </c>
      <c r="M140" t="n">
        <v>0</v>
      </c>
      <c r="N140" t="n">
        <v>0</v>
      </c>
      <c r="O140" t="n">
        <v>2</v>
      </c>
      <c r="P140" t="n">
        <v>1</v>
      </c>
      <c r="Q140" t="n">
        <v>2</v>
      </c>
      <c r="R140" s="2" t="inlineStr">
        <is>
          <t>Hasselsnok
Mindre hackspett</t>
        </is>
      </c>
      <c r="S140">
        <f>HYPERLINK("https://klasma.github.io/Logging_0980/artfynd/A 33011-2025 artfynd.xlsx", "A 33011-2025")</f>
        <v/>
      </c>
      <c r="T140">
        <f>HYPERLINK("https://klasma.github.io/Logging_0980/kartor/A 33011-2025 karta.png", "A 33011-2025")</f>
        <v/>
      </c>
      <c r="V140">
        <f>HYPERLINK("https://klasma.github.io/Logging_0980/klagomål/A 33011-2025 FSC-klagomål.docx", "A 33011-2025")</f>
        <v/>
      </c>
      <c r="W140">
        <f>HYPERLINK("https://klasma.github.io/Logging_0980/klagomålsmail/A 33011-2025 FSC-klagomål mail.docx", "A 33011-2025")</f>
        <v/>
      </c>
      <c r="X140">
        <f>HYPERLINK("https://klasma.github.io/Logging_0980/tillsyn/A 33011-2025 tillsynsbegäran.docx", "A 33011-2025")</f>
        <v/>
      </c>
      <c r="Y140">
        <f>HYPERLINK("https://klasma.github.io/Logging_0980/tillsynsmail/A 33011-2025 tillsynsbegäran mail.docx", "A 33011-2025")</f>
        <v/>
      </c>
      <c r="Z140">
        <f>HYPERLINK("https://klasma.github.io/Logging_0980/fåglar/A 33011-2025 prioriterade fågelarter.docx", "A 33011-2025")</f>
        <v/>
      </c>
    </row>
    <row r="141" ht="15" customHeight="1">
      <c r="A141" t="inlineStr">
        <is>
          <t>A 20429-2025</t>
        </is>
      </c>
      <c r="B141" s="1" t="n">
        <v>45775</v>
      </c>
      <c r="C141" s="1" t="n">
        <v>46198</v>
      </c>
      <c r="D141" t="inlineStr">
        <is>
          <t>GOTLANDS LÄN</t>
        </is>
      </c>
      <c r="E141" t="inlineStr">
        <is>
          <t>GOTLAND</t>
        </is>
      </c>
      <c r="G141" t="n">
        <v>1.4</v>
      </c>
      <c r="H141" t="n">
        <v>2</v>
      </c>
      <c r="I141" t="n">
        <v>0</v>
      </c>
      <c r="J141" t="n">
        <v>0</v>
      </c>
      <c r="K141" t="n">
        <v>0</v>
      </c>
      <c r="L141" t="n">
        <v>0</v>
      </c>
      <c r="M141" t="n">
        <v>0</v>
      </c>
      <c r="N141" t="n">
        <v>0</v>
      </c>
      <c r="O141" t="n">
        <v>0</v>
      </c>
      <c r="P141" t="n">
        <v>0</v>
      </c>
      <c r="Q141" t="n">
        <v>2</v>
      </c>
      <c r="R141" s="2" t="inlineStr">
        <is>
          <t>Lopplummer (aggregat)
Äkta lopplummer</t>
        </is>
      </c>
      <c r="S141">
        <f>HYPERLINK("https://klasma.github.io/Logging_0980/artfynd/A 20429-2025 artfynd.xlsx", "A 20429-2025")</f>
        <v/>
      </c>
      <c r="T141">
        <f>HYPERLINK("https://klasma.github.io/Logging_0980/kartor/A 20429-2025 karta.png", "A 20429-2025")</f>
        <v/>
      </c>
      <c r="V141">
        <f>HYPERLINK("https://klasma.github.io/Logging_0980/klagomål/A 20429-2025 FSC-klagomål.docx", "A 20429-2025")</f>
        <v/>
      </c>
      <c r="W141">
        <f>HYPERLINK("https://klasma.github.io/Logging_0980/klagomålsmail/A 20429-2025 FSC-klagomål mail.docx", "A 20429-2025")</f>
        <v/>
      </c>
      <c r="X141">
        <f>HYPERLINK("https://klasma.github.io/Logging_0980/tillsyn/A 20429-2025 tillsynsbegäran.docx", "A 20429-2025")</f>
        <v/>
      </c>
      <c r="Y141">
        <f>HYPERLINK("https://klasma.github.io/Logging_0980/tillsynsmail/A 20429-2025 tillsynsbegäran mail.docx", "A 20429-2025")</f>
        <v/>
      </c>
    </row>
    <row r="142" ht="15" customHeight="1">
      <c r="A142" t="inlineStr">
        <is>
          <t>A 27621-2026</t>
        </is>
      </c>
      <c r="B142" s="1" t="n">
        <v>46190</v>
      </c>
      <c r="C142" s="1" t="n">
        <v>46198</v>
      </c>
      <c r="D142" t="inlineStr">
        <is>
          <t>GOTLANDS LÄN</t>
        </is>
      </c>
      <c r="E142" t="inlineStr">
        <is>
          <t>GOTLAND</t>
        </is>
      </c>
      <c r="G142" t="n">
        <v>6</v>
      </c>
      <c r="H142" t="n">
        <v>2</v>
      </c>
      <c r="I142" t="n">
        <v>0</v>
      </c>
      <c r="J142" t="n">
        <v>1</v>
      </c>
      <c r="K142" t="n">
        <v>0</v>
      </c>
      <c r="L142" t="n">
        <v>0</v>
      </c>
      <c r="M142" t="n">
        <v>0</v>
      </c>
      <c r="N142" t="n">
        <v>0</v>
      </c>
      <c r="O142" t="n">
        <v>1</v>
      </c>
      <c r="P142" t="n">
        <v>0</v>
      </c>
      <c r="Q142" t="n">
        <v>2</v>
      </c>
      <c r="R142" s="2" t="inlineStr">
        <is>
          <t>Adam och eva
Spillkråka</t>
        </is>
      </c>
      <c r="S142">
        <f>HYPERLINK("https://klasma.github.io/Logging_0980/artfynd/A 27621-2026 artfynd.xlsx", "A 27621-2026")</f>
        <v/>
      </c>
      <c r="T142">
        <f>HYPERLINK("https://klasma.github.io/Logging_0980/kartor/A 27621-2026 karta.png", "A 27621-2026")</f>
        <v/>
      </c>
      <c r="V142">
        <f>HYPERLINK("https://klasma.github.io/Logging_0980/klagomål/A 27621-2026 FSC-klagomål.docx", "A 27621-2026")</f>
        <v/>
      </c>
      <c r="W142">
        <f>HYPERLINK("https://klasma.github.io/Logging_0980/klagomålsmail/A 27621-2026 FSC-klagomål mail.docx", "A 27621-2026")</f>
        <v/>
      </c>
      <c r="X142">
        <f>HYPERLINK("https://klasma.github.io/Logging_0980/tillsyn/A 27621-2026 tillsynsbegäran.docx", "A 27621-2026")</f>
        <v/>
      </c>
      <c r="Y142">
        <f>HYPERLINK("https://klasma.github.io/Logging_0980/tillsynsmail/A 27621-2026 tillsynsbegäran mail.docx", "A 27621-2026")</f>
        <v/>
      </c>
      <c r="Z142">
        <f>HYPERLINK("https://klasma.github.io/Logging_0980/fåglar/A 27621-2026 prioriterade fågelarter.docx", "A 27621-2026")</f>
        <v/>
      </c>
    </row>
    <row r="143" ht="15" customHeight="1">
      <c r="A143" t="inlineStr">
        <is>
          <t>A 49314-2024</t>
        </is>
      </c>
      <c r="B143" s="1" t="n">
        <v>45595</v>
      </c>
      <c r="C143" s="1" t="n">
        <v>46198</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26077-2024</t>
        </is>
      </c>
      <c r="B144" s="1" t="n">
        <v>45467</v>
      </c>
      <c r="C144" s="1" t="n">
        <v>46198</v>
      </c>
      <c r="D144" t="inlineStr">
        <is>
          <t>GOTLANDS LÄN</t>
        </is>
      </c>
      <c r="E144" t="inlineStr">
        <is>
          <t>GOTLAND</t>
        </is>
      </c>
      <c r="G144" t="n">
        <v>4.6</v>
      </c>
      <c r="H144" t="n">
        <v>0</v>
      </c>
      <c r="I144" t="n">
        <v>0</v>
      </c>
      <c r="J144" t="n">
        <v>1</v>
      </c>
      <c r="K144" t="n">
        <v>0</v>
      </c>
      <c r="L144" t="n">
        <v>1</v>
      </c>
      <c r="M144" t="n">
        <v>0</v>
      </c>
      <c r="N144" t="n">
        <v>0</v>
      </c>
      <c r="O144" t="n">
        <v>2</v>
      </c>
      <c r="P144" t="n">
        <v>1</v>
      </c>
      <c r="Q144" t="n">
        <v>2</v>
      </c>
      <c r="R144" s="2" t="inlineStr">
        <is>
          <t>Ask
Tallticka</t>
        </is>
      </c>
      <c r="S144">
        <f>HYPERLINK("https://klasma.github.io/Logging_0980/artfynd/A 26077-2024 artfynd.xlsx", "A 26077-2024")</f>
        <v/>
      </c>
      <c r="T144">
        <f>HYPERLINK("https://klasma.github.io/Logging_0980/kartor/A 26077-2024 karta.png", "A 26077-2024")</f>
        <v/>
      </c>
      <c r="V144">
        <f>HYPERLINK("https://klasma.github.io/Logging_0980/klagomål/A 26077-2024 FSC-klagomål.docx", "A 26077-2024")</f>
        <v/>
      </c>
      <c r="W144">
        <f>HYPERLINK("https://klasma.github.io/Logging_0980/klagomålsmail/A 26077-2024 FSC-klagomål mail.docx", "A 26077-2024")</f>
        <v/>
      </c>
      <c r="X144">
        <f>HYPERLINK("https://klasma.github.io/Logging_0980/tillsyn/A 26077-2024 tillsynsbegäran.docx", "A 26077-2024")</f>
        <v/>
      </c>
      <c r="Y144">
        <f>HYPERLINK("https://klasma.github.io/Logging_0980/tillsynsmail/A 26077-2024 tillsynsbegäran mail.docx", "A 26077-2024")</f>
        <v/>
      </c>
    </row>
    <row r="145" ht="15" customHeight="1">
      <c r="A145" t="inlineStr">
        <is>
          <t>A 63162-2025</t>
        </is>
      </c>
      <c r="B145" s="1" t="n">
        <v>46010</v>
      </c>
      <c r="C145" s="1" t="n">
        <v>46198</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46198</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46198</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8036-2022</t>
        </is>
      </c>
      <c r="B148" s="1" t="n">
        <v>44609</v>
      </c>
      <c r="C148" s="1" t="n">
        <v>46198</v>
      </c>
      <c r="D148" t="inlineStr">
        <is>
          <t>GOTLANDS LÄN</t>
        </is>
      </c>
      <c r="E148" t="inlineStr">
        <is>
          <t>GOTLAND</t>
        </is>
      </c>
      <c r="G148" t="n">
        <v>6.1</v>
      </c>
      <c r="H148" t="n">
        <v>2</v>
      </c>
      <c r="I148" t="n">
        <v>0</v>
      </c>
      <c r="J148" t="n">
        <v>1</v>
      </c>
      <c r="K148" t="n">
        <v>1</v>
      </c>
      <c r="L148" t="n">
        <v>0</v>
      </c>
      <c r="M148" t="n">
        <v>0</v>
      </c>
      <c r="N148" t="n">
        <v>0</v>
      </c>
      <c r="O148" t="n">
        <v>2</v>
      </c>
      <c r="P148" t="n">
        <v>1</v>
      </c>
      <c r="Q148" t="n">
        <v>2</v>
      </c>
      <c r="R148" s="2" t="inlineStr">
        <is>
          <t>Grönfink
Grönsångare</t>
        </is>
      </c>
      <c r="S148">
        <f>HYPERLINK("https://klasma.github.io/Logging_0980/artfynd/A 8036-2022 artfynd.xlsx", "A 8036-2022")</f>
        <v/>
      </c>
      <c r="T148">
        <f>HYPERLINK("https://klasma.github.io/Logging_0980/kartor/A 8036-2022 karta.png", "A 8036-2022")</f>
        <v/>
      </c>
      <c r="V148">
        <f>HYPERLINK("https://klasma.github.io/Logging_0980/klagomål/A 8036-2022 FSC-klagomål.docx", "A 8036-2022")</f>
        <v/>
      </c>
      <c r="W148">
        <f>HYPERLINK("https://klasma.github.io/Logging_0980/klagomålsmail/A 8036-2022 FSC-klagomål mail.docx", "A 8036-2022")</f>
        <v/>
      </c>
      <c r="X148">
        <f>HYPERLINK("https://klasma.github.io/Logging_0980/tillsyn/A 8036-2022 tillsynsbegäran.docx", "A 8036-2022")</f>
        <v/>
      </c>
      <c r="Y148">
        <f>HYPERLINK("https://klasma.github.io/Logging_0980/tillsynsmail/A 8036-2022 tillsynsbegäran mail.docx", "A 8036-2022")</f>
        <v/>
      </c>
      <c r="Z148">
        <f>HYPERLINK("https://klasma.github.io/Logging_0980/fåglar/A 8036-2022 prioriterade fågelarter.docx", "A 8036-2022")</f>
        <v/>
      </c>
    </row>
    <row r="149" ht="15" customHeight="1">
      <c r="A149" t="inlineStr">
        <is>
          <t>A 12209-2024</t>
        </is>
      </c>
      <c r="B149" s="1" t="n">
        <v>45378</v>
      </c>
      <c r="C149" s="1" t="n">
        <v>46198</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46198</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46198</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46198</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46198</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46198</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46198</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22883-2024</t>
        </is>
      </c>
      <c r="B156" s="1" t="n">
        <v>45448</v>
      </c>
      <c r="C156" s="1" t="n">
        <v>46198</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63229-2021</t>
        </is>
      </c>
      <c r="B157" s="1" t="n">
        <v>44508</v>
      </c>
      <c r="C157" s="1" t="n">
        <v>46198</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27593-2023</t>
        </is>
      </c>
      <c r="B158" s="1" t="n">
        <v>45097</v>
      </c>
      <c r="C158" s="1" t="n">
        <v>46198</v>
      </c>
      <c r="D158" t="inlineStr">
        <is>
          <t>GOTLANDS LÄN</t>
        </is>
      </c>
      <c r="E158" t="inlineStr">
        <is>
          <t>GOTLAND</t>
        </is>
      </c>
      <c r="G158" t="n">
        <v>3.1</v>
      </c>
      <c r="H158" t="n">
        <v>1</v>
      </c>
      <c r="I158" t="n">
        <v>0</v>
      </c>
      <c r="J158" t="n">
        <v>0</v>
      </c>
      <c r="K158" t="n">
        <v>0</v>
      </c>
      <c r="L158" t="n">
        <v>1</v>
      </c>
      <c r="M158" t="n">
        <v>0</v>
      </c>
      <c r="N158" t="n">
        <v>0</v>
      </c>
      <c r="O158" t="n">
        <v>1</v>
      </c>
      <c r="P158" t="n">
        <v>1</v>
      </c>
      <c r="Q158" t="n">
        <v>1</v>
      </c>
      <c r="R158" s="2" t="inlineStr">
        <is>
          <t>Spjutsporre</t>
        </is>
      </c>
      <c r="S158">
        <f>HYPERLINK("https://klasma.github.io/Logging_0980/artfynd/A 27593-2023 artfynd.xlsx", "A 27593-2023")</f>
        <v/>
      </c>
      <c r="T158">
        <f>HYPERLINK("https://klasma.github.io/Logging_0980/kartor/A 27593-2023 karta.png", "A 27593-2023")</f>
        <v/>
      </c>
      <c r="V158">
        <f>HYPERLINK("https://klasma.github.io/Logging_0980/klagomål/A 27593-2023 FSC-klagomål.docx", "A 27593-2023")</f>
        <v/>
      </c>
      <c r="W158">
        <f>HYPERLINK("https://klasma.github.io/Logging_0980/klagomålsmail/A 27593-2023 FSC-klagomål mail.docx", "A 27593-2023")</f>
        <v/>
      </c>
      <c r="X158">
        <f>HYPERLINK("https://klasma.github.io/Logging_0980/tillsyn/A 27593-2023 tillsynsbegäran.docx", "A 27593-2023")</f>
        <v/>
      </c>
      <c r="Y158">
        <f>HYPERLINK("https://klasma.github.io/Logging_0980/tillsynsmail/A 27593-2023 tillsynsbegäran mail.docx", "A 27593-2023")</f>
        <v/>
      </c>
    </row>
    <row r="159" ht="15" customHeight="1">
      <c r="A159" t="inlineStr">
        <is>
          <t>A 24245-2022</t>
        </is>
      </c>
      <c r="B159" s="1" t="n">
        <v>44725</v>
      </c>
      <c r="C159" s="1" t="n">
        <v>46198</v>
      </c>
      <c r="D159" t="inlineStr">
        <is>
          <t>GOTLANDS LÄN</t>
        </is>
      </c>
      <c r="E159" t="inlineStr">
        <is>
          <t>GOTLAND</t>
        </is>
      </c>
      <c r="G159" t="n">
        <v>4.9</v>
      </c>
      <c r="H159" t="n">
        <v>0</v>
      </c>
      <c r="I159" t="n">
        <v>0</v>
      </c>
      <c r="J159" t="n">
        <v>0</v>
      </c>
      <c r="K159" t="n">
        <v>0</v>
      </c>
      <c r="L159" t="n">
        <v>1</v>
      </c>
      <c r="M159" t="n">
        <v>0</v>
      </c>
      <c r="N159" t="n">
        <v>0</v>
      </c>
      <c r="O159" t="n">
        <v>1</v>
      </c>
      <c r="P159" t="n">
        <v>1</v>
      </c>
      <c r="Q159" t="n">
        <v>1</v>
      </c>
      <c r="R159" s="2" t="inlineStr">
        <is>
          <t>Slät taggsvamp</t>
        </is>
      </c>
      <c r="S159">
        <f>HYPERLINK("https://klasma.github.io/Logging_0980/artfynd/A 24245-2022 artfynd.xlsx", "A 24245-2022")</f>
        <v/>
      </c>
      <c r="T159">
        <f>HYPERLINK("https://klasma.github.io/Logging_0980/kartor/A 24245-2022 karta.png", "A 24245-2022")</f>
        <v/>
      </c>
      <c r="V159">
        <f>HYPERLINK("https://klasma.github.io/Logging_0980/klagomål/A 24245-2022 FSC-klagomål.docx", "A 24245-2022")</f>
        <v/>
      </c>
      <c r="W159">
        <f>HYPERLINK("https://klasma.github.io/Logging_0980/klagomålsmail/A 24245-2022 FSC-klagomål mail.docx", "A 24245-2022")</f>
        <v/>
      </c>
      <c r="X159">
        <f>HYPERLINK("https://klasma.github.io/Logging_0980/tillsyn/A 24245-2022 tillsynsbegäran.docx", "A 24245-2022")</f>
        <v/>
      </c>
      <c r="Y159">
        <f>HYPERLINK("https://klasma.github.io/Logging_0980/tillsynsmail/A 24245-2022 tillsynsbegäran mail.docx", "A 24245-2022")</f>
        <v/>
      </c>
    </row>
    <row r="160" ht="15" customHeight="1">
      <c r="A160" t="inlineStr">
        <is>
          <t>A 5751-2024</t>
        </is>
      </c>
      <c r="B160" s="1" t="n">
        <v>45335</v>
      </c>
      <c r="C160" s="1" t="n">
        <v>46198</v>
      </c>
      <c r="D160" t="inlineStr">
        <is>
          <t>GOTLANDS LÄN</t>
        </is>
      </c>
      <c r="E160" t="inlineStr">
        <is>
          <t>GOTLAND</t>
        </is>
      </c>
      <c r="G160" t="n">
        <v>4.2</v>
      </c>
      <c r="H160" t="n">
        <v>0</v>
      </c>
      <c r="I160" t="n">
        <v>0</v>
      </c>
      <c r="J160" t="n">
        <v>1</v>
      </c>
      <c r="K160" t="n">
        <v>0</v>
      </c>
      <c r="L160" t="n">
        <v>0</v>
      </c>
      <c r="M160" t="n">
        <v>0</v>
      </c>
      <c r="N160" t="n">
        <v>0</v>
      </c>
      <c r="O160" t="n">
        <v>1</v>
      </c>
      <c r="P160" t="n">
        <v>0</v>
      </c>
      <c r="Q160" t="n">
        <v>1</v>
      </c>
      <c r="R160" s="2" t="inlineStr">
        <is>
          <t>Svinrot</t>
        </is>
      </c>
      <c r="S160">
        <f>HYPERLINK("https://klasma.github.io/Logging_0980/artfynd/A 5751-2024 artfynd.xlsx", "A 5751-2024")</f>
        <v/>
      </c>
      <c r="T160">
        <f>HYPERLINK("https://klasma.github.io/Logging_0980/kartor/A 5751-2024 karta.png", "A 5751-2024")</f>
        <v/>
      </c>
      <c r="V160">
        <f>HYPERLINK("https://klasma.github.io/Logging_0980/klagomål/A 5751-2024 FSC-klagomål.docx", "A 5751-2024")</f>
        <v/>
      </c>
      <c r="W160">
        <f>HYPERLINK("https://klasma.github.io/Logging_0980/klagomålsmail/A 5751-2024 FSC-klagomål mail.docx", "A 5751-2024")</f>
        <v/>
      </c>
      <c r="X160">
        <f>HYPERLINK("https://klasma.github.io/Logging_0980/tillsyn/A 5751-2024 tillsynsbegäran.docx", "A 5751-2024")</f>
        <v/>
      </c>
      <c r="Y160">
        <f>HYPERLINK("https://klasma.github.io/Logging_0980/tillsynsmail/A 5751-2024 tillsynsbegäran mail.docx", "A 5751-2024")</f>
        <v/>
      </c>
    </row>
    <row r="161" ht="15" customHeight="1">
      <c r="A161" t="inlineStr">
        <is>
          <t>A 49693-2023</t>
        </is>
      </c>
      <c r="B161" s="1" t="n">
        <v>45212</v>
      </c>
      <c r="C161" s="1" t="n">
        <v>46198</v>
      </c>
      <c r="D161" t="inlineStr">
        <is>
          <t>GOTLANDS LÄN</t>
        </is>
      </c>
      <c r="E161" t="inlineStr">
        <is>
          <t>GOTLAND</t>
        </is>
      </c>
      <c r="G161" t="n">
        <v>2.4</v>
      </c>
      <c r="H161" t="n">
        <v>0</v>
      </c>
      <c r="I161" t="n">
        <v>0</v>
      </c>
      <c r="J161" t="n">
        <v>0</v>
      </c>
      <c r="K161" t="n">
        <v>1</v>
      </c>
      <c r="L161" t="n">
        <v>0</v>
      </c>
      <c r="M161" t="n">
        <v>0</v>
      </c>
      <c r="N161" t="n">
        <v>0</v>
      </c>
      <c r="O161" t="n">
        <v>1</v>
      </c>
      <c r="P161" t="n">
        <v>1</v>
      </c>
      <c r="Q161" t="n">
        <v>1</v>
      </c>
      <c r="R161" s="2" t="inlineStr">
        <is>
          <t>Vit taggsvamp</t>
        </is>
      </c>
      <c r="S161">
        <f>HYPERLINK("https://klasma.github.io/Logging_0980/artfynd/A 49693-2023 artfynd.xlsx", "A 49693-2023")</f>
        <v/>
      </c>
      <c r="T161">
        <f>HYPERLINK("https://klasma.github.io/Logging_0980/kartor/A 49693-2023 karta.png", "A 49693-2023")</f>
        <v/>
      </c>
      <c r="V161">
        <f>HYPERLINK("https://klasma.github.io/Logging_0980/klagomål/A 49693-2023 FSC-klagomål.docx", "A 49693-2023")</f>
        <v/>
      </c>
      <c r="W161">
        <f>HYPERLINK("https://klasma.github.io/Logging_0980/klagomålsmail/A 49693-2023 FSC-klagomål mail.docx", "A 49693-2023")</f>
        <v/>
      </c>
      <c r="X161">
        <f>HYPERLINK("https://klasma.github.io/Logging_0980/tillsyn/A 49693-2023 tillsynsbegäran.docx", "A 49693-2023")</f>
        <v/>
      </c>
      <c r="Y161">
        <f>HYPERLINK("https://klasma.github.io/Logging_0980/tillsynsmail/A 49693-2023 tillsynsbegäran mail.docx", "A 49693-2023")</f>
        <v/>
      </c>
    </row>
    <row r="162" ht="15" customHeight="1">
      <c r="A162" t="inlineStr">
        <is>
          <t>A 57534-2022</t>
        </is>
      </c>
      <c r="B162" s="1" t="n">
        <v>44896</v>
      </c>
      <c r="C162" s="1" t="n">
        <v>46198</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Myskmadra</t>
        </is>
      </c>
      <c r="S162">
        <f>HYPERLINK("https://klasma.github.io/Logging_0980/artfynd/A 57534-2022 artfynd.xlsx", "A 57534-2022")</f>
        <v/>
      </c>
      <c r="T162">
        <f>HYPERLINK("https://klasma.github.io/Logging_0980/kartor/A 57534-2022 karta.png", "A 57534-2022")</f>
        <v/>
      </c>
      <c r="V162">
        <f>HYPERLINK("https://klasma.github.io/Logging_0980/klagomål/A 57534-2022 FSC-klagomål.docx", "A 57534-2022")</f>
        <v/>
      </c>
      <c r="W162">
        <f>HYPERLINK("https://klasma.github.io/Logging_0980/klagomålsmail/A 57534-2022 FSC-klagomål mail.docx", "A 57534-2022")</f>
        <v/>
      </c>
      <c r="X162">
        <f>HYPERLINK("https://klasma.github.io/Logging_0980/tillsyn/A 57534-2022 tillsynsbegäran.docx", "A 57534-2022")</f>
        <v/>
      </c>
      <c r="Y162">
        <f>HYPERLINK("https://klasma.github.io/Logging_0980/tillsynsmail/A 57534-2022 tillsynsbegäran mail.docx", "A 57534-2022")</f>
        <v/>
      </c>
    </row>
    <row r="163" ht="15" customHeight="1">
      <c r="A163" t="inlineStr">
        <is>
          <t>A 6303-2024</t>
        </is>
      </c>
      <c r="B163" s="1" t="n">
        <v>45338</v>
      </c>
      <c r="C163" s="1" t="n">
        <v>46198</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62552-2022</t>
        </is>
      </c>
      <c r="B164" s="1" t="n">
        <v>44924</v>
      </c>
      <c r="C164" s="1" t="n">
        <v>46198</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25977-2024</t>
        </is>
      </c>
      <c r="B165" s="1" t="n">
        <v>45467</v>
      </c>
      <c r="C165" s="1" t="n">
        <v>46198</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40294-2022</t>
        </is>
      </c>
      <c r="B166" s="1" t="n">
        <v>44821</v>
      </c>
      <c r="C166" s="1" t="n">
        <v>46198</v>
      </c>
      <c r="D166" t="inlineStr">
        <is>
          <t>GOTLANDS LÄN</t>
        </is>
      </c>
      <c r="E166" t="inlineStr">
        <is>
          <t>GOTLAND</t>
        </is>
      </c>
      <c r="G166" t="n">
        <v>1.6</v>
      </c>
      <c r="H166" t="n">
        <v>0</v>
      </c>
      <c r="I166" t="n">
        <v>0</v>
      </c>
      <c r="J166" t="n">
        <v>0</v>
      </c>
      <c r="K166" t="n">
        <v>1</v>
      </c>
      <c r="L166" t="n">
        <v>0</v>
      </c>
      <c r="M166" t="n">
        <v>0</v>
      </c>
      <c r="N166" t="n">
        <v>0</v>
      </c>
      <c r="O166" t="n">
        <v>1</v>
      </c>
      <c r="P166" t="n">
        <v>1</v>
      </c>
      <c r="Q166" t="n">
        <v>1</v>
      </c>
      <c r="R166" s="2" t="inlineStr">
        <is>
          <t>Gotlandsmåra</t>
        </is>
      </c>
      <c r="S166">
        <f>HYPERLINK("https://klasma.github.io/Logging_0980/artfynd/A 40294-2022 artfynd.xlsx", "A 40294-2022")</f>
        <v/>
      </c>
      <c r="T166">
        <f>HYPERLINK("https://klasma.github.io/Logging_0980/kartor/A 40294-2022 karta.png", "A 40294-2022")</f>
        <v/>
      </c>
      <c r="V166">
        <f>HYPERLINK("https://klasma.github.io/Logging_0980/klagomål/A 40294-2022 FSC-klagomål.docx", "A 40294-2022")</f>
        <v/>
      </c>
      <c r="W166">
        <f>HYPERLINK("https://klasma.github.io/Logging_0980/klagomålsmail/A 40294-2022 FSC-klagomål mail.docx", "A 40294-2022")</f>
        <v/>
      </c>
      <c r="X166">
        <f>HYPERLINK("https://klasma.github.io/Logging_0980/tillsyn/A 40294-2022 tillsynsbegäran.docx", "A 40294-2022")</f>
        <v/>
      </c>
      <c r="Y166">
        <f>HYPERLINK("https://klasma.github.io/Logging_0980/tillsynsmail/A 40294-2022 tillsynsbegäran mail.docx", "A 40294-2022")</f>
        <v/>
      </c>
    </row>
    <row r="167" ht="15" customHeight="1">
      <c r="A167" t="inlineStr">
        <is>
          <t>A 27602-2023</t>
        </is>
      </c>
      <c r="B167" s="1" t="n">
        <v>45097</v>
      </c>
      <c r="C167" s="1" t="n">
        <v>46198</v>
      </c>
      <c r="D167" t="inlineStr">
        <is>
          <t>GOTLANDS LÄN</t>
        </is>
      </c>
      <c r="E167" t="inlineStr">
        <is>
          <t>GOTLAND</t>
        </is>
      </c>
      <c r="G167" t="n">
        <v>2.7</v>
      </c>
      <c r="H167" t="n">
        <v>1</v>
      </c>
      <c r="I167" t="n">
        <v>0</v>
      </c>
      <c r="J167" t="n">
        <v>0</v>
      </c>
      <c r="K167" t="n">
        <v>0</v>
      </c>
      <c r="L167" t="n">
        <v>0</v>
      </c>
      <c r="M167" t="n">
        <v>0</v>
      </c>
      <c r="N167" t="n">
        <v>0</v>
      </c>
      <c r="O167" t="n">
        <v>0</v>
      </c>
      <c r="P167" t="n">
        <v>0</v>
      </c>
      <c r="Q167" t="n">
        <v>1</v>
      </c>
      <c r="R167" s="2" t="inlineStr">
        <is>
          <t>Blåsippa</t>
        </is>
      </c>
      <c r="S167">
        <f>HYPERLINK("https://klasma.github.io/Logging_0980/artfynd/A 27602-2023 artfynd.xlsx", "A 27602-2023")</f>
        <v/>
      </c>
      <c r="T167">
        <f>HYPERLINK("https://klasma.github.io/Logging_0980/kartor/A 27602-2023 karta.png", "A 27602-2023")</f>
        <v/>
      </c>
      <c r="V167">
        <f>HYPERLINK("https://klasma.github.io/Logging_0980/klagomål/A 27602-2023 FSC-klagomål.docx", "A 27602-2023")</f>
        <v/>
      </c>
      <c r="W167">
        <f>HYPERLINK("https://klasma.github.io/Logging_0980/klagomålsmail/A 27602-2023 FSC-klagomål mail.docx", "A 27602-2023")</f>
        <v/>
      </c>
      <c r="X167">
        <f>HYPERLINK("https://klasma.github.io/Logging_0980/tillsyn/A 27602-2023 tillsynsbegäran.docx", "A 27602-2023")</f>
        <v/>
      </c>
      <c r="Y167">
        <f>HYPERLINK("https://klasma.github.io/Logging_0980/tillsynsmail/A 27602-2023 tillsynsbegäran mail.docx", "A 27602-2023")</f>
        <v/>
      </c>
    </row>
    <row r="168" ht="15" customHeight="1">
      <c r="A168" t="inlineStr">
        <is>
          <t>A 30489-2025</t>
        </is>
      </c>
      <c r="B168" s="1" t="n">
        <v>45830</v>
      </c>
      <c r="C168" s="1" t="n">
        <v>46198</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947-2023</t>
        </is>
      </c>
      <c r="B169" s="1" t="n">
        <v>44934</v>
      </c>
      <c r="C169" s="1" t="n">
        <v>46198</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35467-2021</t>
        </is>
      </c>
      <c r="B170" s="1" t="n">
        <v>44385</v>
      </c>
      <c r="C170" s="1" t="n">
        <v>46198</v>
      </c>
      <c r="D170" t="inlineStr">
        <is>
          <t>GOTLANDS LÄN</t>
        </is>
      </c>
      <c r="E170" t="inlineStr">
        <is>
          <t>GOTLAND</t>
        </is>
      </c>
      <c r="G170" t="n">
        <v>12.7</v>
      </c>
      <c r="H170" t="n">
        <v>0</v>
      </c>
      <c r="I170" t="n">
        <v>0</v>
      </c>
      <c r="J170" t="n">
        <v>1</v>
      </c>
      <c r="K170" t="n">
        <v>0</v>
      </c>
      <c r="L170" t="n">
        <v>0</v>
      </c>
      <c r="M170" t="n">
        <v>0</v>
      </c>
      <c r="N170" t="n">
        <v>0</v>
      </c>
      <c r="O170" t="n">
        <v>1</v>
      </c>
      <c r="P170" t="n">
        <v>0</v>
      </c>
      <c r="Q170" t="n">
        <v>1</v>
      </c>
      <c r="R170" s="2" t="inlineStr">
        <is>
          <t>Loppstarr</t>
        </is>
      </c>
      <c r="S170">
        <f>HYPERLINK("https://klasma.github.io/Logging_0980/artfynd/A 35467-2021 artfynd.xlsx", "A 35467-2021")</f>
        <v/>
      </c>
      <c r="T170">
        <f>HYPERLINK("https://klasma.github.io/Logging_0980/kartor/A 35467-2021 karta.png", "A 35467-2021")</f>
        <v/>
      </c>
      <c r="V170">
        <f>HYPERLINK("https://klasma.github.io/Logging_0980/klagomål/A 35467-2021 FSC-klagomål.docx", "A 35467-2021")</f>
        <v/>
      </c>
      <c r="W170">
        <f>HYPERLINK("https://klasma.github.io/Logging_0980/klagomålsmail/A 35467-2021 FSC-klagomål mail.docx", "A 35467-2021")</f>
        <v/>
      </c>
      <c r="X170">
        <f>HYPERLINK("https://klasma.github.io/Logging_0980/tillsyn/A 35467-2021 tillsynsbegäran.docx", "A 35467-2021")</f>
        <v/>
      </c>
      <c r="Y170">
        <f>HYPERLINK("https://klasma.github.io/Logging_0980/tillsynsmail/A 35467-2021 tillsynsbegäran mail.docx", "A 35467-2021")</f>
        <v/>
      </c>
    </row>
    <row r="171" ht="15" customHeight="1">
      <c r="A171" t="inlineStr">
        <is>
          <t>A 46189-2022</t>
        </is>
      </c>
      <c r="B171" s="1" t="n">
        <v>44847</v>
      </c>
      <c r="C171" s="1" t="n">
        <v>46198</v>
      </c>
      <c r="D171" t="inlineStr">
        <is>
          <t>GOTLANDS LÄN</t>
        </is>
      </c>
      <c r="E171" t="inlineStr">
        <is>
          <t>GOTLAND</t>
        </is>
      </c>
      <c r="G171" t="n">
        <v>0.4</v>
      </c>
      <c r="H171" t="n">
        <v>0</v>
      </c>
      <c r="I171" t="n">
        <v>0</v>
      </c>
      <c r="J171" t="n">
        <v>1</v>
      </c>
      <c r="K171" t="n">
        <v>0</v>
      </c>
      <c r="L171" t="n">
        <v>0</v>
      </c>
      <c r="M171" t="n">
        <v>0</v>
      </c>
      <c r="N171" t="n">
        <v>0</v>
      </c>
      <c r="O171" t="n">
        <v>1</v>
      </c>
      <c r="P171" t="n">
        <v>0</v>
      </c>
      <c r="Q171" t="n">
        <v>1</v>
      </c>
      <c r="R171" s="2" t="inlineStr">
        <is>
          <t>Stjälkröksvamp</t>
        </is>
      </c>
      <c r="S171">
        <f>HYPERLINK("https://klasma.github.io/Logging_0980/artfynd/A 46189-2022 artfynd.xlsx", "A 46189-2022")</f>
        <v/>
      </c>
      <c r="T171">
        <f>HYPERLINK("https://klasma.github.io/Logging_0980/kartor/A 46189-2022 karta.png", "A 46189-2022")</f>
        <v/>
      </c>
      <c r="V171">
        <f>HYPERLINK("https://klasma.github.io/Logging_0980/klagomål/A 46189-2022 FSC-klagomål.docx", "A 46189-2022")</f>
        <v/>
      </c>
      <c r="W171">
        <f>HYPERLINK("https://klasma.github.io/Logging_0980/klagomålsmail/A 46189-2022 FSC-klagomål mail.docx", "A 46189-2022")</f>
        <v/>
      </c>
      <c r="X171">
        <f>HYPERLINK("https://klasma.github.io/Logging_0980/tillsyn/A 46189-2022 tillsynsbegäran.docx", "A 46189-2022")</f>
        <v/>
      </c>
      <c r="Y171">
        <f>HYPERLINK("https://klasma.github.io/Logging_0980/tillsynsmail/A 46189-2022 tillsynsbegäran mail.docx", "A 46189-2022")</f>
        <v/>
      </c>
    </row>
    <row r="172" ht="15" customHeight="1">
      <c r="A172" t="inlineStr">
        <is>
          <t>A 7042-2023</t>
        </is>
      </c>
      <c r="B172" s="1" t="n">
        <v>44968</v>
      </c>
      <c r="C172" s="1" t="n">
        <v>46198</v>
      </c>
      <c r="D172" t="inlineStr">
        <is>
          <t>GOTLANDS LÄN</t>
        </is>
      </c>
      <c r="E172" t="inlineStr">
        <is>
          <t>GOTLAND</t>
        </is>
      </c>
      <c r="G172" t="n">
        <v>0.7</v>
      </c>
      <c r="H172" t="n">
        <v>1</v>
      </c>
      <c r="I172" t="n">
        <v>1</v>
      </c>
      <c r="J172" t="n">
        <v>0</v>
      </c>
      <c r="K172" t="n">
        <v>0</v>
      </c>
      <c r="L172" t="n">
        <v>0</v>
      </c>
      <c r="M172" t="n">
        <v>0</v>
      </c>
      <c r="N172" t="n">
        <v>0</v>
      </c>
      <c r="O172" t="n">
        <v>0</v>
      </c>
      <c r="P172" t="n">
        <v>0</v>
      </c>
      <c r="Q172" t="n">
        <v>1</v>
      </c>
      <c r="R172" s="2" t="inlineStr">
        <is>
          <t>Purpurknipprot</t>
        </is>
      </c>
      <c r="S172">
        <f>HYPERLINK("https://klasma.github.io/Logging_0980/artfynd/A 7042-2023 artfynd.xlsx", "A 7042-2023")</f>
        <v/>
      </c>
      <c r="T172">
        <f>HYPERLINK("https://klasma.github.io/Logging_0980/kartor/A 7042-2023 karta.png", "A 7042-2023")</f>
        <v/>
      </c>
      <c r="V172">
        <f>HYPERLINK("https://klasma.github.io/Logging_0980/klagomål/A 7042-2023 FSC-klagomål.docx", "A 7042-2023")</f>
        <v/>
      </c>
      <c r="W172">
        <f>HYPERLINK("https://klasma.github.io/Logging_0980/klagomålsmail/A 7042-2023 FSC-klagomål mail.docx", "A 7042-2023")</f>
        <v/>
      </c>
      <c r="X172">
        <f>HYPERLINK("https://klasma.github.io/Logging_0980/tillsyn/A 7042-2023 tillsynsbegäran.docx", "A 7042-2023")</f>
        <v/>
      </c>
      <c r="Y172">
        <f>HYPERLINK("https://klasma.github.io/Logging_0980/tillsynsmail/A 7042-2023 tillsynsbegäran mail.docx", "A 7042-2023")</f>
        <v/>
      </c>
    </row>
    <row r="173" ht="15" customHeight="1">
      <c r="A173" t="inlineStr">
        <is>
          <t>A 46545-2024</t>
        </is>
      </c>
      <c r="B173" s="1" t="n">
        <v>45582</v>
      </c>
      <c r="C173" s="1" t="n">
        <v>46198</v>
      </c>
      <c r="D173" t="inlineStr">
        <is>
          <t>GOTLANDS LÄN</t>
        </is>
      </c>
      <c r="E173" t="inlineStr">
        <is>
          <t>GOTLAND</t>
        </is>
      </c>
      <c r="G173" t="n">
        <v>1.2</v>
      </c>
      <c r="H173" t="n">
        <v>0</v>
      </c>
      <c r="I173" t="n">
        <v>0</v>
      </c>
      <c r="J173" t="n">
        <v>0</v>
      </c>
      <c r="K173" t="n">
        <v>1</v>
      </c>
      <c r="L173" t="n">
        <v>0</v>
      </c>
      <c r="M173" t="n">
        <v>0</v>
      </c>
      <c r="N173" t="n">
        <v>0</v>
      </c>
      <c r="O173" t="n">
        <v>1</v>
      </c>
      <c r="P173" t="n">
        <v>1</v>
      </c>
      <c r="Q173" t="n">
        <v>1</v>
      </c>
      <c r="R173" s="2" t="inlineStr">
        <is>
          <t>Källnate</t>
        </is>
      </c>
      <c r="S173">
        <f>HYPERLINK("https://klasma.github.io/Logging_0980/artfynd/A 46545-2024 artfynd.xlsx", "A 46545-2024")</f>
        <v/>
      </c>
      <c r="T173">
        <f>HYPERLINK("https://klasma.github.io/Logging_0980/kartor/A 46545-2024 karta.png", "A 46545-2024")</f>
        <v/>
      </c>
      <c r="V173">
        <f>HYPERLINK("https://klasma.github.io/Logging_0980/klagomål/A 46545-2024 FSC-klagomål.docx", "A 46545-2024")</f>
        <v/>
      </c>
      <c r="W173">
        <f>HYPERLINK("https://klasma.github.io/Logging_0980/klagomålsmail/A 46545-2024 FSC-klagomål mail.docx", "A 46545-2024")</f>
        <v/>
      </c>
      <c r="X173">
        <f>HYPERLINK("https://klasma.github.io/Logging_0980/tillsyn/A 46545-2024 tillsynsbegäran.docx", "A 46545-2024")</f>
        <v/>
      </c>
      <c r="Y173">
        <f>HYPERLINK("https://klasma.github.io/Logging_0980/tillsynsmail/A 46545-2024 tillsynsbegäran mail.docx", "A 46545-2024")</f>
        <v/>
      </c>
    </row>
    <row r="174" ht="15" customHeight="1">
      <c r="A174" t="inlineStr">
        <is>
          <t>A 999-2023</t>
        </is>
      </c>
      <c r="B174" s="1" t="n">
        <v>44935</v>
      </c>
      <c r="C174" s="1" t="n">
        <v>46198</v>
      </c>
      <c r="D174" t="inlineStr">
        <is>
          <t>GOTLANDS LÄN</t>
        </is>
      </c>
      <c r="E174" t="inlineStr">
        <is>
          <t>GOTLAND</t>
        </is>
      </c>
      <c r="G174" t="n">
        <v>4.7</v>
      </c>
      <c r="H174" t="n">
        <v>1</v>
      </c>
      <c r="I174" t="n">
        <v>0</v>
      </c>
      <c r="J174" t="n">
        <v>0</v>
      </c>
      <c r="K174" t="n">
        <v>1</v>
      </c>
      <c r="L174" t="n">
        <v>0</v>
      </c>
      <c r="M174" t="n">
        <v>0</v>
      </c>
      <c r="N174" t="n">
        <v>0</v>
      </c>
      <c r="O174" t="n">
        <v>1</v>
      </c>
      <c r="P174" t="n">
        <v>1</v>
      </c>
      <c r="Q174" t="n">
        <v>1</v>
      </c>
      <c r="R174" s="2" t="inlineStr">
        <is>
          <t>Garderönn</t>
        </is>
      </c>
      <c r="S174">
        <f>HYPERLINK("https://klasma.github.io/Logging_0980/artfynd/A 999-2023 artfynd.xlsx", "A 999-2023")</f>
        <v/>
      </c>
      <c r="T174">
        <f>HYPERLINK("https://klasma.github.io/Logging_0980/kartor/A 999-2023 karta.png", "A 999-2023")</f>
        <v/>
      </c>
      <c r="V174">
        <f>HYPERLINK("https://klasma.github.io/Logging_0980/klagomål/A 999-2023 FSC-klagomål.docx", "A 999-2023")</f>
        <v/>
      </c>
      <c r="W174">
        <f>HYPERLINK("https://klasma.github.io/Logging_0980/klagomålsmail/A 999-2023 FSC-klagomål mail.docx", "A 999-2023")</f>
        <v/>
      </c>
      <c r="X174">
        <f>HYPERLINK("https://klasma.github.io/Logging_0980/tillsyn/A 999-2023 tillsynsbegäran.docx", "A 999-2023")</f>
        <v/>
      </c>
      <c r="Y174">
        <f>HYPERLINK("https://klasma.github.io/Logging_0980/tillsynsmail/A 999-2023 tillsynsbegäran mail.docx", "A 999-2023")</f>
        <v/>
      </c>
    </row>
    <row r="175" ht="15" customHeight="1">
      <c r="A175" t="inlineStr">
        <is>
          <t>A 447-2023</t>
        </is>
      </c>
      <c r="B175" s="1" t="n">
        <v>44929</v>
      </c>
      <c r="C175" s="1" t="n">
        <v>46198</v>
      </c>
      <c r="D175" t="inlineStr">
        <is>
          <t>GOTLANDS LÄN</t>
        </is>
      </c>
      <c r="E175" t="inlineStr">
        <is>
          <t>GOTLAND</t>
        </is>
      </c>
      <c r="G175" t="n">
        <v>5.1</v>
      </c>
      <c r="H175" t="n">
        <v>0</v>
      </c>
      <c r="I175" t="n">
        <v>0</v>
      </c>
      <c r="J175" t="n">
        <v>1</v>
      </c>
      <c r="K175" t="n">
        <v>0</v>
      </c>
      <c r="L175" t="n">
        <v>0</v>
      </c>
      <c r="M175" t="n">
        <v>0</v>
      </c>
      <c r="N175" t="n">
        <v>0</v>
      </c>
      <c r="O175" t="n">
        <v>1</v>
      </c>
      <c r="P175" t="n">
        <v>0</v>
      </c>
      <c r="Q175" t="n">
        <v>1</v>
      </c>
      <c r="R175" s="2" t="inlineStr">
        <is>
          <t>Äggspindling</t>
        </is>
      </c>
      <c r="S175">
        <f>HYPERLINK("https://klasma.github.io/Logging_0980/artfynd/A 447-2023 artfynd.xlsx", "A 447-2023")</f>
        <v/>
      </c>
      <c r="T175">
        <f>HYPERLINK("https://klasma.github.io/Logging_0980/kartor/A 447-2023 karta.png", "A 447-2023")</f>
        <v/>
      </c>
      <c r="V175">
        <f>HYPERLINK("https://klasma.github.io/Logging_0980/klagomål/A 447-2023 FSC-klagomål.docx", "A 447-2023")</f>
        <v/>
      </c>
      <c r="W175">
        <f>HYPERLINK("https://klasma.github.io/Logging_0980/klagomålsmail/A 447-2023 FSC-klagomål mail.docx", "A 447-2023")</f>
        <v/>
      </c>
      <c r="X175">
        <f>HYPERLINK("https://klasma.github.io/Logging_0980/tillsyn/A 447-2023 tillsynsbegäran.docx", "A 447-2023")</f>
        <v/>
      </c>
      <c r="Y175">
        <f>HYPERLINK("https://klasma.github.io/Logging_0980/tillsynsmail/A 447-2023 tillsynsbegäran mail.docx", "A 447-2023")</f>
        <v/>
      </c>
    </row>
    <row r="176" ht="15" customHeight="1">
      <c r="A176" t="inlineStr">
        <is>
          <t>A 27343-2026</t>
        </is>
      </c>
      <c r="B176" s="1" t="n">
        <v>46188</v>
      </c>
      <c r="C176" s="1" t="n">
        <v>46198</v>
      </c>
      <c r="D176" t="inlineStr">
        <is>
          <t>GOTLANDS LÄN</t>
        </is>
      </c>
      <c r="E176" t="inlineStr">
        <is>
          <t>GOTLAND</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HYPERLINK("https://klasma.github.io/Logging_0980/artfynd/A 27343-2026 artfynd.xlsx", "A 27343-2026")</f>
        <v/>
      </c>
      <c r="T176">
        <f>HYPERLINK("https://klasma.github.io/Logging_0980/kartor/A 27343-2026 karta.png", "A 27343-2026")</f>
        <v/>
      </c>
      <c r="V176">
        <f>HYPERLINK("https://klasma.github.io/Logging_0980/klagomål/A 27343-2026 FSC-klagomål.docx", "A 27343-2026")</f>
        <v/>
      </c>
      <c r="W176">
        <f>HYPERLINK("https://klasma.github.io/Logging_0980/klagomålsmail/A 27343-2026 FSC-klagomål mail.docx", "A 27343-2026")</f>
        <v/>
      </c>
      <c r="X176">
        <f>HYPERLINK("https://klasma.github.io/Logging_0980/tillsyn/A 27343-2026 tillsynsbegäran.docx", "A 27343-2026")</f>
        <v/>
      </c>
      <c r="Y176">
        <f>HYPERLINK("https://klasma.github.io/Logging_0980/tillsynsmail/A 27343-2026 tillsynsbegäran mail.docx", "A 27343-2026")</f>
        <v/>
      </c>
    </row>
    <row r="177" ht="15" customHeight="1">
      <c r="A177" t="inlineStr">
        <is>
          <t>A 1066-2024</t>
        </is>
      </c>
      <c r="B177" s="1" t="n">
        <v>45302</v>
      </c>
      <c r="C177" s="1" t="n">
        <v>46198</v>
      </c>
      <c r="D177" t="inlineStr">
        <is>
          <t>GOTLANDS LÄN</t>
        </is>
      </c>
      <c r="E177" t="inlineStr">
        <is>
          <t>GOTLAND</t>
        </is>
      </c>
      <c r="G177" t="n">
        <v>1.4</v>
      </c>
      <c r="H177" t="n">
        <v>0</v>
      </c>
      <c r="I177" t="n">
        <v>0</v>
      </c>
      <c r="J177" t="n">
        <v>1</v>
      </c>
      <c r="K177" t="n">
        <v>0</v>
      </c>
      <c r="L177" t="n">
        <v>0</v>
      </c>
      <c r="M177" t="n">
        <v>0</v>
      </c>
      <c r="N177" t="n">
        <v>0</v>
      </c>
      <c r="O177" t="n">
        <v>1</v>
      </c>
      <c r="P177" t="n">
        <v>0</v>
      </c>
      <c r="Q177" t="n">
        <v>1</v>
      </c>
      <c r="R177" s="2" t="inlineStr">
        <is>
          <t>Svinrot</t>
        </is>
      </c>
      <c r="S177">
        <f>HYPERLINK("https://klasma.github.io/Logging_0980/artfynd/A 1066-2024 artfynd.xlsx", "A 1066-2024")</f>
        <v/>
      </c>
      <c r="T177">
        <f>HYPERLINK("https://klasma.github.io/Logging_0980/kartor/A 1066-2024 karta.png", "A 1066-2024")</f>
        <v/>
      </c>
      <c r="V177">
        <f>HYPERLINK("https://klasma.github.io/Logging_0980/klagomål/A 1066-2024 FSC-klagomål.docx", "A 1066-2024")</f>
        <v/>
      </c>
      <c r="W177">
        <f>HYPERLINK("https://klasma.github.io/Logging_0980/klagomålsmail/A 1066-2024 FSC-klagomål mail.docx", "A 1066-2024")</f>
        <v/>
      </c>
      <c r="X177">
        <f>HYPERLINK("https://klasma.github.io/Logging_0980/tillsyn/A 1066-2024 tillsynsbegäran.docx", "A 1066-2024")</f>
        <v/>
      </c>
      <c r="Y177">
        <f>HYPERLINK("https://klasma.github.io/Logging_0980/tillsynsmail/A 1066-2024 tillsynsbegäran mail.docx", "A 1066-2024")</f>
        <v/>
      </c>
    </row>
    <row r="178" ht="15" customHeight="1">
      <c r="A178" t="inlineStr">
        <is>
          <t>A 34809-2024</t>
        </is>
      </c>
      <c r="B178" s="1" t="n">
        <v>45526</v>
      </c>
      <c r="C178" s="1" t="n">
        <v>46198</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21396-2026</t>
        </is>
      </c>
      <c r="B179" s="1" t="n">
        <v>46148</v>
      </c>
      <c r="C179" s="1" t="n">
        <v>46198</v>
      </c>
      <c r="D179" t="inlineStr">
        <is>
          <t>GOTLANDS LÄN</t>
        </is>
      </c>
      <c r="E179" t="inlineStr">
        <is>
          <t>GOTLAND</t>
        </is>
      </c>
      <c r="G179" t="n">
        <v>6.1</v>
      </c>
      <c r="H179" t="n">
        <v>0</v>
      </c>
      <c r="I179" t="n">
        <v>0</v>
      </c>
      <c r="J179" t="n">
        <v>0</v>
      </c>
      <c r="K179" t="n">
        <v>1</v>
      </c>
      <c r="L179" t="n">
        <v>0</v>
      </c>
      <c r="M179" t="n">
        <v>0</v>
      </c>
      <c r="N179" t="n">
        <v>0</v>
      </c>
      <c r="O179" t="n">
        <v>1</v>
      </c>
      <c r="P179" t="n">
        <v>1</v>
      </c>
      <c r="Q179" t="n">
        <v>1</v>
      </c>
      <c r="R179" s="2" t="inlineStr">
        <is>
          <t>Oxhorndyvel</t>
        </is>
      </c>
      <c r="S179">
        <f>HYPERLINK("https://klasma.github.io/Logging_0980/artfynd/A 21396-2026 artfynd.xlsx", "A 21396-2026")</f>
        <v/>
      </c>
      <c r="T179">
        <f>HYPERLINK("https://klasma.github.io/Logging_0980/kartor/A 21396-2026 karta.png", "A 21396-2026")</f>
        <v/>
      </c>
      <c r="V179">
        <f>HYPERLINK("https://klasma.github.io/Logging_0980/klagomål/A 21396-2026 FSC-klagomål.docx", "A 21396-2026")</f>
        <v/>
      </c>
      <c r="W179">
        <f>HYPERLINK("https://klasma.github.io/Logging_0980/klagomålsmail/A 21396-2026 FSC-klagomål mail.docx", "A 21396-2026")</f>
        <v/>
      </c>
      <c r="X179">
        <f>HYPERLINK("https://klasma.github.io/Logging_0980/tillsyn/A 21396-2026 tillsynsbegäran.docx", "A 21396-2026")</f>
        <v/>
      </c>
      <c r="Y179">
        <f>HYPERLINK("https://klasma.github.io/Logging_0980/tillsynsmail/A 21396-2026 tillsynsbegäran mail.docx", "A 21396-2026")</f>
        <v/>
      </c>
    </row>
    <row r="180" ht="15" customHeight="1">
      <c r="A180" t="inlineStr">
        <is>
          <t>A 49304-2024</t>
        </is>
      </c>
      <c r="B180" s="1" t="n">
        <v>45595</v>
      </c>
      <c r="C180" s="1" t="n">
        <v>46198</v>
      </c>
      <c r="D180" t="inlineStr">
        <is>
          <t>GOTLANDS LÄN</t>
        </is>
      </c>
      <c r="E180" t="inlineStr">
        <is>
          <t>GOTLAND</t>
        </is>
      </c>
      <c r="G180" t="n">
        <v>10.8</v>
      </c>
      <c r="H180" t="n">
        <v>0</v>
      </c>
      <c r="I180" t="n">
        <v>0</v>
      </c>
      <c r="J180" t="n">
        <v>1</v>
      </c>
      <c r="K180" t="n">
        <v>0</v>
      </c>
      <c r="L180" t="n">
        <v>0</v>
      </c>
      <c r="M180" t="n">
        <v>0</v>
      </c>
      <c r="N180" t="n">
        <v>0</v>
      </c>
      <c r="O180" t="n">
        <v>1</v>
      </c>
      <c r="P180" t="n">
        <v>0</v>
      </c>
      <c r="Q180" t="n">
        <v>1</v>
      </c>
      <c r="R180" s="2" t="inlineStr">
        <is>
          <t>Åkerranunkel</t>
        </is>
      </c>
      <c r="S180">
        <f>HYPERLINK("https://klasma.github.io/Logging_0980/artfynd/A 49304-2024 artfynd.xlsx", "A 49304-2024")</f>
        <v/>
      </c>
      <c r="T180">
        <f>HYPERLINK("https://klasma.github.io/Logging_0980/kartor/A 49304-2024 karta.png", "A 49304-2024")</f>
        <v/>
      </c>
      <c r="V180">
        <f>HYPERLINK("https://klasma.github.io/Logging_0980/klagomål/A 49304-2024 FSC-klagomål.docx", "A 49304-2024")</f>
        <v/>
      </c>
      <c r="W180">
        <f>HYPERLINK("https://klasma.github.io/Logging_0980/klagomålsmail/A 49304-2024 FSC-klagomål mail.docx", "A 49304-2024")</f>
        <v/>
      </c>
      <c r="X180">
        <f>HYPERLINK("https://klasma.github.io/Logging_0980/tillsyn/A 49304-2024 tillsynsbegäran.docx", "A 49304-2024")</f>
        <v/>
      </c>
      <c r="Y180">
        <f>HYPERLINK("https://klasma.github.io/Logging_0980/tillsynsmail/A 49304-2024 tillsynsbegäran mail.docx", "A 49304-2024")</f>
        <v/>
      </c>
    </row>
    <row r="181" ht="15" customHeight="1">
      <c r="A181" t="inlineStr">
        <is>
          <t>A 22782-2023</t>
        </is>
      </c>
      <c r="B181" s="1" t="n">
        <v>45072</v>
      </c>
      <c r="C181" s="1" t="n">
        <v>46198</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44088-2022</t>
        </is>
      </c>
      <c r="B182" s="1" t="n">
        <v>44839</v>
      </c>
      <c r="C182" s="1" t="n">
        <v>46198</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Strävlosta</t>
        </is>
      </c>
      <c r="S182">
        <f>HYPERLINK("https://klasma.github.io/Logging_0980/artfynd/A 44088-2022 artfynd.xlsx", "A 44088-2022")</f>
        <v/>
      </c>
      <c r="T182">
        <f>HYPERLINK("https://klasma.github.io/Logging_0980/kartor/A 44088-2022 karta.png", "A 44088-2022")</f>
        <v/>
      </c>
      <c r="V182">
        <f>HYPERLINK("https://klasma.github.io/Logging_0980/klagomål/A 44088-2022 FSC-klagomål.docx", "A 44088-2022")</f>
        <v/>
      </c>
      <c r="W182">
        <f>HYPERLINK("https://klasma.github.io/Logging_0980/klagomålsmail/A 44088-2022 FSC-klagomål mail.docx", "A 44088-2022")</f>
        <v/>
      </c>
      <c r="X182">
        <f>HYPERLINK("https://klasma.github.io/Logging_0980/tillsyn/A 44088-2022 tillsynsbegäran.docx", "A 44088-2022")</f>
        <v/>
      </c>
      <c r="Y182">
        <f>HYPERLINK("https://klasma.github.io/Logging_0980/tillsynsmail/A 44088-2022 tillsynsbegäran mail.docx", "A 44088-2022")</f>
        <v/>
      </c>
    </row>
    <row r="183" ht="15" customHeight="1">
      <c r="A183" t="inlineStr">
        <is>
          <t>A 69112-2021</t>
        </is>
      </c>
      <c r="B183" s="1" t="n">
        <v>44530</v>
      </c>
      <c r="C183" s="1" t="n">
        <v>46198</v>
      </c>
      <c r="D183" t="inlineStr">
        <is>
          <t>GOTLANDS LÄN</t>
        </is>
      </c>
      <c r="E183" t="inlineStr">
        <is>
          <t>GOTLAND</t>
        </is>
      </c>
      <c r="G183" t="n">
        <v>4.2</v>
      </c>
      <c r="H183" t="n">
        <v>0</v>
      </c>
      <c r="I183" t="n">
        <v>0</v>
      </c>
      <c r="J183" t="n">
        <v>1</v>
      </c>
      <c r="K183" t="n">
        <v>0</v>
      </c>
      <c r="L183" t="n">
        <v>0</v>
      </c>
      <c r="M183" t="n">
        <v>0</v>
      </c>
      <c r="N183" t="n">
        <v>0</v>
      </c>
      <c r="O183" t="n">
        <v>1</v>
      </c>
      <c r="P183" t="n">
        <v>0</v>
      </c>
      <c r="Q183" t="n">
        <v>1</v>
      </c>
      <c r="R183" s="2" t="inlineStr">
        <is>
          <t>Sårläka</t>
        </is>
      </c>
      <c r="S183">
        <f>HYPERLINK("https://klasma.github.io/Logging_0980/artfynd/A 69112-2021 artfynd.xlsx", "A 69112-2021")</f>
        <v/>
      </c>
      <c r="T183">
        <f>HYPERLINK("https://klasma.github.io/Logging_0980/kartor/A 69112-2021 karta.png", "A 69112-2021")</f>
        <v/>
      </c>
      <c r="V183">
        <f>HYPERLINK("https://klasma.github.io/Logging_0980/klagomål/A 69112-2021 FSC-klagomål.docx", "A 69112-2021")</f>
        <v/>
      </c>
      <c r="W183">
        <f>HYPERLINK("https://klasma.github.io/Logging_0980/klagomålsmail/A 69112-2021 FSC-klagomål mail.docx", "A 69112-2021")</f>
        <v/>
      </c>
      <c r="X183">
        <f>HYPERLINK("https://klasma.github.io/Logging_0980/tillsyn/A 69112-2021 tillsynsbegäran.docx", "A 69112-2021")</f>
        <v/>
      </c>
      <c r="Y183">
        <f>HYPERLINK("https://klasma.github.io/Logging_0980/tillsynsmail/A 69112-2021 tillsynsbegäran mail.docx", "A 69112-2021")</f>
        <v/>
      </c>
    </row>
    <row r="184" ht="15" customHeight="1">
      <c r="A184" t="inlineStr">
        <is>
          <t>A 1477-2024</t>
        </is>
      </c>
      <c r="B184" s="1" t="n">
        <v>45305</v>
      </c>
      <c r="C184" s="1" t="n">
        <v>46198</v>
      </c>
      <c r="D184" t="inlineStr">
        <is>
          <t>GOTLANDS LÄN</t>
        </is>
      </c>
      <c r="E184" t="inlineStr">
        <is>
          <t>GOTLAND</t>
        </is>
      </c>
      <c r="G184" t="n">
        <v>6.9</v>
      </c>
      <c r="H184" t="n">
        <v>0</v>
      </c>
      <c r="I184" t="n">
        <v>0</v>
      </c>
      <c r="J184" t="n">
        <v>0</v>
      </c>
      <c r="K184" t="n">
        <v>1</v>
      </c>
      <c r="L184" t="n">
        <v>0</v>
      </c>
      <c r="M184" t="n">
        <v>0</v>
      </c>
      <c r="N184" t="n">
        <v>0</v>
      </c>
      <c r="O184" t="n">
        <v>1</v>
      </c>
      <c r="P184" t="n">
        <v>1</v>
      </c>
      <c r="Q184" t="n">
        <v>1</v>
      </c>
      <c r="R184" s="2" t="inlineStr">
        <is>
          <t>Igelkott</t>
        </is>
      </c>
      <c r="S184">
        <f>HYPERLINK("https://klasma.github.io/Logging_0980/artfynd/A 1477-2024 artfynd.xlsx", "A 1477-2024")</f>
        <v/>
      </c>
      <c r="T184">
        <f>HYPERLINK("https://klasma.github.io/Logging_0980/kartor/A 1477-2024 karta.png", "A 1477-2024")</f>
        <v/>
      </c>
      <c r="V184">
        <f>HYPERLINK("https://klasma.github.io/Logging_0980/klagomål/A 1477-2024 FSC-klagomål.docx", "A 1477-2024")</f>
        <v/>
      </c>
      <c r="W184">
        <f>HYPERLINK("https://klasma.github.io/Logging_0980/klagomålsmail/A 1477-2024 FSC-klagomål mail.docx", "A 1477-2024")</f>
        <v/>
      </c>
      <c r="X184">
        <f>HYPERLINK("https://klasma.github.io/Logging_0980/tillsyn/A 1477-2024 tillsynsbegäran.docx", "A 1477-2024")</f>
        <v/>
      </c>
      <c r="Y184">
        <f>HYPERLINK("https://klasma.github.io/Logging_0980/tillsynsmail/A 1477-2024 tillsynsbegäran mail.docx", "A 1477-2024")</f>
        <v/>
      </c>
    </row>
    <row r="185" ht="15" customHeight="1">
      <c r="A185" t="inlineStr">
        <is>
          <t>A 1677-2023</t>
        </is>
      </c>
      <c r="B185" s="1" t="n">
        <v>44938</v>
      </c>
      <c r="C185" s="1" t="n">
        <v>46198</v>
      </c>
      <c r="D185" t="inlineStr">
        <is>
          <t>GOTLANDS LÄN</t>
        </is>
      </c>
      <c r="E185" t="inlineStr">
        <is>
          <t>GOTLAND</t>
        </is>
      </c>
      <c r="G185" t="n">
        <v>1.6</v>
      </c>
      <c r="H185" t="n">
        <v>0</v>
      </c>
      <c r="I185" t="n">
        <v>0</v>
      </c>
      <c r="J185" t="n">
        <v>1</v>
      </c>
      <c r="K185" t="n">
        <v>0</v>
      </c>
      <c r="L185" t="n">
        <v>0</v>
      </c>
      <c r="M185" t="n">
        <v>0</v>
      </c>
      <c r="N185" t="n">
        <v>0</v>
      </c>
      <c r="O185" t="n">
        <v>1</v>
      </c>
      <c r="P185" t="n">
        <v>0</v>
      </c>
      <c r="Q185" t="n">
        <v>1</v>
      </c>
      <c r="R185" s="2" t="inlineStr">
        <is>
          <t>Strandrosettmossa</t>
        </is>
      </c>
      <c r="S185">
        <f>HYPERLINK("https://klasma.github.io/Logging_0980/artfynd/A 1677-2023 artfynd.xlsx", "A 1677-2023")</f>
        <v/>
      </c>
      <c r="T185">
        <f>HYPERLINK("https://klasma.github.io/Logging_0980/kartor/A 1677-2023 karta.png", "A 1677-2023")</f>
        <v/>
      </c>
      <c r="V185">
        <f>HYPERLINK("https://klasma.github.io/Logging_0980/klagomål/A 1677-2023 FSC-klagomål.docx", "A 1677-2023")</f>
        <v/>
      </c>
      <c r="W185">
        <f>HYPERLINK("https://klasma.github.io/Logging_0980/klagomålsmail/A 1677-2023 FSC-klagomål mail.docx", "A 1677-2023")</f>
        <v/>
      </c>
      <c r="X185">
        <f>HYPERLINK("https://klasma.github.io/Logging_0980/tillsyn/A 1677-2023 tillsynsbegäran.docx", "A 1677-2023")</f>
        <v/>
      </c>
      <c r="Y185">
        <f>HYPERLINK("https://klasma.github.io/Logging_0980/tillsynsmail/A 1677-2023 tillsynsbegäran mail.docx", "A 1677-2023")</f>
        <v/>
      </c>
    </row>
    <row r="186" ht="15" customHeight="1">
      <c r="A186" t="inlineStr">
        <is>
          <t>A 11982-2026</t>
        </is>
      </c>
      <c r="B186" s="1" t="n">
        <v>46085</v>
      </c>
      <c r="C186" s="1" t="n">
        <v>46198</v>
      </c>
      <c r="D186" t="inlineStr">
        <is>
          <t>GOTLANDS LÄN</t>
        </is>
      </c>
      <c r="E186" t="inlineStr">
        <is>
          <t>GOTLAND</t>
        </is>
      </c>
      <c r="G186" t="n">
        <v>2.2</v>
      </c>
      <c r="H186" t="n">
        <v>0</v>
      </c>
      <c r="I186" t="n">
        <v>0</v>
      </c>
      <c r="J186" t="n">
        <v>1</v>
      </c>
      <c r="K186" t="n">
        <v>0</v>
      </c>
      <c r="L186" t="n">
        <v>0</v>
      </c>
      <c r="M186" t="n">
        <v>0</v>
      </c>
      <c r="N186" t="n">
        <v>0</v>
      </c>
      <c r="O186" t="n">
        <v>1</v>
      </c>
      <c r="P186" t="n">
        <v>0</v>
      </c>
      <c r="Q186" t="n">
        <v>1</v>
      </c>
      <c r="R186" s="2" t="inlineStr">
        <is>
          <t>Småtörel</t>
        </is>
      </c>
      <c r="S186">
        <f>HYPERLINK("https://klasma.github.io/Logging_0980/artfynd/A 11982-2026 artfynd.xlsx", "A 11982-2026")</f>
        <v/>
      </c>
      <c r="T186">
        <f>HYPERLINK("https://klasma.github.io/Logging_0980/kartor/A 11982-2026 karta.png", "A 11982-2026")</f>
        <v/>
      </c>
      <c r="V186">
        <f>HYPERLINK("https://klasma.github.io/Logging_0980/klagomål/A 11982-2026 FSC-klagomål.docx", "A 11982-2026")</f>
        <v/>
      </c>
      <c r="W186">
        <f>HYPERLINK("https://klasma.github.io/Logging_0980/klagomålsmail/A 11982-2026 FSC-klagomål mail.docx", "A 11982-2026")</f>
        <v/>
      </c>
      <c r="X186">
        <f>HYPERLINK("https://klasma.github.io/Logging_0980/tillsyn/A 11982-2026 tillsynsbegäran.docx", "A 11982-2026")</f>
        <v/>
      </c>
      <c r="Y186">
        <f>HYPERLINK("https://klasma.github.io/Logging_0980/tillsynsmail/A 11982-2026 tillsynsbegäran mail.docx", "A 11982-2026")</f>
        <v/>
      </c>
    </row>
    <row r="187" ht="15" customHeight="1">
      <c r="A187" t="inlineStr">
        <is>
          <t>A 62915-2021</t>
        </is>
      </c>
      <c r="B187" s="1" t="n">
        <v>44504</v>
      </c>
      <c r="C187" s="1" t="n">
        <v>46198</v>
      </c>
      <c r="D187" t="inlineStr">
        <is>
          <t>GOTLANDS LÄN</t>
        </is>
      </c>
      <c r="E187" t="inlineStr">
        <is>
          <t>GOTLAND</t>
        </is>
      </c>
      <c r="G187" t="n">
        <v>1.1</v>
      </c>
      <c r="H187" t="n">
        <v>1</v>
      </c>
      <c r="I187" t="n">
        <v>0</v>
      </c>
      <c r="J187" t="n">
        <v>0</v>
      </c>
      <c r="K187" t="n">
        <v>0</v>
      </c>
      <c r="L187" t="n">
        <v>0</v>
      </c>
      <c r="M187" t="n">
        <v>0</v>
      </c>
      <c r="N187" t="n">
        <v>0</v>
      </c>
      <c r="O187" t="n">
        <v>0</v>
      </c>
      <c r="P187" t="n">
        <v>0</v>
      </c>
      <c r="Q187" t="n">
        <v>1</v>
      </c>
      <c r="R187" s="2" t="inlineStr">
        <is>
          <t>Bredarun</t>
        </is>
      </c>
      <c r="S187">
        <f>HYPERLINK("https://klasma.github.io/Logging_0980/artfynd/A 62915-2021 artfynd.xlsx", "A 62915-2021")</f>
        <v/>
      </c>
      <c r="T187">
        <f>HYPERLINK("https://klasma.github.io/Logging_0980/kartor/A 62915-2021 karta.png", "A 62915-2021")</f>
        <v/>
      </c>
      <c r="V187">
        <f>HYPERLINK("https://klasma.github.io/Logging_0980/klagomål/A 62915-2021 FSC-klagomål.docx", "A 62915-2021")</f>
        <v/>
      </c>
      <c r="W187">
        <f>HYPERLINK("https://klasma.github.io/Logging_0980/klagomålsmail/A 62915-2021 FSC-klagomål mail.docx", "A 62915-2021")</f>
        <v/>
      </c>
      <c r="X187">
        <f>HYPERLINK("https://klasma.github.io/Logging_0980/tillsyn/A 62915-2021 tillsynsbegäran.docx", "A 62915-2021")</f>
        <v/>
      </c>
      <c r="Y187">
        <f>HYPERLINK("https://klasma.github.io/Logging_0980/tillsynsmail/A 62915-2021 tillsynsbegäran mail.docx", "A 62915-2021")</f>
        <v/>
      </c>
    </row>
    <row r="188" ht="15" customHeight="1">
      <c r="A188" t="inlineStr">
        <is>
          <t>A 7637-2025</t>
        </is>
      </c>
      <c r="B188" s="1" t="n">
        <v>45705</v>
      </c>
      <c r="C188" s="1" t="n">
        <v>46198</v>
      </c>
      <c r="D188" t="inlineStr">
        <is>
          <t>GOTLANDS LÄN</t>
        </is>
      </c>
      <c r="E188" t="inlineStr">
        <is>
          <t>GOTLAND</t>
        </is>
      </c>
      <c r="G188" t="n">
        <v>3.7</v>
      </c>
      <c r="H188" t="n">
        <v>0</v>
      </c>
      <c r="I188" t="n">
        <v>0</v>
      </c>
      <c r="J188" t="n">
        <v>0</v>
      </c>
      <c r="K188" t="n">
        <v>0</v>
      </c>
      <c r="L188" t="n">
        <v>1</v>
      </c>
      <c r="M188" t="n">
        <v>0</v>
      </c>
      <c r="N188" t="n">
        <v>0</v>
      </c>
      <c r="O188" t="n">
        <v>1</v>
      </c>
      <c r="P188" t="n">
        <v>1</v>
      </c>
      <c r="Q188" t="n">
        <v>1</v>
      </c>
      <c r="R188" s="2" t="inlineStr">
        <is>
          <t>Skogsalm</t>
        </is>
      </c>
      <c r="S188">
        <f>HYPERLINK("https://klasma.github.io/Logging_0980/artfynd/A 7637-2025 artfynd.xlsx", "A 7637-2025")</f>
        <v/>
      </c>
      <c r="T188">
        <f>HYPERLINK("https://klasma.github.io/Logging_0980/kartor/A 7637-2025 karta.png", "A 7637-2025")</f>
        <v/>
      </c>
      <c r="V188">
        <f>HYPERLINK("https://klasma.github.io/Logging_0980/klagomål/A 7637-2025 FSC-klagomål.docx", "A 7637-2025")</f>
        <v/>
      </c>
      <c r="W188">
        <f>HYPERLINK("https://klasma.github.io/Logging_0980/klagomålsmail/A 7637-2025 FSC-klagomål mail.docx", "A 7637-2025")</f>
        <v/>
      </c>
      <c r="X188">
        <f>HYPERLINK("https://klasma.github.io/Logging_0980/tillsyn/A 7637-2025 tillsynsbegäran.docx", "A 7637-2025")</f>
        <v/>
      </c>
      <c r="Y188">
        <f>HYPERLINK("https://klasma.github.io/Logging_0980/tillsynsmail/A 7637-2025 tillsynsbegäran mail.docx", "A 7637-2025")</f>
        <v/>
      </c>
    </row>
    <row r="189" ht="15" customHeight="1">
      <c r="A189" t="inlineStr">
        <is>
          <t>A 13482-2026</t>
        </is>
      </c>
      <c r="B189" s="1" t="n">
        <v>46094</v>
      </c>
      <c r="C189" s="1" t="n">
        <v>46198</v>
      </c>
      <c r="D189" t="inlineStr">
        <is>
          <t>GOTLANDS LÄN</t>
        </is>
      </c>
      <c r="E189" t="inlineStr">
        <is>
          <t>GOTLAND</t>
        </is>
      </c>
      <c r="G189" t="n">
        <v>1.7</v>
      </c>
      <c r="H189" t="n">
        <v>1</v>
      </c>
      <c r="I189" t="n">
        <v>0</v>
      </c>
      <c r="J189" t="n">
        <v>0</v>
      </c>
      <c r="K189" t="n">
        <v>0</v>
      </c>
      <c r="L189" t="n">
        <v>0</v>
      </c>
      <c r="M189" t="n">
        <v>0</v>
      </c>
      <c r="N189" t="n">
        <v>0</v>
      </c>
      <c r="O189" t="n">
        <v>0</v>
      </c>
      <c r="P189" t="n">
        <v>0</v>
      </c>
      <c r="Q189" t="n">
        <v>1</v>
      </c>
      <c r="R189" s="2" t="inlineStr">
        <is>
          <t>Spillkråka</t>
        </is>
      </c>
      <c r="S189">
        <f>HYPERLINK("https://klasma.github.io/Logging_0980/artfynd/A 13482-2026 artfynd.xlsx", "A 13482-2026")</f>
        <v/>
      </c>
      <c r="T189">
        <f>HYPERLINK("https://klasma.github.io/Logging_0980/kartor/A 13482-2026 karta.png", "A 13482-2026")</f>
        <v/>
      </c>
      <c r="V189">
        <f>HYPERLINK("https://klasma.github.io/Logging_0980/klagomål/A 13482-2026 FSC-klagomål.docx", "A 13482-2026")</f>
        <v/>
      </c>
      <c r="W189">
        <f>HYPERLINK("https://klasma.github.io/Logging_0980/klagomålsmail/A 13482-2026 FSC-klagomål mail.docx", "A 13482-2026")</f>
        <v/>
      </c>
      <c r="X189">
        <f>HYPERLINK("https://klasma.github.io/Logging_0980/tillsyn/A 13482-2026 tillsynsbegäran.docx", "A 13482-2026")</f>
        <v/>
      </c>
      <c r="Y189">
        <f>HYPERLINK("https://klasma.github.io/Logging_0980/tillsynsmail/A 13482-2026 tillsynsbegäran mail.docx", "A 13482-2026")</f>
        <v/>
      </c>
      <c r="Z189">
        <f>HYPERLINK("https://klasma.github.io/Logging_0980/fåglar/A 13482-2026 prioriterade fågelarter.docx", "A 13482-2026")</f>
        <v/>
      </c>
    </row>
    <row r="190" ht="15" customHeight="1">
      <c r="A190" t="inlineStr">
        <is>
          <t>A 4662-2026</t>
        </is>
      </c>
      <c r="B190" s="1" t="n">
        <v>46048</v>
      </c>
      <c r="C190" s="1" t="n">
        <v>46198</v>
      </c>
      <c r="D190" t="inlineStr">
        <is>
          <t>GOTLANDS LÄN</t>
        </is>
      </c>
      <c r="E190" t="inlineStr">
        <is>
          <t>GOTLAND</t>
        </is>
      </c>
      <c r="G190" t="n">
        <v>7.6</v>
      </c>
      <c r="H190" t="n">
        <v>0</v>
      </c>
      <c r="I190" t="n">
        <v>0</v>
      </c>
      <c r="J190" t="n">
        <v>0</v>
      </c>
      <c r="K190" t="n">
        <v>1</v>
      </c>
      <c r="L190" t="n">
        <v>0</v>
      </c>
      <c r="M190" t="n">
        <v>0</v>
      </c>
      <c r="N190" t="n">
        <v>0</v>
      </c>
      <c r="O190" t="n">
        <v>1</v>
      </c>
      <c r="P190" t="n">
        <v>1</v>
      </c>
      <c r="Q190" t="n">
        <v>1</v>
      </c>
      <c r="R190" s="2" t="inlineStr">
        <is>
          <t>Strandviol</t>
        </is>
      </c>
      <c r="S190">
        <f>HYPERLINK("https://klasma.github.io/Logging_0980/artfynd/A 4662-2026 artfynd.xlsx", "A 4662-2026")</f>
        <v/>
      </c>
      <c r="T190">
        <f>HYPERLINK("https://klasma.github.io/Logging_0980/kartor/A 4662-2026 karta.png", "A 4662-2026")</f>
        <v/>
      </c>
      <c r="V190">
        <f>HYPERLINK("https://klasma.github.io/Logging_0980/klagomål/A 4662-2026 FSC-klagomål.docx", "A 4662-2026")</f>
        <v/>
      </c>
      <c r="W190">
        <f>HYPERLINK("https://klasma.github.io/Logging_0980/klagomålsmail/A 4662-2026 FSC-klagomål mail.docx", "A 4662-2026")</f>
        <v/>
      </c>
      <c r="X190">
        <f>HYPERLINK("https://klasma.github.io/Logging_0980/tillsyn/A 4662-2026 tillsynsbegäran.docx", "A 4662-2026")</f>
        <v/>
      </c>
      <c r="Y190">
        <f>HYPERLINK("https://klasma.github.io/Logging_0980/tillsynsmail/A 4662-2026 tillsynsbegäran mail.docx", "A 4662-2026")</f>
        <v/>
      </c>
    </row>
    <row r="191" ht="15" customHeight="1">
      <c r="A191" t="inlineStr">
        <is>
          <t>A 61796-2022</t>
        </is>
      </c>
      <c r="B191" s="1" t="n">
        <v>44917</v>
      </c>
      <c r="C191" s="1" t="n">
        <v>46198</v>
      </c>
      <c r="D191" t="inlineStr">
        <is>
          <t>GOTLANDS LÄN</t>
        </is>
      </c>
      <c r="E191" t="inlineStr">
        <is>
          <t>GOTLAND</t>
        </is>
      </c>
      <c r="G191" t="n">
        <v>1.5</v>
      </c>
      <c r="H191" t="n">
        <v>1</v>
      </c>
      <c r="I191" t="n">
        <v>0</v>
      </c>
      <c r="J191" t="n">
        <v>0</v>
      </c>
      <c r="K191" t="n">
        <v>0</v>
      </c>
      <c r="L191" t="n">
        <v>0</v>
      </c>
      <c r="M191" t="n">
        <v>0</v>
      </c>
      <c r="N191" t="n">
        <v>0</v>
      </c>
      <c r="O191" t="n">
        <v>0</v>
      </c>
      <c r="P191" t="n">
        <v>0</v>
      </c>
      <c r="Q191" t="n">
        <v>1</v>
      </c>
      <c r="R191" s="2" t="inlineStr">
        <is>
          <t>Skogsduva</t>
        </is>
      </c>
      <c r="S191">
        <f>HYPERLINK("https://klasma.github.io/Logging_0980/artfynd/A 61796-2022 artfynd.xlsx", "A 61796-2022")</f>
        <v/>
      </c>
      <c r="T191">
        <f>HYPERLINK("https://klasma.github.io/Logging_0980/kartor/A 61796-2022 karta.png", "A 61796-2022")</f>
        <v/>
      </c>
      <c r="V191">
        <f>HYPERLINK("https://klasma.github.io/Logging_0980/klagomål/A 61796-2022 FSC-klagomål.docx", "A 61796-2022")</f>
        <v/>
      </c>
      <c r="W191">
        <f>HYPERLINK("https://klasma.github.io/Logging_0980/klagomålsmail/A 61796-2022 FSC-klagomål mail.docx", "A 61796-2022")</f>
        <v/>
      </c>
      <c r="X191">
        <f>HYPERLINK("https://klasma.github.io/Logging_0980/tillsyn/A 61796-2022 tillsynsbegäran.docx", "A 61796-2022")</f>
        <v/>
      </c>
      <c r="Y191">
        <f>HYPERLINK("https://klasma.github.io/Logging_0980/tillsynsmail/A 61796-2022 tillsynsbegäran mail.docx", "A 61796-2022")</f>
        <v/>
      </c>
    </row>
    <row r="192" ht="15" customHeight="1">
      <c r="A192" t="inlineStr">
        <is>
          <t>A 17000-2026</t>
        </is>
      </c>
      <c r="B192" s="1" t="n">
        <v>46114</v>
      </c>
      <c r="C192" s="1" t="n">
        <v>46198</v>
      </c>
      <c r="D192" t="inlineStr">
        <is>
          <t>GOTLANDS LÄN</t>
        </is>
      </c>
      <c r="E192" t="inlineStr">
        <is>
          <t>GOTLAND</t>
        </is>
      </c>
      <c r="G192" t="n">
        <v>1.9</v>
      </c>
      <c r="H192" t="n">
        <v>1</v>
      </c>
      <c r="I192" t="n">
        <v>0</v>
      </c>
      <c r="J192" t="n">
        <v>0</v>
      </c>
      <c r="K192" t="n">
        <v>0</v>
      </c>
      <c r="L192" t="n">
        <v>0</v>
      </c>
      <c r="M192" t="n">
        <v>0</v>
      </c>
      <c r="N192" t="n">
        <v>0</v>
      </c>
      <c r="O192" t="n">
        <v>0</v>
      </c>
      <c r="P192" t="n">
        <v>0</v>
      </c>
      <c r="Q192" t="n">
        <v>1</v>
      </c>
      <c r="R192" s="2" t="inlineStr">
        <is>
          <t>Kalkkrassing</t>
        </is>
      </c>
      <c r="S192">
        <f>HYPERLINK("https://klasma.github.io/Logging_0980/artfynd/A 17000-2026 artfynd.xlsx", "A 17000-2026")</f>
        <v/>
      </c>
      <c r="T192">
        <f>HYPERLINK("https://klasma.github.io/Logging_0980/kartor/A 17000-2026 karta.png", "A 17000-2026")</f>
        <v/>
      </c>
      <c r="V192">
        <f>HYPERLINK("https://klasma.github.io/Logging_0980/klagomål/A 17000-2026 FSC-klagomål.docx", "A 17000-2026")</f>
        <v/>
      </c>
      <c r="W192">
        <f>HYPERLINK("https://klasma.github.io/Logging_0980/klagomålsmail/A 17000-2026 FSC-klagomål mail.docx", "A 17000-2026")</f>
        <v/>
      </c>
      <c r="X192">
        <f>HYPERLINK("https://klasma.github.io/Logging_0980/tillsyn/A 17000-2026 tillsynsbegäran.docx", "A 17000-2026")</f>
        <v/>
      </c>
      <c r="Y192">
        <f>HYPERLINK("https://klasma.github.io/Logging_0980/tillsynsmail/A 17000-2026 tillsynsbegäran mail.docx", "A 17000-2026")</f>
        <v/>
      </c>
    </row>
    <row r="193" ht="15" customHeight="1">
      <c r="A193" t="inlineStr">
        <is>
          <t>A 10218-2025</t>
        </is>
      </c>
      <c r="B193" s="1" t="n">
        <v>45720</v>
      </c>
      <c r="C193" s="1" t="n">
        <v>46198</v>
      </c>
      <c r="D193" t="inlineStr">
        <is>
          <t>GOTLANDS LÄN</t>
        </is>
      </c>
      <c r="E193" t="inlineStr">
        <is>
          <t>GOTLAND</t>
        </is>
      </c>
      <c r="G193" t="n">
        <v>8.1</v>
      </c>
      <c r="H193" t="n">
        <v>0</v>
      </c>
      <c r="I193" t="n">
        <v>1</v>
      </c>
      <c r="J193" t="n">
        <v>0</v>
      </c>
      <c r="K193" t="n">
        <v>0</v>
      </c>
      <c r="L193" t="n">
        <v>0</v>
      </c>
      <c r="M193" t="n">
        <v>0</v>
      </c>
      <c r="N193" t="n">
        <v>0</v>
      </c>
      <c r="O193" t="n">
        <v>0</v>
      </c>
      <c r="P193" t="n">
        <v>0</v>
      </c>
      <c r="Q193" t="n">
        <v>1</v>
      </c>
      <c r="R193" s="2" t="inlineStr">
        <is>
          <t>Kalktallört</t>
        </is>
      </c>
      <c r="S193">
        <f>HYPERLINK("https://klasma.github.io/Logging_0980/artfynd/A 10218-2025 artfynd.xlsx", "A 10218-2025")</f>
        <v/>
      </c>
      <c r="T193">
        <f>HYPERLINK("https://klasma.github.io/Logging_0980/kartor/A 10218-2025 karta.png", "A 10218-2025")</f>
        <v/>
      </c>
      <c r="V193">
        <f>HYPERLINK("https://klasma.github.io/Logging_0980/klagomål/A 10218-2025 FSC-klagomål.docx", "A 10218-2025")</f>
        <v/>
      </c>
      <c r="W193">
        <f>HYPERLINK("https://klasma.github.io/Logging_0980/klagomålsmail/A 10218-2025 FSC-klagomål mail.docx", "A 10218-2025")</f>
        <v/>
      </c>
      <c r="X193">
        <f>HYPERLINK("https://klasma.github.io/Logging_0980/tillsyn/A 10218-2025 tillsynsbegäran.docx", "A 10218-2025")</f>
        <v/>
      </c>
      <c r="Y193">
        <f>HYPERLINK("https://klasma.github.io/Logging_0980/tillsynsmail/A 10218-2025 tillsynsbegäran mail.docx", "A 10218-2025")</f>
        <v/>
      </c>
    </row>
    <row r="194" ht="15" customHeight="1">
      <c r="A194" t="inlineStr">
        <is>
          <t>A 12379-2024</t>
        </is>
      </c>
      <c r="B194" s="1" t="n">
        <v>45379</v>
      </c>
      <c r="C194" s="1" t="n">
        <v>46198</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17854-2026</t>
        </is>
      </c>
      <c r="B195" s="1" t="n">
        <v>46121</v>
      </c>
      <c r="C195" s="1" t="n">
        <v>46198</v>
      </c>
      <c r="D195" t="inlineStr">
        <is>
          <t>GOTLANDS LÄN</t>
        </is>
      </c>
      <c r="E195" t="inlineStr">
        <is>
          <t>GOTLAND</t>
        </is>
      </c>
      <c r="G195" t="n">
        <v>6.6</v>
      </c>
      <c r="H195" t="n">
        <v>0</v>
      </c>
      <c r="I195" t="n">
        <v>0</v>
      </c>
      <c r="J195" t="n">
        <v>1</v>
      </c>
      <c r="K195" t="n">
        <v>0</v>
      </c>
      <c r="L195" t="n">
        <v>0</v>
      </c>
      <c r="M195" t="n">
        <v>0</v>
      </c>
      <c r="N195" t="n">
        <v>0</v>
      </c>
      <c r="O195" t="n">
        <v>1</v>
      </c>
      <c r="P195" t="n">
        <v>0</v>
      </c>
      <c r="Q195" t="n">
        <v>1</v>
      </c>
      <c r="R195" s="2" t="inlineStr">
        <is>
          <t>Blå slemspindling</t>
        </is>
      </c>
      <c r="S195">
        <f>HYPERLINK("https://klasma.github.io/Logging_0980/artfynd/A 17854-2026 artfynd.xlsx", "A 17854-2026")</f>
        <v/>
      </c>
      <c r="T195">
        <f>HYPERLINK("https://klasma.github.io/Logging_0980/kartor/A 17854-2026 karta.png", "A 17854-2026")</f>
        <v/>
      </c>
      <c r="V195">
        <f>HYPERLINK("https://klasma.github.io/Logging_0980/klagomål/A 17854-2026 FSC-klagomål.docx", "A 17854-2026")</f>
        <v/>
      </c>
      <c r="W195">
        <f>HYPERLINK("https://klasma.github.io/Logging_0980/klagomålsmail/A 17854-2026 FSC-klagomål mail.docx", "A 17854-2026")</f>
        <v/>
      </c>
      <c r="X195">
        <f>HYPERLINK("https://klasma.github.io/Logging_0980/tillsyn/A 17854-2026 tillsynsbegäran.docx", "A 17854-2026")</f>
        <v/>
      </c>
      <c r="Y195">
        <f>HYPERLINK("https://klasma.github.io/Logging_0980/tillsynsmail/A 17854-2026 tillsynsbegäran mail.docx", "A 17854-2026")</f>
        <v/>
      </c>
    </row>
    <row r="196" ht="15" customHeight="1">
      <c r="A196" t="inlineStr">
        <is>
          <t>A 64700-2021</t>
        </is>
      </c>
      <c r="B196" s="1" t="n">
        <v>44511</v>
      </c>
      <c r="C196" s="1" t="n">
        <v>46198</v>
      </c>
      <c r="D196" t="inlineStr">
        <is>
          <t>GOTLANDS LÄN</t>
        </is>
      </c>
      <c r="E196" t="inlineStr">
        <is>
          <t>GOTLAND</t>
        </is>
      </c>
      <c r="F196" t="inlineStr">
        <is>
          <t>Naturvårdsverket</t>
        </is>
      </c>
      <c r="G196" t="n">
        <v>2.4</v>
      </c>
      <c r="H196" t="n">
        <v>1</v>
      </c>
      <c r="I196" t="n">
        <v>0</v>
      </c>
      <c r="J196" t="n">
        <v>1</v>
      </c>
      <c r="K196" t="n">
        <v>0</v>
      </c>
      <c r="L196" t="n">
        <v>0</v>
      </c>
      <c r="M196" t="n">
        <v>0</v>
      </c>
      <c r="N196" t="n">
        <v>0</v>
      </c>
      <c r="O196" t="n">
        <v>1</v>
      </c>
      <c r="P196" t="n">
        <v>0</v>
      </c>
      <c r="Q196" t="n">
        <v>1</v>
      </c>
      <c r="R196" s="2" t="inlineStr">
        <is>
          <t>Kalkdån</t>
        </is>
      </c>
      <c r="S196">
        <f>HYPERLINK("https://klasma.github.io/Logging_0980/artfynd/A 64700-2021 artfynd.xlsx", "A 64700-2021")</f>
        <v/>
      </c>
      <c r="T196">
        <f>HYPERLINK("https://klasma.github.io/Logging_0980/kartor/A 64700-2021 karta.png", "A 64700-2021")</f>
        <v/>
      </c>
      <c r="V196">
        <f>HYPERLINK("https://klasma.github.io/Logging_0980/klagomål/A 64700-2021 FSC-klagomål.docx", "A 64700-2021")</f>
        <v/>
      </c>
      <c r="W196">
        <f>HYPERLINK("https://klasma.github.io/Logging_0980/klagomålsmail/A 64700-2021 FSC-klagomål mail.docx", "A 64700-2021")</f>
        <v/>
      </c>
      <c r="X196">
        <f>HYPERLINK("https://klasma.github.io/Logging_0980/tillsyn/A 64700-2021 tillsynsbegäran.docx", "A 64700-2021")</f>
        <v/>
      </c>
      <c r="Y196">
        <f>HYPERLINK("https://klasma.github.io/Logging_0980/tillsynsmail/A 64700-2021 tillsynsbegäran mail.docx", "A 64700-2021")</f>
        <v/>
      </c>
    </row>
    <row r="197" ht="15" customHeight="1">
      <c r="A197" t="inlineStr">
        <is>
          <t>A 15637-2024</t>
        </is>
      </c>
      <c r="B197" s="1" t="n">
        <v>45403</v>
      </c>
      <c r="C197" s="1" t="n">
        <v>46198</v>
      </c>
      <c r="D197" t="inlineStr">
        <is>
          <t>GOTLANDS LÄN</t>
        </is>
      </c>
      <c r="E197" t="inlineStr">
        <is>
          <t>GOTLAND</t>
        </is>
      </c>
      <c r="G197" t="n">
        <v>4.1</v>
      </c>
      <c r="H197" t="n">
        <v>1</v>
      </c>
      <c r="I197" t="n">
        <v>0</v>
      </c>
      <c r="J197" t="n">
        <v>0</v>
      </c>
      <c r="K197" t="n">
        <v>0</v>
      </c>
      <c r="L197" t="n">
        <v>0</v>
      </c>
      <c r="M197" t="n">
        <v>0</v>
      </c>
      <c r="N197" t="n">
        <v>0</v>
      </c>
      <c r="O197" t="n">
        <v>0</v>
      </c>
      <c r="P197" t="n">
        <v>0</v>
      </c>
      <c r="Q197" t="n">
        <v>1</v>
      </c>
      <c r="R197" s="2" t="inlineStr">
        <is>
          <t>Blåsippa</t>
        </is>
      </c>
      <c r="S197">
        <f>HYPERLINK("https://klasma.github.io/Logging_0980/artfynd/A 15637-2024 artfynd.xlsx", "A 15637-2024")</f>
        <v/>
      </c>
      <c r="T197">
        <f>HYPERLINK("https://klasma.github.io/Logging_0980/kartor/A 15637-2024 karta.png", "A 15637-2024")</f>
        <v/>
      </c>
      <c r="V197">
        <f>HYPERLINK("https://klasma.github.io/Logging_0980/klagomål/A 15637-2024 FSC-klagomål.docx", "A 15637-2024")</f>
        <v/>
      </c>
      <c r="W197">
        <f>HYPERLINK("https://klasma.github.io/Logging_0980/klagomålsmail/A 15637-2024 FSC-klagomål mail.docx", "A 15637-2024")</f>
        <v/>
      </c>
      <c r="X197">
        <f>HYPERLINK("https://klasma.github.io/Logging_0980/tillsyn/A 15637-2024 tillsynsbegäran.docx", "A 15637-2024")</f>
        <v/>
      </c>
      <c r="Y197">
        <f>HYPERLINK("https://klasma.github.io/Logging_0980/tillsynsmail/A 15637-2024 tillsynsbegäran mail.docx", "A 15637-2024")</f>
        <v/>
      </c>
    </row>
    <row r="198" ht="15" customHeight="1">
      <c r="A198" t="inlineStr">
        <is>
          <t>A 18036-2026</t>
        </is>
      </c>
      <c r="B198" s="1" t="n">
        <v>46125</v>
      </c>
      <c r="C198" s="1" t="n">
        <v>46198</v>
      </c>
      <c r="D198" t="inlineStr">
        <is>
          <t>GOTLANDS LÄN</t>
        </is>
      </c>
      <c r="E198" t="inlineStr">
        <is>
          <t>GOTLAND</t>
        </is>
      </c>
      <c r="G198" t="n">
        <v>1.8</v>
      </c>
      <c r="H198" t="n">
        <v>0</v>
      </c>
      <c r="I198" t="n">
        <v>0</v>
      </c>
      <c r="J198" t="n">
        <v>1</v>
      </c>
      <c r="K198" t="n">
        <v>0</v>
      </c>
      <c r="L198" t="n">
        <v>0</v>
      </c>
      <c r="M198" t="n">
        <v>0</v>
      </c>
      <c r="N198" t="n">
        <v>0</v>
      </c>
      <c r="O198" t="n">
        <v>1</v>
      </c>
      <c r="P198" t="n">
        <v>0</v>
      </c>
      <c r="Q198" t="n">
        <v>1</v>
      </c>
      <c r="R198" s="2" t="inlineStr">
        <is>
          <t>Sommarfibbla</t>
        </is>
      </c>
      <c r="S198">
        <f>HYPERLINK("https://klasma.github.io/Logging_0980/artfynd/A 18036-2026 artfynd.xlsx", "A 18036-2026")</f>
        <v/>
      </c>
      <c r="T198">
        <f>HYPERLINK("https://klasma.github.io/Logging_0980/kartor/A 18036-2026 karta.png", "A 18036-2026")</f>
        <v/>
      </c>
      <c r="V198">
        <f>HYPERLINK("https://klasma.github.io/Logging_0980/klagomål/A 18036-2026 FSC-klagomål.docx", "A 18036-2026")</f>
        <v/>
      </c>
      <c r="W198">
        <f>HYPERLINK("https://klasma.github.io/Logging_0980/klagomålsmail/A 18036-2026 FSC-klagomål mail.docx", "A 18036-2026")</f>
        <v/>
      </c>
      <c r="X198">
        <f>HYPERLINK("https://klasma.github.io/Logging_0980/tillsyn/A 18036-2026 tillsynsbegäran.docx", "A 18036-2026")</f>
        <v/>
      </c>
      <c r="Y198">
        <f>HYPERLINK("https://klasma.github.io/Logging_0980/tillsynsmail/A 18036-2026 tillsynsbegäran mail.docx", "A 18036-2026")</f>
        <v/>
      </c>
    </row>
    <row r="199" ht="15" customHeight="1">
      <c r="A199" t="inlineStr">
        <is>
          <t>A 4568-2025</t>
        </is>
      </c>
      <c r="B199" s="1" t="n">
        <v>45687</v>
      </c>
      <c r="C199" s="1" t="n">
        <v>46198</v>
      </c>
      <c r="D199" t="inlineStr">
        <is>
          <t>GOTLANDS LÄN</t>
        </is>
      </c>
      <c r="E199" t="inlineStr">
        <is>
          <t>GOTLAND</t>
        </is>
      </c>
      <c r="G199" t="n">
        <v>1.9</v>
      </c>
      <c r="H199" t="n">
        <v>0</v>
      </c>
      <c r="I199" t="n">
        <v>0</v>
      </c>
      <c r="J199" t="n">
        <v>1</v>
      </c>
      <c r="K199" t="n">
        <v>0</v>
      </c>
      <c r="L199" t="n">
        <v>0</v>
      </c>
      <c r="M199" t="n">
        <v>0</v>
      </c>
      <c r="N199" t="n">
        <v>0</v>
      </c>
      <c r="O199" t="n">
        <v>1</v>
      </c>
      <c r="P199" t="n">
        <v>0</v>
      </c>
      <c r="Q199" t="n">
        <v>1</v>
      </c>
      <c r="R199" s="2" t="inlineStr">
        <is>
          <t>Backfryle</t>
        </is>
      </c>
      <c r="S199">
        <f>HYPERLINK("https://klasma.github.io/Logging_0980/artfynd/A 4568-2025 artfynd.xlsx", "A 4568-2025")</f>
        <v/>
      </c>
      <c r="T199">
        <f>HYPERLINK("https://klasma.github.io/Logging_0980/kartor/A 4568-2025 karta.png", "A 4568-2025")</f>
        <v/>
      </c>
      <c r="V199">
        <f>HYPERLINK("https://klasma.github.io/Logging_0980/klagomål/A 4568-2025 FSC-klagomål.docx", "A 4568-2025")</f>
        <v/>
      </c>
      <c r="W199">
        <f>HYPERLINK("https://klasma.github.io/Logging_0980/klagomålsmail/A 4568-2025 FSC-klagomål mail.docx", "A 4568-2025")</f>
        <v/>
      </c>
      <c r="X199">
        <f>HYPERLINK("https://klasma.github.io/Logging_0980/tillsyn/A 4568-2025 tillsynsbegäran.docx", "A 4568-2025")</f>
        <v/>
      </c>
      <c r="Y199">
        <f>HYPERLINK("https://klasma.github.io/Logging_0980/tillsynsmail/A 4568-2025 tillsynsbegäran mail.docx", "A 4568-2025")</f>
        <v/>
      </c>
    </row>
    <row r="200" ht="15" customHeight="1">
      <c r="A200" t="inlineStr">
        <is>
          <t>A 5863-2026</t>
        </is>
      </c>
      <c r="B200" s="1" t="n">
        <v>46052</v>
      </c>
      <c r="C200" s="1" t="n">
        <v>46198</v>
      </c>
      <c r="D200" t="inlineStr">
        <is>
          <t>GOTLANDS LÄN</t>
        </is>
      </c>
      <c r="E200" t="inlineStr">
        <is>
          <t>GOTLAND</t>
        </is>
      </c>
      <c r="G200" t="n">
        <v>1.8</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5863-2026 artfynd.xlsx", "A 5863-2026")</f>
        <v/>
      </c>
      <c r="T200">
        <f>HYPERLINK("https://klasma.github.io/Logging_0980/kartor/A 5863-2026 karta.png", "A 5863-2026")</f>
        <v/>
      </c>
      <c r="V200">
        <f>HYPERLINK("https://klasma.github.io/Logging_0980/klagomål/A 5863-2026 FSC-klagomål.docx", "A 5863-2026")</f>
        <v/>
      </c>
      <c r="W200">
        <f>HYPERLINK("https://klasma.github.io/Logging_0980/klagomålsmail/A 5863-2026 FSC-klagomål mail.docx", "A 5863-2026")</f>
        <v/>
      </c>
      <c r="X200">
        <f>HYPERLINK("https://klasma.github.io/Logging_0980/tillsyn/A 5863-2026 tillsynsbegäran.docx", "A 5863-2026")</f>
        <v/>
      </c>
      <c r="Y200">
        <f>HYPERLINK("https://klasma.github.io/Logging_0980/tillsynsmail/A 5863-2026 tillsynsbegäran mail.docx", "A 5863-2026")</f>
        <v/>
      </c>
    </row>
    <row r="201" ht="15" customHeight="1">
      <c r="A201" t="inlineStr">
        <is>
          <t>A 49847-2023</t>
        </is>
      </c>
      <c r="B201" s="1" t="n">
        <v>45212</v>
      </c>
      <c r="C201" s="1" t="n">
        <v>46198</v>
      </c>
      <c r="D201" t="inlineStr">
        <is>
          <t>GOTLANDS LÄN</t>
        </is>
      </c>
      <c r="E201" t="inlineStr">
        <is>
          <t>GOTLAND</t>
        </is>
      </c>
      <c r="G201" t="n">
        <v>35.2</v>
      </c>
      <c r="H201" t="n">
        <v>0</v>
      </c>
      <c r="I201" t="n">
        <v>0</v>
      </c>
      <c r="J201" t="n">
        <v>0</v>
      </c>
      <c r="K201" t="n">
        <v>1</v>
      </c>
      <c r="L201" t="n">
        <v>0</v>
      </c>
      <c r="M201" t="n">
        <v>0</v>
      </c>
      <c r="N201" t="n">
        <v>0</v>
      </c>
      <c r="O201" t="n">
        <v>1</v>
      </c>
      <c r="P201" t="n">
        <v>1</v>
      </c>
      <c r="Q201" t="n">
        <v>1</v>
      </c>
      <c r="R201" s="2" t="inlineStr">
        <is>
          <t>Strandviol</t>
        </is>
      </c>
      <c r="S201">
        <f>HYPERLINK("https://klasma.github.io/Logging_0980/artfynd/A 49847-2023 artfynd.xlsx", "A 49847-2023")</f>
        <v/>
      </c>
      <c r="T201">
        <f>HYPERLINK("https://klasma.github.io/Logging_0980/kartor/A 49847-2023 karta.png", "A 49847-2023")</f>
        <v/>
      </c>
      <c r="V201">
        <f>HYPERLINK("https://klasma.github.io/Logging_0980/klagomål/A 49847-2023 FSC-klagomål.docx", "A 49847-2023")</f>
        <v/>
      </c>
      <c r="W201">
        <f>HYPERLINK("https://klasma.github.io/Logging_0980/klagomålsmail/A 49847-2023 FSC-klagomål mail.docx", "A 49847-2023")</f>
        <v/>
      </c>
      <c r="X201">
        <f>HYPERLINK("https://klasma.github.io/Logging_0980/tillsyn/A 49847-2023 tillsynsbegäran.docx", "A 49847-2023")</f>
        <v/>
      </c>
      <c r="Y201">
        <f>HYPERLINK("https://klasma.github.io/Logging_0980/tillsynsmail/A 49847-2023 tillsynsbegäran mail.docx", "A 49847-2023")</f>
        <v/>
      </c>
    </row>
    <row r="202" ht="15" customHeight="1">
      <c r="A202" t="inlineStr">
        <is>
          <t>A 56115-2023</t>
        </is>
      </c>
      <c r="B202" s="1" t="n">
        <v>45236</v>
      </c>
      <c r="C202" s="1" t="n">
        <v>46198</v>
      </c>
      <c r="D202" t="inlineStr">
        <is>
          <t>GOTLANDS LÄN</t>
        </is>
      </c>
      <c r="E202" t="inlineStr">
        <is>
          <t>GOTLAND</t>
        </is>
      </c>
      <c r="G202" t="n">
        <v>2</v>
      </c>
      <c r="H202" t="n">
        <v>1</v>
      </c>
      <c r="I202" t="n">
        <v>1</v>
      </c>
      <c r="J202" t="n">
        <v>0</v>
      </c>
      <c r="K202" t="n">
        <v>0</v>
      </c>
      <c r="L202" t="n">
        <v>0</v>
      </c>
      <c r="M202" t="n">
        <v>0</v>
      </c>
      <c r="N202" t="n">
        <v>0</v>
      </c>
      <c r="O202" t="n">
        <v>0</v>
      </c>
      <c r="P202" t="n">
        <v>0</v>
      </c>
      <c r="Q202" t="n">
        <v>1</v>
      </c>
      <c r="R202" s="2" t="inlineStr">
        <is>
          <t>Skogsknipprot</t>
        </is>
      </c>
      <c r="S202">
        <f>HYPERLINK("https://klasma.github.io/Logging_0980/artfynd/A 56115-2023 artfynd.xlsx", "A 56115-2023")</f>
        <v/>
      </c>
      <c r="T202">
        <f>HYPERLINK("https://klasma.github.io/Logging_0980/kartor/A 56115-2023 karta.png", "A 56115-2023")</f>
        <v/>
      </c>
      <c r="V202">
        <f>HYPERLINK("https://klasma.github.io/Logging_0980/klagomål/A 56115-2023 FSC-klagomål.docx", "A 56115-2023")</f>
        <v/>
      </c>
      <c r="W202">
        <f>HYPERLINK("https://klasma.github.io/Logging_0980/klagomålsmail/A 56115-2023 FSC-klagomål mail.docx", "A 56115-2023")</f>
        <v/>
      </c>
      <c r="X202">
        <f>HYPERLINK("https://klasma.github.io/Logging_0980/tillsyn/A 56115-2023 tillsynsbegäran.docx", "A 56115-2023")</f>
        <v/>
      </c>
      <c r="Y202">
        <f>HYPERLINK("https://klasma.github.io/Logging_0980/tillsynsmail/A 56115-2023 tillsynsbegäran mail.docx", "A 56115-2023")</f>
        <v/>
      </c>
    </row>
    <row r="203" ht="15" customHeight="1">
      <c r="A203" t="inlineStr">
        <is>
          <t>A 10995-2023</t>
        </is>
      </c>
      <c r="B203" s="1" t="n">
        <v>44986</v>
      </c>
      <c r="C203" s="1" t="n">
        <v>46198</v>
      </c>
      <c r="D203" t="inlineStr">
        <is>
          <t>GOTLANDS LÄN</t>
        </is>
      </c>
      <c r="E203" t="inlineStr">
        <is>
          <t>GOTLAND</t>
        </is>
      </c>
      <c r="G203" t="n">
        <v>2.8</v>
      </c>
      <c r="H203" t="n">
        <v>0</v>
      </c>
      <c r="I203" t="n">
        <v>0</v>
      </c>
      <c r="J203" t="n">
        <v>0</v>
      </c>
      <c r="K203" t="n">
        <v>1</v>
      </c>
      <c r="L203" t="n">
        <v>0</v>
      </c>
      <c r="M203" t="n">
        <v>0</v>
      </c>
      <c r="N203" t="n">
        <v>0</v>
      </c>
      <c r="O203" t="n">
        <v>1</v>
      </c>
      <c r="P203" t="n">
        <v>1</v>
      </c>
      <c r="Q203" t="n">
        <v>1</v>
      </c>
      <c r="R203" s="2" t="inlineStr">
        <is>
          <t>Violettfläckig spindling</t>
        </is>
      </c>
      <c r="S203">
        <f>HYPERLINK("https://klasma.github.io/Logging_0980/artfynd/A 10995-2023 artfynd.xlsx", "A 10995-2023")</f>
        <v/>
      </c>
      <c r="T203">
        <f>HYPERLINK("https://klasma.github.io/Logging_0980/kartor/A 10995-2023 karta.png", "A 10995-2023")</f>
        <v/>
      </c>
      <c r="V203">
        <f>HYPERLINK("https://klasma.github.io/Logging_0980/klagomål/A 10995-2023 FSC-klagomål.docx", "A 10995-2023")</f>
        <v/>
      </c>
      <c r="W203">
        <f>HYPERLINK("https://klasma.github.io/Logging_0980/klagomålsmail/A 10995-2023 FSC-klagomål mail.docx", "A 10995-2023")</f>
        <v/>
      </c>
      <c r="X203">
        <f>HYPERLINK("https://klasma.github.io/Logging_0980/tillsyn/A 10995-2023 tillsynsbegäran.docx", "A 10995-2023")</f>
        <v/>
      </c>
      <c r="Y203">
        <f>HYPERLINK("https://klasma.github.io/Logging_0980/tillsynsmail/A 10995-2023 tillsynsbegäran mail.docx", "A 10995-2023")</f>
        <v/>
      </c>
    </row>
    <row r="204" ht="15" customHeight="1">
      <c r="A204" t="inlineStr">
        <is>
          <t>A 23856-2025</t>
        </is>
      </c>
      <c r="B204" s="1" t="n">
        <v>45793</v>
      </c>
      <c r="C204" s="1" t="n">
        <v>46198</v>
      </c>
      <c r="D204" t="inlineStr">
        <is>
          <t>GOTLANDS LÄN</t>
        </is>
      </c>
      <c r="E204" t="inlineStr">
        <is>
          <t>GOTLAND</t>
        </is>
      </c>
      <c r="G204" t="n">
        <v>4.4</v>
      </c>
      <c r="H204" t="n">
        <v>0</v>
      </c>
      <c r="I204" t="n">
        <v>0</v>
      </c>
      <c r="J204" t="n">
        <v>1</v>
      </c>
      <c r="K204" t="n">
        <v>0</v>
      </c>
      <c r="L204" t="n">
        <v>0</v>
      </c>
      <c r="M204" t="n">
        <v>0</v>
      </c>
      <c r="N204" t="n">
        <v>0</v>
      </c>
      <c r="O204" t="n">
        <v>1</v>
      </c>
      <c r="P204" t="n">
        <v>0</v>
      </c>
      <c r="Q204" t="n">
        <v>1</v>
      </c>
      <c r="R204" s="2" t="inlineStr">
        <is>
          <t>Vittåtel</t>
        </is>
      </c>
      <c r="S204">
        <f>HYPERLINK("https://klasma.github.io/Logging_0980/artfynd/A 23856-2025 artfynd.xlsx", "A 23856-2025")</f>
        <v/>
      </c>
      <c r="T204">
        <f>HYPERLINK("https://klasma.github.io/Logging_0980/kartor/A 23856-2025 karta.png", "A 23856-2025")</f>
        <v/>
      </c>
      <c r="V204">
        <f>HYPERLINK("https://klasma.github.io/Logging_0980/klagomål/A 23856-2025 FSC-klagomål.docx", "A 23856-2025")</f>
        <v/>
      </c>
      <c r="W204">
        <f>HYPERLINK("https://klasma.github.io/Logging_0980/klagomålsmail/A 23856-2025 FSC-klagomål mail.docx", "A 23856-2025")</f>
        <v/>
      </c>
      <c r="X204">
        <f>HYPERLINK("https://klasma.github.io/Logging_0980/tillsyn/A 23856-2025 tillsynsbegäran.docx", "A 23856-2025")</f>
        <v/>
      </c>
      <c r="Y204">
        <f>HYPERLINK("https://klasma.github.io/Logging_0980/tillsynsmail/A 23856-2025 tillsynsbegäran mail.docx", "A 23856-2025")</f>
        <v/>
      </c>
    </row>
    <row r="205" ht="15" customHeight="1">
      <c r="A205" t="inlineStr">
        <is>
          <t>A 6739-2025</t>
        </is>
      </c>
      <c r="B205" s="1" t="n">
        <v>45700</v>
      </c>
      <c r="C205" s="1" t="n">
        <v>46198</v>
      </c>
      <c r="D205" t="inlineStr">
        <is>
          <t>GOTLANDS LÄN</t>
        </is>
      </c>
      <c r="E205" t="inlineStr">
        <is>
          <t>GOTLAND</t>
        </is>
      </c>
      <c r="G205" t="n">
        <v>4.5</v>
      </c>
      <c r="H205" t="n">
        <v>1</v>
      </c>
      <c r="I205" t="n">
        <v>0</v>
      </c>
      <c r="J205" t="n">
        <v>0</v>
      </c>
      <c r="K205" t="n">
        <v>0</v>
      </c>
      <c r="L205" t="n">
        <v>0</v>
      </c>
      <c r="M205" t="n">
        <v>0</v>
      </c>
      <c r="N205" t="n">
        <v>0</v>
      </c>
      <c r="O205" t="n">
        <v>0</v>
      </c>
      <c r="P205" t="n">
        <v>0</v>
      </c>
      <c r="Q205" t="n">
        <v>1</v>
      </c>
      <c r="R205" s="2" t="inlineStr">
        <is>
          <t>Röd glada</t>
        </is>
      </c>
      <c r="S205">
        <f>HYPERLINK("https://klasma.github.io/Logging_0980/artfynd/A 6739-2025 artfynd.xlsx", "A 6739-2025")</f>
        <v/>
      </c>
      <c r="T205">
        <f>HYPERLINK("https://klasma.github.io/Logging_0980/kartor/A 6739-2025 karta.png", "A 6739-2025")</f>
        <v/>
      </c>
      <c r="V205">
        <f>HYPERLINK("https://klasma.github.io/Logging_0980/klagomål/A 6739-2025 FSC-klagomål.docx", "A 6739-2025")</f>
        <v/>
      </c>
      <c r="W205">
        <f>HYPERLINK("https://klasma.github.io/Logging_0980/klagomålsmail/A 6739-2025 FSC-klagomål mail.docx", "A 6739-2025")</f>
        <v/>
      </c>
      <c r="X205">
        <f>HYPERLINK("https://klasma.github.io/Logging_0980/tillsyn/A 6739-2025 tillsynsbegäran.docx", "A 6739-2025")</f>
        <v/>
      </c>
      <c r="Y205">
        <f>HYPERLINK("https://klasma.github.io/Logging_0980/tillsynsmail/A 6739-2025 tillsynsbegäran mail.docx", "A 6739-2025")</f>
        <v/>
      </c>
      <c r="Z205">
        <f>HYPERLINK("https://klasma.github.io/Logging_0980/fåglar/A 6739-2025 prioriterade fågelarter.docx", "A 6739-2025")</f>
        <v/>
      </c>
    </row>
    <row r="206" ht="15" customHeight="1">
      <c r="A206" t="inlineStr">
        <is>
          <t>A 9862-2024</t>
        </is>
      </c>
      <c r="B206" s="1" t="n">
        <v>45363</v>
      </c>
      <c r="C206" s="1" t="n">
        <v>46198</v>
      </c>
      <c r="D206" t="inlineStr">
        <is>
          <t>GOTLANDS LÄN</t>
        </is>
      </c>
      <c r="E206" t="inlineStr">
        <is>
          <t>GOTLAND</t>
        </is>
      </c>
      <c r="G206" t="n">
        <v>3.5</v>
      </c>
      <c r="H206" t="n">
        <v>1</v>
      </c>
      <c r="I206" t="n">
        <v>0</v>
      </c>
      <c r="J206" t="n">
        <v>0</v>
      </c>
      <c r="K206" t="n">
        <v>0</v>
      </c>
      <c r="L206" t="n">
        <v>0</v>
      </c>
      <c r="M206" t="n">
        <v>0</v>
      </c>
      <c r="N206" t="n">
        <v>0</v>
      </c>
      <c r="O206" t="n">
        <v>0</v>
      </c>
      <c r="P206" t="n">
        <v>0</v>
      </c>
      <c r="Q206" t="n">
        <v>1</v>
      </c>
      <c r="R206" s="2" t="inlineStr">
        <is>
          <t>Nattviol</t>
        </is>
      </c>
      <c r="S206">
        <f>HYPERLINK("https://klasma.github.io/Logging_0980/artfynd/A 9862-2024 artfynd.xlsx", "A 9862-2024")</f>
        <v/>
      </c>
      <c r="T206">
        <f>HYPERLINK("https://klasma.github.io/Logging_0980/kartor/A 9862-2024 karta.png", "A 9862-2024")</f>
        <v/>
      </c>
      <c r="V206">
        <f>HYPERLINK("https://klasma.github.io/Logging_0980/klagomål/A 9862-2024 FSC-klagomål.docx", "A 9862-2024")</f>
        <v/>
      </c>
      <c r="W206">
        <f>HYPERLINK("https://klasma.github.io/Logging_0980/klagomålsmail/A 9862-2024 FSC-klagomål mail.docx", "A 9862-2024")</f>
        <v/>
      </c>
      <c r="X206">
        <f>HYPERLINK("https://klasma.github.io/Logging_0980/tillsyn/A 9862-2024 tillsynsbegäran.docx", "A 9862-2024")</f>
        <v/>
      </c>
      <c r="Y206">
        <f>HYPERLINK("https://klasma.github.io/Logging_0980/tillsynsmail/A 9862-2024 tillsynsbegäran mail.docx", "A 9862-2024")</f>
        <v/>
      </c>
    </row>
    <row r="207" ht="15" customHeight="1">
      <c r="A207" t="inlineStr">
        <is>
          <t>A 34141-2024</t>
        </is>
      </c>
      <c r="B207" s="1" t="n">
        <v>45524</v>
      </c>
      <c r="C207" s="1" t="n">
        <v>46198</v>
      </c>
      <c r="D207" t="inlineStr">
        <is>
          <t>GOTLANDS LÄN</t>
        </is>
      </c>
      <c r="E207" t="inlineStr">
        <is>
          <t>GOTLAND</t>
        </is>
      </c>
      <c r="G207" t="n">
        <v>0.9</v>
      </c>
      <c r="H207" t="n">
        <v>0</v>
      </c>
      <c r="I207" t="n">
        <v>1</v>
      </c>
      <c r="J207" t="n">
        <v>0</v>
      </c>
      <c r="K207" t="n">
        <v>0</v>
      </c>
      <c r="L207" t="n">
        <v>0</v>
      </c>
      <c r="M207" t="n">
        <v>0</v>
      </c>
      <c r="N207" t="n">
        <v>0</v>
      </c>
      <c r="O207" t="n">
        <v>0</v>
      </c>
      <c r="P207" t="n">
        <v>0</v>
      </c>
      <c r="Q207" t="n">
        <v>1</v>
      </c>
      <c r="R207" s="2" t="inlineStr">
        <is>
          <t>Strävlosta</t>
        </is>
      </c>
      <c r="S207">
        <f>HYPERLINK("https://klasma.github.io/Logging_0980/artfynd/A 34141-2024 artfynd.xlsx", "A 34141-2024")</f>
        <v/>
      </c>
      <c r="T207">
        <f>HYPERLINK("https://klasma.github.io/Logging_0980/kartor/A 34141-2024 karta.png", "A 34141-2024")</f>
        <v/>
      </c>
      <c r="V207">
        <f>HYPERLINK("https://klasma.github.io/Logging_0980/klagomål/A 34141-2024 FSC-klagomål.docx", "A 34141-2024")</f>
        <v/>
      </c>
      <c r="W207">
        <f>HYPERLINK("https://klasma.github.io/Logging_0980/klagomålsmail/A 34141-2024 FSC-klagomål mail.docx", "A 34141-2024")</f>
        <v/>
      </c>
      <c r="X207">
        <f>HYPERLINK("https://klasma.github.io/Logging_0980/tillsyn/A 34141-2024 tillsynsbegäran.docx", "A 34141-2024")</f>
        <v/>
      </c>
      <c r="Y207">
        <f>HYPERLINK("https://klasma.github.io/Logging_0980/tillsynsmail/A 34141-2024 tillsynsbegäran mail.docx", "A 34141-2024")</f>
        <v/>
      </c>
    </row>
    <row r="208" ht="15" customHeight="1">
      <c r="A208" t="inlineStr">
        <is>
          <t>A 30104-2025</t>
        </is>
      </c>
      <c r="B208" s="1" t="n">
        <v>45826</v>
      </c>
      <c r="C208" s="1" t="n">
        <v>46198</v>
      </c>
      <c r="D208" t="inlineStr">
        <is>
          <t>GOTLANDS LÄN</t>
        </is>
      </c>
      <c r="E208" t="inlineStr">
        <is>
          <t>GOTLAND</t>
        </is>
      </c>
      <c r="G208" t="n">
        <v>15.4</v>
      </c>
      <c r="H208" t="n">
        <v>0</v>
      </c>
      <c r="I208" t="n">
        <v>1</v>
      </c>
      <c r="J208" t="n">
        <v>0</v>
      </c>
      <c r="K208" t="n">
        <v>0</v>
      </c>
      <c r="L208" t="n">
        <v>0</v>
      </c>
      <c r="M208" t="n">
        <v>0</v>
      </c>
      <c r="N208" t="n">
        <v>0</v>
      </c>
      <c r="O208" t="n">
        <v>0</v>
      </c>
      <c r="P208" t="n">
        <v>0</v>
      </c>
      <c r="Q208" t="n">
        <v>1</v>
      </c>
      <c r="R208" s="2" t="inlineStr">
        <is>
          <t>Blåmossa</t>
        </is>
      </c>
      <c r="S208">
        <f>HYPERLINK("https://klasma.github.io/Logging_0980/artfynd/A 30104-2025 artfynd.xlsx", "A 30104-2025")</f>
        <v/>
      </c>
      <c r="T208">
        <f>HYPERLINK("https://klasma.github.io/Logging_0980/kartor/A 30104-2025 karta.png", "A 30104-2025")</f>
        <v/>
      </c>
      <c r="V208">
        <f>HYPERLINK("https://klasma.github.io/Logging_0980/klagomål/A 30104-2025 FSC-klagomål.docx", "A 30104-2025")</f>
        <v/>
      </c>
      <c r="W208">
        <f>HYPERLINK("https://klasma.github.io/Logging_0980/klagomålsmail/A 30104-2025 FSC-klagomål mail.docx", "A 30104-2025")</f>
        <v/>
      </c>
      <c r="X208">
        <f>HYPERLINK("https://klasma.github.io/Logging_0980/tillsyn/A 30104-2025 tillsynsbegäran.docx", "A 30104-2025")</f>
        <v/>
      </c>
      <c r="Y208">
        <f>HYPERLINK("https://klasma.github.io/Logging_0980/tillsynsmail/A 30104-2025 tillsynsbegäran mail.docx", "A 30104-2025")</f>
        <v/>
      </c>
    </row>
    <row r="209" ht="15" customHeight="1">
      <c r="A209" t="inlineStr">
        <is>
          <t>A 36313-2021</t>
        </is>
      </c>
      <c r="B209" s="1" t="n">
        <v>44390</v>
      </c>
      <c r="C209" s="1" t="n">
        <v>46198</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46198</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46198</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46198</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46198</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46198</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24123-2022</t>
        </is>
      </c>
      <c r="B217" s="1" t="n">
        <v>44725</v>
      </c>
      <c r="C217" s="1" t="n">
        <v>46198</v>
      </c>
      <c r="D217" t="inlineStr">
        <is>
          <t>GOTLANDS LÄN</t>
        </is>
      </c>
      <c r="E217" t="inlineStr">
        <is>
          <t>GOTLAND</t>
        </is>
      </c>
      <c r="G217" t="n">
        <v>6</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46198</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46198</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46198</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46198</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46198</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46198</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46198</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46198</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46198</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46198</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v>
      </c>
      <c r="C237" s="1" t="n">
        <v>46198</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25129-2023</t>
        </is>
      </c>
      <c r="B238" s="1" t="n">
        <v>45086</v>
      </c>
      <c r="C238" s="1" t="n">
        <v>46198</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v>
      </c>
      <c r="C239" s="1" t="n">
        <v>46198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7026-2023</t>
        </is>
      </c>
      <c r="B240" s="1" t="n">
        <v>44968</v>
      </c>
      <c r="C240" s="1" t="n">
        <v>46198</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46198</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49874-2024</t>
        </is>
      </c>
      <c r="B242" s="1" t="n">
        <v>45597</v>
      </c>
      <c r="C242" s="1" t="n">
        <v>46198</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52892-2021</t>
        </is>
      </c>
      <c r="B243" s="1" t="n">
        <v>44467</v>
      </c>
      <c r="C243" s="1" t="n">
        <v>46198</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1351-2025</t>
        </is>
      </c>
      <c r="B244" s="1" t="n">
        <v>45667</v>
      </c>
      <c r="C244" s="1" t="n">
        <v>46198</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60675-2021</t>
        </is>
      </c>
      <c r="B245" s="1" t="n">
        <v>44496</v>
      </c>
      <c r="C245" s="1" t="n">
        <v>46198</v>
      </c>
      <c r="D245" t="inlineStr">
        <is>
          <t>GOTLANDS LÄN</t>
        </is>
      </c>
      <c r="E245" t="inlineStr">
        <is>
          <t>GOTLAND</t>
        </is>
      </c>
      <c r="G245" t="n">
        <v>4.6</v>
      </c>
      <c r="H245" t="n">
        <v>0</v>
      </c>
      <c r="I245" t="n">
        <v>0</v>
      </c>
      <c r="J245" t="n">
        <v>0</v>
      </c>
      <c r="K245" t="n">
        <v>0</v>
      </c>
      <c r="L245" t="n">
        <v>0</v>
      </c>
      <c r="M245" t="n">
        <v>0</v>
      </c>
      <c r="N245" t="n">
        <v>0</v>
      </c>
      <c r="O245" t="n">
        <v>0</v>
      </c>
      <c r="P245" t="n">
        <v>0</v>
      </c>
      <c r="Q245" t="n">
        <v>0</v>
      </c>
      <c r="R245" s="2" t="inlineStr"/>
    </row>
    <row r="246" ht="15" customHeight="1">
      <c r="A246" t="inlineStr">
        <is>
          <t>A 4421-2024</t>
        </is>
      </c>
      <c r="B246" s="1" t="n">
        <v>45327</v>
      </c>
      <c r="C246" s="1" t="n">
        <v>46198</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51782-2023</t>
        </is>
      </c>
      <c r="B247" s="1" t="n">
        <v>45222</v>
      </c>
      <c r="C247" s="1" t="n">
        <v>46198</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5217-2023</t>
        </is>
      </c>
      <c r="B248" s="1" t="n">
        <v>44959</v>
      </c>
      <c r="C248" s="1" t="n">
        <v>46198</v>
      </c>
      <c r="D248" t="inlineStr">
        <is>
          <t>GOTLANDS LÄN</t>
        </is>
      </c>
      <c r="E248" t="inlineStr">
        <is>
          <t>GOTLAND</t>
        </is>
      </c>
      <c r="G248" t="n">
        <v>1.9</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46198</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v>
      </c>
      <c r="C250" s="1" t="n">
        <v>46198</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v>
      </c>
      <c r="C251" s="1" t="n">
        <v>46198</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v>
      </c>
      <c r="C252" s="1" t="n">
        <v>46198</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61962-2024</t>
        </is>
      </c>
      <c r="B253" s="1" t="n">
        <v>45653</v>
      </c>
      <c r="C253" s="1" t="n">
        <v>46198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54073-2022</t>
        </is>
      </c>
      <c r="B254" s="1" t="n">
        <v>44881</v>
      </c>
      <c r="C254" s="1" t="n">
        <v>46198</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59469-2024</t>
        </is>
      </c>
      <c r="B255" s="1" t="n">
        <v>45638</v>
      </c>
      <c r="C255" s="1" t="n">
        <v>46198</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4990-2025</t>
        </is>
      </c>
      <c r="B256" s="1" t="n">
        <v>45691</v>
      </c>
      <c r="C256" s="1" t="n">
        <v>46198</v>
      </c>
      <c r="D256" t="inlineStr">
        <is>
          <t>GOTLANDS LÄN</t>
        </is>
      </c>
      <c r="E256" t="inlineStr">
        <is>
          <t>GOTLAND</t>
        </is>
      </c>
      <c r="G256" t="n">
        <v>7.7</v>
      </c>
      <c r="H256" t="n">
        <v>0</v>
      </c>
      <c r="I256" t="n">
        <v>0</v>
      </c>
      <c r="J256" t="n">
        <v>0</v>
      </c>
      <c r="K256" t="n">
        <v>0</v>
      </c>
      <c r="L256" t="n">
        <v>0</v>
      </c>
      <c r="M256" t="n">
        <v>0</v>
      </c>
      <c r="N256" t="n">
        <v>0</v>
      </c>
      <c r="O256" t="n">
        <v>0</v>
      </c>
      <c r="P256" t="n">
        <v>0</v>
      </c>
      <c r="Q256" t="n">
        <v>0</v>
      </c>
      <c r="R256" s="2" t="inlineStr"/>
    </row>
    <row r="257" ht="15" customHeight="1">
      <c r="A257" t="inlineStr">
        <is>
          <t>A 46527-2023</t>
        </is>
      </c>
      <c r="B257" s="1" t="n">
        <v>45197</v>
      </c>
      <c r="C257" s="1" t="n">
        <v>46198</v>
      </c>
      <c r="D257" t="inlineStr">
        <is>
          <t>GOTLANDS LÄN</t>
        </is>
      </c>
      <c r="E257" t="inlineStr">
        <is>
          <t>GOTLAND</t>
        </is>
      </c>
      <c r="G257" t="n">
        <v>0.9</v>
      </c>
      <c r="H257" t="n">
        <v>0</v>
      </c>
      <c r="I257" t="n">
        <v>0</v>
      </c>
      <c r="J257" t="n">
        <v>0</v>
      </c>
      <c r="K257" t="n">
        <v>0</v>
      </c>
      <c r="L257" t="n">
        <v>0</v>
      </c>
      <c r="M257" t="n">
        <v>0</v>
      </c>
      <c r="N257" t="n">
        <v>0</v>
      </c>
      <c r="O257" t="n">
        <v>0</v>
      </c>
      <c r="P257" t="n">
        <v>0</v>
      </c>
      <c r="Q257" t="n">
        <v>0</v>
      </c>
      <c r="R257" s="2" t="inlineStr"/>
    </row>
    <row r="258" ht="15" customHeight="1">
      <c r="A258" t="inlineStr">
        <is>
          <t>A 49697-2023</t>
        </is>
      </c>
      <c r="B258" s="1" t="n">
        <v>45212</v>
      </c>
      <c r="C258" s="1" t="n">
        <v>46198</v>
      </c>
      <c r="D258" t="inlineStr">
        <is>
          <t>GOTLANDS LÄN</t>
        </is>
      </c>
      <c r="E258" t="inlineStr">
        <is>
          <t>GOTLAND</t>
        </is>
      </c>
      <c r="G258" t="n">
        <v>4.4</v>
      </c>
      <c r="H258" t="n">
        <v>0</v>
      </c>
      <c r="I258" t="n">
        <v>0</v>
      </c>
      <c r="J258" t="n">
        <v>0</v>
      </c>
      <c r="K258" t="n">
        <v>0</v>
      </c>
      <c r="L258" t="n">
        <v>0</v>
      </c>
      <c r="M258" t="n">
        <v>0</v>
      </c>
      <c r="N258" t="n">
        <v>0</v>
      </c>
      <c r="O258" t="n">
        <v>0</v>
      </c>
      <c r="P258" t="n">
        <v>0</v>
      </c>
      <c r="Q258" t="n">
        <v>0</v>
      </c>
      <c r="R258" s="2" t="inlineStr"/>
    </row>
    <row r="259" ht="15" customHeight="1">
      <c r="A259" t="inlineStr">
        <is>
          <t>A 48503-2023</t>
        </is>
      </c>
      <c r="B259" s="1" t="n">
        <v>45207</v>
      </c>
      <c r="C259" s="1" t="n">
        <v>46198</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24825-2024</t>
        </is>
      </c>
      <c r="B260" s="1" t="n">
        <v>45461</v>
      </c>
      <c r="C260" s="1" t="n">
        <v>46198</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6696-2023</t>
        </is>
      </c>
      <c r="B261" s="1" t="n">
        <v>44966</v>
      </c>
      <c r="C261" s="1" t="n">
        <v>46198</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22031-2024</t>
        </is>
      </c>
      <c r="B262" s="1" t="n">
        <v>45443</v>
      </c>
      <c r="C262" s="1" t="n">
        <v>46198</v>
      </c>
      <c r="D262" t="inlineStr">
        <is>
          <t>GOTLANDS LÄN</t>
        </is>
      </c>
      <c r="E262" t="inlineStr">
        <is>
          <t>GOTLAND</t>
        </is>
      </c>
      <c r="G262" t="n">
        <v>2.3</v>
      </c>
      <c r="H262" t="n">
        <v>0</v>
      </c>
      <c r="I262" t="n">
        <v>0</v>
      </c>
      <c r="J262" t="n">
        <v>0</v>
      </c>
      <c r="K262" t="n">
        <v>0</v>
      </c>
      <c r="L262" t="n">
        <v>0</v>
      </c>
      <c r="M262" t="n">
        <v>0</v>
      </c>
      <c r="N262" t="n">
        <v>0</v>
      </c>
      <c r="O262" t="n">
        <v>0</v>
      </c>
      <c r="P262" t="n">
        <v>0</v>
      </c>
      <c r="Q262" t="n">
        <v>0</v>
      </c>
      <c r="R262" s="2" t="inlineStr"/>
    </row>
    <row r="263" ht="15" customHeight="1">
      <c r="A263" t="inlineStr">
        <is>
          <t>A 17688-2024</t>
        </is>
      </c>
      <c r="B263" s="1" t="n">
        <v>45418</v>
      </c>
      <c r="C263" s="1" t="n">
        <v>46198</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27694-2024</t>
        </is>
      </c>
      <c r="B264" s="1" t="n">
        <v>45475</v>
      </c>
      <c r="C264" s="1" t="n">
        <v>46198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8260-2023</t>
        </is>
      </c>
      <c r="B265" s="1" t="n">
        <v>44974</v>
      </c>
      <c r="C265" s="1" t="n">
        <v>46198</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22287-2022</t>
        </is>
      </c>
      <c r="B266" s="1" t="n">
        <v>44712</v>
      </c>
      <c r="C266" s="1" t="n">
        <v>46198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39764-2022</t>
        </is>
      </c>
      <c r="B267" s="1" t="n">
        <v>44819</v>
      </c>
      <c r="C267" s="1" t="n">
        <v>46198</v>
      </c>
      <c r="D267" t="inlineStr">
        <is>
          <t>GOTLANDS LÄN</t>
        </is>
      </c>
      <c r="E267" t="inlineStr">
        <is>
          <t>GOTLAND</t>
        </is>
      </c>
      <c r="F267" t="inlineStr">
        <is>
          <t>Kyrkan</t>
        </is>
      </c>
      <c r="G267" t="n">
        <v>3.7</v>
      </c>
      <c r="H267" t="n">
        <v>0</v>
      </c>
      <c r="I267" t="n">
        <v>0</v>
      </c>
      <c r="J267" t="n">
        <v>0</v>
      </c>
      <c r="K267" t="n">
        <v>0</v>
      </c>
      <c r="L267" t="n">
        <v>0</v>
      </c>
      <c r="M267" t="n">
        <v>0</v>
      </c>
      <c r="N267" t="n">
        <v>0</v>
      </c>
      <c r="O267" t="n">
        <v>0</v>
      </c>
      <c r="P267" t="n">
        <v>0</v>
      </c>
      <c r="Q267" t="n">
        <v>0</v>
      </c>
      <c r="R267" s="2" t="inlineStr"/>
    </row>
    <row r="268" ht="15" customHeight="1">
      <c r="A268" t="inlineStr">
        <is>
          <t>A 6099-2024</t>
        </is>
      </c>
      <c r="B268" s="1" t="n">
        <v>45337</v>
      </c>
      <c r="C268" s="1" t="n">
        <v>46198</v>
      </c>
      <c r="D268" t="inlineStr">
        <is>
          <t>GOTLANDS LÄN</t>
        </is>
      </c>
      <c r="E268" t="inlineStr">
        <is>
          <t>GOTLAND</t>
        </is>
      </c>
      <c r="G268" t="n">
        <v>12.6</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v>
      </c>
      <c r="C269" s="1" t="n">
        <v>46198</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64660-2023</t>
        </is>
      </c>
      <c r="B270" s="1" t="n">
        <v>45281</v>
      </c>
      <c r="C270" s="1" t="n">
        <v>46198</v>
      </c>
      <c r="D270" t="inlineStr">
        <is>
          <t>GOTLANDS LÄN</t>
        </is>
      </c>
      <c r="E270" t="inlineStr">
        <is>
          <t>GOTLAND</t>
        </is>
      </c>
      <c r="G270" t="n">
        <v>6.3</v>
      </c>
      <c r="H270" t="n">
        <v>0</v>
      </c>
      <c r="I270" t="n">
        <v>0</v>
      </c>
      <c r="J270" t="n">
        <v>0</v>
      </c>
      <c r="K270" t="n">
        <v>0</v>
      </c>
      <c r="L270" t="n">
        <v>0</v>
      </c>
      <c r="M270" t="n">
        <v>0</v>
      </c>
      <c r="N270" t="n">
        <v>0</v>
      </c>
      <c r="O270" t="n">
        <v>0</v>
      </c>
      <c r="P270" t="n">
        <v>0</v>
      </c>
      <c r="Q270" t="n">
        <v>0</v>
      </c>
      <c r="R270" s="2" t="inlineStr"/>
    </row>
    <row r="271" ht="15" customHeight="1">
      <c r="A271" t="inlineStr">
        <is>
          <t>A 60709-2023</t>
        </is>
      </c>
      <c r="B271" s="1" t="n">
        <v>45260</v>
      </c>
      <c r="C271" s="1" t="n">
        <v>46198</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20855-2023</t>
        </is>
      </c>
      <c r="B272" s="1" t="n">
        <v>45058</v>
      </c>
      <c r="C272" s="1" t="n">
        <v>46198</v>
      </c>
      <c r="D272" t="inlineStr">
        <is>
          <t>GOTLANDS LÄN</t>
        </is>
      </c>
      <c r="E272" t="inlineStr">
        <is>
          <t>GOTLAND</t>
        </is>
      </c>
      <c r="G272" t="n">
        <v>1.7</v>
      </c>
      <c r="H272" t="n">
        <v>0</v>
      </c>
      <c r="I272" t="n">
        <v>0</v>
      </c>
      <c r="J272" t="n">
        <v>0</v>
      </c>
      <c r="K272" t="n">
        <v>0</v>
      </c>
      <c r="L272" t="n">
        <v>0</v>
      </c>
      <c r="M272" t="n">
        <v>0</v>
      </c>
      <c r="N272" t="n">
        <v>0</v>
      </c>
      <c r="O272" t="n">
        <v>0</v>
      </c>
      <c r="P272" t="n">
        <v>0</v>
      </c>
      <c r="Q272" t="n">
        <v>0</v>
      </c>
      <c r="R272" s="2" t="inlineStr"/>
    </row>
    <row r="273" ht="15" customHeight="1">
      <c r="A273" t="inlineStr">
        <is>
          <t>A 8045-2022</t>
        </is>
      </c>
      <c r="B273" s="1" t="n">
        <v>44609</v>
      </c>
      <c r="C273" s="1" t="n">
        <v>46198</v>
      </c>
      <c r="D273" t="inlineStr">
        <is>
          <t>GOTLANDS LÄN</t>
        </is>
      </c>
      <c r="E273" t="inlineStr">
        <is>
          <t>GOTLAND</t>
        </is>
      </c>
      <c r="G273" t="n">
        <v>7</v>
      </c>
      <c r="H273" t="n">
        <v>0</v>
      </c>
      <c r="I273" t="n">
        <v>0</v>
      </c>
      <c r="J273" t="n">
        <v>0</v>
      </c>
      <c r="K273" t="n">
        <v>0</v>
      </c>
      <c r="L273" t="n">
        <v>0</v>
      </c>
      <c r="M273" t="n">
        <v>0</v>
      </c>
      <c r="N273" t="n">
        <v>0</v>
      </c>
      <c r="O273" t="n">
        <v>0</v>
      </c>
      <c r="P273" t="n">
        <v>0</v>
      </c>
      <c r="Q273" t="n">
        <v>0</v>
      </c>
      <c r="R273" s="2" t="inlineStr"/>
    </row>
    <row r="274" ht="15" customHeight="1">
      <c r="A274" t="inlineStr">
        <is>
          <t>A 1000-2024</t>
        </is>
      </c>
      <c r="B274" s="1" t="n">
        <v>45301</v>
      </c>
      <c r="C274" s="1" t="n">
        <v>46198</v>
      </c>
      <c r="D274" t="inlineStr">
        <is>
          <t>GOTLANDS LÄN</t>
        </is>
      </c>
      <c r="E274" t="inlineStr">
        <is>
          <t>GOTLAND</t>
        </is>
      </c>
      <c r="G274" t="n">
        <v>1</v>
      </c>
      <c r="H274" t="n">
        <v>0</v>
      </c>
      <c r="I274" t="n">
        <v>0</v>
      </c>
      <c r="J274" t="n">
        <v>0</v>
      </c>
      <c r="K274" t="n">
        <v>0</v>
      </c>
      <c r="L274" t="n">
        <v>0</v>
      </c>
      <c r="M274" t="n">
        <v>0</v>
      </c>
      <c r="N274" t="n">
        <v>0</v>
      </c>
      <c r="O274" t="n">
        <v>0</v>
      </c>
      <c r="P274" t="n">
        <v>0</v>
      </c>
      <c r="Q274" t="n">
        <v>0</v>
      </c>
      <c r="R274" s="2" t="inlineStr"/>
    </row>
    <row r="275" ht="15" customHeight="1">
      <c r="A275" t="inlineStr">
        <is>
          <t>A 65249-2023</t>
        </is>
      </c>
      <c r="B275" s="1" t="n">
        <v>45290</v>
      </c>
      <c r="C275" s="1" t="n">
        <v>46198</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30956-2024</t>
        </is>
      </c>
      <c r="B276" s="1" t="n">
        <v>45499</v>
      </c>
      <c r="C276" s="1" t="n">
        <v>46198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12596-2023</t>
        </is>
      </c>
      <c r="B277" s="1" t="n">
        <v>45000</v>
      </c>
      <c r="C277" s="1" t="n">
        <v>46198</v>
      </c>
      <c r="D277" t="inlineStr">
        <is>
          <t>GOTLANDS LÄN</t>
        </is>
      </c>
      <c r="E277" t="inlineStr">
        <is>
          <t>GOTLAND</t>
        </is>
      </c>
      <c r="G277" t="n">
        <v>4.1</v>
      </c>
      <c r="H277" t="n">
        <v>0</v>
      </c>
      <c r="I277" t="n">
        <v>0</v>
      </c>
      <c r="J277" t="n">
        <v>0</v>
      </c>
      <c r="K277" t="n">
        <v>0</v>
      </c>
      <c r="L277" t="n">
        <v>0</v>
      </c>
      <c r="M277" t="n">
        <v>0</v>
      </c>
      <c r="N277" t="n">
        <v>0</v>
      </c>
      <c r="O277" t="n">
        <v>0</v>
      </c>
      <c r="P277" t="n">
        <v>0</v>
      </c>
      <c r="Q277" t="n">
        <v>0</v>
      </c>
      <c r="R277" s="2" t="inlineStr"/>
    </row>
    <row r="278" ht="15" customHeight="1">
      <c r="A278" t="inlineStr">
        <is>
          <t>A 999-2024</t>
        </is>
      </c>
      <c r="B278" s="1" t="n">
        <v>45301</v>
      </c>
      <c r="C278" s="1" t="n">
        <v>46198</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65901-2021</t>
        </is>
      </c>
      <c r="B279" s="1" t="n">
        <v>44516</v>
      </c>
      <c r="C279" s="1" t="n">
        <v>46198</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46198</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47762-2023</t>
        </is>
      </c>
      <c r="B281" s="1" t="n">
        <v>45203</v>
      </c>
      <c r="C281" s="1" t="n">
        <v>46198</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17847-2025</t>
        </is>
      </c>
      <c r="B282" s="1" t="n">
        <v>45758</v>
      </c>
      <c r="C282" s="1" t="n">
        <v>46198</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18742-2025</t>
        </is>
      </c>
      <c r="B283" s="1" t="n">
        <v>45763</v>
      </c>
      <c r="C283" s="1" t="n">
        <v>46198</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35129-2025</t>
        </is>
      </c>
      <c r="B284" s="1" t="n">
        <v>45852</v>
      </c>
      <c r="C284" s="1" t="n">
        <v>46198</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58780-2024</t>
        </is>
      </c>
      <c r="B285" s="1" t="n">
        <v>45635</v>
      </c>
      <c r="C285" s="1" t="n">
        <v>46198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12322-2025</t>
        </is>
      </c>
      <c r="B286" s="1" t="n">
        <v>45730</v>
      </c>
      <c r="C286" s="1" t="n">
        <v>46198</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46198</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30282-2022</t>
        </is>
      </c>
      <c r="B288" s="1" t="n">
        <v>44760</v>
      </c>
      <c r="C288" s="1" t="n">
        <v>46198</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35142-2025</t>
        </is>
      </c>
      <c r="B289" s="1" t="n">
        <v>45852</v>
      </c>
      <c r="C289" s="1" t="n">
        <v>46198</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7835-2024</t>
        </is>
      </c>
      <c r="B290" s="1" t="n">
        <v>45349</v>
      </c>
      <c r="C290" s="1" t="n">
        <v>46198</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10650-2022</t>
        </is>
      </c>
      <c r="B291" s="1" t="n">
        <v>44624</v>
      </c>
      <c r="C291" s="1" t="n">
        <v>46198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35141-2025</t>
        </is>
      </c>
      <c r="B292" s="1" t="n">
        <v>45852</v>
      </c>
      <c r="C292" s="1" t="n">
        <v>46198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21142-2025</t>
        </is>
      </c>
      <c r="B293" s="1" t="n">
        <v>45779</v>
      </c>
      <c r="C293" s="1" t="n">
        <v>46198</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6108-2025</t>
        </is>
      </c>
      <c r="B294" s="1" t="n">
        <v>45698</v>
      </c>
      <c r="C294" s="1" t="n">
        <v>46198</v>
      </c>
      <c r="D294" t="inlineStr">
        <is>
          <t>GOTLANDS LÄN</t>
        </is>
      </c>
      <c r="E294" t="inlineStr">
        <is>
          <t>GOTLAND</t>
        </is>
      </c>
      <c r="G294" t="n">
        <v>2.8</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v>
      </c>
      <c r="C295" s="1" t="n">
        <v>46198</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17343-2025</t>
        </is>
      </c>
      <c r="B296" s="1" t="n">
        <v>45756</v>
      </c>
      <c r="C296" s="1" t="n">
        <v>46198</v>
      </c>
      <c r="D296" t="inlineStr">
        <is>
          <t>GOTLANDS LÄN</t>
        </is>
      </c>
      <c r="E296" t="inlineStr">
        <is>
          <t>GOTLAND</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18938-2025</t>
        </is>
      </c>
      <c r="B297" s="1" t="n">
        <v>45764</v>
      </c>
      <c r="C297" s="1" t="n">
        <v>46198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28425-2023</t>
        </is>
      </c>
      <c r="B298" s="1" t="n">
        <v>45102</v>
      </c>
      <c r="C298" s="1" t="n">
        <v>46198</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20307-2025</t>
        </is>
      </c>
      <c r="B299" s="1" t="n">
        <v>45774</v>
      </c>
      <c r="C299" s="1" t="n">
        <v>46198</v>
      </c>
      <c r="D299" t="inlineStr">
        <is>
          <t>GOTLANDS LÄN</t>
        </is>
      </c>
      <c r="E299" t="inlineStr">
        <is>
          <t>GOTLAND</t>
        </is>
      </c>
      <c r="G299" t="n">
        <v>6.8</v>
      </c>
      <c r="H299" t="n">
        <v>0</v>
      </c>
      <c r="I299" t="n">
        <v>0</v>
      </c>
      <c r="J299" t="n">
        <v>0</v>
      </c>
      <c r="K299" t="n">
        <v>0</v>
      </c>
      <c r="L299" t="n">
        <v>0</v>
      </c>
      <c r="M299" t="n">
        <v>0</v>
      </c>
      <c r="N299" t="n">
        <v>0</v>
      </c>
      <c r="O299" t="n">
        <v>0</v>
      </c>
      <c r="P299" t="n">
        <v>0</v>
      </c>
      <c r="Q299" t="n">
        <v>0</v>
      </c>
      <c r="R299" s="2" t="inlineStr"/>
    </row>
    <row r="300" ht="15" customHeight="1">
      <c r="A300" t="inlineStr">
        <is>
          <t>A 1854-2026</t>
        </is>
      </c>
      <c r="B300" s="1" t="n">
        <v>46035</v>
      </c>
      <c r="C300" s="1" t="n">
        <v>46198</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13037-2025</t>
        </is>
      </c>
      <c r="B301" s="1" t="n">
        <v>45734</v>
      </c>
      <c r="C301" s="1" t="n">
        <v>46198</v>
      </c>
      <c r="D301" t="inlineStr">
        <is>
          <t>GOTLANDS LÄN</t>
        </is>
      </c>
      <c r="E301" t="inlineStr">
        <is>
          <t>GOTLAND</t>
        </is>
      </c>
      <c r="G301" t="n">
        <v>9.5</v>
      </c>
      <c r="H301" t="n">
        <v>0</v>
      </c>
      <c r="I301" t="n">
        <v>0</v>
      </c>
      <c r="J301" t="n">
        <v>0</v>
      </c>
      <c r="K301" t="n">
        <v>0</v>
      </c>
      <c r="L301" t="n">
        <v>0</v>
      </c>
      <c r="M301" t="n">
        <v>0</v>
      </c>
      <c r="N301" t="n">
        <v>0</v>
      </c>
      <c r="O301" t="n">
        <v>0</v>
      </c>
      <c r="P301" t="n">
        <v>0</v>
      </c>
      <c r="Q301" t="n">
        <v>0</v>
      </c>
      <c r="R301" s="2" t="inlineStr"/>
    </row>
    <row r="302" ht="15" customHeight="1">
      <c r="A302" t="inlineStr">
        <is>
          <t>A 39816-2025</t>
        </is>
      </c>
      <c r="B302" s="1" t="n">
        <v>45891</v>
      </c>
      <c r="C302" s="1" t="n">
        <v>46198</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40372-2025</t>
        </is>
      </c>
      <c r="B303" s="1" t="n">
        <v>45895</v>
      </c>
      <c r="C303" s="1" t="n">
        <v>46198</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40373-2025</t>
        </is>
      </c>
      <c r="B304" s="1" t="n">
        <v>45895</v>
      </c>
      <c r="C304" s="1" t="n">
        <v>46198</v>
      </c>
      <c r="D304" t="inlineStr">
        <is>
          <t>GOTLANDS LÄN</t>
        </is>
      </c>
      <c r="E304" t="inlineStr">
        <is>
          <t>GOTLAND</t>
        </is>
      </c>
      <c r="G304" t="n">
        <v>0.6</v>
      </c>
      <c r="H304" t="n">
        <v>0</v>
      </c>
      <c r="I304" t="n">
        <v>0</v>
      </c>
      <c r="J304" t="n">
        <v>0</v>
      </c>
      <c r="K304" t="n">
        <v>0</v>
      </c>
      <c r="L304" t="n">
        <v>0</v>
      </c>
      <c r="M304" t="n">
        <v>0</v>
      </c>
      <c r="N304" t="n">
        <v>0</v>
      </c>
      <c r="O304" t="n">
        <v>0</v>
      </c>
      <c r="P304" t="n">
        <v>0</v>
      </c>
      <c r="Q304" t="n">
        <v>0</v>
      </c>
      <c r="R304" s="2" t="inlineStr"/>
    </row>
    <row r="305" ht="15" customHeight="1">
      <c r="A305" t="inlineStr">
        <is>
          <t>A 10746-2025</t>
        </is>
      </c>
      <c r="B305" s="1" t="n">
        <v>45722</v>
      </c>
      <c r="C305" s="1" t="n">
        <v>46198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40499-2025</t>
        </is>
      </c>
      <c r="B306" s="1" t="n">
        <v>45896</v>
      </c>
      <c r="C306" s="1" t="n">
        <v>46198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12599-2025</t>
        </is>
      </c>
      <c r="B307" s="1" t="n">
        <v>45733</v>
      </c>
      <c r="C307" s="1" t="n">
        <v>46198</v>
      </c>
      <c r="D307" t="inlineStr">
        <is>
          <t>GOTLANDS LÄN</t>
        </is>
      </c>
      <c r="E307" t="inlineStr">
        <is>
          <t>GOTLAND</t>
        </is>
      </c>
      <c r="G307" t="n">
        <v>4.7</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46198</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2180-2025</t>
        </is>
      </c>
      <c r="B309" s="1" t="n">
        <v>45673</v>
      </c>
      <c r="C309" s="1" t="n">
        <v>46198</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43229-2023</t>
        </is>
      </c>
      <c r="B310" s="1" t="n">
        <v>45183</v>
      </c>
      <c r="C310" s="1" t="n">
        <v>46198</v>
      </c>
      <c r="D310" t="inlineStr">
        <is>
          <t>GOTLANDS LÄN</t>
        </is>
      </c>
      <c r="E310" t="inlineStr">
        <is>
          <t>GOTLAND</t>
        </is>
      </c>
      <c r="G310" t="n">
        <v>7.1</v>
      </c>
      <c r="H310" t="n">
        <v>0</v>
      </c>
      <c r="I310" t="n">
        <v>0</v>
      </c>
      <c r="J310" t="n">
        <v>0</v>
      </c>
      <c r="K310" t="n">
        <v>0</v>
      </c>
      <c r="L310" t="n">
        <v>0</v>
      </c>
      <c r="M310" t="n">
        <v>0</v>
      </c>
      <c r="N310" t="n">
        <v>0</v>
      </c>
      <c r="O310" t="n">
        <v>0</v>
      </c>
      <c r="P310" t="n">
        <v>0</v>
      </c>
      <c r="Q310" t="n">
        <v>0</v>
      </c>
      <c r="R310" s="2" t="inlineStr"/>
    </row>
    <row r="311" ht="15" customHeight="1">
      <c r="A311" t="inlineStr">
        <is>
          <t>A 41038-2023</t>
        </is>
      </c>
      <c r="B311" s="1" t="n">
        <v>45173</v>
      </c>
      <c r="C311" s="1" t="n">
        <v>46198</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13910-2025</t>
        </is>
      </c>
      <c r="B312" s="1" t="n">
        <v>45737</v>
      </c>
      <c r="C312" s="1" t="n">
        <v>46198</v>
      </c>
      <c r="D312" t="inlineStr">
        <is>
          <t>GOTLANDS LÄN</t>
        </is>
      </c>
      <c r="E312" t="inlineStr">
        <is>
          <t>GOTLAND</t>
        </is>
      </c>
      <c r="F312" t="inlineStr">
        <is>
          <t>Kommuner</t>
        </is>
      </c>
      <c r="G312" t="n">
        <v>3.2</v>
      </c>
      <c r="H312" t="n">
        <v>0</v>
      </c>
      <c r="I312" t="n">
        <v>0</v>
      </c>
      <c r="J312" t="n">
        <v>0</v>
      </c>
      <c r="K312" t="n">
        <v>0</v>
      </c>
      <c r="L312" t="n">
        <v>0</v>
      </c>
      <c r="M312" t="n">
        <v>0</v>
      </c>
      <c r="N312" t="n">
        <v>0</v>
      </c>
      <c r="O312" t="n">
        <v>0</v>
      </c>
      <c r="P312" t="n">
        <v>0</v>
      </c>
      <c r="Q312" t="n">
        <v>0</v>
      </c>
      <c r="R312" s="2" t="inlineStr"/>
    </row>
    <row r="313" ht="15" customHeight="1">
      <c r="A313" t="inlineStr">
        <is>
          <t>A 20356-2022</t>
        </is>
      </c>
      <c r="B313" s="1" t="n">
        <v>44699</v>
      </c>
      <c r="C313" s="1" t="n">
        <v>46198</v>
      </c>
      <c r="D313" t="inlineStr">
        <is>
          <t>GOTLANDS LÄN</t>
        </is>
      </c>
      <c r="E313" t="inlineStr">
        <is>
          <t>GOTLAND</t>
        </is>
      </c>
      <c r="F313" t="inlineStr">
        <is>
          <t>Övriga Aktiebolag</t>
        </is>
      </c>
      <c r="G313" t="n">
        <v>4.4</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46198</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v>
      </c>
      <c r="C315" s="1" t="n">
        <v>46198</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57652-2023</t>
        </is>
      </c>
      <c r="B316" s="1" t="n">
        <v>45246</v>
      </c>
      <c r="C316" s="1" t="n">
        <v>46198</v>
      </c>
      <c r="D316" t="inlineStr">
        <is>
          <t>GOTLANDS LÄN</t>
        </is>
      </c>
      <c r="E316" t="inlineStr">
        <is>
          <t>GOTLAND</t>
        </is>
      </c>
      <c r="G316" t="n">
        <v>7.2</v>
      </c>
      <c r="H316" t="n">
        <v>0</v>
      </c>
      <c r="I316" t="n">
        <v>0</v>
      </c>
      <c r="J316" t="n">
        <v>0</v>
      </c>
      <c r="K316" t="n">
        <v>0</v>
      </c>
      <c r="L316" t="n">
        <v>0</v>
      </c>
      <c r="M316" t="n">
        <v>0</v>
      </c>
      <c r="N316" t="n">
        <v>0</v>
      </c>
      <c r="O316" t="n">
        <v>0</v>
      </c>
      <c r="P316" t="n">
        <v>0</v>
      </c>
      <c r="Q316" t="n">
        <v>0</v>
      </c>
      <c r="R316" s="2" t="inlineStr"/>
    </row>
    <row r="317" ht="15" customHeight="1">
      <c r="A317" t="inlineStr">
        <is>
          <t>A 57522-2022</t>
        </is>
      </c>
      <c r="B317" s="1" t="n">
        <v>44896</v>
      </c>
      <c r="C317" s="1" t="n">
        <v>46198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14797-2024</t>
        </is>
      </c>
      <c r="B318" s="1" t="n">
        <v>45397</v>
      </c>
      <c r="C318" s="1" t="n">
        <v>46198</v>
      </c>
      <c r="D318" t="inlineStr">
        <is>
          <t>GOTLANDS LÄN</t>
        </is>
      </c>
      <c r="E318" t="inlineStr">
        <is>
          <t>GOTLAND</t>
        </is>
      </c>
      <c r="G318" t="n">
        <v>8.1</v>
      </c>
      <c r="H318" t="n">
        <v>0</v>
      </c>
      <c r="I318" t="n">
        <v>0</v>
      </c>
      <c r="J318" t="n">
        <v>0</v>
      </c>
      <c r="K318" t="n">
        <v>0</v>
      </c>
      <c r="L318" t="n">
        <v>0</v>
      </c>
      <c r="M318" t="n">
        <v>0</v>
      </c>
      <c r="N318" t="n">
        <v>0</v>
      </c>
      <c r="O318" t="n">
        <v>0</v>
      </c>
      <c r="P318" t="n">
        <v>0</v>
      </c>
      <c r="Q318" t="n">
        <v>0</v>
      </c>
      <c r="R318" s="2" t="inlineStr"/>
    </row>
    <row r="319" ht="15" customHeight="1">
      <c r="A319" t="inlineStr">
        <is>
          <t>A 7837-2024</t>
        </is>
      </c>
      <c r="B319" s="1" t="n">
        <v>45349</v>
      </c>
      <c r="C319" s="1" t="n">
        <v>46198</v>
      </c>
      <c r="D319" t="inlineStr">
        <is>
          <t>GOTLANDS LÄN</t>
        </is>
      </c>
      <c r="E319" t="inlineStr">
        <is>
          <t>GOTLAND</t>
        </is>
      </c>
      <c r="G319" t="n">
        <v>5</v>
      </c>
      <c r="H319" t="n">
        <v>0</v>
      </c>
      <c r="I319" t="n">
        <v>0</v>
      </c>
      <c r="J319" t="n">
        <v>0</v>
      </c>
      <c r="K319" t="n">
        <v>0</v>
      </c>
      <c r="L319" t="n">
        <v>0</v>
      </c>
      <c r="M319" t="n">
        <v>0</v>
      </c>
      <c r="N319" t="n">
        <v>0</v>
      </c>
      <c r="O319" t="n">
        <v>0</v>
      </c>
      <c r="P319" t="n">
        <v>0</v>
      </c>
      <c r="Q319" t="n">
        <v>0</v>
      </c>
      <c r="R319" s="2" t="inlineStr"/>
    </row>
    <row r="320" ht="15" customHeight="1">
      <c r="A320" t="inlineStr">
        <is>
          <t>A 1394-2023</t>
        </is>
      </c>
      <c r="B320" s="1" t="n">
        <v>44936</v>
      </c>
      <c r="C320" s="1" t="n">
        <v>46198</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46198</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4387-2023</t>
        </is>
      </c>
      <c r="B322" s="1" t="n">
        <v>44955</v>
      </c>
      <c r="C322" s="1" t="n">
        <v>46198</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37728-2024</t>
        </is>
      </c>
      <c r="B323" s="1" t="n">
        <v>45541</v>
      </c>
      <c r="C323" s="1" t="n">
        <v>46198</v>
      </c>
      <c r="D323" t="inlineStr">
        <is>
          <t>GOTLANDS LÄN</t>
        </is>
      </c>
      <c r="E323" t="inlineStr">
        <is>
          <t>GOTLAND</t>
        </is>
      </c>
      <c r="G323" t="n">
        <v>0.4</v>
      </c>
      <c r="H323" t="n">
        <v>0</v>
      </c>
      <c r="I323" t="n">
        <v>0</v>
      </c>
      <c r="J323" t="n">
        <v>0</v>
      </c>
      <c r="K323" t="n">
        <v>0</v>
      </c>
      <c r="L323" t="n">
        <v>0</v>
      </c>
      <c r="M323" t="n">
        <v>0</v>
      </c>
      <c r="N323" t="n">
        <v>0</v>
      </c>
      <c r="O323" t="n">
        <v>0</v>
      </c>
      <c r="P323" t="n">
        <v>0</v>
      </c>
      <c r="Q323" t="n">
        <v>0</v>
      </c>
      <c r="R323" s="2" t="inlineStr"/>
    </row>
    <row r="324" ht="15" customHeight="1">
      <c r="A324" t="inlineStr">
        <is>
          <t>A 45112-2024</t>
        </is>
      </c>
      <c r="B324" s="1" t="n">
        <v>45575</v>
      </c>
      <c r="C324" s="1" t="n">
        <v>46198</v>
      </c>
      <c r="D324" t="inlineStr">
        <is>
          <t>GOTLANDS LÄN</t>
        </is>
      </c>
      <c r="E324" t="inlineStr">
        <is>
          <t>GOTLAND</t>
        </is>
      </c>
      <c r="G324" t="n">
        <v>5.1</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46198</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46836-2025</t>
        </is>
      </c>
      <c r="B326" s="1" t="n">
        <v>45928</v>
      </c>
      <c r="C326" s="1" t="n">
        <v>46198</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47637-2025</t>
        </is>
      </c>
      <c r="B327" s="1" t="n">
        <v>45931</v>
      </c>
      <c r="C327" s="1" t="n">
        <v>46198</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22275-2023</t>
        </is>
      </c>
      <c r="B328" s="1" t="n">
        <v>45070</v>
      </c>
      <c r="C328" s="1" t="n">
        <v>46198</v>
      </c>
      <c r="D328" t="inlineStr">
        <is>
          <t>GOTLANDS LÄN</t>
        </is>
      </c>
      <c r="E328" t="inlineStr">
        <is>
          <t>GOTLAND</t>
        </is>
      </c>
      <c r="G328" t="n">
        <v>7.2</v>
      </c>
      <c r="H328" t="n">
        <v>0</v>
      </c>
      <c r="I328" t="n">
        <v>0</v>
      </c>
      <c r="J328" t="n">
        <v>0</v>
      </c>
      <c r="K328" t="n">
        <v>0</v>
      </c>
      <c r="L328" t="n">
        <v>0</v>
      </c>
      <c r="M328" t="n">
        <v>0</v>
      </c>
      <c r="N328" t="n">
        <v>0</v>
      </c>
      <c r="O328" t="n">
        <v>0</v>
      </c>
      <c r="P328" t="n">
        <v>0</v>
      </c>
      <c r="Q328" t="n">
        <v>0</v>
      </c>
      <c r="R328" s="2" t="inlineStr"/>
    </row>
    <row r="329" ht="15" customHeight="1">
      <c r="A329" t="inlineStr">
        <is>
          <t>A 14635-2023</t>
        </is>
      </c>
      <c r="B329" s="1" t="n">
        <v>45013</v>
      </c>
      <c r="C329" s="1" t="n">
        <v>46198</v>
      </c>
      <c r="D329" t="inlineStr">
        <is>
          <t>GOTLANDS LÄN</t>
        </is>
      </c>
      <c r="E329" t="inlineStr">
        <is>
          <t>GOTLAND</t>
        </is>
      </c>
      <c r="G329" t="n">
        <v>3.1</v>
      </c>
      <c r="H329" t="n">
        <v>0</v>
      </c>
      <c r="I329" t="n">
        <v>0</v>
      </c>
      <c r="J329" t="n">
        <v>0</v>
      </c>
      <c r="K329" t="n">
        <v>0</v>
      </c>
      <c r="L329" t="n">
        <v>0</v>
      </c>
      <c r="M329" t="n">
        <v>0</v>
      </c>
      <c r="N329" t="n">
        <v>0</v>
      </c>
      <c r="O329" t="n">
        <v>0</v>
      </c>
      <c r="P329" t="n">
        <v>0</v>
      </c>
      <c r="Q329" t="n">
        <v>0</v>
      </c>
      <c r="R329" s="2" t="inlineStr"/>
    </row>
    <row r="330" ht="15" customHeight="1">
      <c r="A330" t="inlineStr">
        <is>
          <t>A 63763-2023</t>
        </is>
      </c>
      <c r="B330" s="1" t="n">
        <v>45278</v>
      </c>
      <c r="C330" s="1" t="n">
        <v>46198</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7636-2025</t>
        </is>
      </c>
      <c r="B331" s="1" t="n">
        <v>45705</v>
      </c>
      <c r="C331" s="1" t="n">
        <v>46198</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7639-2025</t>
        </is>
      </c>
      <c r="B332" s="1" t="n">
        <v>45705</v>
      </c>
      <c r="C332" s="1" t="n">
        <v>46198</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32378-2025</t>
        </is>
      </c>
      <c r="B333" s="1" t="n">
        <v>45837</v>
      </c>
      <c r="C333" s="1" t="n">
        <v>46198</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61682-2024</t>
        </is>
      </c>
      <c r="B334" s="1" t="n">
        <v>45647</v>
      </c>
      <c r="C334" s="1" t="n">
        <v>46198</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15434-2024</t>
        </is>
      </c>
      <c r="B335" s="1" t="n">
        <v>45401</v>
      </c>
      <c r="C335" s="1" t="n">
        <v>46198</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35537-2025</t>
        </is>
      </c>
      <c r="B336" s="1" t="n">
        <v>45856</v>
      </c>
      <c r="C336" s="1" t="n">
        <v>46198</v>
      </c>
      <c r="D336" t="inlineStr">
        <is>
          <t>GOTLANDS LÄN</t>
        </is>
      </c>
      <c r="E336" t="inlineStr">
        <is>
          <t>GOTLAND</t>
        </is>
      </c>
      <c r="G336" t="n">
        <v>16.8</v>
      </c>
      <c r="H336" t="n">
        <v>0</v>
      </c>
      <c r="I336" t="n">
        <v>0</v>
      </c>
      <c r="J336" t="n">
        <v>0</v>
      </c>
      <c r="K336" t="n">
        <v>0</v>
      </c>
      <c r="L336" t="n">
        <v>0</v>
      </c>
      <c r="M336" t="n">
        <v>0</v>
      </c>
      <c r="N336" t="n">
        <v>0</v>
      </c>
      <c r="O336" t="n">
        <v>0</v>
      </c>
      <c r="P336" t="n">
        <v>0</v>
      </c>
      <c r="Q336" t="n">
        <v>0</v>
      </c>
      <c r="R336" s="2" t="inlineStr"/>
    </row>
    <row r="337" ht="15" customHeight="1">
      <c r="A337" t="inlineStr">
        <is>
          <t>A 20225-2025</t>
        </is>
      </c>
      <c r="B337" s="1" t="n">
        <v>45772</v>
      </c>
      <c r="C337" s="1" t="n">
        <v>46198</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7034-2023</t>
        </is>
      </c>
      <c r="B338" s="1" t="n">
        <v>44968</v>
      </c>
      <c r="C338" s="1" t="n">
        <v>46198</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35550-2025</t>
        </is>
      </c>
      <c r="B339" s="1" t="n">
        <v>45856</v>
      </c>
      <c r="C339" s="1" t="n">
        <v>46198</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6959-2026</t>
        </is>
      </c>
      <c r="B340" s="1" t="n">
        <v>46057</v>
      </c>
      <c r="C340" s="1" t="n">
        <v>46198</v>
      </c>
      <c r="D340" t="inlineStr">
        <is>
          <t>GOTLANDS LÄN</t>
        </is>
      </c>
      <c r="E340" t="inlineStr">
        <is>
          <t>GOTLAND</t>
        </is>
      </c>
      <c r="F340" t="inlineStr">
        <is>
          <t>Kyrkan</t>
        </is>
      </c>
      <c r="G340" t="n">
        <v>1.2</v>
      </c>
      <c r="H340" t="n">
        <v>0</v>
      </c>
      <c r="I340" t="n">
        <v>0</v>
      </c>
      <c r="J340" t="n">
        <v>0</v>
      </c>
      <c r="K340" t="n">
        <v>0</v>
      </c>
      <c r="L340" t="n">
        <v>0</v>
      </c>
      <c r="M340" t="n">
        <v>0</v>
      </c>
      <c r="N340" t="n">
        <v>0</v>
      </c>
      <c r="O340" t="n">
        <v>0</v>
      </c>
      <c r="P340" t="n">
        <v>0</v>
      </c>
      <c r="Q340" t="n">
        <v>0</v>
      </c>
      <c r="R340" s="2" t="inlineStr"/>
    </row>
    <row r="341" ht="15" customHeight="1">
      <c r="A341" t="inlineStr">
        <is>
          <t>A 47578-2025</t>
        </is>
      </c>
      <c r="B341" s="1" t="n">
        <v>45931</v>
      </c>
      <c r="C341" s="1" t="n">
        <v>46198</v>
      </c>
      <c r="D341" t="inlineStr">
        <is>
          <t>GOTLANDS LÄN</t>
        </is>
      </c>
      <c r="E341" t="inlineStr">
        <is>
          <t>GOTLAND</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29207-2025</t>
        </is>
      </c>
      <c r="B342" s="1" t="n">
        <v>45823</v>
      </c>
      <c r="C342" s="1" t="n">
        <v>46198</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46198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49690-2025</t>
        </is>
      </c>
      <c r="B344" s="1" t="n">
        <v>45939</v>
      </c>
      <c r="C344" s="1" t="n">
        <v>46198</v>
      </c>
      <c r="D344" t="inlineStr">
        <is>
          <t>GOTLANDS LÄN</t>
        </is>
      </c>
      <c r="E344" t="inlineStr">
        <is>
          <t>GOTLAND</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54074-2022</t>
        </is>
      </c>
      <c r="B345" s="1" t="n">
        <v>44881</v>
      </c>
      <c r="C345" s="1" t="n">
        <v>46198</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61694-2023</t>
        </is>
      </c>
      <c r="B346" s="1" t="n">
        <v>45264</v>
      </c>
      <c r="C346" s="1" t="n">
        <v>46198</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54268-2022</t>
        </is>
      </c>
      <c r="B347" s="1" t="n">
        <v>44882</v>
      </c>
      <c r="C347" s="1" t="n">
        <v>46198</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49730-2025</t>
        </is>
      </c>
      <c r="B348" s="1" t="n">
        <v>45939</v>
      </c>
      <c r="C348" s="1" t="n">
        <v>46198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1446-2025</t>
        </is>
      </c>
      <c r="B349" s="1" t="n">
        <v>45669</v>
      </c>
      <c r="C349" s="1" t="n">
        <v>46198</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1462-2025</t>
        </is>
      </c>
      <c r="B350" s="1" t="n">
        <v>45670</v>
      </c>
      <c r="C350" s="1" t="n">
        <v>46198</v>
      </c>
      <c r="D350" t="inlineStr">
        <is>
          <t>GOTLANDS LÄN</t>
        </is>
      </c>
      <c r="E350" t="inlineStr">
        <is>
          <t>GOTLAND</t>
        </is>
      </c>
      <c r="G350" t="n">
        <v>2.8</v>
      </c>
      <c r="H350" t="n">
        <v>0</v>
      </c>
      <c r="I350" t="n">
        <v>0</v>
      </c>
      <c r="J350" t="n">
        <v>0</v>
      </c>
      <c r="K350" t="n">
        <v>0</v>
      </c>
      <c r="L350" t="n">
        <v>0</v>
      </c>
      <c r="M350" t="n">
        <v>0</v>
      </c>
      <c r="N350" t="n">
        <v>0</v>
      </c>
      <c r="O350" t="n">
        <v>0</v>
      </c>
      <c r="P350" t="n">
        <v>0</v>
      </c>
      <c r="Q350" t="n">
        <v>0</v>
      </c>
      <c r="R350" s="2" t="inlineStr"/>
    </row>
    <row r="351" ht="15" customHeight="1">
      <c r="A351" t="inlineStr">
        <is>
          <t>A 57685-2022</t>
        </is>
      </c>
      <c r="B351" s="1" t="n">
        <v>44897</v>
      </c>
      <c r="C351" s="1" t="n">
        <v>46198</v>
      </c>
      <c r="D351" t="inlineStr">
        <is>
          <t>GOTLANDS LÄN</t>
        </is>
      </c>
      <c r="E351" t="inlineStr">
        <is>
          <t>GOTLAND</t>
        </is>
      </c>
      <c r="G351" t="n">
        <v>3.7</v>
      </c>
      <c r="H351" t="n">
        <v>0</v>
      </c>
      <c r="I351" t="n">
        <v>0</v>
      </c>
      <c r="J351" t="n">
        <v>0</v>
      </c>
      <c r="K351" t="n">
        <v>0</v>
      </c>
      <c r="L351" t="n">
        <v>0</v>
      </c>
      <c r="M351" t="n">
        <v>0</v>
      </c>
      <c r="N351" t="n">
        <v>0</v>
      </c>
      <c r="O351" t="n">
        <v>0</v>
      </c>
      <c r="P351" t="n">
        <v>0</v>
      </c>
      <c r="Q351" t="n">
        <v>0</v>
      </c>
      <c r="R351" s="2" t="inlineStr"/>
    </row>
    <row r="352" ht="15" customHeight="1">
      <c r="A352" t="inlineStr">
        <is>
          <t>A 811-2023</t>
        </is>
      </c>
      <c r="B352" s="1" t="n">
        <v>44931</v>
      </c>
      <c r="C352" s="1" t="n">
        <v>46198</v>
      </c>
      <c r="D352" t="inlineStr">
        <is>
          <t>GOTLANDS LÄN</t>
        </is>
      </c>
      <c r="E352" t="inlineStr">
        <is>
          <t>GOTLAND</t>
        </is>
      </c>
      <c r="G352" t="n">
        <v>0.6</v>
      </c>
      <c r="H352" t="n">
        <v>0</v>
      </c>
      <c r="I352" t="n">
        <v>0</v>
      </c>
      <c r="J352" t="n">
        <v>0</v>
      </c>
      <c r="K352" t="n">
        <v>0</v>
      </c>
      <c r="L352" t="n">
        <v>0</v>
      </c>
      <c r="M352" t="n">
        <v>0</v>
      </c>
      <c r="N352" t="n">
        <v>0</v>
      </c>
      <c r="O352" t="n">
        <v>0</v>
      </c>
      <c r="P352" t="n">
        <v>0</v>
      </c>
      <c r="Q352" t="n">
        <v>0</v>
      </c>
      <c r="R352" s="2" t="inlineStr"/>
    </row>
    <row r="353" ht="15" customHeight="1">
      <c r="A353" t="inlineStr">
        <is>
          <t>A 5905-2024</t>
        </is>
      </c>
      <c r="B353" s="1" t="n">
        <v>45335</v>
      </c>
      <c r="C353" s="1" t="n">
        <v>46198</v>
      </c>
      <c r="D353" t="inlineStr">
        <is>
          <t>GOTLANDS LÄN</t>
        </is>
      </c>
      <c r="E353" t="inlineStr">
        <is>
          <t>GOTLAND</t>
        </is>
      </c>
      <c r="G353" t="n">
        <v>3</v>
      </c>
      <c r="H353" t="n">
        <v>0</v>
      </c>
      <c r="I353" t="n">
        <v>0</v>
      </c>
      <c r="J353" t="n">
        <v>0</v>
      </c>
      <c r="K353" t="n">
        <v>0</v>
      </c>
      <c r="L353" t="n">
        <v>0</v>
      </c>
      <c r="M353" t="n">
        <v>0</v>
      </c>
      <c r="N353" t="n">
        <v>0</v>
      </c>
      <c r="O353" t="n">
        <v>0</v>
      </c>
      <c r="P353" t="n">
        <v>0</v>
      </c>
      <c r="Q353" t="n">
        <v>0</v>
      </c>
      <c r="R353" s="2" t="inlineStr"/>
    </row>
    <row r="354" ht="15" customHeight="1">
      <c r="A354" t="inlineStr">
        <is>
          <t>A 3431-2025</t>
        </is>
      </c>
      <c r="B354" s="1" t="n">
        <v>45680</v>
      </c>
      <c r="C354" s="1" t="n">
        <v>46198</v>
      </c>
      <c r="D354" t="inlineStr">
        <is>
          <t>GOTLANDS LÄN</t>
        </is>
      </c>
      <c r="E354" t="inlineStr">
        <is>
          <t>GOTLAND</t>
        </is>
      </c>
      <c r="G354" t="n">
        <v>4.8</v>
      </c>
      <c r="H354" t="n">
        <v>0</v>
      </c>
      <c r="I354" t="n">
        <v>0</v>
      </c>
      <c r="J354" t="n">
        <v>0</v>
      </c>
      <c r="K354" t="n">
        <v>0</v>
      </c>
      <c r="L354" t="n">
        <v>0</v>
      </c>
      <c r="M354" t="n">
        <v>0</v>
      </c>
      <c r="N354" t="n">
        <v>0</v>
      </c>
      <c r="O354" t="n">
        <v>0</v>
      </c>
      <c r="P354" t="n">
        <v>0</v>
      </c>
      <c r="Q354" t="n">
        <v>0</v>
      </c>
      <c r="R354" s="2" t="inlineStr"/>
    </row>
    <row r="355" ht="15" customHeight="1">
      <c r="A355" t="inlineStr">
        <is>
          <t>A 34407-2023</t>
        </is>
      </c>
      <c r="B355" s="1" t="n">
        <v>45132</v>
      </c>
      <c r="C355" s="1" t="n">
        <v>46198</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30892-2024</t>
        </is>
      </c>
      <c r="B356" s="1" t="n">
        <v>45491</v>
      </c>
      <c r="C356" s="1" t="n">
        <v>46198</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32958-2021</t>
        </is>
      </c>
      <c r="B357" s="1" t="n">
        <v>44376</v>
      </c>
      <c r="C357" s="1" t="n">
        <v>46198</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50928-2025</t>
        </is>
      </c>
      <c r="B358" s="1" t="n">
        <v>45946</v>
      </c>
      <c r="C358" s="1" t="n">
        <v>46198</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38165-2023</t>
        </is>
      </c>
      <c r="B359" s="1" t="n">
        <v>45161</v>
      </c>
      <c r="C359" s="1" t="n">
        <v>46198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7858-2025</t>
        </is>
      </c>
      <c r="B360" s="1" t="n">
        <v>45706</v>
      </c>
      <c r="C360" s="1" t="n">
        <v>46198</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2125-2025</t>
        </is>
      </c>
      <c r="B361" s="1" t="n">
        <v>45672</v>
      </c>
      <c r="C361" s="1" t="n">
        <v>46198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12155-2023</t>
        </is>
      </c>
      <c r="B362" s="1" t="n">
        <v>44998</v>
      </c>
      <c r="C362" s="1" t="n">
        <v>46198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2774-2024</t>
        </is>
      </c>
      <c r="B363" s="1" t="n">
        <v>45314</v>
      </c>
      <c r="C363" s="1" t="n">
        <v>46198</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9947-2024</t>
        </is>
      </c>
      <c r="B364" s="1" t="n">
        <v>45363</v>
      </c>
      <c r="C364" s="1" t="n">
        <v>46198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42007-2023</t>
        </is>
      </c>
      <c r="B365" s="1" t="n">
        <v>45177</v>
      </c>
      <c r="C365" s="1" t="n">
        <v>46198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27164-2026</t>
        </is>
      </c>
      <c r="B366" s="1" t="n">
        <v>46188</v>
      </c>
      <c r="C366" s="1" t="n">
        <v>46198</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27170-2026</t>
        </is>
      </c>
      <c r="B367" s="1" t="n">
        <v>46188</v>
      </c>
      <c r="C367" s="1" t="n">
        <v>46198</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15083-2025</t>
        </is>
      </c>
      <c r="B368" s="1" t="n">
        <v>45743</v>
      </c>
      <c r="C368" s="1" t="n">
        <v>46198</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27341-2026</t>
        </is>
      </c>
      <c r="B369" s="1" t="n">
        <v>46188</v>
      </c>
      <c r="C369" s="1" t="n">
        <v>46198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27346-2026</t>
        </is>
      </c>
      <c r="B370" s="1" t="n">
        <v>46188</v>
      </c>
      <c r="C370" s="1" t="n">
        <v>46198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27354-2026</t>
        </is>
      </c>
      <c r="B371" s="1" t="n">
        <v>46184</v>
      </c>
      <c r="C371" s="1" t="n">
        <v>46198</v>
      </c>
      <c r="D371" t="inlineStr">
        <is>
          <t>GOTLANDS LÄN</t>
        </is>
      </c>
      <c r="E371" t="inlineStr">
        <is>
          <t>GOTLAND</t>
        </is>
      </c>
      <c r="G371" t="n">
        <v>0.9</v>
      </c>
      <c r="H371" t="n">
        <v>0</v>
      </c>
      <c r="I371" t="n">
        <v>0</v>
      </c>
      <c r="J371" t="n">
        <v>0</v>
      </c>
      <c r="K371" t="n">
        <v>0</v>
      </c>
      <c r="L371" t="n">
        <v>0</v>
      </c>
      <c r="M371" t="n">
        <v>0</v>
      </c>
      <c r="N371" t="n">
        <v>0</v>
      </c>
      <c r="O371" t="n">
        <v>0</v>
      </c>
      <c r="P371" t="n">
        <v>0</v>
      </c>
      <c r="Q371" t="n">
        <v>0</v>
      </c>
      <c r="R371" s="2" t="inlineStr"/>
    </row>
    <row r="372" ht="15" customHeight="1">
      <c r="A372" t="inlineStr">
        <is>
          <t>A 56688-2025</t>
        </is>
      </c>
      <c r="B372" s="1" t="n">
        <v>45975</v>
      </c>
      <c r="C372" s="1" t="n">
        <v>46198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56799-2025</t>
        </is>
      </c>
      <c r="B373" s="1" t="n">
        <v>45978</v>
      </c>
      <c r="C373" s="1" t="n">
        <v>46198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37202-2024</t>
        </is>
      </c>
      <c r="B374" s="1" t="n">
        <v>45539</v>
      </c>
      <c r="C374" s="1" t="n">
        <v>46198</v>
      </c>
      <c r="D374" t="inlineStr">
        <is>
          <t>GOTLANDS LÄN</t>
        </is>
      </c>
      <c r="E374" t="inlineStr">
        <is>
          <t>GOTLAND</t>
        </is>
      </c>
      <c r="G374" t="n">
        <v>0.3</v>
      </c>
      <c r="H374" t="n">
        <v>0</v>
      </c>
      <c r="I374" t="n">
        <v>0</v>
      </c>
      <c r="J374" t="n">
        <v>0</v>
      </c>
      <c r="K374" t="n">
        <v>0</v>
      </c>
      <c r="L374" t="n">
        <v>0</v>
      </c>
      <c r="M374" t="n">
        <v>0</v>
      </c>
      <c r="N374" t="n">
        <v>0</v>
      </c>
      <c r="O374" t="n">
        <v>0</v>
      </c>
      <c r="P374" t="n">
        <v>0</v>
      </c>
      <c r="Q374" t="n">
        <v>0</v>
      </c>
      <c r="R374" s="2" t="inlineStr"/>
    </row>
    <row r="375" ht="15" customHeight="1">
      <c r="A375" t="inlineStr">
        <is>
          <t>A 30815-2023</t>
        </is>
      </c>
      <c r="B375" s="1" t="n">
        <v>45112</v>
      </c>
      <c r="C375" s="1" t="n">
        <v>46198</v>
      </c>
      <c r="D375" t="inlineStr">
        <is>
          <t>GOTLANDS LÄN</t>
        </is>
      </c>
      <c r="E375" t="inlineStr">
        <is>
          <t>GOTLAND</t>
        </is>
      </c>
      <c r="G375" t="n">
        <v>6</v>
      </c>
      <c r="H375" t="n">
        <v>0</v>
      </c>
      <c r="I375" t="n">
        <v>0</v>
      </c>
      <c r="J375" t="n">
        <v>0</v>
      </c>
      <c r="K375" t="n">
        <v>0</v>
      </c>
      <c r="L375" t="n">
        <v>0</v>
      </c>
      <c r="M375" t="n">
        <v>0</v>
      </c>
      <c r="N375" t="n">
        <v>0</v>
      </c>
      <c r="O375" t="n">
        <v>0</v>
      </c>
      <c r="P375" t="n">
        <v>0</v>
      </c>
      <c r="Q375" t="n">
        <v>0</v>
      </c>
      <c r="R375" s="2" t="inlineStr"/>
    </row>
    <row r="376" ht="15" customHeight="1">
      <c r="A376" t="inlineStr">
        <is>
          <t>A 46400-2023</t>
        </is>
      </c>
      <c r="B376" s="1" t="n">
        <v>45197</v>
      </c>
      <c r="C376" s="1" t="n">
        <v>46198</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10492-2023</t>
        </is>
      </c>
      <c r="B377" s="1" t="n">
        <v>44987</v>
      </c>
      <c r="C377" s="1" t="n">
        <v>46198</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36319-2025</t>
        </is>
      </c>
      <c r="B378" s="1" t="n">
        <v>45868</v>
      </c>
      <c r="C378" s="1" t="n">
        <v>46198</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44919-2022</t>
        </is>
      </c>
      <c r="B379" s="1" t="n">
        <v>44841</v>
      </c>
      <c r="C379" s="1" t="n">
        <v>46198</v>
      </c>
      <c r="D379" t="inlineStr">
        <is>
          <t>GOTLANDS LÄN</t>
        </is>
      </c>
      <c r="E379" t="inlineStr">
        <is>
          <t>GOTLAND</t>
        </is>
      </c>
      <c r="G379" t="n">
        <v>2.2</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46198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46198</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v>
      </c>
      <c r="C382" s="1" t="n">
        <v>46198</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5891-2025</t>
        </is>
      </c>
      <c r="B383" s="1" t="n">
        <v>45695</v>
      </c>
      <c r="C383" s="1" t="n">
        <v>46198</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2719-2023</t>
        </is>
      </c>
      <c r="B384" s="1" t="n">
        <v>44944</v>
      </c>
      <c r="C384" s="1" t="n">
        <v>46198</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29809-2022</t>
        </is>
      </c>
      <c r="B385" s="1" t="n">
        <v>44755</v>
      </c>
      <c r="C385" s="1" t="n">
        <v>46198</v>
      </c>
      <c r="D385" t="inlineStr">
        <is>
          <t>GOTLANDS LÄN</t>
        </is>
      </c>
      <c r="E385" t="inlineStr">
        <is>
          <t>GOTLAND</t>
        </is>
      </c>
      <c r="G385" t="n">
        <v>11.5</v>
      </c>
      <c r="H385" t="n">
        <v>0</v>
      </c>
      <c r="I385" t="n">
        <v>0</v>
      </c>
      <c r="J385" t="n">
        <v>0</v>
      </c>
      <c r="K385" t="n">
        <v>0</v>
      </c>
      <c r="L385" t="n">
        <v>0</v>
      </c>
      <c r="M385" t="n">
        <v>0</v>
      </c>
      <c r="N385" t="n">
        <v>0</v>
      </c>
      <c r="O385" t="n">
        <v>0</v>
      </c>
      <c r="P385" t="n">
        <v>0</v>
      </c>
      <c r="Q385" t="n">
        <v>0</v>
      </c>
      <c r="R385" s="2" t="inlineStr"/>
    </row>
    <row r="386" ht="15" customHeight="1">
      <c r="A386" t="inlineStr">
        <is>
          <t>A 28012-2026</t>
        </is>
      </c>
      <c r="B386" s="1" t="n">
        <v>46195</v>
      </c>
      <c r="C386" s="1" t="n">
        <v>46198</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16361-2024</t>
        </is>
      </c>
      <c r="B387" s="1" t="n">
        <v>45407</v>
      </c>
      <c r="C387" s="1" t="n">
        <v>46198</v>
      </c>
      <c r="D387" t="inlineStr">
        <is>
          <t>GOTLANDS LÄN</t>
        </is>
      </c>
      <c r="E387" t="inlineStr">
        <is>
          <t>GOTLAND</t>
        </is>
      </c>
      <c r="G387" t="n">
        <v>6</v>
      </c>
      <c r="H387" t="n">
        <v>0</v>
      </c>
      <c r="I387" t="n">
        <v>0</v>
      </c>
      <c r="J387" t="n">
        <v>0</v>
      </c>
      <c r="K387" t="n">
        <v>0</v>
      </c>
      <c r="L387" t="n">
        <v>0</v>
      </c>
      <c r="M387" t="n">
        <v>0</v>
      </c>
      <c r="N387" t="n">
        <v>0</v>
      </c>
      <c r="O387" t="n">
        <v>0</v>
      </c>
      <c r="P387" t="n">
        <v>0</v>
      </c>
      <c r="Q387" t="n">
        <v>0</v>
      </c>
      <c r="R387" s="2" t="inlineStr"/>
    </row>
    <row r="388" ht="15" customHeight="1">
      <c r="A388" t="inlineStr">
        <is>
          <t>A 43081-2022</t>
        </is>
      </c>
      <c r="B388" s="1" t="n">
        <v>44833</v>
      </c>
      <c r="C388" s="1" t="n">
        <v>46198</v>
      </c>
      <c r="D388" t="inlineStr">
        <is>
          <t>GOTLANDS LÄN</t>
        </is>
      </c>
      <c r="E388" t="inlineStr">
        <is>
          <t>GOTLAND</t>
        </is>
      </c>
      <c r="G388" t="n">
        <v>6.8</v>
      </c>
      <c r="H388" t="n">
        <v>0</v>
      </c>
      <c r="I388" t="n">
        <v>0</v>
      </c>
      <c r="J388" t="n">
        <v>0</v>
      </c>
      <c r="K388" t="n">
        <v>0</v>
      </c>
      <c r="L388" t="n">
        <v>0</v>
      </c>
      <c r="M388" t="n">
        <v>0</v>
      </c>
      <c r="N388" t="n">
        <v>0</v>
      </c>
      <c r="O388" t="n">
        <v>0</v>
      </c>
      <c r="P388" t="n">
        <v>0</v>
      </c>
      <c r="Q388" t="n">
        <v>0</v>
      </c>
      <c r="R388" s="2" t="inlineStr"/>
    </row>
    <row r="389" ht="15" customHeight="1">
      <c r="A389" t="inlineStr">
        <is>
          <t>A 1175-2025</t>
        </is>
      </c>
      <c r="B389" s="1" t="n">
        <v>45667</v>
      </c>
      <c r="C389" s="1" t="n">
        <v>46198</v>
      </c>
      <c r="D389" t="inlineStr">
        <is>
          <t>GOTLANDS LÄN</t>
        </is>
      </c>
      <c r="E389" t="inlineStr">
        <is>
          <t>GOTLAND</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22275-2026</t>
        </is>
      </c>
      <c r="B390" s="1" t="n">
        <v>46154</v>
      </c>
      <c r="C390" s="1" t="n">
        <v>46198</v>
      </c>
      <c r="D390" t="inlineStr">
        <is>
          <t>GOTLANDS LÄN</t>
        </is>
      </c>
      <c r="E390" t="inlineStr">
        <is>
          <t>GOTLAND</t>
        </is>
      </c>
      <c r="G390" t="n">
        <v>3.7</v>
      </c>
      <c r="H390" t="n">
        <v>0</v>
      </c>
      <c r="I390" t="n">
        <v>0</v>
      </c>
      <c r="J390" t="n">
        <v>0</v>
      </c>
      <c r="K390" t="n">
        <v>0</v>
      </c>
      <c r="L390" t="n">
        <v>0</v>
      </c>
      <c r="M390" t="n">
        <v>0</v>
      </c>
      <c r="N390" t="n">
        <v>0</v>
      </c>
      <c r="O390" t="n">
        <v>0</v>
      </c>
      <c r="P390" t="n">
        <v>0</v>
      </c>
      <c r="Q390" t="n">
        <v>0</v>
      </c>
      <c r="R390" s="2" t="inlineStr"/>
    </row>
    <row r="391" ht="15" customHeight="1">
      <c r="A391" t="inlineStr">
        <is>
          <t>A 3150-2025</t>
        </is>
      </c>
      <c r="B391" s="1" t="n">
        <v>45679</v>
      </c>
      <c r="C391" s="1" t="n">
        <v>46198</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63002-2025</t>
        </is>
      </c>
      <c r="B392" s="1" t="n">
        <v>46009</v>
      </c>
      <c r="C392" s="1" t="n">
        <v>46198</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42041-2024</t>
        </is>
      </c>
      <c r="B393" s="1" t="n">
        <v>45561</v>
      </c>
      <c r="C393" s="1" t="n">
        <v>46198</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38649-2025</t>
        </is>
      </c>
      <c r="B394" s="1" t="n">
        <v>45884</v>
      </c>
      <c r="C394" s="1" t="n">
        <v>46198</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22348-2026</t>
        </is>
      </c>
      <c r="B395" s="1" t="n">
        <v>46154</v>
      </c>
      <c r="C395" s="1" t="n">
        <v>46198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22351-2026</t>
        </is>
      </c>
      <c r="B396" s="1" t="n">
        <v>46154</v>
      </c>
      <c r="C396" s="1" t="n">
        <v>46198</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61078-2025</t>
        </is>
      </c>
      <c r="B397" s="1" t="n">
        <v>46000</v>
      </c>
      <c r="C397" s="1" t="n">
        <v>46198</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22281-2026</t>
        </is>
      </c>
      <c r="B398" s="1" t="n">
        <v>46154</v>
      </c>
      <c r="C398" s="1" t="n">
        <v>46198</v>
      </c>
      <c r="D398" t="inlineStr">
        <is>
          <t>GOTLANDS LÄN</t>
        </is>
      </c>
      <c r="E398" t="inlineStr">
        <is>
          <t>GOTLAND</t>
        </is>
      </c>
      <c r="G398" t="n">
        <v>8.1</v>
      </c>
      <c r="H398" t="n">
        <v>0</v>
      </c>
      <c r="I398" t="n">
        <v>0</v>
      </c>
      <c r="J398" t="n">
        <v>0</v>
      </c>
      <c r="K398" t="n">
        <v>0</v>
      </c>
      <c r="L398" t="n">
        <v>0</v>
      </c>
      <c r="M398" t="n">
        <v>0</v>
      </c>
      <c r="N398" t="n">
        <v>0</v>
      </c>
      <c r="O398" t="n">
        <v>0</v>
      </c>
      <c r="P398" t="n">
        <v>0</v>
      </c>
      <c r="Q398" t="n">
        <v>0</v>
      </c>
      <c r="R398" s="2" t="inlineStr"/>
    </row>
    <row r="399" ht="15" customHeight="1">
      <c r="A399" t="inlineStr">
        <is>
          <t>A 36-2026</t>
        </is>
      </c>
      <c r="B399" s="1" t="n">
        <v>46024</v>
      </c>
      <c r="C399" s="1" t="n">
        <v>46198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21247-2022</t>
        </is>
      </c>
      <c r="B400" s="1" t="n">
        <v>44705</v>
      </c>
      <c r="C400" s="1" t="n">
        <v>46198</v>
      </c>
      <c r="D400" t="inlineStr">
        <is>
          <t>GOTLANDS LÄN</t>
        </is>
      </c>
      <c r="E400" t="inlineStr">
        <is>
          <t>GOTLAND</t>
        </is>
      </c>
      <c r="G400" t="n">
        <v>16.2</v>
      </c>
      <c r="H400" t="n">
        <v>0</v>
      </c>
      <c r="I400" t="n">
        <v>0</v>
      </c>
      <c r="J400" t="n">
        <v>0</v>
      </c>
      <c r="K400" t="n">
        <v>0</v>
      </c>
      <c r="L400" t="n">
        <v>0</v>
      </c>
      <c r="M400" t="n">
        <v>0</v>
      </c>
      <c r="N400" t="n">
        <v>0</v>
      </c>
      <c r="O400" t="n">
        <v>0</v>
      </c>
      <c r="P400" t="n">
        <v>0</v>
      </c>
      <c r="Q400" t="n">
        <v>0</v>
      </c>
      <c r="R400" s="2" t="inlineStr"/>
    </row>
    <row r="401" ht="15" customHeight="1">
      <c r="A401" t="inlineStr">
        <is>
          <t>A 17780-2022</t>
        </is>
      </c>
      <c r="B401" s="1" t="n">
        <v>44682</v>
      </c>
      <c r="C401" s="1" t="n">
        <v>46198</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63516-2023</t>
        </is>
      </c>
      <c r="B402" s="1" t="n">
        <v>45274</v>
      </c>
      <c r="C402" s="1" t="n">
        <v>46198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53935-2024</t>
        </is>
      </c>
      <c r="B403" s="1" t="n">
        <v>45615</v>
      </c>
      <c r="C403" s="1" t="n">
        <v>46198</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48734-2022</t>
        </is>
      </c>
      <c r="B404" s="1" t="n">
        <v>44855</v>
      </c>
      <c r="C404" s="1" t="n">
        <v>46198</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2415-2026</t>
        </is>
      </c>
      <c r="B405" s="1" t="n">
        <v>46036</v>
      </c>
      <c r="C405" s="1" t="n">
        <v>46198</v>
      </c>
      <c r="D405" t="inlineStr">
        <is>
          <t>GOTLANDS LÄN</t>
        </is>
      </c>
      <c r="E405" t="inlineStr">
        <is>
          <t>GOTLAND</t>
        </is>
      </c>
      <c r="G405" t="n">
        <v>6.9</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v>
      </c>
      <c r="C406" s="1" t="n">
        <v>46198</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43231-2023</t>
        </is>
      </c>
      <c r="B407" s="1" t="n">
        <v>45183</v>
      </c>
      <c r="C407" s="1" t="n">
        <v>46198</v>
      </c>
      <c r="D407" t="inlineStr">
        <is>
          <t>GOTLANDS LÄN</t>
        </is>
      </c>
      <c r="E407" t="inlineStr">
        <is>
          <t>GOTLAND</t>
        </is>
      </c>
      <c r="G407" t="n">
        <v>3.6</v>
      </c>
      <c r="H407" t="n">
        <v>0</v>
      </c>
      <c r="I407" t="n">
        <v>0</v>
      </c>
      <c r="J407" t="n">
        <v>0</v>
      </c>
      <c r="K407" t="n">
        <v>0</v>
      </c>
      <c r="L407" t="n">
        <v>0</v>
      </c>
      <c r="M407" t="n">
        <v>0</v>
      </c>
      <c r="N407" t="n">
        <v>0</v>
      </c>
      <c r="O407" t="n">
        <v>0</v>
      </c>
      <c r="P407" t="n">
        <v>0</v>
      </c>
      <c r="Q407" t="n">
        <v>0</v>
      </c>
      <c r="R407" s="2" t="inlineStr"/>
    </row>
    <row r="408" ht="15" customHeight="1">
      <c r="A408" t="inlineStr">
        <is>
          <t>A 64555-2023</t>
        </is>
      </c>
      <c r="B408" s="1" t="n">
        <v>45281</v>
      </c>
      <c r="C408" s="1" t="n">
        <v>46198</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457-2023</t>
        </is>
      </c>
      <c r="B409" s="1" t="n">
        <v>44929</v>
      </c>
      <c r="C409" s="1" t="n">
        <v>46198</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459-2023</t>
        </is>
      </c>
      <c r="B410" s="1" t="n">
        <v>44929</v>
      </c>
      <c r="C410" s="1" t="n">
        <v>46198</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876-2024</t>
        </is>
      </c>
      <c r="B411" s="1" t="n">
        <v>45301</v>
      </c>
      <c r="C411" s="1" t="n">
        <v>46198</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26891-2024</t>
        </is>
      </c>
      <c r="B412" s="1" t="n">
        <v>45470</v>
      </c>
      <c r="C412" s="1" t="n">
        <v>46198</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5923-2023</t>
        </is>
      </c>
      <c r="B413" s="1" t="n">
        <v>44963</v>
      </c>
      <c r="C413" s="1" t="n">
        <v>46198</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50482-2024</t>
        </is>
      </c>
      <c r="B414" s="1" t="n">
        <v>45601</v>
      </c>
      <c r="C414" s="1" t="n">
        <v>46198</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5943-2024</t>
        </is>
      </c>
      <c r="B415" s="1" t="n">
        <v>45336</v>
      </c>
      <c r="C415" s="1" t="n">
        <v>46198</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38234-2023</t>
        </is>
      </c>
      <c r="B416" s="1" t="n">
        <v>45161</v>
      </c>
      <c r="C416" s="1" t="n">
        <v>46198</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4646-2026</t>
        </is>
      </c>
      <c r="B417" s="1" t="n">
        <v>46048</v>
      </c>
      <c r="C417" s="1" t="n">
        <v>46198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4634-2026</t>
        </is>
      </c>
      <c r="B418" s="1" t="n">
        <v>46048</v>
      </c>
      <c r="C418" s="1" t="n">
        <v>46198</v>
      </c>
      <c r="D418" t="inlineStr">
        <is>
          <t>GOTLANDS LÄN</t>
        </is>
      </c>
      <c r="E418" t="inlineStr">
        <is>
          <t>GOTLAND</t>
        </is>
      </c>
      <c r="G418" t="n">
        <v>7.8</v>
      </c>
      <c r="H418" t="n">
        <v>0</v>
      </c>
      <c r="I418" t="n">
        <v>0</v>
      </c>
      <c r="J418" t="n">
        <v>0</v>
      </c>
      <c r="K418" t="n">
        <v>0</v>
      </c>
      <c r="L418" t="n">
        <v>0</v>
      </c>
      <c r="M418" t="n">
        <v>0</v>
      </c>
      <c r="N418" t="n">
        <v>0</v>
      </c>
      <c r="O418" t="n">
        <v>0</v>
      </c>
      <c r="P418" t="n">
        <v>0</v>
      </c>
      <c r="Q418" t="n">
        <v>0</v>
      </c>
      <c r="R418" s="2" t="inlineStr"/>
    </row>
    <row r="419" ht="15" customHeight="1">
      <c r="A419" t="inlineStr">
        <is>
          <t>A 4670-2026</t>
        </is>
      </c>
      <c r="B419" s="1" t="n">
        <v>46048</v>
      </c>
      <c r="C419" s="1" t="n">
        <v>46198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v>
      </c>
      <c r="C420" s="1" t="n">
        <v>46198</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23978-2023</t>
        </is>
      </c>
      <c r="B421" s="1" t="n">
        <v>45078</v>
      </c>
      <c r="C421" s="1" t="n">
        <v>46198</v>
      </c>
      <c r="D421" t="inlineStr">
        <is>
          <t>GOTLANDS LÄN</t>
        </is>
      </c>
      <c r="E421" t="inlineStr">
        <is>
          <t>GOTLAND</t>
        </is>
      </c>
      <c r="F421" t="inlineStr">
        <is>
          <t>Naturvårdsverket</t>
        </is>
      </c>
      <c r="G421" t="n">
        <v>1.7</v>
      </c>
      <c r="H421" t="n">
        <v>0</v>
      </c>
      <c r="I421" t="n">
        <v>0</v>
      </c>
      <c r="J421" t="n">
        <v>0</v>
      </c>
      <c r="K421" t="n">
        <v>0</v>
      </c>
      <c r="L421" t="n">
        <v>0</v>
      </c>
      <c r="M421" t="n">
        <v>0</v>
      </c>
      <c r="N421" t="n">
        <v>0</v>
      </c>
      <c r="O421" t="n">
        <v>0</v>
      </c>
      <c r="P421" t="n">
        <v>0</v>
      </c>
      <c r="Q421" t="n">
        <v>0</v>
      </c>
      <c r="R421" s="2" t="inlineStr"/>
    </row>
    <row r="422" ht="15" customHeight="1">
      <c r="A422" t="inlineStr">
        <is>
          <t>A 49884-2023</t>
        </is>
      </c>
      <c r="B422" s="1" t="n">
        <v>45213</v>
      </c>
      <c r="C422" s="1" t="n">
        <v>46198</v>
      </c>
      <c r="D422" t="inlineStr">
        <is>
          <t>GOTLANDS LÄN</t>
        </is>
      </c>
      <c r="E422" t="inlineStr">
        <is>
          <t>GOTLAND</t>
        </is>
      </c>
      <c r="G422" t="n">
        <v>8.9</v>
      </c>
      <c r="H422" t="n">
        <v>0</v>
      </c>
      <c r="I422" t="n">
        <v>0</v>
      </c>
      <c r="J422" t="n">
        <v>0</v>
      </c>
      <c r="K422" t="n">
        <v>0</v>
      </c>
      <c r="L422" t="n">
        <v>0</v>
      </c>
      <c r="M422" t="n">
        <v>0</v>
      </c>
      <c r="N422" t="n">
        <v>0</v>
      </c>
      <c r="O422" t="n">
        <v>0</v>
      </c>
      <c r="P422" t="n">
        <v>0</v>
      </c>
      <c r="Q422" t="n">
        <v>0</v>
      </c>
      <c r="R422" s="2" t="inlineStr"/>
    </row>
    <row r="423" ht="15" customHeight="1">
      <c r="A423" t="inlineStr">
        <is>
          <t>A 6207-2026</t>
        </is>
      </c>
      <c r="B423" s="1" t="n">
        <v>46055</v>
      </c>
      <c r="C423" s="1" t="n">
        <v>46198</v>
      </c>
      <c r="D423" t="inlineStr">
        <is>
          <t>GOTLANDS LÄN</t>
        </is>
      </c>
      <c r="E423" t="inlineStr">
        <is>
          <t>GOTLAND</t>
        </is>
      </c>
      <c r="G423" t="n">
        <v>7.6</v>
      </c>
      <c r="H423" t="n">
        <v>0</v>
      </c>
      <c r="I423" t="n">
        <v>0</v>
      </c>
      <c r="J423" t="n">
        <v>0</v>
      </c>
      <c r="K423" t="n">
        <v>0</v>
      </c>
      <c r="L423" t="n">
        <v>0</v>
      </c>
      <c r="M423" t="n">
        <v>0</v>
      </c>
      <c r="N423" t="n">
        <v>0</v>
      </c>
      <c r="O423" t="n">
        <v>0</v>
      </c>
      <c r="P423" t="n">
        <v>0</v>
      </c>
      <c r="Q423" t="n">
        <v>0</v>
      </c>
      <c r="R423" s="2" t="inlineStr"/>
    </row>
    <row r="424" ht="15" customHeight="1">
      <c r="A424" t="inlineStr">
        <is>
          <t>A 6218-2026</t>
        </is>
      </c>
      <c r="B424" s="1" t="n">
        <v>46055</v>
      </c>
      <c r="C424" s="1" t="n">
        <v>46198</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12846-2025</t>
        </is>
      </c>
      <c r="B425" s="1" t="n">
        <v>45733</v>
      </c>
      <c r="C425" s="1" t="n">
        <v>46198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7627-2026</t>
        </is>
      </c>
      <c r="B426" s="1" t="n">
        <v>46062</v>
      </c>
      <c r="C426" s="1" t="n">
        <v>46198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2135-2026</t>
        </is>
      </c>
      <c r="B427" s="1" t="n">
        <v>46036</v>
      </c>
      <c r="C427" s="1" t="n">
        <v>46198</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48843-2024</t>
        </is>
      </c>
      <c r="B428" s="1" t="n">
        <v>45593</v>
      </c>
      <c r="C428" s="1" t="n">
        <v>46198</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9540-2026</t>
        </is>
      </c>
      <c r="B429" s="1" t="n">
        <v>46071</v>
      </c>
      <c r="C429" s="1" t="n">
        <v>46198</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10653-2023</t>
        </is>
      </c>
      <c r="B430" s="1" t="n">
        <v>44988</v>
      </c>
      <c r="C430" s="1" t="n">
        <v>46198</v>
      </c>
      <c r="D430" t="inlineStr">
        <is>
          <t>GOTLANDS LÄN</t>
        </is>
      </c>
      <c r="E430" t="inlineStr">
        <is>
          <t>GOTLAND</t>
        </is>
      </c>
      <c r="F430" t="inlineStr">
        <is>
          <t>Kyrkan</t>
        </is>
      </c>
      <c r="G430" t="n">
        <v>3</v>
      </c>
      <c r="H430" t="n">
        <v>0</v>
      </c>
      <c r="I430" t="n">
        <v>0</v>
      </c>
      <c r="J430" t="n">
        <v>0</v>
      </c>
      <c r="K430" t="n">
        <v>0</v>
      </c>
      <c r="L430" t="n">
        <v>0</v>
      </c>
      <c r="M430" t="n">
        <v>0</v>
      </c>
      <c r="N430" t="n">
        <v>0</v>
      </c>
      <c r="O430" t="n">
        <v>0</v>
      </c>
      <c r="P430" t="n">
        <v>0</v>
      </c>
      <c r="Q430" t="n">
        <v>0</v>
      </c>
      <c r="R430" s="2" t="inlineStr"/>
    </row>
    <row r="431" ht="15" customHeight="1">
      <c r="A431" t="inlineStr">
        <is>
          <t>A 9521-2026</t>
        </is>
      </c>
      <c r="B431" s="1" t="n">
        <v>46071</v>
      </c>
      <c r="C431" s="1" t="n">
        <v>46198</v>
      </c>
      <c r="D431" t="inlineStr">
        <is>
          <t>GOTLANDS LÄN</t>
        </is>
      </c>
      <c r="E431" t="inlineStr">
        <is>
          <t>GOTLAND</t>
        </is>
      </c>
      <c r="G431" t="n">
        <v>3.9</v>
      </c>
      <c r="H431" t="n">
        <v>0</v>
      </c>
      <c r="I431" t="n">
        <v>0</v>
      </c>
      <c r="J431" t="n">
        <v>0</v>
      </c>
      <c r="K431" t="n">
        <v>0</v>
      </c>
      <c r="L431" t="n">
        <v>0</v>
      </c>
      <c r="M431" t="n">
        <v>0</v>
      </c>
      <c r="N431" t="n">
        <v>0</v>
      </c>
      <c r="O431" t="n">
        <v>0</v>
      </c>
      <c r="P431" t="n">
        <v>0</v>
      </c>
      <c r="Q431" t="n">
        <v>0</v>
      </c>
      <c r="R431" s="2" t="inlineStr"/>
    </row>
    <row r="432" ht="15" customHeight="1">
      <c r="A432" t="inlineStr">
        <is>
          <t>A 9524-2026</t>
        </is>
      </c>
      <c r="B432" s="1" t="n">
        <v>46071</v>
      </c>
      <c r="C432" s="1" t="n">
        <v>46198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9543-2026</t>
        </is>
      </c>
      <c r="B433" s="1" t="n">
        <v>46071</v>
      </c>
      <c r="C433" s="1" t="n">
        <v>46198</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9518-2026</t>
        </is>
      </c>
      <c r="B434" s="1" t="n">
        <v>46071</v>
      </c>
      <c r="C434" s="1" t="n">
        <v>46198</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9519-2026</t>
        </is>
      </c>
      <c r="B435" s="1" t="n">
        <v>46071</v>
      </c>
      <c r="C435" s="1" t="n">
        <v>46198</v>
      </c>
      <c r="D435" t="inlineStr">
        <is>
          <t>GOTLANDS LÄN</t>
        </is>
      </c>
      <c r="E435" t="inlineStr">
        <is>
          <t>GOTLAND</t>
        </is>
      </c>
      <c r="G435" t="n">
        <v>4</v>
      </c>
      <c r="H435" t="n">
        <v>0</v>
      </c>
      <c r="I435" t="n">
        <v>0</v>
      </c>
      <c r="J435" t="n">
        <v>0</v>
      </c>
      <c r="K435" t="n">
        <v>0</v>
      </c>
      <c r="L435" t="n">
        <v>0</v>
      </c>
      <c r="M435" t="n">
        <v>0</v>
      </c>
      <c r="N435" t="n">
        <v>0</v>
      </c>
      <c r="O435" t="n">
        <v>0</v>
      </c>
      <c r="P435" t="n">
        <v>0</v>
      </c>
      <c r="Q435" t="n">
        <v>0</v>
      </c>
      <c r="R435" s="2" t="inlineStr"/>
    </row>
    <row r="436" ht="15" customHeight="1">
      <c r="A436" t="inlineStr">
        <is>
          <t>A 9901-2026</t>
        </is>
      </c>
      <c r="B436" s="1" t="n">
        <v>46073</v>
      </c>
      <c r="C436" s="1" t="n">
        <v>46198</v>
      </c>
      <c r="D436" t="inlineStr">
        <is>
          <t>GOTLANDS LÄN</t>
        </is>
      </c>
      <c r="E436" t="inlineStr">
        <is>
          <t>GOTLAND</t>
        </is>
      </c>
      <c r="F436" t="inlineStr">
        <is>
          <t>Kyrkan</t>
        </is>
      </c>
      <c r="G436" t="n">
        <v>0.9</v>
      </c>
      <c r="H436" t="n">
        <v>0</v>
      </c>
      <c r="I436" t="n">
        <v>0</v>
      </c>
      <c r="J436" t="n">
        <v>0</v>
      </c>
      <c r="K436" t="n">
        <v>0</v>
      </c>
      <c r="L436" t="n">
        <v>0</v>
      </c>
      <c r="M436" t="n">
        <v>0</v>
      </c>
      <c r="N436" t="n">
        <v>0</v>
      </c>
      <c r="O436" t="n">
        <v>0</v>
      </c>
      <c r="P436" t="n">
        <v>0</v>
      </c>
      <c r="Q436" t="n">
        <v>0</v>
      </c>
      <c r="R436" s="2" t="inlineStr"/>
    </row>
    <row r="437" ht="15" customHeight="1">
      <c r="A437" t="inlineStr">
        <is>
          <t>A 35512-2023</t>
        </is>
      </c>
      <c r="B437" s="1" t="n">
        <v>45147</v>
      </c>
      <c r="C437" s="1" t="n">
        <v>46198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10284-2026</t>
        </is>
      </c>
      <c r="B438" s="1" t="n">
        <v>46076</v>
      </c>
      <c r="C438" s="1" t="n">
        <v>46198</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11874-2024</t>
        </is>
      </c>
      <c r="B439" s="1" t="n">
        <v>45376</v>
      </c>
      <c r="C439" s="1" t="n">
        <v>46198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64831-2023</t>
        </is>
      </c>
      <c r="B440" s="1" t="n">
        <v>45282</v>
      </c>
      <c r="C440" s="1" t="n">
        <v>46198</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11424-2026</t>
        </is>
      </c>
      <c r="B441" s="1" t="n">
        <v>46083</v>
      </c>
      <c r="C441" s="1" t="n">
        <v>46198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v>
      </c>
      <c r="C442" s="1" t="n">
        <v>46198</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7638-2025</t>
        </is>
      </c>
      <c r="B443" s="1" t="n">
        <v>45705</v>
      </c>
      <c r="C443" s="1" t="n">
        <v>46198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42201-2023</t>
        </is>
      </c>
      <c r="B444" s="1" t="n">
        <v>45179</v>
      </c>
      <c r="C444" s="1" t="n">
        <v>46198</v>
      </c>
      <c r="D444" t="inlineStr">
        <is>
          <t>GOTLANDS LÄN</t>
        </is>
      </c>
      <c r="E444" t="inlineStr">
        <is>
          <t>GOTLAND</t>
        </is>
      </c>
      <c r="G444" t="n">
        <v>11.9</v>
      </c>
      <c r="H444" t="n">
        <v>0</v>
      </c>
      <c r="I444" t="n">
        <v>0</v>
      </c>
      <c r="J444" t="n">
        <v>0</v>
      </c>
      <c r="K444" t="n">
        <v>0</v>
      </c>
      <c r="L444" t="n">
        <v>0</v>
      </c>
      <c r="M444" t="n">
        <v>0</v>
      </c>
      <c r="N444" t="n">
        <v>0</v>
      </c>
      <c r="O444" t="n">
        <v>0</v>
      </c>
      <c r="P444" t="n">
        <v>0</v>
      </c>
      <c r="Q444" t="n">
        <v>0</v>
      </c>
      <c r="R444" s="2" t="inlineStr"/>
    </row>
    <row r="445" ht="15" customHeight="1">
      <c r="A445" t="inlineStr">
        <is>
          <t>A 4377-2023</t>
        </is>
      </c>
      <c r="B445" s="1" t="n">
        <v>44955</v>
      </c>
      <c r="C445" s="1" t="n">
        <v>46198</v>
      </c>
      <c r="D445" t="inlineStr">
        <is>
          <t>GOTLANDS LÄN</t>
        </is>
      </c>
      <c r="E445" t="inlineStr">
        <is>
          <t>GOTLAND</t>
        </is>
      </c>
      <c r="F445" t="inlineStr">
        <is>
          <t>Kyrkan</t>
        </is>
      </c>
      <c r="G445" t="n">
        <v>0.6</v>
      </c>
      <c r="H445" t="n">
        <v>0</v>
      </c>
      <c r="I445" t="n">
        <v>0</v>
      </c>
      <c r="J445" t="n">
        <v>0</v>
      </c>
      <c r="K445" t="n">
        <v>0</v>
      </c>
      <c r="L445" t="n">
        <v>0</v>
      </c>
      <c r="M445" t="n">
        <v>0</v>
      </c>
      <c r="N445" t="n">
        <v>0</v>
      </c>
      <c r="O445" t="n">
        <v>0</v>
      </c>
      <c r="P445" t="n">
        <v>0</v>
      </c>
      <c r="Q445" t="n">
        <v>0</v>
      </c>
      <c r="R445" s="2" t="inlineStr"/>
    </row>
    <row r="446" ht="15" customHeight="1">
      <c r="A446" t="inlineStr">
        <is>
          <t>A 63000-2025</t>
        </is>
      </c>
      <c r="B446" s="1" t="n">
        <v>46009</v>
      </c>
      <c r="C446" s="1" t="n">
        <v>46198</v>
      </c>
      <c r="D446" t="inlineStr">
        <is>
          <t>GOTLANDS LÄN</t>
        </is>
      </c>
      <c r="E446" t="inlineStr">
        <is>
          <t>GOTLAND</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46198</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17532-2024</t>
        </is>
      </c>
      <c r="B448" s="1" t="n">
        <v>45415</v>
      </c>
      <c r="C448" s="1" t="n">
        <v>46198</v>
      </c>
      <c r="D448" t="inlineStr">
        <is>
          <t>GOTLANDS LÄN</t>
        </is>
      </c>
      <c r="E448" t="inlineStr">
        <is>
          <t>GOTLAND</t>
        </is>
      </c>
      <c r="G448" t="n">
        <v>4.3</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46198</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13486-2026</t>
        </is>
      </c>
      <c r="B450" s="1" t="n">
        <v>46094</v>
      </c>
      <c r="C450" s="1" t="n">
        <v>46198</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46396-2023</t>
        </is>
      </c>
      <c r="B451" s="1" t="n">
        <v>45197</v>
      </c>
      <c r="C451" s="1" t="n">
        <v>46198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58132-2023</t>
        </is>
      </c>
      <c r="B452" s="1" t="n">
        <v>45250</v>
      </c>
      <c r="C452" s="1" t="n">
        <v>46198</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22899-2023</t>
        </is>
      </c>
      <c r="B453" s="1" t="n">
        <v>45072</v>
      </c>
      <c r="C453" s="1" t="n">
        <v>46198</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28285-2024</t>
        </is>
      </c>
      <c r="B454" s="1" t="n">
        <v>45477</v>
      </c>
      <c r="C454" s="1" t="n">
        <v>46198</v>
      </c>
      <c r="D454" t="inlineStr">
        <is>
          <t>GOTLANDS LÄN</t>
        </is>
      </c>
      <c r="E454" t="inlineStr">
        <is>
          <t>GOTLAND</t>
        </is>
      </c>
      <c r="G454" t="n">
        <v>1.6</v>
      </c>
      <c r="H454" t="n">
        <v>0</v>
      </c>
      <c r="I454" t="n">
        <v>0</v>
      </c>
      <c r="J454" t="n">
        <v>0</v>
      </c>
      <c r="K454" t="n">
        <v>0</v>
      </c>
      <c r="L454" t="n">
        <v>0</v>
      </c>
      <c r="M454" t="n">
        <v>0</v>
      </c>
      <c r="N454" t="n">
        <v>0</v>
      </c>
      <c r="O454" t="n">
        <v>0</v>
      </c>
      <c r="P454" t="n">
        <v>0</v>
      </c>
      <c r="Q454" t="n">
        <v>0</v>
      </c>
      <c r="R454" s="2" t="inlineStr"/>
    </row>
    <row r="455" ht="15" customHeight="1">
      <c r="A455" t="inlineStr">
        <is>
          <t>A 51963-2024</t>
        </is>
      </c>
      <c r="B455" s="1" t="n">
        <v>45607</v>
      </c>
      <c r="C455" s="1" t="n">
        <v>46198</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1734-2025</t>
        </is>
      </c>
      <c r="B456" s="1" t="n">
        <v>45671</v>
      </c>
      <c r="C456" s="1" t="n">
        <v>46198</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30365-2024</t>
        </is>
      </c>
      <c r="B457" s="1" t="n">
        <v>45491</v>
      </c>
      <c r="C457" s="1" t="n">
        <v>46198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2674-2023</t>
        </is>
      </c>
      <c r="B458" s="1" t="n">
        <v>44944</v>
      </c>
      <c r="C458" s="1" t="n">
        <v>46198</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16993-2026</t>
        </is>
      </c>
      <c r="B459" s="1" t="n">
        <v>46114</v>
      </c>
      <c r="C459" s="1" t="n">
        <v>46198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22887-2026</t>
        </is>
      </c>
      <c r="B460" s="1" t="n">
        <v>46160</v>
      </c>
      <c r="C460" s="1" t="n">
        <v>46198</v>
      </c>
      <c r="D460" t="inlineStr">
        <is>
          <t>GOTLANDS LÄN</t>
        </is>
      </c>
      <c r="E460" t="inlineStr">
        <is>
          <t>GOTLAND</t>
        </is>
      </c>
      <c r="G460" t="n">
        <v>3.6</v>
      </c>
      <c r="H460" t="n">
        <v>0</v>
      </c>
      <c r="I460" t="n">
        <v>0</v>
      </c>
      <c r="J460" t="n">
        <v>0</v>
      </c>
      <c r="K460" t="n">
        <v>0</v>
      </c>
      <c r="L460" t="n">
        <v>0</v>
      </c>
      <c r="M460" t="n">
        <v>0</v>
      </c>
      <c r="N460" t="n">
        <v>0</v>
      </c>
      <c r="O460" t="n">
        <v>0</v>
      </c>
      <c r="P460" t="n">
        <v>0</v>
      </c>
      <c r="Q460" t="n">
        <v>0</v>
      </c>
      <c r="R460" s="2" t="inlineStr"/>
    </row>
    <row r="461" ht="15" customHeight="1">
      <c r="A461" t="inlineStr">
        <is>
          <t>A 10655-2023</t>
        </is>
      </c>
      <c r="B461" s="1" t="n">
        <v>44988</v>
      </c>
      <c r="C461" s="1" t="n">
        <v>46198</v>
      </c>
      <c r="D461" t="inlineStr">
        <is>
          <t>GOTLANDS LÄN</t>
        </is>
      </c>
      <c r="E461" t="inlineStr">
        <is>
          <t>GOTLAND</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46198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46198</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23103-2026</t>
        </is>
      </c>
      <c r="B464" s="1" t="n">
        <v>46161</v>
      </c>
      <c r="C464" s="1" t="n">
        <v>46198</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v>
      </c>
      <c r="C465" s="1" t="n">
        <v>46198</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50744-2024</t>
        </is>
      </c>
      <c r="B466" s="1" t="n">
        <v>45602</v>
      </c>
      <c r="C466" s="1" t="n">
        <v>46198</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45244-2024</t>
        </is>
      </c>
      <c r="B467" s="1" t="n">
        <v>45576</v>
      </c>
      <c r="C467" s="1" t="n">
        <v>46198</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38787-2023</t>
        </is>
      </c>
      <c r="B468" s="1" t="n">
        <v>45163</v>
      </c>
      <c r="C468" s="1" t="n">
        <v>46198</v>
      </c>
      <c r="D468" t="inlineStr">
        <is>
          <t>GOTLANDS LÄN</t>
        </is>
      </c>
      <c r="E468" t="inlineStr">
        <is>
          <t>GOTLAND</t>
        </is>
      </c>
      <c r="G468" t="n">
        <v>0.4</v>
      </c>
      <c r="H468" t="n">
        <v>0</v>
      </c>
      <c r="I468" t="n">
        <v>0</v>
      </c>
      <c r="J468" t="n">
        <v>0</v>
      </c>
      <c r="K468" t="n">
        <v>0</v>
      </c>
      <c r="L468" t="n">
        <v>0</v>
      </c>
      <c r="M468" t="n">
        <v>0</v>
      </c>
      <c r="N468" t="n">
        <v>0</v>
      </c>
      <c r="O468" t="n">
        <v>0</v>
      </c>
      <c r="P468" t="n">
        <v>0</v>
      </c>
      <c r="Q468" t="n">
        <v>0</v>
      </c>
      <c r="R468" s="2" t="inlineStr"/>
    </row>
    <row r="469" ht="15" customHeight="1">
      <c r="A469" t="inlineStr">
        <is>
          <t>A 2714-2023</t>
        </is>
      </c>
      <c r="B469" s="1" t="n">
        <v>44944</v>
      </c>
      <c r="C469" s="1" t="n">
        <v>46198</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22897-2023</t>
        </is>
      </c>
      <c r="B470" s="1" t="n">
        <v>45072</v>
      </c>
      <c r="C470" s="1" t="n">
        <v>46198</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1681-2023</t>
        </is>
      </c>
      <c r="B471" s="1" t="n">
        <v>44938</v>
      </c>
      <c r="C471" s="1" t="n">
        <v>46198</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18804-2026</t>
        </is>
      </c>
      <c r="B472" s="1" t="n">
        <v>46128</v>
      </c>
      <c r="C472" s="1" t="n">
        <v>46198</v>
      </c>
      <c r="D472" t="inlineStr">
        <is>
          <t>GOTLANDS LÄN</t>
        </is>
      </c>
      <c r="E472" t="inlineStr">
        <is>
          <t>GOTLAND</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v>
      </c>
      <c r="C473" s="1" t="n">
        <v>46198</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46198</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24448-2026</t>
        </is>
      </c>
      <c r="B475" s="1" t="n">
        <v>46170</v>
      </c>
      <c r="C475" s="1" t="n">
        <v>46198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62836-2025</t>
        </is>
      </c>
      <c r="B476" s="1" t="n">
        <v>46008</v>
      </c>
      <c r="C476" s="1" t="n">
        <v>46198</v>
      </c>
      <c r="D476" t="inlineStr">
        <is>
          <t>GOTLANDS LÄN</t>
        </is>
      </c>
      <c r="E476" t="inlineStr">
        <is>
          <t>GOTLAND</t>
        </is>
      </c>
      <c r="G476" t="n">
        <v>6.5</v>
      </c>
      <c r="H476" t="n">
        <v>0</v>
      </c>
      <c r="I476" t="n">
        <v>0</v>
      </c>
      <c r="J476" t="n">
        <v>0</v>
      </c>
      <c r="K476" t="n">
        <v>0</v>
      </c>
      <c r="L476" t="n">
        <v>0</v>
      </c>
      <c r="M476" t="n">
        <v>0</v>
      </c>
      <c r="N476" t="n">
        <v>0</v>
      </c>
      <c r="O476" t="n">
        <v>0</v>
      </c>
      <c r="P476" t="n">
        <v>0</v>
      </c>
      <c r="Q476" t="n">
        <v>0</v>
      </c>
      <c r="R476" s="2" t="inlineStr"/>
    </row>
    <row r="477" ht="15" customHeight="1">
      <c r="A477" t="inlineStr">
        <is>
          <t>A 18918-2025</t>
        </is>
      </c>
      <c r="B477" s="1" t="n">
        <v>45764</v>
      </c>
      <c r="C477" s="1" t="n">
        <v>46198</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11013-2024</t>
        </is>
      </c>
      <c r="B478" s="1" t="n">
        <v>45370</v>
      </c>
      <c r="C478" s="1" t="n">
        <v>46198</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46198</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20356-2022</t>
        </is>
      </c>
      <c r="B480" s="1" t="n">
        <v>44699</v>
      </c>
      <c r="C480" s="1" t="n">
        <v>46198</v>
      </c>
      <c r="D480" t="inlineStr">
        <is>
          <t>GOTLANDS LÄN</t>
        </is>
      </c>
      <c r="E480" t="inlineStr">
        <is>
          <t>GOTLAND</t>
        </is>
      </c>
      <c r="F480" t="inlineStr">
        <is>
          <t>Övriga Aktiebolag</t>
        </is>
      </c>
      <c r="G480" t="n">
        <v>4.4</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46198</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17943-2026</t>
        </is>
      </c>
      <c r="B482" s="1" t="n">
        <v>46122</v>
      </c>
      <c r="C482" s="1" t="n">
        <v>46198</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62754-2025</t>
        </is>
      </c>
      <c r="B483" s="1" t="n">
        <v>46008</v>
      </c>
      <c r="C483" s="1" t="n">
        <v>46198</v>
      </c>
      <c r="D483" t="inlineStr">
        <is>
          <t>GOTLANDS LÄN</t>
        </is>
      </c>
      <c r="E483" t="inlineStr">
        <is>
          <t>GOTLAND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5884-2025</t>
        </is>
      </c>
      <c r="B484" s="1" t="n">
        <v>45695</v>
      </c>
      <c r="C484" s="1" t="n">
        <v>46198</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5897-2025</t>
        </is>
      </c>
      <c r="B485" s="1" t="n">
        <v>45695</v>
      </c>
      <c r="C485" s="1" t="n">
        <v>46198</v>
      </c>
      <c r="D485" t="inlineStr">
        <is>
          <t>GOTLANDS LÄN</t>
        </is>
      </c>
      <c r="E485" t="inlineStr">
        <is>
          <t>GOTLAND</t>
        </is>
      </c>
      <c r="G485" t="n">
        <v>3.7</v>
      </c>
      <c r="H485" t="n">
        <v>0</v>
      </c>
      <c r="I485" t="n">
        <v>0</v>
      </c>
      <c r="J485" t="n">
        <v>0</v>
      </c>
      <c r="K485" t="n">
        <v>0</v>
      </c>
      <c r="L485" t="n">
        <v>0</v>
      </c>
      <c r="M485" t="n">
        <v>0</v>
      </c>
      <c r="N485" t="n">
        <v>0</v>
      </c>
      <c r="O485" t="n">
        <v>0</v>
      </c>
      <c r="P485" t="n">
        <v>0</v>
      </c>
      <c r="Q485" t="n">
        <v>0</v>
      </c>
      <c r="R485" s="2" t="inlineStr"/>
    </row>
    <row r="486" ht="15" customHeight="1">
      <c r="A486" t="inlineStr">
        <is>
          <t>A 5909-2025</t>
        </is>
      </c>
      <c r="B486" s="1" t="n">
        <v>45695</v>
      </c>
      <c r="C486" s="1" t="n">
        <v>46198</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26467-2025</t>
        </is>
      </c>
      <c r="B487" s="1" t="n">
        <v>45807</v>
      </c>
      <c r="C487" s="1" t="n">
        <v>46198</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60086-2022</t>
        </is>
      </c>
      <c r="B488" s="1" t="n">
        <v>44909</v>
      </c>
      <c r="C488" s="1" t="n">
        <v>46198</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22704-2023</t>
        </is>
      </c>
      <c r="B489" s="1" t="n">
        <v>45071</v>
      </c>
      <c r="C489" s="1" t="n">
        <v>46198</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25866-2022</t>
        </is>
      </c>
      <c r="B490" s="1" t="n">
        <v>44733</v>
      </c>
      <c r="C490" s="1" t="n">
        <v>46198</v>
      </c>
      <c r="D490" t="inlineStr">
        <is>
          <t>GOTLANDS LÄN</t>
        </is>
      </c>
      <c r="E490" t="inlineStr">
        <is>
          <t>GOTLAND</t>
        </is>
      </c>
      <c r="G490" t="n">
        <v>2.9</v>
      </c>
      <c r="H490" t="n">
        <v>0</v>
      </c>
      <c r="I490" t="n">
        <v>0</v>
      </c>
      <c r="J490" t="n">
        <v>0</v>
      </c>
      <c r="K490" t="n">
        <v>0</v>
      </c>
      <c r="L490" t="n">
        <v>0</v>
      </c>
      <c r="M490" t="n">
        <v>0</v>
      </c>
      <c r="N490" t="n">
        <v>0</v>
      </c>
      <c r="O490" t="n">
        <v>0</v>
      </c>
      <c r="P490" t="n">
        <v>0</v>
      </c>
      <c r="Q490" t="n">
        <v>0</v>
      </c>
      <c r="R490" s="2" t="inlineStr"/>
    </row>
    <row r="491" ht="15" customHeight="1">
      <c r="A491" t="inlineStr">
        <is>
          <t>A 9887-2025</t>
        </is>
      </c>
      <c r="B491" s="1" t="n">
        <v>45716</v>
      </c>
      <c r="C491" s="1" t="n">
        <v>46198</v>
      </c>
      <c r="D491" t="inlineStr">
        <is>
          <t>GOTLANDS LÄN</t>
        </is>
      </c>
      <c r="E491" t="inlineStr">
        <is>
          <t>GOTLAND</t>
        </is>
      </c>
      <c r="G491" t="n">
        <v>7.5</v>
      </c>
      <c r="H491" t="n">
        <v>0</v>
      </c>
      <c r="I491" t="n">
        <v>0</v>
      </c>
      <c r="J491" t="n">
        <v>0</v>
      </c>
      <c r="K491" t="n">
        <v>0</v>
      </c>
      <c r="L491" t="n">
        <v>0</v>
      </c>
      <c r="M491" t="n">
        <v>0</v>
      </c>
      <c r="N491" t="n">
        <v>0</v>
      </c>
      <c r="O491" t="n">
        <v>0</v>
      </c>
      <c r="P491" t="n">
        <v>0</v>
      </c>
      <c r="Q491" t="n">
        <v>0</v>
      </c>
      <c r="R491" s="2" t="inlineStr"/>
    </row>
    <row r="492" ht="15" customHeight="1">
      <c r="A492" t="inlineStr">
        <is>
          <t>A 12210-2024</t>
        </is>
      </c>
      <c r="B492" s="1" t="n">
        <v>45378</v>
      </c>
      <c r="C492" s="1" t="n">
        <v>46198</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59986-2022</t>
        </is>
      </c>
      <c r="B493" s="1" t="n">
        <v>44909</v>
      </c>
      <c r="C493" s="1" t="n">
        <v>46198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31802-2024</t>
        </is>
      </c>
      <c r="B494" s="1" t="n">
        <v>45509</v>
      </c>
      <c r="C494" s="1" t="n">
        <v>46198</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20993-2023</t>
        </is>
      </c>
      <c r="B495" s="1" t="n">
        <v>45056</v>
      </c>
      <c r="C495" s="1" t="n">
        <v>46198</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4420-2025</t>
        </is>
      </c>
      <c r="B496" s="1" t="n">
        <v>45686</v>
      </c>
      <c r="C496" s="1" t="n">
        <v>46198</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14427-2024</t>
        </is>
      </c>
      <c r="B497" s="1" t="n">
        <v>45394</v>
      </c>
      <c r="C497" s="1" t="n">
        <v>46198</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49257-2024</t>
        </is>
      </c>
      <c r="B498" s="1" t="n">
        <v>45595</v>
      </c>
      <c r="C498" s="1" t="n">
        <v>46198</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49315-2024</t>
        </is>
      </c>
      <c r="B499" s="1" t="n">
        <v>45595</v>
      </c>
      <c r="C499" s="1" t="n">
        <v>46198</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27596-2023</t>
        </is>
      </c>
      <c r="B500" s="1" t="n">
        <v>45097</v>
      </c>
      <c r="C500" s="1" t="n">
        <v>46198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v>
      </c>
      <c r="C501" s="1" t="n">
        <v>46198</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18223-2025</t>
        </is>
      </c>
      <c r="B502" s="1" t="n">
        <v>45761</v>
      </c>
      <c r="C502" s="1" t="n">
        <v>46198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46949-2024</t>
        </is>
      </c>
      <c r="B503" s="1" t="n">
        <v>45585</v>
      </c>
      <c r="C503" s="1" t="n">
        <v>46198</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46198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46198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46389-2021</t>
        </is>
      </c>
      <c r="B506" s="1" t="n">
        <v>44443</v>
      </c>
      <c r="C506" s="1" t="n">
        <v>46198</v>
      </c>
      <c r="D506" t="inlineStr">
        <is>
          <t>GOTLANDS LÄN</t>
        </is>
      </c>
      <c r="E506" t="inlineStr">
        <is>
          <t>GOTLAND</t>
        </is>
      </c>
      <c r="F506" t="inlineStr">
        <is>
          <t>Kyrkan</t>
        </is>
      </c>
      <c r="G506" t="n">
        <v>2.1</v>
      </c>
      <c r="H506" t="n">
        <v>0</v>
      </c>
      <c r="I506" t="n">
        <v>0</v>
      </c>
      <c r="J506" t="n">
        <v>0</v>
      </c>
      <c r="K506" t="n">
        <v>0</v>
      </c>
      <c r="L506" t="n">
        <v>0</v>
      </c>
      <c r="M506" t="n">
        <v>0</v>
      </c>
      <c r="N506" t="n">
        <v>0</v>
      </c>
      <c r="O506" t="n">
        <v>0</v>
      </c>
      <c r="P506" t="n">
        <v>0</v>
      </c>
      <c r="Q506" t="n">
        <v>0</v>
      </c>
      <c r="R506" s="2" t="inlineStr"/>
    </row>
    <row r="507" ht="15" customHeight="1">
      <c r="A507" t="inlineStr">
        <is>
          <t>A 44949-2023</t>
        </is>
      </c>
      <c r="B507" s="1" t="n">
        <v>45190</v>
      </c>
      <c r="C507" s="1" t="n">
        <v>46198</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17682-2024</t>
        </is>
      </c>
      <c r="B508" s="1" t="n">
        <v>45418</v>
      </c>
      <c r="C508" s="1" t="n">
        <v>46198</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61897-2024</t>
        </is>
      </c>
      <c r="B509" s="1" t="n">
        <v>45652</v>
      </c>
      <c r="C509" s="1" t="n">
        <v>46198</v>
      </c>
      <c r="D509" t="inlineStr">
        <is>
          <t>GOTLANDS LÄN</t>
        </is>
      </c>
      <c r="E509" t="inlineStr">
        <is>
          <t>GOTLAND</t>
        </is>
      </c>
      <c r="G509" t="n">
        <v>6.4</v>
      </c>
      <c r="H509" t="n">
        <v>0</v>
      </c>
      <c r="I509" t="n">
        <v>0</v>
      </c>
      <c r="J509" t="n">
        <v>0</v>
      </c>
      <c r="K509" t="n">
        <v>0</v>
      </c>
      <c r="L509" t="n">
        <v>0</v>
      </c>
      <c r="M509" t="n">
        <v>0</v>
      </c>
      <c r="N509" t="n">
        <v>0</v>
      </c>
      <c r="O509" t="n">
        <v>0</v>
      </c>
      <c r="P509" t="n">
        <v>0</v>
      </c>
      <c r="Q509" t="n">
        <v>0</v>
      </c>
      <c r="R509" s="2" t="inlineStr"/>
    </row>
    <row r="510" ht="15" customHeight="1">
      <c r="A510" t="inlineStr">
        <is>
          <t>A 12032-2025</t>
        </is>
      </c>
      <c r="B510" s="1" t="n">
        <v>45728</v>
      </c>
      <c r="C510" s="1" t="n">
        <v>46198</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15595-2024</t>
        </is>
      </c>
      <c r="B511" s="1" t="n">
        <v>45401</v>
      </c>
      <c r="C511" s="1" t="n">
        <v>46198</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21164-2024</t>
        </is>
      </c>
      <c r="B512" s="1" t="n">
        <v>45440</v>
      </c>
      <c r="C512" s="1" t="n">
        <v>46198</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17541-2024</t>
        </is>
      </c>
      <c r="B513" s="1" t="n">
        <v>45415</v>
      </c>
      <c r="C513" s="1" t="n">
        <v>46198</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21389-2025</t>
        </is>
      </c>
      <c r="B514" s="1" t="n">
        <v>45782</v>
      </c>
      <c r="C514" s="1" t="n">
        <v>46198</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21420-2024</t>
        </is>
      </c>
      <c r="B515" s="1" t="n">
        <v>45441</v>
      </c>
      <c r="C515" s="1" t="n">
        <v>46198</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10656-2024</t>
        </is>
      </c>
      <c r="B516" s="1" t="n">
        <v>45368</v>
      </c>
      <c r="C516" s="1" t="n">
        <v>46198</v>
      </c>
      <c r="D516" t="inlineStr">
        <is>
          <t>GOTLANDS LÄN</t>
        </is>
      </c>
      <c r="E516" t="inlineStr">
        <is>
          <t>GOTLAND</t>
        </is>
      </c>
      <c r="G516" t="n">
        <v>1.5</v>
      </c>
      <c r="H516" t="n">
        <v>0</v>
      </c>
      <c r="I516" t="n">
        <v>0</v>
      </c>
      <c r="J516" t="n">
        <v>0</v>
      </c>
      <c r="K516" t="n">
        <v>0</v>
      </c>
      <c r="L516" t="n">
        <v>0</v>
      </c>
      <c r="M516" t="n">
        <v>0</v>
      </c>
      <c r="N516" t="n">
        <v>0</v>
      </c>
      <c r="O516" t="n">
        <v>0</v>
      </c>
      <c r="P516" t="n">
        <v>0</v>
      </c>
      <c r="Q516" t="n">
        <v>0</v>
      </c>
      <c r="R516" s="2" t="inlineStr"/>
    </row>
    <row r="517" ht="15" customHeight="1">
      <c r="A517" t="inlineStr">
        <is>
          <t>A 57356-2023</t>
        </is>
      </c>
      <c r="B517" s="1" t="n">
        <v>45240</v>
      </c>
      <c r="C517" s="1" t="n">
        <v>46198</v>
      </c>
      <c r="D517" t="inlineStr">
        <is>
          <t>GOTLANDS LÄN</t>
        </is>
      </c>
      <c r="E517" t="inlineStr">
        <is>
          <t>GOTLAND</t>
        </is>
      </c>
      <c r="G517" t="n">
        <v>6.4</v>
      </c>
      <c r="H517" t="n">
        <v>0</v>
      </c>
      <c r="I517" t="n">
        <v>0</v>
      </c>
      <c r="J517" t="n">
        <v>0</v>
      </c>
      <c r="K517" t="n">
        <v>0</v>
      </c>
      <c r="L517" t="n">
        <v>0</v>
      </c>
      <c r="M517" t="n">
        <v>0</v>
      </c>
      <c r="N517" t="n">
        <v>0</v>
      </c>
      <c r="O517" t="n">
        <v>0</v>
      </c>
      <c r="P517" t="n">
        <v>0</v>
      </c>
      <c r="Q517" t="n">
        <v>0</v>
      </c>
      <c r="R517" s="2" t="inlineStr"/>
    </row>
    <row r="518" ht="15" customHeight="1">
      <c r="A518" t="inlineStr">
        <is>
          <t>A 28506-2023</t>
        </is>
      </c>
      <c r="B518" s="1" t="n">
        <v>45103</v>
      </c>
      <c r="C518" s="1" t="n">
        <v>46198</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23188-2025</t>
        </is>
      </c>
      <c r="B519" s="1" t="n">
        <v>45791</v>
      </c>
      <c r="C519" s="1" t="n">
        <v>46198</v>
      </c>
      <c r="D519" t="inlineStr">
        <is>
          <t>GOTLANDS LÄN</t>
        </is>
      </c>
      <c r="E519" t="inlineStr">
        <is>
          <t>GOTLAND</t>
        </is>
      </c>
      <c r="G519" t="n">
        <v>6.2</v>
      </c>
      <c r="H519" t="n">
        <v>0</v>
      </c>
      <c r="I519" t="n">
        <v>0</v>
      </c>
      <c r="J519" t="n">
        <v>0</v>
      </c>
      <c r="K519" t="n">
        <v>0</v>
      </c>
      <c r="L519" t="n">
        <v>0</v>
      </c>
      <c r="M519" t="n">
        <v>0</v>
      </c>
      <c r="N519" t="n">
        <v>0</v>
      </c>
      <c r="O519" t="n">
        <v>0</v>
      </c>
      <c r="P519" t="n">
        <v>0</v>
      </c>
      <c r="Q519" t="n">
        <v>0</v>
      </c>
      <c r="R519" s="2" t="inlineStr"/>
    </row>
    <row r="520" ht="15" customHeight="1">
      <c r="A520" t="inlineStr">
        <is>
          <t>A 23698-2025</t>
        </is>
      </c>
      <c r="B520" s="1" t="n">
        <v>45793</v>
      </c>
      <c r="C520" s="1" t="n">
        <v>46198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15073-2025</t>
        </is>
      </c>
      <c r="B521" s="1" t="n">
        <v>45743</v>
      </c>
      <c r="C521" s="1" t="n">
        <v>46198</v>
      </c>
      <c r="D521" t="inlineStr">
        <is>
          <t>GOTLANDS LÄN</t>
        </is>
      </c>
      <c r="E521" t="inlineStr">
        <is>
          <t>GOTLAND</t>
        </is>
      </c>
      <c r="G521" t="n">
        <v>12.1</v>
      </c>
      <c r="H521" t="n">
        <v>0</v>
      </c>
      <c r="I521" t="n">
        <v>0</v>
      </c>
      <c r="J521" t="n">
        <v>0</v>
      </c>
      <c r="K521" t="n">
        <v>0</v>
      </c>
      <c r="L521" t="n">
        <v>0</v>
      </c>
      <c r="M521" t="n">
        <v>0</v>
      </c>
      <c r="N521" t="n">
        <v>0</v>
      </c>
      <c r="O521" t="n">
        <v>0</v>
      </c>
      <c r="P521" t="n">
        <v>0</v>
      </c>
      <c r="Q521" t="n">
        <v>0</v>
      </c>
      <c r="R521" s="2" t="inlineStr"/>
    </row>
    <row r="522" ht="15" customHeight="1">
      <c r="A522" t="inlineStr">
        <is>
          <t>A 6749-2025</t>
        </is>
      </c>
      <c r="B522" s="1" t="n">
        <v>45700</v>
      </c>
      <c r="C522" s="1" t="n">
        <v>46198</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5462-2025</t>
        </is>
      </c>
      <c r="B523" s="1" t="n">
        <v>45693</v>
      </c>
      <c r="C523" s="1" t="n">
        <v>46198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46198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7850-2025</t>
        </is>
      </c>
      <c r="B525" s="1" t="n">
        <v>45706</v>
      </c>
      <c r="C525" s="1" t="n">
        <v>46198</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8444-2025</t>
        </is>
      </c>
      <c r="B526" s="1" t="n">
        <v>45709</v>
      </c>
      <c r="C526" s="1" t="n">
        <v>46198</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19905-2025</t>
        </is>
      </c>
      <c r="B527" s="1" t="n">
        <v>45771</v>
      </c>
      <c r="C527" s="1" t="n">
        <v>46198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29196-2025</t>
        </is>
      </c>
      <c r="B528" s="1" t="n">
        <v>45822</v>
      </c>
      <c r="C528" s="1" t="n">
        <v>46198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30061-2025</t>
        </is>
      </c>
      <c r="B529" s="1" t="n">
        <v>45826</v>
      </c>
      <c r="C529" s="1" t="n">
        <v>46198</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58160-2024</t>
        </is>
      </c>
      <c r="B530" s="1" t="n">
        <v>45632</v>
      </c>
      <c r="C530" s="1" t="n">
        <v>46198</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16109-2025</t>
        </is>
      </c>
      <c r="B531" s="1" t="n">
        <v>45750</v>
      </c>
      <c r="C531" s="1" t="n">
        <v>46198</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35096-2025</t>
        </is>
      </c>
      <c r="B532" s="1" t="n">
        <v>45852</v>
      </c>
      <c r="C532" s="1" t="n">
        <v>46198</v>
      </c>
      <c r="D532" t="inlineStr">
        <is>
          <t>GOTLANDS LÄN</t>
        </is>
      </c>
      <c r="E532" t="inlineStr">
        <is>
          <t>GOTLAND</t>
        </is>
      </c>
      <c r="F532" t="inlineStr">
        <is>
          <t>Kyrkan</t>
        </is>
      </c>
      <c r="G532" t="n">
        <v>1</v>
      </c>
      <c r="H532" t="n">
        <v>0</v>
      </c>
      <c r="I532" t="n">
        <v>0</v>
      </c>
      <c r="J532" t="n">
        <v>0</v>
      </c>
      <c r="K532" t="n">
        <v>0</v>
      </c>
      <c r="L532" t="n">
        <v>0</v>
      </c>
      <c r="M532" t="n">
        <v>0</v>
      </c>
      <c r="N532" t="n">
        <v>0</v>
      </c>
      <c r="O532" t="n">
        <v>0</v>
      </c>
      <c r="P532" t="n">
        <v>0</v>
      </c>
      <c r="Q532" t="n">
        <v>0</v>
      </c>
      <c r="R532" s="2" t="inlineStr"/>
    </row>
    <row r="533" ht="15" customHeight="1">
      <c r="A533" t="inlineStr">
        <is>
          <t>A 35123-2025</t>
        </is>
      </c>
      <c r="B533" s="1" t="n">
        <v>45852</v>
      </c>
      <c r="C533" s="1" t="n">
        <v>46198</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35290-2025</t>
        </is>
      </c>
      <c r="B534" s="1" t="n">
        <v>45854</v>
      </c>
      <c r="C534" s="1" t="n">
        <v>46198</v>
      </c>
      <c r="D534" t="inlineStr">
        <is>
          <t>GOTLANDS LÄN</t>
        </is>
      </c>
      <c r="E534" t="inlineStr">
        <is>
          <t>GOTLAND</t>
        </is>
      </c>
      <c r="G534" t="n">
        <v>5.4</v>
      </c>
      <c r="H534" t="n">
        <v>0</v>
      </c>
      <c r="I534" t="n">
        <v>0</v>
      </c>
      <c r="J534" t="n">
        <v>0</v>
      </c>
      <c r="K534" t="n">
        <v>0</v>
      </c>
      <c r="L534" t="n">
        <v>0</v>
      </c>
      <c r="M534" t="n">
        <v>0</v>
      </c>
      <c r="N534" t="n">
        <v>0</v>
      </c>
      <c r="O534" t="n">
        <v>0</v>
      </c>
      <c r="P534" t="n">
        <v>0</v>
      </c>
      <c r="Q534" t="n">
        <v>0</v>
      </c>
      <c r="R534" s="2" t="inlineStr"/>
    </row>
    <row r="535" ht="15" customHeight="1">
      <c r="A535" t="inlineStr">
        <is>
          <t>A 32669-2024</t>
        </is>
      </c>
      <c r="B535" s="1" t="n">
        <v>45514</v>
      </c>
      <c r="C535" s="1" t="n">
        <v>46198</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46198</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15216-2025</t>
        </is>
      </c>
      <c r="B537" s="1" t="n">
        <v>45744</v>
      </c>
      <c r="C537" s="1" t="n">
        <v>46198</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c r="A538" t="inlineStr">
        <is>
          <t>A 15001-2025</t>
        </is>
      </c>
      <c r="B538" s="1" t="n">
        <v>45743</v>
      </c>
      <c r="C538" s="1" t="n">
        <v>46198</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2026-06-25T00:43:55Z</dcterms:created>
  <dcterms:modified xmlns:dcterms="http://purl.org/dc/terms/" xmlns:xsi="http://www.w3.org/2001/XMLSchema-instance" xsi:type="dcterms:W3CDTF">2026-06-25T00:43:55Z</dcterms:modified>
</cp:coreProperties>
</file>