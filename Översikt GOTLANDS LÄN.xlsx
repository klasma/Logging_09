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46134</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46134</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46134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46134</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46134</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46134</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46134</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46134</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46134</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46134</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34100-2024</t>
        </is>
      </c>
      <c r="B21" s="1" t="n">
        <v>45523</v>
      </c>
      <c r="C21" s="1" t="n">
        <v>46134</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24575-2025</t>
        </is>
      </c>
      <c r="B22" s="1" t="n">
        <v>45798</v>
      </c>
      <c r="C22" s="1" t="n">
        <v>46134</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6913-2025</t>
        </is>
      </c>
      <c r="B23" s="1" t="n">
        <v>45701.43809027778</v>
      </c>
      <c r="C23" s="1" t="n">
        <v>46134</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6153-2024</t>
        </is>
      </c>
      <c r="B24" s="1" t="n">
        <v>45337</v>
      </c>
      <c r="C24" s="1" t="n">
        <v>46134</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46134</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46134</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46134</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46134</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46134</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46134</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46134</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44204-2022</t>
        </is>
      </c>
      <c r="B32" s="1" t="n">
        <v>44839</v>
      </c>
      <c r="C32" s="1" t="n">
        <v>46134</v>
      </c>
      <c r="D32" t="inlineStr">
        <is>
          <t>GOTLANDS LÄN</t>
        </is>
      </c>
      <c r="E32" t="inlineStr">
        <is>
          <t>GOTLAND</t>
        </is>
      </c>
      <c r="G32" t="n">
        <v>2.3</v>
      </c>
      <c r="H32" t="n">
        <v>2</v>
      </c>
      <c r="I32" t="n">
        <v>5</v>
      </c>
      <c r="J32" t="n">
        <v>3</v>
      </c>
      <c r="K32" t="n">
        <v>4</v>
      </c>
      <c r="L32" t="n">
        <v>1</v>
      </c>
      <c r="M32" t="n">
        <v>0</v>
      </c>
      <c r="N32" t="n">
        <v>0</v>
      </c>
      <c r="O32" t="n">
        <v>8</v>
      </c>
      <c r="P32" t="n">
        <v>5</v>
      </c>
      <c r="Q32" t="n">
        <v>13</v>
      </c>
      <c r="R32" s="2" t="inlineStr">
        <is>
          <t>Sienamusseron
Bitter taggsvamp
Fläckfingersvamp
Granrotspindling
Violettfläckig spindling
Duvhök
Odörspindling
Spillkråka
Anisspindling
Blomkålssvamp
Blå slemspindling
Olivspindling
Tjockfotad fingersvamp</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2804-2023</t>
        </is>
      </c>
      <c r="B33" s="1" t="n">
        <v>44944</v>
      </c>
      <c r="C33" s="1" t="n">
        <v>46134</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46134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46134</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15850-2025</t>
        </is>
      </c>
      <c r="B36" s="1" t="n">
        <v>45748</v>
      </c>
      <c r="C36" s="1" t="n">
        <v>46134</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61664-2023</t>
        </is>
      </c>
      <c r="B37" s="1" t="n">
        <v>45265</v>
      </c>
      <c r="C37" s="1" t="n">
        <v>46134</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63872-2021</t>
        </is>
      </c>
      <c r="B38" s="1" t="n">
        <v>44509</v>
      </c>
      <c r="C38" s="1" t="n">
        <v>46134</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46134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46134</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46134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46134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46134</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14354-2024</t>
        </is>
      </c>
      <c r="B45" s="1" t="n">
        <v>45393</v>
      </c>
      <c r="C45" s="1" t="n">
        <v>46134</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17766-2024</t>
        </is>
      </c>
      <c r="B46" s="1" t="n">
        <v>45418</v>
      </c>
      <c r="C46" s="1" t="n">
        <v>46134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27280-2023</t>
        </is>
      </c>
      <c r="B47" s="1" t="n">
        <v>45096</v>
      </c>
      <c r="C47" s="1" t="n">
        <v>46134</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45248-2024</t>
        </is>
      </c>
      <c r="B48" s="1" t="n">
        <v>45576</v>
      </c>
      <c r="C48" s="1" t="n">
        <v>46134</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1719-2025</t>
        </is>
      </c>
      <c r="B49" s="1" t="n">
        <v>45671</v>
      </c>
      <c r="C49" s="1" t="n">
        <v>46134</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584-2023</t>
        </is>
      </c>
      <c r="B50" s="1" t="n">
        <v>44930</v>
      </c>
      <c r="C50" s="1" t="n">
        <v>46134</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46134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46134</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59132-2024</t>
        </is>
      </c>
      <c r="B53" s="1" t="n">
        <v>45637</v>
      </c>
      <c r="C53" s="1" t="n">
        <v>46134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46134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46134</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21467-2024</t>
        </is>
      </c>
      <c r="B56" s="1" t="n">
        <v>45441</v>
      </c>
      <c r="C56" s="1" t="n">
        <v>46134</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2649-2023</t>
        </is>
      </c>
      <c r="B57" s="1" t="n">
        <v>44943</v>
      </c>
      <c r="C57" s="1" t="n">
        <v>46134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46134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46134</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51737-2021</t>
        </is>
      </c>
      <c r="B60" s="1" t="n">
        <v>44462.57368055556</v>
      </c>
      <c r="C60" s="1" t="n">
        <v>46134</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46134</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46134</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46134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56687-2025</t>
        </is>
      </c>
      <c r="B64" s="1" t="n">
        <v>45975.84065972222</v>
      </c>
      <c r="C64" s="1" t="n">
        <v>46134</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34142-2024</t>
        </is>
      </c>
      <c r="B65" s="1" t="n">
        <v>45524.36521990741</v>
      </c>
      <c r="C65" s="1" t="n">
        <v>46134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46134</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46134</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46134</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16823-2024</t>
        </is>
      </c>
      <c r="B69" s="1" t="n">
        <v>45411</v>
      </c>
      <c r="C69" s="1" t="n">
        <v>46134</v>
      </c>
      <c r="D69" t="inlineStr">
        <is>
          <t>GOTLANDS LÄN</t>
        </is>
      </c>
      <c r="E69" t="inlineStr">
        <is>
          <t>GOTLAND</t>
        </is>
      </c>
      <c r="G69" t="n">
        <v>25.4</v>
      </c>
      <c r="H69" t="n">
        <v>5</v>
      </c>
      <c r="I69" t="n">
        <v>1</v>
      </c>
      <c r="J69" t="n">
        <v>2</v>
      </c>
      <c r="K69" t="n">
        <v>0</v>
      </c>
      <c r="L69" t="n">
        <v>0</v>
      </c>
      <c r="M69" t="n">
        <v>0</v>
      </c>
      <c r="N69" t="n">
        <v>0</v>
      </c>
      <c r="O69" t="n">
        <v>2</v>
      </c>
      <c r="P69" t="n">
        <v>0</v>
      </c>
      <c r="Q69" t="n">
        <v>6</v>
      </c>
      <c r="R69" s="2" t="inlineStr">
        <is>
          <t>Gulsparv
Jordtistel
Flugblomster
Brudsporre
Johannesnycklar
Sankt pers nycklar</t>
        </is>
      </c>
      <c r="S69">
        <f>HYPERLINK("https://klasma.github.io/Logging_0980/artfynd/A 16823-2024 artfynd.xlsx", "A 16823-2024")</f>
        <v/>
      </c>
      <c r="T69">
        <f>HYPERLINK("https://klasma.github.io/Logging_0980/kartor/A 16823-2024 karta.png", "A 16823-2024")</f>
        <v/>
      </c>
      <c r="V69">
        <f>HYPERLINK("https://klasma.github.io/Logging_0980/klagomål/A 16823-2024 FSC-klagomål.docx", "A 16823-2024")</f>
        <v/>
      </c>
      <c r="W69">
        <f>HYPERLINK("https://klasma.github.io/Logging_0980/klagomålsmail/A 16823-2024 FSC-klagomål mail.docx", "A 16823-2024")</f>
        <v/>
      </c>
      <c r="X69">
        <f>HYPERLINK("https://klasma.github.io/Logging_0980/tillsyn/A 16823-2024 tillsynsbegäran.docx", "A 16823-2024")</f>
        <v/>
      </c>
      <c r="Y69">
        <f>HYPERLINK("https://klasma.github.io/Logging_0980/tillsynsmail/A 16823-2024 tillsynsbegäran mail.docx", "A 16823-2024")</f>
        <v/>
      </c>
      <c r="Z69">
        <f>HYPERLINK("https://klasma.github.io/Logging_0980/fåglar/A 16823-2024 prioriterade fågelarter.docx", "A 16823-2024")</f>
        <v/>
      </c>
    </row>
    <row r="70" ht="15" customHeight="1">
      <c r="A70" t="inlineStr">
        <is>
          <t>A 54527-2023</t>
        </is>
      </c>
      <c r="B70" s="1" t="n">
        <v>45233</v>
      </c>
      <c r="C70" s="1" t="n">
        <v>46134</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46134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46134</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46134</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46134</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7038-2023</t>
        </is>
      </c>
      <c r="B75" s="1" t="n">
        <v>44968</v>
      </c>
      <c r="C75" s="1" t="n">
        <v>46134</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66091-2021</t>
        </is>
      </c>
      <c r="B76" s="1" t="n">
        <v>44517</v>
      </c>
      <c r="C76" s="1" t="n">
        <v>46134</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46134</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16375-2025</t>
        </is>
      </c>
      <c r="B78" s="1" t="n">
        <v>45751.41064814815</v>
      </c>
      <c r="C78" s="1" t="n">
        <v>46134</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42936-2024</t>
        </is>
      </c>
      <c r="B79" s="1" t="n">
        <v>45567</v>
      </c>
      <c r="C79" s="1" t="n">
        <v>46134</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52245-2025</t>
        </is>
      </c>
      <c r="B80" s="1" t="n">
        <v>45953.47115740741</v>
      </c>
      <c r="C80" s="1" t="n">
        <v>46134</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35293-2025</t>
        </is>
      </c>
      <c r="B81" s="1" t="n">
        <v>45854.39438657407</v>
      </c>
      <c r="C81" s="1" t="n">
        <v>46134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6839-2026</t>
        </is>
      </c>
      <c r="B82" s="1" t="n">
        <v>46057.41193287037</v>
      </c>
      <c r="C82" s="1" t="n">
        <v>46134</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46134</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10274-2026</t>
        </is>
      </c>
      <c r="B84" s="1" t="n">
        <v>46076.58261574074</v>
      </c>
      <c r="C84" s="1" t="n">
        <v>46134</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2213-2023</t>
        </is>
      </c>
      <c r="B85" s="1" t="n">
        <v>44942</v>
      </c>
      <c r="C85" s="1" t="n">
        <v>46134</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46134</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46134</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46134</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46134</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46134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43197-2023</t>
        </is>
      </c>
      <c r="B91" s="1" t="n">
        <v>45183</v>
      </c>
      <c r="C91" s="1" t="n">
        <v>46134</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46134</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52250-2025</t>
        </is>
      </c>
      <c r="B93" s="1" t="n">
        <v>45953.48998842593</v>
      </c>
      <c r="C93" s="1" t="n">
        <v>46134</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46134</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13203-2026</t>
        </is>
      </c>
      <c r="B95" s="1" t="n">
        <v>46093</v>
      </c>
      <c r="C95" s="1" t="n">
        <v>46134</v>
      </c>
      <c r="D95" t="inlineStr">
        <is>
          <t>GOTLANDS LÄN</t>
        </is>
      </c>
      <c r="E95" t="inlineStr">
        <is>
          <t>GOTLAND</t>
        </is>
      </c>
      <c r="G95" t="n">
        <v>4.5</v>
      </c>
      <c r="H95" t="n">
        <v>2</v>
      </c>
      <c r="I95" t="n">
        <v>1</v>
      </c>
      <c r="J95" t="n">
        <v>1</v>
      </c>
      <c r="K95" t="n">
        <v>1</v>
      </c>
      <c r="L95" t="n">
        <v>0</v>
      </c>
      <c r="M95" t="n">
        <v>0</v>
      </c>
      <c r="N95" t="n">
        <v>0</v>
      </c>
      <c r="O95" t="n">
        <v>2</v>
      </c>
      <c r="P95" t="n">
        <v>1</v>
      </c>
      <c r="Q95" t="n">
        <v>4</v>
      </c>
      <c r="R95" s="2" t="inlineStr">
        <is>
          <t>Gotlandsmåra
Svinrot
Nästrot
Grönvit nattviol</t>
        </is>
      </c>
      <c r="S95">
        <f>HYPERLINK("https://klasma.github.io/Logging_0980/artfynd/A 13203-2026 artfynd.xlsx", "A 13203-2026")</f>
        <v/>
      </c>
      <c r="T95">
        <f>HYPERLINK("https://klasma.github.io/Logging_0980/kartor/A 13203-2026 karta.png", "A 13203-2026")</f>
        <v/>
      </c>
      <c r="V95">
        <f>HYPERLINK("https://klasma.github.io/Logging_0980/klagomål/A 13203-2026 FSC-klagomål.docx", "A 13203-2026")</f>
        <v/>
      </c>
      <c r="W95">
        <f>HYPERLINK("https://klasma.github.io/Logging_0980/klagomålsmail/A 13203-2026 FSC-klagomål mail.docx", "A 13203-2026")</f>
        <v/>
      </c>
      <c r="X95">
        <f>HYPERLINK("https://klasma.github.io/Logging_0980/tillsyn/A 13203-2026 tillsynsbegäran.docx", "A 13203-2026")</f>
        <v/>
      </c>
      <c r="Y95">
        <f>HYPERLINK("https://klasma.github.io/Logging_0980/tillsynsmail/A 13203-2026 tillsynsbegäran mail.docx", "A 13203-2026")</f>
        <v/>
      </c>
    </row>
    <row r="96" ht="15" customHeight="1">
      <c r="A96" t="inlineStr">
        <is>
          <t>A 6836-2026</t>
        </is>
      </c>
      <c r="B96" s="1" t="n">
        <v>46057.40902777778</v>
      </c>
      <c r="C96" s="1" t="n">
        <v>46134</v>
      </c>
      <c r="D96" t="inlineStr">
        <is>
          <t>GOTLANDS LÄN</t>
        </is>
      </c>
      <c r="E96" t="inlineStr">
        <is>
          <t>GOTLAND</t>
        </is>
      </c>
      <c r="G96" t="n">
        <v>3.8</v>
      </c>
      <c r="H96" t="n">
        <v>1</v>
      </c>
      <c r="I96" t="n">
        <v>3</v>
      </c>
      <c r="J96" t="n">
        <v>0</v>
      </c>
      <c r="K96" t="n">
        <v>1</v>
      </c>
      <c r="L96" t="n">
        <v>0</v>
      </c>
      <c r="M96" t="n">
        <v>0</v>
      </c>
      <c r="N96" t="n">
        <v>0</v>
      </c>
      <c r="O96" t="n">
        <v>1</v>
      </c>
      <c r="P96" t="n">
        <v>1</v>
      </c>
      <c r="Q96" t="n">
        <v>4</v>
      </c>
      <c r="R96" s="2" t="inlineStr">
        <is>
          <t>Knärot
Fransig jordstjärna
Rödgul trumpetsvamp
Svavelriska</t>
        </is>
      </c>
      <c r="S96">
        <f>HYPERLINK("https://klasma.github.io/Logging_0980/artfynd/A 6836-2026 artfynd.xlsx", "A 6836-2026")</f>
        <v/>
      </c>
      <c r="T96">
        <f>HYPERLINK("https://klasma.github.io/Logging_0980/kartor/A 6836-2026 karta.png", "A 6836-2026")</f>
        <v/>
      </c>
      <c r="U96">
        <f>HYPERLINK("https://klasma.github.io/Logging_0980/knärot/A 6836-2026 karta knärot.png", "A 6836-2026")</f>
        <v/>
      </c>
      <c r="V96">
        <f>HYPERLINK("https://klasma.github.io/Logging_0980/klagomål/A 6836-2026 FSC-klagomål.docx", "A 6836-2026")</f>
        <v/>
      </c>
      <c r="W96">
        <f>HYPERLINK("https://klasma.github.io/Logging_0980/klagomålsmail/A 6836-2026 FSC-klagomål mail.docx", "A 6836-2026")</f>
        <v/>
      </c>
      <c r="X96">
        <f>HYPERLINK("https://klasma.github.io/Logging_0980/tillsyn/A 6836-2026 tillsynsbegäran.docx", "A 6836-2026")</f>
        <v/>
      </c>
      <c r="Y96">
        <f>HYPERLINK("https://klasma.github.io/Logging_0980/tillsynsmail/A 6836-2026 tillsynsbegäran mail.docx", "A 6836-2026")</f>
        <v/>
      </c>
    </row>
    <row r="97" ht="15" customHeight="1">
      <c r="A97" t="inlineStr">
        <is>
          <t>A 54523-2023</t>
        </is>
      </c>
      <c r="B97" s="1" t="n">
        <v>45233</v>
      </c>
      <c r="C97" s="1" t="n">
        <v>46134</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44933-2022</t>
        </is>
      </c>
      <c r="B98" s="1" t="n">
        <v>44841</v>
      </c>
      <c r="C98" s="1" t="n">
        <v>46134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46134</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57463-2025</t>
        </is>
      </c>
      <c r="B100" s="1" t="n">
        <v>45980.54174768519</v>
      </c>
      <c r="C100" s="1" t="n">
        <v>46134</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8265-2023</t>
        </is>
      </c>
      <c r="B101" s="1" t="n">
        <v>44974</v>
      </c>
      <c r="C101" s="1" t="n">
        <v>46134</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46134</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46134</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46134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46134</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46134</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46134</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46134</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20831-2024</t>
        </is>
      </c>
      <c r="B110" s="1" t="n">
        <v>45439</v>
      </c>
      <c r="C110" s="1" t="n">
        <v>46134</v>
      </c>
      <c r="D110" t="inlineStr">
        <is>
          <t>GOTLANDS LÄN</t>
        </is>
      </c>
      <c r="E110" t="inlineStr">
        <is>
          <t>GOTLAND</t>
        </is>
      </c>
      <c r="G110" t="n">
        <v>2.9</v>
      </c>
      <c r="H110" t="n">
        <v>2</v>
      </c>
      <c r="I110" t="n">
        <v>1</v>
      </c>
      <c r="J110" t="n">
        <v>2</v>
      </c>
      <c r="K110" t="n">
        <v>0</v>
      </c>
      <c r="L110" t="n">
        <v>0</v>
      </c>
      <c r="M110" t="n">
        <v>0</v>
      </c>
      <c r="N110" t="n">
        <v>0</v>
      </c>
      <c r="O110" t="n">
        <v>2</v>
      </c>
      <c r="P110" t="n">
        <v>0</v>
      </c>
      <c r="Q110" t="n">
        <v>3</v>
      </c>
      <c r="R110" s="2" t="inlineStr">
        <is>
          <t>Dårgräsfjäril
Svinrot
Skogsknipprot</t>
        </is>
      </c>
      <c r="S110">
        <f>HYPERLINK("https://klasma.github.io/Logging_0980/artfynd/A 20831-2024 artfynd.xlsx", "A 20831-2024")</f>
        <v/>
      </c>
      <c r="T110">
        <f>HYPERLINK("https://klasma.github.io/Logging_0980/kartor/A 20831-2024 karta.png", "A 20831-2024")</f>
        <v/>
      </c>
      <c r="V110">
        <f>HYPERLINK("https://klasma.github.io/Logging_0980/klagomål/A 20831-2024 FSC-klagomål.docx", "A 20831-2024")</f>
        <v/>
      </c>
      <c r="W110">
        <f>HYPERLINK("https://klasma.github.io/Logging_0980/klagomålsmail/A 20831-2024 FSC-klagomål mail.docx", "A 20831-2024")</f>
        <v/>
      </c>
      <c r="X110">
        <f>HYPERLINK("https://klasma.github.io/Logging_0980/tillsyn/A 20831-2024 tillsynsbegäran.docx", "A 20831-2024")</f>
        <v/>
      </c>
      <c r="Y110">
        <f>HYPERLINK("https://klasma.github.io/Logging_0980/tillsynsmail/A 20831-2024 tillsynsbegäran mail.docx", "A 20831-2024")</f>
        <v/>
      </c>
    </row>
    <row r="111" ht="15" customHeight="1">
      <c r="A111" t="inlineStr">
        <is>
          <t>A 49709-2025</t>
        </is>
      </c>
      <c r="B111" s="1" t="n">
        <v>45939.68228009259</v>
      </c>
      <c r="C111" s="1" t="n">
        <v>46134</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46134</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46134</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46134</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46134</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46134</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46134</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46134</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46134</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46134</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46134</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46134</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46134</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46134</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46134</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20429-2025</t>
        </is>
      </c>
      <c r="B126" s="1" t="n">
        <v>45775.47728009259</v>
      </c>
      <c r="C126" s="1" t="n">
        <v>46134</v>
      </c>
      <c r="D126" t="inlineStr">
        <is>
          <t>GOTLANDS LÄN</t>
        </is>
      </c>
      <c r="E126" t="inlineStr">
        <is>
          <t>GOTLAND</t>
        </is>
      </c>
      <c r="G126" t="n">
        <v>1.4</v>
      </c>
      <c r="H126" t="n">
        <v>2</v>
      </c>
      <c r="I126" t="n">
        <v>0</v>
      </c>
      <c r="J126" t="n">
        <v>0</v>
      </c>
      <c r="K126" t="n">
        <v>0</v>
      </c>
      <c r="L126" t="n">
        <v>0</v>
      </c>
      <c r="M126" t="n">
        <v>0</v>
      </c>
      <c r="N126" t="n">
        <v>0</v>
      </c>
      <c r="O126" t="n">
        <v>0</v>
      </c>
      <c r="P126" t="n">
        <v>0</v>
      </c>
      <c r="Q126" t="n">
        <v>2</v>
      </c>
      <c r="R126" s="2" t="inlineStr">
        <is>
          <t>Lopplummer (aggregat)
Äkta lopplummer</t>
        </is>
      </c>
      <c r="S126">
        <f>HYPERLINK("https://klasma.github.io/Logging_0980/artfynd/A 20429-2025 artfynd.xlsx", "A 20429-2025")</f>
        <v/>
      </c>
      <c r="T126">
        <f>HYPERLINK("https://klasma.github.io/Logging_0980/kartor/A 20429-2025 karta.png", "A 20429-2025")</f>
        <v/>
      </c>
      <c r="V126">
        <f>HYPERLINK("https://klasma.github.io/Logging_0980/klagomål/A 20429-2025 FSC-klagomål.docx", "A 20429-2025")</f>
        <v/>
      </c>
      <c r="W126">
        <f>HYPERLINK("https://klasma.github.io/Logging_0980/klagomålsmail/A 20429-2025 FSC-klagomål mail.docx", "A 20429-2025")</f>
        <v/>
      </c>
      <c r="X126">
        <f>HYPERLINK("https://klasma.github.io/Logging_0980/tillsyn/A 20429-2025 tillsynsbegäran.docx", "A 20429-2025")</f>
        <v/>
      </c>
      <c r="Y126">
        <f>HYPERLINK("https://klasma.github.io/Logging_0980/tillsynsmail/A 20429-2025 tillsynsbegäran mail.docx", "A 20429-2025")</f>
        <v/>
      </c>
    </row>
    <row r="127" ht="15" customHeight="1">
      <c r="A127" t="inlineStr">
        <is>
          <t>A 20838-2024</t>
        </is>
      </c>
      <c r="B127" s="1" t="n">
        <v>45439</v>
      </c>
      <c r="C127" s="1" t="n">
        <v>46134</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62760-2025</t>
        </is>
      </c>
      <c r="B128" s="1" t="n">
        <v>46008</v>
      </c>
      <c r="C128" s="1" t="n">
        <v>46134</v>
      </c>
      <c r="D128" t="inlineStr">
        <is>
          <t>GOTLANDS LÄN</t>
        </is>
      </c>
      <c r="E128" t="inlineStr">
        <is>
          <t>GOTLAND</t>
        </is>
      </c>
      <c r="F128" t="inlineStr">
        <is>
          <t>Övriga Aktiebolag</t>
        </is>
      </c>
      <c r="G128" t="n">
        <v>4.6</v>
      </c>
      <c r="H128" t="n">
        <v>1</v>
      </c>
      <c r="I128" t="n">
        <v>2</v>
      </c>
      <c r="J128" t="n">
        <v>0</v>
      </c>
      <c r="K128" t="n">
        <v>0</v>
      </c>
      <c r="L128" t="n">
        <v>0</v>
      </c>
      <c r="M128" t="n">
        <v>0</v>
      </c>
      <c r="N128" t="n">
        <v>0</v>
      </c>
      <c r="O128" t="n">
        <v>0</v>
      </c>
      <c r="P128" t="n">
        <v>0</v>
      </c>
      <c r="Q128" t="n">
        <v>2</v>
      </c>
      <c r="R128" s="2" t="inlineStr">
        <is>
          <t>Nästrot
Vårärt</t>
        </is>
      </c>
      <c r="S128">
        <f>HYPERLINK("https://klasma.github.io/Logging_0980/artfynd/A 62760-2025 artfynd.xlsx", "A 62760-2025")</f>
        <v/>
      </c>
      <c r="T128">
        <f>HYPERLINK("https://klasma.github.io/Logging_0980/kartor/A 62760-2025 karta.png", "A 62760-2025")</f>
        <v/>
      </c>
      <c r="V128">
        <f>HYPERLINK("https://klasma.github.io/Logging_0980/klagomål/A 62760-2025 FSC-klagomål.docx", "A 62760-2025")</f>
        <v/>
      </c>
      <c r="W128">
        <f>HYPERLINK("https://klasma.github.io/Logging_0980/klagomålsmail/A 62760-2025 FSC-klagomål mail.docx", "A 62760-2025")</f>
        <v/>
      </c>
      <c r="X128">
        <f>HYPERLINK("https://klasma.github.io/Logging_0980/tillsyn/A 62760-2025 tillsynsbegäran.docx", "A 62760-2025")</f>
        <v/>
      </c>
      <c r="Y128">
        <f>HYPERLINK("https://klasma.github.io/Logging_0980/tillsynsmail/A 62760-2025 tillsynsbegäran mail.docx", "A 62760-2025")</f>
        <v/>
      </c>
    </row>
    <row r="129" ht="15" customHeight="1">
      <c r="A129" t="inlineStr">
        <is>
          <t>A 63162-2025</t>
        </is>
      </c>
      <c r="B129" s="1" t="n">
        <v>46010.37629629629</v>
      </c>
      <c r="C129" s="1" t="n">
        <v>46134</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54357-2024</t>
        </is>
      </c>
      <c r="B130" s="1" t="n">
        <v>45617.40662037037</v>
      </c>
      <c r="C130" s="1" t="n">
        <v>46134</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16997-2026</t>
        </is>
      </c>
      <c r="B131" s="1" t="n">
        <v>46114.42539351852</v>
      </c>
      <c r="C131" s="1" t="n">
        <v>46134</v>
      </c>
      <c r="D131" t="inlineStr">
        <is>
          <t>GOTLANDS LÄN</t>
        </is>
      </c>
      <c r="E131" t="inlineStr">
        <is>
          <t>GOTLAND</t>
        </is>
      </c>
      <c r="G131" t="n">
        <v>0.7</v>
      </c>
      <c r="H131" t="n">
        <v>0</v>
      </c>
      <c r="I131" t="n">
        <v>1</v>
      </c>
      <c r="J131" t="n">
        <v>0</v>
      </c>
      <c r="K131" t="n">
        <v>0</v>
      </c>
      <c r="L131" t="n">
        <v>1</v>
      </c>
      <c r="M131" t="n">
        <v>0</v>
      </c>
      <c r="N131" t="n">
        <v>0</v>
      </c>
      <c r="O131" t="n">
        <v>1</v>
      </c>
      <c r="P131" t="n">
        <v>1</v>
      </c>
      <c r="Q131" t="n">
        <v>2</v>
      </c>
      <c r="R131" s="2" t="inlineStr">
        <is>
          <t>Ask
Hasselticka</t>
        </is>
      </c>
      <c r="S131">
        <f>HYPERLINK("https://klasma.github.io/Logging_0980/artfynd/A 16997-2026 artfynd.xlsx", "A 16997-2026")</f>
        <v/>
      </c>
      <c r="T131">
        <f>HYPERLINK("https://klasma.github.io/Logging_0980/kartor/A 16997-2026 karta.png", "A 16997-2026")</f>
        <v/>
      </c>
      <c r="V131">
        <f>HYPERLINK("https://klasma.github.io/Logging_0980/klagomål/A 16997-2026 FSC-klagomål.docx", "A 16997-2026")</f>
        <v/>
      </c>
      <c r="W131">
        <f>HYPERLINK("https://klasma.github.io/Logging_0980/klagomålsmail/A 16997-2026 FSC-klagomål mail.docx", "A 16997-2026")</f>
        <v/>
      </c>
      <c r="X131">
        <f>HYPERLINK("https://klasma.github.io/Logging_0980/tillsyn/A 16997-2026 tillsynsbegäran.docx", "A 16997-2026")</f>
        <v/>
      </c>
      <c r="Y131">
        <f>HYPERLINK("https://klasma.github.io/Logging_0980/tillsynsmail/A 16997-2026 tillsynsbegäran mail.docx", "A 16997-2026")</f>
        <v/>
      </c>
    </row>
    <row r="132" ht="15" customHeight="1">
      <c r="A132" t="inlineStr">
        <is>
          <t>A 7070-2022</t>
        </is>
      </c>
      <c r="B132" s="1" t="n">
        <v>44603</v>
      </c>
      <c r="C132" s="1" t="n">
        <v>46134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46134</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46134</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46134</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46134</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46134</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46134</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46134</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46134</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46134</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46134</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46134</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26461-2025</t>
        </is>
      </c>
      <c r="B144" s="1" t="n">
        <v>45807.43337962963</v>
      </c>
      <c r="C144" s="1" t="n">
        <v>46134</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39812-2025</t>
        </is>
      </c>
      <c r="B145" s="1" t="n">
        <v>45891</v>
      </c>
      <c r="C145" s="1" t="n">
        <v>46134</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65927-2021</t>
        </is>
      </c>
      <c r="B146" s="1" t="n">
        <v>44516</v>
      </c>
      <c r="C146" s="1" t="n">
        <v>46134</v>
      </c>
      <c r="D146" t="inlineStr">
        <is>
          <t>GOTLANDS LÄN</t>
        </is>
      </c>
      <c r="E146" t="inlineStr">
        <is>
          <t>GOTLAND</t>
        </is>
      </c>
      <c r="G146" t="n">
        <v>3.1</v>
      </c>
      <c r="H146" t="n">
        <v>1</v>
      </c>
      <c r="I146" t="n">
        <v>0</v>
      </c>
      <c r="J146" t="n">
        <v>0</v>
      </c>
      <c r="K146" t="n">
        <v>1</v>
      </c>
      <c r="L146" t="n">
        <v>0</v>
      </c>
      <c r="M146" t="n">
        <v>0</v>
      </c>
      <c r="N146" t="n">
        <v>0</v>
      </c>
      <c r="O146" t="n">
        <v>1</v>
      </c>
      <c r="P146" t="n">
        <v>1</v>
      </c>
      <c r="Q146" t="n">
        <v>1</v>
      </c>
      <c r="R146" s="2" t="inlineStr">
        <is>
          <t>Grenigt kungsljus</t>
        </is>
      </c>
      <c r="S146">
        <f>HYPERLINK("https://klasma.github.io/Logging_0980/artfynd/A 65927-2021 artfynd.xlsx", "A 65927-2021")</f>
        <v/>
      </c>
      <c r="T146">
        <f>HYPERLINK("https://klasma.github.io/Logging_0980/kartor/A 65927-2021 karta.png", "A 65927-2021")</f>
        <v/>
      </c>
      <c r="V146">
        <f>HYPERLINK("https://klasma.github.io/Logging_0980/klagomål/A 65927-2021 FSC-klagomål.docx", "A 65927-2021")</f>
        <v/>
      </c>
      <c r="W146">
        <f>HYPERLINK("https://klasma.github.io/Logging_0980/klagomålsmail/A 65927-2021 FSC-klagomål mail.docx", "A 65927-2021")</f>
        <v/>
      </c>
      <c r="X146">
        <f>HYPERLINK("https://klasma.github.io/Logging_0980/tillsyn/A 65927-2021 tillsynsbegäran.docx", "A 65927-2021")</f>
        <v/>
      </c>
      <c r="Y146">
        <f>HYPERLINK("https://klasma.github.io/Logging_0980/tillsynsmail/A 65927-2021 tillsynsbegäran mail.docx", "A 65927-2021")</f>
        <v/>
      </c>
    </row>
    <row r="147" ht="15" customHeight="1">
      <c r="A147" t="inlineStr">
        <is>
          <t>A 61796-2022</t>
        </is>
      </c>
      <c r="B147" s="1" t="n">
        <v>44917</v>
      </c>
      <c r="C147" s="1" t="n">
        <v>46134</v>
      </c>
      <c r="D147" t="inlineStr">
        <is>
          <t>GOTLANDS LÄN</t>
        </is>
      </c>
      <c r="E147" t="inlineStr">
        <is>
          <t>GOTLAND</t>
        </is>
      </c>
      <c r="G147" t="n">
        <v>1.5</v>
      </c>
      <c r="H147" t="n">
        <v>1</v>
      </c>
      <c r="I147" t="n">
        <v>0</v>
      </c>
      <c r="J147" t="n">
        <v>0</v>
      </c>
      <c r="K147" t="n">
        <v>0</v>
      </c>
      <c r="L147" t="n">
        <v>0</v>
      </c>
      <c r="M147" t="n">
        <v>0</v>
      </c>
      <c r="N147" t="n">
        <v>0</v>
      </c>
      <c r="O147" t="n">
        <v>0</v>
      </c>
      <c r="P147" t="n">
        <v>0</v>
      </c>
      <c r="Q147" t="n">
        <v>1</v>
      </c>
      <c r="R147" s="2" t="inlineStr">
        <is>
          <t>Skogsduva</t>
        </is>
      </c>
      <c r="S147">
        <f>HYPERLINK("https://klasma.github.io/Logging_0980/artfynd/A 61796-2022 artfynd.xlsx", "A 61796-2022")</f>
        <v/>
      </c>
      <c r="T147">
        <f>HYPERLINK("https://klasma.github.io/Logging_0980/kartor/A 61796-2022 karta.png", "A 61796-2022")</f>
        <v/>
      </c>
      <c r="V147">
        <f>HYPERLINK("https://klasma.github.io/Logging_0980/klagomål/A 61796-2022 FSC-klagomål.docx", "A 61796-2022")</f>
        <v/>
      </c>
      <c r="W147">
        <f>HYPERLINK("https://klasma.github.io/Logging_0980/klagomålsmail/A 61796-2022 FSC-klagomål mail.docx", "A 61796-2022")</f>
        <v/>
      </c>
      <c r="X147">
        <f>HYPERLINK("https://klasma.github.io/Logging_0980/tillsyn/A 61796-2022 tillsynsbegäran.docx", "A 61796-2022")</f>
        <v/>
      </c>
      <c r="Y147">
        <f>HYPERLINK("https://klasma.github.io/Logging_0980/tillsynsmail/A 61796-2022 tillsynsbegäran mail.docx", "A 61796-2022")</f>
        <v/>
      </c>
      <c r="Z147">
        <f>HYPERLINK("https://klasma.github.io/Logging_0980/fåglar/A 61796-2022 prioriterade fågelarter.docx", "A 61796-2022")</f>
        <v/>
      </c>
    </row>
    <row r="148" ht="15" customHeight="1">
      <c r="A148" t="inlineStr">
        <is>
          <t>A 35467-2021</t>
        </is>
      </c>
      <c r="B148" s="1" t="n">
        <v>44385</v>
      </c>
      <c r="C148" s="1" t="n">
        <v>46134</v>
      </c>
      <c r="D148" t="inlineStr">
        <is>
          <t>GOTLANDS LÄN</t>
        </is>
      </c>
      <c r="E148" t="inlineStr">
        <is>
          <t>GOTLAND</t>
        </is>
      </c>
      <c r="G148" t="n">
        <v>12.7</v>
      </c>
      <c r="H148" t="n">
        <v>0</v>
      </c>
      <c r="I148" t="n">
        <v>0</v>
      </c>
      <c r="J148" t="n">
        <v>1</v>
      </c>
      <c r="K148" t="n">
        <v>0</v>
      </c>
      <c r="L148" t="n">
        <v>0</v>
      </c>
      <c r="M148" t="n">
        <v>0</v>
      </c>
      <c r="N148" t="n">
        <v>0</v>
      </c>
      <c r="O148" t="n">
        <v>1</v>
      </c>
      <c r="P148" t="n">
        <v>0</v>
      </c>
      <c r="Q148" t="n">
        <v>1</v>
      </c>
      <c r="R148" s="2" t="inlineStr">
        <is>
          <t>Loppstarr</t>
        </is>
      </c>
      <c r="S148">
        <f>HYPERLINK("https://klasma.github.io/Logging_0980/artfynd/A 35467-2021 artfynd.xlsx", "A 35467-2021")</f>
        <v/>
      </c>
      <c r="T148">
        <f>HYPERLINK("https://klasma.github.io/Logging_0980/kartor/A 35467-2021 karta.png", "A 35467-2021")</f>
        <v/>
      </c>
      <c r="V148">
        <f>HYPERLINK("https://klasma.github.io/Logging_0980/klagomål/A 35467-2021 FSC-klagomål.docx", "A 35467-2021")</f>
        <v/>
      </c>
      <c r="W148">
        <f>HYPERLINK("https://klasma.github.io/Logging_0980/klagomålsmail/A 35467-2021 FSC-klagomål mail.docx", "A 35467-2021")</f>
        <v/>
      </c>
      <c r="X148">
        <f>HYPERLINK("https://klasma.github.io/Logging_0980/tillsyn/A 35467-2021 tillsynsbegäran.docx", "A 35467-2021")</f>
        <v/>
      </c>
      <c r="Y148">
        <f>HYPERLINK("https://klasma.github.io/Logging_0980/tillsynsmail/A 35467-2021 tillsynsbegäran mail.docx", "A 35467-2021")</f>
        <v/>
      </c>
    </row>
    <row r="149" ht="15" customHeight="1">
      <c r="A149" t="inlineStr">
        <is>
          <t>A 44619-2025</t>
        </is>
      </c>
      <c r="B149" s="1" t="n">
        <v>45917</v>
      </c>
      <c r="C149" s="1" t="n">
        <v>46134</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15637-2024</t>
        </is>
      </c>
      <c r="B150" s="1" t="n">
        <v>45403.6684837963</v>
      </c>
      <c r="C150" s="1" t="n">
        <v>46134</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34141-2024</t>
        </is>
      </c>
      <c r="B151" s="1" t="n">
        <v>45524.36229166666</v>
      </c>
      <c r="C151" s="1" t="n">
        <v>46134</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9862-2024</t>
        </is>
      </c>
      <c r="B152" s="1" t="n">
        <v>45363</v>
      </c>
      <c r="C152" s="1" t="n">
        <v>46134</v>
      </c>
      <c r="D152" t="inlineStr">
        <is>
          <t>GOTLANDS LÄN</t>
        </is>
      </c>
      <c r="E152" t="inlineStr">
        <is>
          <t>GOTLAND</t>
        </is>
      </c>
      <c r="G152" t="n">
        <v>3.5</v>
      </c>
      <c r="H152" t="n">
        <v>1</v>
      </c>
      <c r="I152" t="n">
        <v>0</v>
      </c>
      <c r="J152" t="n">
        <v>0</v>
      </c>
      <c r="K152" t="n">
        <v>0</v>
      </c>
      <c r="L152" t="n">
        <v>0</v>
      </c>
      <c r="M152" t="n">
        <v>0</v>
      </c>
      <c r="N152" t="n">
        <v>0</v>
      </c>
      <c r="O152" t="n">
        <v>0</v>
      </c>
      <c r="P152" t="n">
        <v>0</v>
      </c>
      <c r="Q152" t="n">
        <v>1</v>
      </c>
      <c r="R152" s="2" t="inlineStr">
        <is>
          <t>Nattviol</t>
        </is>
      </c>
      <c r="S152">
        <f>HYPERLINK("https://klasma.github.io/Logging_0980/artfynd/A 9862-2024 artfynd.xlsx", "A 9862-2024")</f>
        <v/>
      </c>
      <c r="T152">
        <f>HYPERLINK("https://klasma.github.io/Logging_0980/kartor/A 9862-2024 karta.png", "A 9862-2024")</f>
        <v/>
      </c>
      <c r="V152">
        <f>HYPERLINK("https://klasma.github.io/Logging_0980/klagomål/A 9862-2024 FSC-klagomål.docx", "A 9862-2024")</f>
        <v/>
      </c>
      <c r="W152">
        <f>HYPERLINK("https://klasma.github.io/Logging_0980/klagomålsmail/A 9862-2024 FSC-klagomål mail.docx", "A 9862-2024")</f>
        <v/>
      </c>
      <c r="X152">
        <f>HYPERLINK("https://klasma.github.io/Logging_0980/tillsyn/A 9862-2024 tillsynsbegäran.docx", "A 9862-2024")</f>
        <v/>
      </c>
      <c r="Y152">
        <f>HYPERLINK("https://klasma.github.io/Logging_0980/tillsynsmail/A 9862-2024 tillsynsbegäran mail.docx", "A 9862-2024")</f>
        <v/>
      </c>
    </row>
    <row r="153" ht="15" customHeight="1">
      <c r="A153" t="inlineStr">
        <is>
          <t>A 49726-2025</t>
        </is>
      </c>
      <c r="B153" s="1" t="n">
        <v>45939.84466435185</v>
      </c>
      <c r="C153" s="1" t="n">
        <v>46134</v>
      </c>
      <c r="D153" t="inlineStr">
        <is>
          <t>GOTLANDS LÄN</t>
        </is>
      </c>
      <c r="E153" t="inlineStr">
        <is>
          <t>GOTLAND</t>
        </is>
      </c>
      <c r="F153" t="inlineStr">
        <is>
          <t>Kyrkan</t>
        </is>
      </c>
      <c r="G153" t="n">
        <v>5.4</v>
      </c>
      <c r="H153" t="n">
        <v>0</v>
      </c>
      <c r="I153" t="n">
        <v>0</v>
      </c>
      <c r="J153" t="n">
        <v>1</v>
      </c>
      <c r="K153" t="n">
        <v>0</v>
      </c>
      <c r="L153" t="n">
        <v>0</v>
      </c>
      <c r="M153" t="n">
        <v>0</v>
      </c>
      <c r="N153" t="n">
        <v>0</v>
      </c>
      <c r="O153" t="n">
        <v>1</v>
      </c>
      <c r="P153" t="n">
        <v>0</v>
      </c>
      <c r="Q153" t="n">
        <v>1</v>
      </c>
      <c r="R153" s="2" t="inlineStr">
        <is>
          <t>Odörspindling</t>
        </is>
      </c>
      <c r="S153">
        <f>HYPERLINK("https://klasma.github.io/Logging_0980/artfynd/A 49726-2025 artfynd.xlsx", "A 49726-2025")</f>
        <v/>
      </c>
      <c r="T153">
        <f>HYPERLINK("https://klasma.github.io/Logging_0980/kartor/A 49726-2025 karta.png", "A 49726-2025")</f>
        <v/>
      </c>
      <c r="V153">
        <f>HYPERLINK("https://klasma.github.io/Logging_0980/klagomål/A 49726-2025 FSC-klagomål.docx", "A 49726-2025")</f>
        <v/>
      </c>
      <c r="W153">
        <f>HYPERLINK("https://klasma.github.io/Logging_0980/klagomålsmail/A 49726-2025 FSC-klagomål mail.docx", "A 49726-2025")</f>
        <v/>
      </c>
      <c r="X153">
        <f>HYPERLINK("https://klasma.github.io/Logging_0980/tillsyn/A 49726-2025 tillsynsbegäran.docx", "A 49726-2025")</f>
        <v/>
      </c>
      <c r="Y153">
        <f>HYPERLINK("https://klasma.github.io/Logging_0980/tillsynsmail/A 49726-2025 tillsynsbegäran mail.docx", "A 49726-2025")</f>
        <v/>
      </c>
    </row>
    <row r="154" ht="15" customHeight="1">
      <c r="A154" t="inlineStr">
        <is>
          <t>A 2476-2025</t>
        </is>
      </c>
      <c r="B154" s="1" t="n">
        <v>45673</v>
      </c>
      <c r="C154" s="1" t="n">
        <v>46134</v>
      </c>
      <c r="D154" t="inlineStr">
        <is>
          <t>GOTLANDS LÄN</t>
        </is>
      </c>
      <c r="E154" t="inlineStr">
        <is>
          <t>GOTLAND</t>
        </is>
      </c>
      <c r="G154" t="n">
        <v>3.1</v>
      </c>
      <c r="H154" t="n">
        <v>0</v>
      </c>
      <c r="I154" t="n">
        <v>1</v>
      </c>
      <c r="J154" t="n">
        <v>0</v>
      </c>
      <c r="K154" t="n">
        <v>0</v>
      </c>
      <c r="L154" t="n">
        <v>0</v>
      </c>
      <c r="M154" t="n">
        <v>0</v>
      </c>
      <c r="N154" t="n">
        <v>0</v>
      </c>
      <c r="O154" t="n">
        <v>0</v>
      </c>
      <c r="P154" t="n">
        <v>0</v>
      </c>
      <c r="Q154" t="n">
        <v>1</v>
      </c>
      <c r="R154" s="2" t="inlineStr">
        <is>
          <t>Kryddspindling</t>
        </is>
      </c>
      <c r="S154">
        <f>HYPERLINK("https://klasma.github.io/Logging_0980/artfynd/A 2476-2025 artfynd.xlsx", "A 2476-2025")</f>
        <v/>
      </c>
      <c r="T154">
        <f>HYPERLINK("https://klasma.github.io/Logging_0980/kartor/A 2476-2025 karta.png", "A 2476-2025")</f>
        <v/>
      </c>
      <c r="V154">
        <f>HYPERLINK("https://klasma.github.io/Logging_0980/klagomål/A 2476-2025 FSC-klagomål.docx", "A 2476-2025")</f>
        <v/>
      </c>
      <c r="W154">
        <f>HYPERLINK("https://klasma.github.io/Logging_0980/klagomålsmail/A 2476-2025 FSC-klagomål mail.docx", "A 2476-2025")</f>
        <v/>
      </c>
      <c r="X154">
        <f>HYPERLINK("https://klasma.github.io/Logging_0980/tillsyn/A 2476-2025 tillsynsbegäran.docx", "A 2476-2025")</f>
        <v/>
      </c>
      <c r="Y154">
        <f>HYPERLINK("https://klasma.github.io/Logging_0980/tillsynsmail/A 2476-2025 tillsynsbegäran mail.docx", "A 2476-2025")</f>
        <v/>
      </c>
    </row>
    <row r="155" ht="15" customHeight="1">
      <c r="A155" t="inlineStr">
        <is>
          <t>A 12924-2025</t>
        </is>
      </c>
      <c r="B155" s="1" t="n">
        <v>45734</v>
      </c>
      <c r="C155" s="1" t="n">
        <v>46134</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10995-2023</t>
        </is>
      </c>
      <c r="B156" s="1" t="n">
        <v>44986</v>
      </c>
      <c r="C156" s="1" t="n">
        <v>46134</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13482-2026</t>
        </is>
      </c>
      <c r="B157" s="1" t="n">
        <v>46094</v>
      </c>
      <c r="C157" s="1" t="n">
        <v>46134</v>
      </c>
      <c r="D157" t="inlineStr">
        <is>
          <t>GOTLANDS LÄN</t>
        </is>
      </c>
      <c r="E157" t="inlineStr">
        <is>
          <t>GOTLAND</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HYPERLINK("https://klasma.github.io/Logging_0980/artfynd/A 13482-2026 artfynd.xlsx", "A 13482-2026")</f>
        <v/>
      </c>
      <c r="T157">
        <f>HYPERLINK("https://klasma.github.io/Logging_0980/kartor/A 13482-2026 karta.png", "A 13482-2026")</f>
        <v/>
      </c>
      <c r="V157">
        <f>HYPERLINK("https://klasma.github.io/Logging_0980/klagomål/A 13482-2026 FSC-klagomål.docx", "A 13482-2026")</f>
        <v/>
      </c>
      <c r="W157">
        <f>HYPERLINK("https://klasma.github.io/Logging_0980/klagomålsmail/A 13482-2026 FSC-klagomål mail.docx", "A 13482-2026")</f>
        <v/>
      </c>
      <c r="X157">
        <f>HYPERLINK("https://klasma.github.io/Logging_0980/tillsyn/A 13482-2026 tillsynsbegäran.docx", "A 13482-2026")</f>
        <v/>
      </c>
      <c r="Y157">
        <f>HYPERLINK("https://klasma.github.io/Logging_0980/tillsynsmail/A 13482-2026 tillsynsbegäran mail.docx", "A 13482-2026")</f>
        <v/>
      </c>
      <c r="Z157">
        <f>HYPERLINK("https://klasma.github.io/Logging_0980/fåglar/A 13482-2026 prioriterade fågelarter.docx", "A 13482-2026")</f>
        <v/>
      </c>
    </row>
    <row r="158" ht="15" customHeight="1">
      <c r="A158" t="inlineStr">
        <is>
          <t>A 62552-2022</t>
        </is>
      </c>
      <c r="B158" s="1" t="n">
        <v>44924</v>
      </c>
      <c r="C158" s="1" t="n">
        <v>46134</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46134</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46134</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46134</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947-2023</t>
        </is>
      </c>
      <c r="B162" s="1" t="n">
        <v>44934</v>
      </c>
      <c r="C162" s="1" t="n">
        <v>46134</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49304-2024</t>
        </is>
      </c>
      <c r="B163" s="1" t="n">
        <v>45595.54996527778</v>
      </c>
      <c r="C163" s="1" t="n">
        <v>46134</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46134</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46134</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27589-2023</t>
        </is>
      </c>
      <c r="B166" s="1" t="n">
        <v>45097</v>
      </c>
      <c r="C166" s="1" t="n">
        <v>46134</v>
      </c>
      <c r="D166" t="inlineStr">
        <is>
          <t>GOTLANDS LÄN</t>
        </is>
      </c>
      <c r="E166" t="inlineStr">
        <is>
          <t>GOTLAND</t>
        </is>
      </c>
      <c r="G166" t="n">
        <v>5.4</v>
      </c>
      <c r="H166" t="n">
        <v>0</v>
      </c>
      <c r="I166" t="n">
        <v>0</v>
      </c>
      <c r="J166" t="n">
        <v>0</v>
      </c>
      <c r="K166" t="n">
        <v>0</v>
      </c>
      <c r="L166" t="n">
        <v>0</v>
      </c>
      <c r="M166" t="n">
        <v>1</v>
      </c>
      <c r="N166" t="n">
        <v>0</v>
      </c>
      <c r="O166" t="n">
        <v>1</v>
      </c>
      <c r="P166" t="n">
        <v>1</v>
      </c>
      <c r="Q166" t="n">
        <v>1</v>
      </c>
      <c r="R166" s="2" t="inlineStr">
        <is>
          <t>Skogsalm</t>
        </is>
      </c>
      <c r="S166">
        <f>HYPERLINK("https://klasma.github.io/Logging_0980/artfynd/A 27589-2023 artfynd.xlsx", "A 27589-2023")</f>
        <v/>
      </c>
      <c r="T166">
        <f>HYPERLINK("https://klasma.github.io/Logging_0980/kartor/A 27589-2023 karta.png", "A 27589-2023")</f>
        <v/>
      </c>
      <c r="V166">
        <f>HYPERLINK("https://klasma.github.io/Logging_0980/klagomål/A 27589-2023 FSC-klagomål.docx", "A 27589-2023")</f>
        <v/>
      </c>
      <c r="W166">
        <f>HYPERLINK("https://klasma.github.io/Logging_0980/klagomålsmail/A 27589-2023 FSC-klagomål mail.docx", "A 27589-2023")</f>
        <v/>
      </c>
      <c r="X166">
        <f>HYPERLINK("https://klasma.github.io/Logging_0980/tillsyn/A 27589-2023 tillsynsbegäran.docx", "A 27589-2023")</f>
        <v/>
      </c>
      <c r="Y166">
        <f>HYPERLINK("https://klasma.github.io/Logging_0980/tillsynsmail/A 27589-2023 tillsynsbegäran mail.docx", "A 27589-2023")</f>
        <v/>
      </c>
    </row>
    <row r="167" ht="15" customHeight="1">
      <c r="A167" t="inlineStr">
        <is>
          <t>A 1477-2024</t>
        </is>
      </c>
      <c r="B167" s="1" t="n">
        <v>45305.37987268518</v>
      </c>
      <c r="C167" s="1" t="n">
        <v>46134</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35574-2024</t>
        </is>
      </c>
      <c r="B168" s="1" t="n">
        <v>45531</v>
      </c>
      <c r="C168" s="1" t="n">
        <v>46134</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7637-2025</t>
        </is>
      </c>
      <c r="B169" s="1" t="n">
        <v>45705.77181712963</v>
      </c>
      <c r="C169" s="1" t="n">
        <v>46134</v>
      </c>
      <c r="D169" t="inlineStr">
        <is>
          <t>GOTLANDS LÄN</t>
        </is>
      </c>
      <c r="E169" t="inlineStr">
        <is>
          <t>GOTLAND</t>
        </is>
      </c>
      <c r="G169" t="n">
        <v>3.7</v>
      </c>
      <c r="H169" t="n">
        <v>0</v>
      </c>
      <c r="I169" t="n">
        <v>0</v>
      </c>
      <c r="J169" t="n">
        <v>0</v>
      </c>
      <c r="K169" t="n">
        <v>0</v>
      </c>
      <c r="L169" t="n">
        <v>0</v>
      </c>
      <c r="M169" t="n">
        <v>1</v>
      </c>
      <c r="N169" t="n">
        <v>0</v>
      </c>
      <c r="O169" t="n">
        <v>1</v>
      </c>
      <c r="P169" t="n">
        <v>1</v>
      </c>
      <c r="Q169" t="n">
        <v>1</v>
      </c>
      <c r="R169" s="2" t="inlineStr">
        <is>
          <t>Skogsalm</t>
        </is>
      </c>
      <c r="S169">
        <f>HYPERLINK("https://klasma.github.io/Logging_0980/artfynd/A 7637-2025 artfynd.xlsx", "A 7637-2025")</f>
        <v/>
      </c>
      <c r="T169">
        <f>HYPERLINK("https://klasma.github.io/Logging_0980/kartor/A 7637-2025 karta.png", "A 7637-2025")</f>
        <v/>
      </c>
      <c r="V169">
        <f>HYPERLINK("https://klasma.github.io/Logging_0980/klagomål/A 7637-2025 FSC-klagomål.docx", "A 7637-2025")</f>
        <v/>
      </c>
      <c r="W169">
        <f>HYPERLINK("https://klasma.github.io/Logging_0980/klagomålsmail/A 7637-2025 FSC-klagomål mail.docx", "A 7637-2025")</f>
        <v/>
      </c>
      <c r="X169">
        <f>HYPERLINK("https://klasma.github.io/Logging_0980/tillsyn/A 7637-2025 tillsynsbegäran.docx", "A 7637-2025")</f>
        <v/>
      </c>
      <c r="Y169">
        <f>HYPERLINK("https://klasma.github.io/Logging_0980/tillsynsmail/A 7637-2025 tillsynsbegäran mail.docx", "A 7637-2025")</f>
        <v/>
      </c>
    </row>
    <row r="170" ht="15" customHeight="1">
      <c r="A170" t="inlineStr">
        <is>
          <t>A 63149-2025</t>
        </is>
      </c>
      <c r="B170" s="1" t="n">
        <v>46010</v>
      </c>
      <c r="C170" s="1" t="n">
        <v>46134</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10013-2026</t>
        </is>
      </c>
      <c r="B171" s="1" t="n">
        <v>46073</v>
      </c>
      <c r="C171" s="1" t="n">
        <v>46134</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6303-2024</t>
        </is>
      </c>
      <c r="B172" s="1" t="n">
        <v>45338.35376157407</v>
      </c>
      <c r="C172" s="1" t="n">
        <v>46134</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Strävlosta</t>
        </is>
      </c>
      <c r="S172">
        <f>HYPERLINK("https://klasma.github.io/Logging_0980/artfynd/A 6303-2024 artfynd.xlsx", "A 6303-2024")</f>
        <v/>
      </c>
      <c r="T172">
        <f>HYPERLINK("https://klasma.github.io/Logging_0980/kartor/A 6303-2024 karta.png", "A 6303-2024")</f>
        <v/>
      </c>
      <c r="V172">
        <f>HYPERLINK("https://klasma.github.io/Logging_0980/klagomål/A 6303-2024 FSC-klagomål.docx", "A 6303-2024")</f>
        <v/>
      </c>
      <c r="W172">
        <f>HYPERLINK("https://klasma.github.io/Logging_0980/klagomålsmail/A 6303-2024 FSC-klagomål mail.docx", "A 6303-2024")</f>
        <v/>
      </c>
      <c r="X172">
        <f>HYPERLINK("https://klasma.github.io/Logging_0980/tillsyn/A 6303-2024 tillsynsbegäran.docx", "A 6303-2024")</f>
        <v/>
      </c>
      <c r="Y172">
        <f>HYPERLINK("https://klasma.github.io/Logging_0980/tillsynsmail/A 6303-2024 tillsynsbegäran mail.docx", "A 6303-2024")</f>
        <v/>
      </c>
    </row>
    <row r="173" ht="15" customHeight="1">
      <c r="A173" t="inlineStr">
        <is>
          <t>A 17854-2026</t>
        </is>
      </c>
      <c r="B173" s="1" t="n">
        <v>46121</v>
      </c>
      <c r="C173" s="1" t="n">
        <v>46134</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46134</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46134</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34809-2024</t>
        </is>
      </c>
      <c r="B176" s="1" t="n">
        <v>45526</v>
      </c>
      <c r="C176" s="1" t="n">
        <v>46134</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46134</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46134</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46134</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46134</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46134</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46134</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46134</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46134</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46134</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46134</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46134</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46134</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46134</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46134</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46134</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46134</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46134</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46134</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46134</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46134</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46134</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46134</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46134</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46134</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46134</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19447-2021</t>
        </is>
      </c>
      <c r="B202" s="1" t="n">
        <v>44310.72780092592</v>
      </c>
      <c r="C202" s="1" t="n">
        <v>46134</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46134</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46134</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46134</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46134</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46134</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46134</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46134</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22155-2021</t>
        </is>
      </c>
      <c r="B210" s="1" t="n">
        <v>44325.49369212963</v>
      </c>
      <c r="C210" s="1" t="n">
        <v>46134</v>
      </c>
      <c r="D210" t="inlineStr">
        <is>
          <t>GOTLANDS LÄN</t>
        </is>
      </c>
      <c r="E210" t="inlineStr">
        <is>
          <t>GOTLAND</t>
        </is>
      </c>
      <c r="G210" t="n">
        <v>1.1</v>
      </c>
      <c r="H210" t="n">
        <v>0</v>
      </c>
      <c r="I210" t="n">
        <v>0</v>
      </c>
      <c r="J210" t="n">
        <v>0</v>
      </c>
      <c r="K210" t="n">
        <v>0</v>
      </c>
      <c r="L210" t="n">
        <v>0</v>
      </c>
      <c r="M210" t="n">
        <v>0</v>
      </c>
      <c r="N210" t="n">
        <v>0</v>
      </c>
      <c r="O210" t="n">
        <v>0</v>
      </c>
      <c r="P210" t="n">
        <v>0</v>
      </c>
      <c r="Q210" t="n">
        <v>0</v>
      </c>
      <c r="R210" s="2" t="inlineStr"/>
    </row>
    <row r="211" ht="15" customHeight="1">
      <c r="A211" t="inlineStr">
        <is>
          <t>A 71010-2021</t>
        </is>
      </c>
      <c r="B211" s="1" t="n">
        <v>44538.63775462963</v>
      </c>
      <c r="C211" s="1" t="n">
        <v>46134</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22495-2022</t>
        </is>
      </c>
      <c r="B212" s="1" t="n">
        <v>44713.6452199074</v>
      </c>
      <c r="C212" s="1" t="n">
        <v>46134</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46134</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46134</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46134</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65393-2021</t>
        </is>
      </c>
      <c r="B216" s="1" t="n">
        <v>44515</v>
      </c>
      <c r="C216" s="1" t="n">
        <v>46134</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23910-2021</t>
        </is>
      </c>
      <c r="B217" s="1" t="n">
        <v>44335</v>
      </c>
      <c r="C217" s="1" t="n">
        <v>46134</v>
      </c>
      <c r="D217" t="inlineStr">
        <is>
          <t>GOTLANDS LÄN</t>
        </is>
      </c>
      <c r="E217" t="inlineStr">
        <is>
          <t>GOTLAND</t>
        </is>
      </c>
      <c r="G217" t="n">
        <v>1.5</v>
      </c>
      <c r="H217" t="n">
        <v>0</v>
      </c>
      <c r="I217" t="n">
        <v>0</v>
      </c>
      <c r="J217" t="n">
        <v>0</v>
      </c>
      <c r="K217" t="n">
        <v>0</v>
      </c>
      <c r="L217" t="n">
        <v>0</v>
      </c>
      <c r="M217" t="n">
        <v>0</v>
      </c>
      <c r="N217" t="n">
        <v>0</v>
      </c>
      <c r="O217" t="n">
        <v>0</v>
      </c>
      <c r="P217" t="n">
        <v>0</v>
      </c>
      <c r="Q217" t="n">
        <v>0</v>
      </c>
      <c r="R217" s="2" t="inlineStr"/>
    </row>
    <row r="218" ht="15" customHeight="1">
      <c r="A218" t="inlineStr">
        <is>
          <t>A 17354-2022</t>
        </is>
      </c>
      <c r="B218" s="1" t="n">
        <v>44678</v>
      </c>
      <c r="C218" s="1" t="n">
        <v>46134</v>
      </c>
      <c r="D218" t="inlineStr">
        <is>
          <t>GOTLANDS LÄN</t>
        </is>
      </c>
      <c r="E218" t="inlineStr">
        <is>
          <t>GOTLAND</t>
        </is>
      </c>
      <c r="G218" t="n">
        <v>7.1</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46134</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56951-2021</t>
        </is>
      </c>
      <c r="B220" s="1" t="n">
        <v>44482.37388888889</v>
      </c>
      <c r="C220" s="1" t="n">
        <v>46134</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13498-2022</t>
        </is>
      </c>
      <c r="B221" s="1" t="n">
        <v>44647.78866898148</v>
      </c>
      <c r="C221" s="1" t="n">
        <v>46134</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13500-2022</t>
        </is>
      </c>
      <c r="B222" s="1" t="n">
        <v>44647.79513888889</v>
      </c>
      <c r="C222" s="1" t="n">
        <v>46134</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21507-2021</t>
        </is>
      </c>
      <c r="B223" s="1" t="n">
        <v>44321</v>
      </c>
      <c r="C223" s="1" t="n">
        <v>46134</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57219-2021</t>
        </is>
      </c>
      <c r="B224" s="1" t="n">
        <v>44483</v>
      </c>
      <c r="C224" s="1" t="n">
        <v>46134</v>
      </c>
      <c r="D224" t="inlineStr">
        <is>
          <t>GOTLANDS LÄN</t>
        </is>
      </c>
      <c r="E224" t="inlineStr">
        <is>
          <t>GOTLAND</t>
        </is>
      </c>
      <c r="F224" t="inlineStr">
        <is>
          <t>Kyrkan</t>
        </is>
      </c>
      <c r="G224" t="n">
        <v>4</v>
      </c>
      <c r="H224" t="n">
        <v>0</v>
      </c>
      <c r="I224" t="n">
        <v>0</v>
      </c>
      <c r="J224" t="n">
        <v>0</v>
      </c>
      <c r="K224" t="n">
        <v>0</v>
      </c>
      <c r="L224" t="n">
        <v>0</v>
      </c>
      <c r="M224" t="n">
        <v>0</v>
      </c>
      <c r="N224" t="n">
        <v>0</v>
      </c>
      <c r="O224" t="n">
        <v>0</v>
      </c>
      <c r="P224" t="n">
        <v>0</v>
      </c>
      <c r="Q224" t="n">
        <v>0</v>
      </c>
      <c r="R224" s="2" t="inlineStr"/>
    </row>
    <row r="225" ht="15" customHeight="1">
      <c r="A225" t="inlineStr">
        <is>
          <t>A 30282-2022</t>
        </is>
      </c>
      <c r="B225" s="1" t="n">
        <v>44760</v>
      </c>
      <c r="C225" s="1" t="n">
        <v>46134</v>
      </c>
      <c r="D225" t="inlineStr">
        <is>
          <t>GOTLANDS LÄN</t>
        </is>
      </c>
      <c r="E225" t="inlineStr">
        <is>
          <t>GOTLAND</t>
        </is>
      </c>
      <c r="G225" t="n">
        <v>2.6</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46134</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5751-2024</t>
        </is>
      </c>
      <c r="B227" s="1" t="n">
        <v>45335.32702546296</v>
      </c>
      <c r="C227" s="1" t="n">
        <v>46134</v>
      </c>
      <c r="D227" t="inlineStr">
        <is>
          <t>GOTLANDS LÄN</t>
        </is>
      </c>
      <c r="E227" t="inlineStr">
        <is>
          <t>GOTLAND</t>
        </is>
      </c>
      <c r="G227" t="n">
        <v>4.2</v>
      </c>
      <c r="H227" t="n">
        <v>0</v>
      </c>
      <c r="I227" t="n">
        <v>0</v>
      </c>
      <c r="J227" t="n">
        <v>0</v>
      </c>
      <c r="K227" t="n">
        <v>0</v>
      </c>
      <c r="L227" t="n">
        <v>0</v>
      </c>
      <c r="M227" t="n">
        <v>0</v>
      </c>
      <c r="N227" t="n">
        <v>0</v>
      </c>
      <c r="O227" t="n">
        <v>0</v>
      </c>
      <c r="P227" t="n">
        <v>0</v>
      </c>
      <c r="Q227" t="n">
        <v>0</v>
      </c>
      <c r="R227" s="2" t="inlineStr"/>
    </row>
    <row r="228" ht="15" customHeight="1">
      <c r="A228" t="inlineStr">
        <is>
          <t>A 9613-2025</t>
        </is>
      </c>
      <c r="B228" s="1" t="n">
        <v>45715</v>
      </c>
      <c r="C228" s="1" t="n">
        <v>46134</v>
      </c>
      <c r="D228" t="inlineStr">
        <is>
          <t>GOTLANDS LÄN</t>
        </is>
      </c>
      <c r="E228" t="inlineStr">
        <is>
          <t>GOTLAND</t>
        </is>
      </c>
      <c r="G228" t="n">
        <v>3.5</v>
      </c>
      <c r="H228" t="n">
        <v>0</v>
      </c>
      <c r="I228" t="n">
        <v>0</v>
      </c>
      <c r="J228" t="n">
        <v>0</v>
      </c>
      <c r="K228" t="n">
        <v>0</v>
      </c>
      <c r="L228" t="n">
        <v>0</v>
      </c>
      <c r="M228" t="n">
        <v>0</v>
      </c>
      <c r="N228" t="n">
        <v>0</v>
      </c>
      <c r="O228" t="n">
        <v>0</v>
      </c>
      <c r="P228" t="n">
        <v>0</v>
      </c>
      <c r="Q228" t="n">
        <v>0</v>
      </c>
      <c r="R228" s="2" t="inlineStr"/>
    </row>
    <row r="229" ht="15" customHeight="1">
      <c r="A229" t="inlineStr">
        <is>
          <t>A 24966-2023</t>
        </is>
      </c>
      <c r="B229" s="1" t="n">
        <v>45085</v>
      </c>
      <c r="C229" s="1" t="n">
        <v>46134</v>
      </c>
      <c r="D229" t="inlineStr">
        <is>
          <t>GOTLANDS LÄN</t>
        </is>
      </c>
      <c r="E229" t="inlineStr">
        <is>
          <t>GOTLAND</t>
        </is>
      </c>
      <c r="G229" t="n">
        <v>7</v>
      </c>
      <c r="H229" t="n">
        <v>0</v>
      </c>
      <c r="I229" t="n">
        <v>0</v>
      </c>
      <c r="J229" t="n">
        <v>0</v>
      </c>
      <c r="K229" t="n">
        <v>0</v>
      </c>
      <c r="L229" t="n">
        <v>0</v>
      </c>
      <c r="M229" t="n">
        <v>0</v>
      </c>
      <c r="N229" t="n">
        <v>0</v>
      </c>
      <c r="O229" t="n">
        <v>0</v>
      </c>
      <c r="P229" t="n">
        <v>0</v>
      </c>
      <c r="Q229" t="n">
        <v>0</v>
      </c>
      <c r="R229" s="2" t="inlineStr"/>
    </row>
    <row r="230" ht="15" customHeight="1">
      <c r="A230" t="inlineStr">
        <is>
          <t>A 15595-2024</t>
        </is>
      </c>
      <c r="B230" s="1" t="n">
        <v>45401.81480324074</v>
      </c>
      <c r="C230" s="1" t="n">
        <v>46134</v>
      </c>
      <c r="D230" t="inlineStr">
        <is>
          <t>GOTLANDS LÄN</t>
        </is>
      </c>
      <c r="E230" t="inlineStr">
        <is>
          <t>GOTLAND</t>
        </is>
      </c>
      <c r="G230" t="n">
        <v>6.4</v>
      </c>
      <c r="H230" t="n">
        <v>0</v>
      </c>
      <c r="I230" t="n">
        <v>0</v>
      </c>
      <c r="J230" t="n">
        <v>0</v>
      </c>
      <c r="K230" t="n">
        <v>0</v>
      </c>
      <c r="L230" t="n">
        <v>0</v>
      </c>
      <c r="M230" t="n">
        <v>0</v>
      </c>
      <c r="N230" t="n">
        <v>0</v>
      </c>
      <c r="O230" t="n">
        <v>0</v>
      </c>
      <c r="P230" t="n">
        <v>0</v>
      </c>
      <c r="Q230" t="n">
        <v>0</v>
      </c>
      <c r="R230" s="2" t="inlineStr"/>
    </row>
    <row r="231" ht="15" customHeight="1">
      <c r="A231" t="inlineStr">
        <is>
          <t>A 46189-2022</t>
        </is>
      </c>
      <c r="B231" s="1" t="n">
        <v>44847</v>
      </c>
      <c r="C231" s="1" t="n">
        <v>46134</v>
      </c>
      <c r="D231" t="inlineStr">
        <is>
          <t>GOTLANDS LÄN</t>
        </is>
      </c>
      <c r="E231" t="inlineStr">
        <is>
          <t>GOTLAND</t>
        </is>
      </c>
      <c r="G231" t="n">
        <v>0.4</v>
      </c>
      <c r="H231" t="n">
        <v>0</v>
      </c>
      <c r="I231" t="n">
        <v>0</v>
      </c>
      <c r="J231" t="n">
        <v>0</v>
      </c>
      <c r="K231" t="n">
        <v>0</v>
      </c>
      <c r="L231" t="n">
        <v>0</v>
      </c>
      <c r="M231" t="n">
        <v>0</v>
      </c>
      <c r="N231" t="n">
        <v>0</v>
      </c>
      <c r="O231" t="n">
        <v>0</v>
      </c>
      <c r="P231" t="n">
        <v>0</v>
      </c>
      <c r="Q231" t="n">
        <v>0</v>
      </c>
      <c r="R231" s="2" t="inlineStr"/>
    </row>
    <row r="232" ht="15" customHeight="1">
      <c r="A232" t="inlineStr">
        <is>
          <t>A 22031-2024</t>
        </is>
      </c>
      <c r="B232" s="1" t="n">
        <v>45443.60075231481</v>
      </c>
      <c r="C232" s="1" t="n">
        <v>46134</v>
      </c>
      <c r="D232" t="inlineStr">
        <is>
          <t>GOTLANDS LÄN</t>
        </is>
      </c>
      <c r="E232" t="inlineStr">
        <is>
          <t>GOTLAND</t>
        </is>
      </c>
      <c r="G232" t="n">
        <v>2.3</v>
      </c>
      <c r="H232" t="n">
        <v>0</v>
      </c>
      <c r="I232" t="n">
        <v>0</v>
      </c>
      <c r="J232" t="n">
        <v>0</v>
      </c>
      <c r="K232" t="n">
        <v>0</v>
      </c>
      <c r="L232" t="n">
        <v>0</v>
      </c>
      <c r="M232" t="n">
        <v>0</v>
      </c>
      <c r="N232" t="n">
        <v>0</v>
      </c>
      <c r="O232" t="n">
        <v>0</v>
      </c>
      <c r="P232" t="n">
        <v>0</v>
      </c>
      <c r="Q232" t="n">
        <v>0</v>
      </c>
      <c r="R232" s="2" t="inlineStr"/>
    </row>
    <row r="233" ht="15" customHeight="1">
      <c r="A233" t="inlineStr">
        <is>
          <t>A 49314-2024</t>
        </is>
      </c>
      <c r="B233" s="1" t="n">
        <v>45595.55893518519</v>
      </c>
      <c r="C233" s="1" t="n">
        <v>46134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4868-2024</t>
        </is>
      </c>
      <c r="B234" s="1" t="n">
        <v>45329</v>
      </c>
      <c r="C234" s="1" t="n">
        <v>46134</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44919-2022</t>
        </is>
      </c>
      <c r="B235" s="1" t="n">
        <v>44841</v>
      </c>
      <c r="C235" s="1" t="n">
        <v>46134</v>
      </c>
      <c r="D235" t="inlineStr">
        <is>
          <t>GOTLANDS LÄN</t>
        </is>
      </c>
      <c r="E235" t="inlineStr">
        <is>
          <t>GOTLAND</t>
        </is>
      </c>
      <c r="G235" t="n">
        <v>2.2</v>
      </c>
      <c r="H235" t="n">
        <v>0</v>
      </c>
      <c r="I235" t="n">
        <v>0</v>
      </c>
      <c r="J235" t="n">
        <v>0</v>
      </c>
      <c r="K235" t="n">
        <v>0</v>
      </c>
      <c r="L235" t="n">
        <v>0</v>
      </c>
      <c r="M235" t="n">
        <v>0</v>
      </c>
      <c r="N235" t="n">
        <v>0</v>
      </c>
      <c r="O235" t="n">
        <v>0</v>
      </c>
      <c r="P235" t="n">
        <v>0</v>
      </c>
      <c r="Q235" t="n">
        <v>0</v>
      </c>
      <c r="R235" s="2" t="inlineStr"/>
    </row>
    <row r="236" ht="15" customHeight="1">
      <c r="A236" t="inlineStr">
        <is>
          <t>A 65901-2021</t>
        </is>
      </c>
      <c r="B236" s="1" t="n">
        <v>44516</v>
      </c>
      <c r="C236" s="1" t="n">
        <v>46134</v>
      </c>
      <c r="D236" t="inlineStr">
        <is>
          <t>GOTLANDS LÄN</t>
        </is>
      </c>
      <c r="E236" t="inlineStr">
        <is>
          <t>GOTLAND</t>
        </is>
      </c>
      <c r="G236" t="n">
        <v>4.9</v>
      </c>
      <c r="H236" t="n">
        <v>0</v>
      </c>
      <c r="I236" t="n">
        <v>0</v>
      </c>
      <c r="J236" t="n">
        <v>0</v>
      </c>
      <c r="K236" t="n">
        <v>0</v>
      </c>
      <c r="L236" t="n">
        <v>0</v>
      </c>
      <c r="M236" t="n">
        <v>0</v>
      </c>
      <c r="N236" t="n">
        <v>0</v>
      </c>
      <c r="O236" t="n">
        <v>0</v>
      </c>
      <c r="P236" t="n">
        <v>0</v>
      </c>
      <c r="Q236" t="n">
        <v>0</v>
      </c>
      <c r="R236" s="2" t="inlineStr"/>
    </row>
    <row r="237" ht="15" customHeight="1">
      <c r="A237" t="inlineStr">
        <is>
          <t>A 44649-2021</t>
        </is>
      </c>
      <c r="B237" s="1" t="n">
        <v>44437</v>
      </c>
      <c r="C237" s="1" t="n">
        <v>46134</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9947-2024</t>
        </is>
      </c>
      <c r="B238" s="1" t="n">
        <v>45363</v>
      </c>
      <c r="C238" s="1" t="n">
        <v>46134</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27593-2023</t>
        </is>
      </c>
      <c r="B239" s="1" t="n">
        <v>45097</v>
      </c>
      <c r="C239" s="1" t="n">
        <v>46134</v>
      </c>
      <c r="D239" t="inlineStr">
        <is>
          <t>GOTLANDS LÄN</t>
        </is>
      </c>
      <c r="E239" t="inlineStr">
        <is>
          <t>GOTLAND</t>
        </is>
      </c>
      <c r="G239" t="n">
        <v>3.1</v>
      </c>
      <c r="H239" t="n">
        <v>0</v>
      </c>
      <c r="I239" t="n">
        <v>0</v>
      </c>
      <c r="J239" t="n">
        <v>0</v>
      </c>
      <c r="K239" t="n">
        <v>0</v>
      </c>
      <c r="L239" t="n">
        <v>0</v>
      </c>
      <c r="M239" t="n">
        <v>0</v>
      </c>
      <c r="N239" t="n">
        <v>0</v>
      </c>
      <c r="O239" t="n">
        <v>0</v>
      </c>
      <c r="P239" t="n">
        <v>0</v>
      </c>
      <c r="Q239" t="n">
        <v>0</v>
      </c>
      <c r="R239" s="2" t="inlineStr"/>
    </row>
    <row r="240" ht="15" customHeight="1">
      <c r="A240" t="inlineStr">
        <is>
          <t>A 48503-2023</t>
        </is>
      </c>
      <c r="B240" s="1" t="n">
        <v>45207</v>
      </c>
      <c r="C240" s="1" t="n">
        <v>46134</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17682-2024</t>
        </is>
      </c>
      <c r="B241" s="1" t="n">
        <v>45418.42966435185</v>
      </c>
      <c r="C241" s="1" t="n">
        <v>46134</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57522-2022</t>
        </is>
      </c>
      <c r="B242" s="1" t="n">
        <v>44896</v>
      </c>
      <c r="C242" s="1" t="n">
        <v>46134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15073-2025</t>
        </is>
      </c>
      <c r="B243" s="1" t="n">
        <v>45743</v>
      </c>
      <c r="C243" s="1" t="n">
        <v>46134</v>
      </c>
      <c r="D243" t="inlineStr">
        <is>
          <t>GOTLANDS LÄN</t>
        </is>
      </c>
      <c r="E243" t="inlineStr">
        <is>
          <t>GOTLAND</t>
        </is>
      </c>
      <c r="G243" t="n">
        <v>12.1</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46134</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6749-2025</t>
        </is>
      </c>
      <c r="B245" s="1" t="n">
        <v>45700</v>
      </c>
      <c r="C245" s="1" t="n">
        <v>46134</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46134</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23698-2025</t>
        </is>
      </c>
      <c r="B247" s="1" t="n">
        <v>45793</v>
      </c>
      <c r="C247" s="1" t="n">
        <v>46134</v>
      </c>
      <c r="D247" t="inlineStr">
        <is>
          <t>GOTLANDS LÄN</t>
        </is>
      </c>
      <c r="E247" t="inlineStr">
        <is>
          <t>GOTLAND</t>
        </is>
      </c>
      <c r="G247" t="n">
        <v>0.8</v>
      </c>
      <c r="H247" t="n">
        <v>0</v>
      </c>
      <c r="I247" t="n">
        <v>0</v>
      </c>
      <c r="J247" t="n">
        <v>0</v>
      </c>
      <c r="K247" t="n">
        <v>0</v>
      </c>
      <c r="L247" t="n">
        <v>0</v>
      </c>
      <c r="M247" t="n">
        <v>0</v>
      </c>
      <c r="N247" t="n">
        <v>0</v>
      </c>
      <c r="O247" t="n">
        <v>0</v>
      </c>
      <c r="P247" t="n">
        <v>0</v>
      </c>
      <c r="Q247" t="n">
        <v>0</v>
      </c>
      <c r="R247" s="2" t="inlineStr"/>
    </row>
    <row r="248" ht="15" customHeight="1">
      <c r="A248" t="inlineStr">
        <is>
          <t>A 24001-2021</t>
        </is>
      </c>
      <c r="B248" s="1" t="n">
        <v>44335</v>
      </c>
      <c r="C248" s="1" t="n">
        <v>46134</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30365-2024</t>
        </is>
      </c>
      <c r="B249" s="1" t="n">
        <v>45491.3716087963</v>
      </c>
      <c r="C249" s="1" t="n">
        <v>46134</v>
      </c>
      <c r="D249" t="inlineStr">
        <is>
          <t>GOTLANDS LÄN</t>
        </is>
      </c>
      <c r="E249" t="inlineStr">
        <is>
          <t>GOTLAND</t>
        </is>
      </c>
      <c r="G249" t="n">
        <v>0.5</v>
      </c>
      <c r="H249" t="n">
        <v>0</v>
      </c>
      <c r="I249" t="n">
        <v>0</v>
      </c>
      <c r="J249" t="n">
        <v>0</v>
      </c>
      <c r="K249" t="n">
        <v>0</v>
      </c>
      <c r="L249" t="n">
        <v>0</v>
      </c>
      <c r="M249" t="n">
        <v>0</v>
      </c>
      <c r="N249" t="n">
        <v>0</v>
      </c>
      <c r="O249" t="n">
        <v>0</v>
      </c>
      <c r="P249" t="n">
        <v>0</v>
      </c>
      <c r="Q249" t="n">
        <v>0</v>
      </c>
      <c r="R249" s="2" t="inlineStr"/>
    </row>
    <row r="250" ht="15" customHeight="1">
      <c r="A250" t="inlineStr">
        <is>
          <t>A 38649-2025</t>
        </is>
      </c>
      <c r="B250" s="1" t="n">
        <v>45884</v>
      </c>
      <c r="C250" s="1" t="n">
        <v>46134</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61078-2025</t>
        </is>
      </c>
      <c r="B251" s="1" t="n">
        <v>46000</v>
      </c>
      <c r="C251" s="1" t="n">
        <v>46134</v>
      </c>
      <c r="D251" t="inlineStr">
        <is>
          <t>GOTLANDS LÄN</t>
        </is>
      </c>
      <c r="E251" t="inlineStr">
        <is>
          <t>GOTLAND</t>
        </is>
      </c>
      <c r="G251" t="n">
        <v>0.7</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46134</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36-2026</t>
        </is>
      </c>
      <c r="B253" s="1" t="n">
        <v>46024.38886574074</v>
      </c>
      <c r="C253" s="1" t="n">
        <v>46134</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5462-2025</t>
        </is>
      </c>
      <c r="B254" s="1" t="n">
        <v>45693.29331018519</v>
      </c>
      <c r="C254" s="1" t="n">
        <v>46134</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62674-2025</t>
        </is>
      </c>
      <c r="B255" s="1" t="n">
        <v>46008</v>
      </c>
      <c r="C255" s="1" t="n">
        <v>46134</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18993-2025</t>
        </is>
      </c>
      <c r="B256" s="1" t="n">
        <v>45764</v>
      </c>
      <c r="C256" s="1" t="n">
        <v>46134</v>
      </c>
      <c r="D256" t="inlineStr">
        <is>
          <t>GOTLANDS LÄN</t>
        </is>
      </c>
      <c r="E256" t="inlineStr">
        <is>
          <t>GOTLAND</t>
        </is>
      </c>
      <c r="G256" t="n">
        <v>3</v>
      </c>
      <c r="H256" t="n">
        <v>0</v>
      </c>
      <c r="I256" t="n">
        <v>0</v>
      </c>
      <c r="J256" t="n">
        <v>0</v>
      </c>
      <c r="K256" t="n">
        <v>0</v>
      </c>
      <c r="L256" t="n">
        <v>0</v>
      </c>
      <c r="M256" t="n">
        <v>0</v>
      </c>
      <c r="N256" t="n">
        <v>0</v>
      </c>
      <c r="O256" t="n">
        <v>0</v>
      </c>
      <c r="P256" t="n">
        <v>0</v>
      </c>
      <c r="Q256" t="n">
        <v>0</v>
      </c>
      <c r="R256" s="2" t="inlineStr"/>
    </row>
    <row r="257" ht="15" customHeight="1">
      <c r="A257" t="inlineStr">
        <is>
          <t>A 6099-2024</t>
        </is>
      </c>
      <c r="B257" s="1" t="n">
        <v>45337</v>
      </c>
      <c r="C257" s="1" t="n">
        <v>46134</v>
      </c>
      <c r="D257" t="inlineStr">
        <is>
          <t>GOTLANDS LÄN</t>
        </is>
      </c>
      <c r="E257" t="inlineStr">
        <is>
          <t>GOTLAND</t>
        </is>
      </c>
      <c r="G257" t="n">
        <v>12.6</v>
      </c>
      <c r="H257" t="n">
        <v>0</v>
      </c>
      <c r="I257" t="n">
        <v>0</v>
      </c>
      <c r="J257" t="n">
        <v>0</v>
      </c>
      <c r="K257" t="n">
        <v>0</v>
      </c>
      <c r="L257" t="n">
        <v>0</v>
      </c>
      <c r="M257" t="n">
        <v>0</v>
      </c>
      <c r="N257" t="n">
        <v>0</v>
      </c>
      <c r="O257" t="n">
        <v>0</v>
      </c>
      <c r="P257" t="n">
        <v>0</v>
      </c>
      <c r="Q257" t="n">
        <v>0</v>
      </c>
      <c r="R257" s="2" t="inlineStr"/>
    </row>
    <row r="258" ht="15" customHeight="1">
      <c r="A258" t="inlineStr">
        <is>
          <t>A 1273-2023</t>
        </is>
      </c>
      <c r="B258" s="1" t="n">
        <v>44936</v>
      </c>
      <c r="C258" s="1" t="n">
        <v>46134</v>
      </c>
      <c r="D258" t="inlineStr">
        <is>
          <t>GOTLANDS LÄN</t>
        </is>
      </c>
      <c r="E258" t="inlineStr">
        <is>
          <t>GOTLAND</t>
        </is>
      </c>
      <c r="G258" t="n">
        <v>4.5</v>
      </c>
      <c r="H258" t="n">
        <v>0</v>
      </c>
      <c r="I258" t="n">
        <v>0</v>
      </c>
      <c r="J258" t="n">
        <v>0</v>
      </c>
      <c r="K258" t="n">
        <v>0</v>
      </c>
      <c r="L258" t="n">
        <v>0</v>
      </c>
      <c r="M258" t="n">
        <v>0</v>
      </c>
      <c r="N258" t="n">
        <v>0</v>
      </c>
      <c r="O258" t="n">
        <v>0</v>
      </c>
      <c r="P258" t="n">
        <v>0</v>
      </c>
      <c r="Q258" t="n">
        <v>0</v>
      </c>
      <c r="R258" s="2" t="inlineStr"/>
    </row>
    <row r="259" ht="15" customHeight="1">
      <c r="A259" t="inlineStr">
        <is>
          <t>A 25796-2025</t>
        </is>
      </c>
      <c r="B259" s="1" t="n">
        <v>45804.39543981481</v>
      </c>
      <c r="C259" s="1" t="n">
        <v>46134</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30135-2025</t>
        </is>
      </c>
      <c r="B260" s="1" t="n">
        <v>45826</v>
      </c>
      <c r="C260" s="1" t="n">
        <v>46134</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12599-2025</t>
        </is>
      </c>
      <c r="B261" s="1" t="n">
        <v>45733.29546296296</v>
      </c>
      <c r="C261" s="1" t="n">
        <v>46134</v>
      </c>
      <c r="D261" t="inlineStr">
        <is>
          <t>GOTLANDS LÄN</t>
        </is>
      </c>
      <c r="E261" t="inlineStr">
        <is>
          <t>GOTLAND</t>
        </is>
      </c>
      <c r="G261" t="n">
        <v>4.7</v>
      </c>
      <c r="H261" t="n">
        <v>0</v>
      </c>
      <c r="I261" t="n">
        <v>0</v>
      </c>
      <c r="J261" t="n">
        <v>0</v>
      </c>
      <c r="K261" t="n">
        <v>0</v>
      </c>
      <c r="L261" t="n">
        <v>0</v>
      </c>
      <c r="M261" t="n">
        <v>0</v>
      </c>
      <c r="N261" t="n">
        <v>0</v>
      </c>
      <c r="O261" t="n">
        <v>0</v>
      </c>
      <c r="P261" t="n">
        <v>0</v>
      </c>
      <c r="Q261" t="n">
        <v>0</v>
      </c>
      <c r="R261" s="2" t="inlineStr"/>
    </row>
    <row r="262" ht="15" customHeight="1">
      <c r="A262" t="inlineStr">
        <is>
          <t>A 58780-2024</t>
        </is>
      </c>
      <c r="B262" s="1" t="n">
        <v>45635.84113425926</v>
      </c>
      <c r="C262" s="1" t="n">
        <v>46134</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35141-2025</t>
        </is>
      </c>
      <c r="B263" s="1" t="n">
        <v>45852.65206018519</v>
      </c>
      <c r="C263" s="1" t="n">
        <v>46134</v>
      </c>
      <c r="D263" t="inlineStr">
        <is>
          <t>GOTLANDS LÄN</t>
        </is>
      </c>
      <c r="E263" t="inlineStr">
        <is>
          <t>GOTLAND</t>
        </is>
      </c>
      <c r="G263" t="n">
        <v>1</v>
      </c>
      <c r="H263" t="n">
        <v>0</v>
      </c>
      <c r="I263" t="n">
        <v>0</v>
      </c>
      <c r="J263" t="n">
        <v>0</v>
      </c>
      <c r="K263" t="n">
        <v>0</v>
      </c>
      <c r="L263" t="n">
        <v>0</v>
      </c>
      <c r="M263" t="n">
        <v>0</v>
      </c>
      <c r="N263" t="n">
        <v>0</v>
      </c>
      <c r="O263" t="n">
        <v>0</v>
      </c>
      <c r="P263" t="n">
        <v>0</v>
      </c>
      <c r="Q263" t="n">
        <v>0</v>
      </c>
      <c r="R263" s="2" t="inlineStr"/>
    </row>
    <row r="264" ht="15" customHeight="1">
      <c r="A264" t="inlineStr">
        <is>
          <t>A 35142-2025</t>
        </is>
      </c>
      <c r="B264" s="1" t="n">
        <v>45852.65532407408</v>
      </c>
      <c r="C264" s="1" t="n">
        <v>46134</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45692-2023</t>
        </is>
      </c>
      <c r="B265" s="1" t="n">
        <v>45195</v>
      </c>
      <c r="C265" s="1" t="n">
        <v>46134</v>
      </c>
      <c r="D265" t="inlineStr">
        <is>
          <t>GOTLANDS LÄN</t>
        </is>
      </c>
      <c r="E265" t="inlineStr">
        <is>
          <t>GOTLAND</t>
        </is>
      </c>
      <c r="G265" t="n">
        <v>5.3</v>
      </c>
      <c r="H265" t="n">
        <v>0</v>
      </c>
      <c r="I265" t="n">
        <v>0</v>
      </c>
      <c r="J265" t="n">
        <v>0</v>
      </c>
      <c r="K265" t="n">
        <v>0</v>
      </c>
      <c r="L265" t="n">
        <v>0</v>
      </c>
      <c r="M265" t="n">
        <v>0</v>
      </c>
      <c r="N265" t="n">
        <v>0</v>
      </c>
      <c r="O265" t="n">
        <v>0</v>
      </c>
      <c r="P265" t="n">
        <v>0</v>
      </c>
      <c r="Q265" t="n">
        <v>0</v>
      </c>
      <c r="R265" s="2" t="inlineStr"/>
    </row>
    <row r="266" ht="15" customHeight="1">
      <c r="A266" t="inlineStr">
        <is>
          <t>A 33876-2024</t>
        </is>
      </c>
      <c r="B266" s="1" t="n">
        <v>45521.87988425926</v>
      </c>
      <c r="C266" s="1" t="n">
        <v>46134</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28285-2024</t>
        </is>
      </c>
      <c r="B267" s="1" t="n">
        <v>45477</v>
      </c>
      <c r="C267" s="1" t="n">
        <v>46134</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61100-2022</t>
        </is>
      </c>
      <c r="B268" s="1" t="n">
        <v>44915</v>
      </c>
      <c r="C268" s="1" t="n">
        <v>46134</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46134</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61682-2024</t>
        </is>
      </c>
      <c r="B270" s="1" t="n">
        <v>45647.48824074074</v>
      </c>
      <c r="C270" s="1" t="n">
        <v>46134</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39814-2025</t>
        </is>
      </c>
      <c r="B271" s="1" t="n">
        <v>45891.52694444444</v>
      </c>
      <c r="C271" s="1" t="n">
        <v>46134</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39849-2025</t>
        </is>
      </c>
      <c r="B272" s="1" t="n">
        <v>45891.58502314815</v>
      </c>
      <c r="C272" s="1" t="n">
        <v>46134</v>
      </c>
      <c r="D272" t="inlineStr">
        <is>
          <t>GOTLANDS LÄN</t>
        </is>
      </c>
      <c r="E272" t="inlineStr">
        <is>
          <t>GOTLAND</t>
        </is>
      </c>
      <c r="G272" t="n">
        <v>6.1</v>
      </c>
      <c r="H272" t="n">
        <v>0</v>
      </c>
      <c r="I272" t="n">
        <v>0</v>
      </c>
      <c r="J272" t="n">
        <v>0</v>
      </c>
      <c r="K272" t="n">
        <v>0</v>
      </c>
      <c r="L272" t="n">
        <v>0</v>
      </c>
      <c r="M272" t="n">
        <v>0</v>
      </c>
      <c r="N272" t="n">
        <v>0</v>
      </c>
      <c r="O272" t="n">
        <v>0</v>
      </c>
      <c r="P272" t="n">
        <v>0</v>
      </c>
      <c r="Q272" t="n">
        <v>0</v>
      </c>
      <c r="R272" s="2" t="inlineStr"/>
    </row>
    <row r="273" ht="15" customHeight="1">
      <c r="A273" t="inlineStr">
        <is>
          <t>A 26457-2025</t>
        </is>
      </c>
      <c r="B273" s="1" t="n">
        <v>45807.42773148148</v>
      </c>
      <c r="C273" s="1" t="n">
        <v>46134</v>
      </c>
      <c r="D273" t="inlineStr">
        <is>
          <t>GOTLANDS LÄN</t>
        </is>
      </c>
      <c r="E273" t="inlineStr">
        <is>
          <t>GOTLAND</t>
        </is>
      </c>
      <c r="G273" t="n">
        <v>5.7</v>
      </c>
      <c r="H273" t="n">
        <v>0</v>
      </c>
      <c r="I273" t="n">
        <v>0</v>
      </c>
      <c r="J273" t="n">
        <v>0</v>
      </c>
      <c r="K273" t="n">
        <v>0</v>
      </c>
      <c r="L273" t="n">
        <v>0</v>
      </c>
      <c r="M273" t="n">
        <v>0</v>
      </c>
      <c r="N273" t="n">
        <v>0</v>
      </c>
      <c r="O273" t="n">
        <v>0</v>
      </c>
      <c r="P273" t="n">
        <v>0</v>
      </c>
      <c r="Q273" t="n">
        <v>0</v>
      </c>
      <c r="R273" s="2" t="inlineStr"/>
    </row>
    <row r="274" ht="15" customHeight="1">
      <c r="A274" t="inlineStr">
        <is>
          <t>A 26467-2025</t>
        </is>
      </c>
      <c r="B274" s="1" t="n">
        <v>45807.44640046296</v>
      </c>
      <c r="C274" s="1" t="n">
        <v>46134</v>
      </c>
      <c r="D274" t="inlineStr">
        <is>
          <t>GOTLANDS LÄN</t>
        </is>
      </c>
      <c r="E274" t="inlineStr">
        <is>
          <t>GOTLAND</t>
        </is>
      </c>
      <c r="G274" t="n">
        <v>0.7</v>
      </c>
      <c r="H274" t="n">
        <v>0</v>
      </c>
      <c r="I274" t="n">
        <v>0</v>
      </c>
      <c r="J274" t="n">
        <v>0</v>
      </c>
      <c r="K274" t="n">
        <v>0</v>
      </c>
      <c r="L274" t="n">
        <v>0</v>
      </c>
      <c r="M274" t="n">
        <v>0</v>
      </c>
      <c r="N274" t="n">
        <v>0</v>
      </c>
      <c r="O274" t="n">
        <v>0</v>
      </c>
      <c r="P274" t="n">
        <v>0</v>
      </c>
      <c r="Q274" t="n">
        <v>0</v>
      </c>
      <c r="R274" s="2" t="inlineStr"/>
    </row>
    <row r="275" ht="15" customHeight="1">
      <c r="A275" t="inlineStr">
        <is>
          <t>A 26465-2025</t>
        </is>
      </c>
      <c r="B275" s="1" t="n">
        <v>45807.44377314814</v>
      </c>
      <c r="C275" s="1" t="n">
        <v>46134</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46134</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26660-2025</t>
        </is>
      </c>
      <c r="B277" s="1" t="n">
        <v>45810.39737268518</v>
      </c>
      <c r="C277" s="1" t="n">
        <v>46134</v>
      </c>
      <c r="D277" t="inlineStr">
        <is>
          <t>GOTLANDS LÄN</t>
        </is>
      </c>
      <c r="E277" t="inlineStr">
        <is>
          <t>GOTLAND</t>
        </is>
      </c>
      <c r="G277" t="n">
        <v>1.8</v>
      </c>
      <c r="H277" t="n">
        <v>0</v>
      </c>
      <c r="I277" t="n">
        <v>0</v>
      </c>
      <c r="J277" t="n">
        <v>0</v>
      </c>
      <c r="K277" t="n">
        <v>0</v>
      </c>
      <c r="L277" t="n">
        <v>0</v>
      </c>
      <c r="M277" t="n">
        <v>0</v>
      </c>
      <c r="N277" t="n">
        <v>0</v>
      </c>
      <c r="O277" t="n">
        <v>0</v>
      </c>
      <c r="P277" t="n">
        <v>0</v>
      </c>
      <c r="Q277" t="n">
        <v>0</v>
      </c>
      <c r="R277" s="2" t="inlineStr"/>
    </row>
    <row r="278" ht="15" customHeight="1">
      <c r="A278" t="inlineStr">
        <is>
          <t>A 39816-2025</t>
        </is>
      </c>
      <c r="B278" s="1" t="n">
        <v>45891</v>
      </c>
      <c r="C278" s="1" t="n">
        <v>46134</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40103-2025</t>
        </is>
      </c>
      <c r="B279" s="1" t="n">
        <v>45894.4880324074</v>
      </c>
      <c r="C279" s="1" t="n">
        <v>46134</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40373-2025</t>
        </is>
      </c>
      <c r="B280" s="1" t="n">
        <v>45895.51821759259</v>
      </c>
      <c r="C280" s="1" t="n">
        <v>46134</v>
      </c>
      <c r="D280" t="inlineStr">
        <is>
          <t>GOTLANDS LÄN</t>
        </is>
      </c>
      <c r="E280" t="inlineStr">
        <is>
          <t>GOTLAND</t>
        </is>
      </c>
      <c r="G280" t="n">
        <v>0.6</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46134</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40372-2025</t>
        </is>
      </c>
      <c r="B282" s="1" t="n">
        <v>45895.5162037037</v>
      </c>
      <c r="C282" s="1" t="n">
        <v>46134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39278-2025</t>
        </is>
      </c>
      <c r="B283" s="1" t="n">
        <v>45889</v>
      </c>
      <c r="C283" s="1" t="n">
        <v>46134</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27371-2025</t>
        </is>
      </c>
      <c r="B284" s="1" t="n">
        <v>45812</v>
      </c>
      <c r="C284" s="1" t="n">
        <v>46134</v>
      </c>
      <c r="D284" t="inlineStr">
        <is>
          <t>GOTLANDS LÄN</t>
        </is>
      </c>
      <c r="E284" t="inlineStr">
        <is>
          <t>GOTLAND</t>
        </is>
      </c>
      <c r="G284" t="n">
        <v>8</v>
      </c>
      <c r="H284" t="n">
        <v>0</v>
      </c>
      <c r="I284" t="n">
        <v>0</v>
      </c>
      <c r="J284" t="n">
        <v>0</v>
      </c>
      <c r="K284" t="n">
        <v>0</v>
      </c>
      <c r="L284" t="n">
        <v>0</v>
      </c>
      <c r="M284" t="n">
        <v>0</v>
      </c>
      <c r="N284" t="n">
        <v>0</v>
      </c>
      <c r="O284" t="n">
        <v>0</v>
      </c>
      <c r="P284" t="n">
        <v>0</v>
      </c>
      <c r="Q284" t="n">
        <v>0</v>
      </c>
      <c r="R284" s="2" t="inlineStr"/>
    </row>
    <row r="285" ht="15" customHeight="1">
      <c r="A285" t="inlineStr">
        <is>
          <t>A 27355-2025</t>
        </is>
      </c>
      <c r="B285" s="1" t="n">
        <v>45812</v>
      </c>
      <c r="C285" s="1" t="n">
        <v>46134</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58388-2022</t>
        </is>
      </c>
      <c r="B286" s="1" t="n">
        <v>44894</v>
      </c>
      <c r="C286" s="1" t="n">
        <v>46134</v>
      </c>
      <c r="D286" t="inlineStr">
        <is>
          <t>GOTLANDS LÄN</t>
        </is>
      </c>
      <c r="E286" t="inlineStr">
        <is>
          <t>GOTLAND</t>
        </is>
      </c>
      <c r="F286" t="inlineStr">
        <is>
          <t>Övriga statliga verk och myndigheter</t>
        </is>
      </c>
      <c r="G286" t="n">
        <v>3.1</v>
      </c>
      <c r="H286" t="n">
        <v>0</v>
      </c>
      <c r="I286" t="n">
        <v>0</v>
      </c>
      <c r="J286" t="n">
        <v>0</v>
      </c>
      <c r="K286" t="n">
        <v>0</v>
      </c>
      <c r="L286" t="n">
        <v>0</v>
      </c>
      <c r="M286" t="n">
        <v>0</v>
      </c>
      <c r="N286" t="n">
        <v>0</v>
      </c>
      <c r="O286" t="n">
        <v>0</v>
      </c>
      <c r="P286" t="n">
        <v>0</v>
      </c>
      <c r="Q286" t="n">
        <v>0</v>
      </c>
      <c r="R286" s="2" t="inlineStr"/>
    </row>
    <row r="287" ht="15" customHeight="1">
      <c r="A287" t="inlineStr">
        <is>
          <t>A 6739-2025</t>
        </is>
      </c>
      <c r="B287" s="1" t="n">
        <v>45700</v>
      </c>
      <c r="C287" s="1" t="n">
        <v>46134</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7850-2025</t>
        </is>
      </c>
      <c r="B288" s="1" t="n">
        <v>45706</v>
      </c>
      <c r="C288" s="1" t="n">
        <v>46134</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21792-2024</t>
        </is>
      </c>
      <c r="B289" s="1" t="n">
        <v>45442.64326388889</v>
      </c>
      <c r="C289" s="1" t="n">
        <v>46134</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8444-2025</t>
        </is>
      </c>
      <c r="B290" s="1" t="n">
        <v>45709</v>
      </c>
      <c r="C290" s="1" t="n">
        <v>46134</v>
      </c>
      <c r="D290" t="inlineStr">
        <is>
          <t>GOTLANDS LÄN</t>
        </is>
      </c>
      <c r="E290" t="inlineStr">
        <is>
          <t>GOTLAND</t>
        </is>
      </c>
      <c r="G290" t="n">
        <v>5.2</v>
      </c>
      <c r="H290" t="n">
        <v>0</v>
      </c>
      <c r="I290" t="n">
        <v>0</v>
      </c>
      <c r="J290" t="n">
        <v>0</v>
      </c>
      <c r="K290" t="n">
        <v>0</v>
      </c>
      <c r="L290" t="n">
        <v>0</v>
      </c>
      <c r="M290" t="n">
        <v>0</v>
      </c>
      <c r="N290" t="n">
        <v>0</v>
      </c>
      <c r="O290" t="n">
        <v>0</v>
      </c>
      <c r="P290" t="n">
        <v>0</v>
      </c>
      <c r="Q290" t="n">
        <v>0</v>
      </c>
      <c r="R290" s="2" t="inlineStr"/>
    </row>
    <row r="291" ht="15" customHeight="1">
      <c r="A291" t="inlineStr">
        <is>
          <t>A 1355-2026</t>
        </is>
      </c>
      <c r="B291" s="1" t="n">
        <v>46031.59909722222</v>
      </c>
      <c r="C291" s="1" t="n">
        <v>46134</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41435-2025</t>
        </is>
      </c>
      <c r="B292" s="1" t="n">
        <v>45901.39974537037</v>
      </c>
      <c r="C292" s="1" t="n">
        <v>46134</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17688-2024</t>
        </is>
      </c>
      <c r="B293" s="1" t="n">
        <v>45418.43575231481</v>
      </c>
      <c r="C293" s="1" t="n">
        <v>46134</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7837-2024</t>
        </is>
      </c>
      <c r="B294" s="1" t="n">
        <v>45349.83787037037</v>
      </c>
      <c r="C294" s="1" t="n">
        <v>46134</v>
      </c>
      <c r="D294" t="inlineStr">
        <is>
          <t>GOTLANDS LÄN</t>
        </is>
      </c>
      <c r="E294" t="inlineStr">
        <is>
          <t>GOTLAND</t>
        </is>
      </c>
      <c r="G294" t="n">
        <v>5</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46134</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19905-2025</t>
        </is>
      </c>
      <c r="B296" s="1" t="n">
        <v>45771</v>
      </c>
      <c r="C296" s="1" t="n">
        <v>46134</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29196-2025</t>
        </is>
      </c>
      <c r="B297" s="1" t="n">
        <v>45822</v>
      </c>
      <c r="C297" s="1" t="n">
        <v>46134</v>
      </c>
      <c r="D297" t="inlineStr">
        <is>
          <t>GOTLANDS LÄN</t>
        </is>
      </c>
      <c r="E297" t="inlineStr">
        <is>
          <t>GOTLAND</t>
        </is>
      </c>
      <c r="G297" t="n">
        <v>0.5</v>
      </c>
      <c r="H297" t="n">
        <v>0</v>
      </c>
      <c r="I297" t="n">
        <v>0</v>
      </c>
      <c r="J297" t="n">
        <v>0</v>
      </c>
      <c r="K297" t="n">
        <v>0</v>
      </c>
      <c r="L297" t="n">
        <v>0</v>
      </c>
      <c r="M297" t="n">
        <v>0</v>
      </c>
      <c r="N297" t="n">
        <v>0</v>
      </c>
      <c r="O297" t="n">
        <v>0</v>
      </c>
      <c r="P297" t="n">
        <v>0</v>
      </c>
      <c r="Q297" t="n">
        <v>0</v>
      </c>
      <c r="R297" s="2" t="inlineStr"/>
    </row>
    <row r="298" ht="15" customHeight="1">
      <c r="A298" t="inlineStr">
        <is>
          <t>A 4568-2025</t>
        </is>
      </c>
      <c r="B298" s="1" t="n">
        <v>45687</v>
      </c>
      <c r="C298" s="1" t="n">
        <v>46134</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29207-2025</t>
        </is>
      </c>
      <c r="B299" s="1" t="n">
        <v>45823</v>
      </c>
      <c r="C299" s="1" t="n">
        <v>46134</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42608-2025</t>
        </is>
      </c>
      <c r="B300" s="1" t="n">
        <v>45905</v>
      </c>
      <c r="C300" s="1" t="n">
        <v>46134</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30061-2025</t>
        </is>
      </c>
      <c r="B301" s="1" t="n">
        <v>45826.61488425926</v>
      </c>
      <c r="C301" s="1" t="n">
        <v>46134</v>
      </c>
      <c r="D301" t="inlineStr">
        <is>
          <t>GOTLANDS LÄN</t>
        </is>
      </c>
      <c r="E301" t="inlineStr">
        <is>
          <t>GOTLAND</t>
        </is>
      </c>
      <c r="G301" t="n">
        <v>4.1</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46134</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5905-2024</t>
        </is>
      </c>
      <c r="B303" s="1" t="n">
        <v>45335.88993055555</v>
      </c>
      <c r="C303" s="1" t="n">
        <v>46134</v>
      </c>
      <c r="D303" t="inlineStr">
        <is>
          <t>GOTLANDS LÄN</t>
        </is>
      </c>
      <c r="E303" t="inlineStr">
        <is>
          <t>GOTLAND</t>
        </is>
      </c>
      <c r="G303" t="n">
        <v>3</v>
      </c>
      <c r="H303" t="n">
        <v>0</v>
      </c>
      <c r="I303" t="n">
        <v>0</v>
      </c>
      <c r="J303" t="n">
        <v>0</v>
      </c>
      <c r="K303" t="n">
        <v>0</v>
      </c>
      <c r="L303" t="n">
        <v>0</v>
      </c>
      <c r="M303" t="n">
        <v>0</v>
      </c>
      <c r="N303" t="n">
        <v>0</v>
      </c>
      <c r="O303" t="n">
        <v>0</v>
      </c>
      <c r="P303" t="n">
        <v>0</v>
      </c>
      <c r="Q303" t="n">
        <v>0</v>
      </c>
      <c r="R303" s="2" t="inlineStr"/>
    </row>
    <row r="304" ht="15" customHeight="1">
      <c r="A304" t="inlineStr">
        <is>
          <t>A 58160-2024</t>
        </is>
      </c>
      <c r="B304" s="1" t="n">
        <v>45632.44927083333</v>
      </c>
      <c r="C304" s="1" t="n">
        <v>46134</v>
      </c>
      <c r="D304" t="inlineStr">
        <is>
          <t>GOTLANDS LÄN</t>
        </is>
      </c>
      <c r="E304" t="inlineStr">
        <is>
          <t>GOTLAND</t>
        </is>
      </c>
      <c r="G304" t="n">
        <v>5.6</v>
      </c>
      <c r="H304" t="n">
        <v>0</v>
      </c>
      <c r="I304" t="n">
        <v>0</v>
      </c>
      <c r="J304" t="n">
        <v>0</v>
      </c>
      <c r="K304" t="n">
        <v>0</v>
      </c>
      <c r="L304" t="n">
        <v>0</v>
      </c>
      <c r="M304" t="n">
        <v>0</v>
      </c>
      <c r="N304" t="n">
        <v>0</v>
      </c>
      <c r="O304" t="n">
        <v>0</v>
      </c>
      <c r="P304" t="n">
        <v>0</v>
      </c>
      <c r="Q304" t="n">
        <v>0</v>
      </c>
      <c r="R304" s="2" t="inlineStr"/>
    </row>
    <row r="305" ht="15" customHeight="1">
      <c r="A305" t="inlineStr">
        <is>
          <t>A 16373-2025</t>
        </is>
      </c>
      <c r="B305" s="1" t="n">
        <v>45751</v>
      </c>
      <c r="C305" s="1" t="n">
        <v>46134</v>
      </c>
      <c r="D305" t="inlineStr">
        <is>
          <t>GOTLANDS LÄN</t>
        </is>
      </c>
      <c r="E305" t="inlineStr">
        <is>
          <t>GOTLAND</t>
        </is>
      </c>
      <c r="G305" t="n">
        <v>1.5</v>
      </c>
      <c r="H305" t="n">
        <v>0</v>
      </c>
      <c r="I305" t="n">
        <v>0</v>
      </c>
      <c r="J305" t="n">
        <v>0</v>
      </c>
      <c r="K305" t="n">
        <v>0</v>
      </c>
      <c r="L305" t="n">
        <v>0</v>
      </c>
      <c r="M305" t="n">
        <v>0</v>
      </c>
      <c r="N305" t="n">
        <v>0</v>
      </c>
      <c r="O305" t="n">
        <v>0</v>
      </c>
      <c r="P305" t="n">
        <v>0</v>
      </c>
      <c r="Q305" t="n">
        <v>0</v>
      </c>
      <c r="R305" s="2" t="inlineStr"/>
    </row>
    <row r="306" ht="15" customHeight="1">
      <c r="A306" t="inlineStr">
        <is>
          <t>A 1291-2023</t>
        </is>
      </c>
      <c r="B306" s="1" t="n">
        <v>44936.47561342592</v>
      </c>
      <c r="C306" s="1" t="n">
        <v>46134</v>
      </c>
      <c r="D306" t="inlineStr">
        <is>
          <t>GOTLANDS LÄN</t>
        </is>
      </c>
      <c r="E306" t="inlineStr">
        <is>
          <t>GOTLAND</t>
        </is>
      </c>
      <c r="G306" t="n">
        <v>7.4</v>
      </c>
      <c r="H306" t="n">
        <v>0</v>
      </c>
      <c r="I306" t="n">
        <v>0</v>
      </c>
      <c r="J306" t="n">
        <v>0</v>
      </c>
      <c r="K306" t="n">
        <v>0</v>
      </c>
      <c r="L306" t="n">
        <v>0</v>
      </c>
      <c r="M306" t="n">
        <v>0</v>
      </c>
      <c r="N306" t="n">
        <v>0</v>
      </c>
      <c r="O306" t="n">
        <v>0</v>
      </c>
      <c r="P306" t="n">
        <v>0</v>
      </c>
      <c r="Q306" t="n">
        <v>0</v>
      </c>
      <c r="R306" s="2" t="inlineStr"/>
    </row>
    <row r="307" ht="15" customHeight="1">
      <c r="A307" t="inlineStr">
        <is>
          <t>A 1898-2026</t>
        </is>
      </c>
      <c r="B307" s="1" t="n">
        <v>46035.52024305556</v>
      </c>
      <c r="C307" s="1" t="n">
        <v>46134</v>
      </c>
      <c r="D307" t="inlineStr">
        <is>
          <t>GOTLANDS LÄN</t>
        </is>
      </c>
      <c r="E307" t="inlineStr">
        <is>
          <t>GOTLAND</t>
        </is>
      </c>
      <c r="G307" t="n">
        <v>3.7</v>
      </c>
      <c r="H307" t="n">
        <v>0</v>
      </c>
      <c r="I307" t="n">
        <v>0</v>
      </c>
      <c r="J307" t="n">
        <v>0</v>
      </c>
      <c r="K307" t="n">
        <v>0</v>
      </c>
      <c r="L307" t="n">
        <v>0</v>
      </c>
      <c r="M307" t="n">
        <v>0</v>
      </c>
      <c r="N307" t="n">
        <v>0</v>
      </c>
      <c r="O307" t="n">
        <v>0</v>
      </c>
      <c r="P307" t="n">
        <v>0</v>
      </c>
      <c r="Q307" t="n">
        <v>0</v>
      </c>
      <c r="R307" s="2" t="inlineStr"/>
    </row>
    <row r="308" ht="15" customHeight="1">
      <c r="A308" t="inlineStr">
        <is>
          <t>A 57652-2023</t>
        </is>
      </c>
      <c r="B308" s="1" t="n">
        <v>45246</v>
      </c>
      <c r="C308" s="1" t="n">
        <v>46134</v>
      </c>
      <c r="D308" t="inlineStr">
        <is>
          <t>GOTLANDS LÄN</t>
        </is>
      </c>
      <c r="E308" t="inlineStr">
        <is>
          <t>GOTLAND</t>
        </is>
      </c>
      <c r="G308" t="n">
        <v>7.2</v>
      </c>
      <c r="H308" t="n">
        <v>0</v>
      </c>
      <c r="I308" t="n">
        <v>0</v>
      </c>
      <c r="J308" t="n">
        <v>0</v>
      </c>
      <c r="K308" t="n">
        <v>0</v>
      </c>
      <c r="L308" t="n">
        <v>0</v>
      </c>
      <c r="M308" t="n">
        <v>0</v>
      </c>
      <c r="N308" t="n">
        <v>0</v>
      </c>
      <c r="O308" t="n">
        <v>0</v>
      </c>
      <c r="P308" t="n">
        <v>0</v>
      </c>
      <c r="Q308" t="n">
        <v>0</v>
      </c>
      <c r="R308" s="2" t="inlineStr"/>
    </row>
    <row r="309" ht="15" customHeight="1">
      <c r="A309" t="inlineStr">
        <is>
          <t>A 10158-2025</t>
        </is>
      </c>
      <c r="B309" s="1" t="n">
        <v>45719</v>
      </c>
      <c r="C309" s="1" t="n">
        <v>46134</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49315-2024</t>
        </is>
      </c>
      <c r="B310" s="1" t="n">
        <v>45595</v>
      </c>
      <c r="C310" s="1" t="n">
        <v>46134</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45106-2024</t>
        </is>
      </c>
      <c r="B311" s="1" t="n">
        <v>45575</v>
      </c>
      <c r="C311" s="1" t="n">
        <v>46134</v>
      </c>
      <c r="D311" t="inlineStr">
        <is>
          <t>GOTLANDS LÄN</t>
        </is>
      </c>
      <c r="E311" t="inlineStr">
        <is>
          <t>GOTLAND</t>
        </is>
      </c>
      <c r="G311" t="n">
        <v>10</v>
      </c>
      <c r="H311" t="n">
        <v>0</v>
      </c>
      <c r="I311" t="n">
        <v>0</v>
      </c>
      <c r="J311" t="n">
        <v>0</v>
      </c>
      <c r="K311" t="n">
        <v>0</v>
      </c>
      <c r="L311" t="n">
        <v>0</v>
      </c>
      <c r="M311" t="n">
        <v>0</v>
      </c>
      <c r="N311" t="n">
        <v>0</v>
      </c>
      <c r="O311" t="n">
        <v>0</v>
      </c>
      <c r="P311" t="n">
        <v>0</v>
      </c>
      <c r="Q311" t="n">
        <v>0</v>
      </c>
      <c r="R311" s="2" t="inlineStr"/>
    </row>
    <row r="312" ht="15" customHeight="1">
      <c r="A312" t="inlineStr">
        <is>
          <t>A 45112-2024</t>
        </is>
      </c>
      <c r="B312" s="1" t="n">
        <v>45575</v>
      </c>
      <c r="C312" s="1" t="n">
        <v>46134</v>
      </c>
      <c r="D312" t="inlineStr">
        <is>
          <t>GOTLANDS LÄN</t>
        </is>
      </c>
      <c r="E312" t="inlineStr">
        <is>
          <t>GOTLAND</t>
        </is>
      </c>
      <c r="G312" t="n">
        <v>5.1</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46134</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46134</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2676-2023</t>
        </is>
      </c>
      <c r="B315" s="1" t="n">
        <v>44944</v>
      </c>
      <c r="C315" s="1" t="n">
        <v>46134</v>
      </c>
      <c r="D315" t="inlineStr">
        <is>
          <t>GOTLANDS LÄN</t>
        </is>
      </c>
      <c r="E315" t="inlineStr">
        <is>
          <t>GOTLAND</t>
        </is>
      </c>
      <c r="G315" t="n">
        <v>0.7</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46134</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46134</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3150-2025</t>
        </is>
      </c>
      <c r="B318" s="1" t="n">
        <v>45679.28974537037</v>
      </c>
      <c r="C318" s="1" t="n">
        <v>46134</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8484-2025</t>
        </is>
      </c>
      <c r="B319" s="1" t="n">
        <v>45709</v>
      </c>
      <c r="C319" s="1" t="n">
        <v>46134</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7635-2025</t>
        </is>
      </c>
      <c r="B320" s="1" t="n">
        <v>45705</v>
      </c>
      <c r="C320" s="1" t="n">
        <v>46134</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7636-2025</t>
        </is>
      </c>
      <c r="B321" s="1" t="n">
        <v>45705.7687962963</v>
      </c>
      <c r="C321" s="1" t="n">
        <v>46134</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7639-2025</t>
        </is>
      </c>
      <c r="B322" s="1" t="n">
        <v>45705.77465277778</v>
      </c>
      <c r="C322" s="1" t="n">
        <v>46134</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32379-2025</t>
        </is>
      </c>
      <c r="B323" s="1" t="n">
        <v>45837</v>
      </c>
      <c r="C323" s="1" t="n">
        <v>46134</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46134</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46134</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14141-2024</t>
        </is>
      </c>
      <c r="B326" s="1" t="n">
        <v>45392.85193287037</v>
      </c>
      <c r="C326" s="1" t="n">
        <v>46134</v>
      </c>
      <c r="D326" t="inlineStr">
        <is>
          <t>GOTLANDS LÄN</t>
        </is>
      </c>
      <c r="E326" t="inlineStr">
        <is>
          <t>GOTLAND</t>
        </is>
      </c>
      <c r="G326" t="n">
        <v>5.3</v>
      </c>
      <c r="H326" t="n">
        <v>0</v>
      </c>
      <c r="I326" t="n">
        <v>0</v>
      </c>
      <c r="J326" t="n">
        <v>0</v>
      </c>
      <c r="K326" t="n">
        <v>0</v>
      </c>
      <c r="L326" t="n">
        <v>0</v>
      </c>
      <c r="M326" t="n">
        <v>0</v>
      </c>
      <c r="N326" t="n">
        <v>0</v>
      </c>
      <c r="O326" t="n">
        <v>0</v>
      </c>
      <c r="P326" t="n">
        <v>0</v>
      </c>
      <c r="Q326" t="n">
        <v>0</v>
      </c>
      <c r="R326" s="2" t="inlineStr"/>
    </row>
    <row r="327" ht="15" customHeight="1">
      <c r="A327" t="inlineStr">
        <is>
          <t>A 32467-2025</t>
        </is>
      </c>
      <c r="B327" s="1" t="n">
        <v>45838.42111111111</v>
      </c>
      <c r="C327" s="1" t="n">
        <v>46134</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29809-2022</t>
        </is>
      </c>
      <c r="B328" s="1" t="n">
        <v>44755.8713425926</v>
      </c>
      <c r="C328" s="1" t="n">
        <v>46134</v>
      </c>
      <c r="D328" t="inlineStr">
        <is>
          <t>GOTLANDS LÄN</t>
        </is>
      </c>
      <c r="E328" t="inlineStr">
        <is>
          <t>GOTLAND</t>
        </is>
      </c>
      <c r="G328" t="n">
        <v>11.5</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46134</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33007-2025</t>
        </is>
      </c>
      <c r="B330" s="1" t="n">
        <v>45840</v>
      </c>
      <c r="C330" s="1" t="n">
        <v>46134</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57685-2022</t>
        </is>
      </c>
      <c r="B331" s="1" t="n">
        <v>44897.4777662037</v>
      </c>
      <c r="C331" s="1" t="n">
        <v>46134</v>
      </c>
      <c r="D331" t="inlineStr">
        <is>
          <t>GOTLANDS LÄN</t>
        </is>
      </c>
      <c r="E331" t="inlineStr">
        <is>
          <t>GOTLAND</t>
        </is>
      </c>
      <c r="G331" t="n">
        <v>3.7</v>
      </c>
      <c r="H331" t="n">
        <v>0</v>
      </c>
      <c r="I331" t="n">
        <v>0</v>
      </c>
      <c r="J331" t="n">
        <v>0</v>
      </c>
      <c r="K331" t="n">
        <v>0</v>
      </c>
      <c r="L331" t="n">
        <v>0</v>
      </c>
      <c r="M331" t="n">
        <v>0</v>
      </c>
      <c r="N331" t="n">
        <v>0</v>
      </c>
      <c r="O331" t="n">
        <v>0</v>
      </c>
      <c r="P331" t="n">
        <v>0</v>
      </c>
      <c r="Q331" t="n">
        <v>0</v>
      </c>
      <c r="R331" s="2" t="inlineStr"/>
    </row>
    <row r="332" ht="15" customHeight="1">
      <c r="A332" t="inlineStr">
        <is>
          <t>A 30815-2023</t>
        </is>
      </c>
      <c r="B332" s="1" t="n">
        <v>45112</v>
      </c>
      <c r="C332" s="1" t="n">
        <v>46134</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46134</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7034-2023</t>
        </is>
      </c>
      <c r="B334" s="1" t="n">
        <v>44968.32108796296</v>
      </c>
      <c r="C334" s="1" t="n">
        <v>46134</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7042-2023</t>
        </is>
      </c>
      <c r="B335" s="1" t="n">
        <v>44968</v>
      </c>
      <c r="C335" s="1" t="n">
        <v>46134</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23516-2023</t>
        </is>
      </c>
      <c r="B336" s="1" t="n">
        <v>45076.93391203704</v>
      </c>
      <c r="C336" s="1" t="n">
        <v>46134</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46134</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64660-2023</t>
        </is>
      </c>
      <c r="B338" s="1" t="n">
        <v>45281.60122685185</v>
      </c>
      <c r="C338" s="1" t="n">
        <v>46134</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63763-2023</t>
        </is>
      </c>
      <c r="B339" s="1" t="n">
        <v>45278.33944444444</v>
      </c>
      <c r="C339" s="1" t="n">
        <v>46134</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63229-2021</t>
        </is>
      </c>
      <c r="B340" s="1" t="n">
        <v>44508.34518518519</v>
      </c>
      <c r="C340" s="1" t="n">
        <v>46134</v>
      </c>
      <c r="D340" t="inlineStr">
        <is>
          <t>GOTLANDS LÄN</t>
        </is>
      </c>
      <c r="E340" t="inlineStr">
        <is>
          <t>GOTLAND</t>
        </is>
      </c>
      <c r="F340" t="inlineStr">
        <is>
          <t>Kyrkan</t>
        </is>
      </c>
      <c r="G340" t="n">
        <v>3.8</v>
      </c>
      <c r="H340" t="n">
        <v>0</v>
      </c>
      <c r="I340" t="n">
        <v>0</v>
      </c>
      <c r="J340" t="n">
        <v>0</v>
      </c>
      <c r="K340" t="n">
        <v>0</v>
      </c>
      <c r="L340" t="n">
        <v>0</v>
      </c>
      <c r="M340" t="n">
        <v>0</v>
      </c>
      <c r="N340" t="n">
        <v>0</v>
      </c>
      <c r="O340" t="n">
        <v>0</v>
      </c>
      <c r="P340" t="n">
        <v>0</v>
      </c>
      <c r="Q340" t="n">
        <v>0</v>
      </c>
      <c r="R340" s="2" t="inlineStr"/>
    </row>
    <row r="341" ht="15" customHeight="1">
      <c r="A341" t="inlineStr">
        <is>
          <t>A 15413-2025</t>
        </is>
      </c>
      <c r="B341" s="1" t="n">
        <v>45747.451875</v>
      </c>
      <c r="C341" s="1" t="n">
        <v>46134</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46375-2024</t>
        </is>
      </c>
      <c r="B342" s="1" t="n">
        <v>45582</v>
      </c>
      <c r="C342" s="1" t="n">
        <v>46134</v>
      </c>
      <c r="D342" t="inlineStr">
        <is>
          <t>GOTLANDS LÄN</t>
        </is>
      </c>
      <c r="E342" t="inlineStr">
        <is>
          <t>GOTLAND</t>
        </is>
      </c>
      <c r="G342" t="n">
        <v>3</v>
      </c>
      <c r="H342" t="n">
        <v>0</v>
      </c>
      <c r="I342" t="n">
        <v>0</v>
      </c>
      <c r="J342" t="n">
        <v>0</v>
      </c>
      <c r="K342" t="n">
        <v>0</v>
      </c>
      <c r="L342" t="n">
        <v>0</v>
      </c>
      <c r="M342" t="n">
        <v>0</v>
      </c>
      <c r="N342" t="n">
        <v>0</v>
      </c>
      <c r="O342" t="n">
        <v>0</v>
      </c>
      <c r="P342" t="n">
        <v>0</v>
      </c>
      <c r="Q342" t="n">
        <v>0</v>
      </c>
      <c r="R342" s="2" t="inlineStr"/>
    </row>
    <row r="343" ht="15" customHeight="1">
      <c r="A343" t="inlineStr">
        <is>
          <t>A 2415-2026</t>
        </is>
      </c>
      <c r="B343" s="1" t="n">
        <v>46036.76203703704</v>
      </c>
      <c r="C343" s="1" t="n">
        <v>46134</v>
      </c>
      <c r="D343" t="inlineStr">
        <is>
          <t>GOTLANDS LÄN</t>
        </is>
      </c>
      <c r="E343" t="inlineStr">
        <is>
          <t>GOTLAND</t>
        </is>
      </c>
      <c r="G343" t="n">
        <v>6.9</v>
      </c>
      <c r="H343" t="n">
        <v>0</v>
      </c>
      <c r="I343" t="n">
        <v>0</v>
      </c>
      <c r="J343" t="n">
        <v>0</v>
      </c>
      <c r="K343" t="n">
        <v>0</v>
      </c>
      <c r="L343" t="n">
        <v>0</v>
      </c>
      <c r="M343" t="n">
        <v>0</v>
      </c>
      <c r="N343" t="n">
        <v>0</v>
      </c>
      <c r="O343" t="n">
        <v>0</v>
      </c>
      <c r="P343" t="n">
        <v>0</v>
      </c>
      <c r="Q343" t="n">
        <v>0</v>
      </c>
      <c r="R343" s="2" t="inlineStr"/>
    </row>
    <row r="344" ht="15" customHeight="1">
      <c r="A344" t="inlineStr">
        <is>
          <t>A 35123-2025</t>
        </is>
      </c>
      <c r="B344" s="1" t="n">
        <v>45852.614375</v>
      </c>
      <c r="C344" s="1" t="n">
        <v>46134</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35096-2025</t>
        </is>
      </c>
      <c r="B345" s="1" t="n">
        <v>45852.54356481481</v>
      </c>
      <c r="C345" s="1" t="n">
        <v>46134</v>
      </c>
      <c r="D345" t="inlineStr">
        <is>
          <t>GOTLANDS LÄN</t>
        </is>
      </c>
      <c r="E345" t="inlineStr">
        <is>
          <t>GOTLAND</t>
        </is>
      </c>
      <c r="F345" t="inlineStr">
        <is>
          <t>Kyrkan</t>
        </is>
      </c>
      <c r="G345" t="n">
        <v>1</v>
      </c>
      <c r="H345" t="n">
        <v>0</v>
      </c>
      <c r="I345" t="n">
        <v>0</v>
      </c>
      <c r="J345" t="n">
        <v>0</v>
      </c>
      <c r="K345" t="n">
        <v>0</v>
      </c>
      <c r="L345" t="n">
        <v>0</v>
      </c>
      <c r="M345" t="n">
        <v>0</v>
      </c>
      <c r="N345" t="n">
        <v>0</v>
      </c>
      <c r="O345" t="n">
        <v>0</v>
      </c>
      <c r="P345" t="n">
        <v>0</v>
      </c>
      <c r="Q345" t="n">
        <v>0</v>
      </c>
      <c r="R345" s="2" t="inlineStr"/>
    </row>
    <row r="346" ht="15" customHeight="1">
      <c r="A346" t="inlineStr">
        <is>
          <t>A 3253-2026</t>
        </is>
      </c>
      <c r="B346" s="1" t="n">
        <v>46041.58902777778</v>
      </c>
      <c r="C346" s="1" t="n">
        <v>46134</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47637-2025</t>
        </is>
      </c>
      <c r="B347" s="1" t="n">
        <v>45931.49753472222</v>
      </c>
      <c r="C347" s="1" t="n">
        <v>46134</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30104-2025</t>
        </is>
      </c>
      <c r="B348" s="1" t="n">
        <v>45826.68806712963</v>
      </c>
      <c r="C348" s="1" t="n">
        <v>46134</v>
      </c>
      <c r="D348" t="inlineStr">
        <is>
          <t>GOTLANDS LÄN</t>
        </is>
      </c>
      <c r="E348" t="inlineStr">
        <is>
          <t>GOTLAND</t>
        </is>
      </c>
      <c r="G348" t="n">
        <v>15.4</v>
      </c>
      <c r="H348" t="n">
        <v>0</v>
      </c>
      <c r="I348" t="n">
        <v>0</v>
      </c>
      <c r="J348" t="n">
        <v>0</v>
      </c>
      <c r="K348" t="n">
        <v>0</v>
      </c>
      <c r="L348" t="n">
        <v>0</v>
      </c>
      <c r="M348" t="n">
        <v>0</v>
      </c>
      <c r="N348" t="n">
        <v>0</v>
      </c>
      <c r="O348" t="n">
        <v>0</v>
      </c>
      <c r="P348" t="n">
        <v>0</v>
      </c>
      <c r="Q348" t="n">
        <v>0</v>
      </c>
      <c r="R348" s="2" t="inlineStr"/>
    </row>
    <row r="349" ht="15" customHeight="1">
      <c r="A349" t="inlineStr">
        <is>
          <t>A 35290-2025</t>
        </is>
      </c>
      <c r="B349" s="1" t="n">
        <v>45854.38502314815</v>
      </c>
      <c r="C349" s="1" t="n">
        <v>46134</v>
      </c>
      <c r="D349" t="inlineStr">
        <is>
          <t>GOTLANDS LÄN</t>
        </is>
      </c>
      <c r="E349" t="inlineStr">
        <is>
          <t>GOTLAND</t>
        </is>
      </c>
      <c r="G349" t="n">
        <v>5.4</v>
      </c>
      <c r="H349" t="n">
        <v>0</v>
      </c>
      <c r="I349" t="n">
        <v>0</v>
      </c>
      <c r="J349" t="n">
        <v>0</v>
      </c>
      <c r="K349" t="n">
        <v>0</v>
      </c>
      <c r="L349" t="n">
        <v>0</v>
      </c>
      <c r="M349" t="n">
        <v>0</v>
      </c>
      <c r="N349" t="n">
        <v>0</v>
      </c>
      <c r="O349" t="n">
        <v>0</v>
      </c>
      <c r="P349" t="n">
        <v>0</v>
      </c>
      <c r="Q349" t="n">
        <v>0</v>
      </c>
      <c r="R349" s="2" t="inlineStr"/>
    </row>
    <row r="350" ht="15" customHeight="1">
      <c r="A350" t="inlineStr">
        <is>
          <t>A 32669-2024</t>
        </is>
      </c>
      <c r="B350" s="1" t="n">
        <v>45514</v>
      </c>
      <c r="C350" s="1" t="n">
        <v>46134</v>
      </c>
      <c r="D350" t="inlineStr">
        <is>
          <t>GOTLANDS LÄN</t>
        </is>
      </c>
      <c r="E350" t="inlineStr">
        <is>
          <t>GOTLAND</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35537-2025</t>
        </is>
      </c>
      <c r="B351" s="1" t="n">
        <v>45856</v>
      </c>
      <c r="C351" s="1" t="n">
        <v>46134</v>
      </c>
      <c r="D351" t="inlineStr">
        <is>
          <t>GOTLANDS LÄN</t>
        </is>
      </c>
      <c r="E351" t="inlineStr">
        <is>
          <t>GOTLAND</t>
        </is>
      </c>
      <c r="G351" t="n">
        <v>16.8</v>
      </c>
      <c r="H351" t="n">
        <v>0</v>
      </c>
      <c r="I351" t="n">
        <v>0</v>
      </c>
      <c r="J351" t="n">
        <v>0</v>
      </c>
      <c r="K351" t="n">
        <v>0</v>
      </c>
      <c r="L351" t="n">
        <v>0</v>
      </c>
      <c r="M351" t="n">
        <v>0</v>
      </c>
      <c r="N351" t="n">
        <v>0</v>
      </c>
      <c r="O351" t="n">
        <v>0</v>
      </c>
      <c r="P351" t="n">
        <v>0</v>
      </c>
      <c r="Q351" t="n">
        <v>0</v>
      </c>
      <c r="R351" s="2" t="inlineStr"/>
    </row>
    <row r="352" ht="15" customHeight="1">
      <c r="A352" t="inlineStr">
        <is>
          <t>A 4646-2026</t>
        </is>
      </c>
      <c r="B352" s="1" t="n">
        <v>46048.40357638889</v>
      </c>
      <c r="C352" s="1" t="n">
        <v>46134</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4662-2026</t>
        </is>
      </c>
      <c r="B353" s="1" t="n">
        <v>46048.40949074074</v>
      </c>
      <c r="C353" s="1" t="n">
        <v>46134</v>
      </c>
      <c r="D353" t="inlineStr">
        <is>
          <t>GOTLANDS LÄN</t>
        </is>
      </c>
      <c r="E353" t="inlineStr">
        <is>
          <t>GOTLAND</t>
        </is>
      </c>
      <c r="G353" t="n">
        <v>7.6</v>
      </c>
      <c r="H353" t="n">
        <v>0</v>
      </c>
      <c r="I353" t="n">
        <v>0</v>
      </c>
      <c r="J353" t="n">
        <v>0</v>
      </c>
      <c r="K353" t="n">
        <v>0</v>
      </c>
      <c r="L353" t="n">
        <v>0</v>
      </c>
      <c r="M353" t="n">
        <v>0</v>
      </c>
      <c r="N353" t="n">
        <v>0</v>
      </c>
      <c r="O353" t="n">
        <v>0</v>
      </c>
      <c r="P353" t="n">
        <v>0</v>
      </c>
      <c r="Q353" t="n">
        <v>0</v>
      </c>
      <c r="R353" s="2" t="inlineStr"/>
    </row>
    <row r="354" ht="15" customHeight="1">
      <c r="A354" t="inlineStr">
        <is>
          <t>A 4639-2026</t>
        </is>
      </c>
      <c r="B354" s="1" t="n">
        <v>46048.39880787037</v>
      </c>
      <c r="C354" s="1" t="n">
        <v>46134</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1839-2026</t>
        </is>
      </c>
      <c r="B355" s="1" t="n">
        <v>46035.3942824074</v>
      </c>
      <c r="C355" s="1" t="n">
        <v>46134</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4634-2026</t>
        </is>
      </c>
      <c r="B356" s="1" t="n">
        <v>46048.39304398148</v>
      </c>
      <c r="C356" s="1" t="n">
        <v>46134</v>
      </c>
      <c r="D356" t="inlineStr">
        <is>
          <t>GOTLANDS LÄN</t>
        </is>
      </c>
      <c r="E356" t="inlineStr">
        <is>
          <t>GOTLAND</t>
        </is>
      </c>
      <c r="G356" t="n">
        <v>7.8</v>
      </c>
      <c r="H356" t="n">
        <v>0</v>
      </c>
      <c r="I356" t="n">
        <v>0</v>
      </c>
      <c r="J356" t="n">
        <v>0</v>
      </c>
      <c r="K356" t="n">
        <v>0</v>
      </c>
      <c r="L356" t="n">
        <v>0</v>
      </c>
      <c r="M356" t="n">
        <v>0</v>
      </c>
      <c r="N356" t="n">
        <v>0</v>
      </c>
      <c r="O356" t="n">
        <v>0</v>
      </c>
      <c r="P356" t="n">
        <v>0</v>
      </c>
      <c r="Q356" t="n">
        <v>0</v>
      </c>
      <c r="R356" s="2" t="inlineStr"/>
    </row>
    <row r="357" ht="15" customHeight="1">
      <c r="A357" t="inlineStr">
        <is>
          <t>A 4670-2026</t>
        </is>
      </c>
      <c r="B357" s="1" t="n">
        <v>46048.41733796296</v>
      </c>
      <c r="C357" s="1" t="n">
        <v>46134</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32378-2025</t>
        </is>
      </c>
      <c r="B358" s="1" t="n">
        <v>45837</v>
      </c>
      <c r="C358" s="1" t="n">
        <v>46134</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1734-2025</t>
        </is>
      </c>
      <c r="B359" s="1" t="n">
        <v>45671.3840625</v>
      </c>
      <c r="C359" s="1" t="n">
        <v>46134</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35550-2025</t>
        </is>
      </c>
      <c r="B360" s="1" t="n">
        <v>45856.49324074074</v>
      </c>
      <c r="C360" s="1" t="n">
        <v>46134</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15216-2025</t>
        </is>
      </c>
      <c r="B361" s="1" t="n">
        <v>45744</v>
      </c>
      <c r="C361" s="1" t="n">
        <v>46134</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43790-2024</t>
        </is>
      </c>
      <c r="B362" s="1" t="n">
        <v>45571</v>
      </c>
      <c r="C362" s="1" t="n">
        <v>46134</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20993-2023</t>
        </is>
      </c>
      <c r="B363" s="1" t="n">
        <v>45056</v>
      </c>
      <c r="C363" s="1" t="n">
        <v>46134</v>
      </c>
      <c r="D363" t="inlineStr">
        <is>
          <t>GOTLANDS LÄN</t>
        </is>
      </c>
      <c r="E363" t="inlineStr">
        <is>
          <t>GOTLAND</t>
        </is>
      </c>
      <c r="G363" t="n">
        <v>7.1</v>
      </c>
      <c r="H363" t="n">
        <v>0</v>
      </c>
      <c r="I363" t="n">
        <v>0</v>
      </c>
      <c r="J363" t="n">
        <v>0</v>
      </c>
      <c r="K363" t="n">
        <v>0</v>
      </c>
      <c r="L363" t="n">
        <v>0</v>
      </c>
      <c r="M363" t="n">
        <v>0</v>
      </c>
      <c r="N363" t="n">
        <v>0</v>
      </c>
      <c r="O363" t="n">
        <v>0</v>
      </c>
      <c r="P363" t="n">
        <v>0</v>
      </c>
      <c r="Q363" t="n">
        <v>0</v>
      </c>
      <c r="R363" s="2" t="inlineStr"/>
    </row>
    <row r="364" ht="15" customHeight="1">
      <c r="A364" t="inlineStr">
        <is>
          <t>A 15001-2025</t>
        </is>
      </c>
      <c r="B364" s="1" t="n">
        <v>45743</v>
      </c>
      <c r="C364" s="1" t="n">
        <v>46134</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30488-2025</t>
        </is>
      </c>
      <c r="B365" s="1" t="n">
        <v>45830</v>
      </c>
      <c r="C365" s="1" t="n">
        <v>46134</v>
      </c>
      <c r="D365" t="inlineStr">
        <is>
          <t>GOTLANDS LÄN</t>
        </is>
      </c>
      <c r="E365" t="inlineStr">
        <is>
          <t>GOTLAND</t>
        </is>
      </c>
      <c r="F365" t="inlineStr">
        <is>
          <t>Kyrkan</t>
        </is>
      </c>
      <c r="G365" t="n">
        <v>3.9</v>
      </c>
      <c r="H365" t="n">
        <v>0</v>
      </c>
      <c r="I365" t="n">
        <v>0</v>
      </c>
      <c r="J365" t="n">
        <v>0</v>
      </c>
      <c r="K365" t="n">
        <v>0</v>
      </c>
      <c r="L365" t="n">
        <v>0</v>
      </c>
      <c r="M365" t="n">
        <v>0</v>
      </c>
      <c r="N365" t="n">
        <v>0</v>
      </c>
      <c r="O365" t="n">
        <v>0</v>
      </c>
      <c r="P365" t="n">
        <v>0</v>
      </c>
      <c r="Q365" t="n">
        <v>0</v>
      </c>
      <c r="R365" s="2" t="inlineStr"/>
    </row>
    <row r="366" ht="15" customHeight="1">
      <c r="A366" t="inlineStr">
        <is>
          <t>A 17847-2025</t>
        </is>
      </c>
      <c r="B366" s="1" t="n">
        <v>45758</v>
      </c>
      <c r="C366" s="1" t="n">
        <v>46134</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46134</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47578-2025</t>
        </is>
      </c>
      <c r="B368" s="1" t="n">
        <v>45931</v>
      </c>
      <c r="C368" s="1" t="n">
        <v>46134</v>
      </c>
      <c r="D368" t="inlineStr">
        <is>
          <t>GOTLANDS LÄN</t>
        </is>
      </c>
      <c r="E368" t="inlineStr">
        <is>
          <t>GOTLAND</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46134</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46134</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46134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49724-2025</t>
        </is>
      </c>
      <c r="B372" s="1" t="n">
        <v>45939.83730324074</v>
      </c>
      <c r="C372" s="1" t="n">
        <v>46134</v>
      </c>
      <c r="D372" t="inlineStr">
        <is>
          <t>GOTLANDS LÄN</t>
        </is>
      </c>
      <c r="E372" t="inlineStr">
        <is>
          <t>GOTLAND</t>
        </is>
      </c>
      <c r="F372" t="inlineStr">
        <is>
          <t>Kyrkan</t>
        </is>
      </c>
      <c r="G372" t="n">
        <v>3.1</v>
      </c>
      <c r="H372" t="n">
        <v>0</v>
      </c>
      <c r="I372" t="n">
        <v>0</v>
      </c>
      <c r="J372" t="n">
        <v>0</v>
      </c>
      <c r="K372" t="n">
        <v>0</v>
      </c>
      <c r="L372" t="n">
        <v>0</v>
      </c>
      <c r="M372" t="n">
        <v>0</v>
      </c>
      <c r="N372" t="n">
        <v>0</v>
      </c>
      <c r="O372" t="n">
        <v>0</v>
      </c>
      <c r="P372" t="n">
        <v>0</v>
      </c>
      <c r="Q372" t="n">
        <v>0</v>
      </c>
      <c r="R372" s="2" t="inlineStr"/>
    </row>
    <row r="373" ht="15" customHeight="1">
      <c r="A373" t="inlineStr">
        <is>
          <t>A 49730-2025</t>
        </is>
      </c>
      <c r="B373" s="1" t="n">
        <v>45939.87613425926</v>
      </c>
      <c r="C373" s="1" t="n">
        <v>46134</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49690-2025</t>
        </is>
      </c>
      <c r="B374" s="1" t="n">
        <v>45939.66730324074</v>
      </c>
      <c r="C374" s="1" t="n">
        <v>46134</v>
      </c>
      <c r="D374" t="inlineStr">
        <is>
          <t>GOTLANDS LÄN</t>
        </is>
      </c>
      <c r="E374" t="inlineStr">
        <is>
          <t>GOTLAND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33011-2025</t>
        </is>
      </c>
      <c r="B375" s="1" t="n">
        <v>45840</v>
      </c>
      <c r="C375" s="1" t="n">
        <v>46134</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12155-2023</t>
        </is>
      </c>
      <c r="B376" s="1" t="n">
        <v>44998.49106481481</v>
      </c>
      <c r="C376" s="1" t="n">
        <v>46134</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457-2023</t>
        </is>
      </c>
      <c r="B377" s="1" t="n">
        <v>44929.87238425926</v>
      </c>
      <c r="C377" s="1" t="n">
        <v>46134</v>
      </c>
      <c r="D377" t="inlineStr">
        <is>
          <t>GOTLANDS LÄN</t>
        </is>
      </c>
      <c r="E377" t="inlineStr">
        <is>
          <t>GOTLAND</t>
        </is>
      </c>
      <c r="G377" t="n">
        <v>2.4</v>
      </c>
      <c r="H377" t="n">
        <v>0</v>
      </c>
      <c r="I377" t="n">
        <v>0</v>
      </c>
      <c r="J377" t="n">
        <v>0</v>
      </c>
      <c r="K377" t="n">
        <v>0</v>
      </c>
      <c r="L377" t="n">
        <v>0</v>
      </c>
      <c r="M377" t="n">
        <v>0</v>
      </c>
      <c r="N377" t="n">
        <v>0</v>
      </c>
      <c r="O377" t="n">
        <v>0</v>
      </c>
      <c r="P377" t="n">
        <v>0</v>
      </c>
      <c r="Q377" t="n">
        <v>0</v>
      </c>
      <c r="R377" s="2" t="inlineStr"/>
    </row>
    <row r="378" ht="15" customHeight="1">
      <c r="A378" t="inlineStr">
        <is>
          <t>A 459-2023</t>
        </is>
      </c>
      <c r="B378" s="1" t="n">
        <v>44929.87423611111</v>
      </c>
      <c r="C378" s="1" t="n">
        <v>46134</v>
      </c>
      <c r="D378" t="inlineStr">
        <is>
          <t>GOTLANDS LÄN</t>
        </is>
      </c>
      <c r="E378" t="inlineStr">
        <is>
          <t>GOTLAND</t>
        </is>
      </c>
      <c r="G378" t="n">
        <v>4.2</v>
      </c>
      <c r="H378" t="n">
        <v>0</v>
      </c>
      <c r="I378" t="n">
        <v>0</v>
      </c>
      <c r="J378" t="n">
        <v>0</v>
      </c>
      <c r="K378" t="n">
        <v>0</v>
      </c>
      <c r="L378" t="n">
        <v>0</v>
      </c>
      <c r="M378" t="n">
        <v>0</v>
      </c>
      <c r="N378" t="n">
        <v>0</v>
      </c>
      <c r="O378" t="n">
        <v>0</v>
      </c>
      <c r="P378" t="n">
        <v>0</v>
      </c>
      <c r="Q378" t="n">
        <v>0</v>
      </c>
      <c r="R378" s="2" t="inlineStr"/>
    </row>
    <row r="379" ht="15" customHeight="1">
      <c r="A379" t="inlineStr">
        <is>
          <t>A 50421-2025</t>
        </is>
      </c>
      <c r="B379" s="1" t="n">
        <v>45944.66049768519</v>
      </c>
      <c r="C379" s="1" t="n">
        <v>46134</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38234-2023</t>
        </is>
      </c>
      <c r="B380" s="1" t="n">
        <v>45161.56663194444</v>
      </c>
      <c r="C380" s="1" t="n">
        <v>46134</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46134</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50431-2025</t>
        </is>
      </c>
      <c r="B382" s="1" t="n">
        <v>45944.68453703704</v>
      </c>
      <c r="C382" s="1" t="n">
        <v>46134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46134</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53934-2024</t>
        </is>
      </c>
      <c r="B384" s="1" t="n">
        <v>45615</v>
      </c>
      <c r="C384" s="1" t="n">
        <v>46134</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6108-2025</t>
        </is>
      </c>
      <c r="B385" s="1" t="n">
        <v>45698.29880787037</v>
      </c>
      <c r="C385" s="1" t="n">
        <v>46134</v>
      </c>
      <c r="D385" t="inlineStr">
        <is>
          <t>GOTLANDS LÄN</t>
        </is>
      </c>
      <c r="E385" t="inlineStr">
        <is>
          <t>GOTLAND</t>
        </is>
      </c>
      <c r="G385" t="n">
        <v>2.8</v>
      </c>
      <c r="H385" t="n">
        <v>0</v>
      </c>
      <c r="I385" t="n">
        <v>0</v>
      </c>
      <c r="J385" t="n">
        <v>0</v>
      </c>
      <c r="K385" t="n">
        <v>0</v>
      </c>
      <c r="L385" t="n">
        <v>0</v>
      </c>
      <c r="M385" t="n">
        <v>0</v>
      </c>
      <c r="N385" t="n">
        <v>0</v>
      </c>
      <c r="O385" t="n">
        <v>0</v>
      </c>
      <c r="P385" t="n">
        <v>0</v>
      </c>
      <c r="Q385" t="n">
        <v>0</v>
      </c>
      <c r="R385" s="2" t="inlineStr"/>
    </row>
    <row r="386" ht="15" customHeight="1">
      <c r="A386" t="inlineStr">
        <is>
          <t>A 21142-2025</t>
        </is>
      </c>
      <c r="B386" s="1" t="n">
        <v>45779</v>
      </c>
      <c r="C386" s="1" t="n">
        <v>46134</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17343-2025</t>
        </is>
      </c>
      <c r="B387" s="1" t="n">
        <v>45756.6687037037</v>
      </c>
      <c r="C387" s="1" t="n">
        <v>46134</v>
      </c>
      <c r="D387" t="inlineStr">
        <is>
          <t>GOTLANDS LÄN</t>
        </is>
      </c>
      <c r="E387" t="inlineStr">
        <is>
          <t>GOTLAND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46134</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18938-2025</t>
        </is>
      </c>
      <c r="B389" s="1" t="n">
        <v>45764.49172453704</v>
      </c>
      <c r="C389" s="1" t="n">
        <v>46134</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51262-2025</t>
        </is>
      </c>
      <c r="B390" s="1" t="n">
        <v>45949.49872685185</v>
      </c>
      <c r="C390" s="1" t="n">
        <v>46134</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30489-2025</t>
        </is>
      </c>
      <c r="B391" s="1" t="n">
        <v>45830</v>
      </c>
      <c r="C391" s="1" t="n">
        <v>46134</v>
      </c>
      <c r="D391" t="inlineStr">
        <is>
          <t>GOTLANDS LÄN</t>
        </is>
      </c>
      <c r="E391" t="inlineStr">
        <is>
          <t>GOTLAND</t>
        </is>
      </c>
      <c r="G391" t="n">
        <v>4.6</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46134</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20307-2025</t>
        </is>
      </c>
      <c r="B393" s="1" t="n">
        <v>45774.95546296296</v>
      </c>
      <c r="C393" s="1" t="n">
        <v>46134</v>
      </c>
      <c r="D393" t="inlineStr">
        <is>
          <t>GOTLANDS LÄN</t>
        </is>
      </c>
      <c r="E393" t="inlineStr">
        <is>
          <t>GOTLAND</t>
        </is>
      </c>
      <c r="G393" t="n">
        <v>6.8</v>
      </c>
      <c r="H393" t="n">
        <v>0</v>
      </c>
      <c r="I393" t="n">
        <v>0</v>
      </c>
      <c r="J393" t="n">
        <v>0</v>
      </c>
      <c r="K393" t="n">
        <v>0</v>
      </c>
      <c r="L393" t="n">
        <v>0</v>
      </c>
      <c r="M393" t="n">
        <v>0</v>
      </c>
      <c r="N393" t="n">
        <v>0</v>
      </c>
      <c r="O393" t="n">
        <v>0</v>
      </c>
      <c r="P393" t="n">
        <v>0</v>
      </c>
      <c r="Q393" t="n">
        <v>0</v>
      </c>
      <c r="R393" s="2" t="inlineStr"/>
    </row>
    <row r="394" ht="15" customHeight="1">
      <c r="A394" t="inlineStr">
        <is>
          <t>A 43901-2023</t>
        </is>
      </c>
      <c r="B394" s="1" t="n">
        <v>45187</v>
      </c>
      <c r="C394" s="1" t="n">
        <v>46134</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46134</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16501-2023</t>
        </is>
      </c>
      <c r="B396" s="1" t="n">
        <v>45029</v>
      </c>
      <c r="C396" s="1" t="n">
        <v>46134</v>
      </c>
      <c r="D396" t="inlineStr">
        <is>
          <t>GOTLANDS LÄN</t>
        </is>
      </c>
      <c r="E396" t="inlineStr">
        <is>
          <t>GOTLAND</t>
        </is>
      </c>
      <c r="G396" t="n">
        <v>3.1</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46134</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1854-2026</t>
        </is>
      </c>
      <c r="B398" s="1" t="n">
        <v>46035.4171875</v>
      </c>
      <c r="C398" s="1" t="n">
        <v>46134</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27930-2021</t>
        </is>
      </c>
      <c r="B399" s="1" t="n">
        <v>44354</v>
      </c>
      <c r="C399" s="1" t="n">
        <v>46134</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61962-2024</t>
        </is>
      </c>
      <c r="B400" s="1" t="n">
        <v>45653.54340277778</v>
      </c>
      <c r="C400" s="1" t="n">
        <v>46134</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52637-2025</t>
        </is>
      </c>
      <c r="B401" s="1" t="n">
        <v>45954.75099537037</v>
      </c>
      <c r="C401" s="1" t="n">
        <v>46134</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10492-2023</t>
        </is>
      </c>
      <c r="B402" s="1" t="n">
        <v>44987</v>
      </c>
      <c r="C402" s="1" t="n">
        <v>46134</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5909-2025</t>
        </is>
      </c>
      <c r="B403" s="1" t="n">
        <v>45695.40634259259</v>
      </c>
      <c r="C403" s="1" t="n">
        <v>46134</v>
      </c>
      <c r="D403" t="inlineStr">
        <is>
          <t>GOTLANDS LÄN</t>
        </is>
      </c>
      <c r="E403" t="inlineStr">
        <is>
          <t>GOTLAND</t>
        </is>
      </c>
      <c r="G403" t="n">
        <v>2.9</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46134</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46134</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46134</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4990-2025</t>
        </is>
      </c>
      <c r="B407" s="1" t="n">
        <v>45691</v>
      </c>
      <c r="C407" s="1" t="n">
        <v>46134</v>
      </c>
      <c r="D407" t="inlineStr">
        <is>
          <t>GOTLANDS LÄN</t>
        </is>
      </c>
      <c r="E407" t="inlineStr">
        <is>
          <t>GOTLAND</t>
        </is>
      </c>
      <c r="G407" t="n">
        <v>7.7</v>
      </c>
      <c r="H407" t="n">
        <v>0</v>
      </c>
      <c r="I407" t="n">
        <v>0</v>
      </c>
      <c r="J407" t="n">
        <v>0</v>
      </c>
      <c r="K407" t="n">
        <v>0</v>
      </c>
      <c r="L407" t="n">
        <v>0</v>
      </c>
      <c r="M407" t="n">
        <v>0</v>
      </c>
      <c r="N407" t="n">
        <v>0</v>
      </c>
      <c r="O407" t="n">
        <v>0</v>
      </c>
      <c r="P407" t="n">
        <v>0</v>
      </c>
      <c r="Q407" t="n">
        <v>0</v>
      </c>
      <c r="R407" s="2" t="inlineStr"/>
    </row>
    <row r="408" ht="15" customHeight="1">
      <c r="A408" t="inlineStr">
        <is>
          <t>A 13486-2026</t>
        </is>
      </c>
      <c r="B408" s="1" t="n">
        <v>46094</v>
      </c>
      <c r="C408" s="1" t="n">
        <v>46134</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46134</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46134</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46134</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46134</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46134</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46134</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17901-2023</t>
        </is>
      </c>
      <c r="B415" s="1" t="n">
        <v>45039</v>
      </c>
      <c r="C415" s="1" t="n">
        <v>46134</v>
      </c>
      <c r="D415" t="inlineStr">
        <is>
          <t>GOTLANDS LÄN</t>
        </is>
      </c>
      <c r="E415" t="inlineStr">
        <is>
          <t>GOTLAND</t>
        </is>
      </c>
      <c r="F415" t="inlineStr">
        <is>
          <t>Kyrkan</t>
        </is>
      </c>
      <c r="G415" t="n">
        <v>0.6</v>
      </c>
      <c r="H415" t="n">
        <v>0</v>
      </c>
      <c r="I415" t="n">
        <v>0</v>
      </c>
      <c r="J415" t="n">
        <v>0</v>
      </c>
      <c r="K415" t="n">
        <v>0</v>
      </c>
      <c r="L415" t="n">
        <v>0</v>
      </c>
      <c r="M415" t="n">
        <v>0</v>
      </c>
      <c r="N415" t="n">
        <v>0</v>
      </c>
      <c r="O415" t="n">
        <v>0</v>
      </c>
      <c r="P415" t="n">
        <v>0</v>
      </c>
      <c r="Q415" t="n">
        <v>0</v>
      </c>
      <c r="R415" s="2" t="inlineStr"/>
    </row>
    <row r="416" ht="15" customHeight="1">
      <c r="A416" t="inlineStr">
        <is>
          <t>A 6218-2026</t>
        </is>
      </c>
      <c r="B416" s="1" t="n">
        <v>46055.42859953704</v>
      </c>
      <c r="C416" s="1" t="n">
        <v>46134</v>
      </c>
      <c r="D416" t="inlineStr">
        <is>
          <t>GOTLANDS LÄN</t>
        </is>
      </c>
      <c r="E416" t="inlineStr">
        <is>
          <t>GOTLAND</t>
        </is>
      </c>
      <c r="G416" t="n">
        <v>4.3</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46134</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46134</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6207-2026</t>
        </is>
      </c>
      <c r="B419" s="1" t="n">
        <v>46055.42083333333</v>
      </c>
      <c r="C419" s="1" t="n">
        <v>46134</v>
      </c>
      <c r="D419" t="inlineStr">
        <is>
          <t>GOTLANDS LÄN</t>
        </is>
      </c>
      <c r="E419" t="inlineStr">
        <is>
          <t>GOTLAND</t>
        </is>
      </c>
      <c r="G419" t="n">
        <v>7.6</v>
      </c>
      <c r="H419" t="n">
        <v>0</v>
      </c>
      <c r="I419" t="n">
        <v>0</v>
      </c>
      <c r="J419" t="n">
        <v>0</v>
      </c>
      <c r="K419" t="n">
        <v>0</v>
      </c>
      <c r="L419" t="n">
        <v>0</v>
      </c>
      <c r="M419" t="n">
        <v>0</v>
      </c>
      <c r="N419" t="n">
        <v>0</v>
      </c>
      <c r="O419" t="n">
        <v>0</v>
      </c>
      <c r="P419" t="n">
        <v>0</v>
      </c>
      <c r="Q419" t="n">
        <v>0</v>
      </c>
      <c r="R419" s="2" t="inlineStr"/>
    </row>
    <row r="420" ht="15" customHeight="1">
      <c r="A420" t="inlineStr">
        <is>
          <t>A 6959-2026</t>
        </is>
      </c>
      <c r="B420" s="1" t="n">
        <v>46057.580625</v>
      </c>
      <c r="C420" s="1" t="n">
        <v>46134</v>
      </c>
      <c r="D420" t="inlineStr">
        <is>
          <t>GOTLANDS LÄN</t>
        </is>
      </c>
      <c r="E420" t="inlineStr">
        <is>
          <t>GOTLAND</t>
        </is>
      </c>
      <c r="F420" t="inlineStr">
        <is>
          <t>Kyrkan</t>
        </is>
      </c>
      <c r="G420" t="n">
        <v>1.2</v>
      </c>
      <c r="H420" t="n">
        <v>0</v>
      </c>
      <c r="I420" t="n">
        <v>0</v>
      </c>
      <c r="J420" t="n">
        <v>0</v>
      </c>
      <c r="K420" t="n">
        <v>0</v>
      </c>
      <c r="L420" t="n">
        <v>0</v>
      </c>
      <c r="M420" t="n">
        <v>0</v>
      </c>
      <c r="N420" t="n">
        <v>0</v>
      </c>
      <c r="O420" t="n">
        <v>0</v>
      </c>
      <c r="P420" t="n">
        <v>0</v>
      </c>
      <c r="Q420" t="n">
        <v>0</v>
      </c>
      <c r="R420" s="2" t="inlineStr"/>
    </row>
    <row r="421" ht="15" customHeight="1">
      <c r="A421" t="inlineStr">
        <is>
          <t>A 17724-2024</t>
        </is>
      </c>
      <c r="B421" s="1" t="n">
        <v>45418.55096064815</v>
      </c>
      <c r="C421" s="1" t="n">
        <v>46134</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34312-2024</t>
        </is>
      </c>
      <c r="B422" s="1" t="n">
        <v>45524.69703703704</v>
      </c>
      <c r="C422" s="1" t="n">
        <v>46134</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56799-2025</t>
        </is>
      </c>
      <c r="B423" s="1" t="n">
        <v>45978.43392361111</v>
      </c>
      <c r="C423" s="1" t="n">
        <v>46134</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56688-2025</t>
        </is>
      </c>
      <c r="B424" s="1" t="n">
        <v>45975.84331018518</v>
      </c>
      <c r="C424" s="1" t="n">
        <v>46134</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69112-2021</t>
        </is>
      </c>
      <c r="B425" s="1" t="n">
        <v>44530</v>
      </c>
      <c r="C425" s="1" t="n">
        <v>46134</v>
      </c>
      <c r="D425" t="inlineStr">
        <is>
          <t>GOTLANDS LÄN</t>
        </is>
      </c>
      <c r="E425" t="inlineStr">
        <is>
          <t>GOTLAND</t>
        </is>
      </c>
      <c r="G425" t="n">
        <v>4.2</v>
      </c>
      <c r="H425" t="n">
        <v>0</v>
      </c>
      <c r="I425" t="n">
        <v>0</v>
      </c>
      <c r="J425" t="n">
        <v>0</v>
      </c>
      <c r="K425" t="n">
        <v>0</v>
      </c>
      <c r="L425" t="n">
        <v>0</v>
      </c>
      <c r="M425" t="n">
        <v>0</v>
      </c>
      <c r="N425" t="n">
        <v>0</v>
      </c>
      <c r="O425" t="n">
        <v>0</v>
      </c>
      <c r="P425" t="n">
        <v>0</v>
      </c>
      <c r="Q425" t="n">
        <v>0</v>
      </c>
      <c r="R425" s="2" t="inlineStr"/>
    </row>
    <row r="426" ht="15" customHeight="1">
      <c r="A426" t="inlineStr">
        <is>
          <t>A 7638-2025</t>
        </is>
      </c>
      <c r="B426" s="1" t="n">
        <v>45705.77306712963</v>
      </c>
      <c r="C426" s="1" t="n">
        <v>46134</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50482-2024</t>
        </is>
      </c>
      <c r="B427" s="1" t="n">
        <v>45601.48114583334</v>
      </c>
      <c r="C427" s="1" t="n">
        <v>46134</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1394-2023</t>
        </is>
      </c>
      <c r="B428" s="1" t="n">
        <v>44936.72997685185</v>
      </c>
      <c r="C428" s="1" t="n">
        <v>46134</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6960-2026</t>
        </is>
      </c>
      <c r="B429" s="1" t="n">
        <v>46057.58105324074</v>
      </c>
      <c r="C429" s="1" t="n">
        <v>46134</v>
      </c>
      <c r="D429" t="inlineStr">
        <is>
          <t>GOTLANDS LÄN</t>
        </is>
      </c>
      <c r="E429" t="inlineStr">
        <is>
          <t>GOTLAND</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58230-2024</t>
        </is>
      </c>
      <c r="B430" s="1" t="n">
        <v>45632.51625</v>
      </c>
      <c r="C430" s="1" t="n">
        <v>46134</v>
      </c>
      <c r="D430" t="inlineStr">
        <is>
          <t>GOTLANDS LÄN</t>
        </is>
      </c>
      <c r="E430" t="inlineStr">
        <is>
          <t>GOTLAND</t>
        </is>
      </c>
      <c r="G430" t="n">
        <v>7.3</v>
      </c>
      <c r="H430" t="n">
        <v>0</v>
      </c>
      <c r="I430" t="n">
        <v>0</v>
      </c>
      <c r="J430" t="n">
        <v>0</v>
      </c>
      <c r="K430" t="n">
        <v>0</v>
      </c>
      <c r="L430" t="n">
        <v>0</v>
      </c>
      <c r="M430" t="n">
        <v>0</v>
      </c>
      <c r="N430" t="n">
        <v>0</v>
      </c>
      <c r="O430" t="n">
        <v>0</v>
      </c>
      <c r="P430" t="n">
        <v>0</v>
      </c>
      <c r="Q430" t="n">
        <v>0</v>
      </c>
      <c r="R430" s="2" t="inlineStr"/>
    </row>
    <row r="431" ht="15" customHeight="1">
      <c r="A431" t="inlineStr">
        <is>
          <t>A 1462-2025</t>
        </is>
      </c>
      <c r="B431" s="1" t="n">
        <v>45670.36319444444</v>
      </c>
      <c r="C431" s="1" t="n">
        <v>46134</v>
      </c>
      <c r="D431" t="inlineStr">
        <is>
          <t>GOTLANDS LÄN</t>
        </is>
      </c>
      <c r="E431" t="inlineStr">
        <is>
          <t>GOTLAND</t>
        </is>
      </c>
      <c r="G431" t="n">
        <v>2.8</v>
      </c>
      <c r="H431" t="n">
        <v>0</v>
      </c>
      <c r="I431" t="n">
        <v>0</v>
      </c>
      <c r="J431" t="n">
        <v>0</v>
      </c>
      <c r="K431" t="n">
        <v>0</v>
      </c>
      <c r="L431" t="n">
        <v>0</v>
      </c>
      <c r="M431" t="n">
        <v>0</v>
      </c>
      <c r="N431" t="n">
        <v>0</v>
      </c>
      <c r="O431" t="n">
        <v>0</v>
      </c>
      <c r="P431" t="n">
        <v>0</v>
      </c>
      <c r="Q431" t="n">
        <v>0</v>
      </c>
      <c r="R431" s="2" t="inlineStr"/>
    </row>
    <row r="432" ht="15" customHeight="1">
      <c r="A432" t="inlineStr">
        <is>
          <t>A 14840-2026</t>
        </is>
      </c>
      <c r="B432" s="1" t="n">
        <v>46104.39498842593</v>
      </c>
      <c r="C432" s="1" t="n">
        <v>46134</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7625-2026</t>
        </is>
      </c>
      <c r="B433" s="1" t="n">
        <v>46062.35135416667</v>
      </c>
      <c r="C433" s="1" t="n">
        <v>46134</v>
      </c>
      <c r="D433" t="inlineStr">
        <is>
          <t>GOTLANDS LÄN</t>
        </is>
      </c>
      <c r="E433" t="inlineStr">
        <is>
          <t>GOTLAND</t>
        </is>
      </c>
      <c r="G433" t="n">
        <v>2.1</v>
      </c>
      <c r="H433" t="n">
        <v>0</v>
      </c>
      <c r="I433" t="n">
        <v>0</v>
      </c>
      <c r="J433" t="n">
        <v>0</v>
      </c>
      <c r="K433" t="n">
        <v>0</v>
      </c>
      <c r="L433" t="n">
        <v>0</v>
      </c>
      <c r="M433" t="n">
        <v>0</v>
      </c>
      <c r="N433" t="n">
        <v>0</v>
      </c>
      <c r="O433" t="n">
        <v>0</v>
      </c>
      <c r="P433" t="n">
        <v>0</v>
      </c>
      <c r="Q433" t="n">
        <v>0</v>
      </c>
      <c r="R433" s="2" t="inlineStr"/>
    </row>
    <row r="434" ht="15" customHeight="1">
      <c r="A434" t="inlineStr">
        <is>
          <t>A 59197-2025</t>
        </is>
      </c>
      <c r="B434" s="1" t="n">
        <v>45988.59846064815</v>
      </c>
      <c r="C434" s="1" t="n">
        <v>46134</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7627-2026</t>
        </is>
      </c>
      <c r="B435" s="1" t="n">
        <v>46062.35465277778</v>
      </c>
      <c r="C435" s="1" t="n">
        <v>46134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25129-2023</t>
        </is>
      </c>
      <c r="B436" s="1" t="n">
        <v>45086.44261574074</v>
      </c>
      <c r="C436" s="1" t="n">
        <v>46134</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24192-2023</t>
        </is>
      </c>
      <c r="B437" s="1" t="n">
        <v>45079</v>
      </c>
      <c r="C437" s="1" t="n">
        <v>46134</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62836-2025</t>
        </is>
      </c>
      <c r="B438" s="1" t="n">
        <v>46008</v>
      </c>
      <c r="C438" s="1" t="n">
        <v>46134</v>
      </c>
      <c r="D438" t="inlineStr">
        <is>
          <t>GOTLANDS LÄN</t>
        </is>
      </c>
      <c r="E438" t="inlineStr">
        <is>
          <t>GOTLAND</t>
        </is>
      </c>
      <c r="G438" t="n">
        <v>6.5</v>
      </c>
      <c r="H438" t="n">
        <v>0</v>
      </c>
      <c r="I438" t="n">
        <v>0</v>
      </c>
      <c r="J438" t="n">
        <v>0</v>
      </c>
      <c r="K438" t="n">
        <v>0</v>
      </c>
      <c r="L438" t="n">
        <v>0</v>
      </c>
      <c r="M438" t="n">
        <v>0</v>
      </c>
      <c r="N438" t="n">
        <v>0</v>
      </c>
      <c r="O438" t="n">
        <v>0</v>
      </c>
      <c r="P438" t="n">
        <v>0</v>
      </c>
      <c r="Q438" t="n">
        <v>0</v>
      </c>
      <c r="R438" s="2" t="inlineStr"/>
    </row>
    <row r="439" ht="15" customHeight="1">
      <c r="A439" t="inlineStr">
        <is>
          <t>A 63105-2025</t>
        </is>
      </c>
      <c r="B439" s="1" t="n">
        <v>46009</v>
      </c>
      <c r="C439" s="1" t="n">
        <v>46134</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5386-2023</t>
        </is>
      </c>
      <c r="B440" s="1" t="n">
        <v>44959</v>
      </c>
      <c r="C440" s="1" t="n">
        <v>46134</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36319-2025</t>
        </is>
      </c>
      <c r="B441" s="1" t="n">
        <v>45868</v>
      </c>
      <c r="C441" s="1" t="n">
        <v>46134</v>
      </c>
      <c r="D441" t="inlineStr">
        <is>
          <t>GOTLANDS LÄN</t>
        </is>
      </c>
      <c r="E441" t="inlineStr">
        <is>
          <t>GOTLAND</t>
        </is>
      </c>
      <c r="G441" t="n">
        <v>2.9</v>
      </c>
      <c r="H441" t="n">
        <v>0</v>
      </c>
      <c r="I441" t="n">
        <v>0</v>
      </c>
      <c r="J441" t="n">
        <v>0</v>
      </c>
      <c r="K441" t="n">
        <v>0</v>
      </c>
      <c r="L441" t="n">
        <v>0</v>
      </c>
      <c r="M441" t="n">
        <v>0</v>
      </c>
      <c r="N441" t="n">
        <v>0</v>
      </c>
      <c r="O441" t="n">
        <v>0</v>
      </c>
      <c r="P441" t="n">
        <v>0</v>
      </c>
      <c r="Q441" t="n">
        <v>0</v>
      </c>
      <c r="R441" s="2" t="inlineStr"/>
    </row>
    <row r="442" ht="15" customHeight="1">
      <c r="A442" t="inlineStr">
        <is>
          <t>A 7026-2023</t>
        </is>
      </c>
      <c r="B442" s="1" t="n">
        <v>44968.30340277778</v>
      </c>
      <c r="C442" s="1" t="n">
        <v>46134</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20855-2023</t>
        </is>
      </c>
      <c r="B443" s="1" t="n">
        <v>45058.82172453704</v>
      </c>
      <c r="C443" s="1" t="n">
        <v>46134</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1000-2024</t>
        </is>
      </c>
      <c r="B444" s="1" t="n">
        <v>45301.63371527778</v>
      </c>
      <c r="C444" s="1" t="n">
        <v>46134</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1010-2024</t>
        </is>
      </c>
      <c r="B445" s="1" t="n">
        <v>45301</v>
      </c>
      <c r="C445" s="1" t="n">
        <v>46134</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47762-2023</t>
        </is>
      </c>
      <c r="B446" s="1" t="n">
        <v>45203.86256944444</v>
      </c>
      <c r="C446" s="1" t="n">
        <v>46134</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46545-2024</t>
        </is>
      </c>
      <c r="B447" s="1" t="n">
        <v>45582.65831018519</v>
      </c>
      <c r="C447" s="1" t="n">
        <v>46134</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2135-2026</t>
        </is>
      </c>
      <c r="B448" s="1" t="n">
        <v>46036</v>
      </c>
      <c r="C448" s="1" t="n">
        <v>46134</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60086-2022</t>
        </is>
      </c>
      <c r="B449" s="1" t="n">
        <v>44909</v>
      </c>
      <c r="C449" s="1" t="n">
        <v>46134</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28480-2023</t>
        </is>
      </c>
      <c r="B450" s="1" t="n">
        <v>45103</v>
      </c>
      <c r="C450" s="1" t="n">
        <v>46134</v>
      </c>
      <c r="D450" t="inlineStr">
        <is>
          <t>GOTLANDS LÄN</t>
        </is>
      </c>
      <c r="E450" t="inlineStr">
        <is>
          <t>GOTLAND</t>
        </is>
      </c>
      <c r="G450" t="n">
        <v>5.7</v>
      </c>
      <c r="H450" t="n">
        <v>0</v>
      </c>
      <c r="I450" t="n">
        <v>0</v>
      </c>
      <c r="J450" t="n">
        <v>0</v>
      </c>
      <c r="K450" t="n">
        <v>0</v>
      </c>
      <c r="L450" t="n">
        <v>0</v>
      </c>
      <c r="M450" t="n">
        <v>0</v>
      </c>
      <c r="N450" t="n">
        <v>0</v>
      </c>
      <c r="O450" t="n">
        <v>0</v>
      </c>
      <c r="P450" t="n">
        <v>0</v>
      </c>
      <c r="Q450" t="n">
        <v>0</v>
      </c>
      <c r="R450" s="2" t="inlineStr"/>
    </row>
    <row r="451" ht="15" customHeight="1">
      <c r="A451" t="inlineStr">
        <is>
          <t>A 28485-2023</t>
        </is>
      </c>
      <c r="B451" s="1" t="n">
        <v>45103.43731481482</v>
      </c>
      <c r="C451" s="1" t="n">
        <v>46134</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62915-2021</t>
        </is>
      </c>
      <c r="B452" s="1" t="n">
        <v>44504</v>
      </c>
      <c r="C452" s="1" t="n">
        <v>46134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46134</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2134-2026</t>
        </is>
      </c>
      <c r="B454" s="1" t="n">
        <v>46036</v>
      </c>
      <c r="C454" s="1" t="n">
        <v>46134</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46134</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62066-2025</t>
        </is>
      </c>
      <c r="B456" s="1" t="n">
        <v>46006.34738425926</v>
      </c>
      <c r="C456" s="1" t="n">
        <v>46134</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62103-2025</t>
        </is>
      </c>
      <c r="B457" s="1" t="n">
        <v>46006</v>
      </c>
      <c r="C457" s="1" t="n">
        <v>46134</v>
      </c>
      <c r="D457" t="inlineStr">
        <is>
          <t>GOTLANDS LÄN</t>
        </is>
      </c>
      <c r="E457" t="inlineStr">
        <is>
          <t>GOTLAND</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46134</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45084-2024</t>
        </is>
      </c>
      <c r="B459" s="1" t="n">
        <v>45575</v>
      </c>
      <c r="C459" s="1" t="n">
        <v>46134</v>
      </c>
      <c r="D459" t="inlineStr">
        <is>
          <t>GOTLANDS LÄN</t>
        </is>
      </c>
      <c r="E459" t="inlineStr">
        <is>
          <t>GOTLAND</t>
        </is>
      </c>
      <c r="G459" t="n">
        <v>6.8</v>
      </c>
      <c r="H459" t="n">
        <v>0</v>
      </c>
      <c r="I459" t="n">
        <v>0</v>
      </c>
      <c r="J459" t="n">
        <v>0</v>
      </c>
      <c r="K459" t="n">
        <v>0</v>
      </c>
      <c r="L459" t="n">
        <v>0</v>
      </c>
      <c r="M459" t="n">
        <v>0</v>
      </c>
      <c r="N459" t="n">
        <v>0</v>
      </c>
      <c r="O459" t="n">
        <v>0</v>
      </c>
      <c r="P459" t="n">
        <v>0</v>
      </c>
      <c r="Q459" t="n">
        <v>0</v>
      </c>
      <c r="R459" s="2" t="inlineStr"/>
    </row>
    <row r="460" ht="15" customHeight="1">
      <c r="A460" t="inlineStr">
        <is>
          <t>A 63002-2025</t>
        </is>
      </c>
      <c r="B460" s="1" t="n">
        <v>46009.56564814815</v>
      </c>
      <c r="C460" s="1" t="n">
        <v>46134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5217-2023</t>
        </is>
      </c>
      <c r="B461" s="1" t="n">
        <v>44959.39582175926</v>
      </c>
      <c r="C461" s="1" t="n">
        <v>46134</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1677-2023</t>
        </is>
      </c>
      <c r="B462" s="1" t="n">
        <v>44938</v>
      </c>
      <c r="C462" s="1" t="n">
        <v>46134</v>
      </c>
      <c r="D462" t="inlineStr">
        <is>
          <t>GOTLANDS LÄN</t>
        </is>
      </c>
      <c r="E462" t="inlineStr">
        <is>
          <t>GOTLAND</t>
        </is>
      </c>
      <c r="G462" t="n">
        <v>1.6</v>
      </c>
      <c r="H462" t="n">
        <v>0</v>
      </c>
      <c r="I462" t="n">
        <v>0</v>
      </c>
      <c r="J462" t="n">
        <v>0</v>
      </c>
      <c r="K462" t="n">
        <v>0</v>
      </c>
      <c r="L462" t="n">
        <v>0</v>
      </c>
      <c r="M462" t="n">
        <v>0</v>
      </c>
      <c r="N462" t="n">
        <v>0</v>
      </c>
      <c r="O462" t="n">
        <v>0</v>
      </c>
      <c r="P462" t="n">
        <v>0</v>
      </c>
      <c r="Q462" t="n">
        <v>0</v>
      </c>
      <c r="R462" s="2" t="inlineStr"/>
    </row>
    <row r="463" ht="15" customHeight="1">
      <c r="A463" t="inlineStr">
        <is>
          <t>A 45244-2024</t>
        </is>
      </c>
      <c r="B463" s="1" t="n">
        <v>45576</v>
      </c>
      <c r="C463" s="1" t="n">
        <v>46134</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63000-2025</t>
        </is>
      </c>
      <c r="B464" s="1" t="n">
        <v>46009</v>
      </c>
      <c r="C464" s="1" t="n">
        <v>46134</v>
      </c>
      <c r="D464" t="inlineStr">
        <is>
          <t>GOTLANDS LÄN</t>
        </is>
      </c>
      <c r="E464" t="inlineStr">
        <is>
          <t>GOTLAND</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8260-2023</t>
        </is>
      </c>
      <c r="B465" s="1" t="n">
        <v>44974.61608796296</v>
      </c>
      <c r="C465" s="1" t="n">
        <v>46134</v>
      </c>
      <c r="D465" t="inlineStr">
        <is>
          <t>GOTLANDS LÄN</t>
        </is>
      </c>
      <c r="E465" t="inlineStr">
        <is>
          <t>GOTLAND</t>
        </is>
      </c>
      <c r="G465" t="n">
        <v>2.9</v>
      </c>
      <c r="H465" t="n">
        <v>0</v>
      </c>
      <c r="I465" t="n">
        <v>0</v>
      </c>
      <c r="J465" t="n">
        <v>0</v>
      </c>
      <c r="K465" t="n">
        <v>0</v>
      </c>
      <c r="L465" t="n">
        <v>0</v>
      </c>
      <c r="M465" t="n">
        <v>0</v>
      </c>
      <c r="N465" t="n">
        <v>0</v>
      </c>
      <c r="O465" t="n">
        <v>0</v>
      </c>
      <c r="P465" t="n">
        <v>0</v>
      </c>
      <c r="Q465" t="n">
        <v>0</v>
      </c>
      <c r="R465" s="2" t="inlineStr"/>
    </row>
    <row r="466" ht="15" customHeight="1">
      <c r="A466" t="inlineStr">
        <is>
          <t>A 53561-2025</t>
        </is>
      </c>
      <c r="B466" s="1" t="n">
        <v>45960.4059375</v>
      </c>
      <c r="C466" s="1" t="n">
        <v>46134</v>
      </c>
      <c r="D466" t="inlineStr">
        <is>
          <t>GOTLANDS LÄN</t>
        </is>
      </c>
      <c r="E466" t="inlineStr">
        <is>
          <t>GOTLAND</t>
        </is>
      </c>
      <c r="F466" t="inlineStr">
        <is>
          <t>Övriga Aktiebolag</t>
        </is>
      </c>
      <c r="G466" t="n">
        <v>2.4</v>
      </c>
      <c r="H466" t="n">
        <v>0</v>
      </c>
      <c r="I466" t="n">
        <v>0</v>
      </c>
      <c r="J466" t="n">
        <v>0</v>
      </c>
      <c r="K466" t="n">
        <v>0</v>
      </c>
      <c r="L466" t="n">
        <v>0</v>
      </c>
      <c r="M466" t="n">
        <v>0</v>
      </c>
      <c r="N466" t="n">
        <v>0</v>
      </c>
      <c r="O466" t="n">
        <v>0</v>
      </c>
      <c r="P466" t="n">
        <v>0</v>
      </c>
      <c r="Q466" t="n">
        <v>0</v>
      </c>
      <c r="R466" s="2" t="inlineStr"/>
    </row>
    <row r="467" ht="15" customHeight="1">
      <c r="A467" t="inlineStr">
        <is>
          <t>A 64969-2023</t>
        </is>
      </c>
      <c r="B467" s="1" t="n">
        <v>45284.54009259259</v>
      </c>
      <c r="C467" s="1" t="n">
        <v>46134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48843-2024</t>
        </is>
      </c>
      <c r="B468" s="1" t="n">
        <v>45593</v>
      </c>
      <c r="C468" s="1" t="n">
        <v>46134</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17541-2024</t>
        </is>
      </c>
      <c r="B469" s="1" t="n">
        <v>45415</v>
      </c>
      <c r="C469" s="1" t="n">
        <v>46134</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2241-2025</t>
        </is>
      </c>
      <c r="B470" s="1" t="n">
        <v>45673.48710648148</v>
      </c>
      <c r="C470" s="1" t="n">
        <v>46134</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62751-2025</t>
        </is>
      </c>
      <c r="B471" s="1" t="n">
        <v>46008</v>
      </c>
      <c r="C471" s="1" t="n">
        <v>46134</v>
      </c>
      <c r="D471" t="inlineStr">
        <is>
          <t>GOTLANDS LÄN</t>
        </is>
      </c>
      <c r="E471" t="inlineStr">
        <is>
          <t>GOTLAND</t>
        </is>
      </c>
      <c r="F471" t="inlineStr">
        <is>
          <t>Övriga Aktiebolag</t>
        </is>
      </c>
      <c r="G471" t="n">
        <v>7.8</v>
      </c>
      <c r="H471" t="n">
        <v>0</v>
      </c>
      <c r="I471" t="n">
        <v>0</v>
      </c>
      <c r="J471" t="n">
        <v>0</v>
      </c>
      <c r="K471" t="n">
        <v>0</v>
      </c>
      <c r="L471" t="n">
        <v>0</v>
      </c>
      <c r="M471" t="n">
        <v>0</v>
      </c>
      <c r="N471" t="n">
        <v>0</v>
      </c>
      <c r="O471" t="n">
        <v>0</v>
      </c>
      <c r="P471" t="n">
        <v>0</v>
      </c>
      <c r="Q471" t="n">
        <v>0</v>
      </c>
      <c r="R471" s="2" t="inlineStr"/>
    </row>
    <row r="472" ht="15" customHeight="1">
      <c r="A472" t="inlineStr">
        <is>
          <t>A 62754-2025</t>
        </is>
      </c>
      <c r="B472" s="1" t="n">
        <v>46008</v>
      </c>
      <c r="C472" s="1" t="n">
        <v>46134</v>
      </c>
      <c r="D472" t="inlineStr">
        <is>
          <t>GOTLANDS LÄN</t>
        </is>
      </c>
      <c r="E472" t="inlineStr">
        <is>
          <t>GOTLAND</t>
        </is>
      </c>
      <c r="F472" t="inlineStr">
        <is>
          <t>Övriga Aktiebolag</t>
        </is>
      </c>
      <c r="G472" t="n">
        <v>2.9</v>
      </c>
      <c r="H472" t="n">
        <v>0</v>
      </c>
      <c r="I472" t="n">
        <v>0</v>
      </c>
      <c r="J472" t="n">
        <v>0</v>
      </c>
      <c r="K472" t="n">
        <v>0</v>
      </c>
      <c r="L472" t="n">
        <v>0</v>
      </c>
      <c r="M472" t="n">
        <v>0</v>
      </c>
      <c r="N472" t="n">
        <v>0</v>
      </c>
      <c r="O472" t="n">
        <v>0</v>
      </c>
      <c r="P472" t="n">
        <v>0</v>
      </c>
      <c r="Q472" t="n">
        <v>0</v>
      </c>
      <c r="R472" s="2" t="inlineStr"/>
    </row>
    <row r="473" ht="15" customHeight="1">
      <c r="A473" t="inlineStr">
        <is>
          <t>A 53587-2025</t>
        </is>
      </c>
      <c r="B473" s="1" t="n">
        <v>45960.43681712963</v>
      </c>
      <c r="C473" s="1" t="n">
        <v>46134</v>
      </c>
      <c r="D473" t="inlineStr">
        <is>
          <t>GOTLANDS LÄN</t>
        </is>
      </c>
      <c r="E473" t="inlineStr">
        <is>
          <t>GOTLAND</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15434-2024</t>
        </is>
      </c>
      <c r="B474" s="1" t="n">
        <v>45401.38836805556</v>
      </c>
      <c r="C474" s="1" t="n">
        <v>46134</v>
      </c>
      <c r="D474" t="inlineStr">
        <is>
          <t>GOTLANDS LÄN</t>
        </is>
      </c>
      <c r="E474" t="inlineStr">
        <is>
          <t>GOTLAND</t>
        </is>
      </c>
      <c r="G474" t="n">
        <v>2.5</v>
      </c>
      <c r="H474" t="n">
        <v>0</v>
      </c>
      <c r="I474" t="n">
        <v>0</v>
      </c>
      <c r="J474" t="n">
        <v>0</v>
      </c>
      <c r="K474" t="n">
        <v>0</v>
      </c>
      <c r="L474" t="n">
        <v>0</v>
      </c>
      <c r="M474" t="n">
        <v>0</v>
      </c>
      <c r="N474" t="n">
        <v>0</v>
      </c>
      <c r="O474" t="n">
        <v>0</v>
      </c>
      <c r="P474" t="n">
        <v>0</v>
      </c>
      <c r="Q474" t="n">
        <v>0</v>
      </c>
      <c r="R474" s="2" t="inlineStr"/>
    </row>
    <row r="475" ht="15" customHeight="1">
      <c r="A475" t="inlineStr">
        <is>
          <t>A 9504-2026</t>
        </is>
      </c>
      <c r="B475" s="1" t="n">
        <v>46071.57730324074</v>
      </c>
      <c r="C475" s="1" t="n">
        <v>46134</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9518-2026</t>
        </is>
      </c>
      <c r="B476" s="1" t="n">
        <v>46071.59653935185</v>
      </c>
      <c r="C476" s="1" t="n">
        <v>46134</v>
      </c>
      <c r="D476" t="inlineStr">
        <is>
          <t>GOTLANDS LÄN</t>
        </is>
      </c>
      <c r="E476" t="inlineStr">
        <is>
          <t>GOTLAND</t>
        </is>
      </c>
      <c r="G476" t="n">
        <v>6.2</v>
      </c>
      <c r="H476" t="n">
        <v>0</v>
      </c>
      <c r="I476" t="n">
        <v>0</v>
      </c>
      <c r="J476" t="n">
        <v>0</v>
      </c>
      <c r="K476" t="n">
        <v>0</v>
      </c>
      <c r="L476" t="n">
        <v>0</v>
      </c>
      <c r="M476" t="n">
        <v>0</v>
      </c>
      <c r="N476" t="n">
        <v>0</v>
      </c>
      <c r="O476" t="n">
        <v>0</v>
      </c>
      <c r="P476" t="n">
        <v>0</v>
      </c>
      <c r="Q476" t="n">
        <v>0</v>
      </c>
      <c r="R476" s="2" t="inlineStr"/>
    </row>
    <row r="477" ht="15" customHeight="1">
      <c r="A477" t="inlineStr">
        <is>
          <t>A 9519-2026</t>
        </is>
      </c>
      <c r="B477" s="1" t="n">
        <v>46071.59820601852</v>
      </c>
      <c r="C477" s="1" t="n">
        <v>46134</v>
      </c>
      <c r="D477" t="inlineStr">
        <is>
          <t>GOTLANDS LÄN</t>
        </is>
      </c>
      <c r="E477" t="inlineStr">
        <is>
          <t>GOTLAND</t>
        </is>
      </c>
      <c r="G477" t="n">
        <v>4</v>
      </c>
      <c r="H477" t="n">
        <v>0</v>
      </c>
      <c r="I477" t="n">
        <v>0</v>
      </c>
      <c r="J477" t="n">
        <v>0</v>
      </c>
      <c r="K477" t="n">
        <v>0</v>
      </c>
      <c r="L477" t="n">
        <v>0</v>
      </c>
      <c r="M477" t="n">
        <v>0</v>
      </c>
      <c r="N477" t="n">
        <v>0</v>
      </c>
      <c r="O477" t="n">
        <v>0</v>
      </c>
      <c r="P477" t="n">
        <v>0</v>
      </c>
      <c r="Q477" t="n">
        <v>0</v>
      </c>
      <c r="R477" s="2" t="inlineStr"/>
    </row>
    <row r="478" ht="15" customHeight="1">
      <c r="A478" t="inlineStr">
        <is>
          <t>A 9540-2026</t>
        </is>
      </c>
      <c r="B478" s="1" t="n">
        <v>46071.61961805556</v>
      </c>
      <c r="C478" s="1" t="n">
        <v>46134</v>
      </c>
      <c r="D478" t="inlineStr">
        <is>
          <t>GOTLANDS LÄN</t>
        </is>
      </c>
      <c r="E478" t="inlineStr">
        <is>
          <t>GOTLAND</t>
        </is>
      </c>
      <c r="G478" t="n">
        <v>2.8</v>
      </c>
      <c r="H478" t="n">
        <v>0</v>
      </c>
      <c r="I478" t="n">
        <v>0</v>
      </c>
      <c r="J478" t="n">
        <v>0</v>
      </c>
      <c r="K478" t="n">
        <v>0</v>
      </c>
      <c r="L478" t="n">
        <v>0</v>
      </c>
      <c r="M478" t="n">
        <v>0</v>
      </c>
      <c r="N478" t="n">
        <v>0</v>
      </c>
      <c r="O478" t="n">
        <v>0</v>
      </c>
      <c r="P478" t="n">
        <v>0</v>
      </c>
      <c r="Q478" t="n">
        <v>0</v>
      </c>
      <c r="R478" s="2" t="inlineStr"/>
    </row>
    <row r="479" ht="15" customHeight="1">
      <c r="A479" t="inlineStr">
        <is>
          <t>A 9521-2026</t>
        </is>
      </c>
      <c r="B479" s="1" t="n">
        <v>46071.59969907408</v>
      </c>
      <c r="C479" s="1" t="n">
        <v>46134</v>
      </c>
      <c r="D479" t="inlineStr">
        <is>
          <t>GOTLANDS LÄN</t>
        </is>
      </c>
      <c r="E479" t="inlineStr">
        <is>
          <t>GOTLAND</t>
        </is>
      </c>
      <c r="G479" t="n">
        <v>3.9</v>
      </c>
      <c r="H479" t="n">
        <v>0</v>
      </c>
      <c r="I479" t="n">
        <v>0</v>
      </c>
      <c r="J479" t="n">
        <v>0</v>
      </c>
      <c r="K479" t="n">
        <v>0</v>
      </c>
      <c r="L479" t="n">
        <v>0</v>
      </c>
      <c r="M479" t="n">
        <v>0</v>
      </c>
      <c r="N479" t="n">
        <v>0</v>
      </c>
      <c r="O479" t="n">
        <v>0</v>
      </c>
      <c r="P479" t="n">
        <v>0</v>
      </c>
      <c r="Q479" t="n">
        <v>0</v>
      </c>
      <c r="R479" s="2" t="inlineStr"/>
    </row>
    <row r="480" ht="15" customHeight="1">
      <c r="A480" t="inlineStr">
        <is>
          <t>A 9524-2026</t>
        </is>
      </c>
      <c r="B480" s="1" t="n">
        <v>46071.60108796296</v>
      </c>
      <c r="C480" s="1" t="n">
        <v>46134</v>
      </c>
      <c r="D480" t="inlineStr">
        <is>
          <t>GOTLANDS LÄN</t>
        </is>
      </c>
      <c r="E480" t="inlineStr">
        <is>
          <t>GOTLAND</t>
        </is>
      </c>
      <c r="G480" t="n">
        <v>2.5</v>
      </c>
      <c r="H480" t="n">
        <v>0</v>
      </c>
      <c r="I480" t="n">
        <v>0</v>
      </c>
      <c r="J480" t="n">
        <v>0</v>
      </c>
      <c r="K480" t="n">
        <v>0</v>
      </c>
      <c r="L480" t="n">
        <v>0</v>
      </c>
      <c r="M480" t="n">
        <v>0</v>
      </c>
      <c r="N480" t="n">
        <v>0</v>
      </c>
      <c r="O480" t="n">
        <v>0</v>
      </c>
      <c r="P480" t="n">
        <v>0</v>
      </c>
      <c r="Q480" t="n">
        <v>0</v>
      </c>
      <c r="R480" s="2" t="inlineStr"/>
    </row>
    <row r="481" ht="15" customHeight="1">
      <c r="A481" t="inlineStr">
        <is>
          <t>A 9543-2026</t>
        </is>
      </c>
      <c r="B481" s="1" t="n">
        <v>46071.62486111111</v>
      </c>
      <c r="C481" s="1" t="n">
        <v>46134</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5943-2024</t>
        </is>
      </c>
      <c r="B482" s="1" t="n">
        <v>45336</v>
      </c>
      <c r="C482" s="1" t="n">
        <v>46134</v>
      </c>
      <c r="D482" t="inlineStr">
        <is>
          <t>GOTLANDS LÄN</t>
        </is>
      </c>
      <c r="E482" t="inlineStr">
        <is>
          <t>GOTLAND</t>
        </is>
      </c>
      <c r="G482" t="n">
        <v>4.3</v>
      </c>
      <c r="H482" t="n">
        <v>0</v>
      </c>
      <c r="I482" t="n">
        <v>0</v>
      </c>
      <c r="J482" t="n">
        <v>0</v>
      </c>
      <c r="K482" t="n">
        <v>0</v>
      </c>
      <c r="L482" t="n">
        <v>0</v>
      </c>
      <c r="M482" t="n">
        <v>0</v>
      </c>
      <c r="N482" t="n">
        <v>0</v>
      </c>
      <c r="O482" t="n">
        <v>0</v>
      </c>
      <c r="P482" t="n">
        <v>0</v>
      </c>
      <c r="Q482" t="n">
        <v>0</v>
      </c>
      <c r="R482" s="2" t="inlineStr"/>
    </row>
    <row r="483" ht="15" customHeight="1">
      <c r="A483" t="inlineStr">
        <is>
          <t>A 54073-2022</t>
        </is>
      </c>
      <c r="B483" s="1" t="n">
        <v>44881.50380787037</v>
      </c>
      <c r="C483" s="1" t="n">
        <v>46134</v>
      </c>
      <c r="D483" t="inlineStr">
        <is>
          <t>GOTLANDS LÄN</t>
        </is>
      </c>
      <c r="E483" t="inlineStr">
        <is>
          <t>GOTLAND</t>
        </is>
      </c>
      <c r="G483" t="n">
        <v>3.8</v>
      </c>
      <c r="H483" t="n">
        <v>0</v>
      </c>
      <c r="I483" t="n">
        <v>0</v>
      </c>
      <c r="J483" t="n">
        <v>0</v>
      </c>
      <c r="K483" t="n">
        <v>0</v>
      </c>
      <c r="L483" t="n">
        <v>0</v>
      </c>
      <c r="M483" t="n">
        <v>0</v>
      </c>
      <c r="N483" t="n">
        <v>0</v>
      </c>
      <c r="O483" t="n">
        <v>0</v>
      </c>
      <c r="P483" t="n">
        <v>0</v>
      </c>
      <c r="Q483" t="n">
        <v>0</v>
      </c>
      <c r="R483" s="2" t="inlineStr"/>
    </row>
    <row r="484" ht="15" customHeight="1">
      <c r="A484" t="inlineStr">
        <is>
          <t>A 16361-2024</t>
        </is>
      </c>
      <c r="B484" s="1" t="n">
        <v>45407</v>
      </c>
      <c r="C484" s="1" t="n">
        <v>46134</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16993-2026</t>
        </is>
      </c>
      <c r="B485" s="1" t="n">
        <v>46114.41918981481</v>
      </c>
      <c r="C485" s="1" t="n">
        <v>46134</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17000-2026</t>
        </is>
      </c>
      <c r="B486" s="1" t="n">
        <v>46114.42690972222</v>
      </c>
      <c r="C486" s="1" t="n">
        <v>46134</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41038-2023</t>
        </is>
      </c>
      <c r="B487" s="1" t="n">
        <v>45173.60959490741</v>
      </c>
      <c r="C487" s="1" t="n">
        <v>46134</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63152-2025</t>
        </is>
      </c>
      <c r="B488" s="1" t="n">
        <v>46010</v>
      </c>
      <c r="C488" s="1" t="n">
        <v>46134</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10486-2026</t>
        </is>
      </c>
      <c r="B489" s="1" t="n">
        <v>46077.51425925926</v>
      </c>
      <c r="C489" s="1" t="n">
        <v>46134</v>
      </c>
      <c r="D489" t="inlineStr">
        <is>
          <t>GOTLANDS LÄN</t>
        </is>
      </c>
      <c r="E489" t="inlineStr">
        <is>
          <t>GOTLAND</t>
        </is>
      </c>
      <c r="G489" t="n">
        <v>3.5</v>
      </c>
      <c r="H489" t="n">
        <v>0</v>
      </c>
      <c r="I489" t="n">
        <v>0</v>
      </c>
      <c r="J489" t="n">
        <v>0</v>
      </c>
      <c r="K489" t="n">
        <v>0</v>
      </c>
      <c r="L489" t="n">
        <v>0</v>
      </c>
      <c r="M489" t="n">
        <v>0</v>
      </c>
      <c r="N489" t="n">
        <v>0</v>
      </c>
      <c r="O489" t="n">
        <v>0</v>
      </c>
      <c r="P489" t="n">
        <v>0</v>
      </c>
      <c r="Q489" t="n">
        <v>0</v>
      </c>
      <c r="R489" s="2" t="inlineStr"/>
    </row>
    <row r="490" ht="15" customHeight="1">
      <c r="A490" t="inlineStr">
        <is>
          <t>A 14427-2024</t>
        </is>
      </c>
      <c r="B490" s="1" t="n">
        <v>45394</v>
      </c>
      <c r="C490" s="1" t="n">
        <v>46134</v>
      </c>
      <c r="D490" t="inlineStr">
        <is>
          <t>GOTLANDS LÄN</t>
        </is>
      </c>
      <c r="E490" t="inlineStr">
        <is>
          <t>GOTLAND</t>
        </is>
      </c>
      <c r="G490" t="n">
        <v>1.3</v>
      </c>
      <c r="H490" t="n">
        <v>0</v>
      </c>
      <c r="I490" t="n">
        <v>0</v>
      </c>
      <c r="J490" t="n">
        <v>0</v>
      </c>
      <c r="K490" t="n">
        <v>0</v>
      </c>
      <c r="L490" t="n">
        <v>0</v>
      </c>
      <c r="M490" t="n">
        <v>0</v>
      </c>
      <c r="N490" t="n">
        <v>0</v>
      </c>
      <c r="O490" t="n">
        <v>0</v>
      </c>
      <c r="P490" t="n">
        <v>0</v>
      </c>
      <c r="Q490" t="n">
        <v>0</v>
      </c>
      <c r="R490" s="2" t="inlineStr"/>
    </row>
    <row r="491" ht="15" customHeight="1">
      <c r="A491" t="inlineStr">
        <is>
          <t>A 9901-2026</t>
        </is>
      </c>
      <c r="B491" s="1" t="n">
        <v>46073.40391203704</v>
      </c>
      <c r="C491" s="1" t="n">
        <v>46134</v>
      </c>
      <c r="D491" t="inlineStr">
        <is>
          <t>GOTLANDS LÄN</t>
        </is>
      </c>
      <c r="E491" t="inlineStr">
        <is>
          <t>GOTLAND</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17328-2026</t>
        </is>
      </c>
      <c r="B492" s="1" t="n">
        <v>46119.61216435185</v>
      </c>
      <c r="C492" s="1" t="n">
        <v>46134</v>
      </c>
      <c r="D492" t="inlineStr">
        <is>
          <t>GOTLANDS LÄN</t>
        </is>
      </c>
      <c r="E492" t="inlineStr">
        <is>
          <t>GOTLAND</t>
        </is>
      </c>
      <c r="F492" t="inlineStr">
        <is>
          <t>Kyrkan</t>
        </is>
      </c>
      <c r="G492" t="n">
        <v>4</v>
      </c>
      <c r="H492" t="n">
        <v>0</v>
      </c>
      <c r="I492" t="n">
        <v>0</v>
      </c>
      <c r="J492" t="n">
        <v>0</v>
      </c>
      <c r="K492" t="n">
        <v>0</v>
      </c>
      <c r="L492" t="n">
        <v>0</v>
      </c>
      <c r="M492" t="n">
        <v>0</v>
      </c>
      <c r="N492" t="n">
        <v>0</v>
      </c>
      <c r="O492" t="n">
        <v>0</v>
      </c>
      <c r="P492" t="n">
        <v>0</v>
      </c>
      <c r="Q492" t="n">
        <v>0</v>
      </c>
      <c r="R492" s="2" t="inlineStr"/>
    </row>
    <row r="493" ht="15" customHeight="1">
      <c r="A493" t="inlineStr">
        <is>
          <t>A 31802-2024</t>
        </is>
      </c>
      <c r="B493" s="1" t="n">
        <v>45509</v>
      </c>
      <c r="C493" s="1" t="n">
        <v>46134</v>
      </c>
      <c r="D493" t="inlineStr">
        <is>
          <t>GOTLANDS LÄN</t>
        </is>
      </c>
      <c r="E493" t="inlineStr">
        <is>
          <t>GOTLAND</t>
        </is>
      </c>
      <c r="G493" t="n">
        <v>2.8</v>
      </c>
      <c r="H493" t="n">
        <v>0</v>
      </c>
      <c r="I493" t="n">
        <v>0</v>
      </c>
      <c r="J493" t="n">
        <v>0</v>
      </c>
      <c r="K493" t="n">
        <v>0</v>
      </c>
      <c r="L493" t="n">
        <v>0</v>
      </c>
      <c r="M493" t="n">
        <v>0</v>
      </c>
      <c r="N493" t="n">
        <v>0</v>
      </c>
      <c r="O493" t="n">
        <v>0</v>
      </c>
      <c r="P493" t="n">
        <v>0</v>
      </c>
      <c r="Q493" t="n">
        <v>0</v>
      </c>
      <c r="R493" s="2" t="inlineStr"/>
    </row>
    <row r="494" ht="15" customHeight="1">
      <c r="A494" t="inlineStr">
        <is>
          <t>A 10284-2026</t>
        </is>
      </c>
      <c r="B494" s="1" t="n">
        <v>46076</v>
      </c>
      <c r="C494" s="1" t="n">
        <v>46134</v>
      </c>
      <c r="D494" t="inlineStr">
        <is>
          <t>GOTLANDS LÄN</t>
        </is>
      </c>
      <c r="E494" t="inlineStr">
        <is>
          <t>GOTLAND</t>
        </is>
      </c>
      <c r="G494" t="n">
        <v>5.2</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44609.44362268518</v>
      </c>
      <c r="C495" s="1" t="n">
        <v>46134</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12846-2025</t>
        </is>
      </c>
      <c r="B496" s="1" t="n">
        <v>45733.65049768519</v>
      </c>
      <c r="C496" s="1" t="n">
        <v>46134</v>
      </c>
      <c r="D496" t="inlineStr">
        <is>
          <t>GOTLANDS LÄN</t>
        </is>
      </c>
      <c r="E496" t="inlineStr">
        <is>
          <t>GOTLAND</t>
        </is>
      </c>
      <c r="G496" t="n">
        <v>1.7</v>
      </c>
      <c r="H496" t="n">
        <v>0</v>
      </c>
      <c r="I496" t="n">
        <v>0</v>
      </c>
      <c r="J496" t="n">
        <v>0</v>
      </c>
      <c r="K496" t="n">
        <v>0</v>
      </c>
      <c r="L496" t="n">
        <v>0</v>
      </c>
      <c r="M496" t="n">
        <v>0</v>
      </c>
      <c r="N496" t="n">
        <v>0</v>
      </c>
      <c r="O496" t="n">
        <v>0</v>
      </c>
      <c r="P496" t="n">
        <v>0</v>
      </c>
      <c r="Q496" t="n">
        <v>0</v>
      </c>
      <c r="R496" s="2" t="inlineStr"/>
    </row>
    <row r="497" ht="15" customHeight="1">
      <c r="A497" t="inlineStr">
        <is>
          <t>A 60384-2025</t>
        </is>
      </c>
      <c r="B497" s="1" t="n">
        <v>45995</v>
      </c>
      <c r="C497" s="1" t="n">
        <v>46134</v>
      </c>
      <c r="D497" t="inlineStr">
        <is>
          <t>GOTLANDS LÄN</t>
        </is>
      </c>
      <c r="E497" t="inlineStr">
        <is>
          <t>GOTLAND</t>
        </is>
      </c>
      <c r="G497" t="n">
        <v>2.5</v>
      </c>
      <c r="H497" t="n">
        <v>0</v>
      </c>
      <c r="I497" t="n">
        <v>0</v>
      </c>
      <c r="J497" t="n">
        <v>0</v>
      </c>
      <c r="K497" t="n">
        <v>0</v>
      </c>
      <c r="L497" t="n">
        <v>0</v>
      </c>
      <c r="M497" t="n">
        <v>0</v>
      </c>
      <c r="N497" t="n">
        <v>0</v>
      </c>
      <c r="O497" t="n">
        <v>0</v>
      </c>
      <c r="P497" t="n">
        <v>0</v>
      </c>
      <c r="Q497" t="n">
        <v>0</v>
      </c>
      <c r="R497" s="2" t="inlineStr"/>
    </row>
    <row r="498" ht="15" customHeight="1">
      <c r="A498" t="inlineStr">
        <is>
          <t>A 46949-2024</t>
        </is>
      </c>
      <c r="B498" s="1" t="n">
        <v>45585</v>
      </c>
      <c r="C498" s="1" t="n">
        <v>46134</v>
      </c>
      <c r="D498" t="inlineStr">
        <is>
          <t>GOTLANDS LÄN</t>
        </is>
      </c>
      <c r="E498" t="inlineStr">
        <is>
          <t>GOTLAND</t>
        </is>
      </c>
      <c r="G498" t="n">
        <v>0.6</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44624.57945601852</v>
      </c>
      <c r="C499" s="1" t="n">
        <v>46134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17935-2026</t>
        </is>
      </c>
      <c r="B500" s="1" t="n">
        <v>46122</v>
      </c>
      <c r="C500" s="1" t="n">
        <v>46134</v>
      </c>
      <c r="D500" t="inlineStr">
        <is>
          <t>GOTLANDS LÄN</t>
        </is>
      </c>
      <c r="E500" t="inlineStr">
        <is>
          <t>GOTLAND</t>
        </is>
      </c>
      <c r="G500" t="n">
        <v>0.9</v>
      </c>
      <c r="H500" t="n">
        <v>0</v>
      </c>
      <c r="I500" t="n">
        <v>0</v>
      </c>
      <c r="J500" t="n">
        <v>0</v>
      </c>
      <c r="K500" t="n">
        <v>0</v>
      </c>
      <c r="L500" t="n">
        <v>0</v>
      </c>
      <c r="M500" t="n">
        <v>0</v>
      </c>
      <c r="N500" t="n">
        <v>0</v>
      </c>
      <c r="O500" t="n">
        <v>0</v>
      </c>
      <c r="P500" t="n">
        <v>0</v>
      </c>
      <c r="Q500" t="n">
        <v>0</v>
      </c>
      <c r="R500" s="2" t="inlineStr"/>
    </row>
    <row r="501" ht="15" customHeight="1">
      <c r="A501" t="inlineStr">
        <is>
          <t>A 11424-2026</t>
        </is>
      </c>
      <c r="B501" s="1" t="n">
        <v>46083.48068287037</v>
      </c>
      <c r="C501" s="1" t="n">
        <v>46134</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11414-2026</t>
        </is>
      </c>
      <c r="B502" s="1" t="n">
        <v>46083.46336805556</v>
      </c>
      <c r="C502" s="1" t="n">
        <v>46134</v>
      </c>
      <c r="D502" t="inlineStr">
        <is>
          <t>GOTLANDS LÄN</t>
        </is>
      </c>
      <c r="E502" t="inlineStr">
        <is>
          <t>GOTLAND</t>
        </is>
      </c>
      <c r="G502" t="n">
        <v>4.9</v>
      </c>
      <c r="H502" t="n">
        <v>0</v>
      </c>
      <c r="I502" t="n">
        <v>0</v>
      </c>
      <c r="J502" t="n">
        <v>0</v>
      </c>
      <c r="K502" t="n">
        <v>0</v>
      </c>
      <c r="L502" t="n">
        <v>0</v>
      </c>
      <c r="M502" t="n">
        <v>0</v>
      </c>
      <c r="N502" t="n">
        <v>0</v>
      </c>
      <c r="O502" t="n">
        <v>0</v>
      </c>
      <c r="P502" t="n">
        <v>0</v>
      </c>
      <c r="Q502" t="n">
        <v>0</v>
      </c>
      <c r="R502" s="2" t="inlineStr"/>
    </row>
    <row r="503" ht="15" customHeight="1">
      <c r="A503" t="inlineStr">
        <is>
          <t>A 17943-2026</t>
        </is>
      </c>
      <c r="B503" s="1" t="n">
        <v>46122</v>
      </c>
      <c r="C503" s="1" t="n">
        <v>46134</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54584-2025</t>
        </is>
      </c>
      <c r="B504" s="1" t="n">
        <v>45965.71788194445</v>
      </c>
      <c r="C504" s="1" t="n">
        <v>46134</v>
      </c>
      <c r="D504" t="inlineStr">
        <is>
          <t>GOTLANDS LÄN</t>
        </is>
      </c>
      <c r="E504" t="inlineStr">
        <is>
          <t>GOTLAND</t>
        </is>
      </c>
      <c r="G504" t="n">
        <v>3.5</v>
      </c>
      <c r="H504" t="n">
        <v>0</v>
      </c>
      <c r="I504" t="n">
        <v>0</v>
      </c>
      <c r="J504" t="n">
        <v>0</v>
      </c>
      <c r="K504" t="n">
        <v>0</v>
      </c>
      <c r="L504" t="n">
        <v>0</v>
      </c>
      <c r="M504" t="n">
        <v>0</v>
      </c>
      <c r="N504" t="n">
        <v>0</v>
      </c>
      <c r="O504" t="n">
        <v>0</v>
      </c>
      <c r="P504" t="n">
        <v>0</v>
      </c>
      <c r="Q504" t="n">
        <v>0</v>
      </c>
      <c r="R504" s="2" t="inlineStr"/>
    </row>
    <row r="505" ht="15" customHeight="1">
      <c r="A505" t="inlineStr">
        <is>
          <t>A 3067-2026</t>
        </is>
      </c>
      <c r="B505" s="1" t="n">
        <v>46040.59025462963</v>
      </c>
      <c r="C505" s="1" t="n">
        <v>46134</v>
      </c>
      <c r="D505" t="inlineStr">
        <is>
          <t>GOTLANDS LÄN</t>
        </is>
      </c>
      <c r="E505" t="inlineStr">
        <is>
          <t>GOTLAND</t>
        </is>
      </c>
      <c r="G505" t="n">
        <v>7.8</v>
      </c>
      <c r="H505" t="n">
        <v>0</v>
      </c>
      <c r="I505" t="n">
        <v>0</v>
      </c>
      <c r="J505" t="n">
        <v>0</v>
      </c>
      <c r="K505" t="n">
        <v>0</v>
      </c>
      <c r="L505" t="n">
        <v>0</v>
      </c>
      <c r="M505" t="n">
        <v>0</v>
      </c>
      <c r="N505" t="n">
        <v>0</v>
      </c>
      <c r="O505" t="n">
        <v>0</v>
      </c>
      <c r="P505" t="n">
        <v>0</v>
      </c>
      <c r="Q505" t="n">
        <v>0</v>
      </c>
      <c r="R505" s="2" t="inlineStr"/>
    </row>
    <row r="506" ht="15" customHeight="1">
      <c r="A506" t="inlineStr">
        <is>
          <t>A 11634-2024</t>
        </is>
      </c>
      <c r="B506" s="1" t="n">
        <v>45373</v>
      </c>
      <c r="C506" s="1" t="n">
        <v>46134</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1351-2025</t>
        </is>
      </c>
      <c r="B507" s="1" t="n">
        <v>45667.62246527777</v>
      </c>
      <c r="C507" s="1" t="n">
        <v>46134</v>
      </c>
      <c r="D507" t="inlineStr">
        <is>
          <t>GOTLANDS LÄN</t>
        </is>
      </c>
      <c r="E507" t="inlineStr">
        <is>
          <t>GOTLAND</t>
        </is>
      </c>
      <c r="G507" t="n">
        <v>1.3</v>
      </c>
      <c r="H507" t="n">
        <v>0</v>
      </c>
      <c r="I507" t="n">
        <v>0</v>
      </c>
      <c r="J507" t="n">
        <v>0</v>
      </c>
      <c r="K507" t="n">
        <v>0</v>
      </c>
      <c r="L507" t="n">
        <v>0</v>
      </c>
      <c r="M507" t="n">
        <v>0</v>
      </c>
      <c r="N507" t="n">
        <v>0</v>
      </c>
      <c r="O507" t="n">
        <v>0</v>
      </c>
      <c r="P507" t="n">
        <v>0</v>
      </c>
      <c r="Q507" t="n">
        <v>0</v>
      </c>
      <c r="R507" s="2" t="inlineStr"/>
    </row>
    <row r="508" ht="15" customHeight="1">
      <c r="A508" t="inlineStr">
        <is>
          <t>A 11982-2026</t>
        </is>
      </c>
      <c r="B508" s="1" t="n">
        <v>46085.6434375</v>
      </c>
      <c r="C508" s="1" t="n">
        <v>46134</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39496-2022</t>
        </is>
      </c>
      <c r="B509" s="1" t="n">
        <v>44818</v>
      </c>
      <c r="C509" s="1" t="n">
        <v>46134</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49874-2024</t>
        </is>
      </c>
      <c r="B510" s="1" t="n">
        <v>45597.49274305555</v>
      </c>
      <c r="C510" s="1" t="n">
        <v>46134</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18804-2026</t>
        </is>
      </c>
      <c r="B511" s="1" t="n">
        <v>46128.62366898148</v>
      </c>
      <c r="C511" s="1" t="n">
        <v>46134</v>
      </c>
      <c r="D511" t="inlineStr">
        <is>
          <t>GOTLANDS LÄN</t>
        </is>
      </c>
      <c r="E511" t="inlineStr">
        <is>
          <t>GOTLAND</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12135-2026</t>
        </is>
      </c>
      <c r="B512" s="1" t="n">
        <v>46086</v>
      </c>
      <c r="C512" s="1" t="n">
        <v>46134</v>
      </c>
      <c r="D512" t="inlineStr">
        <is>
          <t>GOTLANDS LÄN</t>
        </is>
      </c>
      <c r="E512" t="inlineStr">
        <is>
          <t>GOTLAND</t>
        </is>
      </c>
      <c r="G512" t="n">
        <v>3</v>
      </c>
      <c r="H512" t="n">
        <v>0</v>
      </c>
      <c r="I512" t="n">
        <v>0</v>
      </c>
      <c r="J512" t="n">
        <v>0</v>
      </c>
      <c r="K512" t="n">
        <v>0</v>
      </c>
      <c r="L512" t="n">
        <v>0</v>
      </c>
      <c r="M512" t="n">
        <v>0</v>
      </c>
      <c r="N512" t="n">
        <v>0</v>
      </c>
      <c r="O512" t="n">
        <v>0</v>
      </c>
      <c r="P512" t="n">
        <v>0</v>
      </c>
      <c r="Q512" t="n">
        <v>0</v>
      </c>
      <c r="R512" s="2" t="inlineStr"/>
    </row>
    <row r="513" ht="15" customHeight="1">
      <c r="A513" t="inlineStr">
        <is>
          <t>A 46400-2023</t>
        </is>
      </c>
      <c r="B513" s="1" t="n">
        <v>45197.49290509259</v>
      </c>
      <c r="C513" s="1" t="n">
        <v>46134</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42201-2023</t>
        </is>
      </c>
      <c r="B514" s="1" t="n">
        <v>45179</v>
      </c>
      <c r="C514" s="1" t="n">
        <v>46134</v>
      </c>
      <c r="D514" t="inlineStr">
        <is>
          <t>GOTLANDS LÄN</t>
        </is>
      </c>
      <c r="E514" t="inlineStr">
        <is>
          <t>GOTLAND</t>
        </is>
      </c>
      <c r="G514" t="n">
        <v>11.9</v>
      </c>
      <c r="H514" t="n">
        <v>0</v>
      </c>
      <c r="I514" t="n">
        <v>0</v>
      </c>
      <c r="J514" t="n">
        <v>0</v>
      </c>
      <c r="K514" t="n">
        <v>0</v>
      </c>
      <c r="L514" t="n">
        <v>0</v>
      </c>
      <c r="M514" t="n">
        <v>0</v>
      </c>
      <c r="N514" t="n">
        <v>0</v>
      </c>
      <c r="O514" t="n">
        <v>0</v>
      </c>
      <c r="P514" t="n">
        <v>0</v>
      </c>
      <c r="Q514" t="n">
        <v>0</v>
      </c>
      <c r="R514" s="2" t="inlineStr"/>
    </row>
    <row r="515" ht="15" customHeight="1">
      <c r="A515" t="inlineStr">
        <is>
          <t>A 5863-2026</t>
        </is>
      </c>
      <c r="B515" s="1" t="n">
        <v>46052.36697916667</v>
      </c>
      <c r="C515" s="1" t="n">
        <v>46134</v>
      </c>
      <c r="D515" t="inlineStr">
        <is>
          <t>GOTLANDS LÄN</t>
        </is>
      </c>
      <c r="E515" t="inlineStr">
        <is>
          <t>GOTLAND</t>
        </is>
      </c>
      <c r="G515" t="n">
        <v>1.8</v>
      </c>
      <c r="H515" t="n">
        <v>0</v>
      </c>
      <c r="I515" t="n">
        <v>0</v>
      </c>
      <c r="J515" t="n">
        <v>0</v>
      </c>
      <c r="K515" t="n">
        <v>0</v>
      </c>
      <c r="L515" t="n">
        <v>0</v>
      </c>
      <c r="M515" t="n">
        <v>0</v>
      </c>
      <c r="N515" t="n">
        <v>0</v>
      </c>
      <c r="O515" t="n">
        <v>0</v>
      </c>
      <c r="P515" t="n">
        <v>0</v>
      </c>
      <c r="Q515" t="n">
        <v>0</v>
      </c>
      <c r="R515" s="2" t="inlineStr"/>
    </row>
    <row r="516" ht="15" customHeight="1">
      <c r="A516" t="inlineStr">
        <is>
          <t>A 9875-2025</t>
        </is>
      </c>
      <c r="B516" s="1" t="n">
        <v>45716</v>
      </c>
      <c r="C516" s="1" t="n">
        <v>46134</v>
      </c>
      <c r="D516" t="inlineStr">
        <is>
          <t>GOTLANDS LÄN</t>
        </is>
      </c>
      <c r="E516" t="inlineStr">
        <is>
          <t>GOTLAND</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19322-2026</t>
        </is>
      </c>
      <c r="B517" s="1" t="n">
        <v>46129</v>
      </c>
      <c r="C517" s="1" t="n">
        <v>46134</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21164-2024</t>
        </is>
      </c>
      <c r="B518" s="1" t="n">
        <v>45440</v>
      </c>
      <c r="C518" s="1" t="n">
        <v>46134</v>
      </c>
      <c r="D518" t="inlineStr">
        <is>
          <t>GOTLANDS LÄN</t>
        </is>
      </c>
      <c r="E518" t="inlineStr">
        <is>
          <t>GOTLAND</t>
        </is>
      </c>
      <c r="G518" t="n">
        <v>6.3</v>
      </c>
      <c r="H518" t="n">
        <v>0</v>
      </c>
      <c r="I518" t="n">
        <v>0</v>
      </c>
      <c r="J518" t="n">
        <v>0</v>
      </c>
      <c r="K518" t="n">
        <v>0</v>
      </c>
      <c r="L518" t="n">
        <v>0</v>
      </c>
      <c r="M518" t="n">
        <v>0</v>
      </c>
      <c r="N518" t="n">
        <v>0</v>
      </c>
      <c r="O518" t="n">
        <v>0</v>
      </c>
      <c r="P518" t="n">
        <v>0</v>
      </c>
      <c r="Q518" t="n">
        <v>0</v>
      </c>
      <c r="R518" s="2" t="inlineStr"/>
    </row>
    <row r="519" ht="15" customHeight="1">
      <c r="A519" t="inlineStr">
        <is>
          <t>A 8045-2022</t>
        </is>
      </c>
      <c r="B519" s="1" t="n">
        <v>44609</v>
      </c>
      <c r="C519" s="1" t="n">
        <v>46134</v>
      </c>
      <c r="D519" t="inlineStr">
        <is>
          <t>GOTLANDS LÄN</t>
        </is>
      </c>
      <c r="E519" t="inlineStr">
        <is>
          <t>GOTLAND</t>
        </is>
      </c>
      <c r="G519" t="n">
        <v>7</v>
      </c>
      <c r="H519" t="n">
        <v>0</v>
      </c>
      <c r="I519" t="n">
        <v>0</v>
      </c>
      <c r="J519" t="n">
        <v>0</v>
      </c>
      <c r="K519" t="n">
        <v>0</v>
      </c>
      <c r="L519" t="n">
        <v>0</v>
      </c>
      <c r="M519" t="n">
        <v>0</v>
      </c>
      <c r="N519" t="n">
        <v>0</v>
      </c>
      <c r="O519" t="n">
        <v>0</v>
      </c>
      <c r="P519" t="n">
        <v>0</v>
      </c>
      <c r="Q519" t="n">
        <v>0</v>
      </c>
      <c r="R519" s="2" t="inlineStr"/>
    </row>
    <row r="520" ht="15" customHeight="1">
      <c r="A520" t="inlineStr">
        <is>
          <t>A 22897-2023</t>
        </is>
      </c>
      <c r="B520" s="1" t="n">
        <v>45072.55239583334</v>
      </c>
      <c r="C520" s="1" t="n">
        <v>46134</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61897-2024</t>
        </is>
      </c>
      <c r="B521" s="1" t="n">
        <v>45652.75685185185</v>
      </c>
      <c r="C521" s="1" t="n">
        <v>46134</v>
      </c>
      <c r="D521" t="inlineStr">
        <is>
          <t>GOTLANDS LÄN</t>
        </is>
      </c>
      <c r="E521" t="inlineStr">
        <is>
          <t>GOTLAND</t>
        </is>
      </c>
      <c r="G521" t="n">
        <v>6.4</v>
      </c>
      <c r="H521" t="n">
        <v>0</v>
      </c>
      <c r="I521" t="n">
        <v>0</v>
      </c>
      <c r="J521" t="n">
        <v>0</v>
      </c>
      <c r="K521" t="n">
        <v>0</v>
      </c>
      <c r="L521" t="n">
        <v>0</v>
      </c>
      <c r="M521" t="n">
        <v>0</v>
      </c>
      <c r="N521" t="n">
        <v>0</v>
      </c>
      <c r="O521" t="n">
        <v>0</v>
      </c>
      <c r="P521" t="n">
        <v>0</v>
      </c>
      <c r="Q521" t="n">
        <v>0</v>
      </c>
      <c r="R521" s="2" t="inlineStr"/>
    </row>
    <row r="522" ht="15" customHeight="1">
      <c r="A522" t="inlineStr">
        <is>
          <t>A 49962-2023</t>
        </is>
      </c>
      <c r="B522" s="1" t="n">
        <v>45215.38775462963</v>
      </c>
      <c r="C522" s="1" t="n">
        <v>46134</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20165-2022</t>
        </is>
      </c>
      <c r="B523" s="1" t="n">
        <v>44698.49854166667</v>
      </c>
      <c r="C523" s="1" t="n">
        <v>46134</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46134</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12032-2025</t>
        </is>
      </c>
      <c r="B525" s="1" t="n">
        <v>45728.64472222222</v>
      </c>
      <c r="C525" s="1" t="n">
        <v>46134</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38787-2023</t>
        </is>
      </c>
      <c r="B526" s="1" t="n">
        <v>45163</v>
      </c>
      <c r="C526" s="1" t="n">
        <v>46134</v>
      </c>
      <c r="D526" t="inlineStr">
        <is>
          <t>GOTLANDS LÄN</t>
        </is>
      </c>
      <c r="E526" t="inlineStr">
        <is>
          <t>GOTLAND</t>
        </is>
      </c>
      <c r="G526" t="n">
        <v>0.4</v>
      </c>
      <c r="H526" t="n">
        <v>0</v>
      </c>
      <c r="I526" t="n">
        <v>0</v>
      </c>
      <c r="J526" t="n">
        <v>0</v>
      </c>
      <c r="K526" t="n">
        <v>0</v>
      </c>
      <c r="L526" t="n">
        <v>0</v>
      </c>
      <c r="M526" t="n">
        <v>0</v>
      </c>
      <c r="N526" t="n">
        <v>0</v>
      </c>
      <c r="O526" t="n">
        <v>0</v>
      </c>
      <c r="P526" t="n">
        <v>0</v>
      </c>
      <c r="Q526" t="n">
        <v>0</v>
      </c>
      <c r="R526" s="2" t="inlineStr"/>
    </row>
    <row r="527" ht="15" customHeight="1">
      <c r="A527" t="inlineStr">
        <is>
          <t>A 43231-2023</t>
        </is>
      </c>
      <c r="B527" s="1" t="n">
        <v>45183.47025462963</v>
      </c>
      <c r="C527" s="1" t="n">
        <v>46134</v>
      </c>
      <c r="D527" t="inlineStr">
        <is>
          <t>GOTLANDS LÄN</t>
        </is>
      </c>
      <c r="E527" t="inlineStr">
        <is>
          <t>GOTLAND</t>
        </is>
      </c>
      <c r="G527" t="n">
        <v>3.6</v>
      </c>
      <c r="H527" t="n">
        <v>0</v>
      </c>
      <c r="I527" t="n">
        <v>0</v>
      </c>
      <c r="J527" t="n">
        <v>0</v>
      </c>
      <c r="K527" t="n">
        <v>0</v>
      </c>
      <c r="L527" t="n">
        <v>0</v>
      </c>
      <c r="M527" t="n">
        <v>0</v>
      </c>
      <c r="N527" t="n">
        <v>0</v>
      </c>
      <c r="O527" t="n">
        <v>0</v>
      </c>
      <c r="P527" t="n">
        <v>0</v>
      </c>
      <c r="Q527" t="n">
        <v>0</v>
      </c>
      <c r="R527" s="2" t="inlineStr"/>
    </row>
    <row r="528" ht="15" customHeight="1">
      <c r="A528" t="inlineStr">
        <is>
          <t>A 17532-2024</t>
        </is>
      </c>
      <c r="B528" s="1" t="n">
        <v>45415</v>
      </c>
      <c r="C528" s="1" t="n">
        <v>46134</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3935-2025</t>
        </is>
      </c>
      <c r="B529" s="1" t="n">
        <v>45684.46070601852</v>
      </c>
      <c r="C529" s="1" t="n">
        <v>46134</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20225-2025</t>
        </is>
      </c>
      <c r="B530" s="1" t="n">
        <v>45772.65802083333</v>
      </c>
      <c r="C530" s="1" t="n">
        <v>46134</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883-2025</t>
        </is>
      </c>
      <c r="B531" s="1" t="n">
        <v>45665</v>
      </c>
      <c r="C531" s="1" t="n">
        <v>46134</v>
      </c>
      <c r="D531" t="inlineStr">
        <is>
          <t>GOTLANDS LÄN</t>
        </is>
      </c>
      <c r="E531" t="inlineStr">
        <is>
          <t>GOTLAND</t>
        </is>
      </c>
      <c r="G531" t="n">
        <v>1.3</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46134</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46134</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56009-2024</t>
        </is>
      </c>
      <c r="B534" s="1" t="n">
        <v>45623.80864583333</v>
      </c>
      <c r="C534" s="1" t="n">
        <v>46134</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42338-2023</t>
        </is>
      </c>
      <c r="B535" s="1" t="n">
        <v>45180</v>
      </c>
      <c r="C535" s="1" t="n">
        <v>46134</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581-2023</t>
        </is>
      </c>
      <c r="B536" s="1" t="n">
        <v>44930</v>
      </c>
      <c r="C536" s="1" t="n">
        <v>46134</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61386-2023</t>
        </is>
      </c>
      <c r="B537" s="1" t="n">
        <v>45264</v>
      </c>
      <c r="C537" s="1" t="n">
        <v>46134</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873-2024</t>
        </is>
      </c>
      <c r="B538" s="1" t="n">
        <v>45301</v>
      </c>
      <c r="C538" s="1" t="n">
        <v>46134</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49411-2023</t>
        </is>
      </c>
      <c r="B539" s="1" t="n">
        <v>45205</v>
      </c>
      <c r="C539" s="1" t="n">
        <v>46134</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22275-2023</t>
        </is>
      </c>
      <c r="B540" s="1" t="n">
        <v>45070.39875</v>
      </c>
      <c r="C540" s="1" t="n">
        <v>46134</v>
      </c>
      <c r="D540" t="inlineStr">
        <is>
          <t>GOTLANDS LÄN</t>
        </is>
      </c>
      <c r="E540" t="inlineStr">
        <is>
          <t>GOTLAND</t>
        </is>
      </c>
      <c r="G540" t="n">
        <v>7.2</v>
      </c>
      <c r="H540" t="n">
        <v>0</v>
      </c>
      <c r="I540" t="n">
        <v>0</v>
      </c>
      <c r="J540" t="n">
        <v>0</v>
      </c>
      <c r="K540" t="n">
        <v>0</v>
      </c>
      <c r="L540" t="n">
        <v>0</v>
      </c>
      <c r="M540" t="n">
        <v>0</v>
      </c>
      <c r="N540" t="n">
        <v>0</v>
      </c>
      <c r="O540" t="n">
        <v>0</v>
      </c>
      <c r="P540" t="n">
        <v>0</v>
      </c>
      <c r="Q540" t="n">
        <v>0</v>
      </c>
      <c r="R540" s="2" t="inlineStr"/>
    </row>
    <row r="541" ht="15" customHeight="1">
      <c r="A541" t="inlineStr">
        <is>
          <t>A 12322-2025</t>
        </is>
      </c>
      <c r="B541" s="1" t="n">
        <v>45730</v>
      </c>
      <c r="C541" s="1" t="n">
        <v>46134</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14797-2024</t>
        </is>
      </c>
      <c r="B542" s="1" t="n">
        <v>45397.87030092593</v>
      </c>
      <c r="C542" s="1" t="n">
        <v>46134</v>
      </c>
      <c r="D542" t="inlineStr">
        <is>
          <t>GOTLANDS LÄN</t>
        </is>
      </c>
      <c r="E542" t="inlineStr">
        <is>
          <t>GOTLAND</t>
        </is>
      </c>
      <c r="G542" t="n">
        <v>8.1</v>
      </c>
      <c r="H542" t="n">
        <v>0</v>
      </c>
      <c r="I542" t="n">
        <v>0</v>
      </c>
      <c r="J542" t="n">
        <v>0</v>
      </c>
      <c r="K542" t="n">
        <v>0</v>
      </c>
      <c r="L542" t="n">
        <v>0</v>
      </c>
      <c r="M542" t="n">
        <v>0</v>
      </c>
      <c r="N542" t="n">
        <v>0</v>
      </c>
      <c r="O542" t="n">
        <v>0</v>
      </c>
      <c r="P542" t="n">
        <v>0</v>
      </c>
      <c r="Q542" t="n">
        <v>0</v>
      </c>
      <c r="R542" s="2" t="inlineStr"/>
    </row>
    <row r="543" ht="15" customHeight="1">
      <c r="A543" t="inlineStr">
        <is>
          <t>A 999-2024</t>
        </is>
      </c>
      <c r="B543" s="1" t="n">
        <v>45301</v>
      </c>
      <c r="C543" s="1" t="n">
        <v>46134</v>
      </c>
      <c r="D543" t="inlineStr">
        <is>
          <t>GOTLANDS LÄN</t>
        </is>
      </c>
      <c r="E543" t="inlineStr">
        <is>
          <t>GOTLAND</t>
        </is>
      </c>
      <c r="G543" t="n">
        <v>1</v>
      </c>
      <c r="H543" t="n">
        <v>0</v>
      </c>
      <c r="I543" t="n">
        <v>0</v>
      </c>
      <c r="J543" t="n">
        <v>0</v>
      </c>
      <c r="K543" t="n">
        <v>0</v>
      </c>
      <c r="L543" t="n">
        <v>0</v>
      </c>
      <c r="M543" t="n">
        <v>0</v>
      </c>
      <c r="N543" t="n">
        <v>0</v>
      </c>
      <c r="O543" t="n">
        <v>0</v>
      </c>
      <c r="P543" t="n">
        <v>0</v>
      </c>
      <c r="Q543" t="n">
        <v>0</v>
      </c>
      <c r="R543" s="2" t="inlineStr"/>
    </row>
    <row r="544" ht="15" customHeight="1">
      <c r="A544" t="inlineStr">
        <is>
          <t>A 61596-2023</t>
        </is>
      </c>
      <c r="B544" s="1" t="n">
        <v>45265</v>
      </c>
      <c r="C544" s="1" t="n">
        <v>46134</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14638-2025</t>
        </is>
      </c>
      <c r="B545" s="1" t="n">
        <v>45742</v>
      </c>
      <c r="C545" s="1" t="n">
        <v>46134</v>
      </c>
      <c r="D545" t="inlineStr">
        <is>
          <t>GOTLANDS LÄN</t>
        </is>
      </c>
      <c r="E545" t="inlineStr">
        <is>
          <t>GOTLAND</t>
        </is>
      </c>
      <c r="G545" t="n">
        <v>13.4</v>
      </c>
      <c r="H545" t="n">
        <v>0</v>
      </c>
      <c r="I545" t="n">
        <v>0</v>
      </c>
      <c r="J545" t="n">
        <v>0</v>
      </c>
      <c r="K545" t="n">
        <v>0</v>
      </c>
      <c r="L545" t="n">
        <v>0</v>
      </c>
      <c r="M545" t="n">
        <v>0</v>
      </c>
      <c r="N545" t="n">
        <v>0</v>
      </c>
      <c r="O545" t="n">
        <v>0</v>
      </c>
      <c r="P545" t="n">
        <v>0</v>
      </c>
      <c r="Q545" t="n">
        <v>0</v>
      </c>
      <c r="R545" s="2" t="inlineStr"/>
    </row>
    <row r="546" ht="15" customHeight="1">
      <c r="A546" t="inlineStr">
        <is>
          <t>A 60675-2021</t>
        </is>
      </c>
      <c r="B546" s="1" t="n">
        <v>44496.64855324074</v>
      </c>
      <c r="C546" s="1" t="n">
        <v>46134</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37728-2024</t>
        </is>
      </c>
      <c r="B547" s="1" t="n">
        <v>45541</v>
      </c>
      <c r="C547" s="1" t="n">
        <v>46134</v>
      </c>
      <c r="D547" t="inlineStr">
        <is>
          <t>GOTLANDS LÄN</t>
        </is>
      </c>
      <c r="E547" t="inlineStr">
        <is>
          <t>GOTLAND</t>
        </is>
      </c>
      <c r="G547" t="n">
        <v>0.4</v>
      </c>
      <c r="H547" t="n">
        <v>0</v>
      </c>
      <c r="I547" t="n">
        <v>0</v>
      </c>
      <c r="J547" t="n">
        <v>0</v>
      </c>
      <c r="K547" t="n">
        <v>0</v>
      </c>
      <c r="L547" t="n">
        <v>0</v>
      </c>
      <c r="M547" t="n">
        <v>0</v>
      </c>
      <c r="N547" t="n">
        <v>0</v>
      </c>
      <c r="O547" t="n">
        <v>0</v>
      </c>
      <c r="P547" t="n">
        <v>0</v>
      </c>
      <c r="Q547" t="n">
        <v>0</v>
      </c>
      <c r="R547" s="2" t="inlineStr"/>
    </row>
    <row r="548" ht="15" customHeight="1">
      <c r="A548" t="inlineStr">
        <is>
          <t>A 22287-2022</t>
        </is>
      </c>
      <c r="B548" s="1" t="n">
        <v>44712</v>
      </c>
      <c r="C548" s="1" t="n">
        <v>46134</v>
      </c>
      <c r="D548" t="inlineStr">
        <is>
          <t>GOTLANDS LÄN</t>
        </is>
      </c>
      <c r="E548" t="inlineStr">
        <is>
          <t>GOTLAND</t>
        </is>
      </c>
      <c r="G548" t="n">
        <v>6.1</v>
      </c>
      <c r="H548" t="n">
        <v>0</v>
      </c>
      <c r="I548" t="n">
        <v>0</v>
      </c>
      <c r="J548" t="n">
        <v>0</v>
      </c>
      <c r="K548" t="n">
        <v>0</v>
      </c>
      <c r="L548" t="n">
        <v>0</v>
      </c>
      <c r="M548" t="n">
        <v>0</v>
      </c>
      <c r="N548" t="n">
        <v>0</v>
      </c>
      <c r="O548" t="n">
        <v>0</v>
      </c>
      <c r="P548" t="n">
        <v>0</v>
      </c>
      <c r="Q548" t="n">
        <v>0</v>
      </c>
      <c r="R548" s="2" t="inlineStr"/>
    </row>
    <row r="549" ht="15" customHeight="1">
      <c r="A549" t="inlineStr">
        <is>
          <t>A 54074-2022</t>
        </is>
      </c>
      <c r="B549" s="1" t="n">
        <v>44881</v>
      </c>
      <c r="C549" s="1" t="n">
        <v>46134</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65249-2023</t>
        </is>
      </c>
      <c r="B550" s="1" t="n">
        <v>45290</v>
      </c>
      <c r="C550" s="1" t="n">
        <v>46134</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13910-2025</t>
        </is>
      </c>
      <c r="B551" s="1" t="n">
        <v>45737</v>
      </c>
      <c r="C551" s="1" t="n">
        <v>46134</v>
      </c>
      <c r="D551" t="inlineStr">
        <is>
          <t>GOTLANDS LÄN</t>
        </is>
      </c>
      <c r="E551" t="inlineStr">
        <is>
          <t>GOTLAND</t>
        </is>
      </c>
      <c r="F551" t="inlineStr">
        <is>
          <t>Kommuner</t>
        </is>
      </c>
      <c r="G551" t="n">
        <v>3.2</v>
      </c>
      <c r="H551" t="n">
        <v>0</v>
      </c>
      <c r="I551" t="n">
        <v>0</v>
      </c>
      <c r="J551" t="n">
        <v>0</v>
      </c>
      <c r="K551" t="n">
        <v>0</v>
      </c>
      <c r="L551" t="n">
        <v>0</v>
      </c>
      <c r="M551" t="n">
        <v>0</v>
      </c>
      <c r="N551" t="n">
        <v>0</v>
      </c>
      <c r="O551" t="n">
        <v>0</v>
      </c>
      <c r="P551" t="n">
        <v>0</v>
      </c>
      <c r="Q551" t="n">
        <v>0</v>
      </c>
      <c r="R551" s="2" t="inlineStr"/>
    </row>
    <row r="552" ht="15" customHeight="1">
      <c r="A552" t="inlineStr">
        <is>
          <t>A 17780-2022</t>
        </is>
      </c>
      <c r="B552" s="1" t="n">
        <v>44682.82622685185</v>
      </c>
      <c r="C552" s="1" t="n">
        <v>46134</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59986-2022</t>
        </is>
      </c>
      <c r="B553" s="1" t="n">
        <v>44909</v>
      </c>
      <c r="C553" s="1" t="n">
        <v>46134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11874-2024</t>
        </is>
      </c>
      <c r="B554" s="1" t="n">
        <v>45376.46956018519</v>
      </c>
      <c r="C554" s="1" t="n">
        <v>46134</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42041-2024</t>
        </is>
      </c>
      <c r="B555" s="1" t="n">
        <v>45561</v>
      </c>
      <c r="C555" s="1" t="n">
        <v>46134</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61694-2023</t>
        </is>
      </c>
      <c r="B556" s="1" t="n">
        <v>45264</v>
      </c>
      <c r="C556" s="1" t="n">
        <v>46134</v>
      </c>
      <c r="D556" t="inlineStr">
        <is>
          <t>GOTLANDS LÄN</t>
        </is>
      </c>
      <c r="E556" t="inlineStr">
        <is>
          <t>GOTLAND</t>
        </is>
      </c>
      <c r="G556" t="n">
        <v>4.6</v>
      </c>
      <c r="H556" t="n">
        <v>0</v>
      </c>
      <c r="I556" t="n">
        <v>0</v>
      </c>
      <c r="J556" t="n">
        <v>0</v>
      </c>
      <c r="K556" t="n">
        <v>0</v>
      </c>
      <c r="L556" t="n">
        <v>0</v>
      </c>
      <c r="M556" t="n">
        <v>0</v>
      </c>
      <c r="N556" t="n">
        <v>0</v>
      </c>
      <c r="O556" t="n">
        <v>0</v>
      </c>
      <c r="P556" t="n">
        <v>0</v>
      </c>
      <c r="Q556" t="n">
        <v>0</v>
      </c>
      <c r="R556" s="2" t="inlineStr"/>
    </row>
    <row r="557" ht="15" customHeight="1">
      <c r="A557" t="inlineStr">
        <is>
          <t>A 64555-2023</t>
        </is>
      </c>
      <c r="B557" s="1" t="n">
        <v>45281</v>
      </c>
      <c r="C557" s="1" t="n">
        <v>46134</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64831-2023</t>
        </is>
      </c>
      <c r="B558" s="1" t="n">
        <v>45282.44924768519</v>
      </c>
      <c r="C558" s="1" t="n">
        <v>46134</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999-2023</t>
        </is>
      </c>
      <c r="B559" s="1" t="n">
        <v>44935</v>
      </c>
      <c r="C559" s="1" t="n">
        <v>46134</v>
      </c>
      <c r="D559" t="inlineStr">
        <is>
          <t>GOTLANDS LÄN</t>
        </is>
      </c>
      <c r="E559" t="inlineStr">
        <is>
          <t>GOTLAND</t>
        </is>
      </c>
      <c r="G559" t="n">
        <v>4.7</v>
      </c>
      <c r="H559" t="n">
        <v>0</v>
      </c>
      <c r="I559" t="n">
        <v>0</v>
      </c>
      <c r="J559" t="n">
        <v>0</v>
      </c>
      <c r="K559" t="n">
        <v>0</v>
      </c>
      <c r="L559" t="n">
        <v>0</v>
      </c>
      <c r="M559" t="n">
        <v>0</v>
      </c>
      <c r="N559" t="n">
        <v>0</v>
      </c>
      <c r="O559" t="n">
        <v>0</v>
      </c>
      <c r="P559" t="n">
        <v>0</v>
      </c>
      <c r="Q559" t="n">
        <v>0</v>
      </c>
      <c r="R559" s="2" t="inlineStr"/>
    </row>
    <row r="560" ht="15" customHeight="1">
      <c r="A560" t="inlineStr">
        <is>
          <t>A 27602-2023</t>
        </is>
      </c>
      <c r="B560" s="1" t="n">
        <v>45097</v>
      </c>
      <c r="C560" s="1" t="n">
        <v>46134</v>
      </c>
      <c r="D560" t="inlineStr">
        <is>
          <t>GOTLANDS LÄN</t>
        </is>
      </c>
      <c r="E560" t="inlineStr">
        <is>
          <t>GOTLAND</t>
        </is>
      </c>
      <c r="G560" t="n">
        <v>2.7</v>
      </c>
      <c r="H560" t="n">
        <v>0</v>
      </c>
      <c r="I560" t="n">
        <v>0</v>
      </c>
      <c r="J560" t="n">
        <v>0</v>
      </c>
      <c r="K560" t="n">
        <v>0</v>
      </c>
      <c r="L560" t="n">
        <v>0</v>
      </c>
      <c r="M560" t="n">
        <v>0</v>
      </c>
      <c r="N560" t="n">
        <v>0</v>
      </c>
      <c r="O560" t="n">
        <v>0</v>
      </c>
      <c r="P560" t="n">
        <v>0</v>
      </c>
      <c r="Q560" t="n">
        <v>0</v>
      </c>
      <c r="R560" s="2" t="inlineStr"/>
    </row>
    <row r="561" ht="15" customHeight="1">
      <c r="A561" t="inlineStr">
        <is>
          <t>A 4377-2023</t>
        </is>
      </c>
      <c r="B561" s="1" t="n">
        <v>44955.5502662037</v>
      </c>
      <c r="C561" s="1" t="n">
        <v>46134</v>
      </c>
      <c r="D561" t="inlineStr">
        <is>
          <t>GOTLANDS LÄN</t>
        </is>
      </c>
      <c r="E561" t="inlineStr">
        <is>
          <t>GOTLAND</t>
        </is>
      </c>
      <c r="F561" t="inlineStr">
        <is>
          <t>Kyrkan</t>
        </is>
      </c>
      <c r="G561" t="n">
        <v>0.6</v>
      </c>
      <c r="H561" t="n">
        <v>0</v>
      </c>
      <c r="I561" t="n">
        <v>0</v>
      </c>
      <c r="J561" t="n">
        <v>0</v>
      </c>
      <c r="K561" t="n">
        <v>0</v>
      </c>
      <c r="L561" t="n">
        <v>0</v>
      </c>
      <c r="M561" t="n">
        <v>0</v>
      </c>
      <c r="N561" t="n">
        <v>0</v>
      </c>
      <c r="O561" t="n">
        <v>0</v>
      </c>
      <c r="P561" t="n">
        <v>0</v>
      </c>
      <c r="Q561" t="n">
        <v>0</v>
      </c>
      <c r="R561" s="2" t="inlineStr"/>
    </row>
    <row r="562" ht="15" customHeight="1">
      <c r="A562" t="inlineStr">
        <is>
          <t>A 4387-2023</t>
        </is>
      </c>
      <c r="B562" s="1" t="n">
        <v>44955.73359953704</v>
      </c>
      <c r="C562" s="1" t="n">
        <v>46134</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39479-2022</t>
        </is>
      </c>
      <c r="B563" s="1" t="n">
        <v>44818</v>
      </c>
      <c r="C563" s="1" t="n">
        <v>46134</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51963-2024</t>
        </is>
      </c>
      <c r="B564" s="1" t="n">
        <v>45607.64833333333</v>
      </c>
      <c r="C564" s="1" t="n">
        <v>46134</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811-2023</t>
        </is>
      </c>
      <c r="B565" s="1" t="n">
        <v>44931</v>
      </c>
      <c r="C565" s="1" t="n">
        <v>46134</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46389-2021</t>
        </is>
      </c>
      <c r="B566" s="1" t="n">
        <v>44443</v>
      </c>
      <c r="C566" s="1" t="n">
        <v>46134</v>
      </c>
      <c r="D566" t="inlineStr">
        <is>
          <t>GOTLANDS LÄN</t>
        </is>
      </c>
      <c r="E566" t="inlineStr">
        <is>
          <t>GOTLAND</t>
        </is>
      </c>
      <c r="F566" t="inlineStr">
        <is>
          <t>Kyrkan</t>
        </is>
      </c>
      <c r="G566" t="n">
        <v>2.1</v>
      </c>
      <c r="H566" t="n">
        <v>0</v>
      </c>
      <c r="I566" t="n">
        <v>0</v>
      </c>
      <c r="J566" t="n">
        <v>0</v>
      </c>
      <c r="K566" t="n">
        <v>0</v>
      </c>
      <c r="L566" t="n">
        <v>0</v>
      </c>
      <c r="M566" t="n">
        <v>0</v>
      </c>
      <c r="N566" t="n">
        <v>0</v>
      </c>
      <c r="O566" t="n">
        <v>0</v>
      </c>
      <c r="P566" t="n">
        <v>0</v>
      </c>
      <c r="Q566" t="n">
        <v>0</v>
      </c>
      <c r="R566" s="2" t="inlineStr"/>
    </row>
    <row r="567" ht="15" customHeight="1">
      <c r="A567" t="inlineStr">
        <is>
          <t>A 26810-2021</t>
        </is>
      </c>
      <c r="B567" s="1" t="n">
        <v>44349.55087962963</v>
      </c>
      <c r="C567" s="1" t="n">
        <v>46134</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5923-2023</t>
        </is>
      </c>
      <c r="B568" s="1" t="n">
        <v>44963.69503472222</v>
      </c>
      <c r="C568" s="1" t="n">
        <v>46134</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33853-2024</t>
        </is>
      </c>
      <c r="B569" s="1" t="n">
        <v>45520.64298611111</v>
      </c>
      <c r="C569" s="1" t="n">
        <v>46134</v>
      </c>
      <c r="D569" t="inlineStr">
        <is>
          <t>GOTLANDS LÄN</t>
        </is>
      </c>
      <c r="E569" t="inlineStr">
        <is>
          <t>GOTLAND</t>
        </is>
      </c>
      <c r="G569" t="n">
        <v>3.9</v>
      </c>
      <c r="H569" t="n">
        <v>0</v>
      </c>
      <c r="I569" t="n">
        <v>0</v>
      </c>
      <c r="J569" t="n">
        <v>0</v>
      </c>
      <c r="K569" t="n">
        <v>0</v>
      </c>
      <c r="L569" t="n">
        <v>0</v>
      </c>
      <c r="M569" t="n">
        <v>0</v>
      </c>
      <c r="N569" t="n">
        <v>0</v>
      </c>
      <c r="O569" t="n">
        <v>0</v>
      </c>
      <c r="P569" t="n">
        <v>0</v>
      </c>
      <c r="Q569" t="n">
        <v>0</v>
      </c>
      <c r="R569" s="2" t="inlineStr"/>
    </row>
    <row r="570" ht="15" customHeight="1">
      <c r="A570" t="inlineStr">
        <is>
          <t>A 18918-2025</t>
        </is>
      </c>
      <c r="B570" s="1" t="n">
        <v>45764</v>
      </c>
      <c r="C570" s="1" t="n">
        <v>46134</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46134</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44988.49543981482</v>
      </c>
      <c r="C572" s="1" t="n">
        <v>46134</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44944.55361111111</v>
      </c>
      <c r="C573" s="1" t="n">
        <v>46134</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26891-2024</t>
        </is>
      </c>
      <c r="B574" s="1" t="n">
        <v>45470.65540509259</v>
      </c>
      <c r="C574" s="1" t="n">
        <v>46134</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42007-2023</t>
        </is>
      </c>
      <c r="B575" s="1" t="n">
        <v>45177</v>
      </c>
      <c r="C575" s="1" t="n">
        <v>46134</v>
      </c>
      <c r="D575" t="inlineStr">
        <is>
          <t>GOTLANDS LÄN</t>
        </is>
      </c>
      <c r="E575" t="inlineStr">
        <is>
          <t>GOTLAND</t>
        </is>
      </c>
      <c r="G575" t="n">
        <v>0.8</v>
      </c>
      <c r="H575" t="n">
        <v>0</v>
      </c>
      <c r="I575" t="n">
        <v>0</v>
      </c>
      <c r="J575" t="n">
        <v>0</v>
      </c>
      <c r="K575" t="n">
        <v>0</v>
      </c>
      <c r="L575" t="n">
        <v>0</v>
      </c>
      <c r="M575" t="n">
        <v>0</v>
      </c>
      <c r="N575" t="n">
        <v>0</v>
      </c>
      <c r="O575" t="n">
        <v>0</v>
      </c>
      <c r="P575" t="n">
        <v>0</v>
      </c>
      <c r="Q575" t="n">
        <v>0</v>
      </c>
      <c r="R575" s="2" t="inlineStr"/>
    </row>
    <row r="576" ht="15" customHeight="1">
      <c r="A576" t="inlineStr">
        <is>
          <t>A 9887-2025</t>
        </is>
      </c>
      <c r="B576" s="1" t="n">
        <v>45716</v>
      </c>
      <c r="C576" s="1" t="n">
        <v>46134</v>
      </c>
      <c r="D576" t="inlineStr">
        <is>
          <t>GOTLANDS LÄN</t>
        </is>
      </c>
      <c r="E576" t="inlineStr">
        <is>
          <t>GOTLAND</t>
        </is>
      </c>
      <c r="G576" t="n">
        <v>7.5</v>
      </c>
      <c r="H576" t="n">
        <v>0</v>
      </c>
      <c r="I576" t="n">
        <v>0</v>
      </c>
      <c r="J576" t="n">
        <v>0</v>
      </c>
      <c r="K576" t="n">
        <v>0</v>
      </c>
      <c r="L576" t="n">
        <v>0</v>
      </c>
      <c r="M576" t="n">
        <v>0</v>
      </c>
      <c r="N576" t="n">
        <v>0</v>
      </c>
      <c r="O576" t="n">
        <v>0</v>
      </c>
      <c r="P576" t="n">
        <v>0</v>
      </c>
      <c r="Q576" t="n">
        <v>0</v>
      </c>
      <c r="R576" s="2" t="inlineStr"/>
    </row>
    <row r="577" ht="15" customHeight="1">
      <c r="A577" t="inlineStr">
        <is>
          <t>A 38165-2023</t>
        </is>
      </c>
      <c r="B577" s="1" t="n">
        <v>45161</v>
      </c>
      <c r="C577" s="1" t="n">
        <v>46134</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27596-2023</t>
        </is>
      </c>
      <c r="B578" s="1" t="n">
        <v>45097</v>
      </c>
      <c r="C578" s="1" t="n">
        <v>46134</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24825-2024</t>
        </is>
      </c>
      <c r="B579" s="1" t="n">
        <v>45461</v>
      </c>
      <c r="C579" s="1" t="n">
        <v>46134</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6696-2023</t>
        </is>
      </c>
      <c r="B580" s="1" t="n">
        <v>44966.66425925926</v>
      </c>
      <c r="C580" s="1" t="n">
        <v>46134</v>
      </c>
      <c r="D580" t="inlineStr">
        <is>
          <t>GOTLANDS LÄN</t>
        </is>
      </c>
      <c r="E580" t="inlineStr">
        <is>
          <t>GOTLAND</t>
        </is>
      </c>
      <c r="G580" t="n">
        <v>1.5</v>
      </c>
      <c r="H580" t="n">
        <v>0</v>
      </c>
      <c r="I580" t="n">
        <v>0</v>
      </c>
      <c r="J580" t="n">
        <v>0</v>
      </c>
      <c r="K580" t="n">
        <v>0</v>
      </c>
      <c r="L580" t="n">
        <v>0</v>
      </c>
      <c r="M580" t="n">
        <v>0</v>
      </c>
      <c r="N580" t="n">
        <v>0</v>
      </c>
      <c r="O580" t="n">
        <v>0</v>
      </c>
      <c r="P580" t="n">
        <v>0</v>
      </c>
      <c r="Q580" t="n">
        <v>0</v>
      </c>
      <c r="R580" s="2" t="inlineStr"/>
    </row>
    <row r="581" ht="15" customHeight="1">
      <c r="A581" t="inlineStr">
        <is>
          <t>A 21247-2022</t>
        </is>
      </c>
      <c r="B581" s="1" t="n">
        <v>44705.38832175926</v>
      </c>
      <c r="C581" s="1" t="n">
        <v>46134</v>
      </c>
      <c r="D581" t="inlineStr">
        <is>
          <t>GOTLANDS LÄN</t>
        </is>
      </c>
      <c r="E581" t="inlineStr">
        <is>
          <t>GOTLAND</t>
        </is>
      </c>
      <c r="G581" t="n">
        <v>16.2</v>
      </c>
      <c r="H581" t="n">
        <v>0</v>
      </c>
      <c r="I581" t="n">
        <v>0</v>
      </c>
      <c r="J581" t="n">
        <v>0</v>
      </c>
      <c r="K581" t="n">
        <v>0</v>
      </c>
      <c r="L581" t="n">
        <v>0</v>
      </c>
      <c r="M581" t="n">
        <v>0</v>
      </c>
      <c r="N581" t="n">
        <v>0</v>
      </c>
      <c r="O581" t="n">
        <v>0</v>
      </c>
      <c r="P581" t="n">
        <v>0</v>
      </c>
      <c r="Q581" t="n">
        <v>0</v>
      </c>
      <c r="R581" s="2" t="inlineStr"/>
    </row>
    <row r="582" ht="15" customHeight="1">
      <c r="A582" t="inlineStr">
        <is>
          <t>A 456-2023</t>
        </is>
      </c>
      <c r="B582" s="1" t="n">
        <v>44929.87122685185</v>
      </c>
      <c r="C582" s="1" t="n">
        <v>46134</v>
      </c>
      <c r="D582" t="inlineStr">
        <is>
          <t>GOTLANDS LÄN</t>
        </is>
      </c>
      <c r="E582" t="inlineStr">
        <is>
          <t>GOTLAND</t>
        </is>
      </c>
      <c r="G582" t="n">
        <v>3.2</v>
      </c>
      <c r="H582" t="n">
        <v>0</v>
      </c>
      <c r="I582" t="n">
        <v>0</v>
      </c>
      <c r="J582" t="n">
        <v>0</v>
      </c>
      <c r="K582" t="n">
        <v>0</v>
      </c>
      <c r="L582" t="n">
        <v>0</v>
      </c>
      <c r="M582" t="n">
        <v>0</v>
      </c>
      <c r="N582" t="n">
        <v>0</v>
      </c>
      <c r="O582" t="n">
        <v>0</v>
      </c>
      <c r="P582" t="n">
        <v>0</v>
      </c>
      <c r="Q582" t="n">
        <v>0</v>
      </c>
      <c r="R582" s="2" t="inlineStr"/>
    </row>
    <row r="583" ht="15" customHeight="1">
      <c r="A583" t="inlineStr">
        <is>
          <t>A 2714-2023</t>
        </is>
      </c>
      <c r="B583" s="1" t="n">
        <v>44944.54896990741</v>
      </c>
      <c r="C583" s="1" t="n">
        <v>46134</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4421-2024</t>
        </is>
      </c>
      <c r="B584" s="1" t="n">
        <v>45327.45173611111</v>
      </c>
      <c r="C584" s="1" t="n">
        <v>46134</v>
      </c>
      <c r="D584" t="inlineStr">
        <is>
          <t>GOTLANDS LÄN</t>
        </is>
      </c>
      <c r="E584" t="inlineStr">
        <is>
          <t>GOTLAND</t>
        </is>
      </c>
      <c r="G584" t="n">
        <v>5.1</v>
      </c>
      <c r="H584" t="n">
        <v>0</v>
      </c>
      <c r="I584" t="n">
        <v>0</v>
      </c>
      <c r="J584" t="n">
        <v>0</v>
      </c>
      <c r="K584" t="n">
        <v>0</v>
      </c>
      <c r="L584" t="n">
        <v>0</v>
      </c>
      <c r="M584" t="n">
        <v>0</v>
      </c>
      <c r="N584" t="n">
        <v>0</v>
      </c>
      <c r="O584" t="n">
        <v>0</v>
      </c>
      <c r="P584" t="n">
        <v>0</v>
      </c>
      <c r="Q584" t="n">
        <v>0</v>
      </c>
      <c r="R584" s="2" t="inlineStr"/>
    </row>
    <row r="585" ht="15" customHeight="1">
      <c r="A585" t="inlineStr">
        <is>
          <t>A 51782-2023</t>
        </is>
      </c>
      <c r="B585" s="1" t="n">
        <v>45222.80952546297</v>
      </c>
      <c r="C585" s="1" t="n">
        <v>46134</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54268-2022</t>
        </is>
      </c>
      <c r="B586" s="1" t="n">
        <v>44882</v>
      </c>
      <c r="C586" s="1" t="n">
        <v>46134</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57534-2022</t>
        </is>
      </c>
      <c r="B587" s="1" t="n">
        <v>44896</v>
      </c>
      <c r="C587" s="1" t="n">
        <v>46134</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25866-2022</t>
        </is>
      </c>
      <c r="B588" s="1" t="n">
        <v>44733</v>
      </c>
      <c r="C588" s="1" t="n">
        <v>46134</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43229-2023</t>
        </is>
      </c>
      <c r="B589" s="1" t="n">
        <v>45183.46704861111</v>
      </c>
      <c r="C589" s="1" t="n">
        <v>46134</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1175-2025</t>
        </is>
      </c>
      <c r="B590" s="1" t="n">
        <v>45667.34449074074</v>
      </c>
      <c r="C590" s="1" t="n">
        <v>46134</v>
      </c>
      <c r="D590" t="inlineStr">
        <is>
          <t>GOTLANDS LÄN</t>
        </is>
      </c>
      <c r="E590" t="inlineStr">
        <is>
          <t>GOTLAND</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27095-2022</t>
        </is>
      </c>
      <c r="B591" s="1" t="n">
        <v>44741</v>
      </c>
      <c r="C591" s="1" t="n">
        <v>46134</v>
      </c>
      <c r="D591" t="inlineStr">
        <is>
          <t>GOTLANDS LÄN</t>
        </is>
      </c>
      <c r="E591" t="inlineStr">
        <is>
          <t>GOTLAND</t>
        </is>
      </c>
      <c r="F591" t="inlineStr">
        <is>
          <t>Övriga Aktiebolag</t>
        </is>
      </c>
      <c r="G591" t="n">
        <v>2.9</v>
      </c>
      <c r="H591" t="n">
        <v>0</v>
      </c>
      <c r="I591" t="n">
        <v>0</v>
      </c>
      <c r="J591" t="n">
        <v>0</v>
      </c>
      <c r="K591" t="n">
        <v>0</v>
      </c>
      <c r="L591" t="n">
        <v>0</v>
      </c>
      <c r="M591" t="n">
        <v>0</v>
      </c>
      <c r="N591" t="n">
        <v>0</v>
      </c>
      <c r="O591" t="n">
        <v>0</v>
      </c>
      <c r="P591" t="n">
        <v>0</v>
      </c>
      <c r="Q591" t="n">
        <v>0</v>
      </c>
      <c r="R591" s="2" t="inlineStr"/>
    </row>
    <row r="592" ht="15" customHeight="1">
      <c r="A592" t="inlineStr">
        <is>
          <t>A 22899-2023</t>
        </is>
      </c>
      <c r="B592" s="1" t="n">
        <v>45072</v>
      </c>
      <c r="C592" s="1" t="n">
        <v>46134</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23978-2023</t>
        </is>
      </c>
      <c r="B593" s="1" t="n">
        <v>45078</v>
      </c>
      <c r="C593" s="1" t="n">
        <v>46134</v>
      </c>
      <c r="D593" t="inlineStr">
        <is>
          <t>GOTLANDS LÄN</t>
        </is>
      </c>
      <c r="E593" t="inlineStr">
        <is>
          <t>GOTLAND</t>
        </is>
      </c>
      <c r="F593" t="inlineStr">
        <is>
          <t>Naturvårdsverket</t>
        </is>
      </c>
      <c r="G593" t="n">
        <v>1.7</v>
      </c>
      <c r="H593" t="n">
        <v>0</v>
      </c>
      <c r="I593" t="n">
        <v>0</v>
      </c>
      <c r="J593" t="n">
        <v>0</v>
      </c>
      <c r="K593" t="n">
        <v>0</v>
      </c>
      <c r="L593" t="n">
        <v>0</v>
      </c>
      <c r="M593" t="n">
        <v>0</v>
      </c>
      <c r="N593" t="n">
        <v>0</v>
      </c>
      <c r="O593" t="n">
        <v>0</v>
      </c>
      <c r="P593" t="n">
        <v>0</v>
      </c>
      <c r="Q593" t="n">
        <v>0</v>
      </c>
      <c r="R593" s="2" t="inlineStr"/>
    </row>
    <row r="594" ht="15" customHeight="1">
      <c r="A594" t="inlineStr">
        <is>
          <t>A 34407-2023</t>
        </is>
      </c>
      <c r="B594" s="1" t="n">
        <v>45132</v>
      </c>
      <c r="C594" s="1" t="n">
        <v>46134</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11013-2024</t>
        </is>
      </c>
      <c r="B595" s="1" t="n">
        <v>45370</v>
      </c>
      <c r="C595" s="1" t="n">
        <v>46134</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27694-2024</t>
        </is>
      </c>
      <c r="B596" s="1" t="n">
        <v>45475</v>
      </c>
      <c r="C596" s="1" t="n">
        <v>46134</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15083-2025</t>
        </is>
      </c>
      <c r="B597" s="1" t="n">
        <v>45743</v>
      </c>
      <c r="C597" s="1" t="n">
        <v>46134</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13037-2025</t>
        </is>
      </c>
      <c r="B598" s="1" t="n">
        <v>45734</v>
      </c>
      <c r="C598" s="1" t="n">
        <v>46134</v>
      </c>
      <c r="D598" t="inlineStr">
        <is>
          <t>GOTLANDS LÄN</t>
        </is>
      </c>
      <c r="E598" t="inlineStr">
        <is>
          <t>GOTLAND</t>
        </is>
      </c>
      <c r="G598" t="n">
        <v>9.5</v>
      </c>
      <c r="H598" t="n">
        <v>0</v>
      </c>
      <c r="I598" t="n">
        <v>0</v>
      </c>
      <c r="J598" t="n">
        <v>0</v>
      </c>
      <c r="K598" t="n">
        <v>0</v>
      </c>
      <c r="L598" t="n">
        <v>0</v>
      </c>
      <c r="M598" t="n">
        <v>0</v>
      </c>
      <c r="N598" t="n">
        <v>0</v>
      </c>
      <c r="O598" t="n">
        <v>0</v>
      </c>
      <c r="P598" t="n">
        <v>0</v>
      </c>
      <c r="Q598" t="n">
        <v>0</v>
      </c>
      <c r="R598" s="2" t="inlineStr"/>
    </row>
    <row r="599" ht="15" customHeight="1">
      <c r="A599" t="inlineStr">
        <is>
          <t>A 458-2023</t>
        </is>
      </c>
      <c r="B599" s="1" t="n">
        <v>44929</v>
      </c>
      <c r="C599" s="1" t="n">
        <v>46134</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44228-2022</t>
        </is>
      </c>
      <c r="B600" s="1" t="n">
        <v>44839.51599537037</v>
      </c>
      <c r="C600" s="1" t="n">
        <v>46134</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58132-2023</t>
        </is>
      </c>
      <c r="B601" s="1" t="n">
        <v>45250</v>
      </c>
      <c r="C601" s="1" t="n">
        <v>46134</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49884-2023</t>
        </is>
      </c>
      <c r="B602" s="1" t="n">
        <v>45213</v>
      </c>
      <c r="C602" s="1" t="n">
        <v>46134</v>
      </c>
      <c r="D602" t="inlineStr">
        <is>
          <t>GOTLANDS LÄN</t>
        </is>
      </c>
      <c r="E602" t="inlineStr">
        <is>
          <t>GOTLAND</t>
        </is>
      </c>
      <c r="G602" t="n">
        <v>8.9</v>
      </c>
      <c r="H602" t="n">
        <v>0</v>
      </c>
      <c r="I602" t="n">
        <v>0</v>
      </c>
      <c r="J602" t="n">
        <v>0</v>
      </c>
      <c r="K602" t="n">
        <v>0</v>
      </c>
      <c r="L602" t="n">
        <v>0</v>
      </c>
      <c r="M602" t="n">
        <v>0</v>
      </c>
      <c r="N602" t="n">
        <v>0</v>
      </c>
      <c r="O602" t="n">
        <v>0</v>
      </c>
      <c r="P602" t="n">
        <v>0</v>
      </c>
      <c r="Q602" t="n">
        <v>0</v>
      </c>
      <c r="R602" s="2" t="inlineStr"/>
    </row>
    <row r="603" ht="15" customHeight="1">
      <c r="A603" t="inlineStr">
        <is>
          <t>A 876-2024</t>
        </is>
      </c>
      <c r="B603" s="1" t="n">
        <v>45301</v>
      </c>
      <c r="C603" s="1" t="n">
        <v>46134</v>
      </c>
      <c r="D603" t="inlineStr">
        <is>
          <t>GOTLANDS LÄN</t>
        </is>
      </c>
      <c r="E603" t="inlineStr">
        <is>
          <t>GOTLAND</t>
        </is>
      </c>
      <c r="G603" t="n">
        <v>5.3</v>
      </c>
      <c r="H603" t="n">
        <v>0</v>
      </c>
      <c r="I603" t="n">
        <v>0</v>
      </c>
      <c r="J603" t="n">
        <v>0</v>
      </c>
      <c r="K603" t="n">
        <v>0</v>
      </c>
      <c r="L603" t="n">
        <v>0</v>
      </c>
      <c r="M603" t="n">
        <v>0</v>
      </c>
      <c r="N603" t="n">
        <v>0</v>
      </c>
      <c r="O603" t="n">
        <v>0</v>
      </c>
      <c r="P603" t="n">
        <v>0</v>
      </c>
      <c r="Q603" t="n">
        <v>0</v>
      </c>
      <c r="R603" s="2" t="inlineStr"/>
    </row>
    <row r="604" ht="15" customHeight="1">
      <c r="A604" t="inlineStr">
        <is>
          <t>A 22704-2023</t>
        </is>
      </c>
      <c r="B604" s="1" t="n">
        <v>45071</v>
      </c>
      <c r="C604" s="1" t="n">
        <v>46134</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28425-2023</t>
        </is>
      </c>
      <c r="B605" s="1" t="n">
        <v>45102</v>
      </c>
      <c r="C605" s="1" t="n">
        <v>46134</v>
      </c>
      <c r="D605" t="inlineStr">
        <is>
          <t>GOTLANDS LÄN</t>
        </is>
      </c>
      <c r="E605" t="inlineStr">
        <is>
          <t>GOTLAND</t>
        </is>
      </c>
      <c r="G605" t="n">
        <v>0.5</v>
      </c>
      <c r="H605" t="n">
        <v>0</v>
      </c>
      <c r="I605" t="n">
        <v>0</v>
      </c>
      <c r="J605" t="n">
        <v>0</v>
      </c>
      <c r="K605" t="n">
        <v>0</v>
      </c>
      <c r="L605" t="n">
        <v>0</v>
      </c>
      <c r="M605" t="n">
        <v>0</v>
      </c>
      <c r="N605" t="n">
        <v>0</v>
      </c>
      <c r="O605" t="n">
        <v>0</v>
      </c>
      <c r="P605" t="n">
        <v>0</v>
      </c>
      <c r="Q605" t="n">
        <v>0</v>
      </c>
      <c r="R605" s="2" t="inlineStr"/>
    </row>
    <row r="606" ht="15" customHeight="1">
      <c r="A606" t="inlineStr">
        <is>
          <t>A 58476-2022</t>
        </is>
      </c>
      <c r="B606" s="1" t="n">
        <v>44902</v>
      </c>
      <c r="C606" s="1" t="n">
        <v>46134</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43200-2023</t>
        </is>
      </c>
      <c r="B607" s="1" t="n">
        <v>45183</v>
      </c>
      <c r="C607" s="1" t="n">
        <v>46134</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43223-2023</t>
        </is>
      </c>
      <c r="B608" s="1" t="n">
        <v>45183.45642361111</v>
      </c>
      <c r="C608" s="1" t="n">
        <v>46134</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12327-2025</t>
        </is>
      </c>
      <c r="B609" s="1" t="n">
        <v>45730</v>
      </c>
      <c r="C609" s="1" t="n">
        <v>46134</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3431-2025</t>
        </is>
      </c>
      <c r="B610" s="1" t="n">
        <v>45680.42935185185</v>
      </c>
      <c r="C610" s="1" t="n">
        <v>46134</v>
      </c>
      <c r="D610" t="inlineStr">
        <is>
          <t>GOTLANDS LÄN</t>
        </is>
      </c>
      <c r="E610" t="inlineStr">
        <is>
          <t>GOTLAND</t>
        </is>
      </c>
      <c r="G610" t="n">
        <v>4.8</v>
      </c>
      <c r="H610" t="n">
        <v>0</v>
      </c>
      <c r="I610" t="n">
        <v>0</v>
      </c>
      <c r="J610" t="n">
        <v>0</v>
      </c>
      <c r="K610" t="n">
        <v>0</v>
      </c>
      <c r="L610" t="n">
        <v>0</v>
      </c>
      <c r="M610" t="n">
        <v>0</v>
      </c>
      <c r="N610" t="n">
        <v>0</v>
      </c>
      <c r="O610" t="n">
        <v>0</v>
      </c>
      <c r="P610" t="n">
        <v>0</v>
      </c>
      <c r="Q610" t="n">
        <v>0</v>
      </c>
      <c r="R610" s="2" t="inlineStr"/>
    </row>
    <row r="611" ht="15" customHeight="1">
      <c r="A611" t="inlineStr">
        <is>
          <t>A 12209-2024</t>
        </is>
      </c>
      <c r="B611" s="1" t="n">
        <v>45378</v>
      </c>
      <c r="C611" s="1" t="n">
        <v>46134</v>
      </c>
      <c r="D611" t="inlineStr">
        <is>
          <t>GOTLANDS LÄN</t>
        </is>
      </c>
      <c r="E611" t="inlineStr">
        <is>
          <t>GOTLAND</t>
        </is>
      </c>
      <c r="G611" t="n">
        <v>5.3</v>
      </c>
      <c r="H611" t="n">
        <v>0</v>
      </c>
      <c r="I611" t="n">
        <v>0</v>
      </c>
      <c r="J611" t="n">
        <v>0</v>
      </c>
      <c r="K611" t="n">
        <v>0</v>
      </c>
      <c r="L611" t="n">
        <v>0</v>
      </c>
      <c r="M611" t="n">
        <v>0</v>
      </c>
      <c r="N611" t="n">
        <v>0</v>
      </c>
      <c r="O611" t="n">
        <v>0</v>
      </c>
      <c r="P611" t="n">
        <v>0</v>
      </c>
      <c r="Q611" t="n">
        <v>0</v>
      </c>
      <c r="R611" s="2" t="inlineStr"/>
    </row>
    <row r="612" ht="15" customHeight="1">
      <c r="A612" t="inlineStr">
        <is>
          <t>A 12210-2024</t>
        </is>
      </c>
      <c r="B612" s="1" t="n">
        <v>45378</v>
      </c>
      <c r="C612" s="1" t="n">
        <v>46134</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1364-2025</t>
        </is>
      </c>
      <c r="B613" s="1" t="n">
        <v>45667.63929398148</v>
      </c>
      <c r="C613" s="1" t="n">
        <v>46134</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15042-2025</t>
        </is>
      </c>
      <c r="B614" s="1" t="n">
        <v>45743</v>
      </c>
      <c r="C614" s="1" t="n">
        <v>46134</v>
      </c>
      <c r="D614" t="inlineStr">
        <is>
          <t>GOTLANDS LÄN</t>
        </is>
      </c>
      <c r="E614" t="inlineStr">
        <is>
          <t>GOTLAND</t>
        </is>
      </c>
      <c r="G614" t="n">
        <v>8.5</v>
      </c>
      <c r="H614" t="n">
        <v>0</v>
      </c>
      <c r="I614" t="n">
        <v>0</v>
      </c>
      <c r="J614" t="n">
        <v>0</v>
      </c>
      <c r="K614" t="n">
        <v>0</v>
      </c>
      <c r="L614" t="n">
        <v>0</v>
      </c>
      <c r="M614" t="n">
        <v>0</v>
      </c>
      <c r="N614" t="n">
        <v>0</v>
      </c>
      <c r="O614" t="n">
        <v>0</v>
      </c>
      <c r="P614" t="n">
        <v>0</v>
      </c>
      <c r="Q614" t="n">
        <v>0</v>
      </c>
      <c r="R614" s="2" t="inlineStr"/>
    </row>
    <row r="615" ht="15" customHeight="1">
      <c r="A615" t="inlineStr">
        <is>
          <t>A 2180-2025</t>
        </is>
      </c>
      <c r="B615" s="1" t="n">
        <v>45673</v>
      </c>
      <c r="C615" s="1" t="n">
        <v>46134</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15436-2025</t>
        </is>
      </c>
      <c r="B616" s="1" t="n">
        <v>45747.47462962963</v>
      </c>
      <c r="C616" s="1" t="n">
        <v>46134</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49257-2024</t>
        </is>
      </c>
      <c r="B617" s="1" t="n">
        <v>45595.47627314815</v>
      </c>
      <c r="C617" s="1" t="n">
        <v>46134</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37202-2024</t>
        </is>
      </c>
      <c r="B618" s="1" t="n">
        <v>45539.67310185185</v>
      </c>
      <c r="C618" s="1" t="n">
        <v>46134</v>
      </c>
      <c r="D618" t="inlineStr">
        <is>
          <t>GOTLANDS LÄN</t>
        </is>
      </c>
      <c r="E618" t="inlineStr">
        <is>
          <t>GOTLAND</t>
        </is>
      </c>
      <c r="G618" t="n">
        <v>0.3</v>
      </c>
      <c r="H618" t="n">
        <v>0</v>
      </c>
      <c r="I618" t="n">
        <v>0</v>
      </c>
      <c r="J618" t="n">
        <v>0</v>
      </c>
      <c r="K618" t="n">
        <v>0</v>
      </c>
      <c r="L618" t="n">
        <v>0</v>
      </c>
      <c r="M618" t="n">
        <v>0</v>
      </c>
      <c r="N618" t="n">
        <v>0</v>
      </c>
      <c r="O618" t="n">
        <v>0</v>
      </c>
      <c r="P618" t="n">
        <v>0</v>
      </c>
      <c r="Q618" t="n">
        <v>0</v>
      </c>
      <c r="R618" s="2" t="inlineStr"/>
    </row>
    <row r="619" ht="15" customHeight="1">
      <c r="A619" t="inlineStr">
        <is>
          <t>A 56115-2023</t>
        </is>
      </c>
      <c r="B619" s="1" t="n">
        <v>45236</v>
      </c>
      <c r="C619" s="1" t="n">
        <v>46134</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2774-2024</t>
        </is>
      </c>
      <c r="B620" s="1" t="n">
        <v>45314.62375</v>
      </c>
      <c r="C620" s="1" t="n">
        <v>46134</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60709-2023</t>
        </is>
      </c>
      <c r="B621" s="1" t="n">
        <v>45260</v>
      </c>
      <c r="C621" s="1" t="n">
        <v>46134</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64208-2021</t>
        </is>
      </c>
      <c r="B622" s="1" t="n">
        <v>44510</v>
      </c>
      <c r="C622" s="1" t="n">
        <v>46134</v>
      </c>
      <c r="D622" t="inlineStr">
        <is>
          <t>GOTLANDS LÄN</t>
        </is>
      </c>
      <c r="E622" t="inlineStr">
        <is>
          <t>GOTLAND</t>
        </is>
      </c>
      <c r="G622" t="n">
        <v>4.7</v>
      </c>
      <c r="H622" t="n">
        <v>0</v>
      </c>
      <c r="I622" t="n">
        <v>0</v>
      </c>
      <c r="J622" t="n">
        <v>0</v>
      </c>
      <c r="K622" t="n">
        <v>0</v>
      </c>
      <c r="L622" t="n">
        <v>0</v>
      </c>
      <c r="M622" t="n">
        <v>0</v>
      </c>
      <c r="N622" t="n">
        <v>0</v>
      </c>
      <c r="O622" t="n">
        <v>0</v>
      </c>
      <c r="P622" t="n">
        <v>0</v>
      </c>
      <c r="Q622" t="n">
        <v>0</v>
      </c>
      <c r="R622" s="2" t="inlineStr"/>
    </row>
    <row r="623" ht="15" customHeight="1">
      <c r="A623" t="inlineStr">
        <is>
          <t>A 39764-2022</t>
        </is>
      </c>
      <c r="B623" s="1" t="n">
        <v>44819</v>
      </c>
      <c r="C623" s="1" t="n">
        <v>46134</v>
      </c>
      <c r="D623" t="inlineStr">
        <is>
          <t>GOTLANDS LÄN</t>
        </is>
      </c>
      <c r="E623" t="inlineStr">
        <is>
          <t>GOTLAND</t>
        </is>
      </c>
      <c r="F623" t="inlineStr">
        <is>
          <t>Kyrkan</t>
        </is>
      </c>
      <c r="G623" t="n">
        <v>3.7</v>
      </c>
      <c r="H623" t="n">
        <v>0</v>
      </c>
      <c r="I623" t="n">
        <v>0</v>
      </c>
      <c r="J623" t="n">
        <v>0</v>
      </c>
      <c r="K623" t="n">
        <v>0</v>
      </c>
      <c r="L623" t="n">
        <v>0</v>
      </c>
      <c r="M623" t="n">
        <v>0</v>
      </c>
      <c r="N623" t="n">
        <v>0</v>
      </c>
      <c r="O623" t="n">
        <v>0</v>
      </c>
      <c r="P623" t="n">
        <v>0</v>
      </c>
      <c r="Q623" t="n">
        <v>0</v>
      </c>
      <c r="R623" s="2" t="inlineStr"/>
    </row>
    <row r="624" ht="15" customHeight="1">
      <c r="A624" t="inlineStr">
        <is>
          <t>A 58211-2024</t>
        </is>
      </c>
      <c r="B624" s="1" t="n">
        <v>45632.49292824074</v>
      </c>
      <c r="C624" s="1" t="n">
        <v>46134</v>
      </c>
      <c r="D624" t="inlineStr">
        <is>
          <t>GOTLANDS LÄN</t>
        </is>
      </c>
      <c r="E624" t="inlineStr">
        <is>
          <t>GOTLAND</t>
        </is>
      </c>
      <c r="G624" t="n">
        <v>5.4</v>
      </c>
      <c r="H624" t="n">
        <v>0</v>
      </c>
      <c r="I624" t="n">
        <v>0</v>
      </c>
      <c r="J624" t="n">
        <v>0</v>
      </c>
      <c r="K624" t="n">
        <v>0</v>
      </c>
      <c r="L624" t="n">
        <v>0</v>
      </c>
      <c r="M624" t="n">
        <v>0</v>
      </c>
      <c r="N624" t="n">
        <v>0</v>
      </c>
      <c r="O624" t="n">
        <v>0</v>
      </c>
      <c r="P624" t="n">
        <v>0</v>
      </c>
      <c r="Q624" t="n">
        <v>0</v>
      </c>
      <c r="R624" s="2" t="inlineStr"/>
    </row>
    <row r="625" ht="15" customHeight="1">
      <c r="A625" t="inlineStr">
        <is>
          <t>A 30956-2024</t>
        </is>
      </c>
      <c r="B625" s="1" t="n">
        <v>45499.42527777778</v>
      </c>
      <c r="C625" s="1" t="n">
        <v>46134</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30892-2024</t>
        </is>
      </c>
      <c r="B626" s="1" t="n">
        <v>45491</v>
      </c>
      <c r="C626" s="1" t="n">
        <v>46134</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45013.69365740741</v>
      </c>
      <c r="C627" s="1" t="n">
        <v>46134</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59469-2024</t>
        </is>
      </c>
      <c r="B628" s="1" t="n">
        <v>45638</v>
      </c>
      <c r="C628" s="1" t="n">
        <v>46134</v>
      </c>
      <c r="D628" t="inlineStr">
        <is>
          <t>GOTLANDS LÄN</t>
        </is>
      </c>
      <c r="E628" t="inlineStr">
        <is>
          <t>GOTLAND</t>
        </is>
      </c>
      <c r="G628" t="n">
        <v>0.4</v>
      </c>
      <c r="H628" t="n">
        <v>0</v>
      </c>
      <c r="I628" t="n">
        <v>0</v>
      </c>
      <c r="J628" t="n">
        <v>0</v>
      </c>
      <c r="K628" t="n">
        <v>0</v>
      </c>
      <c r="L628" t="n">
        <v>0</v>
      </c>
      <c r="M628" t="n">
        <v>0</v>
      </c>
      <c r="N628" t="n">
        <v>0</v>
      </c>
      <c r="O628" t="n">
        <v>0</v>
      </c>
      <c r="P628" t="n">
        <v>0</v>
      </c>
      <c r="Q628" t="n">
        <v>0</v>
      </c>
      <c r="R628" s="2" t="inlineStr"/>
    </row>
    <row r="629" ht="15" customHeight="1">
      <c r="A629" t="inlineStr">
        <is>
          <t>A 7858-2025</t>
        </is>
      </c>
      <c r="B629" s="1" t="n">
        <v>45706.68633101852</v>
      </c>
      <c r="C629" s="1" t="n">
        <v>46134</v>
      </c>
      <c r="D629" t="inlineStr">
        <is>
          <t>GOTLANDS LÄN</t>
        </is>
      </c>
      <c r="E629" t="inlineStr">
        <is>
          <t>GOTLAND</t>
        </is>
      </c>
      <c r="G629" t="n">
        <v>3</v>
      </c>
      <c r="H629" t="n">
        <v>0</v>
      </c>
      <c r="I629" t="n">
        <v>0</v>
      </c>
      <c r="J629" t="n">
        <v>0</v>
      </c>
      <c r="K629" t="n">
        <v>0</v>
      </c>
      <c r="L629" t="n">
        <v>0</v>
      </c>
      <c r="M629" t="n">
        <v>0</v>
      </c>
      <c r="N629" t="n">
        <v>0</v>
      </c>
      <c r="O629" t="n">
        <v>0</v>
      </c>
      <c r="P629" t="n">
        <v>0</v>
      </c>
      <c r="Q629" t="n">
        <v>0</v>
      </c>
      <c r="R629" s="2" t="inlineStr"/>
    </row>
    <row r="630" ht="15" customHeight="1">
      <c r="A630" t="inlineStr">
        <is>
          <t>A 53935-2024</t>
        </is>
      </c>
      <c r="B630" s="1" t="n">
        <v>45615</v>
      </c>
      <c r="C630" s="1" t="n">
        <v>46134</v>
      </c>
      <c r="D630" t="inlineStr">
        <is>
          <t>GOTLANDS LÄN</t>
        </is>
      </c>
      <c r="E630" t="inlineStr">
        <is>
          <t>GOTLAND</t>
        </is>
      </c>
      <c r="G630" t="n">
        <v>1.2</v>
      </c>
      <c r="H630" t="n">
        <v>0</v>
      </c>
      <c r="I630" t="n">
        <v>0</v>
      </c>
      <c r="J630" t="n">
        <v>0</v>
      </c>
      <c r="K630" t="n">
        <v>0</v>
      </c>
      <c r="L630" t="n">
        <v>0</v>
      </c>
      <c r="M630" t="n">
        <v>0</v>
      </c>
      <c r="N630" t="n">
        <v>0</v>
      </c>
      <c r="O630" t="n">
        <v>0</v>
      </c>
      <c r="P630" t="n">
        <v>0</v>
      </c>
      <c r="Q630" t="n">
        <v>0</v>
      </c>
      <c r="R630" s="2" t="inlineStr"/>
    </row>
    <row r="631" ht="15" customHeight="1">
      <c r="A631" t="inlineStr">
        <is>
          <t>A 18223-2025</t>
        </is>
      </c>
      <c r="B631" s="1" t="n">
        <v>45761</v>
      </c>
      <c r="C631" s="1" t="n">
        <v>46134</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4420-2025</t>
        </is>
      </c>
      <c r="B632" s="1" t="n">
        <v>45686.47157407407</v>
      </c>
      <c r="C632" s="1" t="n">
        <v>46134</v>
      </c>
      <c r="D632" t="inlineStr">
        <is>
          <t>GOTLANDS LÄN</t>
        </is>
      </c>
      <c r="E632" t="inlineStr">
        <is>
          <t>GOTLAND</t>
        </is>
      </c>
      <c r="G632" t="n">
        <v>1.6</v>
      </c>
      <c r="H632" t="n">
        <v>0</v>
      </c>
      <c r="I632" t="n">
        <v>0</v>
      </c>
      <c r="J632" t="n">
        <v>0</v>
      </c>
      <c r="K632" t="n">
        <v>0</v>
      </c>
      <c r="L632" t="n">
        <v>0</v>
      </c>
      <c r="M632" t="n">
        <v>0</v>
      </c>
      <c r="N632" t="n">
        <v>0</v>
      </c>
      <c r="O632" t="n">
        <v>0</v>
      </c>
      <c r="P632" t="n">
        <v>0</v>
      </c>
      <c r="Q632" t="n">
        <v>0</v>
      </c>
      <c r="R632" s="2" t="inlineStr"/>
    </row>
    <row r="633" ht="15" customHeight="1">
      <c r="A633" t="inlineStr">
        <is>
          <t>A 5891-2025</t>
        </is>
      </c>
      <c r="B633" s="1" t="n">
        <v>45695.38327546296</v>
      </c>
      <c r="C633" s="1" t="n">
        <v>46134</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7835-2024</t>
        </is>
      </c>
      <c r="B634" s="1" t="n">
        <v>45349.83138888889</v>
      </c>
      <c r="C634" s="1" t="n">
        <v>46134</v>
      </c>
      <c r="D634" t="inlineStr">
        <is>
          <t>GOTLANDS LÄN</t>
        </is>
      </c>
      <c r="E634" t="inlineStr">
        <is>
          <t>GOTLAND</t>
        </is>
      </c>
      <c r="G634" t="n">
        <v>3.8</v>
      </c>
      <c r="H634" t="n">
        <v>0</v>
      </c>
      <c r="I634" t="n">
        <v>0</v>
      </c>
      <c r="J634" t="n">
        <v>0</v>
      </c>
      <c r="K634" t="n">
        <v>0</v>
      </c>
      <c r="L634" t="n">
        <v>0</v>
      </c>
      <c r="M634" t="n">
        <v>0</v>
      </c>
      <c r="N634" t="n">
        <v>0</v>
      </c>
      <c r="O634" t="n">
        <v>0</v>
      </c>
      <c r="P634" t="n">
        <v>0</v>
      </c>
      <c r="Q634" t="n">
        <v>0</v>
      </c>
      <c r="R634" s="2" t="inlineStr"/>
    </row>
    <row r="635" ht="15" customHeight="1">
      <c r="A635" t="inlineStr">
        <is>
          <t>A 20794-2025</t>
        </is>
      </c>
      <c r="B635" s="1" t="n">
        <v>45776</v>
      </c>
      <c r="C635" s="1" t="n">
        <v>46134</v>
      </c>
      <c r="D635" t="inlineStr">
        <is>
          <t>GOTLANDS LÄN</t>
        </is>
      </c>
      <c r="E635" t="inlineStr">
        <is>
          <t>GOTLAND</t>
        </is>
      </c>
      <c r="G635" t="n">
        <v>6</v>
      </c>
      <c r="H635" t="n">
        <v>0</v>
      </c>
      <c r="I635" t="n">
        <v>0</v>
      </c>
      <c r="J635" t="n">
        <v>0</v>
      </c>
      <c r="K635" t="n">
        <v>0</v>
      </c>
      <c r="L635" t="n">
        <v>0</v>
      </c>
      <c r="M635" t="n">
        <v>0</v>
      </c>
      <c r="N635" t="n">
        <v>0</v>
      </c>
      <c r="O635" t="n">
        <v>0</v>
      </c>
      <c r="P635" t="n">
        <v>0</v>
      </c>
      <c r="Q635" t="n">
        <v>0</v>
      </c>
      <c r="R635" s="2" t="inlineStr"/>
    </row>
    <row r="636" ht="15" customHeight="1">
      <c r="A636" t="inlineStr">
        <is>
          <t>A 20805-2025</t>
        </is>
      </c>
      <c r="B636" s="1" t="n">
        <v>45776</v>
      </c>
      <c r="C636" s="1" t="n">
        <v>46134</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21389-2025</t>
        </is>
      </c>
      <c r="B637" s="1" t="n">
        <v>45782</v>
      </c>
      <c r="C637" s="1" t="n">
        <v>46134</v>
      </c>
      <c r="D637" t="inlineStr">
        <is>
          <t>GOTLANDS LÄN</t>
        </is>
      </c>
      <c r="E637" t="inlineStr">
        <is>
          <t>GOTLAND</t>
        </is>
      </c>
      <c r="G637" t="n">
        <v>4.1</v>
      </c>
      <c r="H637" t="n">
        <v>0</v>
      </c>
      <c r="I637" t="n">
        <v>0</v>
      </c>
      <c r="J637" t="n">
        <v>0</v>
      </c>
      <c r="K637" t="n">
        <v>0</v>
      </c>
      <c r="L637" t="n">
        <v>0</v>
      </c>
      <c r="M637" t="n">
        <v>0</v>
      </c>
      <c r="N637" t="n">
        <v>0</v>
      </c>
      <c r="O637" t="n">
        <v>0</v>
      </c>
      <c r="P637" t="n">
        <v>0</v>
      </c>
      <c r="Q637" t="n">
        <v>0</v>
      </c>
      <c r="R637" s="2" t="inlineStr"/>
    </row>
    <row r="638" ht="15" customHeight="1">
      <c r="A638" t="inlineStr">
        <is>
          <t>A 21651-2025</t>
        </is>
      </c>
      <c r="B638" s="1" t="n">
        <v>45783</v>
      </c>
      <c r="C638" s="1" t="n">
        <v>46134</v>
      </c>
      <c r="D638" t="inlineStr">
        <is>
          <t>GOTLANDS LÄN</t>
        </is>
      </c>
      <c r="E638" t="inlineStr">
        <is>
          <t>GOTLAND</t>
        </is>
      </c>
      <c r="G638" t="n">
        <v>4.2</v>
      </c>
      <c r="H638" t="n">
        <v>0</v>
      </c>
      <c r="I638" t="n">
        <v>0</v>
      </c>
      <c r="J638" t="n">
        <v>0</v>
      </c>
      <c r="K638" t="n">
        <v>0</v>
      </c>
      <c r="L638" t="n">
        <v>0</v>
      </c>
      <c r="M638" t="n">
        <v>0</v>
      </c>
      <c r="N638" t="n">
        <v>0</v>
      </c>
      <c r="O638" t="n">
        <v>0</v>
      </c>
      <c r="P638" t="n">
        <v>0</v>
      </c>
      <c r="Q638" t="n">
        <v>0</v>
      </c>
      <c r="R638" s="2" t="inlineStr"/>
    </row>
    <row r="639" ht="15" customHeight="1">
      <c r="A639" t="inlineStr">
        <is>
          <t>A 57356-2023</t>
        </is>
      </c>
      <c r="B639" s="1" t="n">
        <v>45240</v>
      </c>
      <c r="C639" s="1" t="n">
        <v>46134</v>
      </c>
      <c r="D639" t="inlineStr">
        <is>
          <t>GOTLANDS LÄN</t>
        </is>
      </c>
      <c r="E639" t="inlineStr">
        <is>
          <t>GOTLAND</t>
        </is>
      </c>
      <c r="G639" t="n">
        <v>6.4</v>
      </c>
      <c r="H639" t="n">
        <v>0</v>
      </c>
      <c r="I639" t="n">
        <v>0</v>
      </c>
      <c r="J639" t="n">
        <v>0</v>
      </c>
      <c r="K639" t="n">
        <v>0</v>
      </c>
      <c r="L639" t="n">
        <v>0</v>
      </c>
      <c r="M639" t="n">
        <v>0</v>
      </c>
      <c r="N639" t="n">
        <v>0</v>
      </c>
      <c r="O639" t="n">
        <v>0</v>
      </c>
      <c r="P639" t="n">
        <v>0</v>
      </c>
      <c r="Q639" t="n">
        <v>0</v>
      </c>
      <c r="R639" s="2" t="inlineStr"/>
    </row>
    <row r="640" ht="15" customHeight="1">
      <c r="A640" t="inlineStr">
        <is>
          <t>A 10656-2024</t>
        </is>
      </c>
      <c r="B640" s="1" t="n">
        <v>45368</v>
      </c>
      <c r="C640" s="1" t="n">
        <v>46134</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28506-2023</t>
        </is>
      </c>
      <c r="B641" s="1" t="n">
        <v>45103</v>
      </c>
      <c r="C641" s="1" t="n">
        <v>46134</v>
      </c>
      <c r="D641" t="inlineStr">
        <is>
          <t>GOTLANDS LÄN</t>
        </is>
      </c>
      <c r="E641" t="inlineStr">
        <is>
          <t>GOTLAND</t>
        </is>
      </c>
      <c r="G641" t="n">
        <v>3.2</v>
      </c>
      <c r="H641" t="n">
        <v>0</v>
      </c>
      <c r="I641" t="n">
        <v>0</v>
      </c>
      <c r="J641" t="n">
        <v>0</v>
      </c>
      <c r="K641" t="n">
        <v>0</v>
      </c>
      <c r="L641" t="n">
        <v>0</v>
      </c>
      <c r="M641" t="n">
        <v>0</v>
      </c>
      <c r="N641" t="n">
        <v>0</v>
      </c>
      <c r="O641" t="n">
        <v>0</v>
      </c>
      <c r="P641" t="n">
        <v>0</v>
      </c>
      <c r="Q641" t="n">
        <v>0</v>
      </c>
      <c r="R641" s="2" t="inlineStr"/>
    </row>
    <row r="642" ht="15" customHeight="1">
      <c r="A642" t="inlineStr">
        <is>
          <t>A 21420-2024</t>
        </is>
      </c>
      <c r="B642" s="1" t="n">
        <v>45441.38293981482</v>
      </c>
      <c r="C642" s="1" t="n">
        <v>46134</v>
      </c>
      <c r="D642" t="inlineStr">
        <is>
          <t>GOTLANDS LÄN</t>
        </is>
      </c>
      <c r="E642" t="inlineStr">
        <is>
          <t>GOTLAND</t>
        </is>
      </c>
      <c r="G642" t="n">
        <v>4.1</v>
      </c>
      <c r="H642" t="n">
        <v>0</v>
      </c>
      <c r="I642" t="n">
        <v>0</v>
      </c>
      <c r="J642" t="n">
        <v>0</v>
      </c>
      <c r="K642" t="n">
        <v>0</v>
      </c>
      <c r="L642" t="n">
        <v>0</v>
      </c>
      <c r="M642" t="n">
        <v>0</v>
      </c>
      <c r="N642" t="n">
        <v>0</v>
      </c>
      <c r="O642" t="n">
        <v>0</v>
      </c>
      <c r="P642" t="n">
        <v>0</v>
      </c>
      <c r="Q642" t="n">
        <v>0</v>
      </c>
      <c r="R642" s="2" t="inlineStr"/>
    </row>
    <row r="643" ht="15" customHeight="1">
      <c r="A643" t="inlineStr">
        <is>
          <t>A 23188-2025</t>
        </is>
      </c>
      <c r="B643" s="1" t="n">
        <v>45791</v>
      </c>
      <c r="C643" s="1" t="n">
        <v>46134</v>
      </c>
      <c r="D643" t="inlineStr">
        <is>
          <t>GOTLANDS LÄN</t>
        </is>
      </c>
      <c r="E643" t="inlineStr">
        <is>
          <t>GOTLAND</t>
        </is>
      </c>
      <c r="G643" t="n">
        <v>6.2</v>
      </c>
      <c r="H643" t="n">
        <v>0</v>
      </c>
      <c r="I643" t="n">
        <v>0</v>
      </c>
      <c r="J643" t="n">
        <v>0</v>
      </c>
      <c r="K643" t="n">
        <v>0</v>
      </c>
      <c r="L643" t="n">
        <v>0</v>
      </c>
      <c r="M643" t="n">
        <v>0</v>
      </c>
      <c r="N643" t="n">
        <v>0</v>
      </c>
      <c r="O643" t="n">
        <v>0</v>
      </c>
      <c r="P643" t="n">
        <v>0</v>
      </c>
      <c r="Q643" t="n">
        <v>0</v>
      </c>
      <c r="R643" s="2" t="inlineStr"/>
    </row>
    <row r="644" ht="15" customHeight="1">
      <c r="A644" t="inlineStr">
        <is>
          <t>A 23473-2025</t>
        </is>
      </c>
      <c r="B644" s="1" t="n">
        <v>45792</v>
      </c>
      <c r="C644" s="1" t="n">
        <v>46134</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c r="A645" t="inlineStr">
        <is>
          <t>A 23856-2025</t>
        </is>
      </c>
      <c r="B645" s="1" t="n">
        <v>45793</v>
      </c>
      <c r="C645" s="1" t="n">
        <v>46134</v>
      </c>
      <c r="D645" t="inlineStr">
        <is>
          <t>GOTLANDS LÄN</t>
        </is>
      </c>
      <c r="E645" t="inlineStr">
        <is>
          <t>GOTLAND</t>
        </is>
      </c>
      <c r="G645" t="n">
        <v>4.4</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2026-04-22T10:48:07Z</dcterms:created>
  <dcterms:modified xmlns:dcterms="http://purl.org/dc/terms/" xmlns:xsi="http://www.w3.org/2001/XMLSchema-instance" xsi:type="dcterms:W3CDTF">2026-04-22T10:48:07Z</dcterms:modified>
</cp:coreProperties>
</file>