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46167</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46167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46167</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46167</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46167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46167</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46167</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46167</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46167</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46167</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46167</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46167</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46167</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46167</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46167</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46167</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46167</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6153-2024</t>
        </is>
      </c>
      <c r="B23" s="1" t="n">
        <v>45337</v>
      </c>
      <c r="C23" s="1" t="n">
        <v>46167</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24575-2025</t>
        </is>
      </c>
      <c r="B24" s="1" t="n">
        <v>45798</v>
      </c>
      <c r="C24" s="1" t="n">
        <v>46167</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15629-2024</t>
        </is>
      </c>
      <c r="B25" s="1" t="n">
        <v>45402.78372685185</v>
      </c>
      <c r="C25" s="1" t="n">
        <v>46167</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46167</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46167</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46167</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25779-2022</t>
        </is>
      </c>
      <c r="B29" s="1" t="n">
        <v>44733</v>
      </c>
      <c r="C29" s="1" t="n">
        <v>46167</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2222-2024</t>
        </is>
      </c>
      <c r="B30" s="1" t="n">
        <v>45309</v>
      </c>
      <c r="C30" s="1" t="n">
        <v>46167</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44204-2022</t>
        </is>
      </c>
      <c r="B31" s="1" t="n">
        <v>44839</v>
      </c>
      <c r="C31" s="1" t="n">
        <v>46167</v>
      </c>
      <c r="D31" t="inlineStr">
        <is>
          <t>GOTLANDS LÄN</t>
        </is>
      </c>
      <c r="E31" t="inlineStr">
        <is>
          <t>GOTLAND</t>
        </is>
      </c>
      <c r="G31" t="n">
        <v>2.3</v>
      </c>
      <c r="H31" t="n">
        <v>2</v>
      </c>
      <c r="I31" t="n">
        <v>5</v>
      </c>
      <c r="J31" t="n">
        <v>3</v>
      </c>
      <c r="K31" t="n">
        <v>4</v>
      </c>
      <c r="L31" t="n">
        <v>1</v>
      </c>
      <c r="M31" t="n">
        <v>0</v>
      </c>
      <c r="N31" t="n">
        <v>0</v>
      </c>
      <c r="O31" t="n">
        <v>8</v>
      </c>
      <c r="P31" t="n">
        <v>5</v>
      </c>
      <c r="Q31" t="n">
        <v>13</v>
      </c>
      <c r="R31" s="2" t="inlineStr">
        <is>
          <t>Sienamusseron
Bitter taggsvamp
Fläckfingersvamp
Granrotspindling
Violettfläckig spindling
Duvhök
Odörspindling
Spillkråka
Anisspindling
Blomkålssvamp
Blå slemspindling
Olivspindling
Tjockfotad fingersvamp</t>
        </is>
      </c>
      <c r="S31">
        <f>HYPERLINK("https://klasma.github.io/Logging_0980/artfynd/A 44204-2022 artfynd.xlsx", "A 44204-2022")</f>
        <v/>
      </c>
      <c r="T31">
        <f>HYPERLINK("https://klasma.github.io/Logging_0980/kartor/A 44204-2022 karta.png", "A 44204-2022")</f>
        <v/>
      </c>
      <c r="V31">
        <f>HYPERLINK("https://klasma.github.io/Logging_0980/klagomål/A 44204-2022 FSC-klagomål.docx", "A 44204-2022")</f>
        <v/>
      </c>
      <c r="W31">
        <f>HYPERLINK("https://klasma.github.io/Logging_0980/klagomålsmail/A 44204-2022 FSC-klagomål mail.docx", "A 44204-2022")</f>
        <v/>
      </c>
      <c r="X31">
        <f>HYPERLINK("https://klasma.github.io/Logging_0980/tillsyn/A 44204-2022 tillsynsbegäran.docx", "A 44204-2022")</f>
        <v/>
      </c>
      <c r="Y31">
        <f>HYPERLINK("https://klasma.github.io/Logging_0980/tillsynsmail/A 44204-2022 tillsynsbegäran mail.docx", "A 44204-2022")</f>
        <v/>
      </c>
      <c r="Z31">
        <f>HYPERLINK("https://klasma.github.io/Logging_0980/fåglar/A 44204-2022 prioriterade fågelarter.docx", "A 44204-2022")</f>
        <v/>
      </c>
    </row>
    <row r="32" ht="15" customHeight="1">
      <c r="A32" t="inlineStr">
        <is>
          <t>A 44928-2022</t>
        </is>
      </c>
      <c r="B32" s="1" t="n">
        <v>44841</v>
      </c>
      <c r="C32" s="1" t="n">
        <v>46167</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46167</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46167</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46167</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46167</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46167</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46167</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46167</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46167</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10274-2026</t>
        </is>
      </c>
      <c r="B41" s="1" t="n">
        <v>46076</v>
      </c>
      <c r="C41" s="1" t="n">
        <v>46167</v>
      </c>
      <c r="D41" t="inlineStr">
        <is>
          <t>GOTLANDS LÄN</t>
        </is>
      </c>
      <c r="E41" t="inlineStr">
        <is>
          <t>GOTLAND</t>
        </is>
      </c>
      <c r="G41" t="n">
        <v>9.800000000000001</v>
      </c>
      <c r="H41" t="n">
        <v>4</v>
      </c>
      <c r="I41" t="n">
        <v>3</v>
      </c>
      <c r="J41" t="n">
        <v>4</v>
      </c>
      <c r="K41" t="n">
        <v>1</v>
      </c>
      <c r="L41" t="n">
        <v>0</v>
      </c>
      <c r="M41" t="n">
        <v>0</v>
      </c>
      <c r="N41" t="n">
        <v>0</v>
      </c>
      <c r="O41" t="n">
        <v>5</v>
      </c>
      <c r="P41" t="n">
        <v>1</v>
      </c>
      <c r="Q41" t="n">
        <v>11</v>
      </c>
      <c r="R41" s="2" t="inlineStr">
        <is>
          <t>Gråfingerört
Backstarr
Backtimjan
Reliktbock
Spillkråka
Axag
Grönpyrola
Kragjordstjärna
Alvarstånds
Nattviol
Sankt pers nycklar</t>
        </is>
      </c>
      <c r="S41">
        <f>HYPERLINK("https://klasma.github.io/Logging_0980/artfynd/A 10274-2026 artfynd.xlsx", "A 10274-2026")</f>
        <v/>
      </c>
      <c r="T41">
        <f>HYPERLINK("https://klasma.github.io/Logging_0980/kartor/A 10274-2026 karta.png", "A 10274-2026")</f>
        <v/>
      </c>
      <c r="V41">
        <f>HYPERLINK("https://klasma.github.io/Logging_0980/klagomål/A 10274-2026 FSC-klagomål.docx", "A 10274-2026")</f>
        <v/>
      </c>
      <c r="W41">
        <f>HYPERLINK("https://klasma.github.io/Logging_0980/klagomålsmail/A 10274-2026 FSC-klagomål mail.docx", "A 10274-2026")</f>
        <v/>
      </c>
      <c r="X41">
        <f>HYPERLINK("https://klasma.github.io/Logging_0980/tillsyn/A 10274-2026 tillsynsbegäran.docx", "A 10274-2026")</f>
        <v/>
      </c>
      <c r="Y41">
        <f>HYPERLINK("https://klasma.github.io/Logging_0980/tillsynsmail/A 10274-2026 tillsynsbegäran mail.docx", "A 10274-2026")</f>
        <v/>
      </c>
      <c r="Z41">
        <f>HYPERLINK("https://klasma.github.io/Logging_0980/fåglar/A 10274-2026 prioriterade fågelarter.docx", "A 10274-2026")</f>
        <v/>
      </c>
    </row>
    <row r="42" ht="15" customHeight="1">
      <c r="A42" t="inlineStr">
        <is>
          <t>A 11176-2024</t>
        </is>
      </c>
      <c r="B42" s="1" t="n">
        <v>45371</v>
      </c>
      <c r="C42" s="1" t="n">
        <v>46167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46167</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52223-2025</t>
        </is>
      </c>
      <c r="B44" s="1" t="n">
        <v>45953.44509259259</v>
      </c>
      <c r="C44" s="1" t="n">
        <v>46167</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46167</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46167</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46167</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17766-2024</t>
        </is>
      </c>
      <c r="B48" s="1" t="n">
        <v>45418</v>
      </c>
      <c r="C48" s="1" t="n">
        <v>46167</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46167</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46167</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46167</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46167</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46167</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46167</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46167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46167</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46167</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46167</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46167</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46167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46167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46167</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46167</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46167</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46167</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46167</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46167</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46167</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46167</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57773-2025</t>
        </is>
      </c>
      <c r="B70" s="1" t="n">
        <v>45981.56349537037</v>
      </c>
      <c r="C70" s="1" t="n">
        <v>46167</v>
      </c>
      <c r="D70" t="inlineStr">
        <is>
          <t>GOTLANDS LÄN</t>
        </is>
      </c>
      <c r="E70" t="inlineStr">
        <is>
          <t>GOTLAND</t>
        </is>
      </c>
      <c r="G70" t="n">
        <v>4.4</v>
      </c>
      <c r="H70" t="n">
        <v>0</v>
      </c>
      <c r="I70" t="n">
        <v>4</v>
      </c>
      <c r="J70" t="n">
        <v>0</v>
      </c>
      <c r="K70" t="n">
        <v>2</v>
      </c>
      <c r="L70" t="n">
        <v>0</v>
      </c>
      <c r="M70" t="n">
        <v>0</v>
      </c>
      <c r="N70" t="n">
        <v>0</v>
      </c>
      <c r="O70" t="n">
        <v>2</v>
      </c>
      <c r="P70" t="n">
        <v>2</v>
      </c>
      <c r="Q70" t="n">
        <v>6</v>
      </c>
      <c r="R70" s="2" t="inlineStr">
        <is>
          <t>Duvspindling
Mörkfjällig olivspindling
Besk kastanjemusseron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54527-2023</t>
        </is>
      </c>
      <c r="B71" s="1" t="n">
        <v>45233</v>
      </c>
      <c r="C71" s="1" t="n">
        <v>46167</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7038-2023</t>
        </is>
      </c>
      <c r="B72" s="1" t="n">
        <v>44968</v>
      </c>
      <c r="C72" s="1" t="n">
        <v>46167</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53584-2025</t>
        </is>
      </c>
      <c r="B73" s="1" t="n">
        <v>45960.43130787037</v>
      </c>
      <c r="C73" s="1" t="n">
        <v>46167</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46167</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54527-2023</t>
        </is>
      </c>
      <c r="B75" s="1" t="n">
        <v>45233</v>
      </c>
      <c r="C75" s="1" t="n">
        <v>46167</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16823-2024</t>
        </is>
      </c>
      <c r="B76" s="1" t="n">
        <v>45411</v>
      </c>
      <c r="C76" s="1" t="n">
        <v>46167</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46167</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35293-2025</t>
        </is>
      </c>
      <c r="B78" s="1" t="n">
        <v>45854.39438657407</v>
      </c>
      <c r="C78" s="1" t="n">
        <v>46167</v>
      </c>
      <c r="D78" t="inlineStr">
        <is>
          <t>GOTLANDS LÄN</t>
        </is>
      </c>
      <c r="E78" t="inlineStr">
        <is>
          <t>GOTLAND</t>
        </is>
      </c>
      <c r="G78" t="n">
        <v>9.199999999999999</v>
      </c>
      <c r="H78" t="n">
        <v>1</v>
      </c>
      <c r="I78" t="n">
        <v>1</v>
      </c>
      <c r="J78" t="n">
        <v>4</v>
      </c>
      <c r="K78" t="n">
        <v>0</v>
      </c>
      <c r="L78" t="n">
        <v>0</v>
      </c>
      <c r="M78" t="n">
        <v>0</v>
      </c>
      <c r="N78" t="n">
        <v>0</v>
      </c>
      <c r="O78" t="n">
        <v>4</v>
      </c>
      <c r="P78" t="n">
        <v>0</v>
      </c>
      <c r="Q78" t="n">
        <v>5</v>
      </c>
      <c r="R78" s="2" t="inlineStr">
        <is>
          <t>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6839-2026</t>
        </is>
      </c>
      <c r="B79" s="1" t="n">
        <v>46057.41193287037</v>
      </c>
      <c r="C79" s="1" t="n">
        <v>46167</v>
      </c>
      <c r="D79" t="inlineStr">
        <is>
          <t>GOTLANDS LÄN</t>
        </is>
      </c>
      <c r="E79" t="inlineStr">
        <is>
          <t>GOTLAND</t>
        </is>
      </c>
      <c r="G79" t="n">
        <v>4.9</v>
      </c>
      <c r="H79" t="n">
        <v>0</v>
      </c>
      <c r="I79" t="n">
        <v>1</v>
      </c>
      <c r="J79" t="n">
        <v>2</v>
      </c>
      <c r="K79" t="n">
        <v>2</v>
      </c>
      <c r="L79" t="n">
        <v>0</v>
      </c>
      <c r="M79" t="n">
        <v>0</v>
      </c>
      <c r="N79" t="n">
        <v>0</v>
      </c>
      <c r="O79" t="n">
        <v>4</v>
      </c>
      <c r="P79" t="n">
        <v>2</v>
      </c>
      <c r="Q79" t="n">
        <v>5</v>
      </c>
      <c r="R79" s="2" t="inlineStr">
        <is>
          <t>Mörk kraterlav
Skogskorn
Ekvaxskivling
Mjölmusseron
Besk kastanjemusseron</t>
        </is>
      </c>
      <c r="S79">
        <f>HYPERLINK("https://klasma.github.io/Logging_0980/artfynd/A 6839-2026 artfynd.xlsx", "A 6839-2026")</f>
        <v/>
      </c>
      <c r="T79">
        <f>HYPERLINK("https://klasma.github.io/Logging_0980/kartor/A 6839-2026 karta.png", "A 6839-2026")</f>
        <v/>
      </c>
      <c r="V79">
        <f>HYPERLINK("https://klasma.github.io/Logging_0980/klagomål/A 6839-2026 FSC-klagomål.docx", "A 6839-2026")</f>
        <v/>
      </c>
      <c r="W79">
        <f>HYPERLINK("https://klasma.github.io/Logging_0980/klagomålsmail/A 6839-2026 FSC-klagomål mail.docx", "A 6839-2026")</f>
        <v/>
      </c>
      <c r="X79">
        <f>HYPERLINK("https://klasma.github.io/Logging_0980/tillsyn/A 6839-2026 tillsynsbegäran.docx", "A 6839-2026")</f>
        <v/>
      </c>
      <c r="Y79">
        <f>HYPERLINK("https://klasma.github.io/Logging_0980/tillsynsmail/A 6839-2026 tillsynsbegäran mail.docx", "A 6839-2026")</f>
        <v/>
      </c>
    </row>
    <row r="80" ht="15" customHeight="1">
      <c r="A80" t="inlineStr">
        <is>
          <t>A 32326-2024</t>
        </is>
      </c>
      <c r="B80" s="1" t="n">
        <v>45512</v>
      </c>
      <c r="C80" s="1" t="n">
        <v>46167</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46167</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2213-2023</t>
        </is>
      </c>
      <c r="B82" s="1" t="n">
        <v>44942</v>
      </c>
      <c r="C82" s="1" t="n">
        <v>46167</v>
      </c>
      <c r="D82" t="inlineStr">
        <is>
          <t>GOTLANDS LÄN</t>
        </is>
      </c>
      <c r="E82" t="inlineStr">
        <is>
          <t>GOTLAND</t>
        </is>
      </c>
      <c r="G82" t="n">
        <v>2.7</v>
      </c>
      <c r="H82" t="n">
        <v>1</v>
      </c>
      <c r="I82" t="n">
        <v>0</v>
      </c>
      <c r="J82" t="n">
        <v>4</v>
      </c>
      <c r="K82" t="n">
        <v>1</v>
      </c>
      <c r="L82" t="n">
        <v>0</v>
      </c>
      <c r="M82" t="n">
        <v>0</v>
      </c>
      <c r="N82" t="n">
        <v>0</v>
      </c>
      <c r="O82" t="n">
        <v>5</v>
      </c>
      <c r="P82" t="n">
        <v>1</v>
      </c>
      <c r="Q82" t="n">
        <v>5</v>
      </c>
      <c r="R82" s="2" t="inlineStr">
        <is>
          <t>Garderönn
Backtimjan
Odörspindling
Smedbock
Svinrot</t>
        </is>
      </c>
      <c r="S82">
        <f>HYPERLINK("https://klasma.github.io/Logging_0980/artfynd/A 2213-2023 artfynd.xlsx", "A 2213-2023")</f>
        <v/>
      </c>
      <c r="T82">
        <f>HYPERLINK("https://klasma.github.io/Logging_0980/kartor/A 2213-2023 karta.png", "A 2213-2023")</f>
        <v/>
      </c>
      <c r="V82">
        <f>HYPERLINK("https://klasma.github.io/Logging_0980/klagomål/A 2213-2023 FSC-klagomål.docx", "A 2213-2023")</f>
        <v/>
      </c>
      <c r="W82">
        <f>HYPERLINK("https://klasma.github.io/Logging_0980/klagomålsmail/A 2213-2023 FSC-klagomål mail.docx", "A 2213-2023")</f>
        <v/>
      </c>
      <c r="X82">
        <f>HYPERLINK("https://klasma.github.io/Logging_0980/tillsyn/A 2213-2023 tillsynsbegäran.docx", "A 2213-2023")</f>
        <v/>
      </c>
      <c r="Y82">
        <f>HYPERLINK("https://klasma.github.io/Logging_0980/tillsynsmail/A 2213-2023 tillsynsbegäran mail.docx", "A 2213-2023")</f>
        <v/>
      </c>
    </row>
    <row r="83" ht="15" customHeight="1">
      <c r="A83" t="inlineStr">
        <is>
          <t>A 52245-2025</t>
        </is>
      </c>
      <c r="B83" s="1" t="n">
        <v>45953.47115740741</v>
      </c>
      <c r="C83" s="1" t="n">
        <v>46167</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42936-2024</t>
        </is>
      </c>
      <c r="B84" s="1" t="n">
        <v>45567</v>
      </c>
      <c r="C84" s="1" t="n">
        <v>46167</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46167</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16375-2025</t>
        </is>
      </c>
      <c r="B86" s="1" t="n">
        <v>45751.41064814815</v>
      </c>
      <c r="C86" s="1" t="n">
        <v>46167</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29331-2021</t>
        </is>
      </c>
      <c r="B87" s="1" t="n">
        <v>44361</v>
      </c>
      <c r="C87" s="1" t="n">
        <v>46167</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56717-2024</t>
        </is>
      </c>
      <c r="B88" s="1" t="n">
        <v>45628.3166550926</v>
      </c>
      <c r="C88" s="1" t="n">
        <v>46167</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40099-2025</t>
        </is>
      </c>
      <c r="B89" s="1" t="n">
        <v>45894.48462962963</v>
      </c>
      <c r="C89" s="1" t="n">
        <v>46167</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6836-2026</t>
        </is>
      </c>
      <c r="B90" s="1" t="n">
        <v>46057</v>
      </c>
      <c r="C90" s="1" t="n">
        <v>46167</v>
      </c>
      <c r="D90" t="inlineStr">
        <is>
          <t>GOTLANDS LÄN</t>
        </is>
      </c>
      <c r="E90" t="inlineStr">
        <is>
          <t>GOTLAND</t>
        </is>
      </c>
      <c r="G90" t="n">
        <v>3.8</v>
      </c>
      <c r="H90" t="n">
        <v>1</v>
      </c>
      <c r="I90" t="n">
        <v>3</v>
      </c>
      <c r="J90" t="n">
        <v>0</v>
      </c>
      <c r="K90" t="n">
        <v>1</v>
      </c>
      <c r="L90" t="n">
        <v>0</v>
      </c>
      <c r="M90" t="n">
        <v>0</v>
      </c>
      <c r="N90" t="n">
        <v>0</v>
      </c>
      <c r="O90" t="n">
        <v>1</v>
      </c>
      <c r="P90" t="n">
        <v>1</v>
      </c>
      <c r="Q90" t="n">
        <v>4</v>
      </c>
      <c r="R90" s="2" t="inlineStr">
        <is>
          <t>Knärot
Fransig jordstjärna
Rödgul trumpetsvamp
Svavelriska</t>
        </is>
      </c>
      <c r="S90">
        <f>HYPERLINK("https://klasma.github.io/Logging_0980/artfynd/A 6836-2026 artfynd.xlsx", "A 6836-2026")</f>
        <v/>
      </c>
      <c r="T90">
        <f>HYPERLINK("https://klasma.github.io/Logging_0980/kartor/A 6836-2026 karta.png", "A 6836-2026")</f>
        <v/>
      </c>
      <c r="U90">
        <f>HYPERLINK("https://klasma.github.io/Logging_0980/knärot/A 6836-2026 karta knärot.png", "A 6836-2026")</f>
        <v/>
      </c>
      <c r="V90">
        <f>HYPERLINK("https://klasma.github.io/Logging_0980/klagomål/A 6836-2026 FSC-klagomål.docx", "A 6836-2026")</f>
        <v/>
      </c>
      <c r="W90">
        <f>HYPERLINK("https://klasma.github.io/Logging_0980/klagomålsmail/A 6836-2026 FSC-klagomål mail.docx", "A 6836-2026")</f>
        <v/>
      </c>
      <c r="X90">
        <f>HYPERLINK("https://klasma.github.io/Logging_0980/tillsyn/A 6836-2026 tillsynsbegäran.docx", "A 6836-2026")</f>
        <v/>
      </c>
      <c r="Y90">
        <f>HYPERLINK("https://klasma.github.io/Logging_0980/tillsynsmail/A 6836-2026 tillsynsbegäran mail.docx", "A 6836-2026")</f>
        <v/>
      </c>
    </row>
    <row r="91" ht="15" customHeight="1">
      <c r="A91" t="inlineStr">
        <is>
          <t>A 20833-2024</t>
        </is>
      </c>
      <c r="B91" s="1" t="n">
        <v>45439</v>
      </c>
      <c r="C91" s="1" t="n">
        <v>46167</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5904-2024</t>
        </is>
      </c>
      <c r="B92" s="1" t="n">
        <v>45335</v>
      </c>
      <c r="C92" s="1" t="n">
        <v>46167</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2485-2025</t>
        </is>
      </c>
      <c r="B93" s="1" t="n">
        <v>45673</v>
      </c>
      <c r="C93" s="1" t="n">
        <v>46167</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46167</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46167</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54523-2023</t>
        </is>
      </c>
      <c r="B96" s="1" t="n">
        <v>45233</v>
      </c>
      <c r="C96" s="1" t="n">
        <v>46167</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1971-2023</t>
        </is>
      </c>
      <c r="B97" s="1" t="n">
        <v>44939</v>
      </c>
      <c r="C97" s="1" t="n">
        <v>46167</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186-2023</t>
        </is>
      </c>
      <c r="B98" s="1" t="n">
        <v>44928</v>
      </c>
      <c r="C98" s="1" t="n">
        <v>46167</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52250-2025</t>
        </is>
      </c>
      <c r="B99" s="1" t="n">
        <v>45953.48998842593</v>
      </c>
      <c r="C99" s="1" t="n">
        <v>46167</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13203-2026</t>
        </is>
      </c>
      <c r="B100" s="1" t="n">
        <v>46093</v>
      </c>
      <c r="C100" s="1" t="n">
        <v>46167</v>
      </c>
      <c r="D100" t="inlineStr">
        <is>
          <t>GOTLANDS LÄN</t>
        </is>
      </c>
      <c r="E100" t="inlineStr">
        <is>
          <t>GOTLAND</t>
        </is>
      </c>
      <c r="G100" t="n">
        <v>4.5</v>
      </c>
      <c r="H100" t="n">
        <v>2</v>
      </c>
      <c r="I100" t="n">
        <v>1</v>
      </c>
      <c r="J100" t="n">
        <v>1</v>
      </c>
      <c r="K100" t="n">
        <v>1</v>
      </c>
      <c r="L100" t="n">
        <v>0</v>
      </c>
      <c r="M100" t="n">
        <v>0</v>
      </c>
      <c r="N100" t="n">
        <v>0</v>
      </c>
      <c r="O100" t="n">
        <v>2</v>
      </c>
      <c r="P100" t="n">
        <v>1</v>
      </c>
      <c r="Q100" t="n">
        <v>4</v>
      </c>
      <c r="R100" s="2" t="inlineStr">
        <is>
          <t>Gotlandsmåra
Svinrot
Nästrot
Grönvit nattviol</t>
        </is>
      </c>
      <c r="S100">
        <f>HYPERLINK("https://klasma.github.io/Logging_0980/artfynd/A 13203-2026 artfynd.xlsx", "A 13203-2026")</f>
        <v/>
      </c>
      <c r="T100">
        <f>HYPERLINK("https://klasma.github.io/Logging_0980/kartor/A 13203-2026 karta.png", "A 13203-2026")</f>
        <v/>
      </c>
      <c r="V100">
        <f>HYPERLINK("https://klasma.github.io/Logging_0980/klagomål/A 13203-2026 FSC-klagomål.docx", "A 13203-2026")</f>
        <v/>
      </c>
      <c r="W100">
        <f>HYPERLINK("https://klasma.github.io/Logging_0980/klagomålsmail/A 13203-2026 FSC-klagomål mail.docx", "A 13203-2026")</f>
        <v/>
      </c>
      <c r="X100">
        <f>HYPERLINK("https://klasma.github.io/Logging_0980/tillsyn/A 13203-2026 tillsynsbegäran.docx", "A 13203-2026")</f>
        <v/>
      </c>
      <c r="Y100">
        <f>HYPERLINK("https://klasma.github.io/Logging_0980/tillsynsmail/A 13203-2026 tillsynsbegäran mail.docx", "A 13203-2026")</f>
        <v/>
      </c>
    </row>
    <row r="101" ht="15" customHeight="1">
      <c r="A101" t="inlineStr">
        <is>
          <t>A 57463-2025</t>
        </is>
      </c>
      <c r="B101" s="1" t="n">
        <v>45980</v>
      </c>
      <c r="C101" s="1" t="n">
        <v>46167</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8265-2023</t>
        </is>
      </c>
      <c r="B102" s="1" t="n">
        <v>44974</v>
      </c>
      <c r="C102" s="1" t="n">
        <v>46167</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46167</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46167</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46167</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46167</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46167</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73144-2021</t>
        </is>
      </c>
      <c r="B108" s="1" t="n">
        <v>44550</v>
      </c>
      <c r="C108" s="1" t="n">
        <v>46167</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13499-2022</t>
        </is>
      </c>
      <c r="B109" s="1" t="n">
        <v>44647.79203703703</v>
      </c>
      <c r="C109" s="1" t="n">
        <v>46167</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5235-2025</t>
        </is>
      </c>
      <c r="B110" s="1" t="n">
        <v>45692.26797453704</v>
      </c>
      <c r="C110" s="1" t="n">
        <v>46167</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48126-2022</t>
        </is>
      </c>
      <c r="B111" s="1" t="n">
        <v>44857</v>
      </c>
      <c r="C111" s="1" t="n">
        <v>46167</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1520-2026</t>
        </is>
      </c>
      <c r="B112" s="1" t="n">
        <v>46034.35891203704</v>
      </c>
      <c r="C112" s="1" t="n">
        <v>46167</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20831-2024</t>
        </is>
      </c>
      <c r="B113" s="1" t="n">
        <v>45439</v>
      </c>
      <c r="C113" s="1" t="n">
        <v>46167</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46167</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46167</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17975-2024</t>
        </is>
      </c>
      <c r="B116" s="1" t="n">
        <v>45419.85546296297</v>
      </c>
      <c r="C116" s="1" t="n">
        <v>46167</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17982-2023</t>
        </is>
      </c>
      <c r="B117" s="1" t="n">
        <v>45040</v>
      </c>
      <c r="C117" s="1" t="n">
        <v>46167</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46167</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46167</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30490-2025</t>
        </is>
      </c>
      <c r="B120" s="1" t="n">
        <v>45830</v>
      </c>
      <c r="C120" s="1" t="n">
        <v>46167</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29870-2021</t>
        </is>
      </c>
      <c r="B121" s="1" t="n">
        <v>44362</v>
      </c>
      <c r="C121" s="1" t="n">
        <v>46167</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46167</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46167</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46167</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46167</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46167</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7070-2022</t>
        </is>
      </c>
      <c r="B127" s="1" t="n">
        <v>44603</v>
      </c>
      <c r="C127" s="1" t="n">
        <v>46167</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16997-2026</t>
        </is>
      </c>
      <c r="B128" s="1" t="n">
        <v>46114.42539351852</v>
      </c>
      <c r="C128" s="1" t="n">
        <v>46167</v>
      </c>
      <c r="D128" t="inlineStr">
        <is>
          <t>GOTLANDS LÄN</t>
        </is>
      </c>
      <c r="E128" t="inlineStr">
        <is>
          <t>GOTLAND</t>
        </is>
      </c>
      <c r="G128" t="n">
        <v>0.7</v>
      </c>
      <c r="H128" t="n">
        <v>0</v>
      </c>
      <c r="I128" t="n">
        <v>1</v>
      </c>
      <c r="J128" t="n">
        <v>0</v>
      </c>
      <c r="K128" t="n">
        <v>0</v>
      </c>
      <c r="L128" t="n">
        <v>1</v>
      </c>
      <c r="M128" t="n">
        <v>0</v>
      </c>
      <c r="N128" t="n">
        <v>0</v>
      </c>
      <c r="O128" t="n">
        <v>1</v>
      </c>
      <c r="P128" t="n">
        <v>1</v>
      </c>
      <c r="Q128" t="n">
        <v>2</v>
      </c>
      <c r="R128" s="2" t="inlineStr">
        <is>
          <t>Ask
Hasselticka</t>
        </is>
      </c>
      <c r="S128">
        <f>HYPERLINK("https://klasma.github.io/Logging_0980/artfynd/A 16997-2026 artfynd.xlsx", "A 16997-2026")</f>
        <v/>
      </c>
      <c r="T128">
        <f>HYPERLINK("https://klasma.github.io/Logging_0980/kartor/A 16997-2026 karta.png", "A 16997-2026")</f>
        <v/>
      </c>
      <c r="V128">
        <f>HYPERLINK("https://klasma.github.io/Logging_0980/klagomål/A 16997-2026 FSC-klagomål.docx", "A 16997-2026")</f>
        <v/>
      </c>
      <c r="W128">
        <f>HYPERLINK("https://klasma.github.io/Logging_0980/klagomålsmail/A 16997-2026 FSC-klagomål mail.docx", "A 16997-2026")</f>
        <v/>
      </c>
      <c r="X128">
        <f>HYPERLINK("https://klasma.github.io/Logging_0980/tillsyn/A 16997-2026 tillsynsbegäran.docx", "A 16997-2026")</f>
        <v/>
      </c>
      <c r="Y128">
        <f>HYPERLINK("https://klasma.github.io/Logging_0980/tillsynsmail/A 16997-2026 tillsynsbegäran mail.docx", "A 16997-2026")</f>
        <v/>
      </c>
    </row>
    <row r="129" ht="15" customHeight="1">
      <c r="A129" t="inlineStr">
        <is>
          <t>A 17328-2026</t>
        </is>
      </c>
      <c r="B129" s="1" t="n">
        <v>46119.61216435185</v>
      </c>
      <c r="C129" s="1" t="n">
        <v>46167</v>
      </c>
      <c r="D129" t="inlineStr">
        <is>
          <t>GOTLANDS LÄN</t>
        </is>
      </c>
      <c r="E129" t="inlineStr">
        <is>
          <t>GOTLAND</t>
        </is>
      </c>
      <c r="F129" t="inlineStr">
        <is>
          <t>Kyrkan</t>
        </is>
      </c>
      <c r="G129" t="n">
        <v>4</v>
      </c>
      <c r="H129" t="n">
        <v>1</v>
      </c>
      <c r="I129" t="n">
        <v>0</v>
      </c>
      <c r="J129" t="n">
        <v>2</v>
      </c>
      <c r="K129" t="n">
        <v>0</v>
      </c>
      <c r="L129" t="n">
        <v>0</v>
      </c>
      <c r="M129" t="n">
        <v>0</v>
      </c>
      <c r="N129" t="n">
        <v>0</v>
      </c>
      <c r="O129" t="n">
        <v>2</v>
      </c>
      <c r="P129" t="n">
        <v>0</v>
      </c>
      <c r="Q129" t="n">
        <v>2</v>
      </c>
      <c r="R129" s="2" t="inlineStr">
        <is>
          <t>Backtimjan
Spillkråka</t>
        </is>
      </c>
      <c r="S129">
        <f>HYPERLINK("https://klasma.github.io/Logging_0980/artfynd/A 17328-2026 artfynd.xlsx", "A 17328-2026")</f>
        <v/>
      </c>
      <c r="T129">
        <f>HYPERLINK("https://klasma.github.io/Logging_0980/kartor/A 17328-2026 karta.png", "A 17328-2026")</f>
        <v/>
      </c>
      <c r="V129">
        <f>HYPERLINK("https://klasma.github.io/Logging_0980/klagomål/A 17328-2026 FSC-klagomål.docx", "A 17328-2026")</f>
        <v/>
      </c>
      <c r="W129">
        <f>HYPERLINK("https://klasma.github.io/Logging_0980/klagomålsmail/A 17328-2026 FSC-klagomål mail.docx", "A 17328-2026")</f>
        <v/>
      </c>
      <c r="X129">
        <f>HYPERLINK("https://klasma.github.io/Logging_0980/tillsyn/A 17328-2026 tillsynsbegäran.docx", "A 17328-2026")</f>
        <v/>
      </c>
      <c r="Y129">
        <f>HYPERLINK("https://klasma.github.io/Logging_0980/tillsynsmail/A 17328-2026 tillsynsbegäran mail.docx", "A 17328-2026")</f>
        <v/>
      </c>
      <c r="Z129">
        <f>HYPERLINK("https://klasma.github.io/Logging_0980/fåglar/A 17328-2026 prioriterade fågelarter.docx", "A 17328-2026")</f>
        <v/>
      </c>
    </row>
    <row r="130" ht="15" customHeight="1">
      <c r="A130" t="inlineStr">
        <is>
          <t>A 12914-2025</t>
        </is>
      </c>
      <c r="B130" s="1" t="n">
        <v>45733</v>
      </c>
      <c r="C130" s="1" t="n">
        <v>46167</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46167</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46167</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46167</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46167</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63162-2025</t>
        </is>
      </c>
      <c r="B135" s="1" t="n">
        <v>46010.37629629629</v>
      </c>
      <c r="C135" s="1" t="n">
        <v>46167</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46167</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43219-2023</t>
        </is>
      </c>
      <c r="B137" s="1" t="n">
        <v>45183</v>
      </c>
      <c r="C137" s="1" t="n">
        <v>46167</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46167</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46167</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46167</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46167</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46167</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44308-2021</t>
        </is>
      </c>
      <c r="B143" s="1" t="n">
        <v>44434</v>
      </c>
      <c r="C143" s="1" t="n">
        <v>46167</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46527-2023</t>
        </is>
      </c>
      <c r="B144" s="1" t="n">
        <v>45197</v>
      </c>
      <c r="C144" s="1" t="n">
        <v>46167</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6303-2024</t>
        </is>
      </c>
      <c r="B145" s="1" t="n">
        <v>45338.35376157407</v>
      </c>
      <c r="C145" s="1" t="n">
        <v>46167</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46167</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25977-2024</t>
        </is>
      </c>
      <c r="B147" s="1" t="n">
        <v>45467.69356481481</v>
      </c>
      <c r="C147" s="1" t="n">
        <v>46167</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27589-2023</t>
        </is>
      </c>
      <c r="B148" s="1" t="n">
        <v>45097</v>
      </c>
      <c r="C148" s="1" t="n">
        <v>46167</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39812-2025</t>
        </is>
      </c>
      <c r="B149" s="1" t="n">
        <v>45891</v>
      </c>
      <c r="C149" s="1" t="n">
        <v>46167</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63149-2025</t>
        </is>
      </c>
      <c r="B150" s="1" t="n">
        <v>46010</v>
      </c>
      <c r="C150" s="1" t="n">
        <v>46167</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Anisspindling</t>
        </is>
      </c>
      <c r="S150">
        <f>HYPERLINK("https://klasma.github.io/Logging_0980/artfynd/A 63149-2025 artfynd.xlsx", "A 63149-2025")</f>
        <v/>
      </c>
      <c r="T150">
        <f>HYPERLINK("https://klasma.github.io/Logging_0980/kartor/A 63149-2025 karta.png", "A 63149-2025")</f>
        <v/>
      </c>
      <c r="V150">
        <f>HYPERLINK("https://klasma.github.io/Logging_0980/klagomål/A 63149-2025 FSC-klagomål.docx", "A 63149-2025")</f>
        <v/>
      </c>
      <c r="W150">
        <f>HYPERLINK("https://klasma.github.io/Logging_0980/klagomålsmail/A 63149-2025 FSC-klagomål mail.docx", "A 63149-2025")</f>
        <v/>
      </c>
      <c r="X150">
        <f>HYPERLINK("https://klasma.github.io/Logging_0980/tillsyn/A 63149-2025 tillsynsbegäran.docx", "A 63149-2025")</f>
        <v/>
      </c>
      <c r="Y150">
        <f>HYPERLINK("https://klasma.github.io/Logging_0980/tillsynsmail/A 63149-2025 tillsynsbegäran mail.docx", "A 63149-2025")</f>
        <v/>
      </c>
    </row>
    <row r="151" ht="15" customHeight="1">
      <c r="A151" t="inlineStr">
        <is>
          <t>A 22281-2026</t>
        </is>
      </c>
      <c r="B151" s="1" t="n">
        <v>46154</v>
      </c>
      <c r="C151" s="1" t="n">
        <v>46167</v>
      </c>
      <c r="D151" t="inlineStr">
        <is>
          <t>GOTLANDS LÄN</t>
        </is>
      </c>
      <c r="E151" t="inlineStr">
        <is>
          <t>GOTLAND</t>
        </is>
      </c>
      <c r="G151" t="n">
        <v>8.1</v>
      </c>
      <c r="H151" t="n">
        <v>0</v>
      </c>
      <c r="I151" t="n">
        <v>0</v>
      </c>
      <c r="J151" t="n">
        <v>1</v>
      </c>
      <c r="K151" t="n">
        <v>0</v>
      </c>
      <c r="L151" t="n">
        <v>0</v>
      </c>
      <c r="M151" t="n">
        <v>0</v>
      </c>
      <c r="N151" t="n">
        <v>0</v>
      </c>
      <c r="O151" t="n">
        <v>1</v>
      </c>
      <c r="P151" t="n">
        <v>0</v>
      </c>
      <c r="Q151" t="n">
        <v>1</v>
      </c>
      <c r="R151" s="2" t="inlineStr">
        <is>
          <t>Vasstandad trädbasbagge</t>
        </is>
      </c>
      <c r="S151">
        <f>HYPERLINK("https://klasma.github.io/Logging_0980/artfynd/A 22281-2026 artfynd.xlsx", "A 22281-2026")</f>
        <v/>
      </c>
      <c r="T151">
        <f>HYPERLINK("https://klasma.github.io/Logging_0980/kartor/A 22281-2026 karta.png", "A 22281-2026")</f>
        <v/>
      </c>
      <c r="V151">
        <f>HYPERLINK("https://klasma.github.io/Logging_0980/klagomål/A 22281-2026 FSC-klagomål.docx", "A 22281-2026")</f>
        <v/>
      </c>
      <c r="W151">
        <f>HYPERLINK("https://klasma.github.io/Logging_0980/klagomålsmail/A 22281-2026 FSC-klagomål mail.docx", "A 22281-2026")</f>
        <v/>
      </c>
      <c r="X151">
        <f>HYPERLINK("https://klasma.github.io/Logging_0980/tillsyn/A 22281-2026 tillsynsbegäran.docx", "A 22281-2026")</f>
        <v/>
      </c>
      <c r="Y151">
        <f>HYPERLINK("https://klasma.github.io/Logging_0980/tillsynsmail/A 22281-2026 tillsynsbegäran mail.docx", "A 22281-2026")</f>
        <v/>
      </c>
    </row>
    <row r="152" ht="15" customHeight="1">
      <c r="A152" t="inlineStr">
        <is>
          <t>A 17854-2026</t>
        </is>
      </c>
      <c r="B152" s="1" t="n">
        <v>46121</v>
      </c>
      <c r="C152" s="1" t="n">
        <v>46167</v>
      </c>
      <c r="D152" t="inlineStr">
        <is>
          <t>GOTLANDS LÄN</t>
        </is>
      </c>
      <c r="E152" t="inlineStr">
        <is>
          <t>GOTLAND</t>
        </is>
      </c>
      <c r="G152" t="n">
        <v>6.6</v>
      </c>
      <c r="H152" t="n">
        <v>0</v>
      </c>
      <c r="I152" t="n">
        <v>1</v>
      </c>
      <c r="J152" t="n">
        <v>0</v>
      </c>
      <c r="K152" t="n">
        <v>0</v>
      </c>
      <c r="L152" t="n">
        <v>0</v>
      </c>
      <c r="M152" t="n">
        <v>0</v>
      </c>
      <c r="N152" t="n">
        <v>0</v>
      </c>
      <c r="O152" t="n">
        <v>0</v>
      </c>
      <c r="P152" t="n">
        <v>0</v>
      </c>
      <c r="Q152" t="n">
        <v>1</v>
      </c>
      <c r="R152" s="2" t="inlineStr">
        <is>
          <t>Blå slemspindling</t>
        </is>
      </c>
      <c r="S152">
        <f>HYPERLINK("https://klasma.github.io/Logging_0980/artfynd/A 17854-2026 artfynd.xlsx", "A 17854-2026")</f>
        <v/>
      </c>
      <c r="T152">
        <f>HYPERLINK("https://klasma.github.io/Logging_0980/kartor/A 17854-2026 karta.png", "A 17854-2026")</f>
        <v/>
      </c>
      <c r="V152">
        <f>HYPERLINK("https://klasma.github.io/Logging_0980/klagomål/A 17854-2026 FSC-klagomål.docx", "A 17854-2026")</f>
        <v/>
      </c>
      <c r="W152">
        <f>HYPERLINK("https://klasma.github.io/Logging_0980/klagomålsmail/A 17854-2026 FSC-klagomål mail.docx", "A 17854-2026")</f>
        <v/>
      </c>
      <c r="X152">
        <f>HYPERLINK("https://klasma.github.io/Logging_0980/tillsyn/A 17854-2026 tillsynsbegäran.docx", "A 17854-2026")</f>
        <v/>
      </c>
      <c r="Y152">
        <f>HYPERLINK("https://klasma.github.io/Logging_0980/tillsynsmail/A 17854-2026 tillsynsbegäran mail.docx", "A 17854-2026")</f>
        <v/>
      </c>
    </row>
    <row r="153" ht="15" customHeight="1">
      <c r="A153" t="inlineStr">
        <is>
          <t>A 12924-2025</t>
        </is>
      </c>
      <c r="B153" s="1" t="n">
        <v>45734</v>
      </c>
      <c r="C153" s="1" t="n">
        <v>46167</v>
      </c>
      <c r="D153" t="inlineStr">
        <is>
          <t>GOTLANDS LÄN</t>
        </is>
      </c>
      <c r="E153" t="inlineStr">
        <is>
          <t>GOTLAND</t>
        </is>
      </c>
      <c r="G153" t="n">
        <v>11.7</v>
      </c>
      <c r="H153" t="n">
        <v>0</v>
      </c>
      <c r="I153" t="n">
        <v>0</v>
      </c>
      <c r="J153" t="n">
        <v>0</v>
      </c>
      <c r="K153" t="n">
        <v>1</v>
      </c>
      <c r="L153" t="n">
        <v>0</v>
      </c>
      <c r="M153" t="n">
        <v>0</v>
      </c>
      <c r="N153" t="n">
        <v>0</v>
      </c>
      <c r="O153" t="n">
        <v>1</v>
      </c>
      <c r="P153" t="n">
        <v>1</v>
      </c>
      <c r="Q153" t="n">
        <v>1</v>
      </c>
      <c r="R153" s="2" t="inlineStr">
        <is>
          <t>Gotlandsmåra</t>
        </is>
      </c>
      <c r="S153">
        <f>HYPERLINK("https://klasma.github.io/Logging_0980/artfynd/A 12924-2025 artfynd.xlsx", "A 12924-2025")</f>
        <v/>
      </c>
      <c r="T153">
        <f>HYPERLINK("https://klasma.github.io/Logging_0980/kartor/A 12924-2025 karta.png", "A 12924-2025")</f>
        <v/>
      </c>
      <c r="V153">
        <f>HYPERLINK("https://klasma.github.io/Logging_0980/klagomål/A 12924-2025 FSC-klagomål.docx", "A 12924-2025")</f>
        <v/>
      </c>
      <c r="W153">
        <f>HYPERLINK("https://klasma.github.io/Logging_0980/klagomålsmail/A 12924-2025 FSC-klagomål mail.docx", "A 12924-2025")</f>
        <v/>
      </c>
      <c r="X153">
        <f>HYPERLINK("https://klasma.github.io/Logging_0980/tillsyn/A 12924-2025 tillsynsbegäran.docx", "A 12924-2025")</f>
        <v/>
      </c>
      <c r="Y153">
        <f>HYPERLINK("https://klasma.github.io/Logging_0980/tillsynsmail/A 12924-2025 tillsynsbegäran mail.docx", "A 12924-2025")</f>
        <v/>
      </c>
    </row>
    <row r="154" ht="15" customHeight="1">
      <c r="A154" t="inlineStr">
        <is>
          <t>A 35467-2021</t>
        </is>
      </c>
      <c r="B154" s="1" t="n">
        <v>44385</v>
      </c>
      <c r="C154" s="1" t="n">
        <v>46167</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44619-2025</t>
        </is>
      </c>
      <c r="B155" s="1" t="n">
        <v>45917</v>
      </c>
      <c r="C155" s="1" t="n">
        <v>46167</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65927-2021</t>
        </is>
      </c>
      <c r="B156" s="1" t="n">
        <v>44516</v>
      </c>
      <c r="C156" s="1" t="n">
        <v>46167</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46167</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61561-2023</t>
        </is>
      </c>
      <c r="B158" s="1" t="n">
        <v>45265</v>
      </c>
      <c r="C158" s="1" t="n">
        <v>46167</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49726-2025</t>
        </is>
      </c>
      <c r="B159" s="1" t="n">
        <v>45939.84466435185</v>
      </c>
      <c r="C159" s="1" t="n">
        <v>46167</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12324-2025</t>
        </is>
      </c>
      <c r="B160" s="1" t="n">
        <v>45730</v>
      </c>
      <c r="C160" s="1" t="n">
        <v>46167</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2476-2025</t>
        </is>
      </c>
      <c r="B161" s="1" t="n">
        <v>45673</v>
      </c>
      <c r="C161" s="1" t="n">
        <v>46167</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44304-2021</t>
        </is>
      </c>
      <c r="B162" s="1" t="n">
        <v>44434</v>
      </c>
      <c r="C162" s="1" t="n">
        <v>46167</v>
      </c>
      <c r="D162" t="inlineStr">
        <is>
          <t>GOTLANDS LÄN</t>
        </is>
      </c>
      <c r="E162" t="inlineStr">
        <is>
          <t>GOTLAND</t>
        </is>
      </c>
      <c r="G162" t="n">
        <v>5.8</v>
      </c>
      <c r="H162" t="n">
        <v>0</v>
      </c>
      <c r="I162" t="n">
        <v>0</v>
      </c>
      <c r="J162" t="n">
        <v>1</v>
      </c>
      <c r="K162" t="n">
        <v>0</v>
      </c>
      <c r="L162" t="n">
        <v>0</v>
      </c>
      <c r="M162" t="n">
        <v>0</v>
      </c>
      <c r="N162" t="n">
        <v>0</v>
      </c>
      <c r="O162" t="n">
        <v>1</v>
      </c>
      <c r="P162" t="n">
        <v>0</v>
      </c>
      <c r="Q162" t="n">
        <v>1</v>
      </c>
      <c r="R162" s="2" t="inlineStr">
        <is>
          <t>Svinrot</t>
        </is>
      </c>
      <c r="S162">
        <f>HYPERLINK("https://klasma.github.io/Logging_0980/artfynd/A 44304-2021 artfynd.xlsx", "A 44304-2021")</f>
        <v/>
      </c>
      <c r="T162">
        <f>HYPERLINK("https://klasma.github.io/Logging_0980/kartor/A 44304-2021 karta.png", "A 44304-2021")</f>
        <v/>
      </c>
      <c r="V162">
        <f>HYPERLINK("https://klasma.github.io/Logging_0980/klagomål/A 44304-2021 FSC-klagomål.docx", "A 44304-2021")</f>
        <v/>
      </c>
      <c r="W162">
        <f>HYPERLINK("https://klasma.github.io/Logging_0980/klagomålsmail/A 44304-2021 FSC-klagomål mail.docx", "A 44304-2021")</f>
        <v/>
      </c>
      <c r="X162">
        <f>HYPERLINK("https://klasma.github.io/Logging_0980/tillsyn/A 44304-2021 tillsynsbegäran.docx", "A 44304-2021")</f>
        <v/>
      </c>
      <c r="Y162">
        <f>HYPERLINK("https://klasma.github.io/Logging_0980/tillsynsmail/A 44304-2021 tillsynsbegäran mail.docx", "A 44304-2021")</f>
        <v/>
      </c>
    </row>
    <row r="163" ht="15" customHeight="1">
      <c r="A163" t="inlineStr">
        <is>
          <t>A 447-2023</t>
        </is>
      </c>
      <c r="B163" s="1" t="n">
        <v>44929</v>
      </c>
      <c r="C163" s="1" t="n">
        <v>46167</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34809-2024</t>
        </is>
      </c>
      <c r="B164" s="1" t="n">
        <v>45526</v>
      </c>
      <c r="C164" s="1" t="n">
        <v>46167</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49304-2024</t>
        </is>
      </c>
      <c r="B165" s="1" t="n">
        <v>45595.54996527778</v>
      </c>
      <c r="C165" s="1" t="n">
        <v>46167</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22782-2023</t>
        </is>
      </c>
      <c r="B166" s="1" t="n">
        <v>45072</v>
      </c>
      <c r="C166" s="1" t="n">
        <v>46167</v>
      </c>
      <c r="D166" t="inlineStr">
        <is>
          <t>GOTLANDS LÄN</t>
        </is>
      </c>
      <c r="E166" t="inlineStr">
        <is>
          <t>GOTLAND</t>
        </is>
      </c>
      <c r="F166" t="inlineStr">
        <is>
          <t>Kyrkan</t>
        </is>
      </c>
      <c r="G166" t="n">
        <v>3.1</v>
      </c>
      <c r="H166" t="n">
        <v>1</v>
      </c>
      <c r="I166" t="n">
        <v>0</v>
      </c>
      <c r="J166" t="n">
        <v>0</v>
      </c>
      <c r="K166" t="n">
        <v>0</v>
      </c>
      <c r="L166" t="n">
        <v>0</v>
      </c>
      <c r="M166" t="n">
        <v>0</v>
      </c>
      <c r="N166" t="n">
        <v>0</v>
      </c>
      <c r="O166" t="n">
        <v>0</v>
      </c>
      <c r="P166" t="n">
        <v>0</v>
      </c>
      <c r="Q166" t="n">
        <v>1</v>
      </c>
      <c r="R166" s="2" t="inlineStr">
        <is>
          <t>Ängsnycklar × skogsnycklar</t>
        </is>
      </c>
      <c r="S166">
        <f>HYPERLINK("https://klasma.github.io/Logging_0980/artfynd/A 22782-2023 artfynd.xlsx", "A 22782-2023")</f>
        <v/>
      </c>
      <c r="T166">
        <f>HYPERLINK("https://klasma.github.io/Logging_0980/kartor/A 22782-2023 karta.png", "A 22782-2023")</f>
        <v/>
      </c>
      <c r="V166">
        <f>HYPERLINK("https://klasma.github.io/Logging_0980/klagomål/A 22782-2023 FSC-klagomål.docx", "A 22782-2023")</f>
        <v/>
      </c>
      <c r="W166">
        <f>HYPERLINK("https://klasma.github.io/Logging_0980/klagomålsmail/A 22782-2023 FSC-klagomål mail.docx", "A 22782-2023")</f>
        <v/>
      </c>
      <c r="X166">
        <f>HYPERLINK("https://klasma.github.io/Logging_0980/tillsyn/A 22782-2023 tillsynsbegäran.docx", "A 22782-2023")</f>
        <v/>
      </c>
      <c r="Y166">
        <f>HYPERLINK("https://klasma.github.io/Logging_0980/tillsynsmail/A 22782-2023 tillsynsbegäran mail.docx", "A 22782-2023")</f>
        <v/>
      </c>
    </row>
    <row r="167" ht="15" customHeight="1">
      <c r="A167" t="inlineStr">
        <is>
          <t>A 44088-2022</t>
        </is>
      </c>
      <c r="B167" s="1" t="n">
        <v>44839</v>
      </c>
      <c r="C167" s="1" t="n">
        <v>46167</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1477-2024</t>
        </is>
      </c>
      <c r="B168" s="1" t="n">
        <v>45305.37987268518</v>
      </c>
      <c r="C168" s="1" t="n">
        <v>46167</v>
      </c>
      <c r="D168" t="inlineStr">
        <is>
          <t>GOTLANDS LÄN</t>
        </is>
      </c>
      <c r="E168" t="inlineStr">
        <is>
          <t>GOTLAND</t>
        </is>
      </c>
      <c r="G168" t="n">
        <v>6.9</v>
      </c>
      <c r="H168" t="n">
        <v>0</v>
      </c>
      <c r="I168" t="n">
        <v>0</v>
      </c>
      <c r="J168" t="n">
        <v>1</v>
      </c>
      <c r="K168" t="n">
        <v>0</v>
      </c>
      <c r="L168" t="n">
        <v>0</v>
      </c>
      <c r="M168" t="n">
        <v>0</v>
      </c>
      <c r="N168" t="n">
        <v>0</v>
      </c>
      <c r="O168" t="n">
        <v>1</v>
      </c>
      <c r="P168" t="n">
        <v>0</v>
      </c>
      <c r="Q168" t="n">
        <v>1</v>
      </c>
      <c r="R168" s="2" t="inlineStr">
        <is>
          <t>Igelkott</t>
        </is>
      </c>
      <c r="S168">
        <f>HYPERLINK("https://klasma.github.io/Logging_0980/artfynd/A 1477-2024 artfynd.xlsx", "A 1477-2024")</f>
        <v/>
      </c>
      <c r="T168">
        <f>HYPERLINK("https://klasma.github.io/Logging_0980/kartor/A 1477-2024 karta.png", "A 1477-2024")</f>
        <v/>
      </c>
      <c r="V168">
        <f>HYPERLINK("https://klasma.github.io/Logging_0980/klagomål/A 1477-2024 FSC-klagomål.docx", "A 1477-2024")</f>
        <v/>
      </c>
      <c r="W168">
        <f>HYPERLINK("https://klasma.github.io/Logging_0980/klagomålsmail/A 1477-2024 FSC-klagomål mail.docx", "A 1477-2024")</f>
        <v/>
      </c>
      <c r="X168">
        <f>HYPERLINK("https://klasma.github.io/Logging_0980/tillsyn/A 1477-2024 tillsynsbegäran.docx", "A 1477-2024")</f>
        <v/>
      </c>
      <c r="Y168">
        <f>HYPERLINK("https://klasma.github.io/Logging_0980/tillsynsmail/A 1477-2024 tillsynsbegäran mail.docx", "A 1477-2024")</f>
        <v/>
      </c>
    </row>
    <row r="169" ht="15" customHeight="1">
      <c r="A169" t="inlineStr">
        <is>
          <t>A 10013-2026</t>
        </is>
      </c>
      <c r="B169" s="1" t="n">
        <v>46073</v>
      </c>
      <c r="C169" s="1" t="n">
        <v>46167</v>
      </c>
      <c r="D169" t="inlineStr">
        <is>
          <t>GOTLANDS LÄN</t>
        </is>
      </c>
      <c r="E169" t="inlineStr">
        <is>
          <t>GOTLAND</t>
        </is>
      </c>
      <c r="G169" t="n">
        <v>10.5</v>
      </c>
      <c r="H169" t="n">
        <v>0</v>
      </c>
      <c r="I169" t="n">
        <v>0</v>
      </c>
      <c r="J169" t="n">
        <v>0</v>
      </c>
      <c r="K169" t="n">
        <v>1</v>
      </c>
      <c r="L169" t="n">
        <v>0</v>
      </c>
      <c r="M169" t="n">
        <v>0</v>
      </c>
      <c r="N169" t="n">
        <v>0</v>
      </c>
      <c r="O169" t="n">
        <v>1</v>
      </c>
      <c r="P169" t="n">
        <v>1</v>
      </c>
      <c r="Q169" t="n">
        <v>1</v>
      </c>
      <c r="R169" s="2" t="inlineStr">
        <is>
          <t>Skogskorn</t>
        </is>
      </c>
      <c r="S169">
        <f>HYPERLINK("https://klasma.github.io/Logging_0980/artfynd/A 10013-2026 artfynd.xlsx", "A 10013-2026")</f>
        <v/>
      </c>
      <c r="T169">
        <f>HYPERLINK("https://klasma.github.io/Logging_0980/kartor/A 10013-2026 karta.png", "A 10013-2026")</f>
        <v/>
      </c>
      <c r="V169">
        <f>HYPERLINK("https://klasma.github.io/Logging_0980/klagomål/A 10013-2026 FSC-klagomål.docx", "A 10013-2026")</f>
        <v/>
      </c>
      <c r="W169">
        <f>HYPERLINK("https://klasma.github.io/Logging_0980/klagomålsmail/A 10013-2026 FSC-klagomål mail.docx", "A 10013-2026")</f>
        <v/>
      </c>
      <c r="X169">
        <f>HYPERLINK("https://klasma.github.io/Logging_0980/tillsyn/A 10013-2026 tillsynsbegäran.docx", "A 10013-2026")</f>
        <v/>
      </c>
      <c r="Y169">
        <f>HYPERLINK("https://klasma.github.io/Logging_0980/tillsynsmail/A 10013-2026 tillsynsbegäran mail.docx", "A 10013-2026")</f>
        <v/>
      </c>
    </row>
    <row r="170" ht="15" customHeight="1">
      <c r="A170" t="inlineStr">
        <is>
          <t>A 11708-2026</t>
        </is>
      </c>
      <c r="B170" s="1" t="n">
        <v>46084</v>
      </c>
      <c r="C170" s="1" t="n">
        <v>46167</v>
      </c>
      <c r="D170" t="inlineStr">
        <is>
          <t>GOTLANDS LÄN</t>
        </is>
      </c>
      <c r="E170" t="inlineStr">
        <is>
          <t>GOTLAND</t>
        </is>
      </c>
      <c r="G170" t="n">
        <v>8.4</v>
      </c>
      <c r="H170" t="n">
        <v>1</v>
      </c>
      <c r="I170" t="n">
        <v>0</v>
      </c>
      <c r="J170" t="n">
        <v>1</v>
      </c>
      <c r="K170" t="n">
        <v>0</v>
      </c>
      <c r="L170" t="n">
        <v>0</v>
      </c>
      <c r="M170" t="n">
        <v>0</v>
      </c>
      <c r="N170" t="n">
        <v>0</v>
      </c>
      <c r="O170" t="n">
        <v>1</v>
      </c>
      <c r="P170" t="n">
        <v>0</v>
      </c>
      <c r="Q170" t="n">
        <v>1</v>
      </c>
      <c r="R170" s="2" t="inlineStr">
        <is>
          <t>Bredarun</t>
        </is>
      </c>
      <c r="S170">
        <f>HYPERLINK("https://klasma.github.io/Logging_0980/artfynd/A 11708-2026 artfynd.xlsx", "A 11708-2026")</f>
        <v/>
      </c>
      <c r="T170">
        <f>HYPERLINK("https://klasma.github.io/Logging_0980/kartor/A 11708-2026 karta.png", "A 11708-2026")</f>
        <v/>
      </c>
      <c r="V170">
        <f>HYPERLINK("https://klasma.github.io/Logging_0980/klagomål/A 11708-2026 FSC-klagomål.docx", "A 11708-2026")</f>
        <v/>
      </c>
      <c r="W170">
        <f>HYPERLINK("https://klasma.github.io/Logging_0980/klagomålsmail/A 11708-2026 FSC-klagomål mail.docx", "A 11708-2026")</f>
        <v/>
      </c>
      <c r="X170">
        <f>HYPERLINK("https://klasma.github.io/Logging_0980/tillsyn/A 11708-2026 tillsynsbegäran.docx", "A 11708-2026")</f>
        <v/>
      </c>
      <c r="Y170">
        <f>HYPERLINK("https://klasma.github.io/Logging_0980/tillsynsmail/A 11708-2026 tillsynsbegäran mail.docx", "A 11708-2026")</f>
        <v/>
      </c>
    </row>
    <row r="171" ht="15" customHeight="1">
      <c r="A171" t="inlineStr">
        <is>
          <t>A 18036-2026</t>
        </is>
      </c>
      <c r="B171" s="1" t="n">
        <v>46125.39576388889</v>
      </c>
      <c r="C171" s="1" t="n">
        <v>46167</v>
      </c>
      <c r="D171" t="inlineStr">
        <is>
          <t>GOTLANDS LÄN</t>
        </is>
      </c>
      <c r="E171" t="inlineStr">
        <is>
          <t>GOTLAND</t>
        </is>
      </c>
      <c r="G171" t="n">
        <v>1.8</v>
      </c>
      <c r="H171" t="n">
        <v>0</v>
      </c>
      <c r="I171" t="n">
        <v>0</v>
      </c>
      <c r="J171" t="n">
        <v>1</v>
      </c>
      <c r="K171" t="n">
        <v>0</v>
      </c>
      <c r="L171" t="n">
        <v>0</v>
      </c>
      <c r="M171" t="n">
        <v>0</v>
      </c>
      <c r="N171" t="n">
        <v>0</v>
      </c>
      <c r="O171" t="n">
        <v>1</v>
      </c>
      <c r="P171" t="n">
        <v>0</v>
      </c>
      <c r="Q171" t="n">
        <v>1</v>
      </c>
      <c r="R171" s="2" t="inlineStr">
        <is>
          <t>Sommarfibbla</t>
        </is>
      </c>
      <c r="S171">
        <f>HYPERLINK("https://klasma.github.io/Logging_0980/artfynd/A 18036-2026 artfynd.xlsx", "A 18036-2026")</f>
        <v/>
      </c>
      <c r="T171">
        <f>HYPERLINK("https://klasma.github.io/Logging_0980/kartor/A 18036-2026 karta.png", "A 18036-2026")</f>
        <v/>
      </c>
      <c r="V171">
        <f>HYPERLINK("https://klasma.github.io/Logging_0980/klagomål/A 18036-2026 FSC-klagomål.docx", "A 18036-2026")</f>
        <v/>
      </c>
      <c r="W171">
        <f>HYPERLINK("https://klasma.github.io/Logging_0980/klagomålsmail/A 18036-2026 FSC-klagomål mail.docx", "A 18036-2026")</f>
        <v/>
      </c>
      <c r="X171">
        <f>HYPERLINK("https://klasma.github.io/Logging_0980/tillsyn/A 18036-2026 tillsynsbegäran.docx", "A 18036-2026")</f>
        <v/>
      </c>
      <c r="Y171">
        <f>HYPERLINK("https://klasma.github.io/Logging_0980/tillsynsmail/A 18036-2026 tillsynsbegäran mail.docx", "A 18036-2026")</f>
        <v/>
      </c>
    </row>
    <row r="172" ht="15" customHeight="1">
      <c r="A172" t="inlineStr">
        <is>
          <t>A 7637-2025</t>
        </is>
      </c>
      <c r="B172" s="1" t="n">
        <v>45705.77181712963</v>
      </c>
      <c r="C172" s="1" t="n">
        <v>46167</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13482-2026</t>
        </is>
      </c>
      <c r="B173" s="1" t="n">
        <v>46094</v>
      </c>
      <c r="C173" s="1" t="n">
        <v>46167</v>
      </c>
      <c r="D173" t="inlineStr">
        <is>
          <t>GOTLANDS LÄN</t>
        </is>
      </c>
      <c r="E173" t="inlineStr">
        <is>
          <t>GOTLAND</t>
        </is>
      </c>
      <c r="G173" t="n">
        <v>1.7</v>
      </c>
      <c r="H173" t="n">
        <v>1</v>
      </c>
      <c r="I173" t="n">
        <v>0</v>
      </c>
      <c r="J173" t="n">
        <v>1</v>
      </c>
      <c r="K173" t="n">
        <v>0</v>
      </c>
      <c r="L173" t="n">
        <v>0</v>
      </c>
      <c r="M173" t="n">
        <v>0</v>
      </c>
      <c r="N173" t="n">
        <v>0</v>
      </c>
      <c r="O173" t="n">
        <v>1</v>
      </c>
      <c r="P173" t="n">
        <v>0</v>
      </c>
      <c r="Q173" t="n">
        <v>1</v>
      </c>
      <c r="R173" s="2" t="inlineStr">
        <is>
          <t>Spillkråka</t>
        </is>
      </c>
      <c r="S173">
        <f>HYPERLINK("https://klasma.github.io/Logging_0980/artfynd/A 13482-2026 artfynd.xlsx", "A 13482-2026")</f>
        <v/>
      </c>
      <c r="T173">
        <f>HYPERLINK("https://klasma.github.io/Logging_0980/kartor/A 13482-2026 karta.png", "A 13482-2026")</f>
        <v/>
      </c>
      <c r="V173">
        <f>HYPERLINK("https://klasma.github.io/Logging_0980/klagomål/A 13482-2026 FSC-klagomål.docx", "A 13482-2026")</f>
        <v/>
      </c>
      <c r="W173">
        <f>HYPERLINK("https://klasma.github.io/Logging_0980/klagomålsmail/A 13482-2026 FSC-klagomål mail.docx", "A 13482-2026")</f>
        <v/>
      </c>
      <c r="X173">
        <f>HYPERLINK("https://klasma.github.io/Logging_0980/tillsyn/A 13482-2026 tillsynsbegäran.docx", "A 13482-2026")</f>
        <v/>
      </c>
      <c r="Y173">
        <f>HYPERLINK("https://klasma.github.io/Logging_0980/tillsynsmail/A 13482-2026 tillsynsbegäran mail.docx", "A 13482-2026")</f>
        <v/>
      </c>
      <c r="Z173">
        <f>HYPERLINK("https://klasma.github.io/Logging_0980/fåglar/A 13482-2026 prioriterade fågelarter.docx", "A 13482-2026")</f>
        <v/>
      </c>
    </row>
    <row r="174" ht="15" customHeight="1">
      <c r="A174" t="inlineStr">
        <is>
          <t>A 61796-2022</t>
        </is>
      </c>
      <c r="B174" s="1" t="n">
        <v>44917</v>
      </c>
      <c r="C174" s="1" t="n">
        <v>46167</v>
      </c>
      <c r="D174" t="inlineStr">
        <is>
          <t>GOTLANDS LÄN</t>
        </is>
      </c>
      <c r="E174" t="inlineStr">
        <is>
          <t>GOTLAND</t>
        </is>
      </c>
      <c r="G174" t="n">
        <v>1.5</v>
      </c>
      <c r="H174" t="n">
        <v>1</v>
      </c>
      <c r="I174" t="n">
        <v>0</v>
      </c>
      <c r="J174" t="n">
        <v>0</v>
      </c>
      <c r="K174" t="n">
        <v>0</v>
      </c>
      <c r="L174" t="n">
        <v>0</v>
      </c>
      <c r="M174" t="n">
        <v>0</v>
      </c>
      <c r="N174" t="n">
        <v>0</v>
      </c>
      <c r="O174" t="n">
        <v>0</v>
      </c>
      <c r="P174" t="n">
        <v>0</v>
      </c>
      <c r="Q174" t="n">
        <v>1</v>
      </c>
      <c r="R174" s="2" t="inlineStr">
        <is>
          <t>Skogsduva</t>
        </is>
      </c>
      <c r="S174">
        <f>HYPERLINK("https://klasma.github.io/Logging_0980/artfynd/A 61796-2022 artfynd.xlsx", "A 61796-2022")</f>
        <v/>
      </c>
      <c r="T174">
        <f>HYPERLINK("https://klasma.github.io/Logging_0980/kartor/A 61796-2022 karta.png", "A 61796-2022")</f>
        <v/>
      </c>
      <c r="V174">
        <f>HYPERLINK("https://klasma.github.io/Logging_0980/klagomål/A 61796-2022 FSC-klagomål.docx", "A 61796-2022")</f>
        <v/>
      </c>
      <c r="W174">
        <f>HYPERLINK("https://klasma.github.io/Logging_0980/klagomålsmail/A 61796-2022 FSC-klagomål mail.docx", "A 61796-2022")</f>
        <v/>
      </c>
      <c r="X174">
        <f>HYPERLINK("https://klasma.github.io/Logging_0980/tillsyn/A 61796-2022 tillsynsbegäran.docx", "A 61796-2022")</f>
        <v/>
      </c>
      <c r="Y174">
        <f>HYPERLINK("https://klasma.github.io/Logging_0980/tillsynsmail/A 61796-2022 tillsynsbegäran mail.docx", "A 61796-2022")</f>
        <v/>
      </c>
      <c r="Z174">
        <f>HYPERLINK("https://klasma.github.io/Logging_0980/fåglar/A 61796-2022 prioriterade fågelarter.docx", "A 61796-2022")</f>
        <v/>
      </c>
    </row>
    <row r="175" ht="15" customHeight="1">
      <c r="A175" t="inlineStr">
        <is>
          <t>A 10218-2025</t>
        </is>
      </c>
      <c r="B175" s="1" t="n">
        <v>45720</v>
      </c>
      <c r="C175" s="1" t="n">
        <v>46167</v>
      </c>
      <c r="D175" t="inlineStr">
        <is>
          <t>GOTLANDS LÄN</t>
        </is>
      </c>
      <c r="E175" t="inlineStr">
        <is>
          <t>GOTLAND</t>
        </is>
      </c>
      <c r="G175" t="n">
        <v>8.1</v>
      </c>
      <c r="H175" t="n">
        <v>0</v>
      </c>
      <c r="I175" t="n">
        <v>1</v>
      </c>
      <c r="J175" t="n">
        <v>0</v>
      </c>
      <c r="K175" t="n">
        <v>0</v>
      </c>
      <c r="L175" t="n">
        <v>0</v>
      </c>
      <c r="M175" t="n">
        <v>0</v>
      </c>
      <c r="N175" t="n">
        <v>0</v>
      </c>
      <c r="O175" t="n">
        <v>0</v>
      </c>
      <c r="P175" t="n">
        <v>0</v>
      </c>
      <c r="Q175" t="n">
        <v>1</v>
      </c>
      <c r="R175" s="2" t="inlineStr">
        <is>
          <t>Kalktallört</t>
        </is>
      </c>
      <c r="S175">
        <f>HYPERLINK("https://klasma.github.io/Logging_0980/artfynd/A 10218-2025 artfynd.xlsx", "A 10218-2025")</f>
        <v/>
      </c>
      <c r="T175">
        <f>HYPERLINK("https://klasma.github.io/Logging_0980/kartor/A 10218-2025 karta.png", "A 10218-2025")</f>
        <v/>
      </c>
      <c r="V175">
        <f>HYPERLINK("https://klasma.github.io/Logging_0980/klagomål/A 10218-2025 FSC-klagomål.docx", "A 10218-2025")</f>
        <v/>
      </c>
      <c r="W175">
        <f>HYPERLINK("https://klasma.github.io/Logging_0980/klagomålsmail/A 10218-2025 FSC-klagomål mail.docx", "A 10218-2025")</f>
        <v/>
      </c>
      <c r="X175">
        <f>HYPERLINK("https://klasma.github.io/Logging_0980/tillsyn/A 10218-2025 tillsynsbegäran.docx", "A 10218-2025")</f>
        <v/>
      </c>
      <c r="Y175">
        <f>HYPERLINK("https://klasma.github.io/Logging_0980/tillsynsmail/A 10218-2025 tillsynsbegäran mail.docx", "A 10218-2025")</f>
        <v/>
      </c>
    </row>
    <row r="176" ht="15" customHeight="1">
      <c r="A176" t="inlineStr">
        <is>
          <t>A 12379-2024</t>
        </is>
      </c>
      <c r="B176" s="1" t="n">
        <v>45379.28155092592</v>
      </c>
      <c r="C176" s="1" t="n">
        <v>46167</v>
      </c>
      <c r="D176" t="inlineStr">
        <is>
          <t>GOTLANDS LÄN</t>
        </is>
      </c>
      <c r="E176" t="inlineStr">
        <is>
          <t>GOTLAND</t>
        </is>
      </c>
      <c r="G176" t="n">
        <v>4.4</v>
      </c>
      <c r="H176" t="n">
        <v>0</v>
      </c>
      <c r="I176" t="n">
        <v>0</v>
      </c>
      <c r="J176" t="n">
        <v>1</v>
      </c>
      <c r="K176" t="n">
        <v>0</v>
      </c>
      <c r="L176" t="n">
        <v>0</v>
      </c>
      <c r="M176" t="n">
        <v>0</v>
      </c>
      <c r="N176" t="n">
        <v>0</v>
      </c>
      <c r="O176" t="n">
        <v>1</v>
      </c>
      <c r="P176" t="n">
        <v>0</v>
      </c>
      <c r="Q176" t="n">
        <v>1</v>
      </c>
      <c r="R176" s="2" t="inlineStr">
        <is>
          <t>Svinrot</t>
        </is>
      </c>
      <c r="S176">
        <f>HYPERLINK("https://klasma.github.io/Logging_0980/artfynd/A 12379-2024 artfynd.xlsx", "A 12379-2024")</f>
        <v/>
      </c>
      <c r="T176">
        <f>HYPERLINK("https://klasma.github.io/Logging_0980/kartor/A 12379-2024 karta.png", "A 12379-2024")</f>
        <v/>
      </c>
      <c r="V176">
        <f>HYPERLINK("https://klasma.github.io/Logging_0980/klagomål/A 12379-2024 FSC-klagomål.docx", "A 12379-2024")</f>
        <v/>
      </c>
      <c r="W176">
        <f>HYPERLINK("https://klasma.github.io/Logging_0980/klagomålsmail/A 12379-2024 FSC-klagomål mail.docx", "A 12379-2024")</f>
        <v/>
      </c>
      <c r="X176">
        <f>HYPERLINK("https://klasma.github.io/Logging_0980/tillsyn/A 12379-2024 tillsynsbegäran.docx", "A 12379-2024")</f>
        <v/>
      </c>
      <c r="Y176">
        <f>HYPERLINK("https://klasma.github.io/Logging_0980/tillsynsmail/A 12379-2024 tillsynsbegäran mail.docx", "A 12379-2024")</f>
        <v/>
      </c>
    </row>
    <row r="177" ht="15" customHeight="1">
      <c r="A177" t="inlineStr">
        <is>
          <t>A 64700-2021</t>
        </is>
      </c>
      <c r="B177" s="1" t="n">
        <v>44511</v>
      </c>
      <c r="C177" s="1" t="n">
        <v>46167</v>
      </c>
      <c r="D177" t="inlineStr">
        <is>
          <t>GOTLANDS LÄN</t>
        </is>
      </c>
      <c r="E177" t="inlineStr">
        <is>
          <t>GOTLAND</t>
        </is>
      </c>
      <c r="F177" t="inlineStr">
        <is>
          <t>Naturvårdsverket</t>
        </is>
      </c>
      <c r="G177" t="n">
        <v>2.4</v>
      </c>
      <c r="H177" t="n">
        <v>1</v>
      </c>
      <c r="I177" t="n">
        <v>0</v>
      </c>
      <c r="J177" t="n">
        <v>0</v>
      </c>
      <c r="K177" t="n">
        <v>1</v>
      </c>
      <c r="L177" t="n">
        <v>0</v>
      </c>
      <c r="M177" t="n">
        <v>0</v>
      </c>
      <c r="N177" t="n">
        <v>0</v>
      </c>
      <c r="O177" t="n">
        <v>1</v>
      </c>
      <c r="P177" t="n">
        <v>1</v>
      </c>
      <c r="Q177" t="n">
        <v>1</v>
      </c>
      <c r="R177" s="2" t="inlineStr">
        <is>
          <t>Kalkdån</t>
        </is>
      </c>
      <c r="S177">
        <f>HYPERLINK("https://klasma.github.io/Logging_0980/artfynd/A 64700-2021 artfynd.xlsx", "A 64700-2021")</f>
        <v/>
      </c>
      <c r="T177">
        <f>HYPERLINK("https://klasma.github.io/Logging_0980/kartor/A 64700-2021 karta.png", "A 64700-2021")</f>
        <v/>
      </c>
      <c r="V177">
        <f>HYPERLINK("https://klasma.github.io/Logging_0980/klagomål/A 64700-2021 FSC-klagomål.docx", "A 64700-2021")</f>
        <v/>
      </c>
      <c r="W177">
        <f>HYPERLINK("https://klasma.github.io/Logging_0980/klagomålsmail/A 64700-2021 FSC-klagomål mail.docx", "A 64700-2021")</f>
        <v/>
      </c>
      <c r="X177">
        <f>HYPERLINK("https://klasma.github.io/Logging_0980/tillsyn/A 64700-2021 tillsynsbegäran.docx", "A 64700-2021")</f>
        <v/>
      </c>
      <c r="Y177">
        <f>HYPERLINK("https://klasma.github.io/Logging_0980/tillsynsmail/A 64700-2021 tillsynsbegäran mail.docx", "A 64700-2021")</f>
        <v/>
      </c>
    </row>
    <row r="178" ht="15" customHeight="1">
      <c r="A178" t="inlineStr">
        <is>
          <t>A 35574-2024</t>
        </is>
      </c>
      <c r="B178" s="1" t="n">
        <v>45531</v>
      </c>
      <c r="C178" s="1" t="n">
        <v>46167</v>
      </c>
      <c r="D178" t="inlineStr">
        <is>
          <t>GOTLANDS LÄN</t>
        </is>
      </c>
      <c r="E178" t="inlineStr">
        <is>
          <t>GOTLAND</t>
        </is>
      </c>
      <c r="G178" t="n">
        <v>5.7</v>
      </c>
      <c r="H178" t="n">
        <v>0</v>
      </c>
      <c r="I178" t="n">
        <v>1</v>
      </c>
      <c r="J178" t="n">
        <v>0</v>
      </c>
      <c r="K178" t="n">
        <v>0</v>
      </c>
      <c r="L178" t="n">
        <v>0</v>
      </c>
      <c r="M178" t="n">
        <v>0</v>
      </c>
      <c r="N178" t="n">
        <v>0</v>
      </c>
      <c r="O178" t="n">
        <v>0</v>
      </c>
      <c r="P178" t="n">
        <v>0</v>
      </c>
      <c r="Q178" t="n">
        <v>1</v>
      </c>
      <c r="R178" s="2" t="inlineStr">
        <is>
          <t>Murgröna</t>
        </is>
      </c>
      <c r="S178">
        <f>HYPERLINK("https://klasma.github.io/Logging_0980/artfynd/A 35574-2024 artfynd.xlsx", "A 35574-2024")</f>
        <v/>
      </c>
      <c r="T178">
        <f>HYPERLINK("https://klasma.github.io/Logging_0980/kartor/A 35574-2024 karta.png", "A 35574-2024")</f>
        <v/>
      </c>
      <c r="V178">
        <f>HYPERLINK("https://klasma.github.io/Logging_0980/klagomål/A 35574-2024 FSC-klagomål.docx", "A 35574-2024")</f>
        <v/>
      </c>
      <c r="W178">
        <f>HYPERLINK("https://klasma.github.io/Logging_0980/klagomålsmail/A 35574-2024 FSC-klagomål mail.docx", "A 35574-2024")</f>
        <v/>
      </c>
      <c r="X178">
        <f>HYPERLINK("https://klasma.github.io/Logging_0980/tillsyn/A 35574-2024 tillsynsbegäran.docx", "A 35574-2024")</f>
        <v/>
      </c>
      <c r="Y178">
        <f>HYPERLINK("https://klasma.github.io/Logging_0980/tillsynsmail/A 35574-2024 tillsynsbegäran mail.docx", "A 35574-2024")</f>
        <v/>
      </c>
    </row>
    <row r="179" ht="15" customHeight="1">
      <c r="A179" t="inlineStr">
        <is>
          <t>A 37591-2023</t>
        </is>
      </c>
      <c r="B179" s="1" t="n">
        <v>45159</v>
      </c>
      <c r="C179" s="1" t="n">
        <v>46167</v>
      </c>
      <c r="D179" t="inlineStr">
        <is>
          <t>GOTLANDS LÄN</t>
        </is>
      </c>
      <c r="E179" t="inlineStr">
        <is>
          <t>GOTLAND</t>
        </is>
      </c>
      <c r="G179" t="n">
        <v>8.300000000000001</v>
      </c>
      <c r="H179" t="n">
        <v>0</v>
      </c>
      <c r="I179" t="n">
        <v>0</v>
      </c>
      <c r="J179" t="n">
        <v>1</v>
      </c>
      <c r="K179" t="n">
        <v>0</v>
      </c>
      <c r="L179" t="n">
        <v>0</v>
      </c>
      <c r="M179" t="n">
        <v>0</v>
      </c>
      <c r="N179" t="n">
        <v>0</v>
      </c>
      <c r="O179" t="n">
        <v>1</v>
      </c>
      <c r="P179" t="n">
        <v>0</v>
      </c>
      <c r="Q179" t="n">
        <v>1</v>
      </c>
      <c r="R179" s="2" t="inlineStr">
        <is>
          <t>Ängsstarr</t>
        </is>
      </c>
      <c r="S179">
        <f>HYPERLINK("https://klasma.github.io/Logging_0980/artfynd/A 37591-2023 artfynd.xlsx", "A 37591-2023")</f>
        <v/>
      </c>
      <c r="T179">
        <f>HYPERLINK("https://klasma.github.io/Logging_0980/kartor/A 37591-2023 karta.png", "A 37591-2023")</f>
        <v/>
      </c>
      <c r="V179">
        <f>HYPERLINK("https://klasma.github.io/Logging_0980/klagomål/A 37591-2023 FSC-klagomål.docx", "A 37591-2023")</f>
        <v/>
      </c>
      <c r="W179">
        <f>HYPERLINK("https://klasma.github.io/Logging_0980/klagomålsmail/A 37591-2023 FSC-klagomål mail.docx", "A 37591-2023")</f>
        <v/>
      </c>
      <c r="X179">
        <f>HYPERLINK("https://klasma.github.io/Logging_0980/tillsyn/A 37591-2023 tillsynsbegäran.docx", "A 37591-2023")</f>
        <v/>
      </c>
      <c r="Y179">
        <f>HYPERLINK("https://klasma.github.io/Logging_0980/tillsynsmail/A 37591-2023 tillsynsbegäran mail.docx", "A 37591-2023")</f>
        <v/>
      </c>
    </row>
    <row r="180" ht="15" customHeight="1">
      <c r="A180" t="inlineStr">
        <is>
          <t>A 15637-2024</t>
        </is>
      </c>
      <c r="B180" s="1" t="n">
        <v>45403.6684837963</v>
      </c>
      <c r="C180" s="1" t="n">
        <v>46167</v>
      </c>
      <c r="D180" t="inlineStr">
        <is>
          <t>GOTLANDS LÄN</t>
        </is>
      </c>
      <c r="E180" t="inlineStr">
        <is>
          <t>GOTLAND</t>
        </is>
      </c>
      <c r="G180" t="n">
        <v>4.1</v>
      </c>
      <c r="H180" t="n">
        <v>1</v>
      </c>
      <c r="I180" t="n">
        <v>0</v>
      </c>
      <c r="J180" t="n">
        <v>0</v>
      </c>
      <c r="K180" t="n">
        <v>0</v>
      </c>
      <c r="L180" t="n">
        <v>0</v>
      </c>
      <c r="M180" t="n">
        <v>0</v>
      </c>
      <c r="N180" t="n">
        <v>0</v>
      </c>
      <c r="O180" t="n">
        <v>0</v>
      </c>
      <c r="P180" t="n">
        <v>0</v>
      </c>
      <c r="Q180" t="n">
        <v>1</v>
      </c>
      <c r="R180" s="2" t="inlineStr">
        <is>
          <t>Blåsippa</t>
        </is>
      </c>
      <c r="S180">
        <f>HYPERLINK("https://klasma.github.io/Logging_0980/artfynd/A 15637-2024 artfynd.xlsx", "A 15637-2024")</f>
        <v/>
      </c>
      <c r="T180">
        <f>HYPERLINK("https://klasma.github.io/Logging_0980/kartor/A 15637-2024 karta.png", "A 15637-2024")</f>
        <v/>
      </c>
      <c r="V180">
        <f>HYPERLINK("https://klasma.github.io/Logging_0980/klagomål/A 15637-2024 FSC-klagomål.docx", "A 15637-2024")</f>
        <v/>
      </c>
      <c r="W180">
        <f>HYPERLINK("https://klasma.github.io/Logging_0980/klagomålsmail/A 15637-2024 FSC-klagomål mail.docx", "A 15637-2024")</f>
        <v/>
      </c>
      <c r="X180">
        <f>HYPERLINK("https://klasma.github.io/Logging_0980/tillsyn/A 15637-2024 tillsynsbegäran.docx", "A 15637-2024")</f>
        <v/>
      </c>
      <c r="Y180">
        <f>HYPERLINK("https://klasma.github.io/Logging_0980/tillsynsmail/A 15637-2024 tillsynsbegäran mail.docx", "A 15637-2024")</f>
        <v/>
      </c>
    </row>
    <row r="181" ht="15" customHeight="1">
      <c r="A181" t="inlineStr">
        <is>
          <t>A 49847-2023</t>
        </is>
      </c>
      <c r="B181" s="1" t="n">
        <v>45212</v>
      </c>
      <c r="C181" s="1" t="n">
        <v>46167</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10995-2023</t>
        </is>
      </c>
      <c r="B182" s="1" t="n">
        <v>44986</v>
      </c>
      <c r="C182" s="1" t="n">
        <v>46167</v>
      </c>
      <c r="D182" t="inlineStr">
        <is>
          <t>GOTLANDS LÄN</t>
        </is>
      </c>
      <c r="E182" t="inlineStr">
        <is>
          <t>GOTLAND</t>
        </is>
      </c>
      <c r="G182" t="n">
        <v>2.8</v>
      </c>
      <c r="H182" t="n">
        <v>0</v>
      </c>
      <c r="I182" t="n">
        <v>0</v>
      </c>
      <c r="J182" t="n">
        <v>0</v>
      </c>
      <c r="K182" t="n">
        <v>1</v>
      </c>
      <c r="L182" t="n">
        <v>0</v>
      </c>
      <c r="M182" t="n">
        <v>0</v>
      </c>
      <c r="N182" t="n">
        <v>0</v>
      </c>
      <c r="O182" t="n">
        <v>1</v>
      </c>
      <c r="P182" t="n">
        <v>1</v>
      </c>
      <c r="Q182" t="n">
        <v>1</v>
      </c>
      <c r="R182" s="2" t="inlineStr">
        <is>
          <t>Violettfläckig spindling</t>
        </is>
      </c>
      <c r="S182">
        <f>HYPERLINK("https://klasma.github.io/Logging_0980/artfynd/A 10995-2023 artfynd.xlsx", "A 10995-2023")</f>
        <v/>
      </c>
      <c r="T182">
        <f>HYPERLINK("https://klasma.github.io/Logging_0980/kartor/A 10995-2023 karta.png", "A 10995-2023")</f>
        <v/>
      </c>
      <c r="V182">
        <f>HYPERLINK("https://klasma.github.io/Logging_0980/klagomål/A 10995-2023 FSC-klagomål.docx", "A 10995-2023")</f>
        <v/>
      </c>
      <c r="W182">
        <f>HYPERLINK("https://klasma.github.io/Logging_0980/klagomålsmail/A 10995-2023 FSC-klagomål mail.docx", "A 10995-2023")</f>
        <v/>
      </c>
      <c r="X182">
        <f>HYPERLINK("https://klasma.github.io/Logging_0980/tillsyn/A 10995-2023 tillsynsbegäran.docx", "A 10995-2023")</f>
        <v/>
      </c>
      <c r="Y182">
        <f>HYPERLINK("https://klasma.github.io/Logging_0980/tillsynsmail/A 10995-2023 tillsynsbegäran mail.docx", "A 10995-2023")</f>
        <v/>
      </c>
    </row>
    <row r="183" ht="15" customHeight="1">
      <c r="A183" t="inlineStr">
        <is>
          <t>A 63576-2021</t>
        </is>
      </c>
      <c r="B183" s="1" t="n">
        <v>44508</v>
      </c>
      <c r="C183" s="1" t="n">
        <v>46167</v>
      </c>
      <c r="D183" t="inlineStr">
        <is>
          <t>GOTLANDS LÄN</t>
        </is>
      </c>
      <c r="E183" t="inlineStr">
        <is>
          <t>GOTLAND</t>
        </is>
      </c>
      <c r="F183" t="inlineStr">
        <is>
          <t>Kyrkan</t>
        </is>
      </c>
      <c r="G183" t="n">
        <v>4.1</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63576-2021 artfynd.xlsx", "A 63576-2021")</f>
        <v/>
      </c>
      <c r="T183">
        <f>HYPERLINK("https://klasma.github.io/Logging_0980/kartor/A 63576-2021 karta.png", "A 63576-2021")</f>
        <v/>
      </c>
      <c r="V183">
        <f>HYPERLINK("https://klasma.github.io/Logging_0980/klagomål/A 63576-2021 FSC-klagomål.docx", "A 63576-2021")</f>
        <v/>
      </c>
      <c r="W183">
        <f>HYPERLINK("https://klasma.github.io/Logging_0980/klagomålsmail/A 63576-2021 FSC-klagomål mail.docx", "A 63576-2021")</f>
        <v/>
      </c>
      <c r="X183">
        <f>HYPERLINK("https://klasma.github.io/Logging_0980/tillsyn/A 63576-2021 tillsynsbegäran.docx", "A 63576-2021")</f>
        <v/>
      </c>
      <c r="Y183">
        <f>HYPERLINK("https://klasma.github.io/Logging_0980/tillsynsmail/A 63576-2021 tillsynsbegäran mail.docx", "A 63576-2021")</f>
        <v/>
      </c>
    </row>
    <row r="184" ht="15" customHeight="1">
      <c r="A184" t="inlineStr">
        <is>
          <t>A 21466-2025</t>
        </is>
      </c>
      <c r="B184" s="1" t="n">
        <v>45782</v>
      </c>
      <c r="C184" s="1" t="n">
        <v>46167</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46167</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46167</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6739-2025</t>
        </is>
      </c>
      <c r="B187" s="1" t="n">
        <v>45700</v>
      </c>
      <c r="C187" s="1" t="n">
        <v>46167</v>
      </c>
      <c r="D187" t="inlineStr">
        <is>
          <t>GOTLANDS LÄN</t>
        </is>
      </c>
      <c r="E187" t="inlineStr">
        <is>
          <t>GOTLAND</t>
        </is>
      </c>
      <c r="G187" t="n">
        <v>4.5</v>
      </c>
      <c r="H187" t="n">
        <v>1</v>
      </c>
      <c r="I187" t="n">
        <v>0</v>
      </c>
      <c r="J187" t="n">
        <v>0</v>
      </c>
      <c r="K187" t="n">
        <v>0</v>
      </c>
      <c r="L187" t="n">
        <v>0</v>
      </c>
      <c r="M187" t="n">
        <v>0</v>
      </c>
      <c r="N187" t="n">
        <v>0</v>
      </c>
      <c r="O187" t="n">
        <v>0</v>
      </c>
      <c r="P187" t="n">
        <v>0</v>
      </c>
      <c r="Q187" t="n">
        <v>1</v>
      </c>
      <c r="R187" s="2" t="inlineStr">
        <is>
          <t>Röd glada</t>
        </is>
      </c>
      <c r="S187">
        <f>HYPERLINK("https://klasma.github.io/Logging_0980/artfynd/A 6739-2025 artfynd.xlsx", "A 6739-2025")</f>
        <v/>
      </c>
      <c r="T187">
        <f>HYPERLINK("https://klasma.github.io/Logging_0980/kartor/A 6739-2025 karta.png", "A 6739-2025")</f>
        <v/>
      </c>
      <c r="V187">
        <f>HYPERLINK("https://klasma.github.io/Logging_0980/klagomål/A 6739-2025 FSC-klagomål.docx", "A 6739-2025")</f>
        <v/>
      </c>
      <c r="W187">
        <f>HYPERLINK("https://klasma.github.io/Logging_0980/klagomålsmail/A 6739-2025 FSC-klagomål mail.docx", "A 6739-2025")</f>
        <v/>
      </c>
      <c r="X187">
        <f>HYPERLINK("https://klasma.github.io/Logging_0980/tillsyn/A 6739-2025 tillsynsbegäran.docx", "A 6739-2025")</f>
        <v/>
      </c>
      <c r="Y187">
        <f>HYPERLINK("https://klasma.github.io/Logging_0980/tillsynsmail/A 6739-2025 tillsynsbegäran mail.docx", "A 6739-2025")</f>
        <v/>
      </c>
      <c r="Z187">
        <f>HYPERLINK("https://klasma.github.io/Logging_0980/fåglar/A 6739-2025 prioriterade fågelarter.docx", "A 6739-2025")</f>
        <v/>
      </c>
    </row>
    <row r="188" ht="15" customHeight="1">
      <c r="A188" t="inlineStr">
        <is>
          <t>A 9862-2024</t>
        </is>
      </c>
      <c r="B188" s="1" t="n">
        <v>45363</v>
      </c>
      <c r="C188" s="1" t="n">
        <v>46167</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34141-2024</t>
        </is>
      </c>
      <c r="B189" s="1" t="n">
        <v>45524.36229166666</v>
      </c>
      <c r="C189" s="1" t="n">
        <v>46167</v>
      </c>
      <c r="D189" t="inlineStr">
        <is>
          <t>GOTLANDS LÄN</t>
        </is>
      </c>
      <c r="E189" t="inlineStr">
        <is>
          <t>GOTLAND</t>
        </is>
      </c>
      <c r="G189" t="n">
        <v>0.9</v>
      </c>
      <c r="H189" t="n">
        <v>0</v>
      </c>
      <c r="I189" t="n">
        <v>1</v>
      </c>
      <c r="J189" t="n">
        <v>0</v>
      </c>
      <c r="K189" t="n">
        <v>0</v>
      </c>
      <c r="L189" t="n">
        <v>0</v>
      </c>
      <c r="M189" t="n">
        <v>0</v>
      </c>
      <c r="N189" t="n">
        <v>0</v>
      </c>
      <c r="O189" t="n">
        <v>0</v>
      </c>
      <c r="P189" t="n">
        <v>0</v>
      </c>
      <c r="Q189" t="n">
        <v>1</v>
      </c>
      <c r="R189" s="2" t="inlineStr">
        <is>
          <t>Strävlosta</t>
        </is>
      </c>
      <c r="S189">
        <f>HYPERLINK("https://klasma.github.io/Logging_0980/artfynd/A 34141-2024 artfynd.xlsx", "A 34141-2024")</f>
        <v/>
      </c>
      <c r="T189">
        <f>HYPERLINK("https://klasma.github.io/Logging_0980/kartor/A 34141-2024 karta.png", "A 34141-2024")</f>
        <v/>
      </c>
      <c r="V189">
        <f>HYPERLINK("https://klasma.github.io/Logging_0980/klagomål/A 34141-2024 FSC-klagomål.docx", "A 34141-2024")</f>
        <v/>
      </c>
      <c r="W189">
        <f>HYPERLINK("https://klasma.github.io/Logging_0980/klagomålsmail/A 34141-2024 FSC-klagomål mail.docx", "A 34141-2024")</f>
        <v/>
      </c>
      <c r="X189">
        <f>HYPERLINK("https://klasma.github.io/Logging_0980/tillsyn/A 34141-2024 tillsynsbegäran.docx", "A 34141-2024")</f>
        <v/>
      </c>
      <c r="Y189">
        <f>HYPERLINK("https://klasma.github.io/Logging_0980/tillsynsmail/A 34141-2024 tillsynsbegäran mail.docx", "A 34141-2024")</f>
        <v/>
      </c>
    </row>
    <row r="190" ht="15" customHeight="1">
      <c r="A190" t="inlineStr">
        <is>
          <t>A 36313-2021</t>
        </is>
      </c>
      <c r="B190" s="1" t="n">
        <v>44390</v>
      </c>
      <c r="C190" s="1" t="n">
        <v>46167</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46167</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46167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46167</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46167</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46167</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46167</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46167</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46167</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46167</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46167</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46167</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46167</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46167</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46167</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46167</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46167</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46167</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46167</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46167</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46167</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46167</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46167</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46167</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46167</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46167</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46167</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46167</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46167</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46167</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46167</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46167</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17901-2023</t>
        </is>
      </c>
      <c r="B222" s="1" t="n">
        <v>45039</v>
      </c>
      <c r="C222" s="1" t="n">
        <v>46167</v>
      </c>
      <c r="D222" t="inlineStr">
        <is>
          <t>GOTLANDS LÄN</t>
        </is>
      </c>
      <c r="E222" t="inlineStr">
        <is>
          <t>GOTLAND</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456-2023</t>
        </is>
      </c>
      <c r="B223" s="1" t="n">
        <v>44929.87122685185</v>
      </c>
      <c r="C223" s="1" t="n">
        <v>46167</v>
      </c>
      <c r="D223" t="inlineStr">
        <is>
          <t>GOTLANDS LÄN</t>
        </is>
      </c>
      <c r="E223" t="inlineStr">
        <is>
          <t>GOTLAND</t>
        </is>
      </c>
      <c r="G223" t="n">
        <v>3.2</v>
      </c>
      <c r="H223" t="n">
        <v>0</v>
      </c>
      <c r="I223" t="n">
        <v>0</v>
      </c>
      <c r="J223" t="n">
        <v>0</v>
      </c>
      <c r="K223" t="n">
        <v>0</v>
      </c>
      <c r="L223" t="n">
        <v>0</v>
      </c>
      <c r="M223" t="n">
        <v>0</v>
      </c>
      <c r="N223" t="n">
        <v>0</v>
      </c>
      <c r="O223" t="n">
        <v>0</v>
      </c>
      <c r="P223" t="n">
        <v>0</v>
      </c>
      <c r="Q223" t="n">
        <v>0</v>
      </c>
      <c r="R223" s="2" t="inlineStr"/>
    </row>
    <row r="224" ht="15" customHeight="1">
      <c r="A224" t="inlineStr">
        <is>
          <t>A 58476-2022</t>
        </is>
      </c>
      <c r="B224" s="1" t="n">
        <v>44902</v>
      </c>
      <c r="C224" s="1" t="n">
        <v>46167</v>
      </c>
      <c r="D224" t="inlineStr">
        <is>
          <t>GOTLANDS LÄN</t>
        </is>
      </c>
      <c r="E224" t="inlineStr">
        <is>
          <t>GOTLAND</t>
        </is>
      </c>
      <c r="G224" t="n">
        <v>0.9</v>
      </c>
      <c r="H224" t="n">
        <v>0</v>
      </c>
      <c r="I224" t="n">
        <v>0</v>
      </c>
      <c r="J224" t="n">
        <v>0</v>
      </c>
      <c r="K224" t="n">
        <v>0</v>
      </c>
      <c r="L224" t="n">
        <v>0</v>
      </c>
      <c r="M224" t="n">
        <v>0</v>
      </c>
      <c r="N224" t="n">
        <v>0</v>
      </c>
      <c r="O224" t="n">
        <v>0</v>
      </c>
      <c r="P224" t="n">
        <v>0</v>
      </c>
      <c r="Q224" t="n">
        <v>0</v>
      </c>
      <c r="R224" s="2" t="inlineStr"/>
    </row>
    <row r="225" ht="15" customHeight="1">
      <c r="A225" t="inlineStr">
        <is>
          <t>A 61596-2023</t>
        </is>
      </c>
      <c r="B225" s="1" t="n">
        <v>45265</v>
      </c>
      <c r="C225" s="1" t="n">
        <v>46167</v>
      </c>
      <c r="D225" t="inlineStr">
        <is>
          <t>GOTLANDS LÄN</t>
        </is>
      </c>
      <c r="E225" t="inlineStr">
        <is>
          <t>GOTLAND</t>
        </is>
      </c>
      <c r="G225" t="n">
        <v>1.7</v>
      </c>
      <c r="H225" t="n">
        <v>0</v>
      </c>
      <c r="I225" t="n">
        <v>0</v>
      </c>
      <c r="J225" t="n">
        <v>0</v>
      </c>
      <c r="K225" t="n">
        <v>0</v>
      </c>
      <c r="L225" t="n">
        <v>0</v>
      </c>
      <c r="M225" t="n">
        <v>0</v>
      </c>
      <c r="N225" t="n">
        <v>0</v>
      </c>
      <c r="O225" t="n">
        <v>0</v>
      </c>
      <c r="P225" t="n">
        <v>0</v>
      </c>
      <c r="Q225" t="n">
        <v>0</v>
      </c>
      <c r="R225" s="2" t="inlineStr"/>
    </row>
    <row r="226" ht="15" customHeight="1">
      <c r="A226" t="inlineStr">
        <is>
          <t>A 873-2024</t>
        </is>
      </c>
      <c r="B226" s="1" t="n">
        <v>45301</v>
      </c>
      <c r="C226" s="1" t="n">
        <v>46167</v>
      </c>
      <c r="D226" t="inlineStr">
        <is>
          <t>GOTLANDS LÄN</t>
        </is>
      </c>
      <c r="E226" t="inlineStr">
        <is>
          <t>GOTLAND</t>
        </is>
      </c>
      <c r="G226" t="n">
        <v>2.7</v>
      </c>
      <c r="H226" t="n">
        <v>0</v>
      </c>
      <c r="I226" t="n">
        <v>0</v>
      </c>
      <c r="J226" t="n">
        <v>0</v>
      </c>
      <c r="K226" t="n">
        <v>0</v>
      </c>
      <c r="L226" t="n">
        <v>0</v>
      </c>
      <c r="M226" t="n">
        <v>0</v>
      </c>
      <c r="N226" t="n">
        <v>0</v>
      </c>
      <c r="O226" t="n">
        <v>0</v>
      </c>
      <c r="P226" t="n">
        <v>0</v>
      </c>
      <c r="Q226" t="n">
        <v>0</v>
      </c>
      <c r="R226" s="2" t="inlineStr"/>
    </row>
    <row r="227" ht="15" customHeight="1">
      <c r="A227" t="inlineStr">
        <is>
          <t>A 63229-2021</t>
        </is>
      </c>
      <c r="B227" s="1" t="n">
        <v>44508.34518518519</v>
      </c>
      <c r="C227" s="1" t="n">
        <v>46167</v>
      </c>
      <c r="D227" t="inlineStr">
        <is>
          <t>GOTLANDS LÄN</t>
        </is>
      </c>
      <c r="E227" t="inlineStr">
        <is>
          <t>GOTLAND</t>
        </is>
      </c>
      <c r="F227" t="inlineStr">
        <is>
          <t>Kyrkan</t>
        </is>
      </c>
      <c r="G227" t="n">
        <v>3.8</v>
      </c>
      <c r="H227" t="n">
        <v>0</v>
      </c>
      <c r="I227" t="n">
        <v>0</v>
      </c>
      <c r="J227" t="n">
        <v>0</v>
      </c>
      <c r="K227" t="n">
        <v>0</v>
      </c>
      <c r="L227" t="n">
        <v>0</v>
      </c>
      <c r="M227" t="n">
        <v>0</v>
      </c>
      <c r="N227" t="n">
        <v>0</v>
      </c>
      <c r="O227" t="n">
        <v>0</v>
      </c>
      <c r="P227" t="n">
        <v>0</v>
      </c>
      <c r="Q227" t="n">
        <v>0</v>
      </c>
      <c r="R227" s="2" t="inlineStr"/>
    </row>
    <row r="228" ht="15" customHeight="1">
      <c r="A228" t="inlineStr">
        <is>
          <t>A 44228-2022</t>
        </is>
      </c>
      <c r="B228" s="1" t="n">
        <v>44839.51599537037</v>
      </c>
      <c r="C228" s="1" t="n">
        <v>46167</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61386-2023</t>
        </is>
      </c>
      <c r="B229" s="1" t="n">
        <v>45264</v>
      </c>
      <c r="C229" s="1" t="n">
        <v>46167</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27593-2023</t>
        </is>
      </c>
      <c r="B230" s="1" t="n">
        <v>45097</v>
      </c>
      <c r="C230" s="1" t="n">
        <v>46167</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25129-2023</t>
        </is>
      </c>
      <c r="B231" s="1" t="n">
        <v>45086.44261574074</v>
      </c>
      <c r="C231" s="1" t="n">
        <v>46167</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56009-2024</t>
        </is>
      </c>
      <c r="B232" s="1" t="n">
        <v>45623.80864583333</v>
      </c>
      <c r="C232" s="1" t="n">
        <v>46167</v>
      </c>
      <c r="D232" t="inlineStr">
        <is>
          <t>GOTLANDS LÄN</t>
        </is>
      </c>
      <c r="E232" t="inlineStr">
        <is>
          <t>GOTLAND</t>
        </is>
      </c>
      <c r="G232" t="n">
        <v>2.8</v>
      </c>
      <c r="H232" t="n">
        <v>0</v>
      </c>
      <c r="I232" t="n">
        <v>0</v>
      </c>
      <c r="J232" t="n">
        <v>0</v>
      </c>
      <c r="K232" t="n">
        <v>0</v>
      </c>
      <c r="L232" t="n">
        <v>0</v>
      </c>
      <c r="M232" t="n">
        <v>0</v>
      </c>
      <c r="N232" t="n">
        <v>0</v>
      </c>
      <c r="O232" t="n">
        <v>0</v>
      </c>
      <c r="P232" t="n">
        <v>0</v>
      </c>
      <c r="Q232" t="n">
        <v>0</v>
      </c>
      <c r="R232" s="2" t="inlineStr"/>
    </row>
    <row r="233" ht="15" customHeight="1">
      <c r="A233" t="inlineStr">
        <is>
          <t>A 54073-2022</t>
        </is>
      </c>
      <c r="B233" s="1" t="n">
        <v>44881.50380787037</v>
      </c>
      <c r="C233" s="1" t="n">
        <v>46167</v>
      </c>
      <c r="D233" t="inlineStr">
        <is>
          <t>GOTLANDS LÄN</t>
        </is>
      </c>
      <c r="E233" t="inlineStr">
        <is>
          <t>GOTLAND</t>
        </is>
      </c>
      <c r="G233" t="n">
        <v>3.8</v>
      </c>
      <c r="H233" t="n">
        <v>0</v>
      </c>
      <c r="I233" t="n">
        <v>0</v>
      </c>
      <c r="J233" t="n">
        <v>0</v>
      </c>
      <c r="K233" t="n">
        <v>0</v>
      </c>
      <c r="L233" t="n">
        <v>0</v>
      </c>
      <c r="M233" t="n">
        <v>0</v>
      </c>
      <c r="N233" t="n">
        <v>0</v>
      </c>
      <c r="O233" t="n">
        <v>0</v>
      </c>
      <c r="P233" t="n">
        <v>0</v>
      </c>
      <c r="Q233" t="n">
        <v>0</v>
      </c>
      <c r="R233" s="2" t="inlineStr"/>
    </row>
    <row r="234" ht="15" customHeight="1">
      <c r="A234" t="inlineStr">
        <is>
          <t>A 3964-2024</t>
        </is>
      </c>
      <c r="B234" s="1" t="n">
        <v>45322</v>
      </c>
      <c r="C234" s="1" t="n">
        <v>46167</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45106-2024</t>
        </is>
      </c>
      <c r="B235" s="1" t="n">
        <v>45575</v>
      </c>
      <c r="C235" s="1" t="n">
        <v>46167</v>
      </c>
      <c r="D235" t="inlineStr">
        <is>
          <t>GOTLANDS LÄN</t>
        </is>
      </c>
      <c r="E235" t="inlineStr">
        <is>
          <t>GOTLAND</t>
        </is>
      </c>
      <c r="G235" t="n">
        <v>10</v>
      </c>
      <c r="H235" t="n">
        <v>0</v>
      </c>
      <c r="I235" t="n">
        <v>0</v>
      </c>
      <c r="J235" t="n">
        <v>0</v>
      </c>
      <c r="K235" t="n">
        <v>0</v>
      </c>
      <c r="L235" t="n">
        <v>0</v>
      </c>
      <c r="M235" t="n">
        <v>0</v>
      </c>
      <c r="N235" t="n">
        <v>0</v>
      </c>
      <c r="O235" t="n">
        <v>0</v>
      </c>
      <c r="P235" t="n">
        <v>0</v>
      </c>
      <c r="Q235" t="n">
        <v>0</v>
      </c>
      <c r="R235" s="2" t="inlineStr"/>
    </row>
    <row r="236" ht="15" customHeight="1">
      <c r="A236" t="inlineStr">
        <is>
          <t>A 45112-2024</t>
        </is>
      </c>
      <c r="B236" s="1" t="n">
        <v>45575</v>
      </c>
      <c r="C236" s="1" t="n">
        <v>46167</v>
      </c>
      <c r="D236" t="inlineStr">
        <is>
          <t>GOTLANDS LÄN</t>
        </is>
      </c>
      <c r="E236" t="inlineStr">
        <is>
          <t>GOTLAND</t>
        </is>
      </c>
      <c r="G236" t="n">
        <v>5.1</v>
      </c>
      <c r="H236" t="n">
        <v>0</v>
      </c>
      <c r="I236" t="n">
        <v>0</v>
      </c>
      <c r="J236" t="n">
        <v>0</v>
      </c>
      <c r="K236" t="n">
        <v>0</v>
      </c>
      <c r="L236" t="n">
        <v>0</v>
      </c>
      <c r="M236" t="n">
        <v>0</v>
      </c>
      <c r="N236" t="n">
        <v>0</v>
      </c>
      <c r="O236" t="n">
        <v>0</v>
      </c>
      <c r="P236" t="n">
        <v>0</v>
      </c>
      <c r="Q236" t="n">
        <v>0</v>
      </c>
      <c r="R236" s="2" t="inlineStr"/>
    </row>
    <row r="237" ht="15" customHeight="1">
      <c r="A237" t="inlineStr">
        <is>
          <t>A 7026-2023</t>
        </is>
      </c>
      <c r="B237" s="1" t="n">
        <v>44968.30340277778</v>
      </c>
      <c r="C237" s="1" t="n">
        <v>46167</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52892-2021</t>
        </is>
      </c>
      <c r="B238" s="1" t="n">
        <v>44467.49048611111</v>
      </c>
      <c r="C238" s="1" t="n">
        <v>46167</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1351-2025</t>
        </is>
      </c>
      <c r="B239" s="1" t="n">
        <v>45667.62246527777</v>
      </c>
      <c r="C239" s="1" t="n">
        <v>46167</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49874-2024</t>
        </is>
      </c>
      <c r="B240" s="1" t="n">
        <v>45597.49274305555</v>
      </c>
      <c r="C240" s="1" t="n">
        <v>46167</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51782-2023</t>
        </is>
      </c>
      <c r="B241" s="1" t="n">
        <v>45222.80952546297</v>
      </c>
      <c r="C241" s="1" t="n">
        <v>46167</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60675-2021</t>
        </is>
      </c>
      <c r="B242" s="1" t="n">
        <v>44496.64855324074</v>
      </c>
      <c r="C242" s="1" t="n">
        <v>46167</v>
      </c>
      <c r="D242" t="inlineStr">
        <is>
          <t>GOTLANDS LÄN</t>
        </is>
      </c>
      <c r="E242" t="inlineStr">
        <is>
          <t>GOTLAND</t>
        </is>
      </c>
      <c r="G242" t="n">
        <v>4.6</v>
      </c>
      <c r="H242" t="n">
        <v>0</v>
      </c>
      <c r="I242" t="n">
        <v>0</v>
      </c>
      <c r="J242" t="n">
        <v>0</v>
      </c>
      <c r="K242" t="n">
        <v>0</v>
      </c>
      <c r="L242" t="n">
        <v>0</v>
      </c>
      <c r="M242" t="n">
        <v>0</v>
      </c>
      <c r="N242" t="n">
        <v>0</v>
      </c>
      <c r="O242" t="n">
        <v>0</v>
      </c>
      <c r="P242" t="n">
        <v>0</v>
      </c>
      <c r="Q242" t="n">
        <v>0</v>
      </c>
      <c r="R242" s="2" t="inlineStr"/>
    </row>
    <row r="243" ht="15" customHeight="1">
      <c r="A243" t="inlineStr">
        <is>
          <t>A 5217-2023</t>
        </is>
      </c>
      <c r="B243" s="1" t="n">
        <v>44959.39582175926</v>
      </c>
      <c r="C243" s="1" t="n">
        <v>46167</v>
      </c>
      <c r="D243" t="inlineStr">
        <is>
          <t>GOTLANDS LÄN</t>
        </is>
      </c>
      <c r="E243" t="inlineStr">
        <is>
          <t>GOTLAND</t>
        </is>
      </c>
      <c r="G243" t="n">
        <v>1.9</v>
      </c>
      <c r="H243" t="n">
        <v>0</v>
      </c>
      <c r="I243" t="n">
        <v>0</v>
      </c>
      <c r="J243" t="n">
        <v>0</v>
      </c>
      <c r="K243" t="n">
        <v>0</v>
      </c>
      <c r="L243" t="n">
        <v>0</v>
      </c>
      <c r="M243" t="n">
        <v>0</v>
      </c>
      <c r="N243" t="n">
        <v>0</v>
      </c>
      <c r="O243" t="n">
        <v>0</v>
      </c>
      <c r="P243" t="n">
        <v>0</v>
      </c>
      <c r="Q243" t="n">
        <v>0</v>
      </c>
      <c r="R243" s="2" t="inlineStr"/>
    </row>
    <row r="244" ht="15" customHeight="1">
      <c r="A244" t="inlineStr">
        <is>
          <t>A 31264-2021</t>
        </is>
      </c>
      <c r="B244" s="1" t="n">
        <v>44368</v>
      </c>
      <c r="C244" s="1" t="n">
        <v>46167</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20165-2022</t>
        </is>
      </c>
      <c r="B245" s="1" t="n">
        <v>44698.49854166667</v>
      </c>
      <c r="C245" s="1" t="n">
        <v>46167</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14638-2025</t>
        </is>
      </c>
      <c r="B246" s="1" t="n">
        <v>45742</v>
      </c>
      <c r="C246" s="1" t="n">
        <v>46167</v>
      </c>
      <c r="D246" t="inlineStr">
        <is>
          <t>GOTLANDS LÄN</t>
        </is>
      </c>
      <c r="E246" t="inlineStr">
        <is>
          <t>GOTLAND</t>
        </is>
      </c>
      <c r="G246" t="n">
        <v>13.4</v>
      </c>
      <c r="H246" t="n">
        <v>0</v>
      </c>
      <c r="I246" t="n">
        <v>0</v>
      </c>
      <c r="J246" t="n">
        <v>0</v>
      </c>
      <c r="K246" t="n">
        <v>0</v>
      </c>
      <c r="L246" t="n">
        <v>0</v>
      </c>
      <c r="M246" t="n">
        <v>0</v>
      </c>
      <c r="N246" t="n">
        <v>0</v>
      </c>
      <c r="O246" t="n">
        <v>0</v>
      </c>
      <c r="P246" t="n">
        <v>0</v>
      </c>
      <c r="Q246" t="n">
        <v>0</v>
      </c>
      <c r="R246" s="2" t="inlineStr"/>
    </row>
    <row r="247" ht="15" customHeight="1">
      <c r="A247" t="inlineStr">
        <is>
          <t>A 33876-2024</t>
        </is>
      </c>
      <c r="B247" s="1" t="n">
        <v>45521.87988425926</v>
      </c>
      <c r="C247" s="1" t="n">
        <v>46167</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61962-2024</t>
        </is>
      </c>
      <c r="B248" s="1" t="n">
        <v>45653.54340277778</v>
      </c>
      <c r="C248" s="1" t="n">
        <v>46167</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43223-2023</t>
        </is>
      </c>
      <c r="B249" s="1" t="n">
        <v>45183.45642361111</v>
      </c>
      <c r="C249" s="1" t="n">
        <v>46167</v>
      </c>
      <c r="D249" t="inlineStr">
        <is>
          <t>GOTLANDS LÄN</t>
        </is>
      </c>
      <c r="E249" t="inlineStr">
        <is>
          <t>GOTLAND</t>
        </is>
      </c>
      <c r="G249" t="n">
        <v>1.8</v>
      </c>
      <c r="H249" t="n">
        <v>0</v>
      </c>
      <c r="I249" t="n">
        <v>0</v>
      </c>
      <c r="J249" t="n">
        <v>0</v>
      </c>
      <c r="K249" t="n">
        <v>0</v>
      </c>
      <c r="L249" t="n">
        <v>0</v>
      </c>
      <c r="M249" t="n">
        <v>0</v>
      </c>
      <c r="N249" t="n">
        <v>0</v>
      </c>
      <c r="O249" t="n">
        <v>0</v>
      </c>
      <c r="P249" t="n">
        <v>0</v>
      </c>
      <c r="Q249" t="n">
        <v>0</v>
      </c>
      <c r="R249" s="2" t="inlineStr"/>
    </row>
    <row r="250" ht="15" customHeight="1">
      <c r="A250" t="inlineStr">
        <is>
          <t>A 27930-2021</t>
        </is>
      </c>
      <c r="B250" s="1" t="n">
        <v>44354</v>
      </c>
      <c r="C250" s="1" t="n">
        <v>46167</v>
      </c>
      <c r="D250" t="inlineStr">
        <is>
          <t>GOTLANDS LÄN</t>
        </is>
      </c>
      <c r="E250" t="inlineStr">
        <is>
          <t>GOTLAND</t>
        </is>
      </c>
      <c r="G250" t="n">
        <v>2.5</v>
      </c>
      <c r="H250" t="n">
        <v>0</v>
      </c>
      <c r="I250" t="n">
        <v>0</v>
      </c>
      <c r="J250" t="n">
        <v>0</v>
      </c>
      <c r="K250" t="n">
        <v>0</v>
      </c>
      <c r="L250" t="n">
        <v>0</v>
      </c>
      <c r="M250" t="n">
        <v>0</v>
      </c>
      <c r="N250" t="n">
        <v>0</v>
      </c>
      <c r="O250" t="n">
        <v>0</v>
      </c>
      <c r="P250" t="n">
        <v>0</v>
      </c>
      <c r="Q250" t="n">
        <v>0</v>
      </c>
      <c r="R250" s="2" t="inlineStr"/>
    </row>
    <row r="251" ht="15" customHeight="1">
      <c r="A251" t="inlineStr">
        <is>
          <t>A 59469-2024</t>
        </is>
      </c>
      <c r="B251" s="1" t="n">
        <v>45638</v>
      </c>
      <c r="C251" s="1" t="n">
        <v>46167</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4990-2025</t>
        </is>
      </c>
      <c r="B252" s="1" t="n">
        <v>45691</v>
      </c>
      <c r="C252" s="1" t="n">
        <v>46167</v>
      </c>
      <c r="D252" t="inlineStr">
        <is>
          <t>GOTLANDS LÄN</t>
        </is>
      </c>
      <c r="E252" t="inlineStr">
        <is>
          <t>GOTLAND</t>
        </is>
      </c>
      <c r="G252" t="n">
        <v>7.7</v>
      </c>
      <c r="H252" t="n">
        <v>0</v>
      </c>
      <c r="I252" t="n">
        <v>0</v>
      </c>
      <c r="J252" t="n">
        <v>0</v>
      </c>
      <c r="K252" t="n">
        <v>0</v>
      </c>
      <c r="L252" t="n">
        <v>0</v>
      </c>
      <c r="M252" t="n">
        <v>0</v>
      </c>
      <c r="N252" t="n">
        <v>0</v>
      </c>
      <c r="O252" t="n">
        <v>0</v>
      </c>
      <c r="P252" t="n">
        <v>0</v>
      </c>
      <c r="Q252" t="n">
        <v>0</v>
      </c>
      <c r="R252" s="2" t="inlineStr"/>
    </row>
    <row r="253" ht="15" customHeight="1">
      <c r="A253" t="inlineStr">
        <is>
          <t>A 5751-2024</t>
        </is>
      </c>
      <c r="B253" s="1" t="n">
        <v>45335.32702546296</v>
      </c>
      <c r="C253" s="1" t="n">
        <v>46167</v>
      </c>
      <c r="D253" t="inlineStr">
        <is>
          <t>GOTLANDS LÄN</t>
        </is>
      </c>
      <c r="E253" t="inlineStr">
        <is>
          <t>GOTLAND</t>
        </is>
      </c>
      <c r="G253" t="n">
        <v>4.2</v>
      </c>
      <c r="H253" t="n">
        <v>0</v>
      </c>
      <c r="I253" t="n">
        <v>0</v>
      </c>
      <c r="J253" t="n">
        <v>0</v>
      </c>
      <c r="K253" t="n">
        <v>0</v>
      </c>
      <c r="L253" t="n">
        <v>0</v>
      </c>
      <c r="M253" t="n">
        <v>0</v>
      </c>
      <c r="N253" t="n">
        <v>0</v>
      </c>
      <c r="O253" t="n">
        <v>0</v>
      </c>
      <c r="P253" t="n">
        <v>0</v>
      </c>
      <c r="Q253" t="n">
        <v>0</v>
      </c>
      <c r="R253" s="2" t="inlineStr"/>
    </row>
    <row r="254" ht="15" customHeight="1">
      <c r="A254" t="inlineStr">
        <is>
          <t>A 6696-2023</t>
        </is>
      </c>
      <c r="B254" s="1" t="n">
        <v>44966.66425925926</v>
      </c>
      <c r="C254" s="1" t="n">
        <v>46167</v>
      </c>
      <c r="D254" t="inlineStr">
        <is>
          <t>GOTLANDS LÄN</t>
        </is>
      </c>
      <c r="E254" t="inlineStr">
        <is>
          <t>GOTLAND</t>
        </is>
      </c>
      <c r="G254" t="n">
        <v>1.5</v>
      </c>
      <c r="H254" t="n">
        <v>0</v>
      </c>
      <c r="I254" t="n">
        <v>0</v>
      </c>
      <c r="J254" t="n">
        <v>0</v>
      </c>
      <c r="K254" t="n">
        <v>0</v>
      </c>
      <c r="L254" t="n">
        <v>0</v>
      </c>
      <c r="M254" t="n">
        <v>0</v>
      </c>
      <c r="N254" t="n">
        <v>0</v>
      </c>
      <c r="O254" t="n">
        <v>0</v>
      </c>
      <c r="P254" t="n">
        <v>0</v>
      </c>
      <c r="Q254" t="n">
        <v>0</v>
      </c>
      <c r="R254" s="2" t="inlineStr"/>
    </row>
    <row r="255" ht="15" customHeight="1">
      <c r="A255" t="inlineStr">
        <is>
          <t>A 28480-2023</t>
        </is>
      </c>
      <c r="B255" s="1" t="n">
        <v>45103</v>
      </c>
      <c r="C255" s="1" t="n">
        <v>46167</v>
      </c>
      <c r="D255" t="inlineStr">
        <is>
          <t>GOTLANDS LÄN</t>
        </is>
      </c>
      <c r="E255" t="inlineStr">
        <is>
          <t>GOTLAND</t>
        </is>
      </c>
      <c r="G255" t="n">
        <v>5.7</v>
      </c>
      <c r="H255" t="n">
        <v>0</v>
      </c>
      <c r="I255" t="n">
        <v>0</v>
      </c>
      <c r="J255" t="n">
        <v>0</v>
      </c>
      <c r="K255" t="n">
        <v>0</v>
      </c>
      <c r="L255" t="n">
        <v>0</v>
      </c>
      <c r="M255" t="n">
        <v>0</v>
      </c>
      <c r="N255" t="n">
        <v>0</v>
      </c>
      <c r="O255" t="n">
        <v>0</v>
      </c>
      <c r="P255" t="n">
        <v>0</v>
      </c>
      <c r="Q255" t="n">
        <v>0</v>
      </c>
      <c r="R255" s="2" t="inlineStr"/>
    </row>
    <row r="256" ht="15" customHeight="1">
      <c r="A256" t="inlineStr">
        <is>
          <t>A 28485-2023</t>
        </is>
      </c>
      <c r="B256" s="1" t="n">
        <v>45103.43731481482</v>
      </c>
      <c r="C256" s="1" t="n">
        <v>46167</v>
      </c>
      <c r="D256" t="inlineStr">
        <is>
          <t>GOTLANDS LÄN</t>
        </is>
      </c>
      <c r="E256" t="inlineStr">
        <is>
          <t>GOTLAND</t>
        </is>
      </c>
      <c r="G256" t="n">
        <v>2.3</v>
      </c>
      <c r="H256" t="n">
        <v>0</v>
      </c>
      <c r="I256" t="n">
        <v>0</v>
      </c>
      <c r="J256" t="n">
        <v>0</v>
      </c>
      <c r="K256" t="n">
        <v>0</v>
      </c>
      <c r="L256" t="n">
        <v>0</v>
      </c>
      <c r="M256" t="n">
        <v>0</v>
      </c>
      <c r="N256" t="n">
        <v>0</v>
      </c>
      <c r="O256" t="n">
        <v>0</v>
      </c>
      <c r="P256" t="n">
        <v>0</v>
      </c>
      <c r="Q256" t="n">
        <v>0</v>
      </c>
      <c r="R256" s="2" t="inlineStr"/>
    </row>
    <row r="257" ht="15" customHeight="1">
      <c r="A257" t="inlineStr">
        <is>
          <t>A 38165-2023</t>
        </is>
      </c>
      <c r="B257" s="1" t="n">
        <v>45161</v>
      </c>
      <c r="C257" s="1" t="n">
        <v>46167</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46167</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49693-2023</t>
        </is>
      </c>
      <c r="B259" s="1" t="n">
        <v>45212.38138888889</v>
      </c>
      <c r="C259" s="1" t="n">
        <v>46167</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49697-2023</t>
        </is>
      </c>
      <c r="B260" s="1" t="n">
        <v>45212.38909722222</v>
      </c>
      <c r="C260" s="1" t="n">
        <v>46167</v>
      </c>
      <c r="D260" t="inlineStr">
        <is>
          <t>GOTLANDS LÄN</t>
        </is>
      </c>
      <c r="E260" t="inlineStr">
        <is>
          <t>GOTLAND</t>
        </is>
      </c>
      <c r="G260" t="n">
        <v>4.4</v>
      </c>
      <c r="H260" t="n">
        <v>0</v>
      </c>
      <c r="I260" t="n">
        <v>0</v>
      </c>
      <c r="J260" t="n">
        <v>0</v>
      </c>
      <c r="K260" t="n">
        <v>0</v>
      </c>
      <c r="L260" t="n">
        <v>0</v>
      </c>
      <c r="M260" t="n">
        <v>0</v>
      </c>
      <c r="N260" t="n">
        <v>0</v>
      </c>
      <c r="O260" t="n">
        <v>0</v>
      </c>
      <c r="P260" t="n">
        <v>0</v>
      </c>
      <c r="Q260" t="n">
        <v>0</v>
      </c>
      <c r="R260" s="2" t="inlineStr"/>
    </row>
    <row r="261" ht="15" customHeight="1">
      <c r="A261" t="inlineStr">
        <is>
          <t>A 48503-2023</t>
        </is>
      </c>
      <c r="B261" s="1" t="n">
        <v>45207</v>
      </c>
      <c r="C261" s="1" t="n">
        <v>46167</v>
      </c>
      <c r="D261" t="inlineStr">
        <is>
          <t>GOTLANDS LÄN</t>
        </is>
      </c>
      <c r="E261" t="inlineStr">
        <is>
          <t>GOTLAND</t>
        </is>
      </c>
      <c r="G261" t="n">
        <v>1.6</v>
      </c>
      <c r="H261" t="n">
        <v>0</v>
      </c>
      <c r="I261" t="n">
        <v>0</v>
      </c>
      <c r="J261" t="n">
        <v>0</v>
      </c>
      <c r="K261" t="n">
        <v>0</v>
      </c>
      <c r="L261" t="n">
        <v>0</v>
      </c>
      <c r="M261" t="n">
        <v>0</v>
      </c>
      <c r="N261" t="n">
        <v>0</v>
      </c>
      <c r="O261" t="n">
        <v>0</v>
      </c>
      <c r="P261" t="n">
        <v>0</v>
      </c>
      <c r="Q261" t="n">
        <v>0</v>
      </c>
      <c r="R261" s="2" t="inlineStr"/>
    </row>
    <row r="262" ht="15" customHeight="1">
      <c r="A262" t="inlineStr">
        <is>
          <t>A 34312-2024</t>
        </is>
      </c>
      <c r="B262" s="1" t="n">
        <v>45524.69703703704</v>
      </c>
      <c r="C262" s="1" t="n">
        <v>46167</v>
      </c>
      <c r="D262" t="inlineStr">
        <is>
          <t>GOTLANDS LÄN</t>
        </is>
      </c>
      <c r="E262" t="inlineStr">
        <is>
          <t>GOTLAND</t>
        </is>
      </c>
      <c r="G262" t="n">
        <v>2</v>
      </c>
      <c r="H262" t="n">
        <v>0</v>
      </c>
      <c r="I262" t="n">
        <v>0</v>
      </c>
      <c r="J262" t="n">
        <v>0</v>
      </c>
      <c r="K262" t="n">
        <v>0</v>
      </c>
      <c r="L262" t="n">
        <v>0</v>
      </c>
      <c r="M262" t="n">
        <v>0</v>
      </c>
      <c r="N262" t="n">
        <v>0</v>
      </c>
      <c r="O262" t="n">
        <v>0</v>
      </c>
      <c r="P262" t="n">
        <v>0</v>
      </c>
      <c r="Q262" t="n">
        <v>0</v>
      </c>
      <c r="R262" s="2" t="inlineStr"/>
    </row>
    <row r="263" ht="15" customHeight="1">
      <c r="A263" t="inlineStr">
        <is>
          <t>A 24825-2024</t>
        </is>
      </c>
      <c r="B263" s="1" t="n">
        <v>45461</v>
      </c>
      <c r="C263" s="1" t="n">
        <v>46167</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8260-2023</t>
        </is>
      </c>
      <c r="B264" s="1" t="n">
        <v>44974.61608796296</v>
      </c>
      <c r="C264" s="1" t="n">
        <v>46167</v>
      </c>
      <c r="D264" t="inlineStr">
        <is>
          <t>GOTLANDS LÄN</t>
        </is>
      </c>
      <c r="E264" t="inlineStr">
        <is>
          <t>GOTLAND</t>
        </is>
      </c>
      <c r="G264" t="n">
        <v>2.9</v>
      </c>
      <c r="H264" t="n">
        <v>0</v>
      </c>
      <c r="I264" t="n">
        <v>0</v>
      </c>
      <c r="J264" t="n">
        <v>0</v>
      </c>
      <c r="K264" t="n">
        <v>0</v>
      </c>
      <c r="L264" t="n">
        <v>0</v>
      </c>
      <c r="M264" t="n">
        <v>0</v>
      </c>
      <c r="N264" t="n">
        <v>0</v>
      </c>
      <c r="O264" t="n">
        <v>0</v>
      </c>
      <c r="P264" t="n">
        <v>0</v>
      </c>
      <c r="Q264" t="n">
        <v>0</v>
      </c>
      <c r="R264" s="2" t="inlineStr"/>
    </row>
    <row r="265" ht="15" customHeight="1">
      <c r="A265" t="inlineStr">
        <is>
          <t>A 27694-2024</t>
        </is>
      </c>
      <c r="B265" s="1" t="n">
        <v>45475</v>
      </c>
      <c r="C265" s="1" t="n">
        <v>46167</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39764-2022</t>
        </is>
      </c>
      <c r="B266" s="1" t="n">
        <v>44819</v>
      </c>
      <c r="C266" s="1" t="n">
        <v>46167</v>
      </c>
      <c r="D266" t="inlineStr">
        <is>
          <t>GOTLANDS LÄN</t>
        </is>
      </c>
      <c r="E266" t="inlineStr">
        <is>
          <t>GOTLAND</t>
        </is>
      </c>
      <c r="F266" t="inlineStr">
        <is>
          <t>Kyrkan</t>
        </is>
      </c>
      <c r="G266" t="n">
        <v>3.7</v>
      </c>
      <c r="H266" t="n">
        <v>0</v>
      </c>
      <c r="I266" t="n">
        <v>0</v>
      </c>
      <c r="J266" t="n">
        <v>0</v>
      </c>
      <c r="K266" t="n">
        <v>0</v>
      </c>
      <c r="L266" t="n">
        <v>0</v>
      </c>
      <c r="M266" t="n">
        <v>0</v>
      </c>
      <c r="N266" t="n">
        <v>0</v>
      </c>
      <c r="O266" t="n">
        <v>0</v>
      </c>
      <c r="P266" t="n">
        <v>0</v>
      </c>
      <c r="Q266" t="n">
        <v>0</v>
      </c>
      <c r="R266" s="2" t="inlineStr"/>
    </row>
    <row r="267" ht="15" customHeight="1">
      <c r="A267" t="inlineStr">
        <is>
          <t>A 22287-2022</t>
        </is>
      </c>
      <c r="B267" s="1" t="n">
        <v>44712</v>
      </c>
      <c r="C267" s="1" t="n">
        <v>46167</v>
      </c>
      <c r="D267" t="inlineStr">
        <is>
          <t>GOTLANDS LÄN</t>
        </is>
      </c>
      <c r="E267" t="inlineStr">
        <is>
          <t>GOTLAND</t>
        </is>
      </c>
      <c r="G267" t="n">
        <v>6.1</v>
      </c>
      <c r="H267" t="n">
        <v>0</v>
      </c>
      <c r="I267" t="n">
        <v>0</v>
      </c>
      <c r="J267" t="n">
        <v>0</v>
      </c>
      <c r="K267" t="n">
        <v>0</v>
      </c>
      <c r="L267" t="n">
        <v>0</v>
      </c>
      <c r="M267" t="n">
        <v>0</v>
      </c>
      <c r="N267" t="n">
        <v>0</v>
      </c>
      <c r="O267" t="n">
        <v>0</v>
      </c>
      <c r="P267" t="n">
        <v>0</v>
      </c>
      <c r="Q267" t="n">
        <v>0</v>
      </c>
      <c r="R267" s="2" t="inlineStr"/>
    </row>
    <row r="268" ht="15" customHeight="1">
      <c r="A268" t="inlineStr">
        <is>
          <t>A 22031-2024</t>
        </is>
      </c>
      <c r="B268" s="1" t="n">
        <v>45443.60075231481</v>
      </c>
      <c r="C268" s="1" t="n">
        <v>46167</v>
      </c>
      <c r="D268" t="inlineStr">
        <is>
          <t>GOTLANDS LÄN</t>
        </is>
      </c>
      <c r="E268" t="inlineStr">
        <is>
          <t>GOTLAND</t>
        </is>
      </c>
      <c r="G268" t="n">
        <v>2.3</v>
      </c>
      <c r="H268" t="n">
        <v>0</v>
      </c>
      <c r="I268" t="n">
        <v>0</v>
      </c>
      <c r="J268" t="n">
        <v>0</v>
      </c>
      <c r="K268" t="n">
        <v>0</v>
      </c>
      <c r="L268" t="n">
        <v>0</v>
      </c>
      <c r="M268" t="n">
        <v>0</v>
      </c>
      <c r="N268" t="n">
        <v>0</v>
      </c>
      <c r="O268" t="n">
        <v>0</v>
      </c>
      <c r="P268" t="n">
        <v>0</v>
      </c>
      <c r="Q268" t="n">
        <v>0</v>
      </c>
      <c r="R268" s="2" t="inlineStr"/>
    </row>
    <row r="269" ht="15" customHeight="1">
      <c r="A269" t="inlineStr">
        <is>
          <t>A 17688-2024</t>
        </is>
      </c>
      <c r="B269" s="1" t="n">
        <v>45418.43575231481</v>
      </c>
      <c r="C269" s="1" t="n">
        <v>46167</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6099-2024</t>
        </is>
      </c>
      <c r="B270" s="1" t="n">
        <v>45337</v>
      </c>
      <c r="C270" s="1" t="n">
        <v>46167</v>
      </c>
      <c r="D270" t="inlineStr">
        <is>
          <t>GOTLANDS LÄN</t>
        </is>
      </c>
      <c r="E270" t="inlineStr">
        <is>
          <t>GOTLAND</t>
        </is>
      </c>
      <c r="G270" t="n">
        <v>12.6</v>
      </c>
      <c r="H270" t="n">
        <v>0</v>
      </c>
      <c r="I270" t="n">
        <v>0</v>
      </c>
      <c r="J270" t="n">
        <v>0</v>
      </c>
      <c r="K270" t="n">
        <v>0</v>
      </c>
      <c r="L270" t="n">
        <v>0</v>
      </c>
      <c r="M270" t="n">
        <v>0</v>
      </c>
      <c r="N270" t="n">
        <v>0</v>
      </c>
      <c r="O270" t="n">
        <v>0</v>
      </c>
      <c r="P270" t="n">
        <v>0</v>
      </c>
      <c r="Q270" t="n">
        <v>0</v>
      </c>
      <c r="R270" s="2" t="inlineStr"/>
    </row>
    <row r="271" ht="15" customHeight="1">
      <c r="A271" t="inlineStr">
        <is>
          <t>A 57534-2022</t>
        </is>
      </c>
      <c r="B271" s="1" t="n">
        <v>44896</v>
      </c>
      <c r="C271" s="1" t="n">
        <v>46167</v>
      </c>
      <c r="D271" t="inlineStr">
        <is>
          <t>GOTLANDS LÄN</t>
        </is>
      </c>
      <c r="E271" t="inlineStr">
        <is>
          <t>GOTLAND</t>
        </is>
      </c>
      <c r="G271" t="n">
        <v>0.6</v>
      </c>
      <c r="H271" t="n">
        <v>0</v>
      </c>
      <c r="I271" t="n">
        <v>0</v>
      </c>
      <c r="J271" t="n">
        <v>0</v>
      </c>
      <c r="K271" t="n">
        <v>0</v>
      </c>
      <c r="L271" t="n">
        <v>0</v>
      </c>
      <c r="M271" t="n">
        <v>0</v>
      </c>
      <c r="N271" t="n">
        <v>0</v>
      </c>
      <c r="O271" t="n">
        <v>0</v>
      </c>
      <c r="P271" t="n">
        <v>0</v>
      </c>
      <c r="Q271" t="n">
        <v>0</v>
      </c>
      <c r="R271" s="2" t="inlineStr"/>
    </row>
    <row r="272" ht="15" customHeight="1">
      <c r="A272" t="inlineStr">
        <is>
          <t>A 64660-2023</t>
        </is>
      </c>
      <c r="B272" s="1" t="n">
        <v>45281.60122685185</v>
      </c>
      <c r="C272" s="1" t="n">
        <v>46167</v>
      </c>
      <c r="D272" t="inlineStr">
        <is>
          <t>GOTLANDS LÄN</t>
        </is>
      </c>
      <c r="E272" t="inlineStr">
        <is>
          <t>GOTLAND</t>
        </is>
      </c>
      <c r="G272" t="n">
        <v>6.3</v>
      </c>
      <c r="H272" t="n">
        <v>0</v>
      </c>
      <c r="I272" t="n">
        <v>0</v>
      </c>
      <c r="J272" t="n">
        <v>0</v>
      </c>
      <c r="K272" t="n">
        <v>0</v>
      </c>
      <c r="L272" t="n">
        <v>0</v>
      </c>
      <c r="M272" t="n">
        <v>0</v>
      </c>
      <c r="N272" t="n">
        <v>0</v>
      </c>
      <c r="O272" t="n">
        <v>0</v>
      </c>
      <c r="P272" t="n">
        <v>0</v>
      </c>
      <c r="Q272" t="n">
        <v>0</v>
      </c>
      <c r="R272" s="2" t="inlineStr"/>
    </row>
    <row r="273" ht="15" customHeight="1">
      <c r="A273" t="inlineStr">
        <is>
          <t>A 20356-2022</t>
        </is>
      </c>
      <c r="B273" s="1" t="n">
        <v>44699</v>
      </c>
      <c r="C273" s="1" t="n">
        <v>46167</v>
      </c>
      <c r="D273" t="inlineStr">
        <is>
          <t>GOTLANDS LÄN</t>
        </is>
      </c>
      <c r="E273" t="inlineStr">
        <is>
          <t>GOTLAND</t>
        </is>
      </c>
      <c r="F273" t="inlineStr">
        <is>
          <t>Övriga Aktiebolag</t>
        </is>
      </c>
      <c r="G273" t="n">
        <v>4.4</v>
      </c>
      <c r="H273" t="n">
        <v>0</v>
      </c>
      <c r="I273" t="n">
        <v>0</v>
      </c>
      <c r="J273" t="n">
        <v>0</v>
      </c>
      <c r="K273" t="n">
        <v>0</v>
      </c>
      <c r="L273" t="n">
        <v>0</v>
      </c>
      <c r="M273" t="n">
        <v>0</v>
      </c>
      <c r="N273" t="n">
        <v>0</v>
      </c>
      <c r="O273" t="n">
        <v>0</v>
      </c>
      <c r="P273" t="n">
        <v>0</v>
      </c>
      <c r="Q273" t="n">
        <v>0</v>
      </c>
      <c r="R273" s="2" t="inlineStr"/>
    </row>
    <row r="274" ht="15" customHeight="1">
      <c r="A274" t="inlineStr">
        <is>
          <t>A 20855-2023</t>
        </is>
      </c>
      <c r="B274" s="1" t="n">
        <v>45058.82172453704</v>
      </c>
      <c r="C274" s="1" t="n">
        <v>46167</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15413-2025</t>
        </is>
      </c>
      <c r="B275" s="1" t="n">
        <v>45747.451875</v>
      </c>
      <c r="C275" s="1" t="n">
        <v>46167</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1854-2026</t>
        </is>
      </c>
      <c r="B276" s="1" t="n">
        <v>46035.4171875</v>
      </c>
      <c r="C276" s="1" t="n">
        <v>46167</v>
      </c>
      <c r="D276" t="inlineStr">
        <is>
          <t>GOTLANDS LÄN</t>
        </is>
      </c>
      <c r="E276" t="inlineStr">
        <is>
          <t>GOTLAND</t>
        </is>
      </c>
      <c r="G276" t="n">
        <v>3</v>
      </c>
      <c r="H276" t="n">
        <v>0</v>
      </c>
      <c r="I276" t="n">
        <v>0</v>
      </c>
      <c r="J276" t="n">
        <v>0</v>
      </c>
      <c r="K276" t="n">
        <v>0</v>
      </c>
      <c r="L276" t="n">
        <v>0</v>
      </c>
      <c r="M276" t="n">
        <v>0</v>
      </c>
      <c r="N276" t="n">
        <v>0</v>
      </c>
      <c r="O276" t="n">
        <v>0</v>
      </c>
      <c r="P276" t="n">
        <v>0</v>
      </c>
      <c r="Q276" t="n">
        <v>0</v>
      </c>
      <c r="R276" s="2" t="inlineStr"/>
    </row>
    <row r="277" ht="15" customHeight="1">
      <c r="A277" t="inlineStr">
        <is>
          <t>A 35096-2025</t>
        </is>
      </c>
      <c r="B277" s="1" t="n">
        <v>45852.54356481481</v>
      </c>
      <c r="C277" s="1" t="n">
        <v>46167</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22351-2026</t>
        </is>
      </c>
      <c r="B278" s="1" t="n">
        <v>46154.58350694444</v>
      </c>
      <c r="C278" s="1" t="n">
        <v>46167</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22348-2026</t>
        </is>
      </c>
      <c r="B279" s="1" t="n">
        <v>46154.58071759259</v>
      </c>
      <c r="C279" s="1" t="n">
        <v>46167</v>
      </c>
      <c r="D279" t="inlineStr">
        <is>
          <t>GOTLANDS LÄN</t>
        </is>
      </c>
      <c r="E279" t="inlineStr">
        <is>
          <t>GOTLAND</t>
        </is>
      </c>
      <c r="G279" t="n">
        <v>3.3</v>
      </c>
      <c r="H279" t="n">
        <v>0</v>
      </c>
      <c r="I279" t="n">
        <v>0</v>
      </c>
      <c r="J279" t="n">
        <v>0</v>
      </c>
      <c r="K279" t="n">
        <v>0</v>
      </c>
      <c r="L279" t="n">
        <v>0</v>
      </c>
      <c r="M279" t="n">
        <v>0</v>
      </c>
      <c r="N279" t="n">
        <v>0</v>
      </c>
      <c r="O279" t="n">
        <v>0</v>
      </c>
      <c r="P279" t="n">
        <v>0</v>
      </c>
      <c r="Q279" t="n">
        <v>0</v>
      </c>
      <c r="R279" s="2" t="inlineStr"/>
    </row>
    <row r="280" ht="15" customHeight="1">
      <c r="A280" t="inlineStr">
        <is>
          <t>A 35123-2025</t>
        </is>
      </c>
      <c r="B280" s="1" t="n">
        <v>45852.614375</v>
      </c>
      <c r="C280" s="1" t="n">
        <v>46167</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35142-2025</t>
        </is>
      </c>
      <c r="B281" s="1" t="n">
        <v>45852.65532407408</v>
      </c>
      <c r="C281" s="1" t="n">
        <v>46167</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60709-2023</t>
        </is>
      </c>
      <c r="B282" s="1" t="n">
        <v>45260</v>
      </c>
      <c r="C282" s="1" t="n">
        <v>46167</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35141-2025</t>
        </is>
      </c>
      <c r="B283" s="1" t="n">
        <v>45852.65206018519</v>
      </c>
      <c r="C283" s="1" t="n">
        <v>46167</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35290-2025</t>
        </is>
      </c>
      <c r="B284" s="1" t="n">
        <v>45854.38502314815</v>
      </c>
      <c r="C284" s="1" t="n">
        <v>46167</v>
      </c>
      <c r="D284" t="inlineStr">
        <is>
          <t>GOTLANDS LÄN</t>
        </is>
      </c>
      <c r="E284" t="inlineStr">
        <is>
          <t>GOTLAND</t>
        </is>
      </c>
      <c r="G284" t="n">
        <v>5.4</v>
      </c>
      <c r="H284" t="n">
        <v>0</v>
      </c>
      <c r="I284" t="n">
        <v>0</v>
      </c>
      <c r="J284" t="n">
        <v>0</v>
      </c>
      <c r="K284" t="n">
        <v>0</v>
      </c>
      <c r="L284" t="n">
        <v>0</v>
      </c>
      <c r="M284" t="n">
        <v>0</v>
      </c>
      <c r="N284" t="n">
        <v>0</v>
      </c>
      <c r="O284" t="n">
        <v>0</v>
      </c>
      <c r="P284" t="n">
        <v>0</v>
      </c>
      <c r="Q284" t="n">
        <v>0</v>
      </c>
      <c r="R284" s="2" t="inlineStr"/>
    </row>
    <row r="285" ht="15" customHeight="1">
      <c r="A285" t="inlineStr">
        <is>
          <t>A 22275-2026</t>
        </is>
      </c>
      <c r="B285" s="1" t="n">
        <v>46154.41924768518</v>
      </c>
      <c r="C285" s="1" t="n">
        <v>46167</v>
      </c>
      <c r="D285" t="inlineStr">
        <is>
          <t>GOTLANDS LÄN</t>
        </is>
      </c>
      <c r="E285" t="inlineStr">
        <is>
          <t>GOTLAND</t>
        </is>
      </c>
      <c r="G285" t="n">
        <v>3.7</v>
      </c>
      <c r="H285" t="n">
        <v>0</v>
      </c>
      <c r="I285" t="n">
        <v>0</v>
      </c>
      <c r="J285" t="n">
        <v>0</v>
      </c>
      <c r="K285" t="n">
        <v>0</v>
      </c>
      <c r="L285" t="n">
        <v>0</v>
      </c>
      <c r="M285" t="n">
        <v>0</v>
      </c>
      <c r="N285" t="n">
        <v>0</v>
      </c>
      <c r="O285" t="n">
        <v>0</v>
      </c>
      <c r="P285" t="n">
        <v>0</v>
      </c>
      <c r="Q285" t="n">
        <v>0</v>
      </c>
      <c r="R285" s="2" t="inlineStr"/>
    </row>
    <row r="286" ht="15" customHeight="1">
      <c r="A286" t="inlineStr">
        <is>
          <t>A 30104-2025</t>
        </is>
      </c>
      <c r="B286" s="1" t="n">
        <v>45826.68806712963</v>
      </c>
      <c r="C286" s="1" t="n">
        <v>46167</v>
      </c>
      <c r="D286" t="inlineStr">
        <is>
          <t>GOTLANDS LÄN</t>
        </is>
      </c>
      <c r="E286" t="inlineStr">
        <is>
          <t>GOTLAND</t>
        </is>
      </c>
      <c r="G286" t="n">
        <v>15.4</v>
      </c>
      <c r="H286" t="n">
        <v>0</v>
      </c>
      <c r="I286" t="n">
        <v>0</v>
      </c>
      <c r="J286" t="n">
        <v>0</v>
      </c>
      <c r="K286" t="n">
        <v>0</v>
      </c>
      <c r="L286" t="n">
        <v>0</v>
      </c>
      <c r="M286" t="n">
        <v>0</v>
      </c>
      <c r="N286" t="n">
        <v>0</v>
      </c>
      <c r="O286" t="n">
        <v>0</v>
      </c>
      <c r="P286" t="n">
        <v>0</v>
      </c>
      <c r="Q286" t="n">
        <v>0</v>
      </c>
      <c r="R286" s="2" t="inlineStr"/>
    </row>
    <row r="287" ht="15" customHeight="1">
      <c r="A287" t="inlineStr">
        <is>
          <t>A 1000-2024</t>
        </is>
      </c>
      <c r="B287" s="1" t="n">
        <v>45301.63371527778</v>
      </c>
      <c r="C287" s="1" t="n">
        <v>46167</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1010-2024</t>
        </is>
      </c>
      <c r="B288" s="1" t="n">
        <v>45301</v>
      </c>
      <c r="C288" s="1" t="n">
        <v>46167</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65249-2023</t>
        </is>
      </c>
      <c r="B289" s="1" t="n">
        <v>45290</v>
      </c>
      <c r="C289" s="1" t="n">
        <v>46167</v>
      </c>
      <c r="D289" t="inlineStr">
        <is>
          <t>GOTLANDS LÄN</t>
        </is>
      </c>
      <c r="E289" t="inlineStr">
        <is>
          <t>GOTLAND</t>
        </is>
      </c>
      <c r="G289" t="n">
        <v>2.4</v>
      </c>
      <c r="H289" t="n">
        <v>0</v>
      </c>
      <c r="I289" t="n">
        <v>0</v>
      </c>
      <c r="J289" t="n">
        <v>0</v>
      </c>
      <c r="K289" t="n">
        <v>0</v>
      </c>
      <c r="L289" t="n">
        <v>0</v>
      </c>
      <c r="M289" t="n">
        <v>0</v>
      </c>
      <c r="N289" t="n">
        <v>0</v>
      </c>
      <c r="O289" t="n">
        <v>0</v>
      </c>
      <c r="P289" t="n">
        <v>0</v>
      </c>
      <c r="Q289" t="n">
        <v>0</v>
      </c>
      <c r="R289" s="2" t="inlineStr"/>
    </row>
    <row r="290" ht="15" customHeight="1">
      <c r="A290" t="inlineStr">
        <is>
          <t>A 32669-2024</t>
        </is>
      </c>
      <c r="B290" s="1" t="n">
        <v>45514</v>
      </c>
      <c r="C290" s="1" t="n">
        <v>46167</v>
      </c>
      <c r="D290" t="inlineStr">
        <is>
          <t>GOTLANDS LÄN</t>
        </is>
      </c>
      <c r="E290" t="inlineStr">
        <is>
          <t>GOTLAND</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4639-2026</t>
        </is>
      </c>
      <c r="B291" s="1" t="n">
        <v>46048.39880787037</v>
      </c>
      <c r="C291" s="1" t="n">
        <v>46167</v>
      </c>
      <c r="D291" t="inlineStr">
        <is>
          <t>GOTLANDS LÄN</t>
        </is>
      </c>
      <c r="E291" t="inlineStr">
        <is>
          <t>GOTLAND</t>
        </is>
      </c>
      <c r="G291" t="n">
        <v>0.8</v>
      </c>
      <c r="H291" t="n">
        <v>0</v>
      </c>
      <c r="I291" t="n">
        <v>0</v>
      </c>
      <c r="J291" t="n">
        <v>0</v>
      </c>
      <c r="K291" t="n">
        <v>0</v>
      </c>
      <c r="L291" t="n">
        <v>0</v>
      </c>
      <c r="M291" t="n">
        <v>0</v>
      </c>
      <c r="N291" t="n">
        <v>0</v>
      </c>
      <c r="O291" t="n">
        <v>0</v>
      </c>
      <c r="P291" t="n">
        <v>0</v>
      </c>
      <c r="Q291" t="n">
        <v>0</v>
      </c>
      <c r="R291" s="2" t="inlineStr"/>
    </row>
    <row r="292" ht="15" customHeight="1">
      <c r="A292" t="inlineStr">
        <is>
          <t>A 35537-2025</t>
        </is>
      </c>
      <c r="B292" s="1" t="n">
        <v>45856</v>
      </c>
      <c r="C292" s="1" t="n">
        <v>46167</v>
      </c>
      <c r="D292" t="inlineStr">
        <is>
          <t>GOTLANDS LÄN</t>
        </is>
      </c>
      <c r="E292" t="inlineStr">
        <is>
          <t>GOTLAND</t>
        </is>
      </c>
      <c r="G292" t="n">
        <v>16.8</v>
      </c>
      <c r="H292" t="n">
        <v>0</v>
      </c>
      <c r="I292" t="n">
        <v>0</v>
      </c>
      <c r="J292" t="n">
        <v>0</v>
      </c>
      <c r="K292" t="n">
        <v>0</v>
      </c>
      <c r="L292" t="n">
        <v>0</v>
      </c>
      <c r="M292" t="n">
        <v>0</v>
      </c>
      <c r="N292" t="n">
        <v>0</v>
      </c>
      <c r="O292" t="n">
        <v>0</v>
      </c>
      <c r="P292" t="n">
        <v>0</v>
      </c>
      <c r="Q292" t="n">
        <v>0</v>
      </c>
      <c r="R292" s="2" t="inlineStr"/>
    </row>
    <row r="293" ht="15" customHeight="1">
      <c r="A293" t="inlineStr">
        <is>
          <t>A 30956-2024</t>
        </is>
      </c>
      <c r="B293" s="1" t="n">
        <v>45499.42527777778</v>
      </c>
      <c r="C293" s="1" t="n">
        <v>46167</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39849-2025</t>
        </is>
      </c>
      <c r="B294" s="1" t="n">
        <v>45891.58502314815</v>
      </c>
      <c r="C294" s="1" t="n">
        <v>46167</v>
      </c>
      <c r="D294" t="inlineStr">
        <is>
          <t>GOTLANDS LÄN</t>
        </is>
      </c>
      <c r="E294" t="inlineStr">
        <is>
          <t>GOTLAND</t>
        </is>
      </c>
      <c r="G294" t="n">
        <v>6.1</v>
      </c>
      <c r="H294" t="n">
        <v>0</v>
      </c>
      <c r="I294" t="n">
        <v>0</v>
      </c>
      <c r="J294" t="n">
        <v>0</v>
      </c>
      <c r="K294" t="n">
        <v>0</v>
      </c>
      <c r="L294" t="n">
        <v>0</v>
      </c>
      <c r="M294" t="n">
        <v>0</v>
      </c>
      <c r="N294" t="n">
        <v>0</v>
      </c>
      <c r="O294" t="n">
        <v>0</v>
      </c>
      <c r="P294" t="n">
        <v>0</v>
      </c>
      <c r="Q294" t="n">
        <v>0</v>
      </c>
      <c r="R294" s="2" t="inlineStr"/>
    </row>
    <row r="295" ht="15" customHeight="1">
      <c r="A295" t="inlineStr">
        <is>
          <t>A 17000-2026</t>
        </is>
      </c>
      <c r="B295" s="1" t="n">
        <v>46114.42690972222</v>
      </c>
      <c r="C295" s="1" t="n">
        <v>46167</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39814-2025</t>
        </is>
      </c>
      <c r="B296" s="1" t="n">
        <v>45891.52694444444</v>
      </c>
      <c r="C296" s="1" t="n">
        <v>46167</v>
      </c>
      <c r="D296" t="inlineStr">
        <is>
          <t>GOTLANDS LÄN</t>
        </is>
      </c>
      <c r="E296" t="inlineStr">
        <is>
          <t>GOTLAND</t>
        </is>
      </c>
      <c r="G296" t="n">
        <v>4.5</v>
      </c>
      <c r="H296" t="n">
        <v>0</v>
      </c>
      <c r="I296" t="n">
        <v>0</v>
      </c>
      <c r="J296" t="n">
        <v>0</v>
      </c>
      <c r="K296" t="n">
        <v>0</v>
      </c>
      <c r="L296" t="n">
        <v>0</v>
      </c>
      <c r="M296" t="n">
        <v>0</v>
      </c>
      <c r="N296" t="n">
        <v>0</v>
      </c>
      <c r="O296" t="n">
        <v>0</v>
      </c>
      <c r="P296" t="n">
        <v>0</v>
      </c>
      <c r="Q296" t="n">
        <v>0</v>
      </c>
      <c r="R296" s="2" t="inlineStr"/>
    </row>
    <row r="297" ht="15" customHeight="1">
      <c r="A297" t="inlineStr">
        <is>
          <t>A 39819-2025</t>
        </is>
      </c>
      <c r="B297" s="1" t="n">
        <v>45891.53418981482</v>
      </c>
      <c r="C297" s="1" t="n">
        <v>46167</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12596-2023</t>
        </is>
      </c>
      <c r="B298" s="1" t="n">
        <v>45000.43310185185</v>
      </c>
      <c r="C298" s="1" t="n">
        <v>46167</v>
      </c>
      <c r="D298" t="inlineStr">
        <is>
          <t>GOTLANDS LÄN</t>
        </is>
      </c>
      <c r="E298" t="inlineStr">
        <is>
          <t>GOTLAND</t>
        </is>
      </c>
      <c r="G298" t="n">
        <v>4.1</v>
      </c>
      <c r="H298" t="n">
        <v>0</v>
      </c>
      <c r="I298" t="n">
        <v>0</v>
      </c>
      <c r="J298" t="n">
        <v>0</v>
      </c>
      <c r="K298" t="n">
        <v>0</v>
      </c>
      <c r="L298" t="n">
        <v>0</v>
      </c>
      <c r="M298" t="n">
        <v>0</v>
      </c>
      <c r="N298" t="n">
        <v>0</v>
      </c>
      <c r="O298" t="n">
        <v>0</v>
      </c>
      <c r="P298" t="n">
        <v>0</v>
      </c>
      <c r="Q298" t="n">
        <v>0</v>
      </c>
      <c r="R298" s="2" t="inlineStr"/>
    </row>
    <row r="299" ht="15" customHeight="1">
      <c r="A299" t="inlineStr">
        <is>
          <t>A 16993-2026</t>
        </is>
      </c>
      <c r="B299" s="1" t="n">
        <v>46114.41918981481</v>
      </c>
      <c r="C299" s="1" t="n">
        <v>46167</v>
      </c>
      <c r="D299" t="inlineStr">
        <is>
          <t>GOTLANDS LÄN</t>
        </is>
      </c>
      <c r="E299" t="inlineStr">
        <is>
          <t>GOTLAND</t>
        </is>
      </c>
      <c r="G299" t="n">
        <v>3</v>
      </c>
      <c r="H299" t="n">
        <v>0</v>
      </c>
      <c r="I299" t="n">
        <v>0</v>
      </c>
      <c r="J299" t="n">
        <v>0</v>
      </c>
      <c r="K299" t="n">
        <v>0</v>
      </c>
      <c r="L299" t="n">
        <v>0</v>
      </c>
      <c r="M299" t="n">
        <v>0</v>
      </c>
      <c r="N299" t="n">
        <v>0</v>
      </c>
      <c r="O299" t="n">
        <v>0</v>
      </c>
      <c r="P299" t="n">
        <v>0</v>
      </c>
      <c r="Q299" t="n">
        <v>0</v>
      </c>
      <c r="R299" s="2" t="inlineStr"/>
    </row>
    <row r="300" ht="15" customHeight="1">
      <c r="A300" t="inlineStr">
        <is>
          <t>A 39752-2025</t>
        </is>
      </c>
      <c r="B300" s="1" t="n">
        <v>45891</v>
      </c>
      <c r="C300" s="1" t="n">
        <v>46167</v>
      </c>
      <c r="D300" t="inlineStr">
        <is>
          <t>GOTLANDS LÄN</t>
        </is>
      </c>
      <c r="E300" t="inlineStr">
        <is>
          <t>GOTLAND</t>
        </is>
      </c>
      <c r="G300" t="n">
        <v>5.3</v>
      </c>
      <c r="H300" t="n">
        <v>0</v>
      </c>
      <c r="I300" t="n">
        <v>0</v>
      </c>
      <c r="J300" t="n">
        <v>0</v>
      </c>
      <c r="K300" t="n">
        <v>0</v>
      </c>
      <c r="L300" t="n">
        <v>0</v>
      </c>
      <c r="M300" t="n">
        <v>0</v>
      </c>
      <c r="N300" t="n">
        <v>0</v>
      </c>
      <c r="O300" t="n">
        <v>0</v>
      </c>
      <c r="P300" t="n">
        <v>0</v>
      </c>
      <c r="Q300" t="n">
        <v>0</v>
      </c>
      <c r="R300" s="2" t="inlineStr"/>
    </row>
    <row r="301" ht="15" customHeight="1">
      <c r="A301" t="inlineStr">
        <is>
          <t>A 39816-2025</t>
        </is>
      </c>
      <c r="B301" s="1" t="n">
        <v>45891</v>
      </c>
      <c r="C301" s="1" t="n">
        <v>46167</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40372-2025</t>
        </is>
      </c>
      <c r="B302" s="1" t="n">
        <v>45895.5162037037</v>
      </c>
      <c r="C302" s="1" t="n">
        <v>46167</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30488-2025</t>
        </is>
      </c>
      <c r="B303" s="1" t="n">
        <v>45830</v>
      </c>
      <c r="C303" s="1" t="n">
        <v>46167</v>
      </c>
      <c r="D303" t="inlineStr">
        <is>
          <t>GOTLANDS LÄN</t>
        </is>
      </c>
      <c r="E303" t="inlineStr">
        <is>
          <t>GOTLAND</t>
        </is>
      </c>
      <c r="F303" t="inlineStr">
        <is>
          <t>Kyrkan</t>
        </is>
      </c>
      <c r="G303" t="n">
        <v>3.9</v>
      </c>
      <c r="H303" t="n">
        <v>0</v>
      </c>
      <c r="I303" t="n">
        <v>0</v>
      </c>
      <c r="J303" t="n">
        <v>0</v>
      </c>
      <c r="K303" t="n">
        <v>0</v>
      </c>
      <c r="L303" t="n">
        <v>0</v>
      </c>
      <c r="M303" t="n">
        <v>0</v>
      </c>
      <c r="N303" t="n">
        <v>0</v>
      </c>
      <c r="O303" t="n">
        <v>0</v>
      </c>
      <c r="P303" t="n">
        <v>0</v>
      </c>
      <c r="Q303" t="n">
        <v>0</v>
      </c>
      <c r="R303" s="2" t="inlineStr"/>
    </row>
    <row r="304" ht="15" customHeight="1">
      <c r="A304" t="inlineStr">
        <is>
          <t>A 15216-2025</t>
        </is>
      </c>
      <c r="B304" s="1" t="n">
        <v>45744</v>
      </c>
      <c r="C304" s="1" t="n">
        <v>46167</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40373-2025</t>
        </is>
      </c>
      <c r="B305" s="1" t="n">
        <v>45895.51821759259</v>
      </c>
      <c r="C305" s="1" t="n">
        <v>46167</v>
      </c>
      <c r="D305" t="inlineStr">
        <is>
          <t>GOTLANDS LÄN</t>
        </is>
      </c>
      <c r="E305" t="inlineStr">
        <is>
          <t>GOTLAND</t>
        </is>
      </c>
      <c r="G305" t="n">
        <v>0.6</v>
      </c>
      <c r="H305" t="n">
        <v>0</v>
      </c>
      <c r="I305" t="n">
        <v>0</v>
      </c>
      <c r="J305" t="n">
        <v>0</v>
      </c>
      <c r="K305" t="n">
        <v>0</v>
      </c>
      <c r="L305" t="n">
        <v>0</v>
      </c>
      <c r="M305" t="n">
        <v>0</v>
      </c>
      <c r="N305" t="n">
        <v>0</v>
      </c>
      <c r="O305" t="n">
        <v>0</v>
      </c>
      <c r="P305" t="n">
        <v>0</v>
      </c>
      <c r="Q305" t="n">
        <v>0</v>
      </c>
      <c r="R305" s="2" t="inlineStr"/>
    </row>
    <row r="306" ht="15" customHeight="1">
      <c r="A306" t="inlineStr">
        <is>
          <t>A 15001-2025</t>
        </is>
      </c>
      <c r="B306" s="1" t="n">
        <v>45743</v>
      </c>
      <c r="C306" s="1" t="n">
        <v>46167</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43790-2024</t>
        </is>
      </c>
      <c r="B307" s="1" t="n">
        <v>45571</v>
      </c>
      <c r="C307" s="1" t="n">
        <v>46167</v>
      </c>
      <c r="D307" t="inlineStr">
        <is>
          <t>GOTLANDS LÄN</t>
        </is>
      </c>
      <c r="E307" t="inlineStr">
        <is>
          <t>GOTLAND</t>
        </is>
      </c>
      <c r="G307" t="n">
        <v>3.5</v>
      </c>
      <c r="H307" t="n">
        <v>0</v>
      </c>
      <c r="I307" t="n">
        <v>0</v>
      </c>
      <c r="J307" t="n">
        <v>0</v>
      </c>
      <c r="K307" t="n">
        <v>0</v>
      </c>
      <c r="L307" t="n">
        <v>0</v>
      </c>
      <c r="M307" t="n">
        <v>0</v>
      </c>
      <c r="N307" t="n">
        <v>0</v>
      </c>
      <c r="O307" t="n">
        <v>0</v>
      </c>
      <c r="P307" t="n">
        <v>0</v>
      </c>
      <c r="Q307" t="n">
        <v>0</v>
      </c>
      <c r="R307" s="2" t="inlineStr"/>
    </row>
    <row r="308" ht="15" customHeight="1">
      <c r="A308" t="inlineStr">
        <is>
          <t>A 17847-2025</t>
        </is>
      </c>
      <c r="B308" s="1" t="n">
        <v>45758</v>
      </c>
      <c r="C308" s="1" t="n">
        <v>46167</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8045-2022</t>
        </is>
      </c>
      <c r="B309" s="1" t="n">
        <v>44609</v>
      </c>
      <c r="C309" s="1" t="n">
        <v>46167</v>
      </c>
      <c r="D309" t="inlineStr">
        <is>
          <t>GOTLANDS LÄN</t>
        </is>
      </c>
      <c r="E309" t="inlineStr">
        <is>
          <t>GOTLAND</t>
        </is>
      </c>
      <c r="G309" t="n">
        <v>7</v>
      </c>
      <c r="H309" t="n">
        <v>0</v>
      </c>
      <c r="I309" t="n">
        <v>0</v>
      </c>
      <c r="J309" t="n">
        <v>0</v>
      </c>
      <c r="K309" t="n">
        <v>0</v>
      </c>
      <c r="L309" t="n">
        <v>0</v>
      </c>
      <c r="M309" t="n">
        <v>0</v>
      </c>
      <c r="N309" t="n">
        <v>0</v>
      </c>
      <c r="O309" t="n">
        <v>0</v>
      </c>
      <c r="P309" t="n">
        <v>0</v>
      </c>
      <c r="Q309" t="n">
        <v>0</v>
      </c>
      <c r="R309" s="2" t="inlineStr"/>
    </row>
    <row r="310" ht="15" customHeight="1">
      <c r="A310" t="inlineStr">
        <is>
          <t>A 18742-2025</t>
        </is>
      </c>
      <c r="B310" s="1" t="n">
        <v>45763</v>
      </c>
      <c r="C310" s="1" t="n">
        <v>46167</v>
      </c>
      <c r="D310" t="inlineStr">
        <is>
          <t>GOTLANDS LÄN</t>
        </is>
      </c>
      <c r="E310" t="inlineStr">
        <is>
          <t>GOTLAND</t>
        </is>
      </c>
      <c r="G310" t="n">
        <v>3.4</v>
      </c>
      <c r="H310" t="n">
        <v>0</v>
      </c>
      <c r="I310" t="n">
        <v>0</v>
      </c>
      <c r="J310" t="n">
        <v>0</v>
      </c>
      <c r="K310" t="n">
        <v>0</v>
      </c>
      <c r="L310" t="n">
        <v>0</v>
      </c>
      <c r="M310" t="n">
        <v>0</v>
      </c>
      <c r="N310" t="n">
        <v>0</v>
      </c>
      <c r="O310" t="n">
        <v>0</v>
      </c>
      <c r="P310" t="n">
        <v>0</v>
      </c>
      <c r="Q310" t="n">
        <v>0</v>
      </c>
      <c r="R310" s="2" t="inlineStr"/>
    </row>
    <row r="311" ht="15" customHeight="1">
      <c r="A311" t="inlineStr">
        <is>
          <t>A 35129-2025</t>
        </is>
      </c>
      <c r="B311" s="1" t="n">
        <v>45852.63224537037</v>
      </c>
      <c r="C311" s="1" t="n">
        <v>46167</v>
      </c>
      <c r="D311" t="inlineStr">
        <is>
          <t>GOTLANDS LÄN</t>
        </is>
      </c>
      <c r="E311" t="inlineStr">
        <is>
          <t>GOTLAND</t>
        </is>
      </c>
      <c r="G311" t="n">
        <v>3.2</v>
      </c>
      <c r="H311" t="n">
        <v>0</v>
      </c>
      <c r="I311" t="n">
        <v>0</v>
      </c>
      <c r="J311" t="n">
        <v>0</v>
      </c>
      <c r="K311" t="n">
        <v>0</v>
      </c>
      <c r="L311" t="n">
        <v>0</v>
      </c>
      <c r="M311" t="n">
        <v>0</v>
      </c>
      <c r="N311" t="n">
        <v>0</v>
      </c>
      <c r="O311" t="n">
        <v>0</v>
      </c>
      <c r="P311" t="n">
        <v>0</v>
      </c>
      <c r="Q311" t="n">
        <v>0</v>
      </c>
      <c r="R311" s="2" t="inlineStr"/>
    </row>
    <row r="312" ht="15" customHeight="1">
      <c r="A312" t="inlineStr">
        <is>
          <t>A 62836-2025</t>
        </is>
      </c>
      <c r="B312" s="1" t="n">
        <v>46008</v>
      </c>
      <c r="C312" s="1" t="n">
        <v>46167</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40103-2025</t>
        </is>
      </c>
      <c r="B313" s="1" t="n">
        <v>45894.4880324074</v>
      </c>
      <c r="C313" s="1" t="n">
        <v>46167</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22887-2026</t>
        </is>
      </c>
      <c r="B314" s="1" t="n">
        <v>46160.47591435185</v>
      </c>
      <c r="C314" s="1" t="n">
        <v>46167</v>
      </c>
      <c r="D314" t="inlineStr">
        <is>
          <t>GOTLANDS LÄN</t>
        </is>
      </c>
      <c r="E314" t="inlineStr">
        <is>
          <t>GOTLAND</t>
        </is>
      </c>
      <c r="G314" t="n">
        <v>3.6</v>
      </c>
      <c r="H314" t="n">
        <v>0</v>
      </c>
      <c r="I314" t="n">
        <v>0</v>
      </c>
      <c r="J314" t="n">
        <v>0</v>
      </c>
      <c r="K314" t="n">
        <v>0</v>
      </c>
      <c r="L314" t="n">
        <v>0</v>
      </c>
      <c r="M314" t="n">
        <v>0</v>
      </c>
      <c r="N314" t="n">
        <v>0</v>
      </c>
      <c r="O314" t="n">
        <v>0</v>
      </c>
      <c r="P314" t="n">
        <v>0</v>
      </c>
      <c r="Q314" t="n">
        <v>0</v>
      </c>
      <c r="R314" s="2" t="inlineStr"/>
    </row>
    <row r="315" ht="15" customHeight="1">
      <c r="A315" t="inlineStr">
        <is>
          <t>A 63152-2025</t>
        </is>
      </c>
      <c r="B315" s="1" t="n">
        <v>46010</v>
      </c>
      <c r="C315" s="1" t="n">
        <v>46167</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40499-2025</t>
        </is>
      </c>
      <c r="B316" s="1" t="n">
        <v>45896.32517361111</v>
      </c>
      <c r="C316" s="1" t="n">
        <v>46167</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41551-2025</t>
        </is>
      </c>
      <c r="B317" s="1" t="n">
        <v>45901.58854166666</v>
      </c>
      <c r="C317" s="1" t="n">
        <v>46167</v>
      </c>
      <c r="D317" t="inlineStr">
        <is>
          <t>GOTLANDS LÄN</t>
        </is>
      </c>
      <c r="E317" t="inlineStr">
        <is>
          <t>GOTLAND</t>
        </is>
      </c>
      <c r="G317" t="n">
        <v>5.6</v>
      </c>
      <c r="H317" t="n">
        <v>0</v>
      </c>
      <c r="I317" t="n">
        <v>0</v>
      </c>
      <c r="J317" t="n">
        <v>0</v>
      </c>
      <c r="K317" t="n">
        <v>0</v>
      </c>
      <c r="L317" t="n">
        <v>0</v>
      </c>
      <c r="M317" t="n">
        <v>0</v>
      </c>
      <c r="N317" t="n">
        <v>0</v>
      </c>
      <c r="O317" t="n">
        <v>0</v>
      </c>
      <c r="P317" t="n">
        <v>0</v>
      </c>
      <c r="Q317" t="n">
        <v>0</v>
      </c>
      <c r="R317" s="2" t="inlineStr"/>
    </row>
    <row r="318" ht="15" customHeight="1">
      <c r="A318" t="inlineStr">
        <is>
          <t>A 5863-2026</t>
        </is>
      </c>
      <c r="B318" s="1" t="n">
        <v>46052</v>
      </c>
      <c r="C318" s="1" t="n">
        <v>46167</v>
      </c>
      <c r="D318" t="inlineStr">
        <is>
          <t>GOTLANDS LÄN</t>
        </is>
      </c>
      <c r="E318" t="inlineStr">
        <is>
          <t>GOTLAND</t>
        </is>
      </c>
      <c r="G318" t="n">
        <v>1.8</v>
      </c>
      <c r="H318" t="n">
        <v>0</v>
      </c>
      <c r="I318" t="n">
        <v>0</v>
      </c>
      <c r="J318" t="n">
        <v>0</v>
      </c>
      <c r="K318" t="n">
        <v>0</v>
      </c>
      <c r="L318" t="n">
        <v>0</v>
      </c>
      <c r="M318" t="n">
        <v>0</v>
      </c>
      <c r="N318" t="n">
        <v>0</v>
      </c>
      <c r="O318" t="n">
        <v>0</v>
      </c>
      <c r="P318" t="n">
        <v>0</v>
      </c>
      <c r="Q318" t="n">
        <v>0</v>
      </c>
      <c r="R318" s="2" t="inlineStr"/>
    </row>
    <row r="319" ht="15" customHeight="1">
      <c r="A319" t="inlineStr">
        <is>
          <t>A 39278-2025</t>
        </is>
      </c>
      <c r="B319" s="1" t="n">
        <v>45889</v>
      </c>
      <c r="C319" s="1" t="n">
        <v>46167</v>
      </c>
      <c r="D319" t="inlineStr">
        <is>
          <t>GOTLANDS LÄN</t>
        </is>
      </c>
      <c r="E319" t="inlineStr">
        <is>
          <t>GOTLAND</t>
        </is>
      </c>
      <c r="G319" t="n">
        <v>3.7</v>
      </c>
      <c r="H319" t="n">
        <v>0</v>
      </c>
      <c r="I319" t="n">
        <v>0</v>
      </c>
      <c r="J319" t="n">
        <v>0</v>
      </c>
      <c r="K319" t="n">
        <v>0</v>
      </c>
      <c r="L319" t="n">
        <v>0</v>
      </c>
      <c r="M319" t="n">
        <v>0</v>
      </c>
      <c r="N319" t="n">
        <v>0</v>
      </c>
      <c r="O319" t="n">
        <v>0</v>
      </c>
      <c r="P319" t="n">
        <v>0</v>
      </c>
      <c r="Q319" t="n">
        <v>0</v>
      </c>
      <c r="R319" s="2" t="inlineStr"/>
    </row>
    <row r="320" ht="15" customHeight="1">
      <c r="A320" t="inlineStr">
        <is>
          <t>A 41435-2025</t>
        </is>
      </c>
      <c r="B320" s="1" t="n">
        <v>45901.39974537037</v>
      </c>
      <c r="C320" s="1" t="n">
        <v>46167</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23103-2026</t>
        </is>
      </c>
      <c r="B321" s="1" t="n">
        <v>46161.57108796296</v>
      </c>
      <c r="C321" s="1" t="n">
        <v>46167</v>
      </c>
      <c r="D321" t="inlineStr">
        <is>
          <t>GOTLANDS LÄN</t>
        </is>
      </c>
      <c r="E321" t="inlineStr">
        <is>
          <t>GOTLAND</t>
        </is>
      </c>
      <c r="G321" t="n">
        <v>2.3</v>
      </c>
      <c r="H321" t="n">
        <v>0</v>
      </c>
      <c r="I321" t="n">
        <v>0</v>
      </c>
      <c r="J321" t="n">
        <v>0</v>
      </c>
      <c r="K321" t="n">
        <v>0</v>
      </c>
      <c r="L321" t="n">
        <v>0</v>
      </c>
      <c r="M321" t="n">
        <v>0</v>
      </c>
      <c r="N321" t="n">
        <v>0</v>
      </c>
      <c r="O321" t="n">
        <v>0</v>
      </c>
      <c r="P321" t="n">
        <v>0</v>
      </c>
      <c r="Q321" t="n">
        <v>0</v>
      </c>
      <c r="R321" s="2" t="inlineStr"/>
    </row>
    <row r="322" ht="15" customHeight="1">
      <c r="A322" t="inlineStr">
        <is>
          <t>A 999-2024</t>
        </is>
      </c>
      <c r="B322" s="1" t="n">
        <v>45301</v>
      </c>
      <c r="C322" s="1" t="n">
        <v>46167</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65901-2021</t>
        </is>
      </c>
      <c r="B323" s="1" t="n">
        <v>44516</v>
      </c>
      <c r="C323" s="1" t="n">
        <v>46167</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47762-2023</t>
        </is>
      </c>
      <c r="B324" s="1" t="n">
        <v>45203.86256944444</v>
      </c>
      <c r="C324" s="1" t="n">
        <v>46167</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17935-2026</t>
        </is>
      </c>
      <c r="B325" s="1" t="n">
        <v>46122</v>
      </c>
      <c r="C325" s="1" t="n">
        <v>46167</v>
      </c>
      <c r="D325" t="inlineStr">
        <is>
          <t>GOTLANDS LÄN</t>
        </is>
      </c>
      <c r="E325" t="inlineStr">
        <is>
          <t>GOTLAND</t>
        </is>
      </c>
      <c r="G325" t="n">
        <v>0.9</v>
      </c>
      <c r="H325" t="n">
        <v>0</v>
      </c>
      <c r="I325" t="n">
        <v>0</v>
      </c>
      <c r="J325" t="n">
        <v>0</v>
      </c>
      <c r="K325" t="n">
        <v>0</v>
      </c>
      <c r="L325" t="n">
        <v>0</v>
      </c>
      <c r="M325" t="n">
        <v>0</v>
      </c>
      <c r="N325" t="n">
        <v>0</v>
      </c>
      <c r="O325" t="n">
        <v>0</v>
      </c>
      <c r="P325" t="n">
        <v>0</v>
      </c>
      <c r="Q325" t="n">
        <v>0</v>
      </c>
      <c r="R325" s="2" t="inlineStr"/>
    </row>
    <row r="326" ht="15" customHeight="1">
      <c r="A326" t="inlineStr">
        <is>
          <t>A 17943-2026</t>
        </is>
      </c>
      <c r="B326" s="1" t="n">
        <v>46122</v>
      </c>
      <c r="C326" s="1" t="n">
        <v>46167</v>
      </c>
      <c r="D326" t="inlineStr">
        <is>
          <t>GOTLANDS LÄN</t>
        </is>
      </c>
      <c r="E326" t="inlineStr">
        <is>
          <t>GOTLAND</t>
        </is>
      </c>
      <c r="G326" t="n">
        <v>2.8</v>
      </c>
      <c r="H326" t="n">
        <v>0</v>
      </c>
      <c r="I326" t="n">
        <v>0</v>
      </c>
      <c r="J326" t="n">
        <v>0</v>
      </c>
      <c r="K326" t="n">
        <v>0</v>
      </c>
      <c r="L326" t="n">
        <v>0</v>
      </c>
      <c r="M326" t="n">
        <v>0</v>
      </c>
      <c r="N326" t="n">
        <v>0</v>
      </c>
      <c r="O326" t="n">
        <v>0</v>
      </c>
      <c r="P326" t="n">
        <v>0</v>
      </c>
      <c r="Q326" t="n">
        <v>0</v>
      </c>
      <c r="R326" s="2" t="inlineStr"/>
    </row>
    <row r="327" ht="15" customHeight="1">
      <c r="A327" t="inlineStr">
        <is>
          <t>A 30489-2025</t>
        </is>
      </c>
      <c r="B327" s="1" t="n">
        <v>45830</v>
      </c>
      <c r="C327" s="1" t="n">
        <v>46167</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21142-2025</t>
        </is>
      </c>
      <c r="B328" s="1" t="n">
        <v>45779</v>
      </c>
      <c r="C328" s="1" t="n">
        <v>46167</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23504-2026</t>
        </is>
      </c>
      <c r="B329" s="1" t="n">
        <v>46163.45875</v>
      </c>
      <c r="C329" s="1" t="n">
        <v>46167</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6108-2025</t>
        </is>
      </c>
      <c r="B330" s="1" t="n">
        <v>45698.29880787037</v>
      </c>
      <c r="C330" s="1" t="n">
        <v>46167</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17343-2025</t>
        </is>
      </c>
      <c r="B331" s="1" t="n">
        <v>45756.6687037037</v>
      </c>
      <c r="C331" s="1" t="n">
        <v>46167</v>
      </c>
      <c r="D331" t="inlineStr">
        <is>
          <t>GOTLANDS LÄN</t>
        </is>
      </c>
      <c r="E331" t="inlineStr">
        <is>
          <t>GOTLAND</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18938-2025</t>
        </is>
      </c>
      <c r="B332" s="1" t="n">
        <v>45764.49172453704</v>
      </c>
      <c r="C332" s="1" t="n">
        <v>46167</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20307-2025</t>
        </is>
      </c>
      <c r="B333" s="1" t="n">
        <v>45774.95546296296</v>
      </c>
      <c r="C333" s="1" t="n">
        <v>46167</v>
      </c>
      <c r="D333" t="inlineStr">
        <is>
          <t>GOTLANDS LÄN</t>
        </is>
      </c>
      <c r="E333" t="inlineStr">
        <is>
          <t>GOTLAND</t>
        </is>
      </c>
      <c r="G333" t="n">
        <v>6.8</v>
      </c>
      <c r="H333" t="n">
        <v>0</v>
      </c>
      <c r="I333" t="n">
        <v>0</v>
      </c>
      <c r="J333" t="n">
        <v>0</v>
      </c>
      <c r="K333" t="n">
        <v>0</v>
      </c>
      <c r="L333" t="n">
        <v>0</v>
      </c>
      <c r="M333" t="n">
        <v>0</v>
      </c>
      <c r="N333" t="n">
        <v>0</v>
      </c>
      <c r="O333" t="n">
        <v>0</v>
      </c>
      <c r="P333" t="n">
        <v>0</v>
      </c>
      <c r="Q333" t="n">
        <v>0</v>
      </c>
      <c r="R333" s="2" t="inlineStr"/>
    </row>
    <row r="334" ht="15" customHeight="1">
      <c r="A334" t="inlineStr">
        <is>
          <t>A 42608-2025</t>
        </is>
      </c>
      <c r="B334" s="1" t="n">
        <v>45905</v>
      </c>
      <c r="C334" s="1" t="n">
        <v>46167</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40294-2022</t>
        </is>
      </c>
      <c r="B335" s="1" t="n">
        <v>44821</v>
      </c>
      <c r="C335" s="1" t="n">
        <v>46167</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27602-2023</t>
        </is>
      </c>
      <c r="B336" s="1" t="n">
        <v>45097</v>
      </c>
      <c r="C336" s="1" t="n">
        <v>46167</v>
      </c>
      <c r="D336" t="inlineStr">
        <is>
          <t>GOTLANDS LÄN</t>
        </is>
      </c>
      <c r="E336" t="inlineStr">
        <is>
          <t>GOTLAND</t>
        </is>
      </c>
      <c r="G336" t="n">
        <v>2.7</v>
      </c>
      <c r="H336" t="n">
        <v>0</v>
      </c>
      <c r="I336" t="n">
        <v>0</v>
      </c>
      <c r="J336" t="n">
        <v>0</v>
      </c>
      <c r="K336" t="n">
        <v>0</v>
      </c>
      <c r="L336" t="n">
        <v>0</v>
      </c>
      <c r="M336" t="n">
        <v>0</v>
      </c>
      <c r="N336" t="n">
        <v>0</v>
      </c>
      <c r="O336" t="n">
        <v>0</v>
      </c>
      <c r="P336" t="n">
        <v>0</v>
      </c>
      <c r="Q336" t="n">
        <v>0</v>
      </c>
      <c r="R336" s="2" t="inlineStr"/>
    </row>
    <row r="337" ht="15" customHeight="1">
      <c r="A337" t="inlineStr">
        <is>
          <t>A 62674-2025</t>
        </is>
      </c>
      <c r="B337" s="1" t="n">
        <v>46008</v>
      </c>
      <c r="C337" s="1" t="n">
        <v>46167</v>
      </c>
      <c r="D337" t="inlineStr">
        <is>
          <t>GOTLANDS LÄN</t>
        </is>
      </c>
      <c r="E337" t="inlineStr">
        <is>
          <t>GOTLAND</t>
        </is>
      </c>
      <c r="G337" t="n">
        <v>5</v>
      </c>
      <c r="H337" t="n">
        <v>0</v>
      </c>
      <c r="I337" t="n">
        <v>0</v>
      </c>
      <c r="J337" t="n">
        <v>0</v>
      </c>
      <c r="K337" t="n">
        <v>0</v>
      </c>
      <c r="L337" t="n">
        <v>0</v>
      </c>
      <c r="M337" t="n">
        <v>0</v>
      </c>
      <c r="N337" t="n">
        <v>0</v>
      </c>
      <c r="O337" t="n">
        <v>0</v>
      </c>
      <c r="P337" t="n">
        <v>0</v>
      </c>
      <c r="Q337" t="n">
        <v>0</v>
      </c>
      <c r="R337" s="2" t="inlineStr"/>
    </row>
    <row r="338" ht="15" customHeight="1">
      <c r="A338" t="inlineStr">
        <is>
          <t>A 58780-2024</t>
        </is>
      </c>
      <c r="B338" s="1" t="n">
        <v>45635.84113425926</v>
      </c>
      <c r="C338" s="1" t="n">
        <v>46167</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12322-2025</t>
        </is>
      </c>
      <c r="B339" s="1" t="n">
        <v>45730</v>
      </c>
      <c r="C339" s="1" t="n">
        <v>46167</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16373-2025</t>
        </is>
      </c>
      <c r="B340" s="1" t="n">
        <v>45751</v>
      </c>
      <c r="C340" s="1" t="n">
        <v>46167</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18993-2025</t>
        </is>
      </c>
      <c r="B341" s="1" t="n">
        <v>45764</v>
      </c>
      <c r="C341" s="1" t="n">
        <v>46167</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30135-2025</t>
        </is>
      </c>
      <c r="B342" s="1" t="n">
        <v>45826</v>
      </c>
      <c r="C342" s="1" t="n">
        <v>46167</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24192-2023</t>
        </is>
      </c>
      <c r="B343" s="1" t="n">
        <v>45079</v>
      </c>
      <c r="C343" s="1" t="n">
        <v>46167</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30282-2022</t>
        </is>
      </c>
      <c r="B344" s="1" t="n">
        <v>44760</v>
      </c>
      <c r="C344" s="1" t="n">
        <v>46167</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10158-2025</t>
        </is>
      </c>
      <c r="B345" s="1" t="n">
        <v>45719</v>
      </c>
      <c r="C345" s="1" t="n">
        <v>46167</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7835-2024</t>
        </is>
      </c>
      <c r="B346" s="1" t="n">
        <v>45349.83138888889</v>
      </c>
      <c r="C346" s="1" t="n">
        <v>46167</v>
      </c>
      <c r="D346" t="inlineStr">
        <is>
          <t>GOTLANDS LÄN</t>
        </is>
      </c>
      <c r="E346" t="inlineStr">
        <is>
          <t>GOTLAND</t>
        </is>
      </c>
      <c r="G346" t="n">
        <v>3.8</v>
      </c>
      <c r="H346" t="n">
        <v>0</v>
      </c>
      <c r="I346" t="n">
        <v>0</v>
      </c>
      <c r="J346" t="n">
        <v>0</v>
      </c>
      <c r="K346" t="n">
        <v>0</v>
      </c>
      <c r="L346" t="n">
        <v>0</v>
      </c>
      <c r="M346" t="n">
        <v>0</v>
      </c>
      <c r="N346" t="n">
        <v>0</v>
      </c>
      <c r="O346" t="n">
        <v>0</v>
      </c>
      <c r="P346" t="n">
        <v>0</v>
      </c>
      <c r="Q346" t="n">
        <v>0</v>
      </c>
      <c r="R346" s="2" t="inlineStr"/>
    </row>
    <row r="347" ht="15" customHeight="1">
      <c r="A347" t="inlineStr">
        <is>
          <t>A 10650-2022</t>
        </is>
      </c>
      <c r="B347" s="1" t="n">
        <v>44624.57945601852</v>
      </c>
      <c r="C347" s="1" t="n">
        <v>46167</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43911-2025</t>
        </is>
      </c>
      <c r="B348" s="1" t="n">
        <v>45914.3881712963</v>
      </c>
      <c r="C348" s="1" t="n">
        <v>46167</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26810-2021</t>
        </is>
      </c>
      <c r="B349" s="1" t="n">
        <v>44349.55087962963</v>
      </c>
      <c r="C349" s="1" t="n">
        <v>46167</v>
      </c>
      <c r="D349" t="inlineStr">
        <is>
          <t>GOTLANDS LÄN</t>
        </is>
      </c>
      <c r="E349" t="inlineStr">
        <is>
          <t>GOTLAND</t>
        </is>
      </c>
      <c r="G349" t="n">
        <v>3.5</v>
      </c>
      <c r="H349" t="n">
        <v>0</v>
      </c>
      <c r="I349" t="n">
        <v>0</v>
      </c>
      <c r="J349" t="n">
        <v>0</v>
      </c>
      <c r="K349" t="n">
        <v>0</v>
      </c>
      <c r="L349" t="n">
        <v>0</v>
      </c>
      <c r="M349" t="n">
        <v>0</v>
      </c>
      <c r="N349" t="n">
        <v>0</v>
      </c>
      <c r="O349" t="n">
        <v>0</v>
      </c>
      <c r="P349" t="n">
        <v>0</v>
      </c>
      <c r="Q349" t="n">
        <v>0</v>
      </c>
      <c r="R349" s="2" t="inlineStr"/>
    </row>
    <row r="350" ht="15" customHeight="1">
      <c r="A350" t="inlineStr">
        <is>
          <t>A 12599-2025</t>
        </is>
      </c>
      <c r="B350" s="1" t="n">
        <v>45733.29546296296</v>
      </c>
      <c r="C350" s="1" t="n">
        <v>46167</v>
      </c>
      <c r="D350" t="inlineStr">
        <is>
          <t>GOTLANDS LÄN</t>
        </is>
      </c>
      <c r="E350" t="inlineStr">
        <is>
          <t>GOTLAND</t>
        </is>
      </c>
      <c r="G350" t="n">
        <v>4.7</v>
      </c>
      <c r="H350" t="n">
        <v>0</v>
      </c>
      <c r="I350" t="n">
        <v>0</v>
      </c>
      <c r="J350" t="n">
        <v>0</v>
      </c>
      <c r="K350" t="n">
        <v>0</v>
      </c>
      <c r="L350" t="n">
        <v>0</v>
      </c>
      <c r="M350" t="n">
        <v>0</v>
      </c>
      <c r="N350" t="n">
        <v>0</v>
      </c>
      <c r="O350" t="n">
        <v>0</v>
      </c>
      <c r="P350" t="n">
        <v>0</v>
      </c>
      <c r="Q350" t="n">
        <v>0</v>
      </c>
      <c r="R350" s="2" t="inlineStr"/>
    </row>
    <row r="351" ht="15" customHeight="1">
      <c r="A351" t="inlineStr">
        <is>
          <t>A 43951-2025</t>
        </is>
      </c>
      <c r="B351" s="1" t="n">
        <v>45915.38119212963</v>
      </c>
      <c r="C351" s="1" t="n">
        <v>46167</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44410-2025</t>
        </is>
      </c>
      <c r="B352" s="1" t="n">
        <v>45916.53699074074</v>
      </c>
      <c r="C352" s="1" t="n">
        <v>46167</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44405-2025</t>
        </is>
      </c>
      <c r="B353" s="1" t="n">
        <v>45916.52405092592</v>
      </c>
      <c r="C353" s="1" t="n">
        <v>46167</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28425-2023</t>
        </is>
      </c>
      <c r="B354" s="1" t="n">
        <v>45102</v>
      </c>
      <c r="C354" s="1" t="n">
        <v>46167</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13037-2025</t>
        </is>
      </c>
      <c r="B355" s="1" t="n">
        <v>45734</v>
      </c>
      <c r="C355" s="1" t="n">
        <v>46167</v>
      </c>
      <c r="D355" t="inlineStr">
        <is>
          <t>GOTLANDS LÄN</t>
        </is>
      </c>
      <c r="E355" t="inlineStr">
        <is>
          <t>GOTLAND</t>
        </is>
      </c>
      <c r="G355" t="n">
        <v>9.5</v>
      </c>
      <c r="H355" t="n">
        <v>0</v>
      </c>
      <c r="I355" t="n">
        <v>0</v>
      </c>
      <c r="J355" t="n">
        <v>0</v>
      </c>
      <c r="K355" t="n">
        <v>0</v>
      </c>
      <c r="L355" t="n">
        <v>0</v>
      </c>
      <c r="M355" t="n">
        <v>0</v>
      </c>
      <c r="N355" t="n">
        <v>0</v>
      </c>
      <c r="O355" t="n">
        <v>0</v>
      </c>
      <c r="P355" t="n">
        <v>0</v>
      </c>
      <c r="Q355" t="n">
        <v>0</v>
      </c>
      <c r="R355" s="2" t="inlineStr"/>
    </row>
    <row r="356" ht="15" customHeight="1">
      <c r="A356" t="inlineStr">
        <is>
          <t>A 10746-2025</t>
        </is>
      </c>
      <c r="B356" s="1" t="n">
        <v>45722.42766203704</v>
      </c>
      <c r="C356" s="1" t="n">
        <v>46167</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26391-2025</t>
        </is>
      </c>
      <c r="B357" s="1" t="n">
        <v>45806</v>
      </c>
      <c r="C357" s="1" t="n">
        <v>46167</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46836-2025</t>
        </is>
      </c>
      <c r="B358" s="1" t="n">
        <v>45928.31511574074</v>
      </c>
      <c r="C358" s="1" t="n">
        <v>46167</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46167</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43229-2023</t>
        </is>
      </c>
      <c r="B360" s="1" t="n">
        <v>45183.46704861111</v>
      </c>
      <c r="C360" s="1" t="n">
        <v>46167</v>
      </c>
      <c r="D360" t="inlineStr">
        <is>
          <t>GOTLANDS LÄN</t>
        </is>
      </c>
      <c r="E360" t="inlineStr">
        <is>
          <t>GOTLAND</t>
        </is>
      </c>
      <c r="G360" t="n">
        <v>7.1</v>
      </c>
      <c r="H360" t="n">
        <v>0</v>
      </c>
      <c r="I360" t="n">
        <v>0</v>
      </c>
      <c r="J360" t="n">
        <v>0</v>
      </c>
      <c r="K360" t="n">
        <v>0</v>
      </c>
      <c r="L360" t="n">
        <v>0</v>
      </c>
      <c r="M360" t="n">
        <v>0</v>
      </c>
      <c r="N360" t="n">
        <v>0</v>
      </c>
      <c r="O360" t="n">
        <v>0</v>
      </c>
      <c r="P360" t="n">
        <v>0</v>
      </c>
      <c r="Q360" t="n">
        <v>0</v>
      </c>
      <c r="R360" s="2" t="inlineStr"/>
    </row>
    <row r="361" ht="15" customHeight="1">
      <c r="A361" t="inlineStr">
        <is>
          <t>A 41038-2023</t>
        </is>
      </c>
      <c r="B361" s="1" t="n">
        <v>45173.60959490741</v>
      </c>
      <c r="C361" s="1" t="n">
        <v>46167</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32378-2025</t>
        </is>
      </c>
      <c r="B362" s="1" t="n">
        <v>45837</v>
      </c>
      <c r="C362" s="1" t="n">
        <v>46167</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35550-2025</t>
        </is>
      </c>
      <c r="B363" s="1" t="n">
        <v>45856.49324074074</v>
      </c>
      <c r="C363" s="1" t="n">
        <v>46167</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47578-2025</t>
        </is>
      </c>
      <c r="B364" s="1" t="n">
        <v>45931</v>
      </c>
      <c r="C364" s="1" t="n">
        <v>46167</v>
      </c>
      <c r="D364" t="inlineStr">
        <is>
          <t>GOTLANDS LÄN</t>
        </is>
      </c>
      <c r="E364" t="inlineStr">
        <is>
          <t>GOTLAND</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24966-2023</t>
        </is>
      </c>
      <c r="B365" s="1" t="n">
        <v>45085</v>
      </c>
      <c r="C365" s="1" t="n">
        <v>46167</v>
      </c>
      <c r="D365" t="inlineStr">
        <is>
          <t>GOTLANDS LÄN</t>
        </is>
      </c>
      <c r="E365" t="inlineStr">
        <is>
          <t>GOTLAND</t>
        </is>
      </c>
      <c r="G365" t="n">
        <v>7</v>
      </c>
      <c r="H365" t="n">
        <v>0</v>
      </c>
      <c r="I365" t="n">
        <v>0</v>
      </c>
      <c r="J365" t="n">
        <v>0</v>
      </c>
      <c r="K365" t="n">
        <v>0</v>
      </c>
      <c r="L365" t="n">
        <v>0</v>
      </c>
      <c r="M365" t="n">
        <v>0</v>
      </c>
      <c r="N365" t="n">
        <v>0</v>
      </c>
      <c r="O365" t="n">
        <v>0</v>
      </c>
      <c r="P365" t="n">
        <v>0</v>
      </c>
      <c r="Q365" t="n">
        <v>0</v>
      </c>
      <c r="R365" s="2" t="inlineStr"/>
    </row>
    <row r="366" ht="15" customHeight="1">
      <c r="A366" t="inlineStr">
        <is>
          <t>A 33011-2025</t>
        </is>
      </c>
      <c r="B366" s="1" t="n">
        <v>45840</v>
      </c>
      <c r="C366" s="1" t="n">
        <v>46167</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57652-2023</t>
        </is>
      </c>
      <c r="B367" s="1" t="n">
        <v>45246</v>
      </c>
      <c r="C367" s="1" t="n">
        <v>46167</v>
      </c>
      <c r="D367" t="inlineStr">
        <is>
          <t>GOTLANDS LÄN</t>
        </is>
      </c>
      <c r="E367" t="inlineStr">
        <is>
          <t>GOTLAND</t>
        </is>
      </c>
      <c r="G367" t="n">
        <v>7.2</v>
      </c>
      <c r="H367" t="n">
        <v>0</v>
      </c>
      <c r="I367" t="n">
        <v>0</v>
      </c>
      <c r="J367" t="n">
        <v>0</v>
      </c>
      <c r="K367" t="n">
        <v>0</v>
      </c>
      <c r="L367" t="n">
        <v>0</v>
      </c>
      <c r="M367" t="n">
        <v>0</v>
      </c>
      <c r="N367" t="n">
        <v>0</v>
      </c>
      <c r="O367" t="n">
        <v>0</v>
      </c>
      <c r="P367" t="n">
        <v>0</v>
      </c>
      <c r="Q367" t="n">
        <v>0</v>
      </c>
      <c r="R367" s="2" t="inlineStr"/>
    </row>
    <row r="368" ht="15" customHeight="1">
      <c r="A368" t="inlineStr">
        <is>
          <t>A 49690-2025</t>
        </is>
      </c>
      <c r="B368" s="1" t="n">
        <v>45939.66730324074</v>
      </c>
      <c r="C368" s="1" t="n">
        <v>46167</v>
      </c>
      <c r="D368" t="inlineStr">
        <is>
          <t>GOTLANDS LÄN</t>
        </is>
      </c>
      <c r="E368" t="inlineStr">
        <is>
          <t>GOTLAND</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46189-2022</t>
        </is>
      </c>
      <c r="B369" s="1" t="n">
        <v>44847</v>
      </c>
      <c r="C369" s="1" t="n">
        <v>46167</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57522-2022</t>
        </is>
      </c>
      <c r="B370" s="1" t="n">
        <v>44896</v>
      </c>
      <c r="C370" s="1" t="n">
        <v>46167</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14797-2024</t>
        </is>
      </c>
      <c r="B371" s="1" t="n">
        <v>45397.87030092593</v>
      </c>
      <c r="C371" s="1" t="n">
        <v>46167</v>
      </c>
      <c r="D371" t="inlineStr">
        <is>
          <t>GOTLANDS LÄN</t>
        </is>
      </c>
      <c r="E371" t="inlineStr">
        <is>
          <t>GOTLAND</t>
        </is>
      </c>
      <c r="G371" t="n">
        <v>8.1</v>
      </c>
      <c r="H371" t="n">
        <v>0</v>
      </c>
      <c r="I371" t="n">
        <v>0</v>
      </c>
      <c r="J371" t="n">
        <v>0</v>
      </c>
      <c r="K371" t="n">
        <v>0</v>
      </c>
      <c r="L371" t="n">
        <v>0</v>
      </c>
      <c r="M371" t="n">
        <v>0</v>
      </c>
      <c r="N371" t="n">
        <v>0</v>
      </c>
      <c r="O371" t="n">
        <v>0</v>
      </c>
      <c r="P371" t="n">
        <v>0</v>
      </c>
      <c r="Q371" t="n">
        <v>0</v>
      </c>
      <c r="R371" s="2" t="inlineStr"/>
    </row>
    <row r="372" ht="15" customHeight="1">
      <c r="A372" t="inlineStr">
        <is>
          <t>A 7837-2024</t>
        </is>
      </c>
      <c r="B372" s="1" t="n">
        <v>45349.83787037037</v>
      </c>
      <c r="C372" s="1" t="n">
        <v>46167</v>
      </c>
      <c r="D372" t="inlineStr">
        <is>
          <t>GOTLANDS LÄN</t>
        </is>
      </c>
      <c r="E372" t="inlineStr">
        <is>
          <t>GOTLAND</t>
        </is>
      </c>
      <c r="G372" t="n">
        <v>5</v>
      </c>
      <c r="H372" t="n">
        <v>0</v>
      </c>
      <c r="I372" t="n">
        <v>0</v>
      </c>
      <c r="J372" t="n">
        <v>0</v>
      </c>
      <c r="K372" t="n">
        <v>0</v>
      </c>
      <c r="L372" t="n">
        <v>0</v>
      </c>
      <c r="M372" t="n">
        <v>0</v>
      </c>
      <c r="N372" t="n">
        <v>0</v>
      </c>
      <c r="O372" t="n">
        <v>0</v>
      </c>
      <c r="P372" t="n">
        <v>0</v>
      </c>
      <c r="Q372" t="n">
        <v>0</v>
      </c>
      <c r="R372" s="2" t="inlineStr"/>
    </row>
    <row r="373" ht="15" customHeight="1">
      <c r="A373" t="inlineStr">
        <is>
          <t>A 49724-2025</t>
        </is>
      </c>
      <c r="B373" s="1" t="n">
        <v>45939.83730324074</v>
      </c>
      <c r="C373" s="1" t="n">
        <v>46167</v>
      </c>
      <c r="D373" t="inlineStr">
        <is>
          <t>GOTLANDS LÄN</t>
        </is>
      </c>
      <c r="E373" t="inlineStr">
        <is>
          <t>GOTLAND</t>
        </is>
      </c>
      <c r="F373" t="inlineStr">
        <is>
          <t>Kyrkan</t>
        </is>
      </c>
      <c r="G373" t="n">
        <v>3.1</v>
      </c>
      <c r="H373" t="n">
        <v>0</v>
      </c>
      <c r="I373" t="n">
        <v>0</v>
      </c>
      <c r="J373" t="n">
        <v>0</v>
      </c>
      <c r="K373" t="n">
        <v>0</v>
      </c>
      <c r="L373" t="n">
        <v>0</v>
      </c>
      <c r="M373" t="n">
        <v>0</v>
      </c>
      <c r="N373" t="n">
        <v>0</v>
      </c>
      <c r="O373" t="n">
        <v>0</v>
      </c>
      <c r="P373" t="n">
        <v>0</v>
      </c>
      <c r="Q373" t="n">
        <v>0</v>
      </c>
      <c r="R373" s="2" t="inlineStr"/>
    </row>
    <row r="374" ht="15" customHeight="1">
      <c r="A374" t="inlineStr">
        <is>
          <t>A 49730-2025</t>
        </is>
      </c>
      <c r="B374" s="1" t="n">
        <v>45939.87613425926</v>
      </c>
      <c r="C374" s="1" t="n">
        <v>46167</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50421-2025</t>
        </is>
      </c>
      <c r="B375" s="1" t="n">
        <v>45944.66049768519</v>
      </c>
      <c r="C375" s="1" t="n">
        <v>46167</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1394-2023</t>
        </is>
      </c>
      <c r="B376" s="1" t="n">
        <v>44936.72997685185</v>
      </c>
      <c r="C376" s="1" t="n">
        <v>46167</v>
      </c>
      <c r="D376" t="inlineStr">
        <is>
          <t>GOTLANDS LÄN</t>
        </is>
      </c>
      <c r="E376" t="inlineStr">
        <is>
          <t>GOTLAND</t>
        </is>
      </c>
      <c r="G376" t="n">
        <v>2.1</v>
      </c>
      <c r="H376" t="n">
        <v>0</v>
      </c>
      <c r="I376" t="n">
        <v>0</v>
      </c>
      <c r="J376" t="n">
        <v>0</v>
      </c>
      <c r="K376" t="n">
        <v>0</v>
      </c>
      <c r="L376" t="n">
        <v>0</v>
      </c>
      <c r="M376" t="n">
        <v>0</v>
      </c>
      <c r="N376" t="n">
        <v>0</v>
      </c>
      <c r="O376" t="n">
        <v>0</v>
      </c>
      <c r="P376" t="n">
        <v>0</v>
      </c>
      <c r="Q376" t="n">
        <v>0</v>
      </c>
      <c r="R376" s="2" t="inlineStr"/>
    </row>
    <row r="377" ht="15" customHeight="1">
      <c r="A377" t="inlineStr">
        <is>
          <t>A 2676-2023</t>
        </is>
      </c>
      <c r="B377" s="1" t="n">
        <v>44944</v>
      </c>
      <c r="C377" s="1" t="n">
        <v>46167</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4387-2023</t>
        </is>
      </c>
      <c r="B378" s="1" t="n">
        <v>44955.73359953704</v>
      </c>
      <c r="C378" s="1" t="n">
        <v>46167</v>
      </c>
      <c r="D378" t="inlineStr">
        <is>
          <t>GOTLANDS LÄN</t>
        </is>
      </c>
      <c r="E378" t="inlineStr">
        <is>
          <t>GOTLAND</t>
        </is>
      </c>
      <c r="G378" t="n">
        <v>1.9</v>
      </c>
      <c r="H378" t="n">
        <v>0</v>
      </c>
      <c r="I378" t="n">
        <v>0</v>
      </c>
      <c r="J378" t="n">
        <v>0</v>
      </c>
      <c r="K378" t="n">
        <v>0</v>
      </c>
      <c r="L378" t="n">
        <v>0</v>
      </c>
      <c r="M378" t="n">
        <v>0</v>
      </c>
      <c r="N378" t="n">
        <v>0</v>
      </c>
      <c r="O378" t="n">
        <v>0</v>
      </c>
      <c r="P378" t="n">
        <v>0</v>
      </c>
      <c r="Q378" t="n">
        <v>0</v>
      </c>
      <c r="R378" s="2" t="inlineStr"/>
    </row>
    <row r="379" ht="15" customHeight="1">
      <c r="A379" t="inlineStr">
        <is>
          <t>A 50431-2025</t>
        </is>
      </c>
      <c r="B379" s="1" t="n">
        <v>45944.68453703704</v>
      </c>
      <c r="C379" s="1" t="n">
        <v>46167</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49411-2023</t>
        </is>
      </c>
      <c r="B380" s="1" t="n">
        <v>45205</v>
      </c>
      <c r="C380" s="1" t="n">
        <v>46167</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37728-2024</t>
        </is>
      </c>
      <c r="B381" s="1" t="n">
        <v>45541</v>
      </c>
      <c r="C381" s="1" t="n">
        <v>46167</v>
      </c>
      <c r="D381" t="inlineStr">
        <is>
          <t>GOTLANDS LÄN</t>
        </is>
      </c>
      <c r="E381" t="inlineStr">
        <is>
          <t>GOTLAND</t>
        </is>
      </c>
      <c r="G381" t="n">
        <v>0.4</v>
      </c>
      <c r="H381" t="n">
        <v>0</v>
      </c>
      <c r="I381" t="n">
        <v>0</v>
      </c>
      <c r="J381" t="n">
        <v>0</v>
      </c>
      <c r="K381" t="n">
        <v>0</v>
      </c>
      <c r="L381" t="n">
        <v>0</v>
      </c>
      <c r="M381" t="n">
        <v>0</v>
      </c>
      <c r="N381" t="n">
        <v>0</v>
      </c>
      <c r="O381" t="n">
        <v>0</v>
      </c>
      <c r="P381" t="n">
        <v>0</v>
      </c>
      <c r="Q381" t="n">
        <v>0</v>
      </c>
      <c r="R381" s="2" t="inlineStr"/>
    </row>
    <row r="382" ht="15" customHeight="1">
      <c r="A382" t="inlineStr">
        <is>
          <t>A 2241-2025</t>
        </is>
      </c>
      <c r="B382" s="1" t="n">
        <v>45673.48710648148</v>
      </c>
      <c r="C382" s="1" t="n">
        <v>46167</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50928-2025</t>
        </is>
      </c>
      <c r="B383" s="1" t="n">
        <v>45946.67896990741</v>
      </c>
      <c r="C383" s="1" t="n">
        <v>46167</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51262-2025</t>
        </is>
      </c>
      <c r="B384" s="1" t="n">
        <v>45949.49872685185</v>
      </c>
      <c r="C384" s="1" t="n">
        <v>46167</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22275-2023</t>
        </is>
      </c>
      <c r="B385" s="1" t="n">
        <v>45070.39875</v>
      </c>
      <c r="C385" s="1" t="n">
        <v>46167</v>
      </c>
      <c r="D385" t="inlineStr">
        <is>
          <t>GOTLANDS LÄN</t>
        </is>
      </c>
      <c r="E385" t="inlineStr">
        <is>
          <t>GOTLAND</t>
        </is>
      </c>
      <c r="G385" t="n">
        <v>7.2</v>
      </c>
      <c r="H385" t="n">
        <v>0</v>
      </c>
      <c r="I385" t="n">
        <v>0</v>
      </c>
      <c r="J385" t="n">
        <v>0</v>
      </c>
      <c r="K385" t="n">
        <v>0</v>
      </c>
      <c r="L385" t="n">
        <v>0</v>
      </c>
      <c r="M385" t="n">
        <v>0</v>
      </c>
      <c r="N385" t="n">
        <v>0</v>
      </c>
      <c r="O385" t="n">
        <v>0</v>
      </c>
      <c r="P385" t="n">
        <v>0</v>
      </c>
      <c r="Q385" t="n">
        <v>0</v>
      </c>
      <c r="R385" s="2" t="inlineStr"/>
    </row>
    <row r="386" ht="15" customHeight="1">
      <c r="A386" t="inlineStr">
        <is>
          <t>A 14635-2023</t>
        </is>
      </c>
      <c r="B386" s="1" t="n">
        <v>45013.69365740741</v>
      </c>
      <c r="C386" s="1" t="n">
        <v>46167</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63763-2023</t>
        </is>
      </c>
      <c r="B387" s="1" t="n">
        <v>45278.33944444444</v>
      </c>
      <c r="C387" s="1" t="n">
        <v>46167</v>
      </c>
      <c r="D387" t="inlineStr">
        <is>
          <t>GOTLANDS LÄN</t>
        </is>
      </c>
      <c r="E387" t="inlineStr">
        <is>
          <t>GOTLAND</t>
        </is>
      </c>
      <c r="G387" t="n">
        <v>0.5</v>
      </c>
      <c r="H387" t="n">
        <v>0</v>
      </c>
      <c r="I387" t="n">
        <v>0</v>
      </c>
      <c r="J387" t="n">
        <v>0</v>
      </c>
      <c r="K387" t="n">
        <v>0</v>
      </c>
      <c r="L387" t="n">
        <v>0</v>
      </c>
      <c r="M387" t="n">
        <v>0</v>
      </c>
      <c r="N387" t="n">
        <v>0</v>
      </c>
      <c r="O387" t="n">
        <v>0</v>
      </c>
      <c r="P387" t="n">
        <v>0</v>
      </c>
      <c r="Q387" t="n">
        <v>0</v>
      </c>
      <c r="R387" s="2" t="inlineStr"/>
    </row>
    <row r="388" ht="15" customHeight="1">
      <c r="A388" t="inlineStr">
        <is>
          <t>A 7635-2025</t>
        </is>
      </c>
      <c r="B388" s="1" t="n">
        <v>45705</v>
      </c>
      <c r="C388" s="1" t="n">
        <v>46167</v>
      </c>
      <c r="D388" t="inlineStr">
        <is>
          <t>GOTLANDS LÄN</t>
        </is>
      </c>
      <c r="E388" t="inlineStr">
        <is>
          <t>GOTLAND</t>
        </is>
      </c>
      <c r="G388" t="n">
        <v>0.9</v>
      </c>
      <c r="H388" t="n">
        <v>0</v>
      </c>
      <c r="I388" t="n">
        <v>0</v>
      </c>
      <c r="J388" t="n">
        <v>0</v>
      </c>
      <c r="K388" t="n">
        <v>0</v>
      </c>
      <c r="L388" t="n">
        <v>0</v>
      </c>
      <c r="M388" t="n">
        <v>0</v>
      </c>
      <c r="N388" t="n">
        <v>0</v>
      </c>
      <c r="O388" t="n">
        <v>0</v>
      </c>
      <c r="P388" t="n">
        <v>0</v>
      </c>
      <c r="Q388" t="n">
        <v>0</v>
      </c>
      <c r="R388" s="2" t="inlineStr"/>
    </row>
    <row r="389" ht="15" customHeight="1">
      <c r="A389" t="inlineStr">
        <is>
          <t>A 7636-2025</t>
        </is>
      </c>
      <c r="B389" s="1" t="n">
        <v>45705.7687962963</v>
      </c>
      <c r="C389" s="1" t="n">
        <v>46167</v>
      </c>
      <c r="D389" t="inlineStr">
        <is>
          <t>GOTLANDS LÄN</t>
        </is>
      </c>
      <c r="E389" t="inlineStr">
        <is>
          <t>GOTLAND</t>
        </is>
      </c>
      <c r="G389" t="n">
        <v>0.6</v>
      </c>
      <c r="H389" t="n">
        <v>0</v>
      </c>
      <c r="I389" t="n">
        <v>0</v>
      </c>
      <c r="J389" t="n">
        <v>0</v>
      </c>
      <c r="K389" t="n">
        <v>0</v>
      </c>
      <c r="L389" t="n">
        <v>0</v>
      </c>
      <c r="M389" t="n">
        <v>0</v>
      </c>
      <c r="N389" t="n">
        <v>0</v>
      </c>
      <c r="O389" t="n">
        <v>0</v>
      </c>
      <c r="P389" t="n">
        <v>0</v>
      </c>
      <c r="Q389" t="n">
        <v>0</v>
      </c>
      <c r="R389" s="2" t="inlineStr"/>
    </row>
    <row r="390" ht="15" customHeight="1">
      <c r="A390" t="inlineStr">
        <is>
          <t>A 7639-2025</t>
        </is>
      </c>
      <c r="B390" s="1" t="n">
        <v>45705.77465277778</v>
      </c>
      <c r="C390" s="1" t="n">
        <v>46167</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61682-2024</t>
        </is>
      </c>
      <c r="B391" s="1" t="n">
        <v>45647.48824074074</v>
      </c>
      <c r="C391" s="1" t="n">
        <v>46167</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15434-2024</t>
        </is>
      </c>
      <c r="B392" s="1" t="n">
        <v>45401.38836805556</v>
      </c>
      <c r="C392" s="1" t="n">
        <v>46167</v>
      </c>
      <c r="D392" t="inlineStr">
        <is>
          <t>GOTLANDS LÄN</t>
        </is>
      </c>
      <c r="E392" t="inlineStr">
        <is>
          <t>GOTLAND</t>
        </is>
      </c>
      <c r="G392" t="n">
        <v>2.5</v>
      </c>
      <c r="H392" t="n">
        <v>0</v>
      </c>
      <c r="I392" t="n">
        <v>0</v>
      </c>
      <c r="J392" t="n">
        <v>0</v>
      </c>
      <c r="K392" t="n">
        <v>0</v>
      </c>
      <c r="L392" t="n">
        <v>0</v>
      </c>
      <c r="M392" t="n">
        <v>0</v>
      </c>
      <c r="N392" t="n">
        <v>0</v>
      </c>
      <c r="O392" t="n">
        <v>0</v>
      </c>
      <c r="P392" t="n">
        <v>0</v>
      </c>
      <c r="Q392" t="n">
        <v>0</v>
      </c>
      <c r="R392" s="2" t="inlineStr"/>
    </row>
    <row r="393" ht="15" customHeight="1">
      <c r="A393" t="inlineStr">
        <is>
          <t>A 7034-2023</t>
        </is>
      </c>
      <c r="B393" s="1" t="n">
        <v>44968.32108796296</v>
      </c>
      <c r="C393" s="1" t="n">
        <v>46167</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7042-2023</t>
        </is>
      </c>
      <c r="B394" s="1" t="n">
        <v>44968</v>
      </c>
      <c r="C394" s="1" t="n">
        <v>46167</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52249-2025</t>
        </is>
      </c>
      <c r="B395" s="1" t="n">
        <v>45953.48637731482</v>
      </c>
      <c r="C395" s="1" t="n">
        <v>46167</v>
      </c>
      <c r="D395" t="inlineStr">
        <is>
          <t>GOTLANDS LÄN</t>
        </is>
      </c>
      <c r="E395" t="inlineStr">
        <is>
          <t>GOTLAND</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2180-2025</t>
        </is>
      </c>
      <c r="B396" s="1" t="n">
        <v>45673</v>
      </c>
      <c r="C396" s="1" t="n">
        <v>46167</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52637-2025</t>
        </is>
      </c>
      <c r="B397" s="1" t="n">
        <v>45954.75099537037</v>
      </c>
      <c r="C397" s="1" t="n">
        <v>46167</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54074-2022</t>
        </is>
      </c>
      <c r="B398" s="1" t="n">
        <v>44881</v>
      </c>
      <c r="C398" s="1" t="n">
        <v>46167</v>
      </c>
      <c r="D398" t="inlineStr">
        <is>
          <t>GOTLANDS LÄN</t>
        </is>
      </c>
      <c r="E398" t="inlineStr">
        <is>
          <t>GOTLAND</t>
        </is>
      </c>
      <c r="G398" t="n">
        <v>0.9</v>
      </c>
      <c r="H398" t="n">
        <v>0</v>
      </c>
      <c r="I398" t="n">
        <v>0</v>
      </c>
      <c r="J398" t="n">
        <v>0</v>
      </c>
      <c r="K398" t="n">
        <v>0</v>
      </c>
      <c r="L398" t="n">
        <v>0</v>
      </c>
      <c r="M398" t="n">
        <v>0</v>
      </c>
      <c r="N398" t="n">
        <v>0</v>
      </c>
      <c r="O398" t="n">
        <v>0</v>
      </c>
      <c r="P398" t="n">
        <v>0</v>
      </c>
      <c r="Q398" t="n">
        <v>0</v>
      </c>
      <c r="R398" s="2" t="inlineStr"/>
    </row>
    <row r="399" ht="15" customHeight="1">
      <c r="A399" t="inlineStr">
        <is>
          <t>A 61694-2023</t>
        </is>
      </c>
      <c r="B399" s="1" t="n">
        <v>45264</v>
      </c>
      <c r="C399" s="1" t="n">
        <v>46167</v>
      </c>
      <c r="D399" t="inlineStr">
        <is>
          <t>GOTLANDS LÄN</t>
        </is>
      </c>
      <c r="E399" t="inlineStr">
        <is>
          <t>GOTLAND</t>
        </is>
      </c>
      <c r="G399" t="n">
        <v>4.6</v>
      </c>
      <c r="H399" t="n">
        <v>0</v>
      </c>
      <c r="I399" t="n">
        <v>0</v>
      </c>
      <c r="J399" t="n">
        <v>0</v>
      </c>
      <c r="K399" t="n">
        <v>0</v>
      </c>
      <c r="L399" t="n">
        <v>0</v>
      </c>
      <c r="M399" t="n">
        <v>0</v>
      </c>
      <c r="N399" t="n">
        <v>0</v>
      </c>
      <c r="O399" t="n">
        <v>0</v>
      </c>
      <c r="P399" t="n">
        <v>0</v>
      </c>
      <c r="Q399" t="n">
        <v>0</v>
      </c>
      <c r="R399" s="2" t="inlineStr"/>
    </row>
    <row r="400" ht="15" customHeight="1">
      <c r="A400" t="inlineStr">
        <is>
          <t>A 64208-2021</t>
        </is>
      </c>
      <c r="B400" s="1" t="n">
        <v>44510</v>
      </c>
      <c r="C400" s="1" t="n">
        <v>46167</v>
      </c>
      <c r="D400" t="inlineStr">
        <is>
          <t>GOTLANDS LÄN</t>
        </is>
      </c>
      <c r="E400" t="inlineStr">
        <is>
          <t>GOTLAND</t>
        </is>
      </c>
      <c r="G400" t="n">
        <v>4.7</v>
      </c>
      <c r="H400" t="n">
        <v>0</v>
      </c>
      <c r="I400" t="n">
        <v>0</v>
      </c>
      <c r="J400" t="n">
        <v>0</v>
      </c>
      <c r="K400" t="n">
        <v>0</v>
      </c>
      <c r="L400" t="n">
        <v>0</v>
      </c>
      <c r="M400" t="n">
        <v>0</v>
      </c>
      <c r="N400" t="n">
        <v>0</v>
      </c>
      <c r="O400" t="n">
        <v>0</v>
      </c>
      <c r="P400" t="n">
        <v>0</v>
      </c>
      <c r="Q400" t="n">
        <v>0</v>
      </c>
      <c r="R400" s="2" t="inlineStr"/>
    </row>
    <row r="401" ht="15" customHeight="1">
      <c r="A401" t="inlineStr">
        <is>
          <t>A 54268-2022</t>
        </is>
      </c>
      <c r="B401" s="1" t="n">
        <v>44882</v>
      </c>
      <c r="C401" s="1" t="n">
        <v>46167</v>
      </c>
      <c r="D401" t="inlineStr">
        <is>
          <t>GOTLANDS LÄN</t>
        </is>
      </c>
      <c r="E401" t="inlineStr">
        <is>
          <t>GOTLAND</t>
        </is>
      </c>
      <c r="G401" t="n">
        <v>2.7</v>
      </c>
      <c r="H401" t="n">
        <v>0</v>
      </c>
      <c r="I401" t="n">
        <v>0</v>
      </c>
      <c r="J401" t="n">
        <v>0</v>
      </c>
      <c r="K401" t="n">
        <v>0</v>
      </c>
      <c r="L401" t="n">
        <v>0</v>
      </c>
      <c r="M401" t="n">
        <v>0</v>
      </c>
      <c r="N401" t="n">
        <v>0</v>
      </c>
      <c r="O401" t="n">
        <v>0</v>
      </c>
      <c r="P401" t="n">
        <v>0</v>
      </c>
      <c r="Q401" t="n">
        <v>0</v>
      </c>
      <c r="R401" s="2" t="inlineStr"/>
    </row>
    <row r="402" ht="15" customHeight="1">
      <c r="A402" t="inlineStr">
        <is>
          <t>A 1446-2025</t>
        </is>
      </c>
      <c r="B402" s="1" t="n">
        <v>45669.86035879629</v>
      </c>
      <c r="C402" s="1" t="n">
        <v>46167</v>
      </c>
      <c r="D402" t="inlineStr">
        <is>
          <t>GOTLANDS LÄN</t>
        </is>
      </c>
      <c r="E402" t="inlineStr">
        <is>
          <t>GOTLAND</t>
        </is>
      </c>
      <c r="G402" t="n">
        <v>3.1</v>
      </c>
      <c r="H402" t="n">
        <v>0</v>
      </c>
      <c r="I402" t="n">
        <v>0</v>
      </c>
      <c r="J402" t="n">
        <v>0</v>
      </c>
      <c r="K402" t="n">
        <v>0</v>
      </c>
      <c r="L402" t="n">
        <v>0</v>
      </c>
      <c r="M402" t="n">
        <v>0</v>
      </c>
      <c r="N402" t="n">
        <v>0</v>
      </c>
      <c r="O402" t="n">
        <v>0</v>
      </c>
      <c r="P402" t="n">
        <v>0</v>
      </c>
      <c r="Q402" t="n">
        <v>0</v>
      </c>
      <c r="R402" s="2" t="inlineStr"/>
    </row>
    <row r="403" ht="15" customHeight="1">
      <c r="A403" t="inlineStr">
        <is>
          <t>A 1462-2025</t>
        </is>
      </c>
      <c r="B403" s="1" t="n">
        <v>45670.36319444444</v>
      </c>
      <c r="C403" s="1" t="n">
        <v>46167</v>
      </c>
      <c r="D403" t="inlineStr">
        <is>
          <t>GOTLANDS LÄN</t>
        </is>
      </c>
      <c r="E403" t="inlineStr">
        <is>
          <t>GOTLAND</t>
        </is>
      </c>
      <c r="G403" t="n">
        <v>2.8</v>
      </c>
      <c r="H403" t="n">
        <v>0</v>
      </c>
      <c r="I403" t="n">
        <v>0</v>
      </c>
      <c r="J403" t="n">
        <v>0</v>
      </c>
      <c r="K403" t="n">
        <v>0</v>
      </c>
      <c r="L403" t="n">
        <v>0</v>
      </c>
      <c r="M403" t="n">
        <v>0</v>
      </c>
      <c r="N403" t="n">
        <v>0</v>
      </c>
      <c r="O403" t="n">
        <v>0</v>
      </c>
      <c r="P403" t="n">
        <v>0</v>
      </c>
      <c r="Q403" t="n">
        <v>0</v>
      </c>
      <c r="R403" s="2" t="inlineStr"/>
    </row>
    <row r="404" ht="15" customHeight="1">
      <c r="A404" t="inlineStr">
        <is>
          <t>A 53577-2025</t>
        </is>
      </c>
      <c r="B404" s="1" t="n">
        <v>45960.42224537037</v>
      </c>
      <c r="C404" s="1" t="n">
        <v>46167</v>
      </c>
      <c r="D404" t="inlineStr">
        <is>
          <t>GOTLANDS LÄN</t>
        </is>
      </c>
      <c r="E404" t="inlineStr">
        <is>
          <t>GOTLAND</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57685-2022</t>
        </is>
      </c>
      <c r="B405" s="1" t="n">
        <v>44897.4777662037</v>
      </c>
      <c r="C405" s="1" t="n">
        <v>46167</v>
      </c>
      <c r="D405" t="inlineStr">
        <is>
          <t>GOTLANDS LÄN</t>
        </is>
      </c>
      <c r="E405" t="inlineStr">
        <is>
          <t>GOTLAND</t>
        </is>
      </c>
      <c r="G405" t="n">
        <v>3.7</v>
      </c>
      <c r="H405" t="n">
        <v>0</v>
      </c>
      <c r="I405" t="n">
        <v>0</v>
      </c>
      <c r="J405" t="n">
        <v>0</v>
      </c>
      <c r="K405" t="n">
        <v>0</v>
      </c>
      <c r="L405" t="n">
        <v>0</v>
      </c>
      <c r="M405" t="n">
        <v>0</v>
      </c>
      <c r="N405" t="n">
        <v>0</v>
      </c>
      <c r="O405" t="n">
        <v>0</v>
      </c>
      <c r="P405" t="n">
        <v>0</v>
      </c>
      <c r="Q405" t="n">
        <v>0</v>
      </c>
      <c r="R405" s="2" t="inlineStr"/>
    </row>
    <row r="406" ht="15" customHeight="1">
      <c r="A406" t="inlineStr">
        <is>
          <t>A 811-2023</t>
        </is>
      </c>
      <c r="B406" s="1" t="n">
        <v>44931</v>
      </c>
      <c r="C406" s="1" t="n">
        <v>46167</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53569-2025</t>
        </is>
      </c>
      <c r="B407" s="1" t="n">
        <v>45960.41155092593</v>
      </c>
      <c r="C407" s="1" t="n">
        <v>46167</v>
      </c>
      <c r="D407" t="inlineStr">
        <is>
          <t>GOTLANDS LÄN</t>
        </is>
      </c>
      <c r="E407" t="inlineStr">
        <is>
          <t>GOTLAND</t>
        </is>
      </c>
      <c r="F407" t="inlineStr">
        <is>
          <t>Övriga Aktiebolag</t>
        </is>
      </c>
      <c r="G407" t="n">
        <v>11.3</v>
      </c>
      <c r="H407" t="n">
        <v>0</v>
      </c>
      <c r="I407" t="n">
        <v>0</v>
      </c>
      <c r="J407" t="n">
        <v>0</v>
      </c>
      <c r="K407" t="n">
        <v>0</v>
      </c>
      <c r="L407" t="n">
        <v>0</v>
      </c>
      <c r="M407" t="n">
        <v>0</v>
      </c>
      <c r="N407" t="n">
        <v>0</v>
      </c>
      <c r="O407" t="n">
        <v>0</v>
      </c>
      <c r="P407" t="n">
        <v>0</v>
      </c>
      <c r="Q407" t="n">
        <v>0</v>
      </c>
      <c r="R407" s="2" t="inlineStr"/>
    </row>
    <row r="408" ht="15" customHeight="1">
      <c r="A408" t="inlineStr">
        <is>
          <t>A 5905-2024</t>
        </is>
      </c>
      <c r="B408" s="1" t="n">
        <v>45335.88993055555</v>
      </c>
      <c r="C408" s="1" t="n">
        <v>46167</v>
      </c>
      <c r="D408" t="inlineStr">
        <is>
          <t>GOTLANDS LÄN</t>
        </is>
      </c>
      <c r="E408" t="inlineStr">
        <is>
          <t>GOTLAND</t>
        </is>
      </c>
      <c r="G408" t="n">
        <v>3</v>
      </c>
      <c r="H408" t="n">
        <v>0</v>
      </c>
      <c r="I408" t="n">
        <v>0</v>
      </c>
      <c r="J408" t="n">
        <v>0</v>
      </c>
      <c r="K408" t="n">
        <v>0</v>
      </c>
      <c r="L408" t="n">
        <v>0</v>
      </c>
      <c r="M408" t="n">
        <v>0</v>
      </c>
      <c r="N408" t="n">
        <v>0</v>
      </c>
      <c r="O408" t="n">
        <v>0</v>
      </c>
      <c r="P408" t="n">
        <v>0</v>
      </c>
      <c r="Q408" t="n">
        <v>0</v>
      </c>
      <c r="R408" s="2" t="inlineStr"/>
    </row>
    <row r="409" ht="15" customHeight="1">
      <c r="A409" t="inlineStr">
        <is>
          <t>A 3431-2025</t>
        </is>
      </c>
      <c r="B409" s="1" t="n">
        <v>45680.42935185185</v>
      </c>
      <c r="C409" s="1" t="n">
        <v>46167</v>
      </c>
      <c r="D409" t="inlineStr">
        <is>
          <t>GOTLANDS LÄN</t>
        </is>
      </c>
      <c r="E409" t="inlineStr">
        <is>
          <t>GOTLAND</t>
        </is>
      </c>
      <c r="G409" t="n">
        <v>4.8</v>
      </c>
      <c r="H409" t="n">
        <v>0</v>
      </c>
      <c r="I409" t="n">
        <v>0</v>
      </c>
      <c r="J409" t="n">
        <v>0</v>
      </c>
      <c r="K409" t="n">
        <v>0</v>
      </c>
      <c r="L409" t="n">
        <v>0</v>
      </c>
      <c r="M409" t="n">
        <v>0</v>
      </c>
      <c r="N409" t="n">
        <v>0</v>
      </c>
      <c r="O409" t="n">
        <v>0</v>
      </c>
      <c r="P409" t="n">
        <v>0</v>
      </c>
      <c r="Q409" t="n">
        <v>0</v>
      </c>
      <c r="R409" s="2" t="inlineStr"/>
    </row>
    <row r="410" ht="15" customHeight="1">
      <c r="A410" t="inlineStr">
        <is>
          <t>A 34407-2023</t>
        </is>
      </c>
      <c r="B410" s="1" t="n">
        <v>45132</v>
      </c>
      <c r="C410" s="1" t="n">
        <v>46167</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30892-2024</t>
        </is>
      </c>
      <c r="B411" s="1" t="n">
        <v>45491</v>
      </c>
      <c r="C411" s="1" t="n">
        <v>46167</v>
      </c>
      <c r="D411" t="inlineStr">
        <is>
          <t>GOTLANDS LÄN</t>
        </is>
      </c>
      <c r="E411" t="inlineStr">
        <is>
          <t>GOTLAND</t>
        </is>
      </c>
      <c r="G411" t="n">
        <v>6.1</v>
      </c>
      <c r="H411" t="n">
        <v>0</v>
      </c>
      <c r="I411" t="n">
        <v>0</v>
      </c>
      <c r="J411" t="n">
        <v>0</v>
      </c>
      <c r="K411" t="n">
        <v>0</v>
      </c>
      <c r="L411" t="n">
        <v>0</v>
      </c>
      <c r="M411" t="n">
        <v>0</v>
      </c>
      <c r="N411" t="n">
        <v>0</v>
      </c>
      <c r="O411" t="n">
        <v>0</v>
      </c>
      <c r="P411" t="n">
        <v>0</v>
      </c>
      <c r="Q411" t="n">
        <v>0</v>
      </c>
      <c r="R411" s="2" t="inlineStr"/>
    </row>
    <row r="412" ht="15" customHeight="1">
      <c r="A412" t="inlineStr">
        <is>
          <t>A 32958-2021</t>
        </is>
      </c>
      <c r="B412" s="1" t="n">
        <v>44376</v>
      </c>
      <c r="C412" s="1" t="n">
        <v>46167</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7858-2025</t>
        </is>
      </c>
      <c r="B413" s="1" t="n">
        <v>45706.68633101852</v>
      </c>
      <c r="C413" s="1" t="n">
        <v>46167</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46167</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999-2023</t>
        </is>
      </c>
      <c r="B415" s="1" t="n">
        <v>44935</v>
      </c>
      <c r="C415" s="1" t="n">
        <v>46167</v>
      </c>
      <c r="D415" t="inlineStr">
        <is>
          <t>GOTLANDS LÄN</t>
        </is>
      </c>
      <c r="E415" t="inlineStr">
        <is>
          <t>GOTLAND</t>
        </is>
      </c>
      <c r="G415" t="n">
        <v>4.7</v>
      </c>
      <c r="H415" t="n">
        <v>0</v>
      </c>
      <c r="I415" t="n">
        <v>0</v>
      </c>
      <c r="J415" t="n">
        <v>0</v>
      </c>
      <c r="K415" t="n">
        <v>0</v>
      </c>
      <c r="L415" t="n">
        <v>0</v>
      </c>
      <c r="M415" t="n">
        <v>0</v>
      </c>
      <c r="N415" t="n">
        <v>0</v>
      </c>
      <c r="O415" t="n">
        <v>0</v>
      </c>
      <c r="P415" t="n">
        <v>0</v>
      </c>
      <c r="Q415" t="n">
        <v>0</v>
      </c>
      <c r="R415" s="2" t="inlineStr"/>
    </row>
    <row r="416" ht="15" customHeight="1">
      <c r="A416" t="inlineStr">
        <is>
          <t>A 1364-2025</t>
        </is>
      </c>
      <c r="B416" s="1" t="n">
        <v>45667.63929398148</v>
      </c>
      <c r="C416" s="1" t="n">
        <v>46167</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2125-2025</t>
        </is>
      </c>
      <c r="B417" s="1" t="n">
        <v>45672.64940972222</v>
      </c>
      <c r="C417" s="1" t="n">
        <v>46167</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14141-2024</t>
        </is>
      </c>
      <c r="B418" s="1" t="n">
        <v>45392.85193287037</v>
      </c>
      <c r="C418" s="1" t="n">
        <v>46167</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12155-2023</t>
        </is>
      </c>
      <c r="B419" s="1" t="n">
        <v>44998.49106481481</v>
      </c>
      <c r="C419" s="1" t="n">
        <v>46167</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2774-2024</t>
        </is>
      </c>
      <c r="B420" s="1" t="n">
        <v>45314.62375</v>
      </c>
      <c r="C420" s="1" t="n">
        <v>46167</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9947-2024</t>
        </is>
      </c>
      <c r="B421" s="1" t="n">
        <v>45363</v>
      </c>
      <c r="C421" s="1" t="n">
        <v>46167</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42007-2023</t>
        </is>
      </c>
      <c r="B422" s="1" t="n">
        <v>45177</v>
      </c>
      <c r="C422" s="1" t="n">
        <v>46167</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56688-2025</t>
        </is>
      </c>
      <c r="B423" s="1" t="n">
        <v>45975.84331018518</v>
      </c>
      <c r="C423" s="1" t="n">
        <v>46167</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56799-2025</t>
        </is>
      </c>
      <c r="B424" s="1" t="n">
        <v>45978.43392361111</v>
      </c>
      <c r="C424" s="1" t="n">
        <v>46167</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15083-2025</t>
        </is>
      </c>
      <c r="B425" s="1" t="n">
        <v>45743</v>
      </c>
      <c r="C425" s="1" t="n">
        <v>46167</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59197-2025</t>
        </is>
      </c>
      <c r="B426" s="1" t="n">
        <v>45988.59846064815</v>
      </c>
      <c r="C426" s="1" t="n">
        <v>46167</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1066-2024</t>
        </is>
      </c>
      <c r="B427" s="1" t="n">
        <v>45302.285</v>
      </c>
      <c r="C427" s="1" t="n">
        <v>46167</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36319-2025</t>
        </is>
      </c>
      <c r="B428" s="1" t="n">
        <v>45868</v>
      </c>
      <c r="C428" s="1" t="n">
        <v>46167</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37202-2024</t>
        </is>
      </c>
      <c r="B429" s="1" t="n">
        <v>45539.67310185185</v>
      </c>
      <c r="C429" s="1" t="n">
        <v>46167</v>
      </c>
      <c r="D429" t="inlineStr">
        <is>
          <t>GOTLANDS LÄN</t>
        </is>
      </c>
      <c r="E429" t="inlineStr">
        <is>
          <t>GOTLAND</t>
        </is>
      </c>
      <c r="G429" t="n">
        <v>0.3</v>
      </c>
      <c r="H429" t="n">
        <v>0</v>
      </c>
      <c r="I429" t="n">
        <v>0</v>
      </c>
      <c r="J429" t="n">
        <v>0</v>
      </c>
      <c r="K429" t="n">
        <v>0</v>
      </c>
      <c r="L429" t="n">
        <v>0</v>
      </c>
      <c r="M429" t="n">
        <v>0</v>
      </c>
      <c r="N429" t="n">
        <v>0</v>
      </c>
      <c r="O429" t="n">
        <v>0</v>
      </c>
      <c r="P429" t="n">
        <v>0</v>
      </c>
      <c r="Q429" t="n">
        <v>0</v>
      </c>
      <c r="R429" s="2" t="inlineStr"/>
    </row>
    <row r="430" ht="15" customHeight="1">
      <c r="A430" t="inlineStr">
        <is>
          <t>A 30815-2023</t>
        </is>
      </c>
      <c r="B430" s="1" t="n">
        <v>45112</v>
      </c>
      <c r="C430" s="1" t="n">
        <v>46167</v>
      </c>
      <c r="D430" t="inlineStr">
        <is>
          <t>GOTLANDS LÄN</t>
        </is>
      </c>
      <c r="E430" t="inlineStr">
        <is>
          <t>GOTLAND</t>
        </is>
      </c>
      <c r="G430" t="n">
        <v>6</v>
      </c>
      <c r="H430" t="n">
        <v>0</v>
      </c>
      <c r="I430" t="n">
        <v>0</v>
      </c>
      <c r="J430" t="n">
        <v>0</v>
      </c>
      <c r="K430" t="n">
        <v>0</v>
      </c>
      <c r="L430" t="n">
        <v>0</v>
      </c>
      <c r="M430" t="n">
        <v>0</v>
      </c>
      <c r="N430" t="n">
        <v>0</v>
      </c>
      <c r="O430" t="n">
        <v>0</v>
      </c>
      <c r="P430" t="n">
        <v>0</v>
      </c>
      <c r="Q430" t="n">
        <v>0</v>
      </c>
      <c r="R430" s="2" t="inlineStr"/>
    </row>
    <row r="431" ht="15" customHeight="1">
      <c r="A431" t="inlineStr">
        <is>
          <t>A 46400-2023</t>
        </is>
      </c>
      <c r="B431" s="1" t="n">
        <v>45197.49290509259</v>
      </c>
      <c r="C431" s="1" t="n">
        <v>46167</v>
      </c>
      <c r="D431" t="inlineStr">
        <is>
          <t>GOTLANDS LÄN</t>
        </is>
      </c>
      <c r="E431" t="inlineStr">
        <is>
          <t>GOTLAND</t>
        </is>
      </c>
      <c r="G431" t="n">
        <v>0.8</v>
      </c>
      <c r="H431" t="n">
        <v>0</v>
      </c>
      <c r="I431" t="n">
        <v>0</v>
      </c>
      <c r="J431" t="n">
        <v>0</v>
      </c>
      <c r="K431" t="n">
        <v>0</v>
      </c>
      <c r="L431" t="n">
        <v>0</v>
      </c>
      <c r="M431" t="n">
        <v>0</v>
      </c>
      <c r="N431" t="n">
        <v>0</v>
      </c>
      <c r="O431" t="n">
        <v>0</v>
      </c>
      <c r="P431" t="n">
        <v>0</v>
      </c>
      <c r="Q431" t="n">
        <v>0</v>
      </c>
      <c r="R431" s="2" t="inlineStr"/>
    </row>
    <row r="432" ht="15" customHeight="1">
      <c r="A432" t="inlineStr">
        <is>
          <t>A 10492-2023</t>
        </is>
      </c>
      <c r="B432" s="1" t="n">
        <v>44987</v>
      </c>
      <c r="C432" s="1" t="n">
        <v>46167</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44919-2022</t>
        </is>
      </c>
      <c r="B433" s="1" t="n">
        <v>44841</v>
      </c>
      <c r="C433" s="1" t="n">
        <v>46167</v>
      </c>
      <c r="D433" t="inlineStr">
        <is>
          <t>GOTLANDS LÄN</t>
        </is>
      </c>
      <c r="E433" t="inlineStr">
        <is>
          <t>GOTLAND</t>
        </is>
      </c>
      <c r="G433" t="n">
        <v>2.2</v>
      </c>
      <c r="H433" t="n">
        <v>0</v>
      </c>
      <c r="I433" t="n">
        <v>0</v>
      </c>
      <c r="J433" t="n">
        <v>0</v>
      </c>
      <c r="K433" t="n">
        <v>0</v>
      </c>
      <c r="L433" t="n">
        <v>0</v>
      </c>
      <c r="M433" t="n">
        <v>0</v>
      </c>
      <c r="N433" t="n">
        <v>0</v>
      </c>
      <c r="O433" t="n">
        <v>0</v>
      </c>
      <c r="P433" t="n">
        <v>0</v>
      </c>
      <c r="Q433" t="n">
        <v>0</v>
      </c>
      <c r="R433" s="2" t="inlineStr"/>
    </row>
    <row r="434" ht="15" customHeight="1">
      <c r="A434" t="inlineStr">
        <is>
          <t>A 16501-2023</t>
        </is>
      </c>
      <c r="B434" s="1" t="n">
        <v>45029</v>
      </c>
      <c r="C434" s="1" t="n">
        <v>46167</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27095-2022</t>
        </is>
      </c>
      <c r="B435" s="1" t="n">
        <v>44741</v>
      </c>
      <c r="C435" s="1" t="n">
        <v>46167</v>
      </c>
      <c r="D435" t="inlineStr">
        <is>
          <t>GOTLANDS LÄN</t>
        </is>
      </c>
      <c r="E435" t="inlineStr">
        <is>
          <t>GOTLAND</t>
        </is>
      </c>
      <c r="F435" t="inlineStr">
        <is>
          <t>Övriga Aktiebolag</t>
        </is>
      </c>
      <c r="G435" t="n">
        <v>2.9</v>
      </c>
      <c r="H435" t="n">
        <v>0</v>
      </c>
      <c r="I435" t="n">
        <v>0</v>
      </c>
      <c r="J435" t="n">
        <v>0</v>
      </c>
      <c r="K435" t="n">
        <v>0</v>
      </c>
      <c r="L435" t="n">
        <v>0</v>
      </c>
      <c r="M435" t="n">
        <v>0</v>
      </c>
      <c r="N435" t="n">
        <v>0</v>
      </c>
      <c r="O435" t="n">
        <v>0</v>
      </c>
      <c r="P435" t="n">
        <v>0</v>
      </c>
      <c r="Q435" t="n">
        <v>0</v>
      </c>
      <c r="R435" s="2" t="inlineStr"/>
    </row>
    <row r="436" ht="15" customHeight="1">
      <c r="A436" t="inlineStr">
        <is>
          <t>A 458-2023</t>
        </is>
      </c>
      <c r="B436" s="1" t="n">
        <v>44929</v>
      </c>
      <c r="C436" s="1" t="n">
        <v>46167</v>
      </c>
      <c r="D436" t="inlineStr">
        <is>
          <t>GOTLANDS LÄN</t>
        </is>
      </c>
      <c r="E436" t="inlineStr">
        <is>
          <t>GOTLAND</t>
        </is>
      </c>
      <c r="G436" t="n">
        <v>3.6</v>
      </c>
      <c r="H436" t="n">
        <v>0</v>
      </c>
      <c r="I436" t="n">
        <v>0</v>
      </c>
      <c r="J436" t="n">
        <v>0</v>
      </c>
      <c r="K436" t="n">
        <v>0</v>
      </c>
      <c r="L436" t="n">
        <v>0</v>
      </c>
      <c r="M436" t="n">
        <v>0</v>
      </c>
      <c r="N436" t="n">
        <v>0</v>
      </c>
      <c r="O436" t="n">
        <v>0</v>
      </c>
      <c r="P436" t="n">
        <v>0</v>
      </c>
      <c r="Q436" t="n">
        <v>0</v>
      </c>
      <c r="R436" s="2" t="inlineStr"/>
    </row>
    <row r="437" ht="15" customHeight="1">
      <c r="A437" t="inlineStr">
        <is>
          <t>A 1291-2023</t>
        </is>
      </c>
      <c r="B437" s="1" t="n">
        <v>44936.47561342592</v>
      </c>
      <c r="C437" s="1" t="n">
        <v>46167</v>
      </c>
      <c r="D437" t="inlineStr">
        <is>
          <t>GOTLANDS LÄN</t>
        </is>
      </c>
      <c r="E437" t="inlineStr">
        <is>
          <t>GOTLAND</t>
        </is>
      </c>
      <c r="G437" t="n">
        <v>7.4</v>
      </c>
      <c r="H437" t="n">
        <v>0</v>
      </c>
      <c r="I437" t="n">
        <v>0</v>
      </c>
      <c r="J437" t="n">
        <v>0</v>
      </c>
      <c r="K437" t="n">
        <v>0</v>
      </c>
      <c r="L437" t="n">
        <v>0</v>
      </c>
      <c r="M437" t="n">
        <v>0</v>
      </c>
      <c r="N437" t="n">
        <v>0</v>
      </c>
      <c r="O437" t="n">
        <v>0</v>
      </c>
      <c r="P437" t="n">
        <v>0</v>
      </c>
      <c r="Q437" t="n">
        <v>0</v>
      </c>
      <c r="R437" s="2" t="inlineStr"/>
    </row>
    <row r="438" ht="15" customHeight="1">
      <c r="A438" t="inlineStr">
        <is>
          <t>A 32330-2024</t>
        </is>
      </c>
      <c r="B438" s="1" t="n">
        <v>45512</v>
      </c>
      <c r="C438" s="1" t="n">
        <v>46167</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5891-2025</t>
        </is>
      </c>
      <c r="B439" s="1" t="n">
        <v>45695.38327546296</v>
      </c>
      <c r="C439" s="1" t="n">
        <v>46167</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62066-2025</t>
        </is>
      </c>
      <c r="B440" s="1" t="n">
        <v>46006.34738425926</v>
      </c>
      <c r="C440" s="1" t="n">
        <v>46167</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62103-2025</t>
        </is>
      </c>
      <c r="B441" s="1" t="n">
        <v>46006</v>
      </c>
      <c r="C441" s="1" t="n">
        <v>46167</v>
      </c>
      <c r="D441" t="inlineStr">
        <is>
          <t>GOTLANDS LÄN</t>
        </is>
      </c>
      <c r="E441" t="inlineStr">
        <is>
          <t>GOTLAND</t>
        </is>
      </c>
      <c r="F441" t="inlineStr">
        <is>
          <t>Övriga Aktiebolag</t>
        </is>
      </c>
      <c r="G441" t="n">
        <v>1.7</v>
      </c>
      <c r="H441" t="n">
        <v>0</v>
      </c>
      <c r="I441" t="n">
        <v>0</v>
      </c>
      <c r="J441" t="n">
        <v>0</v>
      </c>
      <c r="K441" t="n">
        <v>0</v>
      </c>
      <c r="L441" t="n">
        <v>0</v>
      </c>
      <c r="M441" t="n">
        <v>0</v>
      </c>
      <c r="N441" t="n">
        <v>0</v>
      </c>
      <c r="O441" t="n">
        <v>0</v>
      </c>
      <c r="P441" t="n">
        <v>0</v>
      </c>
      <c r="Q441" t="n">
        <v>0</v>
      </c>
      <c r="R441" s="2" t="inlineStr"/>
    </row>
    <row r="442" ht="15" customHeight="1">
      <c r="A442" t="inlineStr">
        <is>
          <t>A 2719-2023</t>
        </is>
      </c>
      <c r="B442" s="1" t="n">
        <v>44944.55361111111</v>
      </c>
      <c r="C442" s="1" t="n">
        <v>46167</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17144-2025</t>
        </is>
      </c>
      <c r="B443" s="1" t="n">
        <v>45755.9499537037</v>
      </c>
      <c r="C443" s="1" t="n">
        <v>46167</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49314-2024</t>
        </is>
      </c>
      <c r="B444" s="1" t="n">
        <v>45595.55893518519</v>
      </c>
      <c r="C444" s="1" t="n">
        <v>46167</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9875-2025</t>
        </is>
      </c>
      <c r="B445" s="1" t="n">
        <v>45716</v>
      </c>
      <c r="C445" s="1" t="n">
        <v>46167</v>
      </c>
      <c r="D445" t="inlineStr">
        <is>
          <t>GOTLANDS LÄN</t>
        </is>
      </c>
      <c r="E445" t="inlineStr">
        <is>
          <t>GOTLAND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29809-2022</t>
        </is>
      </c>
      <c r="B446" s="1" t="n">
        <v>44755.8713425926</v>
      </c>
      <c r="C446" s="1" t="n">
        <v>46167</v>
      </c>
      <c r="D446" t="inlineStr">
        <is>
          <t>GOTLANDS LÄN</t>
        </is>
      </c>
      <c r="E446" t="inlineStr">
        <is>
          <t>GOTLAND</t>
        </is>
      </c>
      <c r="G446" t="n">
        <v>11.5</v>
      </c>
      <c r="H446" t="n">
        <v>0</v>
      </c>
      <c r="I446" t="n">
        <v>0</v>
      </c>
      <c r="J446" t="n">
        <v>0</v>
      </c>
      <c r="K446" t="n">
        <v>0</v>
      </c>
      <c r="L446" t="n">
        <v>0</v>
      </c>
      <c r="M446" t="n">
        <v>0</v>
      </c>
      <c r="N446" t="n">
        <v>0</v>
      </c>
      <c r="O446" t="n">
        <v>0</v>
      </c>
      <c r="P446" t="n">
        <v>0</v>
      </c>
      <c r="Q446" t="n">
        <v>0</v>
      </c>
      <c r="R446" s="2" t="inlineStr"/>
    </row>
    <row r="447" ht="15" customHeight="1">
      <c r="A447" t="inlineStr">
        <is>
          <t>A 63002-2025</t>
        </is>
      </c>
      <c r="B447" s="1" t="n">
        <v>46009.56564814815</v>
      </c>
      <c r="C447" s="1" t="n">
        <v>46167</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16361-2024</t>
        </is>
      </c>
      <c r="B448" s="1" t="n">
        <v>45407</v>
      </c>
      <c r="C448" s="1" t="n">
        <v>46167</v>
      </c>
      <c r="D448" t="inlineStr">
        <is>
          <t>GOTLANDS LÄN</t>
        </is>
      </c>
      <c r="E448" t="inlineStr">
        <is>
          <t>GOTLAND</t>
        </is>
      </c>
      <c r="G448" t="n">
        <v>6</v>
      </c>
      <c r="H448" t="n">
        <v>0</v>
      </c>
      <c r="I448" t="n">
        <v>0</v>
      </c>
      <c r="J448" t="n">
        <v>0</v>
      </c>
      <c r="K448" t="n">
        <v>0</v>
      </c>
      <c r="L448" t="n">
        <v>0</v>
      </c>
      <c r="M448" t="n">
        <v>0</v>
      </c>
      <c r="N448" t="n">
        <v>0</v>
      </c>
      <c r="O448" t="n">
        <v>0</v>
      </c>
      <c r="P448" t="n">
        <v>0</v>
      </c>
      <c r="Q448" t="n">
        <v>0</v>
      </c>
      <c r="R448" s="2" t="inlineStr"/>
    </row>
    <row r="449" ht="15" customHeight="1">
      <c r="A449" t="inlineStr">
        <is>
          <t>A 43081-2022</t>
        </is>
      </c>
      <c r="B449" s="1" t="n">
        <v>44833</v>
      </c>
      <c r="C449" s="1" t="n">
        <v>46167</v>
      </c>
      <c r="D449" t="inlineStr">
        <is>
          <t>GOTLANDS LÄN</t>
        </is>
      </c>
      <c r="E449" t="inlineStr">
        <is>
          <t>GOTLAND</t>
        </is>
      </c>
      <c r="G449" t="n">
        <v>6.8</v>
      </c>
      <c r="H449" t="n">
        <v>0</v>
      </c>
      <c r="I449" t="n">
        <v>0</v>
      </c>
      <c r="J449" t="n">
        <v>0</v>
      </c>
      <c r="K449" t="n">
        <v>0</v>
      </c>
      <c r="L449" t="n">
        <v>0</v>
      </c>
      <c r="M449" t="n">
        <v>0</v>
      </c>
      <c r="N449" t="n">
        <v>0</v>
      </c>
      <c r="O449" t="n">
        <v>0</v>
      </c>
      <c r="P449" t="n">
        <v>0</v>
      </c>
      <c r="Q449" t="n">
        <v>0</v>
      </c>
      <c r="R449" s="2" t="inlineStr"/>
    </row>
    <row r="450" ht="15" customHeight="1">
      <c r="A450" t="inlineStr">
        <is>
          <t>A 1175-2025</t>
        </is>
      </c>
      <c r="B450" s="1" t="n">
        <v>45667.34449074074</v>
      </c>
      <c r="C450" s="1" t="n">
        <v>46167</v>
      </c>
      <c r="D450" t="inlineStr">
        <is>
          <t>GOTLANDS LÄN</t>
        </is>
      </c>
      <c r="E450" t="inlineStr">
        <is>
          <t>GOTLAND</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38649-2025</t>
        </is>
      </c>
      <c r="B451" s="1" t="n">
        <v>45884</v>
      </c>
      <c r="C451" s="1" t="n">
        <v>46167</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3150-2025</t>
        </is>
      </c>
      <c r="B452" s="1" t="n">
        <v>45679.28974537037</v>
      </c>
      <c r="C452" s="1" t="n">
        <v>46167</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61078-2025</t>
        </is>
      </c>
      <c r="B453" s="1" t="n">
        <v>46000</v>
      </c>
      <c r="C453" s="1" t="n">
        <v>46167</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36-2026</t>
        </is>
      </c>
      <c r="B454" s="1" t="n">
        <v>46024.38886574074</v>
      </c>
      <c r="C454" s="1" t="n">
        <v>46167</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42041-2024</t>
        </is>
      </c>
      <c r="B455" s="1" t="n">
        <v>45561</v>
      </c>
      <c r="C455" s="1" t="n">
        <v>46167</v>
      </c>
      <c r="D455" t="inlineStr">
        <is>
          <t>GOTLANDS LÄN</t>
        </is>
      </c>
      <c r="E455" t="inlineStr">
        <is>
          <t>GOTLAND</t>
        </is>
      </c>
      <c r="G455" t="n">
        <v>3.2</v>
      </c>
      <c r="H455" t="n">
        <v>0</v>
      </c>
      <c r="I455" t="n">
        <v>0</v>
      </c>
      <c r="J455" t="n">
        <v>0</v>
      </c>
      <c r="K455" t="n">
        <v>0</v>
      </c>
      <c r="L455" t="n">
        <v>0</v>
      </c>
      <c r="M455" t="n">
        <v>0</v>
      </c>
      <c r="N455" t="n">
        <v>0</v>
      </c>
      <c r="O455" t="n">
        <v>0</v>
      </c>
      <c r="P455" t="n">
        <v>0</v>
      </c>
      <c r="Q455" t="n">
        <v>0</v>
      </c>
      <c r="R455" s="2" t="inlineStr"/>
    </row>
    <row r="456" ht="15" customHeight="1">
      <c r="A456" t="inlineStr">
        <is>
          <t>A 1355-2026</t>
        </is>
      </c>
      <c r="B456" s="1" t="n">
        <v>46031.59909722222</v>
      </c>
      <c r="C456" s="1" t="n">
        <v>46167</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15436-2025</t>
        </is>
      </c>
      <c r="B457" s="1" t="n">
        <v>45747.47462962963</v>
      </c>
      <c r="C457" s="1" t="n">
        <v>46167</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1898-2026</t>
        </is>
      </c>
      <c r="B458" s="1" t="n">
        <v>46035.52024305556</v>
      </c>
      <c r="C458" s="1" t="n">
        <v>46167</v>
      </c>
      <c r="D458" t="inlineStr">
        <is>
          <t>GOTLANDS LÄN</t>
        </is>
      </c>
      <c r="E458" t="inlineStr">
        <is>
          <t>GOTLAND</t>
        </is>
      </c>
      <c r="G458" t="n">
        <v>3.7</v>
      </c>
      <c r="H458" t="n">
        <v>0</v>
      </c>
      <c r="I458" t="n">
        <v>0</v>
      </c>
      <c r="J458" t="n">
        <v>0</v>
      </c>
      <c r="K458" t="n">
        <v>0</v>
      </c>
      <c r="L458" t="n">
        <v>0</v>
      </c>
      <c r="M458" t="n">
        <v>0</v>
      </c>
      <c r="N458" t="n">
        <v>0</v>
      </c>
      <c r="O458" t="n">
        <v>0</v>
      </c>
      <c r="P458" t="n">
        <v>0</v>
      </c>
      <c r="Q458" t="n">
        <v>0</v>
      </c>
      <c r="R458" s="2" t="inlineStr"/>
    </row>
    <row r="459" ht="15" customHeight="1">
      <c r="A459" t="inlineStr">
        <is>
          <t>A 21247-2022</t>
        </is>
      </c>
      <c r="B459" s="1" t="n">
        <v>44705.38832175926</v>
      </c>
      <c r="C459" s="1" t="n">
        <v>46167</v>
      </c>
      <c r="D459" t="inlineStr">
        <is>
          <t>GOTLANDS LÄN</t>
        </is>
      </c>
      <c r="E459" t="inlineStr">
        <is>
          <t>GOTLAND</t>
        </is>
      </c>
      <c r="G459" t="n">
        <v>16.2</v>
      </c>
      <c r="H459" t="n">
        <v>0</v>
      </c>
      <c r="I459" t="n">
        <v>0</v>
      </c>
      <c r="J459" t="n">
        <v>0</v>
      </c>
      <c r="K459" t="n">
        <v>0</v>
      </c>
      <c r="L459" t="n">
        <v>0</v>
      </c>
      <c r="M459" t="n">
        <v>0</v>
      </c>
      <c r="N459" t="n">
        <v>0</v>
      </c>
      <c r="O459" t="n">
        <v>0</v>
      </c>
      <c r="P459" t="n">
        <v>0</v>
      </c>
      <c r="Q459" t="n">
        <v>0</v>
      </c>
      <c r="R459" s="2" t="inlineStr"/>
    </row>
    <row r="460" ht="15" customHeight="1">
      <c r="A460" t="inlineStr">
        <is>
          <t>A 2415-2026</t>
        </is>
      </c>
      <c r="B460" s="1" t="n">
        <v>46036.76203703704</v>
      </c>
      <c r="C460" s="1" t="n">
        <v>46167</v>
      </c>
      <c r="D460" t="inlineStr">
        <is>
          <t>GOTLANDS LÄN</t>
        </is>
      </c>
      <c r="E460" t="inlineStr">
        <is>
          <t>GOTLAND</t>
        </is>
      </c>
      <c r="G460" t="n">
        <v>6.9</v>
      </c>
      <c r="H460" t="n">
        <v>0</v>
      </c>
      <c r="I460" t="n">
        <v>0</v>
      </c>
      <c r="J460" t="n">
        <v>0</v>
      </c>
      <c r="K460" t="n">
        <v>0</v>
      </c>
      <c r="L460" t="n">
        <v>0</v>
      </c>
      <c r="M460" t="n">
        <v>0</v>
      </c>
      <c r="N460" t="n">
        <v>0</v>
      </c>
      <c r="O460" t="n">
        <v>0</v>
      </c>
      <c r="P460" t="n">
        <v>0</v>
      </c>
      <c r="Q460" t="n">
        <v>0</v>
      </c>
      <c r="R460" s="2" t="inlineStr"/>
    </row>
    <row r="461" ht="15" customHeight="1">
      <c r="A461" t="inlineStr">
        <is>
          <t>A 17780-2022</t>
        </is>
      </c>
      <c r="B461" s="1" t="n">
        <v>44682.82622685185</v>
      </c>
      <c r="C461" s="1" t="n">
        <v>46167</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3253-2026</t>
        </is>
      </c>
      <c r="B462" s="1" t="n">
        <v>46041.58902777778</v>
      </c>
      <c r="C462" s="1" t="n">
        <v>46167</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63516-2023</t>
        </is>
      </c>
      <c r="B463" s="1" t="n">
        <v>45274</v>
      </c>
      <c r="C463" s="1" t="n">
        <v>46167</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53935-2024</t>
        </is>
      </c>
      <c r="B464" s="1" t="n">
        <v>45615</v>
      </c>
      <c r="C464" s="1" t="n">
        <v>46167</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46167</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48734-2022</t>
        </is>
      </c>
      <c r="B466" s="1" t="n">
        <v>44855</v>
      </c>
      <c r="C466" s="1" t="n">
        <v>46167</v>
      </c>
      <c r="D466" t="inlineStr">
        <is>
          <t>GOTLANDS LÄN</t>
        </is>
      </c>
      <c r="E466" t="inlineStr">
        <is>
          <t>GOTLAND</t>
        </is>
      </c>
      <c r="G466" t="n">
        <v>1.6</v>
      </c>
      <c r="H466" t="n">
        <v>0</v>
      </c>
      <c r="I466" t="n">
        <v>0</v>
      </c>
      <c r="J466" t="n">
        <v>0</v>
      </c>
      <c r="K466" t="n">
        <v>0</v>
      </c>
      <c r="L466" t="n">
        <v>0</v>
      </c>
      <c r="M466" t="n">
        <v>0</v>
      </c>
      <c r="N466" t="n">
        <v>0</v>
      </c>
      <c r="O466" t="n">
        <v>0</v>
      </c>
      <c r="P466" t="n">
        <v>0</v>
      </c>
      <c r="Q466" t="n">
        <v>0</v>
      </c>
      <c r="R466" s="2" t="inlineStr"/>
    </row>
    <row r="467" ht="15" customHeight="1">
      <c r="A467" t="inlineStr">
        <is>
          <t>A 23516-2023</t>
        </is>
      </c>
      <c r="B467" s="1" t="n">
        <v>45076.93391203704</v>
      </c>
      <c r="C467" s="1" t="n">
        <v>46167</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43231-2023</t>
        </is>
      </c>
      <c r="B468" s="1" t="n">
        <v>45183.47025462963</v>
      </c>
      <c r="C468" s="1" t="n">
        <v>46167</v>
      </c>
      <c r="D468" t="inlineStr">
        <is>
          <t>GOTLANDS LÄN</t>
        </is>
      </c>
      <c r="E468" t="inlineStr">
        <is>
          <t>GOTLAND</t>
        </is>
      </c>
      <c r="G468" t="n">
        <v>3.6</v>
      </c>
      <c r="H468" t="n">
        <v>0</v>
      </c>
      <c r="I468" t="n">
        <v>0</v>
      </c>
      <c r="J468" t="n">
        <v>0</v>
      </c>
      <c r="K468" t="n">
        <v>0</v>
      </c>
      <c r="L468" t="n">
        <v>0</v>
      </c>
      <c r="M468" t="n">
        <v>0</v>
      </c>
      <c r="N468" t="n">
        <v>0</v>
      </c>
      <c r="O468" t="n">
        <v>0</v>
      </c>
      <c r="P468" t="n">
        <v>0</v>
      </c>
      <c r="Q468" t="n">
        <v>0</v>
      </c>
      <c r="R468" s="2" t="inlineStr"/>
    </row>
    <row r="469" ht="15" customHeight="1">
      <c r="A469" t="inlineStr">
        <is>
          <t>A 58230-2024</t>
        </is>
      </c>
      <c r="B469" s="1" t="n">
        <v>45632.51625</v>
      </c>
      <c r="C469" s="1" t="n">
        <v>46167</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64555-2023</t>
        </is>
      </c>
      <c r="B470" s="1" t="n">
        <v>45281</v>
      </c>
      <c r="C470" s="1" t="n">
        <v>46167</v>
      </c>
      <c r="D470" t="inlineStr">
        <is>
          <t>GOTLANDS LÄN</t>
        </is>
      </c>
      <c r="E470" t="inlineStr">
        <is>
          <t>GOTLAND</t>
        </is>
      </c>
      <c r="G470" t="n">
        <v>3.5</v>
      </c>
      <c r="H470" t="n">
        <v>0</v>
      </c>
      <c r="I470" t="n">
        <v>0</v>
      </c>
      <c r="J470" t="n">
        <v>0</v>
      </c>
      <c r="K470" t="n">
        <v>0</v>
      </c>
      <c r="L470" t="n">
        <v>0</v>
      </c>
      <c r="M470" t="n">
        <v>0</v>
      </c>
      <c r="N470" t="n">
        <v>0</v>
      </c>
      <c r="O470" t="n">
        <v>0</v>
      </c>
      <c r="P470" t="n">
        <v>0</v>
      </c>
      <c r="Q470" t="n">
        <v>0</v>
      </c>
      <c r="R470" s="2" t="inlineStr"/>
    </row>
    <row r="471" ht="15" customHeight="1">
      <c r="A471" t="inlineStr">
        <is>
          <t>A 1839-2026</t>
        </is>
      </c>
      <c r="B471" s="1" t="n">
        <v>46035.3942824074</v>
      </c>
      <c r="C471" s="1" t="n">
        <v>46167</v>
      </c>
      <c r="D471" t="inlineStr">
        <is>
          <t>GOTLANDS LÄN</t>
        </is>
      </c>
      <c r="E471" t="inlineStr">
        <is>
          <t>GOTLAND</t>
        </is>
      </c>
      <c r="G471" t="n">
        <v>3.5</v>
      </c>
      <c r="H471" t="n">
        <v>0</v>
      </c>
      <c r="I471" t="n">
        <v>0</v>
      </c>
      <c r="J471" t="n">
        <v>0</v>
      </c>
      <c r="K471" t="n">
        <v>0</v>
      </c>
      <c r="L471" t="n">
        <v>0</v>
      </c>
      <c r="M471" t="n">
        <v>0</v>
      </c>
      <c r="N471" t="n">
        <v>0</v>
      </c>
      <c r="O471" t="n">
        <v>0</v>
      </c>
      <c r="P471" t="n">
        <v>0</v>
      </c>
      <c r="Q471" t="n">
        <v>0</v>
      </c>
      <c r="R471" s="2" t="inlineStr"/>
    </row>
    <row r="472" ht="15" customHeight="1">
      <c r="A472" t="inlineStr">
        <is>
          <t>A 457-2023</t>
        </is>
      </c>
      <c r="B472" s="1" t="n">
        <v>44929.87238425926</v>
      </c>
      <c r="C472" s="1" t="n">
        <v>46167</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459-2023</t>
        </is>
      </c>
      <c r="B473" s="1" t="n">
        <v>44929.87423611111</v>
      </c>
      <c r="C473" s="1" t="n">
        <v>46167</v>
      </c>
      <c r="D473" t="inlineStr">
        <is>
          <t>GOTLANDS LÄN</t>
        </is>
      </c>
      <c r="E473" t="inlineStr">
        <is>
          <t>GOTLAND</t>
        </is>
      </c>
      <c r="G473" t="n">
        <v>4.2</v>
      </c>
      <c r="H473" t="n">
        <v>0</v>
      </c>
      <c r="I473" t="n">
        <v>0</v>
      </c>
      <c r="J473" t="n">
        <v>0</v>
      </c>
      <c r="K473" t="n">
        <v>0</v>
      </c>
      <c r="L473" t="n">
        <v>0</v>
      </c>
      <c r="M473" t="n">
        <v>0</v>
      </c>
      <c r="N473" t="n">
        <v>0</v>
      </c>
      <c r="O473" t="n">
        <v>0</v>
      </c>
      <c r="P473" t="n">
        <v>0</v>
      </c>
      <c r="Q473" t="n">
        <v>0</v>
      </c>
      <c r="R473" s="2" t="inlineStr"/>
    </row>
    <row r="474" ht="15" customHeight="1">
      <c r="A474" t="inlineStr">
        <is>
          <t>A 4646-2026</t>
        </is>
      </c>
      <c r="B474" s="1" t="n">
        <v>46048.40357638889</v>
      </c>
      <c r="C474" s="1" t="n">
        <v>46167</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4634-2026</t>
        </is>
      </c>
      <c r="B475" s="1" t="n">
        <v>46048.39304398148</v>
      </c>
      <c r="C475" s="1" t="n">
        <v>46167</v>
      </c>
      <c r="D475" t="inlineStr">
        <is>
          <t>GOTLANDS LÄN</t>
        </is>
      </c>
      <c r="E475" t="inlineStr">
        <is>
          <t>GOTLAND</t>
        </is>
      </c>
      <c r="G475" t="n">
        <v>7.8</v>
      </c>
      <c r="H475" t="n">
        <v>0</v>
      </c>
      <c r="I475" t="n">
        <v>0</v>
      </c>
      <c r="J475" t="n">
        <v>0</v>
      </c>
      <c r="K475" t="n">
        <v>0</v>
      </c>
      <c r="L475" t="n">
        <v>0</v>
      </c>
      <c r="M475" t="n">
        <v>0</v>
      </c>
      <c r="N475" t="n">
        <v>0</v>
      </c>
      <c r="O475" t="n">
        <v>0</v>
      </c>
      <c r="P475" t="n">
        <v>0</v>
      </c>
      <c r="Q475" t="n">
        <v>0</v>
      </c>
      <c r="R475" s="2" t="inlineStr"/>
    </row>
    <row r="476" ht="15" customHeight="1">
      <c r="A476" t="inlineStr">
        <is>
          <t>A 4670-2026</t>
        </is>
      </c>
      <c r="B476" s="1" t="n">
        <v>46048.41733796296</v>
      </c>
      <c r="C476" s="1" t="n">
        <v>46167</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876-2024</t>
        </is>
      </c>
      <c r="B477" s="1" t="n">
        <v>45301</v>
      </c>
      <c r="C477" s="1" t="n">
        <v>46167</v>
      </c>
      <c r="D477" t="inlineStr">
        <is>
          <t>GOTLANDS LÄN</t>
        </is>
      </c>
      <c r="E477" t="inlineStr">
        <is>
          <t>GOTLAND</t>
        </is>
      </c>
      <c r="G477" t="n">
        <v>5.3</v>
      </c>
      <c r="H477" t="n">
        <v>0</v>
      </c>
      <c r="I477" t="n">
        <v>0</v>
      </c>
      <c r="J477" t="n">
        <v>0</v>
      </c>
      <c r="K477" t="n">
        <v>0</v>
      </c>
      <c r="L477" t="n">
        <v>0</v>
      </c>
      <c r="M477" t="n">
        <v>0</v>
      </c>
      <c r="N477" t="n">
        <v>0</v>
      </c>
      <c r="O477" t="n">
        <v>0</v>
      </c>
      <c r="P477" t="n">
        <v>0</v>
      </c>
      <c r="Q477" t="n">
        <v>0</v>
      </c>
      <c r="R477" s="2" t="inlineStr"/>
    </row>
    <row r="478" ht="15" customHeight="1">
      <c r="A478" t="inlineStr">
        <is>
          <t>A 26891-2024</t>
        </is>
      </c>
      <c r="B478" s="1" t="n">
        <v>45470.65540509259</v>
      </c>
      <c r="C478" s="1" t="n">
        <v>46167</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5923-2023</t>
        </is>
      </c>
      <c r="B479" s="1" t="n">
        <v>44963.69503472222</v>
      </c>
      <c r="C479" s="1" t="n">
        <v>46167</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50482-2024</t>
        </is>
      </c>
      <c r="B480" s="1" t="n">
        <v>45601.48114583334</v>
      </c>
      <c r="C480" s="1" t="n">
        <v>46167</v>
      </c>
      <c r="D480" t="inlineStr">
        <is>
          <t>GOTLANDS LÄN</t>
        </is>
      </c>
      <c r="E480" t="inlineStr">
        <is>
          <t>GOTLAND</t>
        </is>
      </c>
      <c r="G480" t="n">
        <v>2.3</v>
      </c>
      <c r="H480" t="n">
        <v>0</v>
      </c>
      <c r="I480" t="n">
        <v>0</v>
      </c>
      <c r="J480" t="n">
        <v>0</v>
      </c>
      <c r="K480" t="n">
        <v>0</v>
      </c>
      <c r="L480" t="n">
        <v>0</v>
      </c>
      <c r="M480" t="n">
        <v>0</v>
      </c>
      <c r="N480" t="n">
        <v>0</v>
      </c>
      <c r="O480" t="n">
        <v>0</v>
      </c>
      <c r="P480" t="n">
        <v>0</v>
      </c>
      <c r="Q480" t="n">
        <v>0</v>
      </c>
      <c r="R480" s="2" t="inlineStr"/>
    </row>
    <row r="481" ht="15" customHeight="1">
      <c r="A481" t="inlineStr">
        <is>
          <t>A 5943-2024</t>
        </is>
      </c>
      <c r="B481" s="1" t="n">
        <v>45336</v>
      </c>
      <c r="C481" s="1" t="n">
        <v>46167</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38234-2023</t>
        </is>
      </c>
      <c r="B482" s="1" t="n">
        <v>45161.56663194444</v>
      </c>
      <c r="C482" s="1" t="n">
        <v>46167</v>
      </c>
      <c r="D482" t="inlineStr">
        <is>
          <t>GOTLANDS LÄN</t>
        </is>
      </c>
      <c r="E482" t="inlineStr">
        <is>
          <t>GOTLAND</t>
        </is>
      </c>
      <c r="G482" t="n">
        <v>1.3</v>
      </c>
      <c r="H482" t="n">
        <v>0</v>
      </c>
      <c r="I482" t="n">
        <v>0</v>
      </c>
      <c r="J482" t="n">
        <v>0</v>
      </c>
      <c r="K482" t="n">
        <v>0</v>
      </c>
      <c r="L482" t="n">
        <v>0</v>
      </c>
      <c r="M482" t="n">
        <v>0</v>
      </c>
      <c r="N482" t="n">
        <v>0</v>
      </c>
      <c r="O482" t="n">
        <v>0</v>
      </c>
      <c r="P482" t="n">
        <v>0</v>
      </c>
      <c r="Q482" t="n">
        <v>0</v>
      </c>
      <c r="R482" s="2" t="inlineStr"/>
    </row>
    <row r="483" ht="15" customHeight="1">
      <c r="A483" t="inlineStr">
        <is>
          <t>A 1273-2023</t>
        </is>
      </c>
      <c r="B483" s="1" t="n">
        <v>44936</v>
      </c>
      <c r="C483" s="1" t="n">
        <v>46167</v>
      </c>
      <c r="D483" t="inlineStr">
        <is>
          <t>GOTLANDS LÄN</t>
        </is>
      </c>
      <c r="E483" t="inlineStr">
        <is>
          <t>GOTLAND</t>
        </is>
      </c>
      <c r="G483" t="n">
        <v>4.5</v>
      </c>
      <c r="H483" t="n">
        <v>0</v>
      </c>
      <c r="I483" t="n">
        <v>0</v>
      </c>
      <c r="J483" t="n">
        <v>0</v>
      </c>
      <c r="K483" t="n">
        <v>0</v>
      </c>
      <c r="L483" t="n">
        <v>0</v>
      </c>
      <c r="M483" t="n">
        <v>0</v>
      </c>
      <c r="N483" t="n">
        <v>0</v>
      </c>
      <c r="O483" t="n">
        <v>0</v>
      </c>
      <c r="P483" t="n">
        <v>0</v>
      </c>
      <c r="Q483" t="n">
        <v>0</v>
      </c>
      <c r="R483" s="2" t="inlineStr"/>
    </row>
    <row r="484" ht="15" customHeight="1">
      <c r="A484" t="inlineStr">
        <is>
          <t>A 6207-2026</t>
        </is>
      </c>
      <c r="B484" s="1" t="n">
        <v>46055.42083333333</v>
      </c>
      <c r="C484" s="1" t="n">
        <v>46167</v>
      </c>
      <c r="D484" t="inlineStr">
        <is>
          <t>GOTLANDS LÄN</t>
        </is>
      </c>
      <c r="E484" t="inlineStr">
        <is>
          <t>GOTLAND</t>
        </is>
      </c>
      <c r="G484" t="n">
        <v>7.6</v>
      </c>
      <c r="H484" t="n">
        <v>0</v>
      </c>
      <c r="I484" t="n">
        <v>0</v>
      </c>
      <c r="J484" t="n">
        <v>0</v>
      </c>
      <c r="K484" t="n">
        <v>0</v>
      </c>
      <c r="L484" t="n">
        <v>0</v>
      </c>
      <c r="M484" t="n">
        <v>0</v>
      </c>
      <c r="N484" t="n">
        <v>0</v>
      </c>
      <c r="O484" t="n">
        <v>0</v>
      </c>
      <c r="P484" t="n">
        <v>0</v>
      </c>
      <c r="Q484" t="n">
        <v>0</v>
      </c>
      <c r="R484" s="2" t="inlineStr"/>
    </row>
    <row r="485" ht="15" customHeight="1">
      <c r="A485" t="inlineStr">
        <is>
          <t>A 6218-2026</t>
        </is>
      </c>
      <c r="B485" s="1" t="n">
        <v>46055.42859953704</v>
      </c>
      <c r="C485" s="1" t="n">
        <v>46167</v>
      </c>
      <c r="D485" t="inlineStr">
        <is>
          <t>GOTLANDS LÄN</t>
        </is>
      </c>
      <c r="E485" t="inlineStr">
        <is>
          <t>GOTLAND</t>
        </is>
      </c>
      <c r="G485" t="n">
        <v>4.3</v>
      </c>
      <c r="H485" t="n">
        <v>0</v>
      </c>
      <c r="I485" t="n">
        <v>0</v>
      </c>
      <c r="J485" t="n">
        <v>0</v>
      </c>
      <c r="K485" t="n">
        <v>0</v>
      </c>
      <c r="L485" t="n">
        <v>0</v>
      </c>
      <c r="M485" t="n">
        <v>0</v>
      </c>
      <c r="N485" t="n">
        <v>0</v>
      </c>
      <c r="O485" t="n">
        <v>0</v>
      </c>
      <c r="P485" t="n">
        <v>0</v>
      </c>
      <c r="Q485" t="n">
        <v>0</v>
      </c>
      <c r="R485" s="2" t="inlineStr"/>
    </row>
    <row r="486" ht="15" customHeight="1">
      <c r="A486" t="inlineStr">
        <is>
          <t>A 6959-2026</t>
        </is>
      </c>
      <c r="B486" s="1" t="n">
        <v>46057.580625</v>
      </c>
      <c r="C486" s="1" t="n">
        <v>46167</v>
      </c>
      <c r="D486" t="inlineStr">
        <is>
          <t>GOTLANDS LÄN</t>
        </is>
      </c>
      <c r="E486" t="inlineStr">
        <is>
          <t>GOTLAND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17724-2024</t>
        </is>
      </c>
      <c r="B487" s="1" t="n">
        <v>45418.55096064815</v>
      </c>
      <c r="C487" s="1" t="n">
        <v>46167</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6960-2026</t>
        </is>
      </c>
      <c r="B488" s="1" t="n">
        <v>46057.58105324074</v>
      </c>
      <c r="C488" s="1" t="n">
        <v>46167</v>
      </c>
      <c r="D488" t="inlineStr">
        <is>
          <t>GOTLANDS LÄN</t>
        </is>
      </c>
      <c r="E488" t="inlineStr">
        <is>
          <t>GOTLAND</t>
        </is>
      </c>
      <c r="F488" t="inlineStr">
        <is>
          <t>Kyrkan</t>
        </is>
      </c>
      <c r="G488" t="n">
        <v>2.4</v>
      </c>
      <c r="H488" t="n">
        <v>0</v>
      </c>
      <c r="I488" t="n">
        <v>0</v>
      </c>
      <c r="J488" t="n">
        <v>0</v>
      </c>
      <c r="K488" t="n">
        <v>0</v>
      </c>
      <c r="L488" t="n">
        <v>0</v>
      </c>
      <c r="M488" t="n">
        <v>0</v>
      </c>
      <c r="N488" t="n">
        <v>0</v>
      </c>
      <c r="O488" t="n">
        <v>0</v>
      </c>
      <c r="P488" t="n">
        <v>0</v>
      </c>
      <c r="Q488" t="n">
        <v>0</v>
      </c>
      <c r="R488" s="2" t="inlineStr"/>
    </row>
    <row r="489" ht="15" customHeight="1">
      <c r="A489" t="inlineStr">
        <is>
          <t>A 23978-2023</t>
        </is>
      </c>
      <c r="B489" s="1" t="n">
        <v>45078</v>
      </c>
      <c r="C489" s="1" t="n">
        <v>46167</v>
      </c>
      <c r="D489" t="inlineStr">
        <is>
          <t>GOTLANDS LÄN</t>
        </is>
      </c>
      <c r="E489" t="inlineStr">
        <is>
          <t>GOTLAND</t>
        </is>
      </c>
      <c r="F489" t="inlineStr">
        <is>
          <t>Naturvårdsverket</t>
        </is>
      </c>
      <c r="G489" t="n">
        <v>1.7</v>
      </c>
      <c r="H489" t="n">
        <v>0</v>
      </c>
      <c r="I489" t="n">
        <v>0</v>
      </c>
      <c r="J489" t="n">
        <v>0</v>
      </c>
      <c r="K489" t="n">
        <v>0</v>
      </c>
      <c r="L489" t="n">
        <v>0</v>
      </c>
      <c r="M489" t="n">
        <v>0</v>
      </c>
      <c r="N489" t="n">
        <v>0</v>
      </c>
      <c r="O489" t="n">
        <v>0</v>
      </c>
      <c r="P489" t="n">
        <v>0</v>
      </c>
      <c r="Q489" t="n">
        <v>0</v>
      </c>
      <c r="R489" s="2" t="inlineStr"/>
    </row>
    <row r="490" ht="15" customHeight="1">
      <c r="A490" t="inlineStr">
        <is>
          <t>A 49884-2023</t>
        </is>
      </c>
      <c r="B490" s="1" t="n">
        <v>45213</v>
      </c>
      <c r="C490" s="1" t="n">
        <v>46167</v>
      </c>
      <c r="D490" t="inlineStr">
        <is>
          <t>GOTLANDS LÄN</t>
        </is>
      </c>
      <c r="E490" t="inlineStr">
        <is>
          <t>GOTLAND</t>
        </is>
      </c>
      <c r="G490" t="n">
        <v>8.9</v>
      </c>
      <c r="H490" t="n">
        <v>0</v>
      </c>
      <c r="I490" t="n">
        <v>0</v>
      </c>
      <c r="J490" t="n">
        <v>0</v>
      </c>
      <c r="K490" t="n">
        <v>0</v>
      </c>
      <c r="L490" t="n">
        <v>0</v>
      </c>
      <c r="M490" t="n">
        <v>0</v>
      </c>
      <c r="N490" t="n">
        <v>0</v>
      </c>
      <c r="O490" t="n">
        <v>0</v>
      </c>
      <c r="P490" t="n">
        <v>0</v>
      </c>
      <c r="Q490" t="n">
        <v>0</v>
      </c>
      <c r="R490" s="2" t="inlineStr"/>
    </row>
    <row r="491" ht="15" customHeight="1">
      <c r="A491" t="inlineStr">
        <is>
          <t>A 12846-2025</t>
        </is>
      </c>
      <c r="B491" s="1" t="n">
        <v>45733.65049768519</v>
      </c>
      <c r="C491" s="1" t="n">
        <v>46167</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43200-2023</t>
        </is>
      </c>
      <c r="B492" s="1" t="n">
        <v>45183</v>
      </c>
      <c r="C492" s="1" t="n">
        <v>46167</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7627-2026</t>
        </is>
      </c>
      <c r="B493" s="1" t="n">
        <v>46062.35465277778</v>
      </c>
      <c r="C493" s="1" t="n">
        <v>46167</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63105-2025</t>
        </is>
      </c>
      <c r="B494" s="1" t="n">
        <v>46009</v>
      </c>
      <c r="C494" s="1" t="n">
        <v>46167</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3935-2025</t>
        </is>
      </c>
      <c r="B495" s="1" t="n">
        <v>45684.46070601852</v>
      </c>
      <c r="C495" s="1" t="n">
        <v>46167</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7625-2026</t>
        </is>
      </c>
      <c r="B496" s="1" t="n">
        <v>46062.35135416667</v>
      </c>
      <c r="C496" s="1" t="n">
        <v>46167</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2135-2026</t>
        </is>
      </c>
      <c r="B497" s="1" t="n">
        <v>46036</v>
      </c>
      <c r="C497" s="1" t="n">
        <v>46167</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2134-2026</t>
        </is>
      </c>
      <c r="B498" s="1" t="n">
        <v>46036</v>
      </c>
      <c r="C498" s="1" t="n">
        <v>46167</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21792-2024</t>
        </is>
      </c>
      <c r="B499" s="1" t="n">
        <v>45442.64326388889</v>
      </c>
      <c r="C499" s="1" t="n">
        <v>46167</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48843-2024</t>
        </is>
      </c>
      <c r="B500" s="1" t="n">
        <v>45593</v>
      </c>
      <c r="C500" s="1" t="n">
        <v>46167</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53561-2025</t>
        </is>
      </c>
      <c r="B501" s="1" t="n">
        <v>45960.4059375</v>
      </c>
      <c r="C501" s="1" t="n">
        <v>46167</v>
      </c>
      <c r="D501" t="inlineStr">
        <is>
          <t>GOTLANDS LÄN</t>
        </is>
      </c>
      <c r="E501" t="inlineStr">
        <is>
          <t>GOTLAND</t>
        </is>
      </c>
      <c r="F501" t="inlineStr">
        <is>
          <t>Övriga Aktiebolag</t>
        </is>
      </c>
      <c r="G501" t="n">
        <v>2.4</v>
      </c>
      <c r="H501" t="n">
        <v>0</v>
      </c>
      <c r="I501" t="n">
        <v>0</v>
      </c>
      <c r="J501" t="n">
        <v>0</v>
      </c>
      <c r="K501" t="n">
        <v>0</v>
      </c>
      <c r="L501" t="n">
        <v>0</v>
      </c>
      <c r="M501" t="n">
        <v>0</v>
      </c>
      <c r="N501" t="n">
        <v>0</v>
      </c>
      <c r="O501" t="n">
        <v>0</v>
      </c>
      <c r="P501" t="n">
        <v>0</v>
      </c>
      <c r="Q501" t="n">
        <v>0</v>
      </c>
      <c r="R501" s="2" t="inlineStr"/>
    </row>
    <row r="502" ht="15" customHeight="1">
      <c r="A502" t="inlineStr">
        <is>
          <t>A 53587-2025</t>
        </is>
      </c>
      <c r="B502" s="1" t="n">
        <v>45960.43681712963</v>
      </c>
      <c r="C502" s="1" t="n">
        <v>46167</v>
      </c>
      <c r="D502" t="inlineStr">
        <is>
          <t>GOTLANDS LÄN</t>
        </is>
      </c>
      <c r="E502" t="inlineStr">
        <is>
          <t>GOTLAND</t>
        </is>
      </c>
      <c r="F502" t="inlineStr">
        <is>
          <t>Övriga Aktiebolag</t>
        </is>
      </c>
      <c r="G502" t="n">
        <v>1.7</v>
      </c>
      <c r="H502" t="n">
        <v>0</v>
      </c>
      <c r="I502" t="n">
        <v>0</v>
      </c>
      <c r="J502" t="n">
        <v>0</v>
      </c>
      <c r="K502" t="n">
        <v>0</v>
      </c>
      <c r="L502" t="n">
        <v>0</v>
      </c>
      <c r="M502" t="n">
        <v>0</v>
      </c>
      <c r="N502" t="n">
        <v>0</v>
      </c>
      <c r="O502" t="n">
        <v>0</v>
      </c>
      <c r="P502" t="n">
        <v>0</v>
      </c>
      <c r="Q502" t="n">
        <v>0</v>
      </c>
      <c r="R502" s="2" t="inlineStr"/>
    </row>
    <row r="503" ht="15" customHeight="1">
      <c r="A503" t="inlineStr">
        <is>
          <t>A 9540-2026</t>
        </is>
      </c>
      <c r="B503" s="1" t="n">
        <v>46071.61961805556</v>
      </c>
      <c r="C503" s="1" t="n">
        <v>46167</v>
      </c>
      <c r="D503" t="inlineStr">
        <is>
          <t>GOTLANDS LÄN</t>
        </is>
      </c>
      <c r="E503" t="inlineStr">
        <is>
          <t>GOTLAND</t>
        </is>
      </c>
      <c r="G503" t="n">
        <v>2.8</v>
      </c>
      <c r="H503" t="n">
        <v>0</v>
      </c>
      <c r="I503" t="n">
        <v>0</v>
      </c>
      <c r="J503" t="n">
        <v>0</v>
      </c>
      <c r="K503" t="n">
        <v>0</v>
      </c>
      <c r="L503" t="n">
        <v>0</v>
      </c>
      <c r="M503" t="n">
        <v>0</v>
      </c>
      <c r="N503" t="n">
        <v>0</v>
      </c>
      <c r="O503" t="n">
        <v>0</v>
      </c>
      <c r="P503" t="n">
        <v>0</v>
      </c>
      <c r="Q503" t="n">
        <v>0</v>
      </c>
      <c r="R503" s="2" t="inlineStr"/>
    </row>
    <row r="504" ht="15" customHeight="1">
      <c r="A504" t="inlineStr">
        <is>
          <t>A 10653-2023</t>
        </is>
      </c>
      <c r="B504" s="1" t="n">
        <v>44988.48859953704</v>
      </c>
      <c r="C504" s="1" t="n">
        <v>46167</v>
      </c>
      <c r="D504" t="inlineStr">
        <is>
          <t>GOTLANDS LÄN</t>
        </is>
      </c>
      <c r="E504" t="inlineStr">
        <is>
          <t>GOTLAND</t>
        </is>
      </c>
      <c r="F504" t="inlineStr">
        <is>
          <t>Kyrkan</t>
        </is>
      </c>
      <c r="G504" t="n">
        <v>3</v>
      </c>
      <c r="H504" t="n">
        <v>0</v>
      </c>
      <c r="I504" t="n">
        <v>0</v>
      </c>
      <c r="J504" t="n">
        <v>0</v>
      </c>
      <c r="K504" t="n">
        <v>0</v>
      </c>
      <c r="L504" t="n">
        <v>0</v>
      </c>
      <c r="M504" t="n">
        <v>0</v>
      </c>
      <c r="N504" t="n">
        <v>0</v>
      </c>
      <c r="O504" t="n">
        <v>0</v>
      </c>
      <c r="P504" t="n">
        <v>0</v>
      </c>
      <c r="Q504" t="n">
        <v>0</v>
      </c>
      <c r="R504" s="2" t="inlineStr"/>
    </row>
    <row r="505" ht="15" customHeight="1">
      <c r="A505" t="inlineStr">
        <is>
          <t>A 9521-2026</t>
        </is>
      </c>
      <c r="B505" s="1" t="n">
        <v>46071.59969907408</v>
      </c>
      <c r="C505" s="1" t="n">
        <v>46167</v>
      </c>
      <c r="D505" t="inlineStr">
        <is>
          <t>GOTLANDS LÄN</t>
        </is>
      </c>
      <c r="E505" t="inlineStr">
        <is>
          <t>GOTLAND</t>
        </is>
      </c>
      <c r="G505" t="n">
        <v>3.9</v>
      </c>
      <c r="H505" t="n">
        <v>0</v>
      </c>
      <c r="I505" t="n">
        <v>0</v>
      </c>
      <c r="J505" t="n">
        <v>0</v>
      </c>
      <c r="K505" t="n">
        <v>0</v>
      </c>
      <c r="L505" t="n">
        <v>0</v>
      </c>
      <c r="M505" t="n">
        <v>0</v>
      </c>
      <c r="N505" t="n">
        <v>0</v>
      </c>
      <c r="O505" t="n">
        <v>0</v>
      </c>
      <c r="P505" t="n">
        <v>0</v>
      </c>
      <c r="Q505" t="n">
        <v>0</v>
      </c>
      <c r="R505" s="2" t="inlineStr"/>
    </row>
    <row r="506" ht="15" customHeight="1">
      <c r="A506" t="inlineStr">
        <is>
          <t>A 9524-2026</t>
        </is>
      </c>
      <c r="B506" s="1" t="n">
        <v>46071.60108796296</v>
      </c>
      <c r="C506" s="1" t="n">
        <v>46167</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9543-2026</t>
        </is>
      </c>
      <c r="B507" s="1" t="n">
        <v>46071.62486111111</v>
      </c>
      <c r="C507" s="1" t="n">
        <v>46167</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9504-2026</t>
        </is>
      </c>
      <c r="B508" s="1" t="n">
        <v>46071.57730324074</v>
      </c>
      <c r="C508" s="1" t="n">
        <v>46167</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9518-2026</t>
        </is>
      </c>
      <c r="B509" s="1" t="n">
        <v>46071.59653935185</v>
      </c>
      <c r="C509" s="1" t="n">
        <v>46167</v>
      </c>
      <c r="D509" t="inlineStr">
        <is>
          <t>GOTLANDS LÄN</t>
        </is>
      </c>
      <c r="E509" t="inlineStr">
        <is>
          <t>GOTLAND</t>
        </is>
      </c>
      <c r="G509" t="n">
        <v>6.2</v>
      </c>
      <c r="H509" t="n">
        <v>0</v>
      </c>
      <c r="I509" t="n">
        <v>0</v>
      </c>
      <c r="J509" t="n">
        <v>0</v>
      </c>
      <c r="K509" t="n">
        <v>0</v>
      </c>
      <c r="L509" t="n">
        <v>0</v>
      </c>
      <c r="M509" t="n">
        <v>0</v>
      </c>
      <c r="N509" t="n">
        <v>0</v>
      </c>
      <c r="O509" t="n">
        <v>0</v>
      </c>
      <c r="P509" t="n">
        <v>0</v>
      </c>
      <c r="Q509" t="n">
        <v>0</v>
      </c>
      <c r="R509" s="2" t="inlineStr"/>
    </row>
    <row r="510" ht="15" customHeight="1">
      <c r="A510" t="inlineStr">
        <is>
          <t>A 9519-2026</t>
        </is>
      </c>
      <c r="B510" s="1" t="n">
        <v>46071.59820601852</v>
      </c>
      <c r="C510" s="1" t="n">
        <v>46167</v>
      </c>
      <c r="D510" t="inlineStr">
        <is>
          <t>GOTLANDS LÄN</t>
        </is>
      </c>
      <c r="E510" t="inlineStr">
        <is>
          <t>GOTLAND</t>
        </is>
      </c>
      <c r="G510" t="n">
        <v>4</v>
      </c>
      <c r="H510" t="n">
        <v>0</v>
      </c>
      <c r="I510" t="n">
        <v>0</v>
      </c>
      <c r="J510" t="n">
        <v>0</v>
      </c>
      <c r="K510" t="n">
        <v>0</v>
      </c>
      <c r="L510" t="n">
        <v>0</v>
      </c>
      <c r="M510" t="n">
        <v>0</v>
      </c>
      <c r="N510" t="n">
        <v>0</v>
      </c>
      <c r="O510" t="n">
        <v>0</v>
      </c>
      <c r="P510" t="n">
        <v>0</v>
      </c>
      <c r="Q510" t="n">
        <v>0</v>
      </c>
      <c r="R510" s="2" t="inlineStr"/>
    </row>
    <row r="511" ht="15" customHeight="1">
      <c r="A511" t="inlineStr">
        <is>
          <t>A 9901-2026</t>
        </is>
      </c>
      <c r="B511" s="1" t="n">
        <v>46073.40391203704</v>
      </c>
      <c r="C511" s="1" t="n">
        <v>46167</v>
      </c>
      <c r="D511" t="inlineStr">
        <is>
          <t>GOTLANDS LÄN</t>
        </is>
      </c>
      <c r="E511" t="inlineStr">
        <is>
          <t>GOTLAND</t>
        </is>
      </c>
      <c r="F511" t="inlineStr">
        <is>
          <t>Kyrkan</t>
        </is>
      </c>
      <c r="G511" t="n">
        <v>0.9</v>
      </c>
      <c r="H511" t="n">
        <v>0</v>
      </c>
      <c r="I511" t="n">
        <v>0</v>
      </c>
      <c r="J511" t="n">
        <v>0</v>
      </c>
      <c r="K511" t="n">
        <v>0</v>
      </c>
      <c r="L511" t="n">
        <v>0</v>
      </c>
      <c r="M511" t="n">
        <v>0</v>
      </c>
      <c r="N511" t="n">
        <v>0</v>
      </c>
      <c r="O511" t="n">
        <v>0</v>
      </c>
      <c r="P511" t="n">
        <v>0</v>
      </c>
      <c r="Q511" t="n">
        <v>0</v>
      </c>
      <c r="R511" s="2" t="inlineStr"/>
    </row>
    <row r="512" ht="15" customHeight="1">
      <c r="A512" t="inlineStr">
        <is>
          <t>A 35512-2023</t>
        </is>
      </c>
      <c r="B512" s="1" t="n">
        <v>45147.25623842593</v>
      </c>
      <c r="C512" s="1" t="n">
        <v>46167</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11874-2024</t>
        </is>
      </c>
      <c r="B513" s="1" t="n">
        <v>45376.46956018519</v>
      </c>
      <c r="C513" s="1" t="n">
        <v>46167</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10284-2026</t>
        </is>
      </c>
      <c r="B514" s="1" t="n">
        <v>46076</v>
      </c>
      <c r="C514" s="1" t="n">
        <v>46167</v>
      </c>
      <c r="D514" t="inlineStr">
        <is>
          <t>GOTLANDS LÄN</t>
        </is>
      </c>
      <c r="E514" t="inlineStr">
        <is>
          <t>GOTLAND</t>
        </is>
      </c>
      <c r="G514" t="n">
        <v>5.2</v>
      </c>
      <c r="H514" t="n">
        <v>0</v>
      </c>
      <c r="I514" t="n">
        <v>0</v>
      </c>
      <c r="J514" t="n">
        <v>0</v>
      </c>
      <c r="K514" t="n">
        <v>0</v>
      </c>
      <c r="L514" t="n">
        <v>0</v>
      </c>
      <c r="M514" t="n">
        <v>0</v>
      </c>
      <c r="N514" t="n">
        <v>0</v>
      </c>
      <c r="O514" t="n">
        <v>0</v>
      </c>
      <c r="P514" t="n">
        <v>0</v>
      </c>
      <c r="Q514" t="n">
        <v>0</v>
      </c>
      <c r="R514" s="2" t="inlineStr"/>
    </row>
    <row r="515" ht="15" customHeight="1">
      <c r="A515" t="inlineStr">
        <is>
          <t>A 10486-2026</t>
        </is>
      </c>
      <c r="B515" s="1" t="n">
        <v>46077.51425925926</v>
      </c>
      <c r="C515" s="1" t="n">
        <v>46167</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60384-2025</t>
        </is>
      </c>
      <c r="B516" s="1" t="n">
        <v>45995</v>
      </c>
      <c r="C516" s="1" t="n">
        <v>46167</v>
      </c>
      <c r="D516" t="inlineStr">
        <is>
          <t>GOTLANDS LÄN</t>
        </is>
      </c>
      <c r="E516" t="inlineStr">
        <is>
          <t>GOTLAND</t>
        </is>
      </c>
      <c r="G516" t="n">
        <v>2.5</v>
      </c>
      <c r="H516" t="n">
        <v>0</v>
      </c>
      <c r="I516" t="n">
        <v>0</v>
      </c>
      <c r="J516" t="n">
        <v>0</v>
      </c>
      <c r="K516" t="n">
        <v>0</v>
      </c>
      <c r="L516" t="n">
        <v>0</v>
      </c>
      <c r="M516" t="n">
        <v>0</v>
      </c>
      <c r="N516" t="n">
        <v>0</v>
      </c>
      <c r="O516" t="n">
        <v>0</v>
      </c>
      <c r="P516" t="n">
        <v>0</v>
      </c>
      <c r="Q516" t="n">
        <v>0</v>
      </c>
      <c r="R516" s="2" t="inlineStr"/>
    </row>
    <row r="517" ht="15" customHeight="1">
      <c r="A517" t="inlineStr">
        <is>
          <t>A 20225-2025</t>
        </is>
      </c>
      <c r="B517" s="1" t="n">
        <v>45772.65802083333</v>
      </c>
      <c r="C517" s="1" t="n">
        <v>46167</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1677-2023</t>
        </is>
      </c>
      <c r="B518" s="1" t="n">
        <v>44938</v>
      </c>
      <c r="C518" s="1" t="n">
        <v>46167</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64831-2023</t>
        </is>
      </c>
      <c r="B519" s="1" t="n">
        <v>45282.44924768519</v>
      </c>
      <c r="C519" s="1" t="n">
        <v>46167</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54584-2025</t>
        </is>
      </c>
      <c r="B520" s="1" t="n">
        <v>45965.71788194445</v>
      </c>
      <c r="C520" s="1" t="n">
        <v>46167</v>
      </c>
      <c r="D520" t="inlineStr">
        <is>
          <t>GOTLANDS LÄN</t>
        </is>
      </c>
      <c r="E520" t="inlineStr">
        <is>
          <t>GOTLAND</t>
        </is>
      </c>
      <c r="G520" t="n">
        <v>3.5</v>
      </c>
      <c r="H520" t="n">
        <v>0</v>
      </c>
      <c r="I520" t="n">
        <v>0</v>
      </c>
      <c r="J520" t="n">
        <v>0</v>
      </c>
      <c r="K520" t="n">
        <v>0</v>
      </c>
      <c r="L520" t="n">
        <v>0</v>
      </c>
      <c r="M520" t="n">
        <v>0</v>
      </c>
      <c r="N520" t="n">
        <v>0</v>
      </c>
      <c r="O520" t="n">
        <v>0</v>
      </c>
      <c r="P520" t="n">
        <v>0</v>
      </c>
      <c r="Q520" t="n">
        <v>0</v>
      </c>
      <c r="R520" s="2" t="inlineStr"/>
    </row>
    <row r="521" ht="15" customHeight="1">
      <c r="A521" t="inlineStr">
        <is>
          <t>A 11424-2026</t>
        </is>
      </c>
      <c r="B521" s="1" t="n">
        <v>46083.48068287037</v>
      </c>
      <c r="C521" s="1" t="n">
        <v>46167</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3067-2026</t>
        </is>
      </c>
      <c r="B522" s="1" t="n">
        <v>46040.59025462963</v>
      </c>
      <c r="C522" s="1" t="n">
        <v>46167</v>
      </c>
      <c r="D522" t="inlineStr">
        <is>
          <t>GOTLANDS LÄN</t>
        </is>
      </c>
      <c r="E522" t="inlineStr">
        <is>
          <t>GOTLAND</t>
        </is>
      </c>
      <c r="G522" t="n">
        <v>7.8</v>
      </c>
      <c r="H522" t="n">
        <v>0</v>
      </c>
      <c r="I522" t="n">
        <v>0</v>
      </c>
      <c r="J522" t="n">
        <v>0</v>
      </c>
      <c r="K522" t="n">
        <v>0</v>
      </c>
      <c r="L522" t="n">
        <v>0</v>
      </c>
      <c r="M522" t="n">
        <v>0</v>
      </c>
      <c r="N522" t="n">
        <v>0</v>
      </c>
      <c r="O522" t="n">
        <v>0</v>
      </c>
      <c r="P522" t="n">
        <v>0</v>
      </c>
      <c r="Q522" t="n">
        <v>0</v>
      </c>
      <c r="R522" s="2" t="inlineStr"/>
    </row>
    <row r="523" ht="15" customHeight="1">
      <c r="A523" t="inlineStr">
        <is>
          <t>A 8036-2022</t>
        </is>
      </c>
      <c r="B523" s="1" t="n">
        <v>44609.44362268518</v>
      </c>
      <c r="C523" s="1" t="n">
        <v>46167</v>
      </c>
      <c r="D523" t="inlineStr">
        <is>
          <t>GOTLANDS LÄN</t>
        </is>
      </c>
      <c r="E523" t="inlineStr">
        <is>
          <t>GOTLAND</t>
        </is>
      </c>
      <c r="G523" t="n">
        <v>6.1</v>
      </c>
      <c r="H523" t="n">
        <v>0</v>
      </c>
      <c r="I523" t="n">
        <v>0</v>
      </c>
      <c r="J523" t="n">
        <v>0</v>
      </c>
      <c r="K523" t="n">
        <v>0</v>
      </c>
      <c r="L523" t="n">
        <v>0</v>
      </c>
      <c r="M523" t="n">
        <v>0</v>
      </c>
      <c r="N523" t="n">
        <v>0</v>
      </c>
      <c r="O523" t="n">
        <v>0</v>
      </c>
      <c r="P523" t="n">
        <v>0</v>
      </c>
      <c r="Q523" t="n">
        <v>0</v>
      </c>
      <c r="R523" s="2" t="inlineStr"/>
    </row>
    <row r="524" ht="15" customHeight="1">
      <c r="A524" t="inlineStr">
        <is>
          <t>A 11414-2026</t>
        </is>
      </c>
      <c r="B524" s="1" t="n">
        <v>46083.46336805556</v>
      </c>
      <c r="C524" s="1" t="n">
        <v>46167</v>
      </c>
      <c r="D524" t="inlineStr">
        <is>
          <t>GOTLANDS LÄN</t>
        </is>
      </c>
      <c r="E524" t="inlineStr">
        <is>
          <t>GOTLAND</t>
        </is>
      </c>
      <c r="G524" t="n">
        <v>4.9</v>
      </c>
      <c r="H524" t="n">
        <v>0</v>
      </c>
      <c r="I524" t="n">
        <v>0</v>
      </c>
      <c r="J524" t="n">
        <v>0</v>
      </c>
      <c r="K524" t="n">
        <v>0</v>
      </c>
      <c r="L524" t="n">
        <v>0</v>
      </c>
      <c r="M524" t="n">
        <v>0</v>
      </c>
      <c r="N524" t="n">
        <v>0</v>
      </c>
      <c r="O524" t="n">
        <v>0</v>
      </c>
      <c r="P524" t="n">
        <v>0</v>
      </c>
      <c r="Q524" t="n">
        <v>0</v>
      </c>
      <c r="R524" s="2" t="inlineStr"/>
    </row>
    <row r="525" ht="15" customHeight="1">
      <c r="A525" t="inlineStr">
        <is>
          <t>A 46375-2024</t>
        </is>
      </c>
      <c r="B525" s="1" t="n">
        <v>45582</v>
      </c>
      <c r="C525" s="1" t="n">
        <v>46167</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12135-2026</t>
        </is>
      </c>
      <c r="B526" s="1" t="n">
        <v>46086</v>
      </c>
      <c r="C526" s="1" t="n">
        <v>46167</v>
      </c>
      <c r="D526" t="inlineStr">
        <is>
          <t>GOTLANDS LÄN</t>
        </is>
      </c>
      <c r="E526" t="inlineStr">
        <is>
          <t>GOTLAND</t>
        </is>
      </c>
      <c r="G526" t="n">
        <v>3</v>
      </c>
      <c r="H526" t="n">
        <v>0</v>
      </c>
      <c r="I526" t="n">
        <v>0</v>
      </c>
      <c r="J526" t="n">
        <v>0</v>
      </c>
      <c r="K526" t="n">
        <v>0</v>
      </c>
      <c r="L526" t="n">
        <v>0</v>
      </c>
      <c r="M526" t="n">
        <v>0</v>
      </c>
      <c r="N526" t="n">
        <v>0</v>
      </c>
      <c r="O526" t="n">
        <v>0</v>
      </c>
      <c r="P526" t="n">
        <v>0</v>
      </c>
      <c r="Q526" t="n">
        <v>0</v>
      </c>
      <c r="R526" s="2" t="inlineStr"/>
    </row>
    <row r="527" ht="15" customHeight="1">
      <c r="A527" t="inlineStr">
        <is>
          <t>A 62915-2021</t>
        </is>
      </c>
      <c r="B527" s="1" t="n">
        <v>44504</v>
      </c>
      <c r="C527" s="1" t="n">
        <v>46167</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11982-2026</t>
        </is>
      </c>
      <c r="B528" s="1" t="n">
        <v>46085.6434375</v>
      </c>
      <c r="C528" s="1" t="n">
        <v>46167</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18804-2026</t>
        </is>
      </c>
      <c r="B529" s="1" t="n">
        <v>46128.62366898148</v>
      </c>
      <c r="C529" s="1" t="n">
        <v>46167</v>
      </c>
      <c r="D529" t="inlineStr">
        <is>
          <t>GOTLANDS LÄN</t>
        </is>
      </c>
      <c r="E529" t="inlineStr">
        <is>
          <t>GOTLAND</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7638-2025</t>
        </is>
      </c>
      <c r="B530" s="1" t="n">
        <v>45705.77306712963</v>
      </c>
      <c r="C530" s="1" t="n">
        <v>46167</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4377-2023</t>
        </is>
      </c>
      <c r="B531" s="1" t="n">
        <v>44955.5502662037</v>
      </c>
      <c r="C531" s="1" t="n">
        <v>46167</v>
      </c>
      <c r="D531" t="inlineStr">
        <is>
          <t>GOTLANDS LÄN</t>
        </is>
      </c>
      <c r="E531" t="inlineStr">
        <is>
          <t>GOTLAND</t>
        </is>
      </c>
      <c r="F531" t="inlineStr">
        <is>
          <t>Kyrkan</t>
        </is>
      </c>
      <c r="G531" t="n">
        <v>0.6</v>
      </c>
      <c r="H531" t="n">
        <v>0</v>
      </c>
      <c r="I531" t="n">
        <v>0</v>
      </c>
      <c r="J531" t="n">
        <v>0</v>
      </c>
      <c r="K531" t="n">
        <v>0</v>
      </c>
      <c r="L531" t="n">
        <v>0</v>
      </c>
      <c r="M531" t="n">
        <v>0</v>
      </c>
      <c r="N531" t="n">
        <v>0</v>
      </c>
      <c r="O531" t="n">
        <v>0</v>
      </c>
      <c r="P531" t="n">
        <v>0</v>
      </c>
      <c r="Q531" t="n">
        <v>0</v>
      </c>
      <c r="R531" s="2" t="inlineStr"/>
    </row>
    <row r="532" ht="15" customHeight="1">
      <c r="A532" t="inlineStr">
        <is>
          <t>A 43901-2023</t>
        </is>
      </c>
      <c r="B532" s="1" t="n">
        <v>45187</v>
      </c>
      <c r="C532" s="1" t="n">
        <v>46167</v>
      </c>
      <c r="D532" t="inlineStr">
        <is>
          <t>GOTLANDS LÄN</t>
        </is>
      </c>
      <c r="E532" t="inlineStr">
        <is>
          <t>GOTLAND</t>
        </is>
      </c>
      <c r="G532" t="n">
        <v>5.4</v>
      </c>
      <c r="H532" t="n">
        <v>0</v>
      </c>
      <c r="I532" t="n">
        <v>0</v>
      </c>
      <c r="J532" t="n">
        <v>0</v>
      </c>
      <c r="K532" t="n">
        <v>0</v>
      </c>
      <c r="L532" t="n">
        <v>0</v>
      </c>
      <c r="M532" t="n">
        <v>0</v>
      </c>
      <c r="N532" t="n">
        <v>0</v>
      </c>
      <c r="O532" t="n">
        <v>0</v>
      </c>
      <c r="P532" t="n">
        <v>0</v>
      </c>
      <c r="Q532" t="n">
        <v>0</v>
      </c>
      <c r="R532" s="2" t="inlineStr"/>
    </row>
    <row r="533" ht="15" customHeight="1">
      <c r="A533" t="inlineStr">
        <is>
          <t>A 17532-2024</t>
        </is>
      </c>
      <c r="B533" s="1" t="n">
        <v>45415</v>
      </c>
      <c r="C533" s="1" t="n">
        <v>46167</v>
      </c>
      <c r="D533" t="inlineStr">
        <is>
          <t>GOTLANDS LÄN</t>
        </is>
      </c>
      <c r="E533" t="inlineStr">
        <is>
          <t>GOTLAND</t>
        </is>
      </c>
      <c r="G533" t="n">
        <v>4.3</v>
      </c>
      <c r="H533" t="n">
        <v>0</v>
      </c>
      <c r="I533" t="n">
        <v>0</v>
      </c>
      <c r="J533" t="n">
        <v>0</v>
      </c>
      <c r="K533" t="n">
        <v>0</v>
      </c>
      <c r="L533" t="n">
        <v>0</v>
      </c>
      <c r="M533" t="n">
        <v>0</v>
      </c>
      <c r="N533" t="n">
        <v>0</v>
      </c>
      <c r="O533" t="n">
        <v>0</v>
      </c>
      <c r="P533" t="n">
        <v>0</v>
      </c>
      <c r="Q533" t="n">
        <v>0</v>
      </c>
      <c r="R533" s="2" t="inlineStr"/>
    </row>
    <row r="534" ht="15" customHeight="1">
      <c r="A534" t="inlineStr">
        <is>
          <t>A 45692-2023</t>
        </is>
      </c>
      <c r="B534" s="1" t="n">
        <v>45195</v>
      </c>
      <c r="C534" s="1" t="n">
        <v>46167</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42201-2023</t>
        </is>
      </c>
      <c r="B535" s="1" t="n">
        <v>45179</v>
      </c>
      <c r="C535" s="1" t="n">
        <v>46167</v>
      </c>
      <c r="D535" t="inlineStr">
        <is>
          <t>GOTLANDS LÄN</t>
        </is>
      </c>
      <c r="E535" t="inlineStr">
        <is>
          <t>GOTLAND</t>
        </is>
      </c>
      <c r="G535" t="n">
        <v>11.9</v>
      </c>
      <c r="H535" t="n">
        <v>0</v>
      </c>
      <c r="I535" t="n">
        <v>0</v>
      </c>
      <c r="J535" t="n">
        <v>0</v>
      </c>
      <c r="K535" t="n">
        <v>0</v>
      </c>
      <c r="L535" t="n">
        <v>0</v>
      </c>
      <c r="M535" t="n">
        <v>0</v>
      </c>
      <c r="N535" t="n">
        <v>0</v>
      </c>
      <c r="O535" t="n">
        <v>0</v>
      </c>
      <c r="P535" t="n">
        <v>0</v>
      </c>
      <c r="Q535" t="n">
        <v>0</v>
      </c>
      <c r="R535" s="2" t="inlineStr"/>
    </row>
    <row r="536" ht="15" customHeight="1">
      <c r="A536" t="inlineStr">
        <is>
          <t>A 19322-2026</t>
        </is>
      </c>
      <c r="B536" s="1" t="n">
        <v>46129</v>
      </c>
      <c r="C536" s="1" t="n">
        <v>46167</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37222-2021</t>
        </is>
      </c>
      <c r="B537" s="1" t="n">
        <v>44396</v>
      </c>
      <c r="C537" s="1" t="n">
        <v>46167</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46396-2023</t>
        </is>
      </c>
      <c r="B538" s="1" t="n">
        <v>45197</v>
      </c>
      <c r="C538" s="1" t="n">
        <v>46167</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58388-2022</t>
        </is>
      </c>
      <c r="B539" s="1" t="n">
        <v>44894</v>
      </c>
      <c r="C539" s="1" t="n">
        <v>46167</v>
      </c>
      <c r="D539" t="inlineStr">
        <is>
          <t>GOTLANDS LÄN</t>
        </is>
      </c>
      <c r="E539" t="inlineStr">
        <is>
          <t>GOTLAND</t>
        </is>
      </c>
      <c r="F539" t="inlineStr">
        <is>
          <t>Övriga statliga verk och myndigheter</t>
        </is>
      </c>
      <c r="G539" t="n">
        <v>3.1</v>
      </c>
      <c r="H539" t="n">
        <v>0</v>
      </c>
      <c r="I539" t="n">
        <v>0</v>
      </c>
      <c r="J539" t="n">
        <v>0</v>
      </c>
      <c r="K539" t="n">
        <v>0</v>
      </c>
      <c r="L539" t="n">
        <v>0</v>
      </c>
      <c r="M539" t="n">
        <v>0</v>
      </c>
      <c r="N539" t="n">
        <v>0</v>
      </c>
      <c r="O539" t="n">
        <v>0</v>
      </c>
      <c r="P539" t="n">
        <v>0</v>
      </c>
      <c r="Q539" t="n">
        <v>0</v>
      </c>
      <c r="R539" s="2" t="inlineStr"/>
    </row>
    <row r="540" ht="15" customHeight="1">
      <c r="A540" t="inlineStr">
        <is>
          <t>A 63000-2025</t>
        </is>
      </c>
      <c r="B540" s="1" t="n">
        <v>46009</v>
      </c>
      <c r="C540" s="1" t="n">
        <v>46167</v>
      </c>
      <c r="D540" t="inlineStr">
        <is>
          <t>GOTLANDS LÄN</t>
        </is>
      </c>
      <c r="E540" t="inlineStr">
        <is>
          <t>GOTLAND</t>
        </is>
      </c>
      <c r="F540" t="inlineStr">
        <is>
          <t>Övriga Aktiebolag</t>
        </is>
      </c>
      <c r="G540" t="n">
        <v>1.7</v>
      </c>
      <c r="H540" t="n">
        <v>0</v>
      </c>
      <c r="I540" t="n">
        <v>0</v>
      </c>
      <c r="J540" t="n">
        <v>0</v>
      </c>
      <c r="K540" t="n">
        <v>0</v>
      </c>
      <c r="L540" t="n">
        <v>0</v>
      </c>
      <c r="M540" t="n">
        <v>0</v>
      </c>
      <c r="N540" t="n">
        <v>0</v>
      </c>
      <c r="O540" t="n">
        <v>0</v>
      </c>
      <c r="P540" t="n">
        <v>0</v>
      </c>
      <c r="Q540" t="n">
        <v>0</v>
      </c>
      <c r="R540" s="2" t="inlineStr"/>
    </row>
    <row r="541" ht="15" customHeight="1">
      <c r="A541" t="inlineStr">
        <is>
          <t>A 62751-2025</t>
        </is>
      </c>
      <c r="B541" s="1" t="n">
        <v>46008</v>
      </c>
      <c r="C541" s="1" t="n">
        <v>46167</v>
      </c>
      <c r="D541" t="inlineStr">
        <is>
          <t>GOTLANDS LÄN</t>
        </is>
      </c>
      <c r="E541" t="inlineStr">
        <is>
          <t>GOTLAND</t>
        </is>
      </c>
      <c r="F541" t="inlineStr">
        <is>
          <t>Övriga Aktiebolag</t>
        </is>
      </c>
      <c r="G541" t="n">
        <v>7.8</v>
      </c>
      <c r="H541" t="n">
        <v>0</v>
      </c>
      <c r="I541" t="n">
        <v>0</v>
      </c>
      <c r="J541" t="n">
        <v>0</v>
      </c>
      <c r="K541" t="n">
        <v>0</v>
      </c>
      <c r="L541" t="n">
        <v>0</v>
      </c>
      <c r="M541" t="n">
        <v>0</v>
      </c>
      <c r="N541" t="n">
        <v>0</v>
      </c>
      <c r="O541" t="n">
        <v>0</v>
      </c>
      <c r="P541" t="n">
        <v>0</v>
      </c>
      <c r="Q541" t="n">
        <v>0</v>
      </c>
      <c r="R541" s="2" t="inlineStr"/>
    </row>
    <row r="542" ht="15" customHeight="1">
      <c r="A542" t="inlineStr">
        <is>
          <t>A 62754-2025</t>
        </is>
      </c>
      <c r="B542" s="1" t="n">
        <v>46008</v>
      </c>
      <c r="C542" s="1" t="n">
        <v>46167</v>
      </c>
      <c r="D542" t="inlineStr">
        <is>
          <t>GOTLANDS LÄN</t>
        </is>
      </c>
      <c r="E542" t="inlineStr">
        <is>
          <t>GOTLAND</t>
        </is>
      </c>
      <c r="F542" t="inlineStr">
        <is>
          <t>Övriga Aktiebolag</t>
        </is>
      </c>
      <c r="G542" t="n">
        <v>2.9</v>
      </c>
      <c r="H542" t="n">
        <v>0</v>
      </c>
      <c r="I542" t="n">
        <v>0</v>
      </c>
      <c r="J542" t="n">
        <v>0</v>
      </c>
      <c r="K542" t="n">
        <v>0</v>
      </c>
      <c r="L542" t="n">
        <v>0</v>
      </c>
      <c r="M542" t="n">
        <v>0</v>
      </c>
      <c r="N542" t="n">
        <v>0</v>
      </c>
      <c r="O542" t="n">
        <v>0</v>
      </c>
      <c r="P542" t="n">
        <v>0</v>
      </c>
      <c r="Q542" t="n">
        <v>0</v>
      </c>
      <c r="R542" s="2" t="inlineStr"/>
    </row>
    <row r="543" ht="15" customHeight="1">
      <c r="A543" t="inlineStr">
        <is>
          <t>A 13486-2026</t>
        </is>
      </c>
      <c r="B543" s="1" t="n">
        <v>46094</v>
      </c>
      <c r="C543" s="1" t="n">
        <v>46167</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53934-2024</t>
        </is>
      </c>
      <c r="B544" s="1" t="n">
        <v>45615</v>
      </c>
      <c r="C544" s="1" t="n">
        <v>46167</v>
      </c>
      <c r="D544" t="inlineStr">
        <is>
          <t>GOTLANDS LÄN</t>
        </is>
      </c>
      <c r="E544" t="inlineStr">
        <is>
          <t>GOTLAND</t>
        </is>
      </c>
      <c r="G544" t="n">
        <v>5</v>
      </c>
      <c r="H544" t="n">
        <v>0</v>
      </c>
      <c r="I544" t="n">
        <v>0</v>
      </c>
      <c r="J544" t="n">
        <v>0</v>
      </c>
      <c r="K544" t="n">
        <v>0</v>
      </c>
      <c r="L544" t="n">
        <v>0</v>
      </c>
      <c r="M544" t="n">
        <v>0</v>
      </c>
      <c r="N544" t="n">
        <v>0</v>
      </c>
      <c r="O544" t="n">
        <v>0</v>
      </c>
      <c r="P544" t="n">
        <v>0</v>
      </c>
      <c r="Q544" t="n">
        <v>0</v>
      </c>
      <c r="R544" s="2" t="inlineStr"/>
    </row>
    <row r="545" ht="15" customHeight="1">
      <c r="A545" t="inlineStr">
        <is>
          <t>A 58132-2023</t>
        </is>
      </c>
      <c r="B545" s="1" t="n">
        <v>45250</v>
      </c>
      <c r="C545" s="1" t="n">
        <v>46167</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22899-2023</t>
        </is>
      </c>
      <c r="B546" s="1" t="n">
        <v>45072</v>
      </c>
      <c r="C546" s="1" t="n">
        <v>46167</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28285-2024</t>
        </is>
      </c>
      <c r="B547" s="1" t="n">
        <v>45477</v>
      </c>
      <c r="C547" s="1" t="n">
        <v>46167</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51963-2024</t>
        </is>
      </c>
      <c r="B548" s="1" t="n">
        <v>45607.64833333333</v>
      </c>
      <c r="C548" s="1" t="n">
        <v>46167</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1734-2025</t>
        </is>
      </c>
      <c r="B549" s="1" t="n">
        <v>45671.3840625</v>
      </c>
      <c r="C549" s="1" t="n">
        <v>46167</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30365-2024</t>
        </is>
      </c>
      <c r="B550" s="1" t="n">
        <v>45491.3716087963</v>
      </c>
      <c r="C550" s="1" t="n">
        <v>46167</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2674-2023</t>
        </is>
      </c>
      <c r="B551" s="1" t="n">
        <v>44944</v>
      </c>
      <c r="C551" s="1" t="n">
        <v>46167</v>
      </c>
      <c r="D551" t="inlineStr">
        <is>
          <t>GOTLANDS LÄN</t>
        </is>
      </c>
      <c r="E551" t="inlineStr">
        <is>
          <t>GOTLAND</t>
        </is>
      </c>
      <c r="G551" t="n">
        <v>2.5</v>
      </c>
      <c r="H551" t="n">
        <v>0</v>
      </c>
      <c r="I551" t="n">
        <v>0</v>
      </c>
      <c r="J551" t="n">
        <v>0</v>
      </c>
      <c r="K551" t="n">
        <v>0</v>
      </c>
      <c r="L551" t="n">
        <v>0</v>
      </c>
      <c r="M551" t="n">
        <v>0</v>
      </c>
      <c r="N551" t="n">
        <v>0</v>
      </c>
      <c r="O551" t="n">
        <v>0</v>
      </c>
      <c r="P551" t="n">
        <v>0</v>
      </c>
      <c r="Q551" t="n">
        <v>0</v>
      </c>
      <c r="R551" s="2" t="inlineStr"/>
    </row>
    <row r="552" ht="15" customHeight="1">
      <c r="A552" t="inlineStr">
        <is>
          <t>A 61100-2022</t>
        </is>
      </c>
      <c r="B552" s="1" t="n">
        <v>44915</v>
      </c>
      <c r="C552" s="1" t="n">
        <v>46167</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581-2023</t>
        </is>
      </c>
      <c r="B553" s="1" t="n">
        <v>44930</v>
      </c>
      <c r="C553" s="1" t="n">
        <v>46167</v>
      </c>
      <c r="D553" t="inlineStr">
        <is>
          <t>GOTLANDS LÄN</t>
        </is>
      </c>
      <c r="E553" t="inlineStr">
        <is>
          <t>GOTLAND</t>
        </is>
      </c>
      <c r="G553" t="n">
        <v>12</v>
      </c>
      <c r="H553" t="n">
        <v>0</v>
      </c>
      <c r="I553" t="n">
        <v>0</v>
      </c>
      <c r="J553" t="n">
        <v>0</v>
      </c>
      <c r="K553" t="n">
        <v>0</v>
      </c>
      <c r="L553" t="n">
        <v>0</v>
      </c>
      <c r="M553" t="n">
        <v>0</v>
      </c>
      <c r="N553" t="n">
        <v>0</v>
      </c>
      <c r="O553" t="n">
        <v>0</v>
      </c>
      <c r="P553" t="n">
        <v>0</v>
      </c>
      <c r="Q553" t="n">
        <v>0</v>
      </c>
      <c r="R553" s="2" t="inlineStr"/>
    </row>
    <row r="554" ht="15" customHeight="1">
      <c r="A554" t="inlineStr">
        <is>
          <t>A 10655-2023</t>
        </is>
      </c>
      <c r="B554" s="1" t="n">
        <v>44988.49543981482</v>
      </c>
      <c r="C554" s="1" t="n">
        <v>46167</v>
      </c>
      <c r="D554" t="inlineStr">
        <is>
          <t>GOTLANDS LÄN</t>
        </is>
      </c>
      <c r="E554" t="inlineStr">
        <is>
          <t>GOTLAND</t>
        </is>
      </c>
      <c r="F554" t="inlineStr">
        <is>
          <t>Kyrkan</t>
        </is>
      </c>
      <c r="G554" t="n">
        <v>2</v>
      </c>
      <c r="H554" t="n">
        <v>0</v>
      </c>
      <c r="I554" t="n">
        <v>0</v>
      </c>
      <c r="J554" t="n">
        <v>0</v>
      </c>
      <c r="K554" t="n">
        <v>0</v>
      </c>
      <c r="L554" t="n">
        <v>0</v>
      </c>
      <c r="M554" t="n">
        <v>0</v>
      </c>
      <c r="N554" t="n">
        <v>0</v>
      </c>
      <c r="O554" t="n">
        <v>0</v>
      </c>
      <c r="P554" t="n">
        <v>0</v>
      </c>
      <c r="Q554" t="n">
        <v>0</v>
      </c>
      <c r="R554" s="2" t="inlineStr"/>
    </row>
    <row r="555" ht="15" customHeight="1">
      <c r="A555" t="inlineStr">
        <is>
          <t>A 44649-2021</t>
        </is>
      </c>
      <c r="B555" s="1" t="n">
        <v>44437</v>
      </c>
      <c r="C555" s="1" t="n">
        <v>46167</v>
      </c>
      <c r="D555" t="inlineStr">
        <is>
          <t>GOTLANDS LÄN</t>
        </is>
      </c>
      <c r="E555" t="inlineStr">
        <is>
          <t>GOTLAND</t>
        </is>
      </c>
      <c r="G555" t="n">
        <v>8.1</v>
      </c>
      <c r="H555" t="n">
        <v>0</v>
      </c>
      <c r="I555" t="n">
        <v>0</v>
      </c>
      <c r="J555" t="n">
        <v>0</v>
      </c>
      <c r="K555" t="n">
        <v>0</v>
      </c>
      <c r="L555" t="n">
        <v>0</v>
      </c>
      <c r="M555" t="n">
        <v>0</v>
      </c>
      <c r="N555" t="n">
        <v>0</v>
      </c>
      <c r="O555" t="n">
        <v>0</v>
      </c>
      <c r="P555" t="n">
        <v>0</v>
      </c>
      <c r="Q555" t="n">
        <v>0</v>
      </c>
      <c r="R555" s="2" t="inlineStr"/>
    </row>
    <row r="556" ht="15" customHeight="1">
      <c r="A556" t="inlineStr">
        <is>
          <t>A 8484-2025</t>
        </is>
      </c>
      <c r="B556" s="1" t="n">
        <v>45709</v>
      </c>
      <c r="C556" s="1" t="n">
        <v>46167</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14840-2026</t>
        </is>
      </c>
      <c r="B557" s="1" t="n">
        <v>46104.39498842593</v>
      </c>
      <c r="C557" s="1" t="n">
        <v>46167</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21396-2026</t>
        </is>
      </c>
      <c r="B558" s="1" t="n">
        <v>46148.30710648148</v>
      </c>
      <c r="C558" s="1" t="n">
        <v>46167</v>
      </c>
      <c r="D558" t="inlineStr">
        <is>
          <t>GOTLANDS LÄN</t>
        </is>
      </c>
      <c r="E558" t="inlineStr">
        <is>
          <t>GOTLAND</t>
        </is>
      </c>
      <c r="G558" t="n">
        <v>6.1</v>
      </c>
      <c r="H558" t="n">
        <v>0</v>
      </c>
      <c r="I558" t="n">
        <v>0</v>
      </c>
      <c r="J558" t="n">
        <v>0</v>
      </c>
      <c r="K558" t="n">
        <v>0</v>
      </c>
      <c r="L558" t="n">
        <v>0</v>
      </c>
      <c r="M558" t="n">
        <v>0</v>
      </c>
      <c r="N558" t="n">
        <v>0</v>
      </c>
      <c r="O558" t="n">
        <v>0</v>
      </c>
      <c r="P558" t="n">
        <v>0</v>
      </c>
      <c r="Q558" t="n">
        <v>0</v>
      </c>
      <c r="R558" s="2" t="inlineStr"/>
    </row>
    <row r="559" ht="15" customHeight="1">
      <c r="A559" t="inlineStr">
        <is>
          <t>A 49962-2023</t>
        </is>
      </c>
      <c r="B559" s="1" t="n">
        <v>45215.38775462963</v>
      </c>
      <c r="C559" s="1" t="n">
        <v>46167</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50744-2024</t>
        </is>
      </c>
      <c r="B560" s="1" t="n">
        <v>45602.4187037037</v>
      </c>
      <c r="C560" s="1" t="n">
        <v>46167</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45244-2024</t>
        </is>
      </c>
      <c r="B561" s="1" t="n">
        <v>45576</v>
      </c>
      <c r="C561" s="1" t="n">
        <v>46167</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4662-2026</t>
        </is>
      </c>
      <c r="B562" s="1" t="n">
        <v>46048.40949074074</v>
      </c>
      <c r="C562" s="1" t="n">
        <v>46167</v>
      </c>
      <c r="D562" t="inlineStr">
        <is>
          <t>GOTLANDS LÄN</t>
        </is>
      </c>
      <c r="E562" t="inlineStr">
        <is>
          <t>GOTLAND</t>
        </is>
      </c>
      <c r="G562" t="n">
        <v>7.6</v>
      </c>
      <c r="H562" t="n">
        <v>0</v>
      </c>
      <c r="I562" t="n">
        <v>0</v>
      </c>
      <c r="J562" t="n">
        <v>0</v>
      </c>
      <c r="K562" t="n">
        <v>0</v>
      </c>
      <c r="L562" t="n">
        <v>0</v>
      </c>
      <c r="M562" t="n">
        <v>0</v>
      </c>
      <c r="N562" t="n">
        <v>0</v>
      </c>
      <c r="O562" t="n">
        <v>0</v>
      </c>
      <c r="P562" t="n">
        <v>0</v>
      </c>
      <c r="Q562" t="n">
        <v>0</v>
      </c>
      <c r="R562" s="2" t="inlineStr"/>
    </row>
    <row r="563" ht="15" customHeight="1">
      <c r="A563" t="inlineStr">
        <is>
          <t>A 38787-2023</t>
        </is>
      </c>
      <c r="B563" s="1" t="n">
        <v>45163</v>
      </c>
      <c r="C563" s="1" t="n">
        <v>46167</v>
      </c>
      <c r="D563" t="inlineStr">
        <is>
          <t>GOTLANDS LÄN</t>
        </is>
      </c>
      <c r="E563" t="inlineStr">
        <is>
          <t>GOTLAND</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2714-2023</t>
        </is>
      </c>
      <c r="B564" s="1" t="n">
        <v>44944.54896990741</v>
      </c>
      <c r="C564" s="1" t="n">
        <v>46167</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22897-2023</t>
        </is>
      </c>
      <c r="B565" s="1" t="n">
        <v>45072.55239583334</v>
      </c>
      <c r="C565" s="1" t="n">
        <v>46167</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4568-2025</t>
        </is>
      </c>
      <c r="B566" s="1" t="n">
        <v>45687</v>
      </c>
      <c r="C566" s="1" t="n">
        <v>46167</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44938.39715277778</v>
      </c>
      <c r="C567" s="1" t="n">
        <v>46167</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42338-2023</t>
        </is>
      </c>
      <c r="B568" s="1" t="n">
        <v>45180</v>
      </c>
      <c r="C568" s="1" t="n">
        <v>46167</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18918-2025</t>
        </is>
      </c>
      <c r="B569" s="1" t="n">
        <v>45764</v>
      </c>
      <c r="C569" s="1" t="n">
        <v>46167</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11013-2024</t>
        </is>
      </c>
      <c r="B570" s="1" t="n">
        <v>45370</v>
      </c>
      <c r="C570" s="1" t="n">
        <v>46167</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45084-2024</t>
        </is>
      </c>
      <c r="B571" s="1" t="n">
        <v>45575</v>
      </c>
      <c r="C571" s="1" t="n">
        <v>46167</v>
      </c>
      <c r="D571" t="inlineStr">
        <is>
          <t>GOTLANDS LÄN</t>
        </is>
      </c>
      <c r="E571" t="inlineStr">
        <is>
          <t>GOTLAND</t>
        </is>
      </c>
      <c r="G571" t="n">
        <v>6.8</v>
      </c>
      <c r="H571" t="n">
        <v>0</v>
      </c>
      <c r="I571" t="n">
        <v>0</v>
      </c>
      <c r="J571" t="n">
        <v>0</v>
      </c>
      <c r="K571" t="n">
        <v>0</v>
      </c>
      <c r="L571" t="n">
        <v>0</v>
      </c>
      <c r="M571" t="n">
        <v>0</v>
      </c>
      <c r="N571" t="n">
        <v>0</v>
      </c>
      <c r="O571" t="n">
        <v>0</v>
      </c>
      <c r="P571" t="n">
        <v>0</v>
      </c>
      <c r="Q571" t="n">
        <v>0</v>
      </c>
      <c r="R571" s="2" t="inlineStr"/>
    </row>
    <row r="572" ht="15" customHeight="1">
      <c r="A572" t="inlineStr">
        <is>
          <t>A 20356-2022</t>
        </is>
      </c>
      <c r="B572" s="1" t="n">
        <v>44699</v>
      </c>
      <c r="C572" s="1" t="n">
        <v>46167</v>
      </c>
      <c r="D572" t="inlineStr">
        <is>
          <t>GOTLANDS LÄN</t>
        </is>
      </c>
      <c r="E572" t="inlineStr">
        <is>
          <t>GOTLAND</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4868-2024</t>
        </is>
      </c>
      <c r="B573" s="1" t="n">
        <v>45329</v>
      </c>
      <c r="C573" s="1" t="n">
        <v>46167</v>
      </c>
      <c r="D573" t="inlineStr">
        <is>
          <t>GOTLANDS LÄN</t>
        </is>
      </c>
      <c r="E573" t="inlineStr">
        <is>
          <t>GOTLAND</t>
        </is>
      </c>
      <c r="G573" t="n">
        <v>7.1</v>
      </c>
      <c r="H573" t="n">
        <v>0</v>
      </c>
      <c r="I573" t="n">
        <v>0</v>
      </c>
      <c r="J573" t="n">
        <v>0</v>
      </c>
      <c r="K573" t="n">
        <v>0</v>
      </c>
      <c r="L573" t="n">
        <v>0</v>
      </c>
      <c r="M573" t="n">
        <v>0</v>
      </c>
      <c r="N573" t="n">
        <v>0</v>
      </c>
      <c r="O573" t="n">
        <v>0</v>
      </c>
      <c r="P573" t="n">
        <v>0</v>
      </c>
      <c r="Q573" t="n">
        <v>0</v>
      </c>
      <c r="R573" s="2" t="inlineStr"/>
    </row>
    <row r="574" ht="15" customHeight="1">
      <c r="A574" t="inlineStr">
        <is>
          <t>A 9613-2025</t>
        </is>
      </c>
      <c r="B574" s="1" t="n">
        <v>45715</v>
      </c>
      <c r="C574" s="1" t="n">
        <v>46167</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5386-2023</t>
        </is>
      </c>
      <c r="B575" s="1" t="n">
        <v>44959</v>
      </c>
      <c r="C575" s="1" t="n">
        <v>46167</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58211-2024</t>
        </is>
      </c>
      <c r="B576" s="1" t="n">
        <v>45632.49292824074</v>
      </c>
      <c r="C576" s="1" t="n">
        <v>46167</v>
      </c>
      <c r="D576" t="inlineStr">
        <is>
          <t>GOTLANDS LÄN</t>
        </is>
      </c>
      <c r="E576" t="inlineStr">
        <is>
          <t>GOTLAND</t>
        </is>
      </c>
      <c r="G576" t="n">
        <v>5.4</v>
      </c>
      <c r="H576" t="n">
        <v>0</v>
      </c>
      <c r="I576" t="n">
        <v>0</v>
      </c>
      <c r="J576" t="n">
        <v>0</v>
      </c>
      <c r="K576" t="n">
        <v>0</v>
      </c>
      <c r="L576" t="n">
        <v>0</v>
      </c>
      <c r="M576" t="n">
        <v>0</v>
      </c>
      <c r="N576" t="n">
        <v>0</v>
      </c>
      <c r="O576" t="n">
        <v>0</v>
      </c>
      <c r="P576" t="n">
        <v>0</v>
      </c>
      <c r="Q576" t="n">
        <v>0</v>
      </c>
      <c r="R576" s="2" t="inlineStr"/>
    </row>
    <row r="577" ht="15" customHeight="1">
      <c r="A577" t="inlineStr">
        <is>
          <t>A 11634-2024</t>
        </is>
      </c>
      <c r="B577" s="1" t="n">
        <v>45373</v>
      </c>
      <c r="C577" s="1" t="n">
        <v>46167</v>
      </c>
      <c r="D577" t="inlineStr">
        <is>
          <t>GOTLANDS LÄN</t>
        </is>
      </c>
      <c r="E577" t="inlineStr">
        <is>
          <t>GOTLAND</t>
        </is>
      </c>
      <c r="G577" t="n">
        <v>3</v>
      </c>
      <c r="H577" t="n">
        <v>0</v>
      </c>
      <c r="I577" t="n">
        <v>0</v>
      </c>
      <c r="J577" t="n">
        <v>0</v>
      </c>
      <c r="K577" t="n">
        <v>0</v>
      </c>
      <c r="L577" t="n">
        <v>0</v>
      </c>
      <c r="M577" t="n">
        <v>0</v>
      </c>
      <c r="N577" t="n">
        <v>0</v>
      </c>
      <c r="O577" t="n">
        <v>0</v>
      </c>
      <c r="P577" t="n">
        <v>0</v>
      </c>
      <c r="Q577" t="n">
        <v>0</v>
      </c>
      <c r="R577" s="2" t="inlineStr"/>
    </row>
    <row r="578" ht="15" customHeight="1">
      <c r="A578" t="inlineStr">
        <is>
          <t>A 5884-2025</t>
        </is>
      </c>
      <c r="B578" s="1" t="n">
        <v>45695.37482638889</v>
      </c>
      <c r="C578" s="1" t="n">
        <v>46167</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5897-2025</t>
        </is>
      </c>
      <c r="B579" s="1" t="n">
        <v>45695.39273148148</v>
      </c>
      <c r="C579" s="1" t="n">
        <v>46167</v>
      </c>
      <c r="D579" t="inlineStr">
        <is>
          <t>GOTLANDS LÄN</t>
        </is>
      </c>
      <c r="E579" t="inlineStr">
        <is>
          <t>GOTLAND</t>
        </is>
      </c>
      <c r="G579" t="n">
        <v>3.7</v>
      </c>
      <c r="H579" t="n">
        <v>0</v>
      </c>
      <c r="I579" t="n">
        <v>0</v>
      </c>
      <c r="J579" t="n">
        <v>0</v>
      </c>
      <c r="K579" t="n">
        <v>0</v>
      </c>
      <c r="L579" t="n">
        <v>0</v>
      </c>
      <c r="M579" t="n">
        <v>0</v>
      </c>
      <c r="N579" t="n">
        <v>0</v>
      </c>
      <c r="O579" t="n">
        <v>0</v>
      </c>
      <c r="P579" t="n">
        <v>0</v>
      </c>
      <c r="Q579" t="n">
        <v>0</v>
      </c>
      <c r="R579" s="2" t="inlineStr"/>
    </row>
    <row r="580" ht="15" customHeight="1">
      <c r="A580" t="inlineStr">
        <is>
          <t>A 5909-2025</t>
        </is>
      </c>
      <c r="B580" s="1" t="n">
        <v>45695.40634259259</v>
      </c>
      <c r="C580" s="1" t="n">
        <v>46167</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60086-2022</t>
        </is>
      </c>
      <c r="B581" s="1" t="n">
        <v>44909</v>
      </c>
      <c r="C581" s="1" t="n">
        <v>46167</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22704-2023</t>
        </is>
      </c>
      <c r="B582" s="1" t="n">
        <v>45071</v>
      </c>
      <c r="C582" s="1" t="n">
        <v>46167</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25866-2022</t>
        </is>
      </c>
      <c r="B583" s="1" t="n">
        <v>44733</v>
      </c>
      <c r="C583" s="1" t="n">
        <v>46167</v>
      </c>
      <c r="D583" t="inlineStr">
        <is>
          <t>GOTLANDS LÄN</t>
        </is>
      </c>
      <c r="E583" t="inlineStr">
        <is>
          <t>GOTLAND</t>
        </is>
      </c>
      <c r="G583" t="n">
        <v>2.9</v>
      </c>
      <c r="H583" t="n">
        <v>0</v>
      </c>
      <c r="I583" t="n">
        <v>0</v>
      </c>
      <c r="J583" t="n">
        <v>0</v>
      </c>
      <c r="K583" t="n">
        <v>0</v>
      </c>
      <c r="L583" t="n">
        <v>0</v>
      </c>
      <c r="M583" t="n">
        <v>0</v>
      </c>
      <c r="N583" t="n">
        <v>0</v>
      </c>
      <c r="O583" t="n">
        <v>0</v>
      </c>
      <c r="P583" t="n">
        <v>0</v>
      </c>
      <c r="Q583" t="n">
        <v>0</v>
      </c>
      <c r="R583" s="2" t="inlineStr"/>
    </row>
    <row r="584" ht="15" customHeight="1">
      <c r="A584" t="inlineStr">
        <is>
          <t>A 9887-2025</t>
        </is>
      </c>
      <c r="B584" s="1" t="n">
        <v>45716</v>
      </c>
      <c r="C584" s="1" t="n">
        <v>46167</v>
      </c>
      <c r="D584" t="inlineStr">
        <is>
          <t>GOTLANDS LÄN</t>
        </is>
      </c>
      <c r="E584" t="inlineStr">
        <is>
          <t>GOTLAND</t>
        </is>
      </c>
      <c r="G584" t="n">
        <v>7.5</v>
      </c>
      <c r="H584" t="n">
        <v>0</v>
      </c>
      <c r="I584" t="n">
        <v>0</v>
      </c>
      <c r="J584" t="n">
        <v>0</v>
      </c>
      <c r="K584" t="n">
        <v>0</v>
      </c>
      <c r="L584" t="n">
        <v>0</v>
      </c>
      <c r="M584" t="n">
        <v>0</v>
      </c>
      <c r="N584" t="n">
        <v>0</v>
      </c>
      <c r="O584" t="n">
        <v>0</v>
      </c>
      <c r="P584" t="n">
        <v>0</v>
      </c>
      <c r="Q584" t="n">
        <v>0</v>
      </c>
      <c r="R584" s="2" t="inlineStr"/>
    </row>
    <row r="585" ht="15" customHeight="1">
      <c r="A585" t="inlineStr">
        <is>
          <t>A 12209-2024</t>
        </is>
      </c>
      <c r="B585" s="1" t="n">
        <v>45378</v>
      </c>
      <c r="C585" s="1" t="n">
        <v>46167</v>
      </c>
      <c r="D585" t="inlineStr">
        <is>
          <t>GOTLANDS LÄN</t>
        </is>
      </c>
      <c r="E585" t="inlineStr">
        <is>
          <t>GOTLAND</t>
        </is>
      </c>
      <c r="G585" t="n">
        <v>5.3</v>
      </c>
      <c r="H585" t="n">
        <v>0</v>
      </c>
      <c r="I585" t="n">
        <v>0</v>
      </c>
      <c r="J585" t="n">
        <v>0</v>
      </c>
      <c r="K585" t="n">
        <v>0</v>
      </c>
      <c r="L585" t="n">
        <v>0</v>
      </c>
      <c r="M585" t="n">
        <v>0</v>
      </c>
      <c r="N585" t="n">
        <v>0</v>
      </c>
      <c r="O585" t="n">
        <v>0</v>
      </c>
      <c r="P585" t="n">
        <v>0</v>
      </c>
      <c r="Q585" t="n">
        <v>0</v>
      </c>
      <c r="R585" s="2" t="inlineStr"/>
    </row>
    <row r="586" ht="15" customHeight="1">
      <c r="A586" t="inlineStr">
        <is>
          <t>A 12210-2024</t>
        </is>
      </c>
      <c r="B586" s="1" t="n">
        <v>45378</v>
      </c>
      <c r="C586" s="1" t="n">
        <v>46167</v>
      </c>
      <c r="D586" t="inlineStr">
        <is>
          <t>GOTLANDS LÄN</t>
        </is>
      </c>
      <c r="E586" t="inlineStr">
        <is>
          <t>GOTLAND</t>
        </is>
      </c>
      <c r="G586" t="n">
        <v>4.1</v>
      </c>
      <c r="H586" t="n">
        <v>0</v>
      </c>
      <c r="I586" t="n">
        <v>0</v>
      </c>
      <c r="J586" t="n">
        <v>0</v>
      </c>
      <c r="K586" t="n">
        <v>0</v>
      </c>
      <c r="L586" t="n">
        <v>0</v>
      </c>
      <c r="M586" t="n">
        <v>0</v>
      </c>
      <c r="N586" t="n">
        <v>0</v>
      </c>
      <c r="O586" t="n">
        <v>0</v>
      </c>
      <c r="P586" t="n">
        <v>0</v>
      </c>
      <c r="Q586" t="n">
        <v>0</v>
      </c>
      <c r="R586" s="2" t="inlineStr"/>
    </row>
    <row r="587" ht="15" customHeight="1">
      <c r="A587" t="inlineStr">
        <is>
          <t>A 59986-2022</t>
        </is>
      </c>
      <c r="B587" s="1" t="n">
        <v>44909</v>
      </c>
      <c r="C587" s="1" t="n">
        <v>46167</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31802-2024</t>
        </is>
      </c>
      <c r="B588" s="1" t="n">
        <v>45509</v>
      </c>
      <c r="C588" s="1" t="n">
        <v>46167</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20993-2023</t>
        </is>
      </c>
      <c r="B589" s="1" t="n">
        <v>45056</v>
      </c>
      <c r="C589" s="1" t="n">
        <v>46167</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15042-2025</t>
        </is>
      </c>
      <c r="B590" s="1" t="n">
        <v>45743</v>
      </c>
      <c r="C590" s="1" t="n">
        <v>46167</v>
      </c>
      <c r="D590" t="inlineStr">
        <is>
          <t>GOTLANDS LÄN</t>
        </is>
      </c>
      <c r="E590" t="inlineStr">
        <is>
          <t>GOTLAND</t>
        </is>
      </c>
      <c r="G590" t="n">
        <v>8.5</v>
      </c>
      <c r="H590" t="n">
        <v>0</v>
      </c>
      <c r="I590" t="n">
        <v>0</v>
      </c>
      <c r="J590" t="n">
        <v>0</v>
      </c>
      <c r="K590" t="n">
        <v>0</v>
      </c>
      <c r="L590" t="n">
        <v>0</v>
      </c>
      <c r="M590" t="n">
        <v>0</v>
      </c>
      <c r="N590" t="n">
        <v>0</v>
      </c>
      <c r="O590" t="n">
        <v>0</v>
      </c>
      <c r="P590" t="n">
        <v>0</v>
      </c>
      <c r="Q590" t="n">
        <v>0</v>
      </c>
      <c r="R590" s="2" t="inlineStr"/>
    </row>
    <row r="591" ht="15" customHeight="1">
      <c r="A591" t="inlineStr">
        <is>
          <t>A 12327-2025</t>
        </is>
      </c>
      <c r="B591" s="1" t="n">
        <v>45730</v>
      </c>
      <c r="C591" s="1" t="n">
        <v>46167</v>
      </c>
      <c r="D591" t="inlineStr">
        <is>
          <t>GOTLANDS LÄN</t>
        </is>
      </c>
      <c r="E591" t="inlineStr">
        <is>
          <t>GOTLAND</t>
        </is>
      </c>
      <c r="G591" t="n">
        <v>1.8</v>
      </c>
      <c r="H591" t="n">
        <v>0</v>
      </c>
      <c r="I591" t="n">
        <v>0</v>
      </c>
      <c r="J591" t="n">
        <v>0</v>
      </c>
      <c r="K591" t="n">
        <v>0</v>
      </c>
      <c r="L591" t="n">
        <v>0</v>
      </c>
      <c r="M591" t="n">
        <v>0</v>
      </c>
      <c r="N591" t="n">
        <v>0</v>
      </c>
      <c r="O591" t="n">
        <v>0</v>
      </c>
      <c r="P591" t="n">
        <v>0</v>
      </c>
      <c r="Q591" t="n">
        <v>0</v>
      </c>
      <c r="R591" s="2" t="inlineStr"/>
    </row>
    <row r="592" ht="15" customHeight="1">
      <c r="A592" t="inlineStr">
        <is>
          <t>A 4420-2025</t>
        </is>
      </c>
      <c r="B592" s="1" t="n">
        <v>45686.47157407407</v>
      </c>
      <c r="C592" s="1" t="n">
        <v>46167</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14427-2024</t>
        </is>
      </c>
      <c r="B593" s="1" t="n">
        <v>45394</v>
      </c>
      <c r="C593" s="1" t="n">
        <v>46167</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49257-2024</t>
        </is>
      </c>
      <c r="B594" s="1" t="n">
        <v>45595.47627314815</v>
      </c>
      <c r="C594" s="1" t="n">
        <v>46167</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49315-2024</t>
        </is>
      </c>
      <c r="B595" s="1" t="n">
        <v>45595</v>
      </c>
      <c r="C595" s="1" t="n">
        <v>46167</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27596-2023</t>
        </is>
      </c>
      <c r="B596" s="1" t="n">
        <v>45097</v>
      </c>
      <c r="C596" s="1" t="n">
        <v>46167</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56115-2023</t>
        </is>
      </c>
      <c r="B597" s="1" t="n">
        <v>45236</v>
      </c>
      <c r="C597" s="1" t="n">
        <v>46167</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64969-2023</t>
        </is>
      </c>
      <c r="B598" s="1" t="n">
        <v>45284.54009259259</v>
      </c>
      <c r="C598" s="1" t="n">
        <v>46167</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33853-2024</t>
        </is>
      </c>
      <c r="B599" s="1" t="n">
        <v>45520.64298611111</v>
      </c>
      <c r="C599" s="1" t="n">
        <v>46167</v>
      </c>
      <c r="D599" t="inlineStr">
        <is>
          <t>GOTLANDS LÄN</t>
        </is>
      </c>
      <c r="E599" t="inlineStr">
        <is>
          <t>GOTLAND</t>
        </is>
      </c>
      <c r="G599" t="n">
        <v>3.9</v>
      </c>
      <c r="H599" t="n">
        <v>0</v>
      </c>
      <c r="I599" t="n">
        <v>0</v>
      </c>
      <c r="J599" t="n">
        <v>0</v>
      </c>
      <c r="K599" t="n">
        <v>0</v>
      </c>
      <c r="L599" t="n">
        <v>0</v>
      </c>
      <c r="M599" t="n">
        <v>0</v>
      </c>
      <c r="N599" t="n">
        <v>0</v>
      </c>
      <c r="O599" t="n">
        <v>0</v>
      </c>
      <c r="P599" t="n">
        <v>0</v>
      </c>
      <c r="Q599" t="n">
        <v>0</v>
      </c>
      <c r="R599" s="2" t="inlineStr"/>
    </row>
    <row r="600" ht="15" customHeight="1">
      <c r="A600" t="inlineStr">
        <is>
          <t>A 18223-2025</t>
        </is>
      </c>
      <c r="B600" s="1" t="n">
        <v>45761</v>
      </c>
      <c r="C600" s="1" t="n">
        <v>46167</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46949-2024</t>
        </is>
      </c>
      <c r="B601" s="1" t="n">
        <v>45585</v>
      </c>
      <c r="C601" s="1" t="n">
        <v>46167</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39479-2022</t>
        </is>
      </c>
      <c r="B602" s="1" t="n">
        <v>44818</v>
      </c>
      <c r="C602" s="1" t="n">
        <v>46167</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39496-2022</t>
        </is>
      </c>
      <c r="B603" s="1" t="n">
        <v>44818</v>
      </c>
      <c r="C603" s="1" t="n">
        <v>46167</v>
      </c>
      <c r="D603" t="inlineStr">
        <is>
          <t>GOTLANDS LÄN</t>
        </is>
      </c>
      <c r="E603" t="inlineStr">
        <is>
          <t>GOTLAND</t>
        </is>
      </c>
      <c r="G603" t="n">
        <v>2.4</v>
      </c>
      <c r="H603" t="n">
        <v>0</v>
      </c>
      <c r="I603" t="n">
        <v>0</v>
      </c>
      <c r="J603" t="n">
        <v>0</v>
      </c>
      <c r="K603" t="n">
        <v>0</v>
      </c>
      <c r="L603" t="n">
        <v>0</v>
      </c>
      <c r="M603" t="n">
        <v>0</v>
      </c>
      <c r="N603" t="n">
        <v>0</v>
      </c>
      <c r="O603" t="n">
        <v>0</v>
      </c>
      <c r="P603" t="n">
        <v>0</v>
      </c>
      <c r="Q603" t="n">
        <v>0</v>
      </c>
      <c r="R603" s="2" t="inlineStr"/>
    </row>
    <row r="604" ht="15" customHeight="1">
      <c r="A604" t="inlineStr">
        <is>
          <t>A 46389-2021</t>
        </is>
      </c>
      <c r="B604" s="1" t="n">
        <v>44443</v>
      </c>
      <c r="C604" s="1" t="n">
        <v>46167</v>
      </c>
      <c r="D604" t="inlineStr">
        <is>
          <t>GOTLANDS LÄN</t>
        </is>
      </c>
      <c r="E604" t="inlineStr">
        <is>
          <t>GOTLAND</t>
        </is>
      </c>
      <c r="F604" t="inlineStr">
        <is>
          <t>Kyrkan</t>
        </is>
      </c>
      <c r="G604" t="n">
        <v>2.1</v>
      </c>
      <c r="H604" t="n">
        <v>0</v>
      </c>
      <c r="I604" t="n">
        <v>0</v>
      </c>
      <c r="J604" t="n">
        <v>0</v>
      </c>
      <c r="K604" t="n">
        <v>0</v>
      </c>
      <c r="L604" t="n">
        <v>0</v>
      </c>
      <c r="M604" t="n">
        <v>0</v>
      </c>
      <c r="N604" t="n">
        <v>0</v>
      </c>
      <c r="O604" t="n">
        <v>0</v>
      </c>
      <c r="P604" t="n">
        <v>0</v>
      </c>
      <c r="Q604" t="n">
        <v>0</v>
      </c>
      <c r="R604" s="2" t="inlineStr"/>
    </row>
    <row r="605" ht="15" customHeight="1">
      <c r="A605" t="inlineStr">
        <is>
          <t>A 44949-2023</t>
        </is>
      </c>
      <c r="B605" s="1" t="n">
        <v>45190.69520833333</v>
      </c>
      <c r="C605" s="1" t="n">
        <v>46167</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17682-2024</t>
        </is>
      </c>
      <c r="B606" s="1" t="n">
        <v>45418.42966435185</v>
      </c>
      <c r="C606" s="1" t="n">
        <v>46167</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61897-2024</t>
        </is>
      </c>
      <c r="B607" s="1" t="n">
        <v>45652.75685185185</v>
      </c>
      <c r="C607" s="1" t="n">
        <v>46167</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12032-2025</t>
        </is>
      </c>
      <c r="B608" s="1" t="n">
        <v>45728.64472222222</v>
      </c>
      <c r="C608" s="1" t="n">
        <v>46167</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15595-2024</t>
        </is>
      </c>
      <c r="B609" s="1" t="n">
        <v>45401.81480324074</v>
      </c>
      <c r="C609" s="1" t="n">
        <v>46167</v>
      </c>
      <c r="D609" t="inlineStr">
        <is>
          <t>GOTLANDS LÄN</t>
        </is>
      </c>
      <c r="E609" t="inlineStr">
        <is>
          <t>GOTLAND</t>
        </is>
      </c>
      <c r="G609" t="n">
        <v>6.4</v>
      </c>
      <c r="H609" t="n">
        <v>0</v>
      </c>
      <c r="I609" t="n">
        <v>0</v>
      </c>
      <c r="J609" t="n">
        <v>0</v>
      </c>
      <c r="K609" t="n">
        <v>0</v>
      </c>
      <c r="L609" t="n">
        <v>0</v>
      </c>
      <c r="M609" t="n">
        <v>0</v>
      </c>
      <c r="N609" t="n">
        <v>0</v>
      </c>
      <c r="O609" t="n">
        <v>0</v>
      </c>
      <c r="P609" t="n">
        <v>0</v>
      </c>
      <c r="Q609" t="n">
        <v>0</v>
      </c>
      <c r="R609" s="2" t="inlineStr"/>
    </row>
    <row r="610" ht="15" customHeight="1">
      <c r="A610" t="inlineStr">
        <is>
          <t>A 21164-2024</t>
        </is>
      </c>
      <c r="B610" s="1" t="n">
        <v>45440</v>
      </c>
      <c r="C610" s="1" t="n">
        <v>46167</v>
      </c>
      <c r="D610" t="inlineStr">
        <is>
          <t>GOTLANDS LÄN</t>
        </is>
      </c>
      <c r="E610" t="inlineStr">
        <is>
          <t>GOTLAND</t>
        </is>
      </c>
      <c r="G610" t="n">
        <v>6.3</v>
      </c>
      <c r="H610" t="n">
        <v>0</v>
      </c>
      <c r="I610" t="n">
        <v>0</v>
      </c>
      <c r="J610" t="n">
        <v>0</v>
      </c>
      <c r="K610" t="n">
        <v>0</v>
      </c>
      <c r="L610" t="n">
        <v>0</v>
      </c>
      <c r="M610" t="n">
        <v>0</v>
      </c>
      <c r="N610" t="n">
        <v>0</v>
      </c>
      <c r="O610" t="n">
        <v>0</v>
      </c>
      <c r="P610" t="n">
        <v>0</v>
      </c>
      <c r="Q610" t="n">
        <v>0</v>
      </c>
      <c r="R610" s="2" t="inlineStr"/>
    </row>
    <row r="611" ht="15" customHeight="1">
      <c r="A611" t="inlineStr">
        <is>
          <t>A 17541-2024</t>
        </is>
      </c>
      <c r="B611" s="1" t="n">
        <v>45415</v>
      </c>
      <c r="C611" s="1" t="n">
        <v>46167</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883-2025</t>
        </is>
      </c>
      <c r="B612" s="1" t="n">
        <v>45665</v>
      </c>
      <c r="C612" s="1" t="n">
        <v>46167</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13910-2025</t>
        </is>
      </c>
      <c r="B613" s="1" t="n">
        <v>45737</v>
      </c>
      <c r="C613" s="1" t="n">
        <v>46167</v>
      </c>
      <c r="D613" t="inlineStr">
        <is>
          <t>GOTLANDS LÄN</t>
        </is>
      </c>
      <c r="E613" t="inlineStr">
        <is>
          <t>GOTLAND</t>
        </is>
      </c>
      <c r="F613" t="inlineStr">
        <is>
          <t>Kommuner</t>
        </is>
      </c>
      <c r="G613" t="n">
        <v>3.2</v>
      </c>
      <c r="H613" t="n">
        <v>0</v>
      </c>
      <c r="I613" t="n">
        <v>0</v>
      </c>
      <c r="J613" t="n">
        <v>0</v>
      </c>
      <c r="K613" t="n">
        <v>0</v>
      </c>
      <c r="L613" t="n">
        <v>0</v>
      </c>
      <c r="M613" t="n">
        <v>0</v>
      </c>
      <c r="N613" t="n">
        <v>0</v>
      </c>
      <c r="O613" t="n">
        <v>0</v>
      </c>
      <c r="P613" t="n">
        <v>0</v>
      </c>
      <c r="Q613" t="n">
        <v>0</v>
      </c>
      <c r="R613" s="2" t="inlineStr"/>
    </row>
    <row r="614" ht="15" customHeight="1">
      <c r="A614" t="inlineStr">
        <is>
          <t>A 20794-2025</t>
        </is>
      </c>
      <c r="B614" s="1" t="n">
        <v>45776</v>
      </c>
      <c r="C614" s="1" t="n">
        <v>46167</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20805-2025</t>
        </is>
      </c>
      <c r="B615" s="1" t="n">
        <v>45776</v>
      </c>
      <c r="C615" s="1" t="n">
        <v>46167</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21389-2025</t>
        </is>
      </c>
      <c r="B616" s="1" t="n">
        <v>45782</v>
      </c>
      <c r="C616" s="1" t="n">
        <v>46167</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21651-2025</t>
        </is>
      </c>
      <c r="B617" s="1" t="n">
        <v>45783</v>
      </c>
      <c r="C617" s="1" t="n">
        <v>46167</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21420-2024</t>
        </is>
      </c>
      <c r="B618" s="1" t="n">
        <v>45441.38293981482</v>
      </c>
      <c r="C618" s="1" t="n">
        <v>46167</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10656-2024</t>
        </is>
      </c>
      <c r="B619" s="1" t="n">
        <v>45368</v>
      </c>
      <c r="C619" s="1" t="n">
        <v>46167</v>
      </c>
      <c r="D619" t="inlineStr">
        <is>
          <t>GOTLANDS LÄN</t>
        </is>
      </c>
      <c r="E619" t="inlineStr">
        <is>
          <t>GOTLAND</t>
        </is>
      </c>
      <c r="G619" t="n">
        <v>1.5</v>
      </c>
      <c r="H619" t="n">
        <v>0</v>
      </c>
      <c r="I619" t="n">
        <v>0</v>
      </c>
      <c r="J619" t="n">
        <v>0</v>
      </c>
      <c r="K619" t="n">
        <v>0</v>
      </c>
      <c r="L619" t="n">
        <v>0</v>
      </c>
      <c r="M619" t="n">
        <v>0</v>
      </c>
      <c r="N619" t="n">
        <v>0</v>
      </c>
      <c r="O619" t="n">
        <v>0</v>
      </c>
      <c r="P619" t="n">
        <v>0</v>
      </c>
      <c r="Q619" t="n">
        <v>0</v>
      </c>
      <c r="R619" s="2" t="inlineStr"/>
    </row>
    <row r="620" ht="15" customHeight="1">
      <c r="A620" t="inlineStr">
        <is>
          <t>A 57356-2023</t>
        </is>
      </c>
      <c r="B620" s="1" t="n">
        <v>45240</v>
      </c>
      <c r="C620" s="1" t="n">
        <v>46167</v>
      </c>
      <c r="D620" t="inlineStr">
        <is>
          <t>GOTLANDS LÄN</t>
        </is>
      </c>
      <c r="E620" t="inlineStr">
        <is>
          <t>GOTLAND</t>
        </is>
      </c>
      <c r="G620" t="n">
        <v>6.4</v>
      </c>
      <c r="H620" t="n">
        <v>0</v>
      </c>
      <c r="I620" t="n">
        <v>0</v>
      </c>
      <c r="J620" t="n">
        <v>0</v>
      </c>
      <c r="K620" t="n">
        <v>0</v>
      </c>
      <c r="L620" t="n">
        <v>0</v>
      </c>
      <c r="M620" t="n">
        <v>0</v>
      </c>
      <c r="N620" t="n">
        <v>0</v>
      </c>
      <c r="O620" t="n">
        <v>0</v>
      </c>
      <c r="P620" t="n">
        <v>0</v>
      </c>
      <c r="Q620" t="n">
        <v>0</v>
      </c>
      <c r="R620" s="2" t="inlineStr"/>
    </row>
    <row r="621" ht="15" customHeight="1">
      <c r="A621" t="inlineStr">
        <is>
          <t>A 28506-2023</t>
        </is>
      </c>
      <c r="B621" s="1" t="n">
        <v>45103</v>
      </c>
      <c r="C621" s="1" t="n">
        <v>46167</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23188-2025</t>
        </is>
      </c>
      <c r="B622" s="1" t="n">
        <v>45791</v>
      </c>
      <c r="C622" s="1" t="n">
        <v>46167</v>
      </c>
      <c r="D622" t="inlineStr">
        <is>
          <t>GOTLANDS LÄN</t>
        </is>
      </c>
      <c r="E622" t="inlineStr">
        <is>
          <t>GOTLAND</t>
        </is>
      </c>
      <c r="G622" t="n">
        <v>6.2</v>
      </c>
      <c r="H622" t="n">
        <v>0</v>
      </c>
      <c r="I622" t="n">
        <v>0</v>
      </c>
      <c r="J622" t="n">
        <v>0</v>
      </c>
      <c r="K622" t="n">
        <v>0</v>
      </c>
      <c r="L622" t="n">
        <v>0</v>
      </c>
      <c r="M622" t="n">
        <v>0</v>
      </c>
      <c r="N622" t="n">
        <v>0</v>
      </c>
      <c r="O622" t="n">
        <v>0</v>
      </c>
      <c r="P622" t="n">
        <v>0</v>
      </c>
      <c r="Q622" t="n">
        <v>0</v>
      </c>
      <c r="R622" s="2" t="inlineStr"/>
    </row>
    <row r="623" ht="15" customHeight="1">
      <c r="A623" t="inlineStr">
        <is>
          <t>A 23856-2025</t>
        </is>
      </c>
      <c r="B623" s="1" t="n">
        <v>45793</v>
      </c>
      <c r="C623" s="1" t="n">
        <v>46167</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23473-2025</t>
        </is>
      </c>
      <c r="B624" s="1" t="n">
        <v>45792</v>
      </c>
      <c r="C624" s="1" t="n">
        <v>46167</v>
      </c>
      <c r="D624" t="inlineStr">
        <is>
          <t>GOTLANDS LÄN</t>
        </is>
      </c>
      <c r="E624" t="inlineStr">
        <is>
          <t>GOTLAND</t>
        </is>
      </c>
      <c r="G624" t="n">
        <v>3.6</v>
      </c>
      <c r="H624" t="n">
        <v>0</v>
      </c>
      <c r="I624" t="n">
        <v>0</v>
      </c>
      <c r="J624" t="n">
        <v>0</v>
      </c>
      <c r="K624" t="n">
        <v>0</v>
      </c>
      <c r="L624" t="n">
        <v>0</v>
      </c>
      <c r="M624" t="n">
        <v>0</v>
      </c>
      <c r="N624" t="n">
        <v>0</v>
      </c>
      <c r="O624" t="n">
        <v>0</v>
      </c>
      <c r="P624" t="n">
        <v>0</v>
      </c>
      <c r="Q624" t="n">
        <v>0</v>
      </c>
      <c r="R624" s="2" t="inlineStr"/>
    </row>
    <row r="625" ht="15" customHeight="1">
      <c r="A625" t="inlineStr">
        <is>
          <t>A 23698-2025</t>
        </is>
      </c>
      <c r="B625" s="1" t="n">
        <v>45793</v>
      </c>
      <c r="C625" s="1" t="n">
        <v>46167</v>
      </c>
      <c r="D625" t="inlineStr">
        <is>
          <t>GOTLANDS LÄN</t>
        </is>
      </c>
      <c r="E625" t="inlineStr">
        <is>
          <t>GOTLAND</t>
        </is>
      </c>
      <c r="G625" t="n">
        <v>0.8</v>
      </c>
      <c r="H625" t="n">
        <v>0</v>
      </c>
      <c r="I625" t="n">
        <v>0</v>
      </c>
      <c r="J625" t="n">
        <v>0</v>
      </c>
      <c r="K625" t="n">
        <v>0</v>
      </c>
      <c r="L625" t="n">
        <v>0</v>
      </c>
      <c r="M625" t="n">
        <v>0</v>
      </c>
      <c r="N625" t="n">
        <v>0</v>
      </c>
      <c r="O625" t="n">
        <v>0</v>
      </c>
      <c r="P625" t="n">
        <v>0</v>
      </c>
      <c r="Q625" t="n">
        <v>0</v>
      </c>
      <c r="R625" s="2" t="inlineStr"/>
    </row>
    <row r="626" ht="15" customHeight="1">
      <c r="A626" t="inlineStr">
        <is>
          <t>A 15073-2025</t>
        </is>
      </c>
      <c r="B626" s="1" t="n">
        <v>45743</v>
      </c>
      <c r="C626" s="1" t="n">
        <v>46167</v>
      </c>
      <c r="D626" t="inlineStr">
        <is>
          <t>GOTLANDS LÄN</t>
        </is>
      </c>
      <c r="E626" t="inlineStr">
        <is>
          <t>GOTLAND</t>
        </is>
      </c>
      <c r="G626" t="n">
        <v>12.1</v>
      </c>
      <c r="H626" t="n">
        <v>0</v>
      </c>
      <c r="I626" t="n">
        <v>0</v>
      </c>
      <c r="J626" t="n">
        <v>0</v>
      </c>
      <c r="K626" t="n">
        <v>0</v>
      </c>
      <c r="L626" t="n">
        <v>0</v>
      </c>
      <c r="M626" t="n">
        <v>0</v>
      </c>
      <c r="N626" t="n">
        <v>0</v>
      </c>
      <c r="O626" t="n">
        <v>0</v>
      </c>
      <c r="P626" t="n">
        <v>0</v>
      </c>
      <c r="Q626" t="n">
        <v>0</v>
      </c>
      <c r="R626" s="2" t="inlineStr"/>
    </row>
    <row r="627" ht="15" customHeight="1">
      <c r="A627" t="inlineStr">
        <is>
          <t>A 6749-2025</t>
        </is>
      </c>
      <c r="B627" s="1" t="n">
        <v>45700</v>
      </c>
      <c r="C627" s="1" t="n">
        <v>46167</v>
      </c>
      <c r="D627" t="inlineStr">
        <is>
          <t>GOTLANDS LÄN</t>
        </is>
      </c>
      <c r="E627" t="inlineStr">
        <is>
          <t>GOTLAND</t>
        </is>
      </c>
      <c r="G627" t="n">
        <v>4.5</v>
      </c>
      <c r="H627" t="n">
        <v>0</v>
      </c>
      <c r="I627" t="n">
        <v>0</v>
      </c>
      <c r="J627" t="n">
        <v>0</v>
      </c>
      <c r="K627" t="n">
        <v>0</v>
      </c>
      <c r="L627" t="n">
        <v>0</v>
      </c>
      <c r="M627" t="n">
        <v>0</v>
      </c>
      <c r="N627" t="n">
        <v>0</v>
      </c>
      <c r="O627" t="n">
        <v>0</v>
      </c>
      <c r="P627" t="n">
        <v>0</v>
      </c>
      <c r="Q627" t="n">
        <v>0</v>
      </c>
      <c r="R627" s="2" t="inlineStr"/>
    </row>
    <row r="628" ht="15" customHeight="1">
      <c r="A628" t="inlineStr">
        <is>
          <t>A 5462-2025</t>
        </is>
      </c>
      <c r="B628" s="1" t="n">
        <v>45693.29331018519</v>
      </c>
      <c r="C628" s="1" t="n">
        <v>46167</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25796-2025</t>
        </is>
      </c>
      <c r="B629" s="1" t="n">
        <v>45804.39543981481</v>
      </c>
      <c r="C629" s="1" t="n">
        <v>46167</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26465-2025</t>
        </is>
      </c>
      <c r="B630" s="1" t="n">
        <v>45807.44377314814</v>
      </c>
      <c r="C630" s="1" t="n">
        <v>46167</v>
      </c>
      <c r="D630" t="inlineStr">
        <is>
          <t>GOTLANDS LÄN</t>
        </is>
      </c>
      <c r="E630" t="inlineStr">
        <is>
          <t>GOTLAND</t>
        </is>
      </c>
      <c r="G630" t="n">
        <v>4.5</v>
      </c>
      <c r="H630" t="n">
        <v>0</v>
      </c>
      <c r="I630" t="n">
        <v>0</v>
      </c>
      <c r="J630" t="n">
        <v>0</v>
      </c>
      <c r="K630" t="n">
        <v>0</v>
      </c>
      <c r="L630" t="n">
        <v>0</v>
      </c>
      <c r="M630" t="n">
        <v>0</v>
      </c>
      <c r="N630" t="n">
        <v>0</v>
      </c>
      <c r="O630" t="n">
        <v>0</v>
      </c>
      <c r="P630" t="n">
        <v>0</v>
      </c>
      <c r="Q630" t="n">
        <v>0</v>
      </c>
      <c r="R630" s="2" t="inlineStr"/>
    </row>
    <row r="631" ht="15" customHeight="1">
      <c r="A631" t="inlineStr">
        <is>
          <t>A 26457-2025</t>
        </is>
      </c>
      <c r="B631" s="1" t="n">
        <v>45807.42773148148</v>
      </c>
      <c r="C631" s="1" t="n">
        <v>46167</v>
      </c>
      <c r="D631" t="inlineStr">
        <is>
          <t>GOTLANDS LÄN</t>
        </is>
      </c>
      <c r="E631" t="inlineStr">
        <is>
          <t>GOTLAND</t>
        </is>
      </c>
      <c r="G631" t="n">
        <v>5.7</v>
      </c>
      <c r="H631" t="n">
        <v>0</v>
      </c>
      <c r="I631" t="n">
        <v>0</v>
      </c>
      <c r="J631" t="n">
        <v>0</v>
      </c>
      <c r="K631" t="n">
        <v>0</v>
      </c>
      <c r="L631" t="n">
        <v>0</v>
      </c>
      <c r="M631" t="n">
        <v>0</v>
      </c>
      <c r="N631" t="n">
        <v>0</v>
      </c>
      <c r="O631" t="n">
        <v>0</v>
      </c>
      <c r="P631" t="n">
        <v>0</v>
      </c>
      <c r="Q631" t="n">
        <v>0</v>
      </c>
      <c r="R631" s="2" t="inlineStr"/>
    </row>
    <row r="632" ht="15" customHeight="1">
      <c r="A632" t="inlineStr">
        <is>
          <t>A 26467-2025</t>
        </is>
      </c>
      <c r="B632" s="1" t="n">
        <v>45807.44640046296</v>
      </c>
      <c r="C632" s="1" t="n">
        <v>46167</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26660-2025</t>
        </is>
      </c>
      <c r="B633" s="1" t="n">
        <v>45810.39737268518</v>
      </c>
      <c r="C633" s="1" t="n">
        <v>46167</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27355-2025</t>
        </is>
      </c>
      <c r="B634" s="1" t="n">
        <v>45812</v>
      </c>
      <c r="C634" s="1" t="n">
        <v>46167</v>
      </c>
      <c r="D634" t="inlineStr">
        <is>
          <t>GOTLANDS LÄN</t>
        </is>
      </c>
      <c r="E634" t="inlineStr">
        <is>
          <t>GOTLAND</t>
        </is>
      </c>
      <c r="G634" t="n">
        <v>1.1</v>
      </c>
      <c r="H634" t="n">
        <v>0</v>
      </c>
      <c r="I634" t="n">
        <v>0</v>
      </c>
      <c r="J634" t="n">
        <v>0</v>
      </c>
      <c r="K634" t="n">
        <v>0</v>
      </c>
      <c r="L634" t="n">
        <v>0</v>
      </c>
      <c r="M634" t="n">
        <v>0</v>
      </c>
      <c r="N634" t="n">
        <v>0</v>
      </c>
      <c r="O634" t="n">
        <v>0</v>
      </c>
      <c r="P634" t="n">
        <v>0</v>
      </c>
      <c r="Q634" t="n">
        <v>0</v>
      </c>
      <c r="R634" s="2" t="inlineStr"/>
    </row>
    <row r="635" ht="15" customHeight="1">
      <c r="A635" t="inlineStr">
        <is>
          <t>A 27371-2025</t>
        </is>
      </c>
      <c r="B635" s="1" t="n">
        <v>45812</v>
      </c>
      <c r="C635" s="1" t="n">
        <v>46167</v>
      </c>
      <c r="D635" t="inlineStr">
        <is>
          <t>GOTLANDS LÄN</t>
        </is>
      </c>
      <c r="E635" t="inlineStr">
        <is>
          <t>GOTLAND</t>
        </is>
      </c>
      <c r="G635" t="n">
        <v>8</v>
      </c>
      <c r="H635" t="n">
        <v>0</v>
      </c>
      <c r="I635" t="n">
        <v>0</v>
      </c>
      <c r="J635" t="n">
        <v>0</v>
      </c>
      <c r="K635" t="n">
        <v>0</v>
      </c>
      <c r="L635" t="n">
        <v>0</v>
      </c>
      <c r="M635" t="n">
        <v>0</v>
      </c>
      <c r="N635" t="n">
        <v>0</v>
      </c>
      <c r="O635" t="n">
        <v>0</v>
      </c>
      <c r="P635" t="n">
        <v>0</v>
      </c>
      <c r="Q635" t="n">
        <v>0</v>
      </c>
      <c r="R635" s="2" t="inlineStr"/>
    </row>
    <row r="636" ht="15" customHeight="1">
      <c r="A636" t="inlineStr">
        <is>
          <t>A 7850-2025</t>
        </is>
      </c>
      <c r="B636" s="1" t="n">
        <v>45706</v>
      </c>
      <c r="C636" s="1" t="n">
        <v>46167</v>
      </c>
      <c r="D636" t="inlineStr">
        <is>
          <t>GOTLANDS LÄN</t>
        </is>
      </c>
      <c r="E636" t="inlineStr">
        <is>
          <t>GOTLAND</t>
        </is>
      </c>
      <c r="G636" t="n">
        <v>0.5</v>
      </c>
      <c r="H636" t="n">
        <v>0</v>
      </c>
      <c r="I636" t="n">
        <v>0</v>
      </c>
      <c r="J636" t="n">
        <v>0</v>
      </c>
      <c r="K636" t="n">
        <v>0</v>
      </c>
      <c r="L636" t="n">
        <v>0</v>
      </c>
      <c r="M636" t="n">
        <v>0</v>
      </c>
      <c r="N636" t="n">
        <v>0</v>
      </c>
      <c r="O636" t="n">
        <v>0</v>
      </c>
      <c r="P636" t="n">
        <v>0</v>
      </c>
      <c r="Q636" t="n">
        <v>0</v>
      </c>
      <c r="R636" s="2" t="inlineStr"/>
    </row>
    <row r="637" ht="15" customHeight="1">
      <c r="A637" t="inlineStr">
        <is>
          <t>A 8444-2025</t>
        </is>
      </c>
      <c r="B637" s="1" t="n">
        <v>45709</v>
      </c>
      <c r="C637" s="1" t="n">
        <v>46167</v>
      </c>
      <c r="D637" t="inlineStr">
        <is>
          <t>GOTLANDS LÄN</t>
        </is>
      </c>
      <c r="E637" t="inlineStr">
        <is>
          <t>GOTLAND</t>
        </is>
      </c>
      <c r="G637" t="n">
        <v>5.2</v>
      </c>
      <c r="H637" t="n">
        <v>0</v>
      </c>
      <c r="I637" t="n">
        <v>0</v>
      </c>
      <c r="J637" t="n">
        <v>0</v>
      </c>
      <c r="K637" t="n">
        <v>0</v>
      </c>
      <c r="L637" t="n">
        <v>0</v>
      </c>
      <c r="M637" t="n">
        <v>0</v>
      </c>
      <c r="N637" t="n">
        <v>0</v>
      </c>
      <c r="O637" t="n">
        <v>0</v>
      </c>
      <c r="P637" t="n">
        <v>0</v>
      </c>
      <c r="Q637" t="n">
        <v>0</v>
      </c>
      <c r="R637" s="2" t="inlineStr"/>
    </row>
    <row r="638" ht="15" customHeight="1">
      <c r="A638" t="inlineStr">
        <is>
          <t>A 19905-2025</t>
        </is>
      </c>
      <c r="B638" s="1" t="n">
        <v>45771</v>
      </c>
      <c r="C638" s="1" t="n">
        <v>46167</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29207-2025</t>
        </is>
      </c>
      <c r="B639" s="1" t="n">
        <v>45823</v>
      </c>
      <c r="C639" s="1" t="n">
        <v>46167</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29196-2025</t>
        </is>
      </c>
      <c r="B640" s="1" t="n">
        <v>45822</v>
      </c>
      <c r="C640" s="1" t="n">
        <v>46167</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30061-2025</t>
        </is>
      </c>
      <c r="B641" s="1" t="n">
        <v>45826.61488425926</v>
      </c>
      <c r="C641" s="1" t="n">
        <v>46167</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ht="15" customHeight="1">
      <c r="A642" t="inlineStr">
        <is>
          <t>A 58160-2024</t>
        </is>
      </c>
      <c r="B642" s="1" t="n">
        <v>45632.44927083333</v>
      </c>
      <c r="C642" s="1" t="n">
        <v>46167</v>
      </c>
      <c r="D642" t="inlineStr">
        <is>
          <t>GOTLANDS LÄN</t>
        </is>
      </c>
      <c r="E642" t="inlineStr">
        <is>
          <t>GOTLAND</t>
        </is>
      </c>
      <c r="G642" t="n">
        <v>5.6</v>
      </c>
      <c r="H642" t="n">
        <v>0</v>
      </c>
      <c r="I642" t="n">
        <v>0</v>
      </c>
      <c r="J642" t="n">
        <v>0</v>
      </c>
      <c r="K642" t="n">
        <v>0</v>
      </c>
      <c r="L642" t="n">
        <v>0</v>
      </c>
      <c r="M642" t="n">
        <v>0</v>
      </c>
      <c r="N642" t="n">
        <v>0</v>
      </c>
      <c r="O642" t="n">
        <v>0</v>
      </c>
      <c r="P642" t="n">
        <v>0</v>
      </c>
      <c r="Q642" t="n">
        <v>0</v>
      </c>
      <c r="R642" s="2" t="inlineStr"/>
    </row>
    <row r="643" ht="15" customHeight="1">
      <c r="A643" t="inlineStr">
        <is>
          <t>A 16109-2025</t>
        </is>
      </c>
      <c r="B643" s="1" t="n">
        <v>45750</v>
      </c>
      <c r="C643" s="1" t="n">
        <v>46167</v>
      </c>
      <c r="D643" t="inlineStr">
        <is>
          <t>GOTLANDS LÄN</t>
        </is>
      </c>
      <c r="E643" t="inlineStr">
        <is>
          <t>GOTLAND</t>
        </is>
      </c>
      <c r="G643" t="n">
        <v>4.9</v>
      </c>
      <c r="H643" t="n">
        <v>0</v>
      </c>
      <c r="I643" t="n">
        <v>0</v>
      </c>
      <c r="J643" t="n">
        <v>0</v>
      </c>
      <c r="K643" t="n">
        <v>0</v>
      </c>
      <c r="L643" t="n">
        <v>0</v>
      </c>
      <c r="M643" t="n">
        <v>0</v>
      </c>
      <c r="N643" t="n">
        <v>0</v>
      </c>
      <c r="O643" t="n">
        <v>0</v>
      </c>
      <c r="P643" t="n">
        <v>0</v>
      </c>
      <c r="Q643" t="n">
        <v>0</v>
      </c>
      <c r="R643" s="2" t="inlineStr"/>
    </row>
    <row r="644" ht="15" customHeight="1">
      <c r="A644" t="inlineStr">
        <is>
          <t>A 32467-2025</t>
        </is>
      </c>
      <c r="B644" s="1" t="n">
        <v>45838.42111111111</v>
      </c>
      <c r="C644" s="1" t="n">
        <v>46167</v>
      </c>
      <c r="D644" t="inlineStr">
        <is>
          <t>GOTLANDS LÄN</t>
        </is>
      </c>
      <c r="E644" t="inlineStr">
        <is>
          <t>GOTLAND</t>
        </is>
      </c>
      <c r="G644" t="n">
        <v>4.3</v>
      </c>
      <c r="H644" t="n">
        <v>0</v>
      </c>
      <c r="I644" t="n">
        <v>0</v>
      </c>
      <c r="J644" t="n">
        <v>0</v>
      </c>
      <c r="K644" t="n">
        <v>0</v>
      </c>
      <c r="L644" t="n">
        <v>0</v>
      </c>
      <c r="M644" t="n">
        <v>0</v>
      </c>
      <c r="N644" t="n">
        <v>0</v>
      </c>
      <c r="O644" t="n">
        <v>0</v>
      </c>
      <c r="P644" t="n">
        <v>0</v>
      </c>
      <c r="Q644" t="n">
        <v>0</v>
      </c>
      <c r="R644" s="2" t="inlineStr"/>
    </row>
    <row r="645" ht="15" customHeight="1">
      <c r="A645" t="inlineStr">
        <is>
          <t>A 32379-2025</t>
        </is>
      </c>
      <c r="B645" s="1" t="n">
        <v>45837</v>
      </c>
      <c r="C645" s="1" t="n">
        <v>46167</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c r="A646" t="inlineStr">
        <is>
          <t>A 33007-2025</t>
        </is>
      </c>
      <c r="B646" s="1" t="n">
        <v>45840</v>
      </c>
      <c r="C646" s="1" t="n">
        <v>46167</v>
      </c>
      <c r="D646" t="inlineStr">
        <is>
          <t>GOTLANDS LÄN</t>
        </is>
      </c>
      <c r="E646" t="inlineStr">
        <is>
          <t>GOTLAND</t>
        </is>
      </c>
      <c r="G646" t="n">
        <v>4.9</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2026-05-25T10:53:14Z</dcterms:created>
  <dcterms:modified xmlns:dcterms="http://purl.org/dc/terms/" xmlns:xsi="http://www.w3.org/2001/XMLSchema-instance" xsi:type="dcterms:W3CDTF">2026-05-25T10:53:15Z</dcterms:modified>
</cp:coreProperties>
</file>