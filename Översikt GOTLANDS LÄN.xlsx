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45788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45788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45788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45788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45788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45788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45788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45788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45788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45788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45788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45788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45788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45788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45788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45788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45788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45788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45788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45788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45788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45788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45788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45788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45788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45788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45788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45788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45788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45788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45788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45788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45788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45788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45788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45788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45788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45788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45788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45788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45788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45788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45788</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45788</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45788</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45788</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45788</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45788</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45788</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45788</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45788</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45788</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45788</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45788</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45788</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45788</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45788</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45788</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45788</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45788</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45788</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45788</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45788</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45788</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45788</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45788</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45788</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45788</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45788</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45788</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45788</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45788</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45788</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45788</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45788</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45788</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45788</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45788</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45788</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45788</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45788</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45788</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45788</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45788</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45788</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45788</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45788</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45788</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45788</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45788</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45788</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45788</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45788</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45788</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45788</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45788</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45788</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45788</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45788</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45788</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45788</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45788</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45788</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45788</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45788</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45788</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45788</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45788</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45788</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45788</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45788</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45788</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45788</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45788</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45788</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45788</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45788</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45788</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45788</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45788</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45788</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45788</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45788</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45788</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45788</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45788</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45788</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45788</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45788</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45788</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45788</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45788</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45788</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45788</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45788</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45788</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45788</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45788</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45788</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45788</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45788</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45788</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45788</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45788</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45788</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45788</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45788</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16542-2024</t>
        </is>
      </c>
      <c r="B149" s="1" t="n">
        <v>45408</v>
      </c>
      <c r="C149" s="1" t="n">
        <v>45788</v>
      </c>
      <c r="D149" t="inlineStr">
        <is>
          <t>GOTLANDS LÄN</t>
        </is>
      </c>
      <c r="E149" t="inlineStr">
        <is>
          <t>GOTLAND</t>
        </is>
      </c>
      <c r="G149" t="n">
        <v>1.6</v>
      </c>
      <c r="H149" t="n">
        <v>2</v>
      </c>
      <c r="I149" t="n">
        <v>2</v>
      </c>
      <c r="J149" t="n">
        <v>1</v>
      </c>
      <c r="K149" t="n">
        <v>0</v>
      </c>
      <c r="L149" t="n">
        <v>0</v>
      </c>
      <c r="M149" t="n">
        <v>0</v>
      </c>
      <c r="N149" t="n">
        <v>0</v>
      </c>
      <c r="O149" t="n">
        <v>1</v>
      </c>
      <c r="P149" t="n">
        <v>0</v>
      </c>
      <c r="Q149" t="n">
        <v>3</v>
      </c>
      <c r="R149" s="2" t="inlineStr">
        <is>
          <t>Tallticka
Nästrot
Tvåblad</t>
        </is>
      </c>
      <c r="S149">
        <f>HYPERLINK("https://klasma.github.io/Logging_0980/artfynd/A 16542-2024 artfynd.xlsx", "A 16542-2024")</f>
        <v/>
      </c>
      <c r="T149">
        <f>HYPERLINK("https://klasma.github.io/Logging_0980/kartor/A 16542-2024 karta.png", "A 16542-2024")</f>
        <v/>
      </c>
      <c r="V149">
        <f>HYPERLINK("https://klasma.github.io/Logging_0980/klagomål/A 16542-2024 FSC-klagomål.docx", "A 16542-2024")</f>
        <v/>
      </c>
      <c r="W149">
        <f>HYPERLINK("https://klasma.github.io/Logging_0980/klagomålsmail/A 16542-2024 FSC-klagomål mail.docx", "A 16542-2024")</f>
        <v/>
      </c>
      <c r="X149">
        <f>HYPERLINK("https://klasma.github.io/Logging_0980/tillsyn/A 16542-2024 tillsynsbegäran.docx", "A 16542-2024")</f>
        <v/>
      </c>
      <c r="Y149">
        <f>HYPERLINK("https://klasma.github.io/Logging_0980/tillsynsmail/A 16542-2024 tillsynsbegäran mail.docx", "A 16542-2024")</f>
        <v/>
      </c>
    </row>
    <row r="150" ht="15" customHeight="1">
      <c r="A150" t="inlineStr">
        <is>
          <t>A 17975-2024</t>
        </is>
      </c>
      <c r="B150" s="1" t="n">
        <v>45419</v>
      </c>
      <c r="C150" s="1" t="n">
        <v>45788</v>
      </c>
      <c r="D150" t="inlineStr">
        <is>
          <t>GOTLANDS LÄN</t>
        </is>
      </c>
      <c r="E150" t="inlineStr">
        <is>
          <t>GOTLAND</t>
        </is>
      </c>
      <c r="G150" t="n">
        <v>7.9</v>
      </c>
      <c r="H150" t="n">
        <v>0</v>
      </c>
      <c r="I150" t="n">
        <v>1</v>
      </c>
      <c r="J150" t="n">
        <v>1</v>
      </c>
      <c r="K150" t="n">
        <v>0</v>
      </c>
      <c r="L150" t="n">
        <v>1</v>
      </c>
      <c r="M150" t="n">
        <v>0</v>
      </c>
      <c r="N150" t="n">
        <v>0</v>
      </c>
      <c r="O150" t="n">
        <v>2</v>
      </c>
      <c r="P150" t="n">
        <v>1</v>
      </c>
      <c r="Q150" t="n">
        <v>3</v>
      </c>
      <c r="R150" s="2" t="inlineStr">
        <is>
          <t>Ask
Skugglosta
Strävlosta</t>
        </is>
      </c>
      <c r="S150">
        <f>HYPERLINK("https://klasma.github.io/Logging_0980/artfynd/A 17975-2024 artfynd.xlsx", "A 17975-2024")</f>
        <v/>
      </c>
      <c r="T150">
        <f>HYPERLINK("https://klasma.github.io/Logging_0980/kartor/A 17975-2024 karta.png", "A 17975-2024")</f>
        <v/>
      </c>
      <c r="V150">
        <f>HYPERLINK("https://klasma.github.io/Logging_0980/klagomål/A 17975-2024 FSC-klagomål.docx", "A 17975-2024")</f>
        <v/>
      </c>
      <c r="W150">
        <f>HYPERLINK("https://klasma.github.io/Logging_0980/klagomålsmail/A 17975-2024 FSC-klagomål mail.docx", "A 17975-2024")</f>
        <v/>
      </c>
      <c r="X150">
        <f>HYPERLINK("https://klasma.github.io/Logging_0980/tillsyn/A 17975-2024 tillsynsbegäran.docx", "A 17975-2024")</f>
        <v/>
      </c>
      <c r="Y150">
        <f>HYPERLINK("https://klasma.github.io/Logging_0980/tillsynsmail/A 17975-2024 tillsynsbegäran mail.docx", "A 17975-2024")</f>
        <v/>
      </c>
    </row>
    <row r="151" ht="15" customHeight="1">
      <c r="A151" t="inlineStr">
        <is>
          <t>A 24345-2024</t>
        </is>
      </c>
      <c r="B151" s="1" t="n">
        <v>45457</v>
      </c>
      <c r="C151" s="1" t="n">
        <v>45788</v>
      </c>
      <c r="D151" t="inlineStr">
        <is>
          <t>GOTLANDS LÄN</t>
        </is>
      </c>
      <c r="E151" t="inlineStr">
        <is>
          <t>GOTLAND</t>
        </is>
      </c>
      <c r="G151" t="n">
        <v>5.2</v>
      </c>
      <c r="H151" t="n">
        <v>1</v>
      </c>
      <c r="I151" t="n">
        <v>1</v>
      </c>
      <c r="J151" t="n">
        <v>2</v>
      </c>
      <c r="K151" t="n">
        <v>0</v>
      </c>
      <c r="L151" t="n">
        <v>0</v>
      </c>
      <c r="M151" t="n">
        <v>0</v>
      </c>
      <c r="N151" t="n">
        <v>0</v>
      </c>
      <c r="O151" t="n">
        <v>2</v>
      </c>
      <c r="P151" t="n">
        <v>0</v>
      </c>
      <c r="Q151" t="n">
        <v>3</v>
      </c>
      <c r="R151" s="2" t="inlineStr">
        <is>
          <t>Backtimjan
Dårgräsfjäril
Rödgul trumpetsvamp</t>
        </is>
      </c>
      <c r="S151">
        <f>HYPERLINK("https://klasma.github.io/Logging_0980/artfynd/A 24345-2024 artfynd.xlsx", "A 24345-2024")</f>
        <v/>
      </c>
      <c r="T151">
        <f>HYPERLINK("https://klasma.github.io/Logging_0980/kartor/A 24345-2024 karta.png", "A 24345-2024")</f>
        <v/>
      </c>
      <c r="V151">
        <f>HYPERLINK("https://klasma.github.io/Logging_0980/klagomål/A 24345-2024 FSC-klagomål.docx", "A 24345-2024")</f>
        <v/>
      </c>
      <c r="W151">
        <f>HYPERLINK("https://klasma.github.io/Logging_0980/klagomålsmail/A 24345-2024 FSC-klagomål mail.docx", "A 24345-2024")</f>
        <v/>
      </c>
      <c r="X151">
        <f>HYPERLINK("https://klasma.github.io/Logging_0980/tillsyn/A 24345-2024 tillsynsbegäran.docx", "A 24345-2024")</f>
        <v/>
      </c>
      <c r="Y151">
        <f>HYPERLINK("https://klasma.github.io/Logging_0980/tillsynsmail/A 24345-2024 tillsynsbegäran mail.docx", "A 24345-2024")</f>
        <v/>
      </c>
    </row>
    <row r="152" ht="15" customHeight="1">
      <c r="A152" t="inlineStr">
        <is>
          <t>A 25981-2024</t>
        </is>
      </c>
      <c r="B152" s="1" t="n">
        <v>45467</v>
      </c>
      <c r="C152" s="1" t="n">
        <v>45788</v>
      </c>
      <c r="D152" t="inlineStr">
        <is>
          <t>GOTLANDS LÄN</t>
        </is>
      </c>
      <c r="E152" t="inlineStr">
        <is>
          <t>GOTLAND</t>
        </is>
      </c>
      <c r="G152" t="n">
        <v>5.9</v>
      </c>
      <c r="H152" t="n">
        <v>3</v>
      </c>
      <c r="I152" t="n">
        <v>2</v>
      </c>
      <c r="J152" t="n">
        <v>0</v>
      </c>
      <c r="K152" t="n">
        <v>0</v>
      </c>
      <c r="L152" t="n">
        <v>0</v>
      </c>
      <c r="M152" t="n">
        <v>0</v>
      </c>
      <c r="N152" t="n">
        <v>0</v>
      </c>
      <c r="O152" t="n">
        <v>0</v>
      </c>
      <c r="P152" t="n">
        <v>0</v>
      </c>
      <c r="Q152" t="n">
        <v>3</v>
      </c>
      <c r="R152" s="2" t="inlineStr">
        <is>
          <t>Purpurknipprot
Skogsknipprot
Fläcknycklar</t>
        </is>
      </c>
      <c r="S152">
        <f>HYPERLINK("https://klasma.github.io/Logging_0980/artfynd/A 25981-2024 artfynd.xlsx", "A 25981-2024")</f>
        <v/>
      </c>
      <c r="T152">
        <f>HYPERLINK("https://klasma.github.io/Logging_0980/kartor/A 25981-2024 karta.png", "A 25981-2024")</f>
        <v/>
      </c>
      <c r="V152">
        <f>HYPERLINK("https://klasma.github.io/Logging_0980/klagomål/A 25981-2024 FSC-klagomål.docx", "A 25981-2024")</f>
        <v/>
      </c>
      <c r="W152">
        <f>HYPERLINK("https://klasma.github.io/Logging_0980/klagomålsmail/A 25981-2024 FSC-klagomål mail.docx", "A 25981-2024")</f>
        <v/>
      </c>
      <c r="X152">
        <f>HYPERLINK("https://klasma.github.io/Logging_0980/tillsyn/A 25981-2024 tillsynsbegäran.docx", "A 25981-2024")</f>
        <v/>
      </c>
      <c r="Y152">
        <f>HYPERLINK("https://klasma.github.io/Logging_0980/tillsynsmail/A 25981-2024 tillsynsbegäran mail.docx", "A 25981-2024")</f>
        <v/>
      </c>
    </row>
    <row r="153" ht="15" customHeight="1">
      <c r="A153" t="inlineStr">
        <is>
          <t>A 54940-2024</t>
        </is>
      </c>
      <c r="B153" s="1" t="n">
        <v>45618</v>
      </c>
      <c r="C153" s="1" t="n">
        <v>45788</v>
      </c>
      <c r="D153" t="inlineStr">
        <is>
          <t>GOTLANDS LÄN</t>
        </is>
      </c>
      <c r="E153" t="inlineStr">
        <is>
          <t>GOTLAND</t>
        </is>
      </c>
      <c r="G153" t="n">
        <v>1.2</v>
      </c>
      <c r="H153" t="n">
        <v>2</v>
      </c>
      <c r="I153" t="n">
        <v>0</v>
      </c>
      <c r="J153" t="n">
        <v>1</v>
      </c>
      <c r="K153" t="n">
        <v>0</v>
      </c>
      <c r="L153" t="n">
        <v>0</v>
      </c>
      <c r="M153" t="n">
        <v>0</v>
      </c>
      <c r="N153" t="n">
        <v>0</v>
      </c>
      <c r="O153" t="n">
        <v>1</v>
      </c>
      <c r="P153" t="n">
        <v>0</v>
      </c>
      <c r="Q153" t="n">
        <v>3</v>
      </c>
      <c r="R153" s="2" t="inlineStr">
        <is>
          <t>Ängsstarr
Brudsporre
Dactylorhiza incarnata subsp. incarnata</t>
        </is>
      </c>
      <c r="S153">
        <f>HYPERLINK("https://klasma.github.io/Logging_0980/artfynd/A 54940-2024 artfynd.xlsx", "A 54940-2024")</f>
        <v/>
      </c>
      <c r="T153">
        <f>HYPERLINK("https://klasma.github.io/Logging_0980/kartor/A 54940-2024 karta.png", "A 54940-2024")</f>
        <v/>
      </c>
      <c r="V153">
        <f>HYPERLINK("https://klasma.github.io/Logging_0980/klagomål/A 54940-2024 FSC-klagomål.docx", "A 54940-2024")</f>
        <v/>
      </c>
      <c r="W153">
        <f>HYPERLINK("https://klasma.github.io/Logging_0980/klagomålsmail/A 54940-2024 FSC-klagomål mail.docx", "A 54940-2024")</f>
        <v/>
      </c>
      <c r="X153">
        <f>HYPERLINK("https://klasma.github.io/Logging_0980/tillsyn/A 54940-2024 tillsynsbegäran.docx", "A 54940-2024")</f>
        <v/>
      </c>
      <c r="Y153">
        <f>HYPERLINK("https://klasma.github.io/Logging_0980/tillsynsmail/A 54940-2024 tillsynsbegäran mail.docx", "A 54940-2024")</f>
        <v/>
      </c>
    </row>
    <row r="154" ht="15" customHeight="1">
      <c r="A154" t="inlineStr">
        <is>
          <t>A 2318-2025</t>
        </is>
      </c>
      <c r="B154" s="1" t="n">
        <v>45673</v>
      </c>
      <c r="C154" s="1" t="n">
        <v>45788</v>
      </c>
      <c r="D154" t="inlineStr">
        <is>
          <t>GOTLANDS LÄN</t>
        </is>
      </c>
      <c r="E154" t="inlineStr">
        <is>
          <t>GOTLAND</t>
        </is>
      </c>
      <c r="G154" t="n">
        <v>26.3</v>
      </c>
      <c r="H154" t="n">
        <v>0</v>
      </c>
      <c r="I154" t="n">
        <v>1</v>
      </c>
      <c r="J154" t="n">
        <v>1</v>
      </c>
      <c r="K154" t="n">
        <v>1</v>
      </c>
      <c r="L154" t="n">
        <v>0</v>
      </c>
      <c r="M154" t="n">
        <v>0</v>
      </c>
      <c r="N154" t="n">
        <v>0</v>
      </c>
      <c r="O154" t="n">
        <v>2</v>
      </c>
      <c r="P154" t="n">
        <v>1</v>
      </c>
      <c r="Q154" t="n">
        <v>3</v>
      </c>
      <c r="R154" s="2" t="inlineStr">
        <is>
          <t>Strandviol
Lunglav
Strävlosta</t>
        </is>
      </c>
      <c r="S154">
        <f>HYPERLINK("https://klasma.github.io/Logging_0980/artfynd/A 2318-2025 artfynd.xlsx", "A 2318-2025")</f>
        <v/>
      </c>
      <c r="T154">
        <f>HYPERLINK("https://klasma.github.io/Logging_0980/kartor/A 2318-2025 karta.png", "A 2318-2025")</f>
        <v/>
      </c>
      <c r="V154">
        <f>HYPERLINK("https://klasma.github.io/Logging_0980/klagomål/A 2318-2025 FSC-klagomål.docx", "A 2318-2025")</f>
        <v/>
      </c>
      <c r="W154">
        <f>HYPERLINK("https://klasma.github.io/Logging_0980/klagomålsmail/A 2318-2025 FSC-klagomål mail.docx", "A 2318-2025")</f>
        <v/>
      </c>
      <c r="X154">
        <f>HYPERLINK("https://klasma.github.io/Logging_0980/tillsyn/A 2318-2025 tillsynsbegäran.docx", "A 2318-2025")</f>
        <v/>
      </c>
      <c r="Y154">
        <f>HYPERLINK("https://klasma.github.io/Logging_0980/tillsynsmail/A 2318-2025 tillsynsbegäran mail.docx", "A 2318-2025")</f>
        <v/>
      </c>
    </row>
    <row r="155" ht="15" customHeight="1">
      <c r="A155" t="inlineStr">
        <is>
          <t>A 21897-2019</t>
        </is>
      </c>
      <c r="B155" s="1" t="n">
        <v>43584</v>
      </c>
      <c r="C155" s="1" t="n">
        <v>45788</v>
      </c>
      <c r="D155" t="inlineStr">
        <is>
          <t>GOTLANDS LÄN</t>
        </is>
      </c>
      <c r="E155" t="inlineStr">
        <is>
          <t>GOTLAND</t>
        </is>
      </c>
      <c r="G155" t="n">
        <v>7.4</v>
      </c>
      <c r="H155" t="n">
        <v>2</v>
      </c>
      <c r="I155" t="n">
        <v>1</v>
      </c>
      <c r="J155" t="n">
        <v>0</v>
      </c>
      <c r="K155" t="n">
        <v>0</v>
      </c>
      <c r="L155" t="n">
        <v>0</v>
      </c>
      <c r="M155" t="n">
        <v>0</v>
      </c>
      <c r="N155" t="n">
        <v>0</v>
      </c>
      <c r="O155" t="n">
        <v>0</v>
      </c>
      <c r="P155" t="n">
        <v>0</v>
      </c>
      <c r="Q155" t="n">
        <v>2</v>
      </c>
      <c r="R155" s="2" t="inlineStr">
        <is>
          <t>Korallrot
Nattviol</t>
        </is>
      </c>
      <c r="S155">
        <f>HYPERLINK("https://klasma.github.io/Logging_0980/artfynd/A 21897-2019 artfynd.xlsx", "A 21897-2019")</f>
        <v/>
      </c>
      <c r="T155">
        <f>HYPERLINK("https://klasma.github.io/Logging_0980/kartor/A 21897-2019 karta.png", "A 21897-2019")</f>
        <v/>
      </c>
      <c r="V155">
        <f>HYPERLINK("https://klasma.github.io/Logging_0980/klagomål/A 21897-2019 FSC-klagomål.docx", "A 21897-2019")</f>
        <v/>
      </c>
      <c r="W155">
        <f>HYPERLINK("https://klasma.github.io/Logging_0980/klagomålsmail/A 21897-2019 FSC-klagomål mail.docx", "A 21897-2019")</f>
        <v/>
      </c>
      <c r="X155">
        <f>HYPERLINK("https://klasma.github.io/Logging_0980/tillsyn/A 21897-2019 tillsynsbegäran.docx", "A 21897-2019")</f>
        <v/>
      </c>
      <c r="Y155">
        <f>HYPERLINK("https://klasma.github.io/Logging_0980/tillsynsmail/A 21897-2019 tillsynsbegäran mail.docx", "A 21897-2019")</f>
        <v/>
      </c>
    </row>
    <row r="156" ht="15" customHeight="1">
      <c r="A156" t="inlineStr">
        <is>
          <t>A 32969-2019</t>
        </is>
      </c>
      <c r="B156" s="1" t="n">
        <v>43648</v>
      </c>
      <c r="C156" s="1" t="n">
        <v>45788</v>
      </c>
      <c r="D156" t="inlineStr">
        <is>
          <t>GOTLANDS LÄN</t>
        </is>
      </c>
      <c r="E156" t="inlineStr">
        <is>
          <t>GOTLAND</t>
        </is>
      </c>
      <c r="G156" t="n">
        <v>5.1</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32969-2019 artfynd.xlsx", "A 32969-2019")</f>
        <v/>
      </c>
      <c r="T156">
        <f>HYPERLINK("https://klasma.github.io/Logging_0980/kartor/A 32969-2019 karta.png", "A 32969-2019")</f>
        <v/>
      </c>
      <c r="V156">
        <f>HYPERLINK("https://klasma.github.io/Logging_0980/klagomål/A 32969-2019 FSC-klagomål.docx", "A 32969-2019")</f>
        <v/>
      </c>
      <c r="W156">
        <f>HYPERLINK("https://klasma.github.io/Logging_0980/klagomålsmail/A 32969-2019 FSC-klagomål mail.docx", "A 32969-2019")</f>
        <v/>
      </c>
      <c r="X156">
        <f>HYPERLINK("https://klasma.github.io/Logging_0980/tillsyn/A 32969-2019 tillsynsbegäran.docx", "A 32969-2019")</f>
        <v/>
      </c>
      <c r="Y156">
        <f>HYPERLINK("https://klasma.github.io/Logging_0980/tillsynsmail/A 32969-2019 tillsynsbegäran mail.docx", "A 32969-2019")</f>
        <v/>
      </c>
    </row>
    <row r="157" ht="15" customHeight="1">
      <c r="A157" t="inlineStr">
        <is>
          <t>A 32966-2019</t>
        </is>
      </c>
      <c r="B157" s="1" t="n">
        <v>43648</v>
      </c>
      <c r="C157" s="1" t="n">
        <v>45788</v>
      </c>
      <c r="D157" t="inlineStr">
        <is>
          <t>GOTLANDS LÄN</t>
        </is>
      </c>
      <c r="E157" t="inlineStr">
        <is>
          <t>GOTLAND</t>
        </is>
      </c>
      <c r="G157" t="n">
        <v>4</v>
      </c>
      <c r="H157" t="n">
        <v>1</v>
      </c>
      <c r="I157" t="n">
        <v>1</v>
      </c>
      <c r="J157" t="n">
        <v>0</v>
      </c>
      <c r="K157" t="n">
        <v>0</v>
      </c>
      <c r="L157" t="n">
        <v>0</v>
      </c>
      <c r="M157" t="n">
        <v>0</v>
      </c>
      <c r="N157" t="n">
        <v>0</v>
      </c>
      <c r="O157" t="n">
        <v>0</v>
      </c>
      <c r="P157" t="n">
        <v>0</v>
      </c>
      <c r="Q157" t="n">
        <v>2</v>
      </c>
      <c r="R157" s="2" t="inlineStr">
        <is>
          <t>Kattfotslav
Blåsippa</t>
        </is>
      </c>
      <c r="S157">
        <f>HYPERLINK("https://klasma.github.io/Logging_0980/artfynd/A 32966-2019 artfynd.xlsx", "A 32966-2019")</f>
        <v/>
      </c>
      <c r="T157">
        <f>HYPERLINK("https://klasma.github.io/Logging_0980/kartor/A 32966-2019 karta.png", "A 32966-2019")</f>
        <v/>
      </c>
      <c r="V157">
        <f>HYPERLINK("https://klasma.github.io/Logging_0980/klagomål/A 32966-2019 FSC-klagomål.docx", "A 32966-2019")</f>
        <v/>
      </c>
      <c r="W157">
        <f>HYPERLINK("https://klasma.github.io/Logging_0980/klagomålsmail/A 32966-2019 FSC-klagomål mail.docx", "A 32966-2019")</f>
        <v/>
      </c>
      <c r="X157">
        <f>HYPERLINK("https://klasma.github.io/Logging_0980/tillsyn/A 32966-2019 tillsynsbegäran.docx", "A 32966-2019")</f>
        <v/>
      </c>
      <c r="Y157">
        <f>HYPERLINK("https://klasma.github.io/Logging_0980/tillsynsmail/A 32966-2019 tillsynsbegäran mail.docx", "A 32966-2019")</f>
        <v/>
      </c>
    </row>
    <row r="158" ht="15" customHeight="1">
      <c r="A158" t="inlineStr">
        <is>
          <t>A 43304-2019</t>
        </is>
      </c>
      <c r="B158" s="1" t="n">
        <v>43706</v>
      </c>
      <c r="C158" s="1" t="n">
        <v>45788</v>
      </c>
      <c r="D158" t="inlineStr">
        <is>
          <t>GOTLANDS LÄN</t>
        </is>
      </c>
      <c r="E158" t="inlineStr">
        <is>
          <t>GOTLAND</t>
        </is>
      </c>
      <c r="G158" t="n">
        <v>3.2</v>
      </c>
      <c r="H158" t="n">
        <v>2</v>
      </c>
      <c r="I158" t="n">
        <v>1</v>
      </c>
      <c r="J158" t="n">
        <v>0</v>
      </c>
      <c r="K158" t="n">
        <v>0</v>
      </c>
      <c r="L158" t="n">
        <v>0</v>
      </c>
      <c r="M158" t="n">
        <v>0</v>
      </c>
      <c r="N158" t="n">
        <v>0</v>
      </c>
      <c r="O158" t="n">
        <v>0</v>
      </c>
      <c r="P158" t="n">
        <v>0</v>
      </c>
      <c r="Q158" t="n">
        <v>2</v>
      </c>
      <c r="R158" s="2" t="inlineStr">
        <is>
          <t>Skogsknipprot
Blåsippa</t>
        </is>
      </c>
      <c r="S158">
        <f>HYPERLINK("https://klasma.github.io/Logging_0980/artfynd/A 43304-2019 artfynd.xlsx", "A 43304-2019")</f>
        <v/>
      </c>
      <c r="T158">
        <f>HYPERLINK("https://klasma.github.io/Logging_0980/kartor/A 43304-2019 karta.png", "A 43304-2019")</f>
        <v/>
      </c>
      <c r="V158">
        <f>HYPERLINK("https://klasma.github.io/Logging_0980/klagomål/A 43304-2019 FSC-klagomål.docx", "A 43304-2019")</f>
        <v/>
      </c>
      <c r="W158">
        <f>HYPERLINK("https://klasma.github.io/Logging_0980/klagomålsmail/A 43304-2019 FSC-klagomål mail.docx", "A 43304-2019")</f>
        <v/>
      </c>
      <c r="X158">
        <f>HYPERLINK("https://klasma.github.io/Logging_0980/tillsyn/A 43304-2019 tillsynsbegäran.docx", "A 43304-2019")</f>
        <v/>
      </c>
      <c r="Y158">
        <f>HYPERLINK("https://klasma.github.io/Logging_0980/tillsynsmail/A 43304-2019 tillsynsbegäran mail.docx", "A 43304-2019")</f>
        <v/>
      </c>
    </row>
    <row r="159" ht="15" customHeight="1">
      <c r="A159" t="inlineStr">
        <is>
          <t>A 334-2020</t>
        </is>
      </c>
      <c r="B159" s="1" t="n">
        <v>43837</v>
      </c>
      <c r="C159" s="1" t="n">
        <v>45788</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45788</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45788</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45788</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45788</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45788</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45788</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45788</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45788</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45788</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45788</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45788</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45788</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45788</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45788</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45788</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45788</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62193-2022</t>
        </is>
      </c>
      <c r="B176" s="1" t="n">
        <v>44922</v>
      </c>
      <c r="C176" s="1" t="n">
        <v>45788</v>
      </c>
      <c r="D176" t="inlineStr">
        <is>
          <t>GOTLANDS LÄN</t>
        </is>
      </c>
      <c r="E176" t="inlineStr">
        <is>
          <t>GOTLAND</t>
        </is>
      </c>
      <c r="G176" t="n">
        <v>5.6</v>
      </c>
      <c r="H176" t="n">
        <v>2</v>
      </c>
      <c r="I176" t="n">
        <v>0</v>
      </c>
      <c r="J176" t="n">
        <v>1</v>
      </c>
      <c r="K176" t="n">
        <v>0</v>
      </c>
      <c r="L176" t="n">
        <v>0</v>
      </c>
      <c r="M176" t="n">
        <v>0</v>
      </c>
      <c r="N176" t="n">
        <v>0</v>
      </c>
      <c r="O176" t="n">
        <v>1</v>
      </c>
      <c r="P176" t="n">
        <v>0</v>
      </c>
      <c r="Q176" t="n">
        <v>2</v>
      </c>
      <c r="R176" s="2" t="inlineStr">
        <is>
          <t>Grönsångare
Gullviva</t>
        </is>
      </c>
      <c r="S176">
        <f>HYPERLINK("https://klasma.github.io/Logging_0980/artfynd/A 62193-2022 artfynd.xlsx", "A 62193-2022")</f>
        <v/>
      </c>
      <c r="T176">
        <f>HYPERLINK("https://klasma.github.io/Logging_0980/kartor/A 62193-2022 karta.png", "A 62193-2022")</f>
        <v/>
      </c>
      <c r="V176">
        <f>HYPERLINK("https://klasma.github.io/Logging_0980/klagomål/A 62193-2022 FSC-klagomål.docx", "A 62193-2022")</f>
        <v/>
      </c>
      <c r="W176">
        <f>HYPERLINK("https://klasma.github.io/Logging_0980/klagomålsmail/A 62193-2022 FSC-klagomål mail.docx", "A 62193-2022")</f>
        <v/>
      </c>
      <c r="X176">
        <f>HYPERLINK("https://klasma.github.io/Logging_0980/tillsyn/A 62193-2022 tillsynsbegäran.docx", "A 62193-2022")</f>
        <v/>
      </c>
      <c r="Y176">
        <f>HYPERLINK("https://klasma.github.io/Logging_0980/tillsynsmail/A 62193-2022 tillsynsbegäran mail.docx", "A 62193-2022")</f>
        <v/>
      </c>
      <c r="Z176">
        <f>HYPERLINK("https://klasma.github.io/Logging_0980/fåglar/A 62193-2022 prioriterade fågelarter.docx", "A 62193-2022")</f>
        <v/>
      </c>
    </row>
    <row r="177" ht="15" customHeight="1">
      <c r="A177" t="inlineStr">
        <is>
          <t>A 3779-2023</t>
        </is>
      </c>
      <c r="B177" s="1" t="n">
        <v>44951</v>
      </c>
      <c r="C177" s="1" t="n">
        <v>45788</v>
      </c>
      <c r="D177" t="inlineStr">
        <is>
          <t>GOTLANDS LÄN</t>
        </is>
      </c>
      <c r="E177" t="inlineStr">
        <is>
          <t>GOTLAND</t>
        </is>
      </c>
      <c r="G177" t="n">
        <v>5.2</v>
      </c>
      <c r="H177" t="n">
        <v>0</v>
      </c>
      <c r="I177" t="n">
        <v>2</v>
      </c>
      <c r="J177" t="n">
        <v>0</v>
      </c>
      <c r="K177" t="n">
        <v>0</v>
      </c>
      <c r="L177" t="n">
        <v>0</v>
      </c>
      <c r="M177" t="n">
        <v>0</v>
      </c>
      <c r="N177" t="n">
        <v>0</v>
      </c>
      <c r="O177" t="n">
        <v>0</v>
      </c>
      <c r="P177" t="n">
        <v>0</v>
      </c>
      <c r="Q177" t="n">
        <v>2</v>
      </c>
      <c r="R177" s="2" t="inlineStr">
        <is>
          <t>Blå slemspindling
Olivspindling</t>
        </is>
      </c>
      <c r="S177">
        <f>HYPERLINK("https://klasma.github.io/Logging_0980/artfynd/A 3779-2023 artfynd.xlsx", "A 3779-2023")</f>
        <v/>
      </c>
      <c r="T177">
        <f>HYPERLINK("https://klasma.github.io/Logging_0980/kartor/A 3779-2023 karta.png", "A 3779-2023")</f>
        <v/>
      </c>
      <c r="V177">
        <f>HYPERLINK("https://klasma.github.io/Logging_0980/klagomål/A 3779-2023 FSC-klagomål.docx", "A 3779-2023")</f>
        <v/>
      </c>
      <c r="W177">
        <f>HYPERLINK("https://klasma.github.io/Logging_0980/klagomålsmail/A 3779-2023 FSC-klagomål mail.docx", "A 3779-2023")</f>
        <v/>
      </c>
      <c r="X177">
        <f>HYPERLINK("https://klasma.github.io/Logging_0980/tillsyn/A 3779-2023 tillsynsbegäran.docx", "A 3779-2023")</f>
        <v/>
      </c>
      <c r="Y177">
        <f>HYPERLINK("https://klasma.github.io/Logging_0980/tillsynsmail/A 3779-2023 tillsynsbegäran mail.docx", "A 3779-2023")</f>
        <v/>
      </c>
    </row>
    <row r="178" ht="15" customHeight="1">
      <c r="A178" t="inlineStr">
        <is>
          <t>A 35028-2023</t>
        </is>
      </c>
      <c r="B178" s="1" t="n">
        <v>45145</v>
      </c>
      <c r="C178" s="1" t="n">
        <v>45788</v>
      </c>
      <c r="D178" t="inlineStr">
        <is>
          <t>GOTLANDS LÄN</t>
        </is>
      </c>
      <c r="E178" t="inlineStr">
        <is>
          <t>GOTLAND</t>
        </is>
      </c>
      <c r="G178" t="n">
        <v>1.1</v>
      </c>
      <c r="H178" t="n">
        <v>0</v>
      </c>
      <c r="I178" t="n">
        <v>1</v>
      </c>
      <c r="J178" t="n">
        <v>0</v>
      </c>
      <c r="K178" t="n">
        <v>1</v>
      </c>
      <c r="L178" t="n">
        <v>0</v>
      </c>
      <c r="M178" t="n">
        <v>0</v>
      </c>
      <c r="N178" t="n">
        <v>0</v>
      </c>
      <c r="O178" t="n">
        <v>1</v>
      </c>
      <c r="P178" t="n">
        <v>1</v>
      </c>
      <c r="Q178" t="n">
        <v>2</v>
      </c>
      <c r="R178" s="2" t="inlineStr">
        <is>
          <t>Tät korallorangelav
Guldlockmossa</t>
        </is>
      </c>
      <c r="S178">
        <f>HYPERLINK("https://klasma.github.io/Logging_0980/artfynd/A 35028-2023 artfynd.xlsx", "A 35028-2023")</f>
        <v/>
      </c>
      <c r="T178">
        <f>HYPERLINK("https://klasma.github.io/Logging_0980/kartor/A 35028-2023 karta.png", "A 35028-2023")</f>
        <v/>
      </c>
      <c r="V178">
        <f>HYPERLINK("https://klasma.github.io/Logging_0980/klagomål/A 35028-2023 FSC-klagomål.docx", "A 35028-2023")</f>
        <v/>
      </c>
      <c r="W178">
        <f>HYPERLINK("https://klasma.github.io/Logging_0980/klagomålsmail/A 35028-2023 FSC-klagomål mail.docx", "A 35028-2023")</f>
        <v/>
      </c>
      <c r="X178">
        <f>HYPERLINK("https://klasma.github.io/Logging_0980/tillsyn/A 35028-2023 tillsynsbegäran.docx", "A 35028-2023")</f>
        <v/>
      </c>
      <c r="Y178">
        <f>HYPERLINK("https://klasma.github.io/Logging_0980/tillsynsmail/A 35028-2023 tillsynsbegäran mail.docx", "A 35028-2023")</f>
        <v/>
      </c>
    </row>
    <row r="179" ht="15" customHeight="1">
      <c r="A179" t="inlineStr">
        <is>
          <t>A 35029-2023</t>
        </is>
      </c>
      <c r="B179" s="1" t="n">
        <v>45145</v>
      </c>
      <c r="C179" s="1" t="n">
        <v>45788</v>
      </c>
      <c r="D179" t="inlineStr">
        <is>
          <t>GOTLANDS LÄN</t>
        </is>
      </c>
      <c r="E179" t="inlineStr">
        <is>
          <t>GOTLAND</t>
        </is>
      </c>
      <c r="G179" t="n">
        <v>1.7</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35029-2023 artfynd.xlsx", "A 35029-2023")</f>
        <v/>
      </c>
      <c r="T179">
        <f>HYPERLINK("https://klasma.github.io/Logging_0980/kartor/A 35029-2023 karta.png", "A 35029-2023")</f>
        <v/>
      </c>
      <c r="V179">
        <f>HYPERLINK("https://klasma.github.io/Logging_0980/klagomål/A 35029-2023 FSC-klagomål.docx", "A 35029-2023")</f>
        <v/>
      </c>
      <c r="W179">
        <f>HYPERLINK("https://klasma.github.io/Logging_0980/klagomålsmail/A 35029-2023 FSC-klagomål mail.docx", "A 35029-2023")</f>
        <v/>
      </c>
      <c r="X179">
        <f>HYPERLINK("https://klasma.github.io/Logging_0980/tillsyn/A 35029-2023 tillsynsbegäran.docx", "A 35029-2023")</f>
        <v/>
      </c>
      <c r="Y179">
        <f>HYPERLINK("https://klasma.github.io/Logging_0980/tillsynsmail/A 35029-2023 tillsynsbegäran mail.docx", "A 35029-2023")</f>
        <v/>
      </c>
    </row>
    <row r="180" ht="15" customHeight="1">
      <c r="A180" t="inlineStr">
        <is>
          <t>A 39430-2023</t>
        </is>
      </c>
      <c r="B180" s="1" t="n">
        <v>45166</v>
      </c>
      <c r="C180" s="1" t="n">
        <v>45788</v>
      </c>
      <c r="D180" t="inlineStr">
        <is>
          <t>GOTLANDS LÄN</t>
        </is>
      </c>
      <c r="E180" t="inlineStr">
        <is>
          <t>GOTLAND</t>
        </is>
      </c>
      <c r="G180" t="n">
        <v>2.3</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39430-2023 artfynd.xlsx", "A 39430-2023")</f>
        <v/>
      </c>
      <c r="T180">
        <f>HYPERLINK("https://klasma.github.io/Logging_0980/kartor/A 39430-2023 karta.png", "A 39430-2023")</f>
        <v/>
      </c>
      <c r="V180">
        <f>HYPERLINK("https://klasma.github.io/Logging_0980/klagomål/A 39430-2023 FSC-klagomål.docx", "A 39430-2023")</f>
        <v/>
      </c>
      <c r="W180">
        <f>HYPERLINK("https://klasma.github.io/Logging_0980/klagomålsmail/A 39430-2023 FSC-klagomål mail.docx", "A 39430-2023")</f>
        <v/>
      </c>
      <c r="X180">
        <f>HYPERLINK("https://klasma.github.io/Logging_0980/tillsyn/A 39430-2023 tillsynsbegäran.docx", "A 39430-2023")</f>
        <v/>
      </c>
      <c r="Y180">
        <f>HYPERLINK("https://klasma.github.io/Logging_0980/tillsynsmail/A 39430-2023 tillsynsbegäran mail.docx", "A 39430-2023")</f>
        <v/>
      </c>
    </row>
    <row r="181" ht="15" customHeight="1">
      <c r="A181" t="inlineStr">
        <is>
          <t>A 39749-2023</t>
        </is>
      </c>
      <c r="B181" s="1" t="n">
        <v>45167</v>
      </c>
      <c r="C181" s="1" t="n">
        <v>45788</v>
      </c>
      <c r="D181" t="inlineStr">
        <is>
          <t>GOTLANDS LÄN</t>
        </is>
      </c>
      <c r="E181" t="inlineStr">
        <is>
          <t>GOTLAND</t>
        </is>
      </c>
      <c r="G181" t="n">
        <v>8.300000000000001</v>
      </c>
      <c r="H181" t="n">
        <v>0</v>
      </c>
      <c r="I181" t="n">
        <v>1</v>
      </c>
      <c r="J181" t="n">
        <v>1</v>
      </c>
      <c r="K181" t="n">
        <v>0</v>
      </c>
      <c r="L181" t="n">
        <v>0</v>
      </c>
      <c r="M181" t="n">
        <v>0</v>
      </c>
      <c r="N181" t="n">
        <v>0</v>
      </c>
      <c r="O181" t="n">
        <v>1</v>
      </c>
      <c r="P181" t="n">
        <v>0</v>
      </c>
      <c r="Q181" t="n">
        <v>2</v>
      </c>
      <c r="R181" s="2" t="inlineStr">
        <is>
          <t>Majviva
Axag</t>
        </is>
      </c>
      <c r="S181">
        <f>HYPERLINK("https://klasma.github.io/Logging_0980/artfynd/A 39749-2023 artfynd.xlsx", "A 39749-2023")</f>
        <v/>
      </c>
      <c r="T181">
        <f>HYPERLINK("https://klasma.github.io/Logging_0980/kartor/A 39749-2023 karta.png", "A 39749-2023")</f>
        <v/>
      </c>
      <c r="V181">
        <f>HYPERLINK("https://klasma.github.io/Logging_0980/klagomål/A 39749-2023 FSC-klagomål.docx", "A 39749-2023")</f>
        <v/>
      </c>
      <c r="W181">
        <f>HYPERLINK("https://klasma.github.io/Logging_0980/klagomålsmail/A 39749-2023 FSC-klagomål mail.docx", "A 39749-2023")</f>
        <v/>
      </c>
      <c r="X181">
        <f>HYPERLINK("https://klasma.github.io/Logging_0980/tillsyn/A 39749-2023 tillsynsbegäran.docx", "A 39749-2023")</f>
        <v/>
      </c>
      <c r="Y181">
        <f>HYPERLINK("https://klasma.github.io/Logging_0980/tillsynsmail/A 39749-2023 tillsynsbegäran mail.docx", "A 39749-2023")</f>
        <v/>
      </c>
    </row>
    <row r="182" ht="15" customHeight="1">
      <c r="A182" t="inlineStr">
        <is>
          <t>A 2818-2024</t>
        </is>
      </c>
      <c r="B182" s="1" t="n">
        <v>45314</v>
      </c>
      <c r="C182" s="1" t="n">
        <v>45788</v>
      </c>
      <c r="D182" t="inlineStr">
        <is>
          <t>GOTLANDS LÄN</t>
        </is>
      </c>
      <c r="E182" t="inlineStr">
        <is>
          <t>GOTLAND</t>
        </is>
      </c>
      <c r="G182" t="n">
        <v>2.4</v>
      </c>
      <c r="H182" t="n">
        <v>1</v>
      </c>
      <c r="I182" t="n">
        <v>0</v>
      </c>
      <c r="J182" t="n">
        <v>1</v>
      </c>
      <c r="K182" t="n">
        <v>0</v>
      </c>
      <c r="L182" t="n">
        <v>0</v>
      </c>
      <c r="M182" t="n">
        <v>0</v>
      </c>
      <c r="N182" t="n">
        <v>0</v>
      </c>
      <c r="O182" t="n">
        <v>1</v>
      </c>
      <c r="P182" t="n">
        <v>0</v>
      </c>
      <c r="Q182" t="n">
        <v>2</v>
      </c>
      <c r="R182" s="2" t="inlineStr">
        <is>
          <t>Solvända
Gullviva</t>
        </is>
      </c>
      <c r="S182">
        <f>HYPERLINK("https://klasma.github.io/Logging_0980/artfynd/A 2818-2024 artfynd.xlsx", "A 2818-2024")</f>
        <v/>
      </c>
      <c r="T182">
        <f>HYPERLINK("https://klasma.github.io/Logging_0980/kartor/A 2818-2024 karta.png", "A 2818-2024")</f>
        <v/>
      </c>
      <c r="V182">
        <f>HYPERLINK("https://klasma.github.io/Logging_0980/klagomål/A 2818-2024 FSC-klagomål.docx", "A 2818-2024")</f>
        <v/>
      </c>
      <c r="W182">
        <f>HYPERLINK("https://klasma.github.io/Logging_0980/klagomålsmail/A 2818-2024 FSC-klagomål mail.docx", "A 2818-2024")</f>
        <v/>
      </c>
      <c r="X182">
        <f>HYPERLINK("https://klasma.github.io/Logging_0980/tillsyn/A 2818-2024 tillsynsbegäran.docx", "A 2818-2024")</f>
        <v/>
      </c>
      <c r="Y182">
        <f>HYPERLINK("https://klasma.github.io/Logging_0980/tillsynsmail/A 2818-2024 tillsynsbegäran mail.docx", "A 2818-2024")</f>
        <v/>
      </c>
    </row>
    <row r="183" ht="15" customHeight="1">
      <c r="A183" t="inlineStr">
        <is>
          <t>A 12315-2024</t>
        </is>
      </c>
      <c r="B183" s="1" t="n">
        <v>45378</v>
      </c>
      <c r="C183" s="1" t="n">
        <v>45788</v>
      </c>
      <c r="D183" t="inlineStr">
        <is>
          <t>GOTLANDS LÄN</t>
        </is>
      </c>
      <c r="E183" t="inlineStr">
        <is>
          <t>GOTLAND</t>
        </is>
      </c>
      <c r="G183" t="n">
        <v>6</v>
      </c>
      <c r="H183" t="n">
        <v>2</v>
      </c>
      <c r="I183" t="n">
        <v>1</v>
      </c>
      <c r="J183" t="n">
        <v>0</v>
      </c>
      <c r="K183" t="n">
        <v>0</v>
      </c>
      <c r="L183" t="n">
        <v>0</v>
      </c>
      <c r="M183" t="n">
        <v>0</v>
      </c>
      <c r="N183" t="n">
        <v>0</v>
      </c>
      <c r="O183" t="n">
        <v>0</v>
      </c>
      <c r="P183" t="n">
        <v>0</v>
      </c>
      <c r="Q183" t="n">
        <v>2</v>
      </c>
      <c r="R183" s="2" t="inlineStr">
        <is>
          <t>Tvåblad
Fläcknycklar</t>
        </is>
      </c>
      <c r="S183">
        <f>HYPERLINK("https://klasma.github.io/Logging_0980/artfynd/A 12315-2024 artfynd.xlsx", "A 12315-2024")</f>
        <v/>
      </c>
      <c r="T183">
        <f>HYPERLINK("https://klasma.github.io/Logging_0980/kartor/A 12315-2024 karta.png", "A 12315-2024")</f>
        <v/>
      </c>
      <c r="V183">
        <f>HYPERLINK("https://klasma.github.io/Logging_0980/klagomål/A 12315-2024 FSC-klagomål.docx", "A 12315-2024")</f>
        <v/>
      </c>
      <c r="W183">
        <f>HYPERLINK("https://klasma.github.io/Logging_0980/klagomålsmail/A 12315-2024 FSC-klagomål mail.docx", "A 12315-2024")</f>
        <v/>
      </c>
      <c r="X183">
        <f>HYPERLINK("https://klasma.github.io/Logging_0980/tillsyn/A 12315-2024 tillsynsbegäran.docx", "A 12315-2024")</f>
        <v/>
      </c>
      <c r="Y183">
        <f>HYPERLINK("https://klasma.github.io/Logging_0980/tillsynsmail/A 12315-2024 tillsynsbegäran mail.docx", "A 12315-2024")</f>
        <v/>
      </c>
    </row>
    <row r="184" ht="15" customHeight="1">
      <c r="A184" t="inlineStr">
        <is>
          <t>A 16331-2024</t>
        </is>
      </c>
      <c r="B184" s="1" t="n">
        <v>45407</v>
      </c>
      <c r="C184" s="1" t="n">
        <v>45788</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45788</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45788</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45788</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45788</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45788</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45788</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45788</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45788</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45788</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45788</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45788</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45788</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45788</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45788</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45788</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45788</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45788</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45788</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45788</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45788</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45788</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45788</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45788</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45788</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45788</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45788</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45788</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45788</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45788</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45788</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45788</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45788</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45788</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45788</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45788</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45788</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45788</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45788</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45788</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45788</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45788</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45788</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45788</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45788</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45788</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45788</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45788</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45788</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45788</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45788</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45788</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45788</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45788</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45788</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45788</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45788</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45788</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45788</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45788</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45788</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45788</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45788</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45788</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45788</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45788</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45788</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45788</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45788</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45788</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45788</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45788</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45788</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45788</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45788</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45788</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45788</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45788</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45788</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45788</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45788</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45788</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45788</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45788</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45788</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45788</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45788</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45788</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45788</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45788</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45788</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45788</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45788</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45788</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45788</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45788</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45788</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45788</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45788</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45788</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45788</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45788</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45788</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45788</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45788</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45788</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45788</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45788</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45788</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45788</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45788</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45788</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45788</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45788</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45788</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45788</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45788</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45788</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45788</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45788</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45788</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45788</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45788</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45788</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45788</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45788</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45788</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45788</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45788</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45788</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45788</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45788</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45788</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45788</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45788</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45788</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45788</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45788</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45788</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45788</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45788</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45788</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45788</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45788</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45788</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45788</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45788</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45788</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45788</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45788</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45788</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45788</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45788</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45788</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45788</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45788</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45788</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45788</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45788</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45788</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45788</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45788</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45788</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45788</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45788</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45788</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45788</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45788</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45788</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45788</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45788</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45788</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45788</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45788</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45788</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45788</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45788</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45788</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45788</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45788</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45788</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45788</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45788</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45788</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45788</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45788</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45788</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45788</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45788</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45788</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45788</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45788</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45788</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45788</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45788</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45788</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45788</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45788</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45788</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45788</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45788</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45788</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45788</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45788</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45788</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45788</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45788</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45788</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45788</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45788</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45788</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45788</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45788</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45788</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45788</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45788</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45788</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45788</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45788</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45788</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45788</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45788</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45788</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45788</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45788</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45788</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45788</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45788</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45788</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45788</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45788</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45788</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45788</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45788</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45788</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45788</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45788</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45788</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45788</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45788</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45788</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45788</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45788</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45788</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45788</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45788</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45788</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45788</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45788</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45788</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45788</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45788</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45788</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45788</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45788</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45788</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45788</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45788</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45788</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45788</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45788</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45788</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45788</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45788</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45788</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45788</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45788</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45788</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45788</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45788</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45788</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45788</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45788</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45788</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45788</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45788</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45788</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45788</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45788</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45788</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45788</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45788</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45788</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45788</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45788</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45788</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45788</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45788</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45788</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45788</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45788</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45788</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45788</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45788</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45788</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45788</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45788</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45788</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45788</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45788</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45788</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45788</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45788</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45788</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45788</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45788</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45788</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45788</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45788</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45788</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45788</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45788</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45788</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45788</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45788</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45788</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45788</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45788</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45788</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45788</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45788</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45788</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45788</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45788</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45788</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45788</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45788</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45788</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45788</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45788</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45788</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45788</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45788</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45788</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45788</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45788</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45788</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45788</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45788</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45788</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45788</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45788</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45788</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45788</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45788</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45788</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45788</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45788</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45788</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45788</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45788</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45788</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45788</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45788</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45788</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45788</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45788</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45788</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45788</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45788</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45788</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45788</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45788</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45788</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45788</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45788</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45788</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45788</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45788</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45788</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45788</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45788</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45788</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45788</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45788</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45788</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45788</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45788</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45788</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45788</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45788</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45788</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45788</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45788</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45788</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45788</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45788</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45788</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45788</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45788</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45788</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45788</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45788</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45788</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45788</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45788</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45788</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45788</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45788</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45788</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45788</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45788</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45788</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45788</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45788</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45788</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45788</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45788</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45788</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45788</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45788</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45788</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45788</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45788</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45788</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45788</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45788</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45788</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45788</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45788</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45788</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45788</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45788</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45788</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45788</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45788</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45788</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45788</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45788</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45788</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45788</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45788</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45788</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45788</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45788</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45788</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45788</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45788</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45788</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45788</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45788</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45788</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45788</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45788</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45788</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45788</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45788</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45788</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45788</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45788</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45788</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45788</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45788</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45788</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45788</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45788</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45788</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45788</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45788</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45788</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45788</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45788</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45788</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45788</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45788</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45788</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45788</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45788</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45788</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45788</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45788</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45788</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45788</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45788</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45788</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45788</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45788</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45788</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45788</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45788</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45788</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45788</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45788</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45788</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45788</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45788</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45788</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45788</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45788</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45788</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45788</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45788</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45788</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45788</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45788</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45788</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45788</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45788</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45788</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45788</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45788</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45788</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45788</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45788</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45788</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45788</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45788</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45788</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45788</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45788</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45788</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45788</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45788</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45788</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45788</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45788</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45788</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45788</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45788</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45788</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45788</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45788</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45788</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45788</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45788</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45788</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45788</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45788</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45788</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45788</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45788</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45788</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45788</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45788</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45788</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45788</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45788</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45788</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45788</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45788</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45788</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45788</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45788</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45788</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45788</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45788</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45788</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45788</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45788</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45788</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45788</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45788</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45788</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45788</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45788</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45788</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45788</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45788</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45788</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45788</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45788</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45788</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45788</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45788</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45788</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45788</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45788</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45788</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45788</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45788</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45788</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45788</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45788</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45788</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45788</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45788</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45788</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45788</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45788</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45788</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45788</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45788</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45788</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45788</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45788</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45788</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45788</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45788</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45788</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45788</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45788</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45788</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45788</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45788</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45788</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45788</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45788</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45788</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45788</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45788</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45788</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45788</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45788</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45788</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45788</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45788</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45788</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45788</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45788</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45788</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45788</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45788</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45788</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45788</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45788</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45788</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45788</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45788</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45788</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45788</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45788</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45788</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45788</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45788</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45788</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45788</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45788</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45788</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45788</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45788</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45788</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45788</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45788</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45788</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45788</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45788</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45788</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45788</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45788</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45788</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45788</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45788</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45788</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45788</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45788</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45788</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45788</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45788</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45788</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45788</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45788</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45788</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45788</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45788</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45788</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45788</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45788</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45788</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45788</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45788</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45788</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45788</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45788</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45788</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45788</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45788</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45788</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45788</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45788</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45788</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45788</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45788</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45788</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45788</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45788</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45788</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45788</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45788</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45788</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45788</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45788</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45788</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45788</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45788</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45788</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45788</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45788</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45788</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45788</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45788</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45788</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45788</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45788</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45788</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45788</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45788</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45788</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45788</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45788</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45788</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45788</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45788</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45788</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45788</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45788</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45788</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45788</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45788</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45788</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45788</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45788</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45788</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45788</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45788</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45788</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45788</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45788</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45788</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45788</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45788</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45788</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45788</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45788</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45788</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45788</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45788</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45788</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45788</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45788</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45788</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45788</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45788</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45788</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45788</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45788</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45788</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45788</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45788</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45788</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45788</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45788</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45788</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45788</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45788</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45788</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45788</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45788</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45788</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45788</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45788</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45788</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45788</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45788</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45788</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45788</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45788</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45788</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45788</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45788</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45788</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45788</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45788</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45788</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45788</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45788</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45788</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45788</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45788</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45788</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45788</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45788</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45788</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45788</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45788</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45788</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45788</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45788</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45788</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45788</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45788</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45788</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45788</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45788</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45788</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45788</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45788</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45788</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45788</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45788</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45788</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45788</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45788</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45788</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45788</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45788</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45788</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45788</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45788</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45788</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45788</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45788</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45788</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45788</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45788</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45788</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45788</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45788</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45788</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45788</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45788</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45788</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45788</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45788</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45788</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45788</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45788</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45788</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45788</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45788</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45788</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45788</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45788</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45788</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45788</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45788</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45788</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45788</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45788</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45788</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45788</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45788</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45788</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45788</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45788</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45788</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45788</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45788</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45788</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45788</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45788</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45788</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45788</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45788</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45788</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45788</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45788</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45788</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45788</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45788</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45788</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45788</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45788</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45788</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45788</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45788</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45788</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45788</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45788</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45788</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45788</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45788</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45788</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45788</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45788</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45788</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45788</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45788</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45788</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45788</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45788</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45788</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45788</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45788</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45788</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45788</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45788</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45788</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45788</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45788</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45788</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45788</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45788</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45788</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45788</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45788</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45788</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45788</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45788</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45788</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45788</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45788</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45788</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45788</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45788</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45788</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45788</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45788</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45788</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45788</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45788</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45788</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45788</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45788</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45788</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45788</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45788</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45788</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45788</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45788</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45788</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45788</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45788</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45788</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45788</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45788</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45788</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45788</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45788</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45788</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45788</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45788</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45788</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45788</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45788</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45788</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45788</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45788</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45788</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45788</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45788</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19002-2025</t>
        </is>
      </c>
      <c r="B1114" s="1" t="n">
        <v>45764</v>
      </c>
      <c r="C1114" s="1" t="n">
        <v>45788</v>
      </c>
      <c r="D1114" t="inlineStr">
        <is>
          <t>GOTLANDS LÄN</t>
        </is>
      </c>
      <c r="E1114" t="inlineStr">
        <is>
          <t>GOTLAND</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18914-2025</t>
        </is>
      </c>
      <c r="B1115" s="1" t="n">
        <v>45764</v>
      </c>
      <c r="C1115" s="1" t="n">
        <v>45788</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18938-2025</t>
        </is>
      </c>
      <c r="B1116" s="1" t="n">
        <v>45764</v>
      </c>
      <c r="C1116" s="1" t="n">
        <v>45788</v>
      </c>
      <c r="D1116" t="inlineStr">
        <is>
          <t>GOTLANDS LÄN</t>
        </is>
      </c>
      <c r="E1116" t="inlineStr">
        <is>
          <t>GOTLAND</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18993-2025</t>
        </is>
      </c>
      <c r="B1117" s="1" t="n">
        <v>45764</v>
      </c>
      <c r="C1117" s="1" t="n">
        <v>45788</v>
      </c>
      <c r="D1117" t="inlineStr">
        <is>
          <t>GOTLANDS LÄN</t>
        </is>
      </c>
      <c r="E1117" t="inlineStr">
        <is>
          <t>GOTLAND</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18918-2025</t>
        </is>
      </c>
      <c r="B1118" s="1" t="n">
        <v>45764</v>
      </c>
      <c r="C1118" s="1" t="n">
        <v>45788</v>
      </c>
      <c r="D1118" t="inlineStr">
        <is>
          <t>GOTLANDS LÄN</t>
        </is>
      </c>
      <c r="E1118" t="inlineStr">
        <is>
          <t>GOTLAND</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45788</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45788</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45788</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20660-2025</t>
        </is>
      </c>
      <c r="B1122" s="1" t="n">
        <v>45776</v>
      </c>
      <c r="C1122" s="1" t="n">
        <v>45788</v>
      </c>
      <c r="D1122" t="inlineStr">
        <is>
          <t>GOTLANDS LÄN</t>
        </is>
      </c>
      <c r="E1122" t="inlineStr">
        <is>
          <t>GOTLAND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20812-2025</t>
        </is>
      </c>
      <c r="B1123" s="1" t="n">
        <v>45776</v>
      </c>
      <c r="C1123" s="1" t="n">
        <v>45788</v>
      </c>
      <c r="D1123" t="inlineStr">
        <is>
          <t>GOTLANDS LÄN</t>
        </is>
      </c>
      <c r="E1123" t="inlineStr">
        <is>
          <t>GOTLAND</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20805-2025</t>
        </is>
      </c>
      <c r="B1124" s="1" t="n">
        <v>45776</v>
      </c>
      <c r="C1124" s="1" t="n">
        <v>45788</v>
      </c>
      <c r="D1124" t="inlineStr">
        <is>
          <t>GOTLANDS LÄN</t>
        </is>
      </c>
      <c r="E1124" t="inlineStr">
        <is>
          <t>GOTLAND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45788</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45788</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45788</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c r="A1128" t="inlineStr">
        <is>
          <t>A 21651-2025</t>
        </is>
      </c>
      <c r="B1128" s="1" t="n">
        <v>45783</v>
      </c>
      <c r="C1128" s="1" t="n">
        <v>45788</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2025-05-11T17:27:55Z</dcterms:created>
  <dcterms:modified xmlns:dcterms="http://purl.org/dc/terms/" xmlns:xsi="http://www.w3.org/2001/XMLSchema-instance" xsi:type="dcterms:W3CDTF">2025-05-11T17:27:56Z</dcterms:modified>
</cp:coreProperties>
</file>