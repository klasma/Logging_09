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46072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46072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46072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46072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46072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46072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46072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46072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46072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46072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46072</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46072</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46072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46072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46072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46072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46072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46072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46072</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46072</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46072</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46072</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46072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46072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46072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46072</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46072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46072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46072</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62132-2023</t>
        </is>
      </c>
      <c r="B32" s="1" t="n">
        <v>45267</v>
      </c>
      <c r="C32" s="1" t="n">
        <v>46072</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46072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46072</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46072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46072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46072</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46072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46072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46072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46072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46072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46072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46072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46072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46072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46072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46072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46072</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46072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46072</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46072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46072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46072</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46072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46072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46072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46072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46072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46072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46072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46072</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27168-2022</t>
        </is>
      </c>
      <c r="B63" s="1" t="n">
        <v>44741</v>
      </c>
      <c r="C63" s="1" t="n">
        <v>46072</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46072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46072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46072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46072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46072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46072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46072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46072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46072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46072</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46072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46072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46072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46072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46072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46072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46072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32326-2024</t>
        </is>
      </c>
      <c r="B81" s="1" t="n">
        <v>45512</v>
      </c>
      <c r="C81" s="1" t="n">
        <v>46072</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46072</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46072</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6839-2026</t>
        </is>
      </c>
      <c r="B84" s="1" t="n">
        <v>46057.41193287037</v>
      </c>
      <c r="C84" s="1" t="n">
        <v>46072</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52245-2025</t>
        </is>
      </c>
      <c r="B85" s="1" t="n">
        <v>45953.47115740741</v>
      </c>
      <c r="C85" s="1" t="n">
        <v>46072</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46072</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46072</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46072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46072</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46072</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46072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56717-2024</t>
        </is>
      </c>
      <c r="B92" s="1" t="n">
        <v>45628.3166550926</v>
      </c>
      <c r="C92" s="1" t="n">
        <v>46072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20833-2024</t>
        </is>
      </c>
      <c r="B93" s="1" t="n">
        <v>45439</v>
      </c>
      <c r="C93" s="1" t="n">
        <v>46072</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46072</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46072</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46072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54523-2023</t>
        </is>
      </c>
      <c r="B97" s="1" t="n">
        <v>45233</v>
      </c>
      <c r="C97" s="1" t="n">
        <v>46072</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57463-2025</t>
        </is>
      </c>
      <c r="B98" s="1" t="n">
        <v>45980.54174768519</v>
      </c>
      <c r="C98" s="1" t="n">
        <v>46072</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1971-2023</t>
        </is>
      </c>
      <c r="B99" s="1" t="n">
        <v>44939</v>
      </c>
      <c r="C99" s="1" t="n">
        <v>46072</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6836-2026</t>
        </is>
      </c>
      <c r="B100" s="1" t="n">
        <v>46057.40902777778</v>
      </c>
      <c r="C100" s="1" t="n">
        <v>46072</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52250-2025</t>
        </is>
      </c>
      <c r="B101" s="1" t="n">
        <v>45953.48998842593</v>
      </c>
      <c r="C101" s="1" t="n">
        <v>46072</v>
      </c>
      <c r="D101" t="inlineStr">
        <is>
          <t>GOTLANDS LÄN</t>
        </is>
      </c>
      <c r="E101" t="inlineStr">
        <is>
          <t>GOTLAND</t>
        </is>
      </c>
      <c r="F101" t="inlineStr">
        <is>
          <t>Övriga Aktiebolag</t>
        </is>
      </c>
      <c r="G101" t="n">
        <v>1.2</v>
      </c>
      <c r="H101" t="n">
        <v>2</v>
      </c>
      <c r="I101" t="n">
        <v>1</v>
      </c>
      <c r="J101" t="n">
        <v>2</v>
      </c>
      <c r="K101" t="n">
        <v>0</v>
      </c>
      <c r="L101" t="n">
        <v>0</v>
      </c>
      <c r="M101" t="n">
        <v>0</v>
      </c>
      <c r="N101" t="n">
        <v>0</v>
      </c>
      <c r="O101" t="n">
        <v>2</v>
      </c>
      <c r="P101" t="n">
        <v>0</v>
      </c>
      <c r="Q101" t="n">
        <v>4</v>
      </c>
      <c r="R101" s="2" t="inlineStr">
        <is>
          <t>Backtimjan
Spillkråka
Anisspindling
Nattviol</t>
        </is>
      </c>
      <c r="S101">
        <f>HYPERLINK("https://klasma.github.io/Logging_0980/artfynd/A 52250-2025 artfynd.xlsx", "A 52250-2025")</f>
        <v/>
      </c>
      <c r="T101">
        <f>HYPERLINK("https://klasma.github.io/Logging_0980/kartor/A 52250-2025 karta.png", "A 52250-2025")</f>
        <v/>
      </c>
      <c r="V101">
        <f>HYPERLINK("https://klasma.github.io/Logging_0980/klagomål/A 52250-2025 FSC-klagomål.docx", "A 52250-2025")</f>
        <v/>
      </c>
      <c r="W101">
        <f>HYPERLINK("https://klasma.github.io/Logging_0980/klagomålsmail/A 52250-2025 FSC-klagomål mail.docx", "A 52250-2025")</f>
        <v/>
      </c>
      <c r="X101">
        <f>HYPERLINK("https://klasma.github.io/Logging_0980/tillsyn/A 52250-2025 tillsynsbegäran.docx", "A 52250-2025")</f>
        <v/>
      </c>
      <c r="Y101">
        <f>HYPERLINK("https://klasma.github.io/Logging_0980/tillsynsmail/A 52250-2025 tillsynsbegäran mail.docx", "A 52250-2025")</f>
        <v/>
      </c>
      <c r="Z101">
        <f>HYPERLINK("https://klasma.github.io/Logging_0980/fåglar/A 52250-2025 prioriterade fågelarter.docx", "A 52250-2025")</f>
        <v/>
      </c>
    </row>
    <row r="102" ht="15" customHeight="1">
      <c r="A102" t="inlineStr">
        <is>
          <t>A 186-2023</t>
        </is>
      </c>
      <c r="B102" s="1" t="n">
        <v>44928</v>
      </c>
      <c r="C102" s="1" t="n">
        <v>46072</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46072</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46072</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46072</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46072</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46072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46072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46072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46072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46072</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46072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46072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46072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55334-2024</t>
        </is>
      </c>
      <c r="B115" s="1" t="n">
        <v>45621</v>
      </c>
      <c r="C115" s="1" t="n">
        <v>46072</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46072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20831-2024</t>
        </is>
      </c>
      <c r="B117" s="1" t="n">
        <v>45439</v>
      </c>
      <c r="C117" s="1" t="n">
        <v>46072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1520-2026</t>
        </is>
      </c>
      <c r="B118" s="1" t="n">
        <v>46034.35891203704</v>
      </c>
      <c r="C118" s="1" t="n">
        <v>46072</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17975-2024</t>
        </is>
      </c>
      <c r="B119" s="1" t="n">
        <v>45419.85546296297</v>
      </c>
      <c r="C119" s="1" t="n">
        <v>46072</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17982-2023</t>
        </is>
      </c>
      <c r="B120" s="1" t="n">
        <v>45040</v>
      </c>
      <c r="C120" s="1" t="n">
        <v>46072</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46072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46072</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46072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46072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46072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46072</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46072</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46072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46072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46072</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21879-2025</t>
        </is>
      </c>
      <c r="B131" s="1" t="n">
        <v>45784.40533564815</v>
      </c>
      <c r="C131" s="1" t="n">
        <v>46072</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7070-2022</t>
        </is>
      </c>
      <c r="B132" s="1" t="n">
        <v>44603</v>
      </c>
      <c r="C132" s="1" t="n">
        <v>46072</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46072</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46072</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46072</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46072</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46072</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26077-2024</t>
        </is>
      </c>
      <c r="B138" s="1" t="n">
        <v>45467</v>
      </c>
      <c r="C138" s="1" t="n">
        <v>46072</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46072</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46072</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46362-2021</t>
        </is>
      </c>
      <c r="B141" s="1" t="n">
        <v>44442</v>
      </c>
      <c r="C141" s="1" t="n">
        <v>46072</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46072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46072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46072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46072</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46072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46072</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46072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46527-2023</t>
        </is>
      </c>
      <c r="B149" s="1" t="n">
        <v>45197</v>
      </c>
      <c r="C149" s="1" t="n">
        <v>46072</v>
      </c>
      <c r="D149" t="inlineStr">
        <is>
          <t>GOTLANDS LÄN</t>
        </is>
      </c>
      <c r="E149" t="inlineStr">
        <is>
          <t>GOTLAND</t>
        </is>
      </c>
      <c r="G149" t="n">
        <v>0.9</v>
      </c>
      <c r="H149" t="n">
        <v>0</v>
      </c>
      <c r="I149" t="n">
        <v>0</v>
      </c>
      <c r="J149" t="n">
        <v>1</v>
      </c>
      <c r="K149" t="n">
        <v>0</v>
      </c>
      <c r="L149" t="n">
        <v>0</v>
      </c>
      <c r="M149" t="n">
        <v>0</v>
      </c>
      <c r="N149" t="n">
        <v>0</v>
      </c>
      <c r="O149" t="n">
        <v>1</v>
      </c>
      <c r="P149" t="n">
        <v>0</v>
      </c>
      <c r="Q149" t="n">
        <v>1</v>
      </c>
      <c r="R149" s="2" t="inlineStr">
        <is>
          <t>Guldgräshoppa</t>
        </is>
      </c>
      <c r="S149">
        <f>HYPERLINK("https://klasma.github.io/Logging_0980/artfynd/A 46527-2023 artfynd.xlsx", "A 46527-2023")</f>
        <v/>
      </c>
      <c r="T149">
        <f>HYPERLINK("https://klasma.github.io/Logging_0980/kartor/A 46527-2023 karta.png", "A 46527-2023")</f>
        <v/>
      </c>
      <c r="V149">
        <f>HYPERLINK("https://klasma.github.io/Logging_0980/klagomål/A 46527-2023 FSC-klagomål.docx", "A 46527-2023")</f>
        <v/>
      </c>
      <c r="W149">
        <f>HYPERLINK("https://klasma.github.io/Logging_0980/klagomålsmail/A 46527-2023 FSC-klagomål mail.docx", "A 46527-2023")</f>
        <v/>
      </c>
      <c r="X149">
        <f>HYPERLINK("https://klasma.github.io/Logging_0980/tillsyn/A 46527-2023 tillsynsbegäran.docx", "A 46527-2023")</f>
        <v/>
      </c>
      <c r="Y149">
        <f>HYPERLINK("https://klasma.github.io/Logging_0980/tillsynsmail/A 46527-2023 tillsynsbegäran mail.docx", "A 46527-2023")</f>
        <v/>
      </c>
    </row>
    <row r="150" ht="15" customHeight="1">
      <c r="A150" t="inlineStr">
        <is>
          <t>A 35467-2021</t>
        </is>
      </c>
      <c r="B150" s="1" t="n">
        <v>44385</v>
      </c>
      <c r="C150" s="1" t="n">
        <v>46072</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44619-2025</t>
        </is>
      </c>
      <c r="B151" s="1" t="n">
        <v>45917</v>
      </c>
      <c r="C151" s="1" t="n">
        <v>46072</v>
      </c>
      <c r="D151" t="inlineStr">
        <is>
          <t>GOTLANDS LÄN</t>
        </is>
      </c>
      <c r="E151" t="inlineStr">
        <is>
          <t>GOTLAND</t>
        </is>
      </c>
      <c r="G151" t="n">
        <v>4.3</v>
      </c>
      <c r="H151" t="n">
        <v>0</v>
      </c>
      <c r="I151" t="n">
        <v>1</v>
      </c>
      <c r="J151" t="n">
        <v>0</v>
      </c>
      <c r="K151" t="n">
        <v>0</v>
      </c>
      <c r="L151" t="n">
        <v>0</v>
      </c>
      <c r="M151" t="n">
        <v>0</v>
      </c>
      <c r="N151" t="n">
        <v>0</v>
      </c>
      <c r="O151" t="n">
        <v>0</v>
      </c>
      <c r="P151" t="n">
        <v>0</v>
      </c>
      <c r="Q151" t="n">
        <v>1</v>
      </c>
      <c r="R151" s="2" t="inlineStr">
        <is>
          <t>Ögonpyrola</t>
        </is>
      </c>
      <c r="S151">
        <f>HYPERLINK("https://klasma.github.io/Logging_0980/artfynd/A 44619-2025 artfynd.xlsx", "A 44619-2025")</f>
        <v/>
      </c>
      <c r="T151">
        <f>HYPERLINK("https://klasma.github.io/Logging_0980/kartor/A 44619-2025 karta.png", "A 44619-2025")</f>
        <v/>
      </c>
      <c r="V151">
        <f>HYPERLINK("https://klasma.github.io/Logging_0980/klagomål/A 44619-2025 FSC-klagomål.docx", "A 44619-2025")</f>
        <v/>
      </c>
      <c r="W151">
        <f>HYPERLINK("https://klasma.github.io/Logging_0980/klagomålsmail/A 44619-2025 FSC-klagomål mail.docx", "A 44619-2025")</f>
        <v/>
      </c>
      <c r="X151">
        <f>HYPERLINK("https://klasma.github.io/Logging_0980/tillsyn/A 44619-2025 tillsynsbegäran.docx", "A 44619-2025")</f>
        <v/>
      </c>
      <c r="Y151">
        <f>HYPERLINK("https://klasma.github.io/Logging_0980/tillsynsmail/A 44619-2025 tillsynsbegäran mail.docx", "A 44619-2025")</f>
        <v/>
      </c>
    </row>
    <row r="152" ht="15" customHeight="1">
      <c r="A152" t="inlineStr">
        <is>
          <t>A 17723-2021</t>
        </is>
      </c>
      <c r="B152" s="1" t="n">
        <v>44300</v>
      </c>
      <c r="C152" s="1" t="n">
        <v>46072</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46072</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46072</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25977-2024</t>
        </is>
      </c>
      <c r="B155" s="1" t="n">
        <v>45467.69356481481</v>
      </c>
      <c r="C155" s="1" t="n">
        <v>46072</v>
      </c>
      <c r="D155" t="inlineStr">
        <is>
          <t>GOTLANDS LÄN</t>
        </is>
      </c>
      <c r="E155" t="inlineStr">
        <is>
          <t>GOTLAND</t>
        </is>
      </c>
      <c r="G155" t="n">
        <v>3</v>
      </c>
      <c r="H155" t="n">
        <v>1</v>
      </c>
      <c r="I155" t="n">
        <v>0</v>
      </c>
      <c r="J155" t="n">
        <v>0</v>
      </c>
      <c r="K155" t="n">
        <v>0</v>
      </c>
      <c r="L155" t="n">
        <v>0</v>
      </c>
      <c r="M155" t="n">
        <v>0</v>
      </c>
      <c r="N155" t="n">
        <v>0</v>
      </c>
      <c r="O155" t="n">
        <v>0</v>
      </c>
      <c r="P155" t="n">
        <v>0</v>
      </c>
      <c r="Q155" t="n">
        <v>1</v>
      </c>
      <c r="R155" s="2" t="inlineStr">
        <is>
          <t>Nattviol</t>
        </is>
      </c>
      <c r="S155">
        <f>HYPERLINK("https://klasma.github.io/Logging_0980/artfynd/A 25977-2024 artfynd.xlsx", "A 25977-2024")</f>
        <v/>
      </c>
      <c r="T155">
        <f>HYPERLINK("https://klasma.github.io/Logging_0980/kartor/A 25977-2024 karta.png", "A 25977-2024")</f>
        <v/>
      </c>
      <c r="V155">
        <f>HYPERLINK("https://klasma.github.io/Logging_0980/klagomål/A 25977-2024 FSC-klagomål.docx", "A 25977-2024")</f>
        <v/>
      </c>
      <c r="W155">
        <f>HYPERLINK("https://klasma.github.io/Logging_0980/klagomålsmail/A 25977-2024 FSC-klagomål mail.docx", "A 25977-2024")</f>
        <v/>
      </c>
      <c r="X155">
        <f>HYPERLINK("https://klasma.github.io/Logging_0980/tillsyn/A 25977-2024 tillsynsbegäran.docx", "A 25977-2024")</f>
        <v/>
      </c>
      <c r="Y155">
        <f>HYPERLINK("https://klasma.github.io/Logging_0980/tillsynsmail/A 25977-2024 tillsynsbegäran mail.docx", "A 25977-2024")</f>
        <v/>
      </c>
    </row>
    <row r="156" ht="15" customHeight="1">
      <c r="A156" t="inlineStr">
        <is>
          <t>A 27589-2023</t>
        </is>
      </c>
      <c r="B156" s="1" t="n">
        <v>45097</v>
      </c>
      <c r="C156" s="1" t="n">
        <v>46072</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20429-2025</t>
        </is>
      </c>
      <c r="B157" s="1" t="n">
        <v>45775.47728009259</v>
      </c>
      <c r="C157" s="1" t="n">
        <v>46072</v>
      </c>
      <c r="D157" t="inlineStr">
        <is>
          <t>GOTLANDS LÄN</t>
        </is>
      </c>
      <c r="E157" t="inlineStr">
        <is>
          <t>GOTLAND</t>
        </is>
      </c>
      <c r="G157" t="n">
        <v>1.4</v>
      </c>
      <c r="H157" t="n">
        <v>1</v>
      </c>
      <c r="I157" t="n">
        <v>0</v>
      </c>
      <c r="J157" t="n">
        <v>0</v>
      </c>
      <c r="K157" t="n">
        <v>0</v>
      </c>
      <c r="L157" t="n">
        <v>0</v>
      </c>
      <c r="M157" t="n">
        <v>0</v>
      </c>
      <c r="N157" t="n">
        <v>0</v>
      </c>
      <c r="O157" t="n">
        <v>0</v>
      </c>
      <c r="P157" t="n">
        <v>0</v>
      </c>
      <c r="Q157" t="n">
        <v>1</v>
      </c>
      <c r="R157" s="2" t="inlineStr">
        <is>
          <t>Äkta lopplummer</t>
        </is>
      </c>
      <c r="S157">
        <f>HYPERLINK("https://klasma.github.io/Logging_0980/artfynd/A 20429-2025 artfynd.xlsx", "A 20429-2025")</f>
        <v/>
      </c>
      <c r="T157">
        <f>HYPERLINK("https://klasma.github.io/Logging_0980/kartor/A 20429-2025 karta.png", "A 20429-2025")</f>
        <v/>
      </c>
      <c r="V157">
        <f>HYPERLINK("https://klasma.github.io/Logging_0980/klagomål/A 20429-2025 FSC-klagomål.docx", "A 20429-2025")</f>
        <v/>
      </c>
      <c r="W157">
        <f>HYPERLINK("https://klasma.github.io/Logging_0980/klagomålsmail/A 20429-2025 FSC-klagomål mail.docx", "A 20429-2025")</f>
        <v/>
      </c>
      <c r="X157">
        <f>HYPERLINK("https://klasma.github.io/Logging_0980/tillsyn/A 20429-2025 tillsynsbegäran.docx", "A 20429-2025")</f>
        <v/>
      </c>
      <c r="Y157">
        <f>HYPERLINK("https://klasma.github.io/Logging_0980/tillsynsmail/A 20429-2025 tillsynsbegäran mail.docx", "A 20429-2025")</f>
        <v/>
      </c>
    </row>
    <row r="158" ht="15" customHeight="1">
      <c r="A158" t="inlineStr">
        <is>
          <t>A 9862-2024</t>
        </is>
      </c>
      <c r="B158" s="1" t="n">
        <v>45363</v>
      </c>
      <c r="C158" s="1" t="n">
        <v>46072</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34141-2024</t>
        </is>
      </c>
      <c r="B159" s="1" t="n">
        <v>45524.36229166666</v>
      </c>
      <c r="C159" s="1" t="n">
        <v>46072</v>
      </c>
      <c r="D159" t="inlineStr">
        <is>
          <t>GOTLANDS LÄN</t>
        </is>
      </c>
      <c r="E159" t="inlineStr">
        <is>
          <t>GOTLAND</t>
        </is>
      </c>
      <c r="G159" t="n">
        <v>0.9</v>
      </c>
      <c r="H159" t="n">
        <v>0</v>
      </c>
      <c r="I159" t="n">
        <v>1</v>
      </c>
      <c r="J159" t="n">
        <v>0</v>
      </c>
      <c r="K159" t="n">
        <v>0</v>
      </c>
      <c r="L159" t="n">
        <v>0</v>
      </c>
      <c r="M159" t="n">
        <v>0</v>
      </c>
      <c r="N159" t="n">
        <v>0</v>
      </c>
      <c r="O159" t="n">
        <v>0</v>
      </c>
      <c r="P159" t="n">
        <v>0</v>
      </c>
      <c r="Q159" t="n">
        <v>1</v>
      </c>
      <c r="R159" s="2" t="inlineStr">
        <is>
          <t>Strävlosta</t>
        </is>
      </c>
      <c r="S159">
        <f>HYPERLINK("https://klasma.github.io/Logging_0980/artfynd/A 34141-2024 artfynd.xlsx", "A 34141-2024")</f>
        <v/>
      </c>
      <c r="T159">
        <f>HYPERLINK("https://klasma.github.io/Logging_0980/kartor/A 34141-2024 karta.png", "A 34141-2024")</f>
        <v/>
      </c>
      <c r="V159">
        <f>HYPERLINK("https://klasma.github.io/Logging_0980/klagomål/A 34141-2024 FSC-klagomål.docx", "A 34141-2024")</f>
        <v/>
      </c>
      <c r="W159">
        <f>HYPERLINK("https://klasma.github.io/Logging_0980/klagomålsmail/A 34141-2024 FSC-klagomål mail.docx", "A 34141-2024")</f>
        <v/>
      </c>
      <c r="X159">
        <f>HYPERLINK("https://klasma.github.io/Logging_0980/tillsyn/A 34141-2024 tillsynsbegäran.docx", "A 34141-2024")</f>
        <v/>
      </c>
      <c r="Y159">
        <f>HYPERLINK("https://klasma.github.io/Logging_0980/tillsynsmail/A 34141-2024 tillsynsbegäran mail.docx", "A 34141-2024")</f>
        <v/>
      </c>
    </row>
    <row r="160" ht="15" customHeight="1">
      <c r="A160" t="inlineStr">
        <is>
          <t>A 49726-2025</t>
        </is>
      </c>
      <c r="B160" s="1" t="n">
        <v>45939.84466435185</v>
      </c>
      <c r="C160" s="1" t="n">
        <v>46072</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65927-2021</t>
        </is>
      </c>
      <c r="B161" s="1" t="n">
        <v>44516</v>
      </c>
      <c r="C161" s="1" t="n">
        <v>46072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46072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46072</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12924-2025</t>
        </is>
      </c>
      <c r="B164" s="1" t="n">
        <v>45734</v>
      </c>
      <c r="C164" s="1" t="n">
        <v>46072</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13939-2021</t>
        </is>
      </c>
      <c r="B165" s="1" t="n">
        <v>44277</v>
      </c>
      <c r="C165" s="1" t="n">
        <v>46072</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46072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2476-2025</t>
        </is>
      </c>
      <c r="B167" s="1" t="n">
        <v>45673</v>
      </c>
      <c r="C167" s="1" t="n">
        <v>46072</v>
      </c>
      <c r="D167" t="inlineStr">
        <is>
          <t>GOTLANDS LÄN</t>
        </is>
      </c>
      <c r="E167" t="inlineStr">
        <is>
          <t>GOTLAND</t>
        </is>
      </c>
      <c r="G167" t="n">
        <v>3.1</v>
      </c>
      <c r="H167" t="n">
        <v>0</v>
      </c>
      <c r="I167" t="n">
        <v>1</v>
      </c>
      <c r="J167" t="n">
        <v>0</v>
      </c>
      <c r="K167" t="n">
        <v>0</v>
      </c>
      <c r="L167" t="n">
        <v>0</v>
      </c>
      <c r="M167" t="n">
        <v>0</v>
      </c>
      <c r="N167" t="n">
        <v>0</v>
      </c>
      <c r="O167" t="n">
        <v>0</v>
      </c>
      <c r="P167" t="n">
        <v>0</v>
      </c>
      <c r="Q167" t="n">
        <v>1</v>
      </c>
      <c r="R167" s="2" t="inlineStr">
        <is>
          <t>Kryddspindling</t>
        </is>
      </c>
      <c r="S167">
        <f>HYPERLINK("https://klasma.github.io/Logging_0980/artfynd/A 2476-2025 artfynd.xlsx", "A 2476-2025")</f>
        <v/>
      </c>
      <c r="T167">
        <f>HYPERLINK("https://klasma.github.io/Logging_0980/kartor/A 2476-2025 karta.png", "A 2476-2025")</f>
        <v/>
      </c>
      <c r="V167">
        <f>HYPERLINK("https://klasma.github.io/Logging_0980/klagomål/A 2476-2025 FSC-klagomål.docx", "A 2476-2025")</f>
        <v/>
      </c>
      <c r="W167">
        <f>HYPERLINK("https://klasma.github.io/Logging_0980/klagomålsmail/A 2476-2025 FSC-klagomål mail.docx", "A 2476-2025")</f>
        <v/>
      </c>
      <c r="X167">
        <f>HYPERLINK("https://klasma.github.io/Logging_0980/tillsyn/A 2476-2025 tillsynsbegäran.docx", "A 2476-2025")</f>
        <v/>
      </c>
      <c r="Y167">
        <f>HYPERLINK("https://klasma.github.io/Logging_0980/tillsynsmail/A 2476-2025 tillsynsbegäran mail.docx", "A 2476-2025")</f>
        <v/>
      </c>
    </row>
    <row r="168" ht="15" customHeight="1">
      <c r="A168" t="inlineStr">
        <is>
          <t>A 44304-2021</t>
        </is>
      </c>
      <c r="B168" s="1" t="n">
        <v>44434</v>
      </c>
      <c r="C168" s="1" t="n">
        <v>46072</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46072</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46072</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46072</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46072</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46072</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63149-2025</t>
        </is>
      </c>
      <c r="B174" s="1" t="n">
        <v>46010</v>
      </c>
      <c r="C174" s="1" t="n">
        <v>46072</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1477-2024</t>
        </is>
      </c>
      <c r="B175" s="1" t="n">
        <v>45305.37987268518</v>
      </c>
      <c r="C175" s="1" t="n">
        <v>46072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46072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46072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46072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46072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46072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46072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46072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46072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46072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46072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46072</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46072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46072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46072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46072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46072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46072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46072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46072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46072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46072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46072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46072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46072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46072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46072</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46072</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46072</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46072</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46072</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46072</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46072</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46072</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46072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46072</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46072</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46072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46072</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46072</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46072</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46072</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46072</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46072</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46072</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46072</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46072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46072</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46072</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46072</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46072</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46072</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46072</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46072</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46072</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46072</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46072</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46072</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46072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46072</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46072</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46072</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58476-2022</t>
        </is>
      </c>
      <c r="B237" s="1" t="n">
        <v>44902</v>
      </c>
      <c r="C237" s="1" t="n">
        <v>46072</v>
      </c>
      <c r="D237" t="inlineStr">
        <is>
          <t>GOTLANDS LÄN</t>
        </is>
      </c>
      <c r="E237" t="inlineStr">
        <is>
          <t>GOTLAND</t>
        </is>
      </c>
      <c r="G237" t="n">
        <v>0.9</v>
      </c>
      <c r="H237" t="n">
        <v>0</v>
      </c>
      <c r="I237" t="n">
        <v>0</v>
      </c>
      <c r="J237" t="n">
        <v>0</v>
      </c>
      <c r="K237" t="n">
        <v>0</v>
      </c>
      <c r="L237" t="n">
        <v>0</v>
      </c>
      <c r="M237" t="n">
        <v>0</v>
      </c>
      <c r="N237" t="n">
        <v>0</v>
      </c>
      <c r="O237" t="n">
        <v>0</v>
      </c>
      <c r="P237" t="n">
        <v>0</v>
      </c>
      <c r="Q237" t="n">
        <v>0</v>
      </c>
      <c r="R237" s="2" t="inlineStr"/>
    </row>
    <row r="238" ht="15" customHeight="1">
      <c r="A238" t="inlineStr">
        <is>
          <t>A 61596-2023</t>
        </is>
      </c>
      <c r="B238" s="1" t="n">
        <v>45265</v>
      </c>
      <c r="C238" s="1" t="n">
        <v>46072</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873-2024</t>
        </is>
      </c>
      <c r="B239" s="1" t="n">
        <v>45301</v>
      </c>
      <c r="C239" s="1" t="n">
        <v>46072</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46072</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46072</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63229-2021</t>
        </is>
      </c>
      <c r="B242" s="1" t="n">
        <v>44508.34518518519</v>
      </c>
      <c r="C242" s="1" t="n">
        <v>46072</v>
      </c>
      <c r="D242" t="inlineStr">
        <is>
          <t>GOTLANDS LÄN</t>
        </is>
      </c>
      <c r="E242" t="inlineStr">
        <is>
          <t>GOTLAND</t>
        </is>
      </c>
      <c r="F242" t="inlineStr">
        <is>
          <t>Kyrkan</t>
        </is>
      </c>
      <c r="G242" t="n">
        <v>3.8</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46072</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25129-2023</t>
        </is>
      </c>
      <c r="B244" s="1" t="n">
        <v>45086.44261574074</v>
      </c>
      <c r="C244" s="1" t="n">
        <v>46072</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56009-2024</t>
        </is>
      </c>
      <c r="B245" s="1" t="n">
        <v>45623.80864583333</v>
      </c>
      <c r="C245" s="1" t="n">
        <v>46072</v>
      </c>
      <c r="D245" t="inlineStr">
        <is>
          <t>GOTLANDS LÄN</t>
        </is>
      </c>
      <c r="E245" t="inlineStr">
        <is>
          <t>GOTLAND</t>
        </is>
      </c>
      <c r="G245" t="n">
        <v>2.8</v>
      </c>
      <c r="H245" t="n">
        <v>0</v>
      </c>
      <c r="I245" t="n">
        <v>0</v>
      </c>
      <c r="J245" t="n">
        <v>0</v>
      </c>
      <c r="K245" t="n">
        <v>0</v>
      </c>
      <c r="L245" t="n">
        <v>0</v>
      </c>
      <c r="M245" t="n">
        <v>0</v>
      </c>
      <c r="N245" t="n">
        <v>0</v>
      </c>
      <c r="O245" t="n">
        <v>0</v>
      </c>
      <c r="P245" t="n">
        <v>0</v>
      </c>
      <c r="Q245" t="n">
        <v>0</v>
      </c>
      <c r="R245" s="2" t="inlineStr"/>
    </row>
    <row r="246" ht="15" customHeight="1">
      <c r="A246" t="inlineStr">
        <is>
          <t>A 54073-2022</t>
        </is>
      </c>
      <c r="B246" s="1" t="n">
        <v>44881.50380787037</v>
      </c>
      <c r="C246" s="1" t="n">
        <v>46072</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46072</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21420-2024</t>
        </is>
      </c>
      <c r="B248" s="1" t="n">
        <v>45441.38293981482</v>
      </c>
      <c r="C248" s="1" t="n">
        <v>46072</v>
      </c>
      <c r="D248" t="inlineStr">
        <is>
          <t>GOTLANDS LÄN</t>
        </is>
      </c>
      <c r="E248" t="inlineStr">
        <is>
          <t>GOTLAND</t>
        </is>
      </c>
      <c r="G248" t="n">
        <v>4.1</v>
      </c>
      <c r="H248" t="n">
        <v>0</v>
      </c>
      <c r="I248" t="n">
        <v>0</v>
      </c>
      <c r="J248" t="n">
        <v>0</v>
      </c>
      <c r="K248" t="n">
        <v>0</v>
      </c>
      <c r="L248" t="n">
        <v>0</v>
      </c>
      <c r="M248" t="n">
        <v>0</v>
      </c>
      <c r="N248" t="n">
        <v>0</v>
      </c>
      <c r="O248" t="n">
        <v>0</v>
      </c>
      <c r="P248" t="n">
        <v>0</v>
      </c>
      <c r="Q248" t="n">
        <v>0</v>
      </c>
      <c r="R248" s="2" t="inlineStr"/>
    </row>
    <row r="249" ht="15" customHeight="1">
      <c r="A249" t="inlineStr">
        <is>
          <t>A 10656-2024</t>
        </is>
      </c>
      <c r="B249" s="1" t="n">
        <v>45368</v>
      </c>
      <c r="C249" s="1" t="n">
        <v>46072</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57356-2023</t>
        </is>
      </c>
      <c r="B250" s="1" t="n">
        <v>45240</v>
      </c>
      <c r="C250" s="1" t="n">
        <v>46072</v>
      </c>
      <c r="D250" t="inlineStr">
        <is>
          <t>GOTLANDS LÄN</t>
        </is>
      </c>
      <c r="E250" t="inlineStr">
        <is>
          <t>GOTLAND</t>
        </is>
      </c>
      <c r="G250" t="n">
        <v>6.4</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46072</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3964-2024</t>
        </is>
      </c>
      <c r="B252" s="1" t="n">
        <v>45322</v>
      </c>
      <c r="C252" s="1" t="n">
        <v>46072</v>
      </c>
      <c r="D252" t="inlineStr">
        <is>
          <t>GOTLANDS LÄN</t>
        </is>
      </c>
      <c r="E252" t="inlineStr">
        <is>
          <t>GOTLAND</t>
        </is>
      </c>
      <c r="G252" t="n">
        <v>1.4</v>
      </c>
      <c r="H252" t="n">
        <v>0</v>
      </c>
      <c r="I252" t="n">
        <v>0</v>
      </c>
      <c r="J252" t="n">
        <v>0</v>
      </c>
      <c r="K252" t="n">
        <v>0</v>
      </c>
      <c r="L252" t="n">
        <v>0</v>
      </c>
      <c r="M252" t="n">
        <v>0</v>
      </c>
      <c r="N252" t="n">
        <v>0</v>
      </c>
      <c r="O252" t="n">
        <v>0</v>
      </c>
      <c r="P252" t="n">
        <v>0</v>
      </c>
      <c r="Q252" t="n">
        <v>0</v>
      </c>
      <c r="R252" s="2" t="inlineStr"/>
    </row>
    <row r="253" ht="15" customHeight="1">
      <c r="A253" t="inlineStr">
        <is>
          <t>A 23188-2025</t>
        </is>
      </c>
      <c r="B253" s="1" t="n">
        <v>45791</v>
      </c>
      <c r="C253" s="1" t="n">
        <v>46072</v>
      </c>
      <c r="D253" t="inlineStr">
        <is>
          <t>GOTLANDS LÄN</t>
        </is>
      </c>
      <c r="E253" t="inlineStr">
        <is>
          <t>GOTLAND</t>
        </is>
      </c>
      <c r="G253" t="n">
        <v>6.2</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46072</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46072</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35142-2025</t>
        </is>
      </c>
      <c r="B256" s="1" t="n">
        <v>45852.65532407408</v>
      </c>
      <c r="C256" s="1" t="n">
        <v>46072</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7026-2023</t>
        </is>
      </c>
      <c r="B257" s="1" t="n">
        <v>44968.30340277778</v>
      </c>
      <c r="C257" s="1" t="n">
        <v>46072</v>
      </c>
      <c r="D257" t="inlineStr">
        <is>
          <t>GOTLANDS LÄN</t>
        </is>
      </c>
      <c r="E257" t="inlineStr">
        <is>
          <t>GOTLAND</t>
        </is>
      </c>
      <c r="G257" t="n">
        <v>2.9</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46072</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52892-2021</t>
        </is>
      </c>
      <c r="B259" s="1" t="n">
        <v>44467.49048611111</v>
      </c>
      <c r="C259" s="1" t="n">
        <v>46072</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1351-2025</t>
        </is>
      </c>
      <c r="B260" s="1" t="n">
        <v>45667.62246527777</v>
      </c>
      <c r="C260" s="1" t="n">
        <v>46072</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23856-2025</t>
        </is>
      </c>
      <c r="B261" s="1" t="n">
        <v>45793</v>
      </c>
      <c r="C261" s="1" t="n">
        <v>46072</v>
      </c>
      <c r="D261" t="inlineStr">
        <is>
          <t>GOTLANDS LÄN</t>
        </is>
      </c>
      <c r="E261" t="inlineStr">
        <is>
          <t>GOTLAND</t>
        </is>
      </c>
      <c r="G261" t="n">
        <v>4.4</v>
      </c>
      <c r="H261" t="n">
        <v>0</v>
      </c>
      <c r="I261" t="n">
        <v>0</v>
      </c>
      <c r="J261" t="n">
        <v>0</v>
      </c>
      <c r="K261" t="n">
        <v>0</v>
      </c>
      <c r="L261" t="n">
        <v>0</v>
      </c>
      <c r="M261" t="n">
        <v>0</v>
      </c>
      <c r="N261" t="n">
        <v>0</v>
      </c>
      <c r="O261" t="n">
        <v>0</v>
      </c>
      <c r="P261" t="n">
        <v>0</v>
      </c>
      <c r="Q261" t="n">
        <v>0</v>
      </c>
      <c r="R261" s="2" t="inlineStr"/>
    </row>
    <row r="262" ht="15" customHeight="1">
      <c r="A262" t="inlineStr">
        <is>
          <t>A 23473-2025</t>
        </is>
      </c>
      <c r="B262" s="1" t="n">
        <v>45792</v>
      </c>
      <c r="C262" s="1" t="n">
        <v>46072</v>
      </c>
      <c r="D262" t="inlineStr">
        <is>
          <t>GOTLANDS LÄN</t>
        </is>
      </c>
      <c r="E262" t="inlineStr">
        <is>
          <t>GOTLAND</t>
        </is>
      </c>
      <c r="G262" t="n">
        <v>3.6</v>
      </c>
      <c r="H262" t="n">
        <v>0</v>
      </c>
      <c r="I262" t="n">
        <v>0</v>
      </c>
      <c r="J262" t="n">
        <v>0</v>
      </c>
      <c r="K262" t="n">
        <v>0</v>
      </c>
      <c r="L262" t="n">
        <v>0</v>
      </c>
      <c r="M262" t="n">
        <v>0</v>
      </c>
      <c r="N262" t="n">
        <v>0</v>
      </c>
      <c r="O262" t="n">
        <v>0</v>
      </c>
      <c r="P262" t="n">
        <v>0</v>
      </c>
      <c r="Q262" t="n">
        <v>0</v>
      </c>
      <c r="R262" s="2" t="inlineStr"/>
    </row>
    <row r="263" ht="15" customHeight="1">
      <c r="A263" t="inlineStr">
        <is>
          <t>A 23698-2025</t>
        </is>
      </c>
      <c r="B263" s="1" t="n">
        <v>45793</v>
      </c>
      <c r="C263" s="1" t="n">
        <v>46072</v>
      </c>
      <c r="D263" t="inlineStr">
        <is>
          <t>GOTLANDS LÄN</t>
        </is>
      </c>
      <c r="E263" t="inlineStr">
        <is>
          <t>GOTLAND</t>
        </is>
      </c>
      <c r="G263" t="n">
        <v>0.8</v>
      </c>
      <c r="H263" t="n">
        <v>0</v>
      </c>
      <c r="I263" t="n">
        <v>0</v>
      </c>
      <c r="J263" t="n">
        <v>0</v>
      </c>
      <c r="K263" t="n">
        <v>0</v>
      </c>
      <c r="L263" t="n">
        <v>0</v>
      </c>
      <c r="M263" t="n">
        <v>0</v>
      </c>
      <c r="N263" t="n">
        <v>0</v>
      </c>
      <c r="O263" t="n">
        <v>0</v>
      </c>
      <c r="P263" t="n">
        <v>0</v>
      </c>
      <c r="Q263" t="n">
        <v>0</v>
      </c>
      <c r="R263" s="2" t="inlineStr"/>
    </row>
    <row r="264" ht="15" customHeight="1">
      <c r="A264" t="inlineStr">
        <is>
          <t>A 15073-2025</t>
        </is>
      </c>
      <c r="B264" s="1" t="n">
        <v>45743</v>
      </c>
      <c r="C264" s="1" t="n">
        <v>46072</v>
      </c>
      <c r="D264" t="inlineStr">
        <is>
          <t>GOTLANDS LÄN</t>
        </is>
      </c>
      <c r="E264" t="inlineStr">
        <is>
          <t>GOTLAND</t>
        </is>
      </c>
      <c r="G264" t="n">
        <v>12.1</v>
      </c>
      <c r="H264" t="n">
        <v>0</v>
      </c>
      <c r="I264" t="n">
        <v>0</v>
      </c>
      <c r="J264" t="n">
        <v>0</v>
      </c>
      <c r="K264" t="n">
        <v>0</v>
      </c>
      <c r="L264" t="n">
        <v>0</v>
      </c>
      <c r="M264" t="n">
        <v>0</v>
      </c>
      <c r="N264" t="n">
        <v>0</v>
      </c>
      <c r="O264" t="n">
        <v>0</v>
      </c>
      <c r="P264" t="n">
        <v>0</v>
      </c>
      <c r="Q264" t="n">
        <v>0</v>
      </c>
      <c r="R264" s="2" t="inlineStr"/>
    </row>
    <row r="265" ht="15" customHeight="1">
      <c r="A265" t="inlineStr">
        <is>
          <t>A 49874-2024</t>
        </is>
      </c>
      <c r="B265" s="1" t="n">
        <v>45597.49274305555</v>
      </c>
      <c r="C265" s="1" t="n">
        <v>46072</v>
      </c>
      <c r="D265" t="inlineStr">
        <is>
          <t>GOTLANDS LÄN</t>
        </is>
      </c>
      <c r="E265" t="inlineStr">
        <is>
          <t>GOTLAND</t>
        </is>
      </c>
      <c r="G265" t="n">
        <v>1.1</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46072</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6749-2025</t>
        </is>
      </c>
      <c r="B267" s="1" t="n">
        <v>45700</v>
      </c>
      <c r="C267" s="1" t="n">
        <v>46072</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39814-2025</t>
        </is>
      </c>
      <c r="B268" s="1" t="n">
        <v>45891.52694444444</v>
      </c>
      <c r="C268" s="1" t="n">
        <v>46072</v>
      </c>
      <c r="D268" t="inlineStr">
        <is>
          <t>GOTLANDS LÄN</t>
        </is>
      </c>
      <c r="E268" t="inlineStr">
        <is>
          <t>GOTLAND</t>
        </is>
      </c>
      <c r="G268" t="n">
        <v>4.5</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46072</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45222.80952546297</v>
      </c>
      <c r="C270" s="1" t="n">
        <v>46072</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46072</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60675-2021</t>
        </is>
      </c>
      <c r="B272" s="1" t="n">
        <v>44496.64855324074</v>
      </c>
      <c r="C272" s="1" t="n">
        <v>46072</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39816-2025</t>
        </is>
      </c>
      <c r="B273" s="1" t="n">
        <v>45891</v>
      </c>
      <c r="C273" s="1" t="n">
        <v>46072</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40372-2025</t>
        </is>
      </c>
      <c r="B274" s="1" t="n">
        <v>45895.5162037037</v>
      </c>
      <c r="C274" s="1" t="n">
        <v>46072</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40373-2025</t>
        </is>
      </c>
      <c r="B275" s="1" t="n">
        <v>45895.51821759259</v>
      </c>
      <c r="C275" s="1" t="n">
        <v>46072</v>
      </c>
      <c r="D275" t="inlineStr">
        <is>
          <t>GOTLANDS LÄN</t>
        </is>
      </c>
      <c r="E275" t="inlineStr">
        <is>
          <t>GOTLAND</t>
        </is>
      </c>
      <c r="G275" t="n">
        <v>0.6</v>
      </c>
      <c r="H275" t="n">
        <v>0</v>
      </c>
      <c r="I275" t="n">
        <v>0</v>
      </c>
      <c r="J275" t="n">
        <v>0</v>
      </c>
      <c r="K275" t="n">
        <v>0</v>
      </c>
      <c r="L275" t="n">
        <v>0</v>
      </c>
      <c r="M275" t="n">
        <v>0</v>
      </c>
      <c r="N275" t="n">
        <v>0</v>
      </c>
      <c r="O275" t="n">
        <v>0</v>
      </c>
      <c r="P275" t="n">
        <v>0</v>
      </c>
      <c r="Q275" t="n">
        <v>0</v>
      </c>
      <c r="R275" s="2" t="inlineStr"/>
    </row>
    <row r="276" ht="15" customHeight="1">
      <c r="A276" t="inlineStr">
        <is>
          <t>A 5462-2025</t>
        </is>
      </c>
      <c r="B276" s="1" t="n">
        <v>45693.29331018519</v>
      </c>
      <c r="C276" s="1" t="n">
        <v>46072</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5217-2023</t>
        </is>
      </c>
      <c r="B277" s="1" t="n">
        <v>44959.39582175926</v>
      </c>
      <c r="C277" s="1" t="n">
        <v>46072</v>
      </c>
      <c r="D277" t="inlineStr">
        <is>
          <t>GOTLANDS LÄN</t>
        </is>
      </c>
      <c r="E277" t="inlineStr">
        <is>
          <t>GOTLAND</t>
        </is>
      </c>
      <c r="G277" t="n">
        <v>1.9</v>
      </c>
      <c r="H277" t="n">
        <v>0</v>
      </c>
      <c r="I277" t="n">
        <v>0</v>
      </c>
      <c r="J277" t="n">
        <v>0</v>
      </c>
      <c r="K277" t="n">
        <v>0</v>
      </c>
      <c r="L277" t="n">
        <v>0</v>
      </c>
      <c r="M277" t="n">
        <v>0</v>
      </c>
      <c r="N277" t="n">
        <v>0</v>
      </c>
      <c r="O277" t="n">
        <v>0</v>
      </c>
      <c r="P277" t="n">
        <v>0</v>
      </c>
      <c r="Q277" t="n">
        <v>0</v>
      </c>
      <c r="R277" s="2" t="inlineStr"/>
    </row>
    <row r="278" ht="15" customHeight="1">
      <c r="A278" t="inlineStr">
        <is>
          <t>A 56688-2025</t>
        </is>
      </c>
      <c r="B278" s="1" t="n">
        <v>45975.84331018518</v>
      </c>
      <c r="C278" s="1" t="n">
        <v>46072</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14638-2025</t>
        </is>
      </c>
      <c r="B279" s="1" t="n">
        <v>45742</v>
      </c>
      <c r="C279" s="1" t="n">
        <v>46072</v>
      </c>
      <c r="D279" t="inlineStr">
        <is>
          <t>GOTLANDS LÄN</t>
        </is>
      </c>
      <c r="E279" t="inlineStr">
        <is>
          <t>GOTLAND</t>
        </is>
      </c>
      <c r="G279" t="n">
        <v>13.4</v>
      </c>
      <c r="H279" t="n">
        <v>0</v>
      </c>
      <c r="I279" t="n">
        <v>0</v>
      </c>
      <c r="J279" t="n">
        <v>0</v>
      </c>
      <c r="K279" t="n">
        <v>0</v>
      </c>
      <c r="L279" t="n">
        <v>0</v>
      </c>
      <c r="M279" t="n">
        <v>0</v>
      </c>
      <c r="N279" t="n">
        <v>0</v>
      </c>
      <c r="O279" t="n">
        <v>0</v>
      </c>
      <c r="P279" t="n">
        <v>0</v>
      </c>
      <c r="Q279" t="n">
        <v>0</v>
      </c>
      <c r="R279" s="2" t="inlineStr"/>
    </row>
    <row r="280" ht="15" customHeight="1">
      <c r="A280" t="inlineStr">
        <is>
          <t>A 4421-2024</t>
        </is>
      </c>
      <c r="B280" s="1" t="n">
        <v>45327.45173611111</v>
      </c>
      <c r="C280" s="1" t="n">
        <v>46072</v>
      </c>
      <c r="D280" t="inlineStr">
        <is>
          <t>GOTLANDS LÄN</t>
        </is>
      </c>
      <c r="E280" t="inlineStr">
        <is>
          <t>GOTLAND</t>
        </is>
      </c>
      <c r="G280" t="n">
        <v>5.1</v>
      </c>
      <c r="H280" t="n">
        <v>0</v>
      </c>
      <c r="I280" t="n">
        <v>0</v>
      </c>
      <c r="J280" t="n">
        <v>0</v>
      </c>
      <c r="K280" t="n">
        <v>0</v>
      </c>
      <c r="L280" t="n">
        <v>0</v>
      </c>
      <c r="M280" t="n">
        <v>0</v>
      </c>
      <c r="N280" t="n">
        <v>0</v>
      </c>
      <c r="O280" t="n">
        <v>0</v>
      </c>
      <c r="P280" t="n">
        <v>0</v>
      </c>
      <c r="Q280" t="n">
        <v>0</v>
      </c>
      <c r="R280" s="2" t="inlineStr"/>
    </row>
    <row r="281" ht="15" customHeight="1">
      <c r="A281" t="inlineStr">
        <is>
          <t>A 40103-2025</t>
        </is>
      </c>
      <c r="B281" s="1" t="n">
        <v>45894.4880324074</v>
      </c>
      <c r="C281" s="1" t="n">
        <v>46072</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56799-2025</t>
        </is>
      </c>
      <c r="B282" s="1" t="n">
        <v>45978.43392361111</v>
      </c>
      <c r="C282" s="1" t="n">
        <v>46072</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20165-2022</t>
        </is>
      </c>
      <c r="B283" s="1" t="n">
        <v>44698.49854166667</v>
      </c>
      <c r="C283" s="1" t="n">
        <v>46072</v>
      </c>
      <c r="D283" t="inlineStr">
        <is>
          <t>GOTLANDS LÄN</t>
        </is>
      </c>
      <c r="E283" t="inlineStr">
        <is>
          <t>GOTLAND</t>
        </is>
      </c>
      <c r="G283" t="n">
        <v>4.1</v>
      </c>
      <c r="H283" t="n">
        <v>0</v>
      </c>
      <c r="I283" t="n">
        <v>0</v>
      </c>
      <c r="J283" t="n">
        <v>0</v>
      </c>
      <c r="K283" t="n">
        <v>0</v>
      </c>
      <c r="L283" t="n">
        <v>0</v>
      </c>
      <c r="M283" t="n">
        <v>0</v>
      </c>
      <c r="N283" t="n">
        <v>0</v>
      </c>
      <c r="O283" t="n">
        <v>0</v>
      </c>
      <c r="P283" t="n">
        <v>0</v>
      </c>
      <c r="Q283" t="n">
        <v>0</v>
      </c>
      <c r="R283" s="2" t="inlineStr"/>
    </row>
    <row r="284" ht="15" customHeight="1">
      <c r="A284" t="inlineStr">
        <is>
          <t>A 40499-2025</t>
        </is>
      </c>
      <c r="B284" s="1" t="n">
        <v>45896.32517361111</v>
      </c>
      <c r="C284" s="1" t="n">
        <v>46072</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31264-2021</t>
        </is>
      </c>
      <c r="B285" s="1" t="n">
        <v>44368</v>
      </c>
      <c r="C285" s="1" t="n">
        <v>46072</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46072</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46072</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43223-2023</t>
        </is>
      </c>
      <c r="B288" s="1" t="n">
        <v>45183.45642361111</v>
      </c>
      <c r="C288" s="1" t="n">
        <v>46072</v>
      </c>
      <c r="D288" t="inlineStr">
        <is>
          <t>GOTLANDS LÄN</t>
        </is>
      </c>
      <c r="E288" t="inlineStr">
        <is>
          <t>GOTLAND</t>
        </is>
      </c>
      <c r="G288" t="n">
        <v>1.8</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46072</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25796-2025</t>
        </is>
      </c>
      <c r="B290" s="1" t="n">
        <v>45804.39543981481</v>
      </c>
      <c r="C290" s="1" t="n">
        <v>46072</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61962-2024</t>
        </is>
      </c>
      <c r="B291" s="1" t="n">
        <v>45653.54340277778</v>
      </c>
      <c r="C291" s="1" t="n">
        <v>46072</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41435-2025</t>
        </is>
      </c>
      <c r="B292" s="1" t="n">
        <v>45901.39974537037</v>
      </c>
      <c r="C292" s="1" t="n">
        <v>46072</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27930-2021</t>
        </is>
      </c>
      <c r="B293" s="1" t="n">
        <v>44354</v>
      </c>
      <c r="C293" s="1" t="n">
        <v>46072</v>
      </c>
      <c r="D293" t="inlineStr">
        <is>
          <t>GOTLANDS LÄN</t>
        </is>
      </c>
      <c r="E293" t="inlineStr">
        <is>
          <t>GOTLAND</t>
        </is>
      </c>
      <c r="G293" t="n">
        <v>2.5</v>
      </c>
      <c r="H293" t="n">
        <v>0</v>
      </c>
      <c r="I293" t="n">
        <v>0</v>
      </c>
      <c r="J293" t="n">
        <v>0</v>
      </c>
      <c r="K293" t="n">
        <v>0</v>
      </c>
      <c r="L293" t="n">
        <v>0</v>
      </c>
      <c r="M293" t="n">
        <v>0</v>
      </c>
      <c r="N293" t="n">
        <v>0</v>
      </c>
      <c r="O293" t="n">
        <v>0</v>
      </c>
      <c r="P293" t="n">
        <v>0</v>
      </c>
      <c r="Q293" t="n">
        <v>0</v>
      </c>
      <c r="R293" s="2" t="inlineStr"/>
    </row>
    <row r="294" ht="15" customHeight="1">
      <c r="A294" t="inlineStr">
        <is>
          <t>A 59469-2024</t>
        </is>
      </c>
      <c r="B294" s="1" t="n">
        <v>45638</v>
      </c>
      <c r="C294" s="1" t="n">
        <v>46072</v>
      </c>
      <c r="D294" t="inlineStr">
        <is>
          <t>GOTLANDS LÄN</t>
        </is>
      </c>
      <c r="E294" t="inlineStr">
        <is>
          <t>GOTLAND</t>
        </is>
      </c>
      <c r="G294" t="n">
        <v>0.4</v>
      </c>
      <c r="H294" t="n">
        <v>0</v>
      </c>
      <c r="I294" t="n">
        <v>0</v>
      </c>
      <c r="J294" t="n">
        <v>0</v>
      </c>
      <c r="K294" t="n">
        <v>0</v>
      </c>
      <c r="L294" t="n">
        <v>0</v>
      </c>
      <c r="M294" t="n">
        <v>0</v>
      </c>
      <c r="N294" t="n">
        <v>0</v>
      </c>
      <c r="O294" t="n">
        <v>0</v>
      </c>
      <c r="P294" t="n">
        <v>0</v>
      </c>
      <c r="Q294" t="n">
        <v>0</v>
      </c>
      <c r="R294" s="2" t="inlineStr"/>
    </row>
    <row r="295" ht="15" customHeight="1">
      <c r="A295" t="inlineStr">
        <is>
          <t>A 26465-2025</t>
        </is>
      </c>
      <c r="B295" s="1" t="n">
        <v>45807.44377314814</v>
      </c>
      <c r="C295" s="1" t="n">
        <v>46072</v>
      </c>
      <c r="D295" t="inlineStr">
        <is>
          <t>GOTLANDS LÄN</t>
        </is>
      </c>
      <c r="E295" t="inlineStr">
        <is>
          <t>GOTLAND</t>
        </is>
      </c>
      <c r="G295" t="n">
        <v>4.5</v>
      </c>
      <c r="H295" t="n">
        <v>0</v>
      </c>
      <c r="I295" t="n">
        <v>0</v>
      </c>
      <c r="J295" t="n">
        <v>0</v>
      </c>
      <c r="K295" t="n">
        <v>0</v>
      </c>
      <c r="L295" t="n">
        <v>0</v>
      </c>
      <c r="M295" t="n">
        <v>0</v>
      </c>
      <c r="N295" t="n">
        <v>0</v>
      </c>
      <c r="O295" t="n">
        <v>0</v>
      </c>
      <c r="P295" t="n">
        <v>0</v>
      </c>
      <c r="Q295" t="n">
        <v>0</v>
      </c>
      <c r="R295" s="2" t="inlineStr"/>
    </row>
    <row r="296" ht="15" customHeight="1">
      <c r="A296" t="inlineStr">
        <is>
          <t>A 26457-2025</t>
        </is>
      </c>
      <c r="B296" s="1" t="n">
        <v>45807.42773148148</v>
      </c>
      <c r="C296" s="1" t="n">
        <v>46072</v>
      </c>
      <c r="D296" t="inlineStr">
        <is>
          <t>GOTLANDS LÄN</t>
        </is>
      </c>
      <c r="E296" t="inlineStr">
        <is>
          <t>GOTLAND</t>
        </is>
      </c>
      <c r="G296" t="n">
        <v>5.7</v>
      </c>
      <c r="H296" t="n">
        <v>0</v>
      </c>
      <c r="I296" t="n">
        <v>0</v>
      </c>
      <c r="J296" t="n">
        <v>0</v>
      </c>
      <c r="K296" t="n">
        <v>0</v>
      </c>
      <c r="L296" t="n">
        <v>0</v>
      </c>
      <c r="M296" t="n">
        <v>0</v>
      </c>
      <c r="N296" t="n">
        <v>0</v>
      </c>
      <c r="O296" t="n">
        <v>0</v>
      </c>
      <c r="P296" t="n">
        <v>0</v>
      </c>
      <c r="Q296" t="n">
        <v>0</v>
      </c>
      <c r="R296" s="2" t="inlineStr"/>
    </row>
    <row r="297" ht="15" customHeight="1">
      <c r="A297" t="inlineStr">
        <is>
          <t>A 26467-2025</t>
        </is>
      </c>
      <c r="B297" s="1" t="n">
        <v>45807.44640046296</v>
      </c>
      <c r="C297" s="1" t="n">
        <v>46072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5751-2024</t>
        </is>
      </c>
      <c r="B298" s="1" t="n">
        <v>45335.32702546296</v>
      </c>
      <c r="C298" s="1" t="n">
        <v>46072</v>
      </c>
      <c r="D298" t="inlineStr">
        <is>
          <t>GOTLANDS LÄN</t>
        </is>
      </c>
      <c r="E298" t="inlineStr">
        <is>
          <t>GOTLAND</t>
        </is>
      </c>
      <c r="G298" t="n">
        <v>4.2</v>
      </c>
      <c r="H298" t="n">
        <v>0</v>
      </c>
      <c r="I298" t="n">
        <v>0</v>
      </c>
      <c r="J298" t="n">
        <v>0</v>
      </c>
      <c r="K298" t="n">
        <v>0</v>
      </c>
      <c r="L298" t="n">
        <v>0</v>
      </c>
      <c r="M298" t="n">
        <v>0</v>
      </c>
      <c r="N298" t="n">
        <v>0</v>
      </c>
      <c r="O298" t="n">
        <v>0</v>
      </c>
      <c r="P298" t="n">
        <v>0</v>
      </c>
      <c r="Q298" t="n">
        <v>0</v>
      </c>
      <c r="R298" s="2" t="inlineStr"/>
    </row>
    <row r="299" ht="15" customHeight="1">
      <c r="A299" t="inlineStr">
        <is>
          <t>A 6696-2023</t>
        </is>
      </c>
      <c r="B299" s="1" t="n">
        <v>44966.66425925926</v>
      </c>
      <c r="C299" s="1" t="n">
        <v>46072</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28480-2023</t>
        </is>
      </c>
      <c r="B300" s="1" t="n">
        <v>45103</v>
      </c>
      <c r="C300" s="1" t="n">
        <v>46072</v>
      </c>
      <c r="D300" t="inlineStr">
        <is>
          <t>GOTLANDS LÄN</t>
        </is>
      </c>
      <c r="E300" t="inlineStr">
        <is>
          <t>GOTLAND</t>
        </is>
      </c>
      <c r="G300" t="n">
        <v>5.7</v>
      </c>
      <c r="H300" t="n">
        <v>0</v>
      </c>
      <c r="I300" t="n">
        <v>0</v>
      </c>
      <c r="J300" t="n">
        <v>0</v>
      </c>
      <c r="K300" t="n">
        <v>0</v>
      </c>
      <c r="L300" t="n">
        <v>0</v>
      </c>
      <c r="M300" t="n">
        <v>0</v>
      </c>
      <c r="N300" t="n">
        <v>0</v>
      </c>
      <c r="O300" t="n">
        <v>0</v>
      </c>
      <c r="P300" t="n">
        <v>0</v>
      </c>
      <c r="Q300" t="n">
        <v>0</v>
      </c>
      <c r="R300" s="2" t="inlineStr"/>
    </row>
    <row r="301" ht="15" customHeight="1">
      <c r="A301" t="inlineStr">
        <is>
          <t>A 28485-2023</t>
        </is>
      </c>
      <c r="B301" s="1" t="n">
        <v>45103.43731481482</v>
      </c>
      <c r="C301" s="1" t="n">
        <v>46072</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4990-2025</t>
        </is>
      </c>
      <c r="B302" s="1" t="n">
        <v>45691</v>
      </c>
      <c r="C302" s="1" t="n">
        <v>46072</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46072</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26660-2025</t>
        </is>
      </c>
      <c r="B304" s="1" t="n">
        <v>45810.39737268518</v>
      </c>
      <c r="C304" s="1" t="n">
        <v>46072</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16373-2025</t>
        </is>
      </c>
      <c r="B305" s="1" t="n">
        <v>45751</v>
      </c>
      <c r="C305" s="1" t="n">
        <v>46072</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38165-2023</t>
        </is>
      </c>
      <c r="B306" s="1" t="n">
        <v>45161</v>
      </c>
      <c r="C306" s="1" t="n">
        <v>46072</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27355-2025</t>
        </is>
      </c>
      <c r="B307" s="1" t="n">
        <v>45812</v>
      </c>
      <c r="C307" s="1" t="n">
        <v>46072</v>
      </c>
      <c r="D307" t="inlineStr">
        <is>
          <t>GOTLANDS LÄN</t>
        </is>
      </c>
      <c r="E307" t="inlineStr">
        <is>
          <t>GOTLAND</t>
        </is>
      </c>
      <c r="G307" t="n">
        <v>1.1</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46072</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10158-2025</t>
        </is>
      </c>
      <c r="B309" s="1" t="n">
        <v>45719</v>
      </c>
      <c r="C309" s="1" t="n">
        <v>46072</v>
      </c>
      <c r="D309" t="inlineStr">
        <is>
          <t>GOTLANDS LÄN</t>
        </is>
      </c>
      <c r="E309" t="inlineStr">
        <is>
          <t>GOTLAND</t>
        </is>
      </c>
      <c r="G309" t="n">
        <v>3.5</v>
      </c>
      <c r="H309" t="n">
        <v>0</v>
      </c>
      <c r="I309" t="n">
        <v>0</v>
      </c>
      <c r="J309" t="n">
        <v>0</v>
      </c>
      <c r="K309" t="n">
        <v>0</v>
      </c>
      <c r="L309" t="n">
        <v>0</v>
      </c>
      <c r="M309" t="n">
        <v>0</v>
      </c>
      <c r="N309" t="n">
        <v>0</v>
      </c>
      <c r="O309" t="n">
        <v>0</v>
      </c>
      <c r="P309" t="n">
        <v>0</v>
      </c>
      <c r="Q309" t="n">
        <v>0</v>
      </c>
      <c r="R309" s="2" t="inlineStr"/>
    </row>
    <row r="310" ht="15" customHeight="1">
      <c r="A310" t="inlineStr">
        <is>
          <t>A 7850-2025</t>
        </is>
      </c>
      <c r="B310" s="1" t="n">
        <v>45706</v>
      </c>
      <c r="C310" s="1" t="n">
        <v>46072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49693-2023</t>
        </is>
      </c>
      <c r="B311" s="1" t="n">
        <v>45212.38138888889</v>
      </c>
      <c r="C311" s="1" t="n">
        <v>46072</v>
      </c>
      <c r="D311" t="inlineStr">
        <is>
          <t>GOTLANDS LÄN</t>
        </is>
      </c>
      <c r="E311" t="inlineStr">
        <is>
          <t>GOTLAND</t>
        </is>
      </c>
      <c r="G311" t="n">
        <v>2.4</v>
      </c>
      <c r="H311" t="n">
        <v>0</v>
      </c>
      <c r="I311" t="n">
        <v>0</v>
      </c>
      <c r="J311" t="n">
        <v>0</v>
      </c>
      <c r="K311" t="n">
        <v>0</v>
      </c>
      <c r="L311" t="n">
        <v>0</v>
      </c>
      <c r="M311" t="n">
        <v>0</v>
      </c>
      <c r="N311" t="n">
        <v>0</v>
      </c>
      <c r="O311" t="n">
        <v>0</v>
      </c>
      <c r="P311" t="n">
        <v>0</v>
      </c>
      <c r="Q311" t="n">
        <v>0</v>
      </c>
      <c r="R311" s="2" t="inlineStr"/>
    </row>
    <row r="312" ht="15" customHeight="1">
      <c r="A312" t="inlineStr">
        <is>
          <t>A 49697-2023</t>
        </is>
      </c>
      <c r="B312" s="1" t="n">
        <v>45212.38909722222</v>
      </c>
      <c r="C312" s="1" t="n">
        <v>46072</v>
      </c>
      <c r="D312" t="inlineStr">
        <is>
          <t>GOTLANDS LÄN</t>
        </is>
      </c>
      <c r="E312" t="inlineStr">
        <is>
          <t>GOTLAND</t>
        </is>
      </c>
      <c r="G312" t="n">
        <v>4.4</v>
      </c>
      <c r="H312" t="n">
        <v>0</v>
      </c>
      <c r="I312" t="n">
        <v>0</v>
      </c>
      <c r="J312" t="n">
        <v>0</v>
      </c>
      <c r="K312" t="n">
        <v>0</v>
      </c>
      <c r="L312" t="n">
        <v>0</v>
      </c>
      <c r="M312" t="n">
        <v>0</v>
      </c>
      <c r="N312" t="n">
        <v>0</v>
      </c>
      <c r="O312" t="n">
        <v>0</v>
      </c>
      <c r="P312" t="n">
        <v>0</v>
      </c>
      <c r="Q312" t="n">
        <v>0</v>
      </c>
      <c r="R312" s="2" t="inlineStr"/>
    </row>
    <row r="313" ht="15" customHeight="1">
      <c r="A313" t="inlineStr">
        <is>
          <t>A 34312-2024</t>
        </is>
      </c>
      <c r="B313" s="1" t="n">
        <v>45524.69703703704</v>
      </c>
      <c r="C313" s="1" t="n">
        <v>46072</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43911-2025</t>
        </is>
      </c>
      <c r="B314" s="1" t="n">
        <v>45914.3881712963</v>
      </c>
      <c r="C314" s="1" t="n">
        <v>46072</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6739-2025</t>
        </is>
      </c>
      <c r="B315" s="1" t="n">
        <v>45700</v>
      </c>
      <c r="C315" s="1" t="n">
        <v>46072</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43951-2025</t>
        </is>
      </c>
      <c r="B316" s="1" t="n">
        <v>45915.38119212963</v>
      </c>
      <c r="C316" s="1" t="n">
        <v>46072</v>
      </c>
      <c r="D316" t="inlineStr">
        <is>
          <t>GOTLANDS LÄN</t>
        </is>
      </c>
      <c r="E316" t="inlineStr">
        <is>
          <t>GOTLAND</t>
        </is>
      </c>
      <c r="G316" t="n">
        <v>4.4</v>
      </c>
      <c r="H316" t="n">
        <v>0</v>
      </c>
      <c r="I316" t="n">
        <v>0</v>
      </c>
      <c r="J316" t="n">
        <v>0</v>
      </c>
      <c r="K316" t="n">
        <v>0</v>
      </c>
      <c r="L316" t="n">
        <v>0</v>
      </c>
      <c r="M316" t="n">
        <v>0</v>
      </c>
      <c r="N316" t="n">
        <v>0</v>
      </c>
      <c r="O316" t="n">
        <v>0</v>
      </c>
      <c r="P316" t="n">
        <v>0</v>
      </c>
      <c r="Q316" t="n">
        <v>0</v>
      </c>
      <c r="R316" s="2" t="inlineStr"/>
    </row>
    <row r="317" ht="15" customHeight="1">
      <c r="A317" t="inlineStr">
        <is>
          <t>A 8444-2025</t>
        </is>
      </c>
      <c r="B317" s="1" t="n">
        <v>45709</v>
      </c>
      <c r="C317" s="1" t="n">
        <v>46072</v>
      </c>
      <c r="D317" t="inlineStr">
        <is>
          <t>GOTLANDS LÄN</t>
        </is>
      </c>
      <c r="E317" t="inlineStr">
        <is>
          <t>GOTLAND</t>
        </is>
      </c>
      <c r="G317" t="n">
        <v>5.2</v>
      </c>
      <c r="H317" t="n">
        <v>0</v>
      </c>
      <c r="I317" t="n">
        <v>0</v>
      </c>
      <c r="J317" t="n">
        <v>0</v>
      </c>
      <c r="K317" t="n">
        <v>0</v>
      </c>
      <c r="L317" t="n">
        <v>0</v>
      </c>
      <c r="M317" t="n">
        <v>0</v>
      </c>
      <c r="N317" t="n">
        <v>0</v>
      </c>
      <c r="O317" t="n">
        <v>0</v>
      </c>
      <c r="P317" t="n">
        <v>0</v>
      </c>
      <c r="Q317" t="n">
        <v>0</v>
      </c>
      <c r="R317" s="2" t="inlineStr"/>
    </row>
    <row r="318" ht="15" customHeight="1">
      <c r="A318" t="inlineStr">
        <is>
          <t>A 19905-2025</t>
        </is>
      </c>
      <c r="B318" s="1" t="n">
        <v>45771</v>
      </c>
      <c r="C318" s="1" t="n">
        <v>46072</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46072</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48503-2023</t>
        </is>
      </c>
      <c r="B320" s="1" t="n">
        <v>45207</v>
      </c>
      <c r="C320" s="1" t="n">
        <v>46072</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44405-2025</t>
        </is>
      </c>
      <c r="B321" s="1" t="n">
        <v>45916.52405092592</v>
      </c>
      <c r="C321" s="1" t="n">
        <v>46072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24825-2024</t>
        </is>
      </c>
      <c r="B322" s="1" t="n">
        <v>45461</v>
      </c>
      <c r="C322" s="1" t="n">
        <v>46072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22031-2024</t>
        </is>
      </c>
      <c r="B323" s="1" t="n">
        <v>45443.60075231481</v>
      </c>
      <c r="C323" s="1" t="n">
        <v>46072</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17688-2024</t>
        </is>
      </c>
      <c r="B324" s="1" t="n">
        <v>45418.43575231481</v>
      </c>
      <c r="C324" s="1" t="n">
        <v>46072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46072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46072</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27694-2024</t>
        </is>
      </c>
      <c r="B327" s="1" t="n">
        <v>45475</v>
      </c>
      <c r="C327" s="1" t="n">
        <v>46072</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46072</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46072</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8260-2023</t>
        </is>
      </c>
      <c r="B330" s="1" t="n">
        <v>44974.61608796296</v>
      </c>
      <c r="C330" s="1" t="n">
        <v>46072</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30061-2025</t>
        </is>
      </c>
      <c r="B331" s="1" t="n">
        <v>45826.61488425926</v>
      </c>
      <c r="C331" s="1" t="n">
        <v>46072</v>
      </c>
      <c r="D331" t="inlineStr">
        <is>
          <t>GOTLANDS LÄN</t>
        </is>
      </c>
      <c r="E331" t="inlineStr">
        <is>
          <t>GOTLAND</t>
        </is>
      </c>
      <c r="G331" t="n">
        <v>4.1</v>
      </c>
      <c r="H331" t="n">
        <v>0</v>
      </c>
      <c r="I331" t="n">
        <v>0</v>
      </c>
      <c r="J331" t="n">
        <v>0</v>
      </c>
      <c r="K331" t="n">
        <v>0</v>
      </c>
      <c r="L331" t="n">
        <v>0</v>
      </c>
      <c r="M331" t="n">
        <v>0</v>
      </c>
      <c r="N331" t="n">
        <v>0</v>
      </c>
      <c r="O331" t="n">
        <v>0</v>
      </c>
      <c r="P331" t="n">
        <v>0</v>
      </c>
      <c r="Q331" t="n">
        <v>0</v>
      </c>
      <c r="R331" s="2" t="inlineStr"/>
    </row>
    <row r="332" ht="15" customHeight="1">
      <c r="A332" t="inlineStr">
        <is>
          <t>A 22287-2022</t>
        </is>
      </c>
      <c r="B332" s="1" t="n">
        <v>44712</v>
      </c>
      <c r="C332" s="1" t="n">
        <v>46072</v>
      </c>
      <c r="D332" t="inlineStr">
        <is>
          <t>GOTLANDS LÄN</t>
        </is>
      </c>
      <c r="E332" t="inlineStr">
        <is>
          <t>GOTLAND</t>
        </is>
      </c>
      <c r="G332" t="n">
        <v>6.1</v>
      </c>
      <c r="H332" t="n">
        <v>0</v>
      </c>
      <c r="I332" t="n">
        <v>0</v>
      </c>
      <c r="J332" t="n">
        <v>0</v>
      </c>
      <c r="K332" t="n">
        <v>0</v>
      </c>
      <c r="L332" t="n">
        <v>0</v>
      </c>
      <c r="M332" t="n">
        <v>0</v>
      </c>
      <c r="N332" t="n">
        <v>0</v>
      </c>
      <c r="O332" t="n">
        <v>0</v>
      </c>
      <c r="P332" t="n">
        <v>0</v>
      </c>
      <c r="Q332" t="n">
        <v>0</v>
      </c>
      <c r="R332" s="2" t="inlineStr"/>
    </row>
    <row r="333" ht="15" customHeight="1">
      <c r="A333" t="inlineStr">
        <is>
          <t>A 57534-2022</t>
        </is>
      </c>
      <c r="B333" s="1" t="n">
        <v>44896</v>
      </c>
      <c r="C333" s="1" t="n">
        <v>46072</v>
      </c>
      <c r="D333" t="inlineStr">
        <is>
          <t>GOTLANDS LÄN</t>
        </is>
      </c>
      <c r="E333" t="inlineStr">
        <is>
          <t>GOTLAND</t>
        </is>
      </c>
      <c r="G333" t="n">
        <v>0.6</v>
      </c>
      <c r="H333" t="n">
        <v>0</v>
      </c>
      <c r="I333" t="n">
        <v>0</v>
      </c>
      <c r="J333" t="n">
        <v>0</v>
      </c>
      <c r="K333" t="n">
        <v>0</v>
      </c>
      <c r="L333" t="n">
        <v>0</v>
      </c>
      <c r="M333" t="n">
        <v>0</v>
      </c>
      <c r="N333" t="n">
        <v>0</v>
      </c>
      <c r="O333" t="n">
        <v>0</v>
      </c>
      <c r="P333" t="n">
        <v>0</v>
      </c>
      <c r="Q333" t="n">
        <v>0</v>
      </c>
      <c r="R333" s="2" t="inlineStr"/>
    </row>
    <row r="334" ht="15" customHeight="1">
      <c r="A334" t="inlineStr">
        <is>
          <t>A 26391-2025</t>
        </is>
      </c>
      <c r="B334" s="1" t="n">
        <v>45806</v>
      </c>
      <c r="C334" s="1" t="n">
        <v>46072</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58160-2024</t>
        </is>
      </c>
      <c r="B335" s="1" t="n">
        <v>45632.44927083333</v>
      </c>
      <c r="C335" s="1" t="n">
        <v>46072</v>
      </c>
      <c r="D335" t="inlineStr">
        <is>
          <t>GOTLANDS LÄN</t>
        </is>
      </c>
      <c r="E335" t="inlineStr">
        <is>
          <t>GOTLAND</t>
        </is>
      </c>
      <c r="G335" t="n">
        <v>5.6</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46072</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47637-2025</t>
        </is>
      </c>
      <c r="B337" s="1" t="n">
        <v>45931.49753472222</v>
      </c>
      <c r="C337" s="1" t="n">
        <v>46072</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64660-2023</t>
        </is>
      </c>
      <c r="B338" s="1" t="n">
        <v>45281.60122685185</v>
      </c>
      <c r="C338" s="1" t="n">
        <v>46072</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32378-2025</t>
        </is>
      </c>
      <c r="B339" s="1" t="n">
        <v>45837</v>
      </c>
      <c r="C339" s="1" t="n">
        <v>46072</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16109-2025</t>
        </is>
      </c>
      <c r="B340" s="1" t="n">
        <v>45750</v>
      </c>
      <c r="C340" s="1" t="n">
        <v>46072</v>
      </c>
      <c r="D340" t="inlineStr">
        <is>
          <t>GOTLANDS LÄN</t>
        </is>
      </c>
      <c r="E340" t="inlineStr">
        <is>
          <t>GOTLAND</t>
        </is>
      </c>
      <c r="G340" t="n">
        <v>4.9</v>
      </c>
      <c r="H340" t="n">
        <v>0</v>
      </c>
      <c r="I340" t="n">
        <v>0</v>
      </c>
      <c r="J340" t="n">
        <v>0</v>
      </c>
      <c r="K340" t="n">
        <v>0</v>
      </c>
      <c r="L340" t="n">
        <v>0</v>
      </c>
      <c r="M340" t="n">
        <v>0</v>
      </c>
      <c r="N340" t="n">
        <v>0</v>
      </c>
      <c r="O340" t="n">
        <v>0</v>
      </c>
      <c r="P340" t="n">
        <v>0</v>
      </c>
      <c r="Q340" t="n">
        <v>0</v>
      </c>
      <c r="R340" s="2" t="inlineStr"/>
    </row>
    <row r="341" ht="15" customHeight="1">
      <c r="A341" t="inlineStr">
        <is>
          <t>A 32467-2025</t>
        </is>
      </c>
      <c r="B341" s="1" t="n">
        <v>45838.42111111111</v>
      </c>
      <c r="C341" s="1" t="n">
        <v>46072</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20855-2023</t>
        </is>
      </c>
      <c r="B342" s="1" t="n">
        <v>45058.82172453704</v>
      </c>
      <c r="C342" s="1" t="n">
        <v>46072</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35550-2025</t>
        </is>
      </c>
      <c r="B343" s="1" t="n">
        <v>45856.49324074074</v>
      </c>
      <c r="C343" s="1" t="n">
        <v>46072</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32379-2025</t>
        </is>
      </c>
      <c r="B344" s="1" t="n">
        <v>45837</v>
      </c>
      <c r="C344" s="1" t="n">
        <v>46072</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60709-2023</t>
        </is>
      </c>
      <c r="B345" s="1" t="n">
        <v>45260</v>
      </c>
      <c r="C345" s="1" t="n">
        <v>46072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47578-2025</t>
        </is>
      </c>
      <c r="B346" s="1" t="n">
        <v>45931</v>
      </c>
      <c r="C346" s="1" t="n">
        <v>46072</v>
      </c>
      <c r="D346" t="inlineStr">
        <is>
          <t>GOTLANDS LÄN</t>
        </is>
      </c>
      <c r="E346" t="inlineStr">
        <is>
          <t>GOTLAND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1000-2024</t>
        </is>
      </c>
      <c r="B347" s="1" t="n">
        <v>45301.63371527778</v>
      </c>
      <c r="C347" s="1" t="n">
        <v>46072</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1010-2024</t>
        </is>
      </c>
      <c r="B348" s="1" t="n">
        <v>45301</v>
      </c>
      <c r="C348" s="1" t="n">
        <v>46072</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65249-2023</t>
        </is>
      </c>
      <c r="B349" s="1" t="n">
        <v>45290</v>
      </c>
      <c r="C349" s="1" t="n">
        <v>46072</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33011-2025</t>
        </is>
      </c>
      <c r="B350" s="1" t="n">
        <v>45840</v>
      </c>
      <c r="C350" s="1" t="n">
        <v>46072</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30956-2024</t>
        </is>
      </c>
      <c r="B351" s="1" t="n">
        <v>45499.42527777778</v>
      </c>
      <c r="C351" s="1" t="n">
        <v>46072</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49690-2025</t>
        </is>
      </c>
      <c r="B352" s="1" t="n">
        <v>45939.66730324074</v>
      </c>
      <c r="C352" s="1" t="n">
        <v>46072</v>
      </c>
      <c r="D352" t="inlineStr">
        <is>
          <t>GOTLANDS LÄN</t>
        </is>
      </c>
      <c r="E352" t="inlineStr">
        <is>
          <t>GOTLAND</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33007-2025</t>
        </is>
      </c>
      <c r="B353" s="1" t="n">
        <v>45840</v>
      </c>
      <c r="C353" s="1" t="n">
        <v>46072</v>
      </c>
      <c r="D353" t="inlineStr">
        <is>
          <t>GOTLANDS LÄN</t>
        </is>
      </c>
      <c r="E353" t="inlineStr">
        <is>
          <t>GOTLAND</t>
        </is>
      </c>
      <c r="G353" t="n">
        <v>4.9</v>
      </c>
      <c r="H353" t="n">
        <v>0</v>
      </c>
      <c r="I353" t="n">
        <v>0</v>
      </c>
      <c r="J353" t="n">
        <v>0</v>
      </c>
      <c r="K353" t="n">
        <v>0</v>
      </c>
      <c r="L353" t="n">
        <v>0</v>
      </c>
      <c r="M353" t="n">
        <v>0</v>
      </c>
      <c r="N353" t="n">
        <v>0</v>
      </c>
      <c r="O353" t="n">
        <v>0</v>
      </c>
      <c r="P353" t="n">
        <v>0</v>
      </c>
      <c r="Q353" t="n">
        <v>0</v>
      </c>
      <c r="R353" s="2" t="inlineStr"/>
    </row>
    <row r="354" ht="15" customHeight="1">
      <c r="A354" t="inlineStr">
        <is>
          <t>A 12596-2023</t>
        </is>
      </c>
      <c r="B354" s="1" t="n">
        <v>45000.43310185185</v>
      </c>
      <c r="C354" s="1" t="n">
        <v>46072</v>
      </c>
      <c r="D354" t="inlineStr">
        <is>
          <t>GOTLANDS LÄN</t>
        </is>
      </c>
      <c r="E354" t="inlineStr">
        <is>
          <t>GOTLAND</t>
        </is>
      </c>
      <c r="G354" t="n">
        <v>4.1</v>
      </c>
      <c r="H354" t="n">
        <v>0</v>
      </c>
      <c r="I354" t="n">
        <v>0</v>
      </c>
      <c r="J354" t="n">
        <v>0</v>
      </c>
      <c r="K354" t="n">
        <v>0</v>
      </c>
      <c r="L354" t="n">
        <v>0</v>
      </c>
      <c r="M354" t="n">
        <v>0</v>
      </c>
      <c r="N354" t="n">
        <v>0</v>
      </c>
      <c r="O354" t="n">
        <v>0</v>
      </c>
      <c r="P354" t="n">
        <v>0</v>
      </c>
      <c r="Q354" t="n">
        <v>0</v>
      </c>
      <c r="R354" s="2" t="inlineStr"/>
    </row>
    <row r="355" ht="15" customHeight="1">
      <c r="A355" t="inlineStr">
        <is>
          <t>A 8045-2022</t>
        </is>
      </c>
      <c r="B355" s="1" t="n">
        <v>44609</v>
      </c>
      <c r="C355" s="1" t="n">
        <v>46072</v>
      </c>
      <c r="D355" t="inlineStr">
        <is>
          <t>GOTLANDS LÄN</t>
        </is>
      </c>
      <c r="E355" t="inlineStr">
        <is>
          <t>GOTLAND</t>
        </is>
      </c>
      <c r="G355" t="n">
        <v>7</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46072</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46072</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999-2024</t>
        </is>
      </c>
      <c r="B358" s="1" t="n">
        <v>45301</v>
      </c>
      <c r="C358" s="1" t="n">
        <v>46072</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65901-2021</t>
        </is>
      </c>
      <c r="B359" s="1" t="n">
        <v>44516</v>
      </c>
      <c r="C359" s="1" t="n">
        <v>46072</v>
      </c>
      <c r="D359" t="inlineStr">
        <is>
          <t>GOTLANDS LÄN</t>
        </is>
      </c>
      <c r="E359" t="inlineStr">
        <is>
          <t>GOTLAND</t>
        </is>
      </c>
      <c r="G359" t="n">
        <v>4.9</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46072</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47762-2023</t>
        </is>
      </c>
      <c r="B361" s="1" t="n">
        <v>45203.86256944444</v>
      </c>
      <c r="C361" s="1" t="n">
        <v>46072</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50431-2025</t>
        </is>
      </c>
      <c r="B362" s="1" t="n">
        <v>45944.68453703704</v>
      </c>
      <c r="C362" s="1" t="n">
        <v>46072</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40294-2022</t>
        </is>
      </c>
      <c r="B363" s="1" t="n">
        <v>44821</v>
      </c>
      <c r="C363" s="1" t="n">
        <v>46072</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27602-2023</t>
        </is>
      </c>
      <c r="B364" s="1" t="n">
        <v>45097</v>
      </c>
      <c r="C364" s="1" t="n">
        <v>46072</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15413-2025</t>
        </is>
      </c>
      <c r="B365" s="1" t="n">
        <v>45747.451875</v>
      </c>
      <c r="C365" s="1" t="n">
        <v>46072</v>
      </c>
      <c r="D365" t="inlineStr">
        <is>
          <t>GOTLANDS LÄN</t>
        </is>
      </c>
      <c r="E365" t="inlineStr">
        <is>
          <t>GOTLAND</t>
        </is>
      </c>
      <c r="G365" t="n">
        <v>0.6</v>
      </c>
      <c r="H365" t="n">
        <v>0</v>
      </c>
      <c r="I365" t="n">
        <v>0</v>
      </c>
      <c r="J365" t="n">
        <v>0</v>
      </c>
      <c r="K365" t="n">
        <v>0</v>
      </c>
      <c r="L365" t="n">
        <v>0</v>
      </c>
      <c r="M365" t="n">
        <v>0</v>
      </c>
      <c r="N365" t="n">
        <v>0</v>
      </c>
      <c r="O365" t="n">
        <v>0</v>
      </c>
      <c r="P365" t="n">
        <v>0</v>
      </c>
      <c r="Q365" t="n">
        <v>0</v>
      </c>
      <c r="R365" s="2" t="inlineStr"/>
    </row>
    <row r="366" ht="15" customHeight="1">
      <c r="A366" t="inlineStr">
        <is>
          <t>A 58780-2024</t>
        </is>
      </c>
      <c r="B366" s="1" t="n">
        <v>45635.84113425926</v>
      </c>
      <c r="C366" s="1" t="n">
        <v>46072</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12322-2025</t>
        </is>
      </c>
      <c r="B367" s="1" t="n">
        <v>45730</v>
      </c>
      <c r="C367" s="1" t="n">
        <v>46072</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35096-2025</t>
        </is>
      </c>
      <c r="B368" s="1" t="n">
        <v>45852.54356481481</v>
      </c>
      <c r="C368" s="1" t="n">
        <v>46072</v>
      </c>
      <c r="D368" t="inlineStr">
        <is>
          <t>GOTLANDS LÄN</t>
        </is>
      </c>
      <c r="E368" t="inlineStr">
        <is>
          <t>GOTLAND</t>
        </is>
      </c>
      <c r="F368" t="inlineStr">
        <is>
          <t>Kyrkan</t>
        </is>
      </c>
      <c r="G368" t="n">
        <v>1</v>
      </c>
      <c r="H368" t="n">
        <v>0</v>
      </c>
      <c r="I368" t="n">
        <v>0</v>
      </c>
      <c r="J368" t="n">
        <v>0</v>
      </c>
      <c r="K368" t="n">
        <v>0</v>
      </c>
      <c r="L368" t="n">
        <v>0</v>
      </c>
      <c r="M368" t="n">
        <v>0</v>
      </c>
      <c r="N368" t="n">
        <v>0</v>
      </c>
      <c r="O368" t="n">
        <v>0</v>
      </c>
      <c r="P368" t="n">
        <v>0</v>
      </c>
      <c r="Q368" t="n">
        <v>0</v>
      </c>
      <c r="R368" s="2" t="inlineStr"/>
    </row>
    <row r="369" ht="15" customHeight="1">
      <c r="A369" t="inlineStr">
        <is>
          <t>A 35123-2025</t>
        </is>
      </c>
      <c r="B369" s="1" t="n">
        <v>45852.614375</v>
      </c>
      <c r="C369" s="1" t="n">
        <v>46072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24192-2023</t>
        </is>
      </c>
      <c r="B370" s="1" t="n">
        <v>45079</v>
      </c>
      <c r="C370" s="1" t="n">
        <v>46072</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30282-2022</t>
        </is>
      </c>
      <c r="B371" s="1" t="n">
        <v>44760</v>
      </c>
      <c r="C371" s="1" t="n">
        <v>46072</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50928-2025</t>
        </is>
      </c>
      <c r="B372" s="1" t="n">
        <v>45946.67896990741</v>
      </c>
      <c r="C372" s="1" t="n">
        <v>46072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35290-2025</t>
        </is>
      </c>
      <c r="B373" s="1" t="n">
        <v>45854.38502314815</v>
      </c>
      <c r="C373" s="1" t="n">
        <v>46072</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51262-2025</t>
        </is>
      </c>
      <c r="B374" s="1" t="n">
        <v>45949.49872685185</v>
      </c>
      <c r="C374" s="1" t="n">
        <v>46072</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7835-2024</t>
        </is>
      </c>
      <c r="B375" s="1" t="n">
        <v>45349.83138888889</v>
      </c>
      <c r="C375" s="1" t="n">
        <v>46072</v>
      </c>
      <c r="D375" t="inlineStr">
        <is>
          <t>GOTLANDS LÄN</t>
        </is>
      </c>
      <c r="E375" t="inlineStr">
        <is>
          <t>GOTLAND</t>
        </is>
      </c>
      <c r="G375" t="n">
        <v>3.8</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46072</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10650-2022</t>
        </is>
      </c>
      <c r="B377" s="1" t="n">
        <v>44624.57945601852</v>
      </c>
      <c r="C377" s="1" t="n">
        <v>46072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46072</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26810-2021</t>
        </is>
      </c>
      <c r="B379" s="1" t="n">
        <v>44349.55087962963</v>
      </c>
      <c r="C379" s="1" t="n">
        <v>46072</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35537-2025</t>
        </is>
      </c>
      <c r="B380" s="1" t="n">
        <v>45856</v>
      </c>
      <c r="C380" s="1" t="n">
        <v>46072</v>
      </c>
      <c r="D380" t="inlineStr">
        <is>
          <t>GOTLANDS LÄN</t>
        </is>
      </c>
      <c r="E380" t="inlineStr">
        <is>
          <t>GOTLAND</t>
        </is>
      </c>
      <c r="G380" t="n">
        <v>16.8</v>
      </c>
      <c r="H380" t="n">
        <v>0</v>
      </c>
      <c r="I380" t="n">
        <v>0</v>
      </c>
      <c r="J380" t="n">
        <v>0</v>
      </c>
      <c r="K380" t="n">
        <v>0</v>
      </c>
      <c r="L380" t="n">
        <v>0</v>
      </c>
      <c r="M380" t="n">
        <v>0</v>
      </c>
      <c r="N380" t="n">
        <v>0</v>
      </c>
      <c r="O380" t="n">
        <v>0</v>
      </c>
      <c r="P380" t="n">
        <v>0</v>
      </c>
      <c r="Q380" t="n">
        <v>0</v>
      </c>
      <c r="R380" s="2" t="inlineStr"/>
    </row>
    <row r="381" ht="15" customHeight="1">
      <c r="A381" t="inlineStr">
        <is>
          <t>A 28425-2023</t>
        </is>
      </c>
      <c r="B381" s="1" t="n">
        <v>45102</v>
      </c>
      <c r="C381" s="1" t="n">
        <v>46072</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52249-2025</t>
        </is>
      </c>
      <c r="B382" s="1" t="n">
        <v>45953.48637731482</v>
      </c>
      <c r="C382" s="1" t="n">
        <v>46072</v>
      </c>
      <c r="D382" t="inlineStr">
        <is>
          <t>GOTLANDS LÄN</t>
        </is>
      </c>
      <c r="E382" t="inlineStr">
        <is>
          <t>GOTLAND</t>
        </is>
      </c>
      <c r="F382" t="inlineStr">
        <is>
          <t>Övriga Aktiebolag</t>
        </is>
      </c>
      <c r="G382" t="n">
        <v>1</v>
      </c>
      <c r="H382" t="n">
        <v>0</v>
      </c>
      <c r="I382" t="n">
        <v>0</v>
      </c>
      <c r="J382" t="n">
        <v>0</v>
      </c>
      <c r="K382" t="n">
        <v>0</v>
      </c>
      <c r="L382" t="n">
        <v>0</v>
      </c>
      <c r="M382" t="n">
        <v>0</v>
      </c>
      <c r="N382" t="n">
        <v>0</v>
      </c>
      <c r="O382" t="n">
        <v>0</v>
      </c>
      <c r="P382" t="n">
        <v>0</v>
      </c>
      <c r="Q382" t="n">
        <v>0</v>
      </c>
      <c r="R382" s="2" t="inlineStr"/>
    </row>
    <row r="383" ht="15" customHeight="1">
      <c r="A383" t="inlineStr">
        <is>
          <t>A 13037-2025</t>
        </is>
      </c>
      <c r="B383" s="1" t="n">
        <v>45734</v>
      </c>
      <c r="C383" s="1" t="n">
        <v>46072</v>
      </c>
      <c r="D383" t="inlineStr">
        <is>
          <t>GOTLANDS LÄN</t>
        </is>
      </c>
      <c r="E383" t="inlineStr">
        <is>
          <t>GOTLAND</t>
        </is>
      </c>
      <c r="G383" t="n">
        <v>9.5</v>
      </c>
      <c r="H383" t="n">
        <v>0</v>
      </c>
      <c r="I383" t="n">
        <v>0</v>
      </c>
      <c r="J383" t="n">
        <v>0</v>
      </c>
      <c r="K383" t="n">
        <v>0</v>
      </c>
      <c r="L383" t="n">
        <v>0</v>
      </c>
      <c r="M383" t="n">
        <v>0</v>
      </c>
      <c r="N383" t="n">
        <v>0</v>
      </c>
      <c r="O383" t="n">
        <v>0</v>
      </c>
      <c r="P383" t="n">
        <v>0</v>
      </c>
      <c r="Q383" t="n">
        <v>0</v>
      </c>
      <c r="R383" s="2" t="inlineStr"/>
    </row>
    <row r="384" ht="15" customHeight="1">
      <c r="A384" t="inlineStr">
        <is>
          <t>A 52637-2025</t>
        </is>
      </c>
      <c r="B384" s="1" t="n">
        <v>45954.75099537037</v>
      </c>
      <c r="C384" s="1" t="n">
        <v>46072</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30488-2025</t>
        </is>
      </c>
      <c r="B385" s="1" t="n">
        <v>45830</v>
      </c>
      <c r="C385" s="1" t="n">
        <v>46072</v>
      </c>
      <c r="D385" t="inlineStr">
        <is>
          <t>GOTLANDS LÄN</t>
        </is>
      </c>
      <c r="E385" t="inlineStr">
        <is>
          <t>GOTLAND</t>
        </is>
      </c>
      <c r="F385" t="inlineStr">
        <is>
          <t>Kyrkan</t>
        </is>
      </c>
      <c r="G385" t="n">
        <v>3.9</v>
      </c>
      <c r="H385" t="n">
        <v>0</v>
      </c>
      <c r="I385" t="n">
        <v>0</v>
      </c>
      <c r="J385" t="n">
        <v>0</v>
      </c>
      <c r="K385" t="n">
        <v>0</v>
      </c>
      <c r="L385" t="n">
        <v>0</v>
      </c>
      <c r="M385" t="n">
        <v>0</v>
      </c>
      <c r="N385" t="n">
        <v>0</v>
      </c>
      <c r="O385" t="n">
        <v>0</v>
      </c>
      <c r="P385" t="n">
        <v>0</v>
      </c>
      <c r="Q385" t="n">
        <v>0</v>
      </c>
      <c r="R385" s="2" t="inlineStr"/>
    </row>
    <row r="386" ht="15" customHeight="1">
      <c r="A386" t="inlineStr">
        <is>
          <t>A 15216-2025</t>
        </is>
      </c>
      <c r="B386" s="1" t="n">
        <v>45744</v>
      </c>
      <c r="C386" s="1" t="n">
        <v>46072</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15001-2025</t>
        </is>
      </c>
      <c r="B387" s="1" t="n">
        <v>45743</v>
      </c>
      <c r="C387" s="1" t="n">
        <v>46072</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43790-2024</t>
        </is>
      </c>
      <c r="B388" s="1" t="n">
        <v>45571</v>
      </c>
      <c r="C388" s="1" t="n">
        <v>46072</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17847-2025</t>
        </is>
      </c>
      <c r="B389" s="1" t="n">
        <v>45758</v>
      </c>
      <c r="C389" s="1" t="n">
        <v>46072</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18742-2025</t>
        </is>
      </c>
      <c r="B390" s="1" t="n">
        <v>45763</v>
      </c>
      <c r="C390" s="1" t="n">
        <v>46072</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35129-2025</t>
        </is>
      </c>
      <c r="B391" s="1" t="n">
        <v>45852.63224537037</v>
      </c>
      <c r="C391" s="1" t="n">
        <v>46072</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46072</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53577-2025</t>
        </is>
      </c>
      <c r="B393" s="1" t="n">
        <v>45960.42224537037</v>
      </c>
      <c r="C393" s="1" t="n">
        <v>46072</v>
      </c>
      <c r="D393" t="inlineStr">
        <is>
          <t>GOTLANDS LÄN</t>
        </is>
      </c>
      <c r="E393" t="inlineStr">
        <is>
          <t>GOTLAND</t>
        </is>
      </c>
      <c r="F393" t="inlineStr">
        <is>
          <t>Övriga Aktiebolag</t>
        </is>
      </c>
      <c r="G393" t="n">
        <v>3.3</v>
      </c>
      <c r="H393" t="n">
        <v>0</v>
      </c>
      <c r="I393" t="n">
        <v>0</v>
      </c>
      <c r="J393" t="n">
        <v>0</v>
      </c>
      <c r="K393" t="n">
        <v>0</v>
      </c>
      <c r="L393" t="n">
        <v>0</v>
      </c>
      <c r="M393" t="n">
        <v>0</v>
      </c>
      <c r="N393" t="n">
        <v>0</v>
      </c>
      <c r="O393" t="n">
        <v>0</v>
      </c>
      <c r="P393" t="n">
        <v>0</v>
      </c>
      <c r="Q393" t="n">
        <v>0</v>
      </c>
      <c r="R393" s="2" t="inlineStr"/>
    </row>
    <row r="394" ht="15" customHeight="1">
      <c r="A394" t="inlineStr">
        <is>
          <t>A 53569-2025</t>
        </is>
      </c>
      <c r="B394" s="1" t="n">
        <v>45960.41155092593</v>
      </c>
      <c r="C394" s="1" t="n">
        <v>46072</v>
      </c>
      <c r="D394" t="inlineStr">
        <is>
          <t>GOTLANDS LÄN</t>
        </is>
      </c>
      <c r="E394" t="inlineStr">
        <is>
          <t>GOTLAND</t>
        </is>
      </c>
      <c r="F394" t="inlineStr">
        <is>
          <t>Övriga Aktiebolag</t>
        </is>
      </c>
      <c r="G394" t="n">
        <v>11.3</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46072</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59197-2025</t>
        </is>
      </c>
      <c r="B396" s="1" t="n">
        <v>45988.59846064815</v>
      </c>
      <c r="C396" s="1" t="n">
        <v>46072</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1355-2026</t>
        </is>
      </c>
      <c r="B397" s="1" t="n">
        <v>46031.59909722222</v>
      </c>
      <c r="C397" s="1" t="n">
        <v>46072</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41038-2023</t>
        </is>
      </c>
      <c r="B398" s="1" t="n">
        <v>45173.60959490741</v>
      </c>
      <c r="C398" s="1" t="n">
        <v>46072</v>
      </c>
      <c r="D398" t="inlineStr">
        <is>
          <t>GOTLANDS LÄN</t>
        </is>
      </c>
      <c r="E398" t="inlineStr">
        <is>
          <t>GOTLAND</t>
        </is>
      </c>
      <c r="G398" t="n">
        <v>2.7</v>
      </c>
      <c r="H398" t="n">
        <v>0</v>
      </c>
      <c r="I398" t="n">
        <v>0</v>
      </c>
      <c r="J398" t="n">
        <v>0</v>
      </c>
      <c r="K398" t="n">
        <v>0</v>
      </c>
      <c r="L398" t="n">
        <v>0</v>
      </c>
      <c r="M398" t="n">
        <v>0</v>
      </c>
      <c r="N398" t="n">
        <v>0</v>
      </c>
      <c r="O398" t="n">
        <v>0</v>
      </c>
      <c r="P398" t="n">
        <v>0</v>
      </c>
      <c r="Q398" t="n">
        <v>0</v>
      </c>
      <c r="R398" s="2" t="inlineStr"/>
    </row>
    <row r="399" ht="15" customHeight="1">
      <c r="A399" t="inlineStr">
        <is>
          <t>A 30489-2025</t>
        </is>
      </c>
      <c r="B399" s="1" t="n">
        <v>45830</v>
      </c>
      <c r="C399" s="1" t="n">
        <v>46072</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21142-2025</t>
        </is>
      </c>
      <c r="B400" s="1" t="n">
        <v>45779</v>
      </c>
      <c r="C400" s="1" t="n">
        <v>46072</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6108-2025</t>
        </is>
      </c>
      <c r="B401" s="1" t="n">
        <v>45698.29880787037</v>
      </c>
      <c r="C401" s="1" t="n">
        <v>46072</v>
      </c>
      <c r="D401" t="inlineStr">
        <is>
          <t>GOTLANDS LÄN</t>
        </is>
      </c>
      <c r="E401" t="inlineStr">
        <is>
          <t>GOTLAND</t>
        </is>
      </c>
      <c r="G401" t="n">
        <v>2.8</v>
      </c>
      <c r="H401" t="n">
        <v>0</v>
      </c>
      <c r="I401" t="n">
        <v>0</v>
      </c>
      <c r="J401" t="n">
        <v>0</v>
      </c>
      <c r="K401" t="n">
        <v>0</v>
      </c>
      <c r="L401" t="n">
        <v>0</v>
      </c>
      <c r="M401" t="n">
        <v>0</v>
      </c>
      <c r="N401" t="n">
        <v>0</v>
      </c>
      <c r="O401" t="n">
        <v>0</v>
      </c>
      <c r="P401" t="n">
        <v>0</v>
      </c>
      <c r="Q401" t="n">
        <v>0</v>
      </c>
      <c r="R401" s="2" t="inlineStr"/>
    </row>
    <row r="402" ht="15" customHeight="1">
      <c r="A402" t="inlineStr">
        <is>
          <t>A 17343-2025</t>
        </is>
      </c>
      <c r="B402" s="1" t="n">
        <v>45756.6687037037</v>
      </c>
      <c r="C402" s="1" t="n">
        <v>46072</v>
      </c>
      <c r="D402" t="inlineStr">
        <is>
          <t>GOTLANDS LÄN</t>
        </is>
      </c>
      <c r="E402" t="inlineStr">
        <is>
          <t>GOTLAND</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46072</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20307-2025</t>
        </is>
      </c>
      <c r="B404" s="1" t="n">
        <v>45774.95546296296</v>
      </c>
      <c r="C404" s="1" t="n">
        <v>46072</v>
      </c>
      <c r="D404" t="inlineStr">
        <is>
          <t>GOTLANDS LÄN</t>
        </is>
      </c>
      <c r="E404" t="inlineStr">
        <is>
          <t>GOTLAND</t>
        </is>
      </c>
      <c r="G404" t="n">
        <v>6.8</v>
      </c>
      <c r="H404" t="n">
        <v>0</v>
      </c>
      <c r="I404" t="n">
        <v>0</v>
      </c>
      <c r="J404" t="n">
        <v>0</v>
      </c>
      <c r="K404" t="n">
        <v>0</v>
      </c>
      <c r="L404" t="n">
        <v>0</v>
      </c>
      <c r="M404" t="n">
        <v>0</v>
      </c>
      <c r="N404" t="n">
        <v>0</v>
      </c>
      <c r="O404" t="n">
        <v>0</v>
      </c>
      <c r="P404" t="n">
        <v>0</v>
      </c>
      <c r="Q404" t="n">
        <v>0</v>
      </c>
      <c r="R404" s="2" t="inlineStr"/>
    </row>
    <row r="405" ht="15" customHeight="1">
      <c r="A405" t="inlineStr">
        <is>
          <t>A 36319-2025</t>
        </is>
      </c>
      <c r="B405" s="1" t="n">
        <v>45868</v>
      </c>
      <c r="C405" s="1" t="n">
        <v>46072</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24966-2023</t>
        </is>
      </c>
      <c r="B406" s="1" t="n">
        <v>45085</v>
      </c>
      <c r="C406" s="1" t="n">
        <v>46072</v>
      </c>
      <c r="D406" t="inlineStr">
        <is>
          <t>GOTLANDS LÄN</t>
        </is>
      </c>
      <c r="E406" t="inlineStr">
        <is>
          <t>GOTLAND</t>
        </is>
      </c>
      <c r="G406" t="n">
        <v>7</v>
      </c>
      <c r="H406" t="n">
        <v>0</v>
      </c>
      <c r="I406" t="n">
        <v>0</v>
      </c>
      <c r="J406" t="n">
        <v>0</v>
      </c>
      <c r="K406" t="n">
        <v>0</v>
      </c>
      <c r="L406" t="n">
        <v>0</v>
      </c>
      <c r="M406" t="n">
        <v>0</v>
      </c>
      <c r="N406" t="n">
        <v>0</v>
      </c>
      <c r="O406" t="n">
        <v>0</v>
      </c>
      <c r="P406" t="n">
        <v>0</v>
      </c>
      <c r="Q406" t="n">
        <v>0</v>
      </c>
      <c r="R406" s="2" t="inlineStr"/>
    </row>
    <row r="407" ht="15" customHeight="1">
      <c r="A407" t="inlineStr">
        <is>
          <t>A 57652-2023</t>
        </is>
      </c>
      <c r="B407" s="1" t="n">
        <v>45246</v>
      </c>
      <c r="C407" s="1" t="n">
        <v>46072</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46072</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18993-2025</t>
        </is>
      </c>
      <c r="B409" s="1" t="n">
        <v>45764</v>
      </c>
      <c r="C409" s="1" t="n">
        <v>46072</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30135-2025</t>
        </is>
      </c>
      <c r="B410" s="1" t="n">
        <v>45826</v>
      </c>
      <c r="C410" s="1" t="n">
        <v>46072</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57522-2022</t>
        </is>
      </c>
      <c r="B411" s="1" t="n">
        <v>44896</v>
      </c>
      <c r="C411" s="1" t="n">
        <v>46072</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14797-2024</t>
        </is>
      </c>
      <c r="B412" s="1" t="n">
        <v>45397.87030092593</v>
      </c>
      <c r="C412" s="1" t="n">
        <v>46072</v>
      </c>
      <c r="D412" t="inlineStr">
        <is>
          <t>GOTLANDS LÄN</t>
        </is>
      </c>
      <c r="E412" t="inlineStr">
        <is>
          <t>GOTLAND</t>
        </is>
      </c>
      <c r="G412" t="n">
        <v>8.1</v>
      </c>
      <c r="H412" t="n">
        <v>0</v>
      </c>
      <c r="I412" t="n">
        <v>0</v>
      </c>
      <c r="J412" t="n">
        <v>0</v>
      </c>
      <c r="K412" t="n">
        <v>0</v>
      </c>
      <c r="L412" t="n">
        <v>0</v>
      </c>
      <c r="M412" t="n">
        <v>0</v>
      </c>
      <c r="N412" t="n">
        <v>0</v>
      </c>
      <c r="O412" t="n">
        <v>0</v>
      </c>
      <c r="P412" t="n">
        <v>0</v>
      </c>
      <c r="Q412" t="n">
        <v>0</v>
      </c>
      <c r="R412" s="2" t="inlineStr"/>
    </row>
    <row r="413" ht="15" customHeight="1">
      <c r="A413" t="inlineStr">
        <is>
          <t>A 1839-2026</t>
        </is>
      </c>
      <c r="B413" s="1" t="n">
        <v>46035.3942824074</v>
      </c>
      <c r="C413" s="1" t="n">
        <v>46072</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1898-2026</t>
        </is>
      </c>
      <c r="B414" s="1" t="n">
        <v>46035.52024305556</v>
      </c>
      <c r="C414" s="1" t="n">
        <v>46072</v>
      </c>
      <c r="D414" t="inlineStr">
        <is>
          <t>GOTLANDS LÄN</t>
        </is>
      </c>
      <c r="E414" t="inlineStr">
        <is>
          <t>GOTLAND</t>
        </is>
      </c>
      <c r="G414" t="n">
        <v>3.7</v>
      </c>
      <c r="H414" t="n">
        <v>0</v>
      </c>
      <c r="I414" t="n">
        <v>0</v>
      </c>
      <c r="J414" t="n">
        <v>0</v>
      </c>
      <c r="K414" t="n">
        <v>0</v>
      </c>
      <c r="L414" t="n">
        <v>0</v>
      </c>
      <c r="M414" t="n">
        <v>0</v>
      </c>
      <c r="N414" t="n">
        <v>0</v>
      </c>
      <c r="O414" t="n">
        <v>0</v>
      </c>
      <c r="P414" t="n">
        <v>0</v>
      </c>
      <c r="Q414" t="n">
        <v>0</v>
      </c>
      <c r="R414" s="2" t="inlineStr"/>
    </row>
    <row r="415" ht="15" customHeight="1">
      <c r="A415" t="inlineStr">
        <is>
          <t>A 1854-2026</t>
        </is>
      </c>
      <c r="B415" s="1" t="n">
        <v>46035.4171875</v>
      </c>
      <c r="C415" s="1" t="n">
        <v>46072</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7837-2024</t>
        </is>
      </c>
      <c r="B416" s="1" t="n">
        <v>45349.83787037037</v>
      </c>
      <c r="C416" s="1" t="n">
        <v>46072</v>
      </c>
      <c r="D416" t="inlineStr">
        <is>
          <t>GOTLANDS LÄN</t>
        </is>
      </c>
      <c r="E416" t="inlineStr">
        <is>
          <t>GOTLAND</t>
        </is>
      </c>
      <c r="G416" t="n">
        <v>5</v>
      </c>
      <c r="H416" t="n">
        <v>0</v>
      </c>
      <c r="I416" t="n">
        <v>0</v>
      </c>
      <c r="J416" t="n">
        <v>0</v>
      </c>
      <c r="K416" t="n">
        <v>0</v>
      </c>
      <c r="L416" t="n">
        <v>0</v>
      </c>
      <c r="M416" t="n">
        <v>0</v>
      </c>
      <c r="N416" t="n">
        <v>0</v>
      </c>
      <c r="O416" t="n">
        <v>0</v>
      </c>
      <c r="P416" t="n">
        <v>0</v>
      </c>
      <c r="Q416" t="n">
        <v>0</v>
      </c>
      <c r="R416" s="2" t="inlineStr"/>
    </row>
    <row r="417" ht="15" customHeight="1">
      <c r="A417" t="inlineStr">
        <is>
          <t>A 2415-2026</t>
        </is>
      </c>
      <c r="B417" s="1" t="n">
        <v>46036.76203703704</v>
      </c>
      <c r="C417" s="1" t="n">
        <v>46072</v>
      </c>
      <c r="D417" t="inlineStr">
        <is>
          <t>GOTLANDS LÄN</t>
        </is>
      </c>
      <c r="E417" t="inlineStr">
        <is>
          <t>GOTLAND</t>
        </is>
      </c>
      <c r="G417" t="n">
        <v>6.9</v>
      </c>
      <c r="H417" t="n">
        <v>0</v>
      </c>
      <c r="I417" t="n">
        <v>0</v>
      </c>
      <c r="J417" t="n">
        <v>0</v>
      </c>
      <c r="K417" t="n">
        <v>0</v>
      </c>
      <c r="L417" t="n">
        <v>0</v>
      </c>
      <c r="M417" t="n">
        <v>0</v>
      </c>
      <c r="N417" t="n">
        <v>0</v>
      </c>
      <c r="O417" t="n">
        <v>0</v>
      </c>
      <c r="P417" t="n">
        <v>0</v>
      </c>
      <c r="Q417" t="n">
        <v>0</v>
      </c>
      <c r="R417" s="2" t="inlineStr"/>
    </row>
    <row r="418" ht="15" customHeight="1">
      <c r="A418" t="inlineStr">
        <is>
          <t>A 2134-2026</t>
        </is>
      </c>
      <c r="B418" s="1" t="n">
        <v>46036</v>
      </c>
      <c r="C418" s="1" t="n">
        <v>46072</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1394-2023</t>
        </is>
      </c>
      <c r="B419" s="1" t="n">
        <v>44936.72997685185</v>
      </c>
      <c r="C419" s="1" t="n">
        <v>46072</v>
      </c>
      <c r="D419" t="inlineStr">
        <is>
          <t>GOTLANDS LÄN</t>
        </is>
      </c>
      <c r="E419" t="inlineStr">
        <is>
          <t>GOTLAND</t>
        </is>
      </c>
      <c r="G419" t="n">
        <v>2.1</v>
      </c>
      <c r="H419" t="n">
        <v>0</v>
      </c>
      <c r="I419" t="n">
        <v>0</v>
      </c>
      <c r="J419" t="n">
        <v>0</v>
      </c>
      <c r="K419" t="n">
        <v>0</v>
      </c>
      <c r="L419" t="n">
        <v>0</v>
      </c>
      <c r="M419" t="n">
        <v>0</v>
      </c>
      <c r="N419" t="n">
        <v>0</v>
      </c>
      <c r="O419" t="n">
        <v>0</v>
      </c>
      <c r="P419" t="n">
        <v>0</v>
      </c>
      <c r="Q419" t="n">
        <v>0</v>
      </c>
      <c r="R419" s="2" t="inlineStr"/>
    </row>
    <row r="420" ht="15" customHeight="1">
      <c r="A420" t="inlineStr">
        <is>
          <t>A 2676-2023</t>
        </is>
      </c>
      <c r="B420" s="1" t="n">
        <v>44944</v>
      </c>
      <c r="C420" s="1" t="n">
        <v>46072</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4387-2023</t>
        </is>
      </c>
      <c r="B421" s="1" t="n">
        <v>44955.73359953704</v>
      </c>
      <c r="C421" s="1" t="n">
        <v>46072</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2135-2026</t>
        </is>
      </c>
      <c r="B422" s="1" t="n">
        <v>46036</v>
      </c>
      <c r="C422" s="1" t="n">
        <v>46072</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49411-2023</t>
        </is>
      </c>
      <c r="B423" s="1" t="n">
        <v>45205</v>
      </c>
      <c r="C423" s="1" t="n">
        <v>46072</v>
      </c>
      <c r="D423" t="inlineStr">
        <is>
          <t>GOTLANDS LÄN</t>
        </is>
      </c>
      <c r="E423" t="inlineStr">
        <is>
          <t>GOTLAND</t>
        </is>
      </c>
      <c r="G423" t="n">
        <v>2</v>
      </c>
      <c r="H423" t="n">
        <v>0</v>
      </c>
      <c r="I423" t="n">
        <v>0</v>
      </c>
      <c r="J423" t="n">
        <v>0</v>
      </c>
      <c r="K423" t="n">
        <v>0</v>
      </c>
      <c r="L423" t="n">
        <v>0</v>
      </c>
      <c r="M423" t="n">
        <v>0</v>
      </c>
      <c r="N423" t="n">
        <v>0</v>
      </c>
      <c r="O423" t="n">
        <v>0</v>
      </c>
      <c r="P423" t="n">
        <v>0</v>
      </c>
      <c r="Q423" t="n">
        <v>0</v>
      </c>
      <c r="R423" s="2" t="inlineStr"/>
    </row>
    <row r="424" ht="15" customHeight="1">
      <c r="A424" t="inlineStr">
        <is>
          <t>A 37728-2024</t>
        </is>
      </c>
      <c r="B424" s="1" t="n">
        <v>45541</v>
      </c>
      <c r="C424" s="1" t="n">
        <v>46072</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2241-2025</t>
        </is>
      </c>
      <c r="B425" s="1" t="n">
        <v>45673.48710648148</v>
      </c>
      <c r="C425" s="1" t="n">
        <v>46072</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12599-2025</t>
        </is>
      </c>
      <c r="B426" s="1" t="n">
        <v>45733.29546296296</v>
      </c>
      <c r="C426" s="1" t="n">
        <v>46072</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22275-2023</t>
        </is>
      </c>
      <c r="B427" s="1" t="n">
        <v>45070.39875</v>
      </c>
      <c r="C427" s="1" t="n">
        <v>46072</v>
      </c>
      <c r="D427" t="inlineStr">
        <is>
          <t>GOTLANDS LÄN</t>
        </is>
      </c>
      <c r="E427" t="inlineStr">
        <is>
          <t>GOTLAND</t>
        </is>
      </c>
      <c r="G427" t="n">
        <v>7.2</v>
      </c>
      <c r="H427" t="n">
        <v>0</v>
      </c>
      <c r="I427" t="n">
        <v>0</v>
      </c>
      <c r="J427" t="n">
        <v>0</v>
      </c>
      <c r="K427" t="n">
        <v>0</v>
      </c>
      <c r="L427" t="n">
        <v>0</v>
      </c>
      <c r="M427" t="n">
        <v>0</v>
      </c>
      <c r="N427" t="n">
        <v>0</v>
      </c>
      <c r="O427" t="n">
        <v>0</v>
      </c>
      <c r="P427" t="n">
        <v>0</v>
      </c>
      <c r="Q427" t="n">
        <v>0</v>
      </c>
      <c r="R427" s="2" t="inlineStr"/>
    </row>
    <row r="428" ht="15" customHeight="1">
      <c r="A428" t="inlineStr">
        <is>
          <t>A 14635-2023</t>
        </is>
      </c>
      <c r="B428" s="1" t="n">
        <v>45013.69365740741</v>
      </c>
      <c r="C428" s="1" t="n">
        <v>46072</v>
      </c>
      <c r="D428" t="inlineStr">
        <is>
          <t>GOTLANDS LÄN</t>
        </is>
      </c>
      <c r="E428" t="inlineStr">
        <is>
          <t>GOTLAND</t>
        </is>
      </c>
      <c r="G428" t="n">
        <v>3.1</v>
      </c>
      <c r="H428" t="n">
        <v>0</v>
      </c>
      <c r="I428" t="n">
        <v>0</v>
      </c>
      <c r="J428" t="n">
        <v>0</v>
      </c>
      <c r="K428" t="n">
        <v>0</v>
      </c>
      <c r="L428" t="n">
        <v>0</v>
      </c>
      <c r="M428" t="n">
        <v>0</v>
      </c>
      <c r="N428" t="n">
        <v>0</v>
      </c>
      <c r="O428" t="n">
        <v>0</v>
      </c>
      <c r="P428" t="n">
        <v>0</v>
      </c>
      <c r="Q428" t="n">
        <v>0</v>
      </c>
      <c r="R428" s="2" t="inlineStr"/>
    </row>
    <row r="429" ht="15" customHeight="1">
      <c r="A429" t="inlineStr">
        <is>
          <t>A 63763-2023</t>
        </is>
      </c>
      <c r="B429" s="1" t="n">
        <v>45278.33944444444</v>
      </c>
      <c r="C429" s="1" t="n">
        <v>46072</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46072</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46072</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46072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3067-2026</t>
        </is>
      </c>
      <c r="B433" s="1" t="n">
        <v>46040.59025462963</v>
      </c>
      <c r="C433" s="1" t="n">
        <v>46072</v>
      </c>
      <c r="D433" t="inlineStr">
        <is>
          <t>GOTLANDS LÄN</t>
        </is>
      </c>
      <c r="E433" t="inlineStr">
        <is>
          <t>GOTLAND</t>
        </is>
      </c>
      <c r="G433" t="n">
        <v>7.8</v>
      </c>
      <c r="H433" t="n">
        <v>0</v>
      </c>
      <c r="I433" t="n">
        <v>0</v>
      </c>
      <c r="J433" t="n">
        <v>0</v>
      </c>
      <c r="K433" t="n">
        <v>0</v>
      </c>
      <c r="L433" t="n">
        <v>0</v>
      </c>
      <c r="M433" t="n">
        <v>0</v>
      </c>
      <c r="N433" t="n">
        <v>0</v>
      </c>
      <c r="O433" t="n">
        <v>0</v>
      </c>
      <c r="P433" t="n">
        <v>0</v>
      </c>
      <c r="Q433" t="n">
        <v>0</v>
      </c>
      <c r="R433" s="2" t="inlineStr"/>
    </row>
    <row r="434" ht="15" customHeight="1">
      <c r="A434" t="inlineStr">
        <is>
          <t>A 61682-2024</t>
        </is>
      </c>
      <c r="B434" s="1" t="n">
        <v>45647.48824074074</v>
      </c>
      <c r="C434" s="1" t="n">
        <v>46072</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15434-2024</t>
        </is>
      </c>
      <c r="B435" s="1" t="n">
        <v>45401.38836805556</v>
      </c>
      <c r="C435" s="1" t="n">
        <v>46072</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3253-2026</t>
        </is>
      </c>
      <c r="B436" s="1" t="n">
        <v>46041.58902777778</v>
      </c>
      <c r="C436" s="1" t="n">
        <v>46072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46072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46072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2180-2025</t>
        </is>
      </c>
      <c r="B439" s="1" t="n">
        <v>45673</v>
      </c>
      <c r="C439" s="1" t="n">
        <v>46072</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54074-2022</t>
        </is>
      </c>
      <c r="B440" s="1" t="n">
        <v>44881</v>
      </c>
      <c r="C440" s="1" t="n">
        <v>46072</v>
      </c>
      <c r="D440" t="inlineStr">
        <is>
          <t>GOTLANDS LÄN</t>
        </is>
      </c>
      <c r="E440" t="inlineStr">
        <is>
          <t>GOTLAND</t>
        </is>
      </c>
      <c r="G440" t="n">
        <v>0.9</v>
      </c>
      <c r="H440" t="n">
        <v>0</v>
      </c>
      <c r="I440" t="n">
        <v>0</v>
      </c>
      <c r="J440" t="n">
        <v>0</v>
      </c>
      <c r="K440" t="n">
        <v>0</v>
      </c>
      <c r="L440" t="n">
        <v>0</v>
      </c>
      <c r="M440" t="n">
        <v>0</v>
      </c>
      <c r="N440" t="n">
        <v>0</v>
      </c>
      <c r="O440" t="n">
        <v>0</v>
      </c>
      <c r="P440" t="n">
        <v>0</v>
      </c>
      <c r="Q440" t="n">
        <v>0</v>
      </c>
      <c r="R440" s="2" t="inlineStr"/>
    </row>
    <row r="441" ht="15" customHeight="1">
      <c r="A441" t="inlineStr">
        <is>
          <t>A 61694-2023</t>
        </is>
      </c>
      <c r="B441" s="1" t="n">
        <v>45264</v>
      </c>
      <c r="C441" s="1" t="n">
        <v>46072</v>
      </c>
      <c r="D441" t="inlineStr">
        <is>
          <t>GOTLANDS LÄN</t>
        </is>
      </c>
      <c r="E441" t="inlineStr">
        <is>
          <t>GOTLAND</t>
        </is>
      </c>
      <c r="G441" t="n">
        <v>4.6</v>
      </c>
      <c r="H441" t="n">
        <v>0</v>
      </c>
      <c r="I441" t="n">
        <v>0</v>
      </c>
      <c r="J441" t="n">
        <v>0</v>
      </c>
      <c r="K441" t="n">
        <v>0</v>
      </c>
      <c r="L441" t="n">
        <v>0</v>
      </c>
      <c r="M441" t="n">
        <v>0</v>
      </c>
      <c r="N441" t="n">
        <v>0</v>
      </c>
      <c r="O441" t="n">
        <v>0</v>
      </c>
      <c r="P441" t="n">
        <v>0</v>
      </c>
      <c r="Q441" t="n">
        <v>0</v>
      </c>
      <c r="R441" s="2" t="inlineStr"/>
    </row>
    <row r="442" ht="15" customHeight="1">
      <c r="A442" t="inlineStr">
        <is>
          <t>A 64208-2021</t>
        </is>
      </c>
      <c r="B442" s="1" t="n">
        <v>44510</v>
      </c>
      <c r="C442" s="1" t="n">
        <v>46072</v>
      </c>
      <c r="D442" t="inlineStr">
        <is>
          <t>GOTLANDS LÄN</t>
        </is>
      </c>
      <c r="E442" t="inlineStr">
        <is>
          <t>GOTLAND</t>
        </is>
      </c>
      <c r="G442" t="n">
        <v>4.7</v>
      </c>
      <c r="H442" t="n">
        <v>0</v>
      </c>
      <c r="I442" t="n">
        <v>0</v>
      </c>
      <c r="J442" t="n">
        <v>0</v>
      </c>
      <c r="K442" t="n">
        <v>0</v>
      </c>
      <c r="L442" t="n">
        <v>0</v>
      </c>
      <c r="M442" t="n">
        <v>0</v>
      </c>
      <c r="N442" t="n">
        <v>0</v>
      </c>
      <c r="O442" t="n">
        <v>0</v>
      </c>
      <c r="P442" t="n">
        <v>0</v>
      </c>
      <c r="Q442" t="n">
        <v>0</v>
      </c>
      <c r="R442" s="2" t="inlineStr"/>
    </row>
    <row r="443" ht="15" customHeight="1">
      <c r="A443" t="inlineStr">
        <is>
          <t>A 54268-2022</t>
        </is>
      </c>
      <c r="B443" s="1" t="n">
        <v>44882</v>
      </c>
      <c r="C443" s="1" t="n">
        <v>46072</v>
      </c>
      <c r="D443" t="inlineStr">
        <is>
          <t>GOTLANDS LÄN</t>
        </is>
      </c>
      <c r="E443" t="inlineStr">
        <is>
          <t>GOTLAND</t>
        </is>
      </c>
      <c r="G443" t="n">
        <v>2.7</v>
      </c>
      <c r="H443" t="n">
        <v>0</v>
      </c>
      <c r="I443" t="n">
        <v>0</v>
      </c>
      <c r="J443" t="n">
        <v>0</v>
      </c>
      <c r="K443" t="n">
        <v>0</v>
      </c>
      <c r="L443" t="n">
        <v>0</v>
      </c>
      <c r="M443" t="n">
        <v>0</v>
      </c>
      <c r="N443" t="n">
        <v>0</v>
      </c>
      <c r="O443" t="n">
        <v>0</v>
      </c>
      <c r="P443" t="n">
        <v>0</v>
      </c>
      <c r="Q443" t="n">
        <v>0</v>
      </c>
      <c r="R443" s="2" t="inlineStr"/>
    </row>
    <row r="444" ht="15" customHeight="1">
      <c r="A444" t="inlineStr">
        <is>
          <t>A 1446-2025</t>
        </is>
      </c>
      <c r="B444" s="1" t="n">
        <v>45669.86035879629</v>
      </c>
      <c r="C444" s="1" t="n">
        <v>46072</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46072</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57685-2022</t>
        </is>
      </c>
      <c r="B446" s="1" t="n">
        <v>44897.4777662037</v>
      </c>
      <c r="C446" s="1" t="n">
        <v>46072</v>
      </c>
      <c r="D446" t="inlineStr">
        <is>
          <t>GOTLANDS LÄN</t>
        </is>
      </c>
      <c r="E446" t="inlineStr">
        <is>
          <t>GOTLAND</t>
        </is>
      </c>
      <c r="G446" t="n">
        <v>3.7</v>
      </c>
      <c r="H446" t="n">
        <v>0</v>
      </c>
      <c r="I446" t="n">
        <v>0</v>
      </c>
      <c r="J446" t="n">
        <v>0</v>
      </c>
      <c r="K446" t="n">
        <v>0</v>
      </c>
      <c r="L446" t="n">
        <v>0</v>
      </c>
      <c r="M446" t="n">
        <v>0</v>
      </c>
      <c r="N446" t="n">
        <v>0</v>
      </c>
      <c r="O446" t="n">
        <v>0</v>
      </c>
      <c r="P446" t="n">
        <v>0</v>
      </c>
      <c r="Q446" t="n">
        <v>0</v>
      </c>
      <c r="R446" s="2" t="inlineStr"/>
    </row>
    <row r="447" ht="15" customHeight="1">
      <c r="A447" t="inlineStr">
        <is>
          <t>A 811-2023</t>
        </is>
      </c>
      <c r="B447" s="1" t="n">
        <v>44931</v>
      </c>
      <c r="C447" s="1" t="n">
        <v>46072</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46072</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46072</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46072</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46072</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32958-2021</t>
        </is>
      </c>
      <c r="B452" s="1" t="n">
        <v>44376</v>
      </c>
      <c r="C452" s="1" t="n">
        <v>46072</v>
      </c>
      <c r="D452" t="inlineStr">
        <is>
          <t>GOTLANDS LÄN</t>
        </is>
      </c>
      <c r="E452" t="inlineStr">
        <is>
          <t>GOTLAND</t>
        </is>
      </c>
      <c r="G452" t="n">
        <v>2.2</v>
      </c>
      <c r="H452" t="n">
        <v>0</v>
      </c>
      <c r="I452" t="n">
        <v>0</v>
      </c>
      <c r="J452" t="n">
        <v>0</v>
      </c>
      <c r="K452" t="n">
        <v>0</v>
      </c>
      <c r="L452" t="n">
        <v>0</v>
      </c>
      <c r="M452" t="n">
        <v>0</v>
      </c>
      <c r="N452" t="n">
        <v>0</v>
      </c>
      <c r="O452" t="n">
        <v>0</v>
      </c>
      <c r="P452" t="n">
        <v>0</v>
      </c>
      <c r="Q452" t="n">
        <v>0</v>
      </c>
      <c r="R452" s="2" t="inlineStr"/>
    </row>
    <row r="453" ht="15" customHeight="1">
      <c r="A453" t="inlineStr">
        <is>
          <t>A 4670-2026</t>
        </is>
      </c>
      <c r="B453" s="1" t="n">
        <v>46048.41733796296</v>
      </c>
      <c r="C453" s="1" t="n">
        <v>46072</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4662-2026</t>
        </is>
      </c>
      <c r="B454" s="1" t="n">
        <v>46048.40949074074</v>
      </c>
      <c r="C454" s="1" t="n">
        <v>46072</v>
      </c>
      <c r="D454" t="inlineStr">
        <is>
          <t>GOTLANDS LÄN</t>
        </is>
      </c>
      <c r="E454" t="inlineStr">
        <is>
          <t>GOTLAND</t>
        </is>
      </c>
      <c r="G454" t="n">
        <v>7.6</v>
      </c>
      <c r="H454" t="n">
        <v>0</v>
      </c>
      <c r="I454" t="n">
        <v>0</v>
      </c>
      <c r="J454" t="n">
        <v>0</v>
      </c>
      <c r="K454" t="n">
        <v>0</v>
      </c>
      <c r="L454" t="n">
        <v>0</v>
      </c>
      <c r="M454" t="n">
        <v>0</v>
      </c>
      <c r="N454" t="n">
        <v>0</v>
      </c>
      <c r="O454" t="n">
        <v>0</v>
      </c>
      <c r="P454" t="n">
        <v>0</v>
      </c>
      <c r="Q454" t="n">
        <v>0</v>
      </c>
      <c r="R454" s="2" t="inlineStr"/>
    </row>
    <row r="455" ht="15" customHeight="1">
      <c r="A455" t="inlineStr">
        <is>
          <t>A 7858-2025</t>
        </is>
      </c>
      <c r="B455" s="1" t="n">
        <v>45706.68633101852</v>
      </c>
      <c r="C455" s="1" t="n">
        <v>46072</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46545-2024</t>
        </is>
      </c>
      <c r="B456" s="1" t="n">
        <v>45582.65831018519</v>
      </c>
      <c r="C456" s="1" t="n">
        <v>46072</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999-2023</t>
        </is>
      </c>
      <c r="B457" s="1" t="n">
        <v>44935</v>
      </c>
      <c r="C457" s="1" t="n">
        <v>46072</v>
      </c>
      <c r="D457" t="inlineStr">
        <is>
          <t>GOTLANDS LÄN</t>
        </is>
      </c>
      <c r="E457" t="inlineStr">
        <is>
          <t>GOTLAND</t>
        </is>
      </c>
      <c r="G457" t="n">
        <v>4.7</v>
      </c>
      <c r="H457" t="n">
        <v>0</v>
      </c>
      <c r="I457" t="n">
        <v>0</v>
      </c>
      <c r="J457" t="n">
        <v>0</v>
      </c>
      <c r="K457" t="n">
        <v>0</v>
      </c>
      <c r="L457" t="n">
        <v>0</v>
      </c>
      <c r="M457" t="n">
        <v>0</v>
      </c>
      <c r="N457" t="n">
        <v>0</v>
      </c>
      <c r="O457" t="n">
        <v>0</v>
      </c>
      <c r="P457" t="n">
        <v>0</v>
      </c>
      <c r="Q457" t="n">
        <v>0</v>
      </c>
      <c r="R457" s="2" t="inlineStr"/>
    </row>
    <row r="458" ht="15" customHeight="1">
      <c r="A458" t="inlineStr">
        <is>
          <t>A 1364-2025</t>
        </is>
      </c>
      <c r="B458" s="1" t="n">
        <v>45667.63929398148</v>
      </c>
      <c r="C458" s="1" t="n">
        <v>46072</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2125-2025</t>
        </is>
      </c>
      <c r="B459" s="1" t="n">
        <v>45672.64940972222</v>
      </c>
      <c r="C459" s="1" t="n">
        <v>46072</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4646-2026</t>
        </is>
      </c>
      <c r="B460" s="1" t="n">
        <v>46048.40357638889</v>
      </c>
      <c r="C460" s="1" t="n">
        <v>46072</v>
      </c>
      <c r="D460" t="inlineStr">
        <is>
          <t>GOTLANDS LÄN</t>
        </is>
      </c>
      <c r="E460" t="inlineStr">
        <is>
          <t>GOTLAND</t>
        </is>
      </c>
      <c r="G460" t="n">
        <v>2.7</v>
      </c>
      <c r="H460" t="n">
        <v>0</v>
      </c>
      <c r="I460" t="n">
        <v>0</v>
      </c>
      <c r="J460" t="n">
        <v>0</v>
      </c>
      <c r="K460" t="n">
        <v>0</v>
      </c>
      <c r="L460" t="n">
        <v>0</v>
      </c>
      <c r="M460" t="n">
        <v>0</v>
      </c>
      <c r="N460" t="n">
        <v>0</v>
      </c>
      <c r="O460" t="n">
        <v>0</v>
      </c>
      <c r="P460" t="n">
        <v>0</v>
      </c>
      <c r="Q460" t="n">
        <v>0</v>
      </c>
      <c r="R460" s="2" t="inlineStr"/>
    </row>
    <row r="461" ht="15" customHeight="1">
      <c r="A461" t="inlineStr">
        <is>
          <t>A 4639-2026</t>
        </is>
      </c>
      <c r="B461" s="1" t="n">
        <v>46048.39880787037</v>
      </c>
      <c r="C461" s="1" t="n">
        <v>46072</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14141-2024</t>
        </is>
      </c>
      <c r="B462" s="1" t="n">
        <v>45392.85193287037</v>
      </c>
      <c r="C462" s="1" t="n">
        <v>46072</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62066-2025</t>
        </is>
      </c>
      <c r="B463" s="1" t="n">
        <v>46006.34738425926</v>
      </c>
      <c r="C463" s="1" t="n">
        <v>46072</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62103-2025</t>
        </is>
      </c>
      <c r="B464" s="1" t="n">
        <v>46006</v>
      </c>
      <c r="C464" s="1" t="n">
        <v>46072</v>
      </c>
      <c r="D464" t="inlineStr">
        <is>
          <t>GOTLANDS LÄN</t>
        </is>
      </c>
      <c r="E464" t="inlineStr">
        <is>
          <t>GOTLAND</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12155-2023</t>
        </is>
      </c>
      <c r="B465" s="1" t="n">
        <v>44998.49106481481</v>
      </c>
      <c r="C465" s="1" t="n">
        <v>46072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4634-2026</t>
        </is>
      </c>
      <c r="B466" s="1" t="n">
        <v>46048.39304398148</v>
      </c>
      <c r="C466" s="1" t="n">
        <v>46072</v>
      </c>
      <c r="D466" t="inlineStr">
        <is>
          <t>GOTLANDS LÄN</t>
        </is>
      </c>
      <c r="E466" t="inlineStr">
        <is>
          <t>GOTLAND</t>
        </is>
      </c>
      <c r="G466" t="n">
        <v>7.8</v>
      </c>
      <c r="H466" t="n">
        <v>0</v>
      </c>
      <c r="I466" t="n">
        <v>0</v>
      </c>
      <c r="J466" t="n">
        <v>0</v>
      </c>
      <c r="K466" t="n">
        <v>0</v>
      </c>
      <c r="L466" t="n">
        <v>0</v>
      </c>
      <c r="M466" t="n">
        <v>0</v>
      </c>
      <c r="N466" t="n">
        <v>0</v>
      </c>
      <c r="O466" t="n">
        <v>0</v>
      </c>
      <c r="P466" t="n">
        <v>0</v>
      </c>
      <c r="Q466" t="n">
        <v>0</v>
      </c>
      <c r="R466" s="2" t="inlineStr"/>
    </row>
    <row r="467" ht="15" customHeight="1">
      <c r="A467" t="inlineStr">
        <is>
          <t>A 2774-2024</t>
        </is>
      </c>
      <c r="B467" s="1" t="n">
        <v>45314.62375</v>
      </c>
      <c r="C467" s="1" t="n">
        <v>46072</v>
      </c>
      <c r="D467" t="inlineStr">
        <is>
          <t>GOTLANDS LÄN</t>
        </is>
      </c>
      <c r="E467" t="inlineStr">
        <is>
          <t>GOTLAND</t>
        </is>
      </c>
      <c r="G467" t="n">
        <v>1</v>
      </c>
      <c r="H467" t="n">
        <v>0</v>
      </c>
      <c r="I467" t="n">
        <v>0</v>
      </c>
      <c r="J467" t="n">
        <v>0</v>
      </c>
      <c r="K467" t="n">
        <v>0</v>
      </c>
      <c r="L467" t="n">
        <v>0</v>
      </c>
      <c r="M467" t="n">
        <v>0</v>
      </c>
      <c r="N467" t="n">
        <v>0</v>
      </c>
      <c r="O467" t="n">
        <v>0</v>
      </c>
      <c r="P467" t="n">
        <v>0</v>
      </c>
      <c r="Q467" t="n">
        <v>0</v>
      </c>
      <c r="R467" s="2" t="inlineStr"/>
    </row>
    <row r="468" ht="15" customHeight="1">
      <c r="A468" t="inlineStr">
        <is>
          <t>A 9947-2024</t>
        </is>
      </c>
      <c r="B468" s="1" t="n">
        <v>45363</v>
      </c>
      <c r="C468" s="1" t="n">
        <v>46072</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42007-2023</t>
        </is>
      </c>
      <c r="B469" s="1" t="n">
        <v>45177</v>
      </c>
      <c r="C469" s="1" t="n">
        <v>46072</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63000-2025</t>
        </is>
      </c>
      <c r="B470" s="1" t="n">
        <v>46009</v>
      </c>
      <c r="C470" s="1" t="n">
        <v>46072</v>
      </c>
      <c r="D470" t="inlineStr">
        <is>
          <t>GOTLANDS LÄN</t>
        </is>
      </c>
      <c r="E470" t="inlineStr">
        <is>
          <t>GOTLAND</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62751-2025</t>
        </is>
      </c>
      <c r="B471" s="1" t="n">
        <v>46008</v>
      </c>
      <c r="C471" s="1" t="n">
        <v>46072</v>
      </c>
      <c r="D471" t="inlineStr">
        <is>
          <t>GOTLANDS LÄN</t>
        </is>
      </c>
      <c r="E471" t="inlineStr">
        <is>
          <t>GOTLAND</t>
        </is>
      </c>
      <c r="F471" t="inlineStr">
        <is>
          <t>Övriga Aktiebolag</t>
        </is>
      </c>
      <c r="G471" t="n">
        <v>7.8</v>
      </c>
      <c r="H471" t="n">
        <v>0</v>
      </c>
      <c r="I471" t="n">
        <v>0</v>
      </c>
      <c r="J471" t="n">
        <v>0</v>
      </c>
      <c r="K471" t="n">
        <v>0</v>
      </c>
      <c r="L471" t="n">
        <v>0</v>
      </c>
      <c r="M471" t="n">
        <v>0</v>
      </c>
      <c r="N471" t="n">
        <v>0</v>
      </c>
      <c r="O471" t="n">
        <v>0</v>
      </c>
      <c r="P471" t="n">
        <v>0</v>
      </c>
      <c r="Q471" t="n">
        <v>0</v>
      </c>
      <c r="R471" s="2" t="inlineStr"/>
    </row>
    <row r="472" ht="15" customHeight="1">
      <c r="A472" t="inlineStr">
        <is>
          <t>A 47147-2025</t>
        </is>
      </c>
      <c r="B472" s="1" t="n">
        <v>45929</v>
      </c>
      <c r="C472" s="1" t="n">
        <v>46072</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62754-2025</t>
        </is>
      </c>
      <c r="B473" s="1" t="n">
        <v>46008</v>
      </c>
      <c r="C473" s="1" t="n">
        <v>46072</v>
      </c>
      <c r="D473" t="inlineStr">
        <is>
          <t>GOTLANDS LÄN</t>
        </is>
      </c>
      <c r="E473" t="inlineStr">
        <is>
          <t>GOTLAND</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63002-2025</t>
        </is>
      </c>
      <c r="B474" s="1" t="n">
        <v>46009.56564814815</v>
      </c>
      <c r="C474" s="1" t="n">
        <v>46072</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6207-2026</t>
        </is>
      </c>
      <c r="B475" s="1" t="n">
        <v>46055.42083333333</v>
      </c>
      <c r="C475" s="1" t="n">
        <v>46072</v>
      </c>
      <c r="D475" t="inlineStr">
        <is>
          <t>GOTLANDS LÄN</t>
        </is>
      </c>
      <c r="E475" t="inlineStr">
        <is>
          <t>GOTLAND</t>
        </is>
      </c>
      <c r="G475" t="n">
        <v>7.6</v>
      </c>
      <c r="H475" t="n">
        <v>0</v>
      </c>
      <c r="I475" t="n">
        <v>0</v>
      </c>
      <c r="J475" t="n">
        <v>0</v>
      </c>
      <c r="K475" t="n">
        <v>0</v>
      </c>
      <c r="L475" t="n">
        <v>0</v>
      </c>
      <c r="M475" t="n">
        <v>0</v>
      </c>
      <c r="N475" t="n">
        <v>0</v>
      </c>
      <c r="O475" t="n">
        <v>0</v>
      </c>
      <c r="P475" t="n">
        <v>0</v>
      </c>
      <c r="Q475" t="n">
        <v>0</v>
      </c>
      <c r="R475" s="2" t="inlineStr"/>
    </row>
    <row r="476" ht="15" customHeight="1">
      <c r="A476" t="inlineStr">
        <is>
          <t>A 15083-2025</t>
        </is>
      </c>
      <c r="B476" s="1" t="n">
        <v>45743</v>
      </c>
      <c r="C476" s="1" t="n">
        <v>46072</v>
      </c>
      <c r="D476" t="inlineStr">
        <is>
          <t>GOTLANDS LÄN</t>
        </is>
      </c>
      <c r="E476" t="inlineStr">
        <is>
          <t>GOTLAND</t>
        </is>
      </c>
      <c r="G476" t="n">
        <v>2.3</v>
      </c>
      <c r="H476" t="n">
        <v>0</v>
      </c>
      <c r="I476" t="n">
        <v>0</v>
      </c>
      <c r="J476" t="n">
        <v>0</v>
      </c>
      <c r="K476" t="n">
        <v>0</v>
      </c>
      <c r="L476" t="n">
        <v>0</v>
      </c>
      <c r="M476" t="n">
        <v>0</v>
      </c>
      <c r="N476" t="n">
        <v>0</v>
      </c>
      <c r="O476" t="n">
        <v>0</v>
      </c>
      <c r="P476" t="n">
        <v>0</v>
      </c>
      <c r="Q476" t="n">
        <v>0</v>
      </c>
      <c r="R476" s="2" t="inlineStr"/>
    </row>
    <row r="477" ht="15" customHeight="1">
      <c r="A477" t="inlineStr">
        <is>
          <t>A 5863-2026</t>
        </is>
      </c>
      <c r="B477" s="1" t="n">
        <v>46052.36697916667</v>
      </c>
      <c r="C477" s="1" t="n">
        <v>46072</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6218-2026</t>
        </is>
      </c>
      <c r="B478" s="1" t="n">
        <v>46055.42859953704</v>
      </c>
      <c r="C478" s="1" t="n">
        <v>46072</v>
      </c>
      <c r="D478" t="inlineStr">
        <is>
          <t>GOTLANDS LÄN</t>
        </is>
      </c>
      <c r="E478" t="inlineStr">
        <is>
          <t>GOTLAND</t>
        </is>
      </c>
      <c r="G478" t="n">
        <v>4.3</v>
      </c>
      <c r="H478" t="n">
        <v>0</v>
      </c>
      <c r="I478" t="n">
        <v>0</v>
      </c>
      <c r="J478" t="n">
        <v>0</v>
      </c>
      <c r="K478" t="n">
        <v>0</v>
      </c>
      <c r="L478" t="n">
        <v>0</v>
      </c>
      <c r="M478" t="n">
        <v>0</v>
      </c>
      <c r="N478" t="n">
        <v>0</v>
      </c>
      <c r="O478" t="n">
        <v>0</v>
      </c>
      <c r="P478" t="n">
        <v>0</v>
      </c>
      <c r="Q478" t="n">
        <v>0</v>
      </c>
      <c r="R478" s="2" t="inlineStr"/>
    </row>
    <row r="479" ht="15" customHeight="1">
      <c r="A479" t="inlineStr">
        <is>
          <t>A 6960-2026</t>
        </is>
      </c>
      <c r="B479" s="1" t="n">
        <v>46057.58105324074</v>
      </c>
      <c r="C479" s="1" t="n">
        <v>46072</v>
      </c>
      <c r="D479" t="inlineStr">
        <is>
          <t>GOTLANDS LÄN</t>
        </is>
      </c>
      <c r="E479" t="inlineStr">
        <is>
          <t>GOTLAND</t>
        </is>
      </c>
      <c r="F479" t="inlineStr">
        <is>
          <t>Kyrkan</t>
        </is>
      </c>
      <c r="G479" t="n">
        <v>2.4</v>
      </c>
      <c r="H479" t="n">
        <v>0</v>
      </c>
      <c r="I479" t="n">
        <v>0</v>
      </c>
      <c r="J479" t="n">
        <v>0</v>
      </c>
      <c r="K479" t="n">
        <v>0</v>
      </c>
      <c r="L479" t="n">
        <v>0</v>
      </c>
      <c r="M479" t="n">
        <v>0</v>
      </c>
      <c r="N479" t="n">
        <v>0</v>
      </c>
      <c r="O479" t="n">
        <v>0</v>
      </c>
      <c r="P479" t="n">
        <v>0</v>
      </c>
      <c r="Q479" t="n">
        <v>0</v>
      </c>
      <c r="R479" s="2" t="inlineStr"/>
    </row>
    <row r="480" ht="15" customHeight="1">
      <c r="A480" t="inlineStr">
        <is>
          <t>A 54584-2025</t>
        </is>
      </c>
      <c r="B480" s="1" t="n">
        <v>45965.71788194445</v>
      </c>
      <c r="C480" s="1" t="n">
        <v>46072</v>
      </c>
      <c r="D480" t="inlineStr">
        <is>
          <t>GOTLANDS LÄN</t>
        </is>
      </c>
      <c r="E480" t="inlineStr">
        <is>
          <t>GOTLAND</t>
        </is>
      </c>
      <c r="G480" t="n">
        <v>3.5</v>
      </c>
      <c r="H480" t="n">
        <v>0</v>
      </c>
      <c r="I480" t="n">
        <v>0</v>
      </c>
      <c r="J480" t="n">
        <v>0</v>
      </c>
      <c r="K480" t="n">
        <v>0</v>
      </c>
      <c r="L480" t="n">
        <v>0</v>
      </c>
      <c r="M480" t="n">
        <v>0</v>
      </c>
      <c r="N480" t="n">
        <v>0</v>
      </c>
      <c r="O480" t="n">
        <v>0</v>
      </c>
      <c r="P480" t="n">
        <v>0</v>
      </c>
      <c r="Q480" t="n">
        <v>0</v>
      </c>
      <c r="R480" s="2" t="inlineStr"/>
    </row>
    <row r="481" ht="15" customHeight="1">
      <c r="A481" t="inlineStr">
        <is>
          <t>A 6959-2026</t>
        </is>
      </c>
      <c r="B481" s="1" t="n">
        <v>46057.580625</v>
      </c>
      <c r="C481" s="1" t="n">
        <v>46072</v>
      </c>
      <c r="D481" t="inlineStr">
        <is>
          <t>GOTLANDS LÄN</t>
        </is>
      </c>
      <c r="E481" t="inlineStr">
        <is>
          <t>GOTLAND</t>
        </is>
      </c>
      <c r="F481" t="inlineStr">
        <is>
          <t>Kyrkan</t>
        </is>
      </c>
      <c r="G481" t="n">
        <v>1.2</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46072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37202-2024</t>
        </is>
      </c>
      <c r="B483" s="1" t="n">
        <v>45539.67310185185</v>
      </c>
      <c r="C483" s="1" t="n">
        <v>46072</v>
      </c>
      <c r="D483" t="inlineStr">
        <is>
          <t>GOTLANDS LÄN</t>
        </is>
      </c>
      <c r="E483" t="inlineStr">
        <is>
          <t>GOTLAND</t>
        </is>
      </c>
      <c r="G483" t="n">
        <v>0.3</v>
      </c>
      <c r="H483" t="n">
        <v>0</v>
      </c>
      <c r="I483" t="n">
        <v>0</v>
      </c>
      <c r="J483" t="n">
        <v>0</v>
      </c>
      <c r="K483" t="n">
        <v>0</v>
      </c>
      <c r="L483" t="n">
        <v>0</v>
      </c>
      <c r="M483" t="n">
        <v>0</v>
      </c>
      <c r="N483" t="n">
        <v>0</v>
      </c>
      <c r="O483" t="n">
        <v>0</v>
      </c>
      <c r="P483" t="n">
        <v>0</v>
      </c>
      <c r="Q483" t="n">
        <v>0</v>
      </c>
      <c r="R483" s="2" t="inlineStr"/>
    </row>
    <row r="484" ht="15" customHeight="1">
      <c r="A484" t="inlineStr">
        <is>
          <t>A 38649-2025</t>
        </is>
      </c>
      <c r="B484" s="1" t="n">
        <v>45884</v>
      </c>
      <c r="C484" s="1" t="n">
        <v>46072</v>
      </c>
      <c r="D484" t="inlineStr">
        <is>
          <t>GOTLANDS LÄN</t>
        </is>
      </c>
      <c r="E484" t="inlineStr">
        <is>
          <t>GOTLAND</t>
        </is>
      </c>
      <c r="G484" t="n">
        <v>1.5</v>
      </c>
      <c r="H484" t="n">
        <v>0</v>
      </c>
      <c r="I484" t="n">
        <v>0</v>
      </c>
      <c r="J484" t="n">
        <v>0</v>
      </c>
      <c r="K484" t="n">
        <v>0</v>
      </c>
      <c r="L484" t="n">
        <v>0</v>
      </c>
      <c r="M484" t="n">
        <v>0</v>
      </c>
      <c r="N484" t="n">
        <v>0</v>
      </c>
      <c r="O484" t="n">
        <v>0</v>
      </c>
      <c r="P484" t="n">
        <v>0</v>
      </c>
      <c r="Q484" t="n">
        <v>0</v>
      </c>
      <c r="R484" s="2" t="inlineStr"/>
    </row>
    <row r="485" ht="15" customHeight="1">
      <c r="A485" t="inlineStr">
        <is>
          <t>A 30815-2023</t>
        </is>
      </c>
      <c r="B485" s="1" t="n">
        <v>45112</v>
      </c>
      <c r="C485" s="1" t="n">
        <v>46072</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46400-2023</t>
        </is>
      </c>
      <c r="B486" s="1" t="n">
        <v>45197.49290509259</v>
      </c>
      <c r="C486" s="1" t="n">
        <v>46072</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10492-2023</t>
        </is>
      </c>
      <c r="B487" s="1" t="n">
        <v>44987</v>
      </c>
      <c r="C487" s="1" t="n">
        <v>46072</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44919-2022</t>
        </is>
      </c>
      <c r="B488" s="1" t="n">
        <v>44841</v>
      </c>
      <c r="C488" s="1" t="n">
        <v>46072</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16501-2023</t>
        </is>
      </c>
      <c r="B489" s="1" t="n">
        <v>45029</v>
      </c>
      <c r="C489" s="1" t="n">
        <v>46072</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7625-2026</t>
        </is>
      </c>
      <c r="B490" s="1" t="n">
        <v>46062.35135416667</v>
      </c>
      <c r="C490" s="1" t="n">
        <v>46072</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7627-2026</t>
        </is>
      </c>
      <c r="B491" s="1" t="n">
        <v>46062.35465277778</v>
      </c>
      <c r="C491" s="1" t="n">
        <v>46072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27095-2022</t>
        </is>
      </c>
      <c r="B492" s="1" t="n">
        <v>44741</v>
      </c>
      <c r="C492" s="1" t="n">
        <v>46072</v>
      </c>
      <c r="D492" t="inlineStr">
        <is>
          <t>GOTLANDS LÄN</t>
        </is>
      </c>
      <c r="E492" t="inlineStr">
        <is>
          <t>GOTLAND</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458-2023</t>
        </is>
      </c>
      <c r="B493" s="1" t="n">
        <v>44929</v>
      </c>
      <c r="C493" s="1" t="n">
        <v>46072</v>
      </c>
      <c r="D493" t="inlineStr">
        <is>
          <t>GOTLANDS LÄN</t>
        </is>
      </c>
      <c r="E493" t="inlineStr">
        <is>
          <t>GOTLAND</t>
        </is>
      </c>
      <c r="G493" t="n">
        <v>3.6</v>
      </c>
      <c r="H493" t="n">
        <v>0</v>
      </c>
      <c r="I493" t="n">
        <v>0</v>
      </c>
      <c r="J493" t="n">
        <v>0</v>
      </c>
      <c r="K493" t="n">
        <v>0</v>
      </c>
      <c r="L493" t="n">
        <v>0</v>
      </c>
      <c r="M493" t="n">
        <v>0</v>
      </c>
      <c r="N493" t="n">
        <v>0</v>
      </c>
      <c r="O493" t="n">
        <v>0</v>
      </c>
      <c r="P493" t="n">
        <v>0</v>
      </c>
      <c r="Q493" t="n">
        <v>0</v>
      </c>
      <c r="R493" s="2" t="inlineStr"/>
    </row>
    <row r="494" ht="15" customHeight="1">
      <c r="A494" t="inlineStr">
        <is>
          <t>A 1291-2023</t>
        </is>
      </c>
      <c r="B494" s="1" t="n">
        <v>44936.47561342592</v>
      </c>
      <c r="C494" s="1" t="n">
        <v>46072</v>
      </c>
      <c r="D494" t="inlineStr">
        <is>
          <t>GOTLANDS LÄN</t>
        </is>
      </c>
      <c r="E494" t="inlineStr">
        <is>
          <t>GOTLAND</t>
        </is>
      </c>
      <c r="G494" t="n">
        <v>7.4</v>
      </c>
      <c r="H494" t="n">
        <v>0</v>
      </c>
      <c r="I494" t="n">
        <v>0</v>
      </c>
      <c r="J494" t="n">
        <v>0</v>
      </c>
      <c r="K494" t="n">
        <v>0</v>
      </c>
      <c r="L494" t="n">
        <v>0</v>
      </c>
      <c r="M494" t="n">
        <v>0</v>
      </c>
      <c r="N494" t="n">
        <v>0</v>
      </c>
      <c r="O494" t="n">
        <v>0</v>
      </c>
      <c r="P494" t="n">
        <v>0</v>
      </c>
      <c r="Q494" t="n">
        <v>0</v>
      </c>
      <c r="R494" s="2" t="inlineStr"/>
    </row>
    <row r="495" ht="15" customHeight="1">
      <c r="A495" t="inlineStr">
        <is>
          <t>A 61078-2025</t>
        </is>
      </c>
      <c r="B495" s="1" t="n">
        <v>46000</v>
      </c>
      <c r="C495" s="1" t="n">
        <v>46072</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32330-2024</t>
        </is>
      </c>
      <c r="B496" s="1" t="n">
        <v>45512</v>
      </c>
      <c r="C496" s="1" t="n">
        <v>46072</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46072</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14804-2021</t>
        </is>
      </c>
      <c r="B498" s="1" t="n">
        <v>44280</v>
      </c>
      <c r="C498" s="1" t="n">
        <v>46072</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2719-2023</t>
        </is>
      </c>
      <c r="B499" s="1" t="n">
        <v>44944.55361111111</v>
      </c>
      <c r="C499" s="1" t="n">
        <v>46072</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17144-2025</t>
        </is>
      </c>
      <c r="B500" s="1" t="n">
        <v>45755.9499537037</v>
      </c>
      <c r="C500" s="1" t="n">
        <v>46072</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49314-2024</t>
        </is>
      </c>
      <c r="B501" s="1" t="n">
        <v>45595.55893518519</v>
      </c>
      <c r="C501" s="1" t="n">
        <v>46072</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61080-2025</t>
        </is>
      </c>
      <c r="B502" s="1" t="n">
        <v>46000</v>
      </c>
      <c r="C502" s="1" t="n">
        <v>46072</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9875-2025</t>
        </is>
      </c>
      <c r="B503" s="1" t="n">
        <v>45716</v>
      </c>
      <c r="C503" s="1" t="n">
        <v>46072</v>
      </c>
      <c r="D503" t="inlineStr">
        <is>
          <t>GOTLANDS LÄN</t>
        </is>
      </c>
      <c r="E503" t="inlineStr">
        <is>
          <t>GOTLAND</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44755.8713425926</v>
      </c>
      <c r="C504" s="1" t="n">
        <v>46072</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36-2026</t>
        </is>
      </c>
      <c r="B505" s="1" t="n">
        <v>46024.38886574074</v>
      </c>
      <c r="C505" s="1" t="n">
        <v>46072</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16361-2024</t>
        </is>
      </c>
      <c r="B506" s="1" t="n">
        <v>45407</v>
      </c>
      <c r="C506" s="1" t="n">
        <v>46072</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46072</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1175-2025</t>
        </is>
      </c>
      <c r="B508" s="1" t="n">
        <v>45667.34449074074</v>
      </c>
      <c r="C508" s="1" t="n">
        <v>46072</v>
      </c>
      <c r="D508" t="inlineStr">
        <is>
          <t>GOTLANDS LÄN</t>
        </is>
      </c>
      <c r="E508" t="inlineStr">
        <is>
          <t>GOTLAND</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62674-2025</t>
        </is>
      </c>
      <c r="B509" s="1" t="n">
        <v>46008</v>
      </c>
      <c r="C509" s="1" t="n">
        <v>46072</v>
      </c>
      <c r="D509" t="inlineStr">
        <is>
          <t>GOTLANDS LÄN</t>
        </is>
      </c>
      <c r="E509" t="inlineStr">
        <is>
          <t>GOTLAND</t>
        </is>
      </c>
      <c r="G509" t="n">
        <v>5</v>
      </c>
      <c r="H509" t="n">
        <v>0</v>
      </c>
      <c r="I509" t="n">
        <v>0</v>
      </c>
      <c r="J509" t="n">
        <v>0</v>
      </c>
      <c r="K509" t="n">
        <v>0</v>
      </c>
      <c r="L509" t="n">
        <v>0</v>
      </c>
      <c r="M509" t="n">
        <v>0</v>
      </c>
      <c r="N509" t="n">
        <v>0</v>
      </c>
      <c r="O509" t="n">
        <v>0</v>
      </c>
      <c r="P509" t="n">
        <v>0</v>
      </c>
      <c r="Q509" t="n">
        <v>0</v>
      </c>
      <c r="R509" s="2" t="inlineStr"/>
    </row>
    <row r="510" ht="15" customHeight="1">
      <c r="A510" t="inlineStr">
        <is>
          <t>A 9543-2026</t>
        </is>
      </c>
      <c r="B510" s="1" t="n">
        <v>46071.62486111111</v>
      </c>
      <c r="C510" s="1" t="n">
        <v>46072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42201-2023</t>
        </is>
      </c>
      <c r="B511" s="1" t="n">
        <v>45179</v>
      </c>
      <c r="C511" s="1" t="n">
        <v>46072</v>
      </c>
      <c r="D511" t="inlineStr">
        <is>
          <t>GOTLANDS LÄN</t>
        </is>
      </c>
      <c r="E511" t="inlineStr">
        <is>
          <t>GOTLAND</t>
        </is>
      </c>
      <c r="G511" t="n">
        <v>11.9</v>
      </c>
      <c r="H511" t="n">
        <v>0</v>
      </c>
      <c r="I511" t="n">
        <v>0</v>
      </c>
      <c r="J511" t="n">
        <v>0</v>
      </c>
      <c r="K511" t="n">
        <v>0</v>
      </c>
      <c r="L511" t="n">
        <v>0</v>
      </c>
      <c r="M511" t="n">
        <v>0</v>
      </c>
      <c r="N511" t="n">
        <v>0</v>
      </c>
      <c r="O511" t="n">
        <v>0</v>
      </c>
      <c r="P511" t="n">
        <v>0</v>
      </c>
      <c r="Q511" t="n">
        <v>0</v>
      </c>
      <c r="R511" s="2" t="inlineStr"/>
    </row>
    <row r="512" ht="15" customHeight="1">
      <c r="A512" t="inlineStr">
        <is>
          <t>A 3150-2025</t>
        </is>
      </c>
      <c r="B512" s="1" t="n">
        <v>45679.28974537037</v>
      </c>
      <c r="C512" s="1" t="n">
        <v>46072</v>
      </c>
      <c r="D512" t="inlineStr">
        <is>
          <t>GOTLANDS LÄN</t>
        </is>
      </c>
      <c r="E512" t="inlineStr">
        <is>
          <t>GOTLAND</t>
        </is>
      </c>
      <c r="G512" t="n">
        <v>2.5</v>
      </c>
      <c r="H512" t="n">
        <v>0</v>
      </c>
      <c r="I512" t="n">
        <v>0</v>
      </c>
      <c r="J512" t="n">
        <v>0</v>
      </c>
      <c r="K512" t="n">
        <v>0</v>
      </c>
      <c r="L512" t="n">
        <v>0</v>
      </c>
      <c r="M512" t="n">
        <v>0</v>
      </c>
      <c r="N512" t="n">
        <v>0</v>
      </c>
      <c r="O512" t="n">
        <v>0</v>
      </c>
      <c r="P512" t="n">
        <v>0</v>
      </c>
      <c r="Q512" t="n">
        <v>0</v>
      </c>
      <c r="R512" s="2" t="inlineStr"/>
    </row>
    <row r="513" ht="15" customHeight="1">
      <c r="A513" t="inlineStr">
        <is>
          <t>A 9518-2026</t>
        </is>
      </c>
      <c r="B513" s="1" t="n">
        <v>46071.59653935185</v>
      </c>
      <c r="C513" s="1" t="n">
        <v>46072</v>
      </c>
      <c r="D513" t="inlineStr">
        <is>
          <t>GOTLANDS LÄN</t>
        </is>
      </c>
      <c r="E513" t="inlineStr">
        <is>
          <t>GOTLAND</t>
        </is>
      </c>
      <c r="G513" t="n">
        <v>6.2</v>
      </c>
      <c r="H513" t="n">
        <v>0</v>
      </c>
      <c r="I513" t="n">
        <v>0</v>
      </c>
      <c r="J513" t="n">
        <v>0</v>
      </c>
      <c r="K513" t="n">
        <v>0</v>
      </c>
      <c r="L513" t="n">
        <v>0</v>
      </c>
      <c r="M513" t="n">
        <v>0</v>
      </c>
      <c r="N513" t="n">
        <v>0</v>
      </c>
      <c r="O513" t="n">
        <v>0</v>
      </c>
      <c r="P513" t="n">
        <v>0</v>
      </c>
      <c r="Q513" t="n">
        <v>0</v>
      </c>
      <c r="R513" s="2" t="inlineStr"/>
    </row>
    <row r="514" ht="15" customHeight="1">
      <c r="A514" t="inlineStr">
        <is>
          <t>A 62836-2025</t>
        </is>
      </c>
      <c r="B514" s="1" t="n">
        <v>46008</v>
      </c>
      <c r="C514" s="1" t="n">
        <v>46072</v>
      </c>
      <c r="D514" t="inlineStr">
        <is>
          <t>GOTLANDS LÄN</t>
        </is>
      </c>
      <c r="E514" t="inlineStr">
        <is>
          <t>GOTLAND</t>
        </is>
      </c>
      <c r="G514" t="n">
        <v>6.5</v>
      </c>
      <c r="H514" t="n">
        <v>0</v>
      </c>
      <c r="I514" t="n">
        <v>0</v>
      </c>
      <c r="J514" t="n">
        <v>0</v>
      </c>
      <c r="K514" t="n">
        <v>0</v>
      </c>
      <c r="L514" t="n">
        <v>0</v>
      </c>
      <c r="M514" t="n">
        <v>0</v>
      </c>
      <c r="N514" t="n">
        <v>0</v>
      </c>
      <c r="O514" t="n">
        <v>0</v>
      </c>
      <c r="P514" t="n">
        <v>0</v>
      </c>
      <c r="Q514" t="n">
        <v>0</v>
      </c>
      <c r="R514" s="2" t="inlineStr"/>
    </row>
    <row r="515" ht="15" customHeight="1">
      <c r="A515" t="inlineStr">
        <is>
          <t>A 9524-2026</t>
        </is>
      </c>
      <c r="B515" s="1" t="n">
        <v>46071.60108796296</v>
      </c>
      <c r="C515" s="1" t="n">
        <v>46072</v>
      </c>
      <c r="D515" t="inlineStr">
        <is>
          <t>GOTLANDS LÄN</t>
        </is>
      </c>
      <c r="E515" t="inlineStr">
        <is>
          <t>GOTLAND</t>
        </is>
      </c>
      <c r="G515" t="n">
        <v>2.5</v>
      </c>
      <c r="H515" t="n">
        <v>0</v>
      </c>
      <c r="I515" t="n">
        <v>0</v>
      </c>
      <c r="J515" t="n">
        <v>0</v>
      </c>
      <c r="K515" t="n">
        <v>0</v>
      </c>
      <c r="L515" t="n">
        <v>0</v>
      </c>
      <c r="M515" t="n">
        <v>0</v>
      </c>
      <c r="N515" t="n">
        <v>0</v>
      </c>
      <c r="O515" t="n">
        <v>0</v>
      </c>
      <c r="P515" t="n">
        <v>0</v>
      </c>
      <c r="Q515" t="n">
        <v>0</v>
      </c>
      <c r="R515" s="2" t="inlineStr"/>
    </row>
    <row r="516" ht="15" customHeight="1">
      <c r="A516" t="inlineStr">
        <is>
          <t>A 63105-2025</t>
        </is>
      </c>
      <c r="B516" s="1" t="n">
        <v>46009</v>
      </c>
      <c r="C516" s="1" t="n">
        <v>46072</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63152-2025</t>
        </is>
      </c>
      <c r="B517" s="1" t="n">
        <v>46010</v>
      </c>
      <c r="C517" s="1" t="n">
        <v>46072</v>
      </c>
      <c r="D517" t="inlineStr">
        <is>
          <t>GOTLANDS LÄN</t>
        </is>
      </c>
      <c r="E517" t="inlineStr">
        <is>
          <t>GOTLAND</t>
        </is>
      </c>
      <c r="G517" t="n">
        <v>1.5</v>
      </c>
      <c r="H517" t="n">
        <v>0</v>
      </c>
      <c r="I517" t="n">
        <v>0</v>
      </c>
      <c r="J517" t="n">
        <v>0</v>
      </c>
      <c r="K517" t="n">
        <v>0</v>
      </c>
      <c r="L517" t="n">
        <v>0</v>
      </c>
      <c r="M517" t="n">
        <v>0</v>
      </c>
      <c r="N517" t="n">
        <v>0</v>
      </c>
      <c r="O517" t="n">
        <v>0</v>
      </c>
      <c r="P517" t="n">
        <v>0</v>
      </c>
      <c r="Q517" t="n">
        <v>0</v>
      </c>
      <c r="R517" s="2" t="inlineStr"/>
    </row>
    <row r="518" ht="15" customHeight="1">
      <c r="A518" t="inlineStr">
        <is>
          <t>A 42041-2024</t>
        </is>
      </c>
      <c r="B518" s="1" t="n">
        <v>45561</v>
      </c>
      <c r="C518" s="1" t="n">
        <v>46072</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53587-2025</t>
        </is>
      </c>
      <c r="B519" s="1" t="n">
        <v>45960.43681712963</v>
      </c>
      <c r="C519" s="1" t="n">
        <v>46072</v>
      </c>
      <c r="D519" t="inlineStr">
        <is>
          <t>GOTLANDS LÄN</t>
        </is>
      </c>
      <c r="E519" t="inlineStr">
        <is>
          <t>GOTLAND</t>
        </is>
      </c>
      <c r="F519" t="inlineStr">
        <is>
          <t>Övriga Aktiebolag</t>
        </is>
      </c>
      <c r="G519" t="n">
        <v>1.7</v>
      </c>
      <c r="H519" t="n">
        <v>0</v>
      </c>
      <c r="I519" t="n">
        <v>0</v>
      </c>
      <c r="J519" t="n">
        <v>0</v>
      </c>
      <c r="K519" t="n">
        <v>0</v>
      </c>
      <c r="L519" t="n">
        <v>0</v>
      </c>
      <c r="M519" t="n">
        <v>0</v>
      </c>
      <c r="N519" t="n">
        <v>0</v>
      </c>
      <c r="O519" t="n">
        <v>0</v>
      </c>
      <c r="P519" t="n">
        <v>0</v>
      </c>
      <c r="Q519" t="n">
        <v>0</v>
      </c>
      <c r="R519" s="2" t="inlineStr"/>
    </row>
    <row r="520" ht="15" customHeight="1">
      <c r="A520" t="inlineStr">
        <is>
          <t>A 60384-2025</t>
        </is>
      </c>
      <c r="B520" s="1" t="n">
        <v>45995</v>
      </c>
      <c r="C520" s="1" t="n">
        <v>46072</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9519-2026</t>
        </is>
      </c>
      <c r="B521" s="1" t="n">
        <v>46071.59820601852</v>
      </c>
      <c r="C521" s="1" t="n">
        <v>46072</v>
      </c>
      <c r="D521" t="inlineStr">
        <is>
          <t>GOTLANDS LÄN</t>
        </is>
      </c>
      <c r="E521" t="inlineStr">
        <is>
          <t>GOTLAND</t>
        </is>
      </c>
      <c r="G521" t="n">
        <v>4</v>
      </c>
      <c r="H521" t="n">
        <v>0</v>
      </c>
      <c r="I521" t="n">
        <v>0</v>
      </c>
      <c r="J521" t="n">
        <v>0</v>
      </c>
      <c r="K521" t="n">
        <v>0</v>
      </c>
      <c r="L521" t="n">
        <v>0</v>
      </c>
      <c r="M521" t="n">
        <v>0</v>
      </c>
      <c r="N521" t="n">
        <v>0</v>
      </c>
      <c r="O521" t="n">
        <v>0</v>
      </c>
      <c r="P521" t="n">
        <v>0</v>
      </c>
      <c r="Q521" t="n">
        <v>0</v>
      </c>
      <c r="R521" s="2" t="inlineStr"/>
    </row>
    <row r="522" ht="15" customHeight="1">
      <c r="A522" t="inlineStr">
        <is>
          <t>A 53561-2025</t>
        </is>
      </c>
      <c r="B522" s="1" t="n">
        <v>45960.4059375</v>
      </c>
      <c r="C522" s="1" t="n">
        <v>46072</v>
      </c>
      <c r="D522" t="inlineStr">
        <is>
          <t>GOTLANDS LÄN</t>
        </is>
      </c>
      <c r="E522" t="inlineStr">
        <is>
          <t>GOTLAND</t>
        </is>
      </c>
      <c r="F522" t="inlineStr">
        <is>
          <t>Övriga Aktiebolag</t>
        </is>
      </c>
      <c r="G522" t="n">
        <v>2.4</v>
      </c>
      <c r="H522" t="n">
        <v>0</v>
      </c>
      <c r="I522" t="n">
        <v>0</v>
      </c>
      <c r="J522" t="n">
        <v>0</v>
      </c>
      <c r="K522" t="n">
        <v>0</v>
      </c>
      <c r="L522" t="n">
        <v>0</v>
      </c>
      <c r="M522" t="n">
        <v>0</v>
      </c>
      <c r="N522" t="n">
        <v>0</v>
      </c>
      <c r="O522" t="n">
        <v>0</v>
      </c>
      <c r="P522" t="n">
        <v>0</v>
      </c>
      <c r="Q522" t="n">
        <v>0</v>
      </c>
      <c r="R522" s="2" t="inlineStr"/>
    </row>
    <row r="523" ht="15" customHeight="1">
      <c r="A523" t="inlineStr">
        <is>
          <t>A 9521-2026</t>
        </is>
      </c>
      <c r="B523" s="1" t="n">
        <v>46071.59969907408</v>
      </c>
      <c r="C523" s="1" t="n">
        <v>46072</v>
      </c>
      <c r="D523" t="inlineStr">
        <is>
          <t>GOTLANDS LÄN</t>
        </is>
      </c>
      <c r="E523" t="inlineStr">
        <is>
          <t>GOTLAND</t>
        </is>
      </c>
      <c r="G523" t="n">
        <v>3.9</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46072</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9504-2026</t>
        </is>
      </c>
      <c r="B525" s="1" t="n">
        <v>46071.57730324074</v>
      </c>
      <c r="C525" s="1" t="n">
        <v>46072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9540-2026</t>
        </is>
      </c>
      <c r="B526" s="1" t="n">
        <v>46071.61961805556</v>
      </c>
      <c r="C526" s="1" t="n">
        <v>46072</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21247-2022</t>
        </is>
      </c>
      <c r="B527" s="1" t="n">
        <v>44705.38832175926</v>
      </c>
      <c r="C527" s="1" t="n">
        <v>46072</v>
      </c>
      <c r="D527" t="inlineStr">
        <is>
          <t>GOTLANDS LÄN</t>
        </is>
      </c>
      <c r="E527" t="inlineStr">
        <is>
          <t>GOTLAND</t>
        </is>
      </c>
      <c r="G527" t="n">
        <v>16.2</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46072</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63516-2023</t>
        </is>
      </c>
      <c r="B529" s="1" t="n">
        <v>45274</v>
      </c>
      <c r="C529" s="1" t="n">
        <v>46072</v>
      </c>
      <c r="D529" t="inlineStr">
        <is>
          <t>GOTLANDS LÄN</t>
        </is>
      </c>
      <c r="E529" t="inlineStr">
        <is>
          <t>GOTLAND</t>
        </is>
      </c>
      <c r="G529" t="n">
        <v>1.2</v>
      </c>
      <c r="H529" t="n">
        <v>0</v>
      </c>
      <c r="I529" t="n">
        <v>0</v>
      </c>
      <c r="J529" t="n">
        <v>0</v>
      </c>
      <c r="K529" t="n">
        <v>0</v>
      </c>
      <c r="L529" t="n">
        <v>0</v>
      </c>
      <c r="M529" t="n">
        <v>0</v>
      </c>
      <c r="N529" t="n">
        <v>0</v>
      </c>
      <c r="O529" t="n">
        <v>0</v>
      </c>
      <c r="P529" t="n">
        <v>0</v>
      </c>
      <c r="Q529" t="n">
        <v>0</v>
      </c>
      <c r="R529" s="2" t="inlineStr"/>
    </row>
    <row r="530" ht="15" customHeight="1">
      <c r="A530" t="inlineStr">
        <is>
          <t>A 53935-2024</t>
        </is>
      </c>
      <c r="B530" s="1" t="n">
        <v>45615</v>
      </c>
      <c r="C530" s="1" t="n">
        <v>46072</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69112-2021</t>
        </is>
      </c>
      <c r="B531" s="1" t="n">
        <v>44530</v>
      </c>
      <c r="C531" s="1" t="n">
        <v>46072</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48734-2022</t>
        </is>
      </c>
      <c r="B532" s="1" t="n">
        <v>44855</v>
      </c>
      <c r="C532" s="1" t="n">
        <v>46072</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23516-2023</t>
        </is>
      </c>
      <c r="B533" s="1" t="n">
        <v>45076.93391203704</v>
      </c>
      <c r="C533" s="1" t="n">
        <v>46072</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43231-2023</t>
        </is>
      </c>
      <c r="B534" s="1" t="n">
        <v>45183.47025462963</v>
      </c>
      <c r="C534" s="1" t="n">
        <v>46072</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58230-2024</t>
        </is>
      </c>
      <c r="B535" s="1" t="n">
        <v>45632.51625</v>
      </c>
      <c r="C535" s="1" t="n">
        <v>46072</v>
      </c>
      <c r="D535" t="inlineStr">
        <is>
          <t>GOTLANDS LÄN</t>
        </is>
      </c>
      <c r="E535" t="inlineStr">
        <is>
          <t>GOTLAND</t>
        </is>
      </c>
      <c r="G535" t="n">
        <v>7.3</v>
      </c>
      <c r="H535" t="n">
        <v>0</v>
      </c>
      <c r="I535" t="n">
        <v>0</v>
      </c>
      <c r="J535" t="n">
        <v>0</v>
      </c>
      <c r="K535" t="n">
        <v>0</v>
      </c>
      <c r="L535" t="n">
        <v>0</v>
      </c>
      <c r="M535" t="n">
        <v>0</v>
      </c>
      <c r="N535" t="n">
        <v>0</v>
      </c>
      <c r="O535" t="n">
        <v>0</v>
      </c>
      <c r="P535" t="n">
        <v>0</v>
      </c>
      <c r="Q535" t="n">
        <v>0</v>
      </c>
      <c r="R535" s="2" t="inlineStr"/>
    </row>
    <row r="536" ht="15" customHeight="1">
      <c r="A536" t="inlineStr">
        <is>
          <t>A 64555-2023</t>
        </is>
      </c>
      <c r="B536" s="1" t="n">
        <v>45281</v>
      </c>
      <c r="C536" s="1" t="n">
        <v>46072</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457-2023</t>
        </is>
      </c>
      <c r="B537" s="1" t="n">
        <v>44929.87238425926</v>
      </c>
      <c r="C537" s="1" t="n">
        <v>46072</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459-2023</t>
        </is>
      </c>
      <c r="B538" s="1" t="n">
        <v>44929.87423611111</v>
      </c>
      <c r="C538" s="1" t="n">
        <v>46072</v>
      </c>
      <c r="D538" t="inlineStr">
        <is>
          <t>GOTLANDS LÄN</t>
        </is>
      </c>
      <c r="E538" t="inlineStr">
        <is>
          <t>GOTLAND</t>
        </is>
      </c>
      <c r="G538" t="n">
        <v>4.2</v>
      </c>
      <c r="H538" t="n">
        <v>0</v>
      </c>
      <c r="I538" t="n">
        <v>0</v>
      </c>
      <c r="J538" t="n">
        <v>0</v>
      </c>
      <c r="K538" t="n">
        <v>0</v>
      </c>
      <c r="L538" t="n">
        <v>0</v>
      </c>
      <c r="M538" t="n">
        <v>0</v>
      </c>
      <c r="N538" t="n">
        <v>0</v>
      </c>
      <c r="O538" t="n">
        <v>0</v>
      </c>
      <c r="P538" t="n">
        <v>0</v>
      </c>
      <c r="Q538" t="n">
        <v>0</v>
      </c>
      <c r="R538" s="2" t="inlineStr"/>
    </row>
    <row r="539" ht="15" customHeight="1">
      <c r="A539" t="inlineStr">
        <is>
          <t>A 876-2024</t>
        </is>
      </c>
      <c r="B539" s="1" t="n">
        <v>45301</v>
      </c>
      <c r="C539" s="1" t="n">
        <v>46072</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26891-2024</t>
        </is>
      </c>
      <c r="B540" s="1" t="n">
        <v>45470.65540509259</v>
      </c>
      <c r="C540" s="1" t="n">
        <v>46072</v>
      </c>
      <c r="D540" t="inlineStr">
        <is>
          <t>GOTLANDS LÄN</t>
        </is>
      </c>
      <c r="E540" t="inlineStr">
        <is>
          <t>GOTLAND</t>
        </is>
      </c>
      <c r="G540" t="n">
        <v>0.8</v>
      </c>
      <c r="H540" t="n">
        <v>0</v>
      </c>
      <c r="I540" t="n">
        <v>0</v>
      </c>
      <c r="J540" t="n">
        <v>0</v>
      </c>
      <c r="K540" t="n">
        <v>0</v>
      </c>
      <c r="L540" t="n">
        <v>0</v>
      </c>
      <c r="M540" t="n">
        <v>0</v>
      </c>
      <c r="N540" t="n">
        <v>0</v>
      </c>
      <c r="O540" t="n">
        <v>0</v>
      </c>
      <c r="P540" t="n">
        <v>0</v>
      </c>
      <c r="Q540" t="n">
        <v>0</v>
      </c>
      <c r="R540" s="2" t="inlineStr"/>
    </row>
    <row r="541" ht="15" customHeight="1">
      <c r="A541" t="inlineStr">
        <is>
          <t>A 14536-2021</t>
        </is>
      </c>
      <c r="B541" s="1" t="n">
        <v>44279.66168981481</v>
      </c>
      <c r="C541" s="1" t="n">
        <v>46072</v>
      </c>
      <c r="D541" t="inlineStr">
        <is>
          <t>GOTLANDS LÄN</t>
        </is>
      </c>
      <c r="E541" t="inlineStr">
        <is>
          <t>GOTLAND</t>
        </is>
      </c>
      <c r="G541" t="n">
        <v>8.5</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44963.69503472222</v>
      </c>
      <c r="C542" s="1" t="n">
        <v>46072</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50482-2024</t>
        </is>
      </c>
      <c r="B543" s="1" t="n">
        <v>45601.48114583334</v>
      </c>
      <c r="C543" s="1" t="n">
        <v>46072</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5943-2024</t>
        </is>
      </c>
      <c r="B544" s="1" t="n">
        <v>45336</v>
      </c>
      <c r="C544" s="1" t="n">
        <v>46072</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38234-2023</t>
        </is>
      </c>
      <c r="B545" s="1" t="n">
        <v>45161.56663194444</v>
      </c>
      <c r="C545" s="1" t="n">
        <v>46072</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1273-2023</t>
        </is>
      </c>
      <c r="B546" s="1" t="n">
        <v>44936</v>
      </c>
      <c r="C546" s="1" t="n">
        <v>46072</v>
      </c>
      <c r="D546" t="inlineStr">
        <is>
          <t>GOTLANDS LÄN</t>
        </is>
      </c>
      <c r="E546" t="inlineStr">
        <is>
          <t>GOTLAND</t>
        </is>
      </c>
      <c r="G546" t="n">
        <v>4.5</v>
      </c>
      <c r="H546" t="n">
        <v>0</v>
      </c>
      <c r="I546" t="n">
        <v>0</v>
      </c>
      <c r="J546" t="n">
        <v>0</v>
      </c>
      <c r="K546" t="n">
        <v>0</v>
      </c>
      <c r="L546" t="n">
        <v>0</v>
      </c>
      <c r="M546" t="n">
        <v>0</v>
      </c>
      <c r="N546" t="n">
        <v>0</v>
      </c>
      <c r="O546" t="n">
        <v>0</v>
      </c>
      <c r="P546" t="n">
        <v>0</v>
      </c>
      <c r="Q546" t="n">
        <v>0</v>
      </c>
      <c r="R546" s="2" t="inlineStr"/>
    </row>
    <row r="547" ht="15" customHeight="1">
      <c r="A547" t="inlineStr">
        <is>
          <t>A 17724-2024</t>
        </is>
      </c>
      <c r="B547" s="1" t="n">
        <v>45418.55096064815</v>
      </c>
      <c r="C547" s="1" t="n">
        <v>46072</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23978-2023</t>
        </is>
      </c>
      <c r="B548" s="1" t="n">
        <v>45078</v>
      </c>
      <c r="C548" s="1" t="n">
        <v>46072</v>
      </c>
      <c r="D548" t="inlineStr">
        <is>
          <t>GOTLANDS LÄN</t>
        </is>
      </c>
      <c r="E548" t="inlineStr">
        <is>
          <t>GOTLAND</t>
        </is>
      </c>
      <c r="F548" t="inlineStr">
        <is>
          <t>Naturvårdsverket</t>
        </is>
      </c>
      <c r="G548" t="n">
        <v>1.7</v>
      </c>
      <c r="H548" t="n">
        <v>0</v>
      </c>
      <c r="I548" t="n">
        <v>0</v>
      </c>
      <c r="J548" t="n">
        <v>0</v>
      </c>
      <c r="K548" t="n">
        <v>0</v>
      </c>
      <c r="L548" t="n">
        <v>0</v>
      </c>
      <c r="M548" t="n">
        <v>0</v>
      </c>
      <c r="N548" t="n">
        <v>0</v>
      </c>
      <c r="O548" t="n">
        <v>0</v>
      </c>
      <c r="P548" t="n">
        <v>0</v>
      </c>
      <c r="Q548" t="n">
        <v>0</v>
      </c>
      <c r="R548" s="2" t="inlineStr"/>
    </row>
    <row r="549" ht="15" customHeight="1">
      <c r="A549" t="inlineStr">
        <is>
          <t>A 49884-2023</t>
        </is>
      </c>
      <c r="B549" s="1" t="n">
        <v>45213</v>
      </c>
      <c r="C549" s="1" t="n">
        <v>46072</v>
      </c>
      <c r="D549" t="inlineStr">
        <is>
          <t>GOTLANDS LÄN</t>
        </is>
      </c>
      <c r="E549" t="inlineStr">
        <is>
          <t>GOTLAND</t>
        </is>
      </c>
      <c r="G549" t="n">
        <v>8.9</v>
      </c>
      <c r="H549" t="n">
        <v>0</v>
      </c>
      <c r="I549" t="n">
        <v>0</v>
      </c>
      <c r="J549" t="n">
        <v>0</v>
      </c>
      <c r="K549" t="n">
        <v>0</v>
      </c>
      <c r="L549" t="n">
        <v>0</v>
      </c>
      <c r="M549" t="n">
        <v>0</v>
      </c>
      <c r="N549" t="n">
        <v>0</v>
      </c>
      <c r="O549" t="n">
        <v>0</v>
      </c>
      <c r="P549" t="n">
        <v>0</v>
      </c>
      <c r="Q549" t="n">
        <v>0</v>
      </c>
      <c r="R549" s="2" t="inlineStr"/>
    </row>
    <row r="550" ht="15" customHeight="1">
      <c r="A550" t="inlineStr">
        <is>
          <t>A 12846-2025</t>
        </is>
      </c>
      <c r="B550" s="1" t="n">
        <v>45733.65049768519</v>
      </c>
      <c r="C550" s="1" t="n">
        <v>46072</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43200-2023</t>
        </is>
      </c>
      <c r="B551" s="1" t="n">
        <v>45183</v>
      </c>
      <c r="C551" s="1" t="n">
        <v>46072</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3935-2025</t>
        </is>
      </c>
      <c r="B552" s="1" t="n">
        <v>45684.46070601852</v>
      </c>
      <c r="C552" s="1" t="n">
        <v>46072</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21792-2024</t>
        </is>
      </c>
      <c r="B553" s="1" t="n">
        <v>45442.64326388889</v>
      </c>
      <c r="C553" s="1" t="n">
        <v>46072</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48843-2024</t>
        </is>
      </c>
      <c r="B554" s="1" t="n">
        <v>45593</v>
      </c>
      <c r="C554" s="1" t="n">
        <v>46072</v>
      </c>
      <c r="D554" t="inlineStr">
        <is>
          <t>GOTLANDS LÄN</t>
        </is>
      </c>
      <c r="E554" t="inlineStr">
        <is>
          <t>GOTLAND</t>
        </is>
      </c>
      <c r="G554" t="n">
        <v>0.5</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44988.48859953704</v>
      </c>
      <c r="C555" s="1" t="n">
        <v>46072</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35512-2023</t>
        </is>
      </c>
      <c r="B556" s="1" t="n">
        <v>45147.25623842593</v>
      </c>
      <c r="C556" s="1" t="n">
        <v>46072</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11874-2024</t>
        </is>
      </c>
      <c r="B557" s="1" t="n">
        <v>45376.46956018519</v>
      </c>
      <c r="C557" s="1" t="n">
        <v>46072</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20225-2025</t>
        </is>
      </c>
      <c r="B558" s="1" t="n">
        <v>45772.65802083333</v>
      </c>
      <c r="C558" s="1" t="n">
        <v>46072</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1677-2023</t>
        </is>
      </c>
      <c r="B559" s="1" t="n">
        <v>44938</v>
      </c>
      <c r="C559" s="1" t="n">
        <v>46072</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46072</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8036-2022</t>
        </is>
      </c>
      <c r="B561" s="1" t="n">
        <v>44609.44362268518</v>
      </c>
      <c r="C561" s="1" t="n">
        <v>46072</v>
      </c>
      <c r="D561" t="inlineStr">
        <is>
          <t>GOTLANDS LÄN</t>
        </is>
      </c>
      <c r="E561" t="inlineStr">
        <is>
          <t>GOTLAND</t>
        </is>
      </c>
      <c r="G561" t="n">
        <v>6.1</v>
      </c>
      <c r="H561" t="n">
        <v>0</v>
      </c>
      <c r="I561" t="n">
        <v>0</v>
      </c>
      <c r="J561" t="n">
        <v>0</v>
      </c>
      <c r="K561" t="n">
        <v>0</v>
      </c>
      <c r="L561" t="n">
        <v>0</v>
      </c>
      <c r="M561" t="n">
        <v>0</v>
      </c>
      <c r="N561" t="n">
        <v>0</v>
      </c>
      <c r="O561" t="n">
        <v>0</v>
      </c>
      <c r="P561" t="n">
        <v>0</v>
      </c>
      <c r="Q561" t="n">
        <v>0</v>
      </c>
      <c r="R561" s="2" t="inlineStr"/>
    </row>
    <row r="562" ht="15" customHeight="1">
      <c r="A562" t="inlineStr">
        <is>
          <t>A 46375-2024</t>
        </is>
      </c>
      <c r="B562" s="1" t="n">
        <v>45582</v>
      </c>
      <c r="C562" s="1" t="n">
        <v>46072</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62915-2021</t>
        </is>
      </c>
      <c r="B563" s="1" t="n">
        <v>44504</v>
      </c>
      <c r="C563" s="1" t="n">
        <v>46072</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7638-2025</t>
        </is>
      </c>
      <c r="B564" s="1" t="n">
        <v>45705.77306712963</v>
      </c>
      <c r="C564" s="1" t="n">
        <v>46072</v>
      </c>
      <c r="D564" t="inlineStr">
        <is>
          <t>GOTLANDS LÄN</t>
        </is>
      </c>
      <c r="E564" t="inlineStr">
        <is>
          <t>GOTLAND</t>
        </is>
      </c>
      <c r="G564" t="n">
        <v>2.2</v>
      </c>
      <c r="H564" t="n">
        <v>0</v>
      </c>
      <c r="I564" t="n">
        <v>0</v>
      </c>
      <c r="J564" t="n">
        <v>0</v>
      </c>
      <c r="K564" t="n">
        <v>0</v>
      </c>
      <c r="L564" t="n">
        <v>0</v>
      </c>
      <c r="M564" t="n">
        <v>0</v>
      </c>
      <c r="N564" t="n">
        <v>0</v>
      </c>
      <c r="O564" t="n">
        <v>0</v>
      </c>
      <c r="P564" t="n">
        <v>0</v>
      </c>
      <c r="Q564" t="n">
        <v>0</v>
      </c>
      <c r="R564" s="2" t="inlineStr"/>
    </row>
    <row r="565" ht="15" customHeight="1">
      <c r="A565" t="inlineStr">
        <is>
          <t>A 4377-2023</t>
        </is>
      </c>
      <c r="B565" s="1" t="n">
        <v>44955.5502662037</v>
      </c>
      <c r="C565" s="1" t="n">
        <v>46072</v>
      </c>
      <c r="D565" t="inlineStr">
        <is>
          <t>GOTLANDS LÄN</t>
        </is>
      </c>
      <c r="E565" t="inlineStr">
        <is>
          <t>GOTLAND</t>
        </is>
      </c>
      <c r="F565" t="inlineStr">
        <is>
          <t>Kyrkan</t>
        </is>
      </c>
      <c r="G565" t="n">
        <v>0.6</v>
      </c>
      <c r="H565" t="n">
        <v>0</v>
      </c>
      <c r="I565" t="n">
        <v>0</v>
      </c>
      <c r="J565" t="n">
        <v>0</v>
      </c>
      <c r="K565" t="n">
        <v>0</v>
      </c>
      <c r="L565" t="n">
        <v>0</v>
      </c>
      <c r="M565" t="n">
        <v>0</v>
      </c>
      <c r="N565" t="n">
        <v>0</v>
      </c>
      <c r="O565" t="n">
        <v>0</v>
      </c>
      <c r="P565" t="n">
        <v>0</v>
      </c>
      <c r="Q565" t="n">
        <v>0</v>
      </c>
      <c r="R565" s="2" t="inlineStr"/>
    </row>
    <row r="566" ht="15" customHeight="1">
      <c r="A566" t="inlineStr">
        <is>
          <t>A 43901-2023</t>
        </is>
      </c>
      <c r="B566" s="1" t="n">
        <v>45187</v>
      </c>
      <c r="C566" s="1" t="n">
        <v>46072</v>
      </c>
      <c r="D566" t="inlineStr">
        <is>
          <t>GOTLANDS LÄN</t>
        </is>
      </c>
      <c r="E566" t="inlineStr">
        <is>
          <t>GOTLAND</t>
        </is>
      </c>
      <c r="G566" t="n">
        <v>5.4</v>
      </c>
      <c r="H566" t="n">
        <v>0</v>
      </c>
      <c r="I566" t="n">
        <v>0</v>
      </c>
      <c r="J566" t="n">
        <v>0</v>
      </c>
      <c r="K566" t="n">
        <v>0</v>
      </c>
      <c r="L566" t="n">
        <v>0</v>
      </c>
      <c r="M566" t="n">
        <v>0</v>
      </c>
      <c r="N566" t="n">
        <v>0</v>
      </c>
      <c r="O566" t="n">
        <v>0</v>
      </c>
      <c r="P566" t="n">
        <v>0</v>
      </c>
      <c r="Q566" t="n">
        <v>0</v>
      </c>
      <c r="R566" s="2" t="inlineStr"/>
    </row>
    <row r="567" ht="15" customHeight="1">
      <c r="A567" t="inlineStr">
        <is>
          <t>A 17532-2024</t>
        </is>
      </c>
      <c r="B567" s="1" t="n">
        <v>45415</v>
      </c>
      <c r="C567" s="1" t="n">
        <v>46072</v>
      </c>
      <c r="D567" t="inlineStr">
        <is>
          <t>GOTLANDS LÄN</t>
        </is>
      </c>
      <c r="E567" t="inlineStr">
        <is>
          <t>GOTLAND</t>
        </is>
      </c>
      <c r="G567" t="n">
        <v>4.3</v>
      </c>
      <c r="H567" t="n">
        <v>0</v>
      </c>
      <c r="I567" t="n">
        <v>0</v>
      </c>
      <c r="J567" t="n">
        <v>0</v>
      </c>
      <c r="K567" t="n">
        <v>0</v>
      </c>
      <c r="L567" t="n">
        <v>0</v>
      </c>
      <c r="M567" t="n">
        <v>0</v>
      </c>
      <c r="N567" t="n">
        <v>0</v>
      </c>
      <c r="O567" t="n">
        <v>0</v>
      </c>
      <c r="P567" t="n">
        <v>0</v>
      </c>
      <c r="Q567" t="n">
        <v>0</v>
      </c>
      <c r="R567" s="2" t="inlineStr"/>
    </row>
    <row r="568" ht="15" customHeight="1">
      <c r="A568" t="inlineStr">
        <is>
          <t>A 45692-2023</t>
        </is>
      </c>
      <c r="B568" s="1" t="n">
        <v>45195</v>
      </c>
      <c r="C568" s="1" t="n">
        <v>46072</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37222-2021</t>
        </is>
      </c>
      <c r="B569" s="1" t="n">
        <v>44396</v>
      </c>
      <c r="C569" s="1" t="n">
        <v>46072</v>
      </c>
      <c r="D569" t="inlineStr">
        <is>
          <t>GOTLANDS LÄN</t>
        </is>
      </c>
      <c r="E569" t="inlineStr">
        <is>
          <t>GOTLAND</t>
        </is>
      </c>
      <c r="G569" t="n">
        <v>3</v>
      </c>
      <c r="H569" t="n">
        <v>0</v>
      </c>
      <c r="I569" t="n">
        <v>0</v>
      </c>
      <c r="J569" t="n">
        <v>0</v>
      </c>
      <c r="K569" t="n">
        <v>0</v>
      </c>
      <c r="L569" t="n">
        <v>0</v>
      </c>
      <c r="M569" t="n">
        <v>0</v>
      </c>
      <c r="N569" t="n">
        <v>0</v>
      </c>
      <c r="O569" t="n">
        <v>0</v>
      </c>
      <c r="P569" t="n">
        <v>0</v>
      </c>
      <c r="Q569" t="n">
        <v>0</v>
      </c>
      <c r="R569" s="2" t="inlineStr"/>
    </row>
    <row r="570" ht="15" customHeight="1">
      <c r="A570" t="inlineStr">
        <is>
          <t>A 46396-2023</t>
        </is>
      </c>
      <c r="B570" s="1" t="n">
        <v>45197</v>
      </c>
      <c r="C570" s="1" t="n">
        <v>46072</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58388-2022</t>
        </is>
      </c>
      <c r="B571" s="1" t="n">
        <v>44894</v>
      </c>
      <c r="C571" s="1" t="n">
        <v>46072</v>
      </c>
      <c r="D571" t="inlineStr">
        <is>
          <t>GOTLANDS LÄN</t>
        </is>
      </c>
      <c r="E571" t="inlineStr">
        <is>
          <t>GOTLAND</t>
        </is>
      </c>
      <c r="F571" t="inlineStr">
        <is>
          <t>Övriga statliga verk och myndigheter</t>
        </is>
      </c>
      <c r="G571" t="n">
        <v>3.1</v>
      </c>
      <c r="H571" t="n">
        <v>0</v>
      </c>
      <c r="I571" t="n">
        <v>0</v>
      </c>
      <c r="J571" t="n">
        <v>0</v>
      </c>
      <c r="K571" t="n">
        <v>0</v>
      </c>
      <c r="L571" t="n">
        <v>0</v>
      </c>
      <c r="M571" t="n">
        <v>0</v>
      </c>
      <c r="N571" t="n">
        <v>0</v>
      </c>
      <c r="O571" t="n">
        <v>0</v>
      </c>
      <c r="P571" t="n">
        <v>0</v>
      </c>
      <c r="Q571" t="n">
        <v>0</v>
      </c>
      <c r="R571" s="2" t="inlineStr"/>
    </row>
    <row r="572" ht="15" customHeight="1">
      <c r="A572" t="inlineStr">
        <is>
          <t>A 53934-2024</t>
        </is>
      </c>
      <c r="B572" s="1" t="n">
        <v>45615</v>
      </c>
      <c r="C572" s="1" t="n">
        <v>46072</v>
      </c>
      <c r="D572" t="inlineStr">
        <is>
          <t>GOTLANDS LÄN</t>
        </is>
      </c>
      <c r="E572" t="inlineStr">
        <is>
          <t>GOTLAND</t>
        </is>
      </c>
      <c r="G572" t="n">
        <v>5</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46072</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22899-2023</t>
        </is>
      </c>
      <c r="B574" s="1" t="n">
        <v>45072</v>
      </c>
      <c r="C574" s="1" t="n">
        <v>46072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28285-2024</t>
        </is>
      </c>
      <c r="B575" s="1" t="n">
        <v>45477</v>
      </c>
      <c r="C575" s="1" t="n">
        <v>46072</v>
      </c>
      <c r="D575" t="inlineStr">
        <is>
          <t>GOTLANDS LÄN</t>
        </is>
      </c>
      <c r="E575" t="inlineStr">
        <is>
          <t>GOTLAND</t>
        </is>
      </c>
      <c r="G575" t="n">
        <v>1.6</v>
      </c>
      <c r="H575" t="n">
        <v>0</v>
      </c>
      <c r="I575" t="n">
        <v>0</v>
      </c>
      <c r="J575" t="n">
        <v>0</v>
      </c>
      <c r="K575" t="n">
        <v>0</v>
      </c>
      <c r="L575" t="n">
        <v>0</v>
      </c>
      <c r="M575" t="n">
        <v>0</v>
      </c>
      <c r="N575" t="n">
        <v>0</v>
      </c>
      <c r="O575" t="n">
        <v>0</v>
      </c>
      <c r="P575" t="n">
        <v>0</v>
      </c>
      <c r="Q575" t="n">
        <v>0</v>
      </c>
      <c r="R575" s="2" t="inlineStr"/>
    </row>
    <row r="576" ht="15" customHeight="1">
      <c r="A576" t="inlineStr">
        <is>
          <t>A 51963-2024</t>
        </is>
      </c>
      <c r="B576" s="1" t="n">
        <v>45607.64833333333</v>
      </c>
      <c r="C576" s="1" t="n">
        <v>46072</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1734-2025</t>
        </is>
      </c>
      <c r="B577" s="1" t="n">
        <v>45671.3840625</v>
      </c>
      <c r="C577" s="1" t="n">
        <v>46072</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30365-2024</t>
        </is>
      </c>
      <c r="B578" s="1" t="n">
        <v>45491.3716087963</v>
      </c>
      <c r="C578" s="1" t="n">
        <v>46072</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46072</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61100-2022</t>
        </is>
      </c>
      <c r="B580" s="1" t="n">
        <v>44915</v>
      </c>
      <c r="C580" s="1" t="n">
        <v>46072</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581-2023</t>
        </is>
      </c>
      <c r="B581" s="1" t="n">
        <v>44930</v>
      </c>
      <c r="C581" s="1" t="n">
        <v>46072</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10655-2023</t>
        </is>
      </c>
      <c r="B582" s="1" t="n">
        <v>44988.49543981482</v>
      </c>
      <c r="C582" s="1" t="n">
        <v>46072</v>
      </c>
      <c r="D582" t="inlineStr">
        <is>
          <t>GOTLANDS LÄN</t>
        </is>
      </c>
      <c r="E582" t="inlineStr">
        <is>
          <t>GOTLAND</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44649-2021</t>
        </is>
      </c>
      <c r="B583" s="1" t="n">
        <v>44437</v>
      </c>
      <c r="C583" s="1" t="n">
        <v>46072</v>
      </c>
      <c r="D583" t="inlineStr">
        <is>
          <t>GOTLANDS LÄN</t>
        </is>
      </c>
      <c r="E583" t="inlineStr">
        <is>
          <t>GOTLAND</t>
        </is>
      </c>
      <c r="G583" t="n">
        <v>8.1</v>
      </c>
      <c r="H583" t="n">
        <v>0</v>
      </c>
      <c r="I583" t="n">
        <v>0</v>
      </c>
      <c r="J583" t="n">
        <v>0</v>
      </c>
      <c r="K583" t="n">
        <v>0</v>
      </c>
      <c r="L583" t="n">
        <v>0</v>
      </c>
      <c r="M583" t="n">
        <v>0</v>
      </c>
      <c r="N583" t="n">
        <v>0</v>
      </c>
      <c r="O583" t="n">
        <v>0</v>
      </c>
      <c r="P583" t="n">
        <v>0</v>
      </c>
      <c r="Q583" t="n">
        <v>0</v>
      </c>
      <c r="R583" s="2" t="inlineStr"/>
    </row>
    <row r="584" ht="15" customHeight="1">
      <c r="A584" t="inlineStr">
        <is>
          <t>A 8484-2025</t>
        </is>
      </c>
      <c r="B584" s="1" t="n">
        <v>45709</v>
      </c>
      <c r="C584" s="1" t="n">
        <v>46072</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49962-2023</t>
        </is>
      </c>
      <c r="B585" s="1" t="n">
        <v>45215.38775462963</v>
      </c>
      <c r="C585" s="1" t="n">
        <v>46072</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50744-2024</t>
        </is>
      </c>
      <c r="B586" s="1" t="n">
        <v>45602.4187037037</v>
      </c>
      <c r="C586" s="1" t="n">
        <v>46072</v>
      </c>
      <c r="D586" t="inlineStr">
        <is>
          <t>GOTLANDS LÄN</t>
        </is>
      </c>
      <c r="E586" t="inlineStr">
        <is>
          <t>GOTLAND</t>
        </is>
      </c>
      <c r="G586" t="n">
        <v>3.2</v>
      </c>
      <c r="H586" t="n">
        <v>0</v>
      </c>
      <c r="I586" t="n">
        <v>0</v>
      </c>
      <c r="J586" t="n">
        <v>0</v>
      </c>
      <c r="K586" t="n">
        <v>0</v>
      </c>
      <c r="L586" t="n">
        <v>0</v>
      </c>
      <c r="M586" t="n">
        <v>0</v>
      </c>
      <c r="N586" t="n">
        <v>0</v>
      </c>
      <c r="O586" t="n">
        <v>0</v>
      </c>
      <c r="P586" t="n">
        <v>0</v>
      </c>
      <c r="Q586" t="n">
        <v>0</v>
      </c>
      <c r="R586" s="2" t="inlineStr"/>
    </row>
    <row r="587" ht="15" customHeight="1">
      <c r="A587" t="inlineStr">
        <is>
          <t>A 45244-2024</t>
        </is>
      </c>
      <c r="B587" s="1" t="n">
        <v>45576</v>
      </c>
      <c r="C587" s="1" t="n">
        <v>46072</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38787-2023</t>
        </is>
      </c>
      <c r="B588" s="1" t="n">
        <v>45163</v>
      </c>
      <c r="C588" s="1" t="n">
        <v>46072</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46072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22897-2023</t>
        </is>
      </c>
      <c r="B590" s="1" t="n">
        <v>45072.55239583334</v>
      </c>
      <c r="C590" s="1" t="n">
        <v>46072</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4568-2025</t>
        </is>
      </c>
      <c r="B591" s="1" t="n">
        <v>45687</v>
      </c>
      <c r="C591" s="1" t="n">
        <v>46072</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1681-2023</t>
        </is>
      </c>
      <c r="B592" s="1" t="n">
        <v>44938.39715277778</v>
      </c>
      <c r="C592" s="1" t="n">
        <v>46072</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42338-2023</t>
        </is>
      </c>
      <c r="B593" s="1" t="n">
        <v>45180</v>
      </c>
      <c r="C593" s="1" t="n">
        <v>46072</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18918-2025</t>
        </is>
      </c>
      <c r="B594" s="1" t="n">
        <v>45764</v>
      </c>
      <c r="C594" s="1" t="n">
        <v>46072</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11013-2024</t>
        </is>
      </c>
      <c r="B595" s="1" t="n">
        <v>45370</v>
      </c>
      <c r="C595" s="1" t="n">
        <v>46072</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45084-2024</t>
        </is>
      </c>
      <c r="B596" s="1" t="n">
        <v>45575</v>
      </c>
      <c r="C596" s="1" t="n">
        <v>46072</v>
      </c>
      <c r="D596" t="inlineStr">
        <is>
          <t>GOTLANDS LÄN</t>
        </is>
      </c>
      <c r="E596" t="inlineStr">
        <is>
          <t>GOTLAND</t>
        </is>
      </c>
      <c r="G596" t="n">
        <v>6.8</v>
      </c>
      <c r="H596" t="n">
        <v>0</v>
      </c>
      <c r="I596" t="n">
        <v>0</v>
      </c>
      <c r="J596" t="n">
        <v>0</v>
      </c>
      <c r="K596" t="n">
        <v>0</v>
      </c>
      <c r="L596" t="n">
        <v>0</v>
      </c>
      <c r="M596" t="n">
        <v>0</v>
      </c>
      <c r="N596" t="n">
        <v>0</v>
      </c>
      <c r="O596" t="n">
        <v>0</v>
      </c>
      <c r="P596" t="n">
        <v>0</v>
      </c>
      <c r="Q596" t="n">
        <v>0</v>
      </c>
      <c r="R596" s="2" t="inlineStr"/>
    </row>
    <row r="597" ht="15" customHeight="1">
      <c r="A597" t="inlineStr">
        <is>
          <t>A 20356-2022</t>
        </is>
      </c>
      <c r="B597" s="1" t="n">
        <v>44699</v>
      </c>
      <c r="C597" s="1" t="n">
        <v>46072</v>
      </c>
      <c r="D597" t="inlineStr">
        <is>
          <t>GOTLANDS LÄN</t>
        </is>
      </c>
      <c r="E597" t="inlineStr">
        <is>
          <t>GOTLAND</t>
        </is>
      </c>
      <c r="F597" t="inlineStr">
        <is>
          <t>Övriga Aktiebolag</t>
        </is>
      </c>
      <c r="G597" t="n">
        <v>4.4</v>
      </c>
      <c r="H597" t="n">
        <v>0</v>
      </c>
      <c r="I597" t="n">
        <v>0</v>
      </c>
      <c r="J597" t="n">
        <v>0</v>
      </c>
      <c r="K597" t="n">
        <v>0</v>
      </c>
      <c r="L597" t="n">
        <v>0</v>
      </c>
      <c r="M597" t="n">
        <v>0</v>
      </c>
      <c r="N597" t="n">
        <v>0</v>
      </c>
      <c r="O597" t="n">
        <v>0</v>
      </c>
      <c r="P597" t="n">
        <v>0</v>
      </c>
      <c r="Q597" t="n">
        <v>0</v>
      </c>
      <c r="R597" s="2" t="inlineStr"/>
    </row>
    <row r="598" ht="15" customHeight="1">
      <c r="A598" t="inlineStr">
        <is>
          <t>A 4868-2024</t>
        </is>
      </c>
      <c r="B598" s="1" t="n">
        <v>45329</v>
      </c>
      <c r="C598" s="1" t="n">
        <v>46072</v>
      </c>
      <c r="D598" t="inlineStr">
        <is>
          <t>GOTLANDS LÄN</t>
        </is>
      </c>
      <c r="E598" t="inlineStr">
        <is>
          <t>GOTLAND</t>
        </is>
      </c>
      <c r="G598" t="n">
        <v>7.1</v>
      </c>
      <c r="H598" t="n">
        <v>0</v>
      </c>
      <c r="I598" t="n">
        <v>0</v>
      </c>
      <c r="J598" t="n">
        <v>0</v>
      </c>
      <c r="K598" t="n">
        <v>0</v>
      </c>
      <c r="L598" t="n">
        <v>0</v>
      </c>
      <c r="M598" t="n">
        <v>0</v>
      </c>
      <c r="N598" t="n">
        <v>0</v>
      </c>
      <c r="O598" t="n">
        <v>0</v>
      </c>
      <c r="P598" t="n">
        <v>0</v>
      </c>
      <c r="Q598" t="n">
        <v>0</v>
      </c>
      <c r="R598" s="2" t="inlineStr"/>
    </row>
    <row r="599" ht="15" customHeight="1">
      <c r="A599" t="inlineStr">
        <is>
          <t>A 9613-2025</t>
        </is>
      </c>
      <c r="B599" s="1" t="n">
        <v>45715</v>
      </c>
      <c r="C599" s="1" t="n">
        <v>46072</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46072</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58211-2024</t>
        </is>
      </c>
      <c r="B601" s="1" t="n">
        <v>45632.49292824074</v>
      </c>
      <c r="C601" s="1" t="n">
        <v>46072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11634-2024</t>
        </is>
      </c>
      <c r="B602" s="1" t="n">
        <v>45373</v>
      </c>
      <c r="C602" s="1" t="n">
        <v>46072</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5884-2025</t>
        </is>
      </c>
      <c r="B603" s="1" t="n">
        <v>45695.37482638889</v>
      </c>
      <c r="C603" s="1" t="n">
        <v>46072</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5897-2025</t>
        </is>
      </c>
      <c r="B604" s="1" t="n">
        <v>45695.39273148148</v>
      </c>
      <c r="C604" s="1" t="n">
        <v>46072</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5909-2025</t>
        </is>
      </c>
      <c r="B605" s="1" t="n">
        <v>45695.40634259259</v>
      </c>
      <c r="C605" s="1" t="n">
        <v>46072</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60086-2022</t>
        </is>
      </c>
      <c r="B606" s="1" t="n">
        <v>44909</v>
      </c>
      <c r="C606" s="1" t="n">
        <v>46072</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22704-2023</t>
        </is>
      </c>
      <c r="B607" s="1" t="n">
        <v>45071</v>
      </c>
      <c r="C607" s="1" t="n">
        <v>46072</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25866-2022</t>
        </is>
      </c>
      <c r="B608" s="1" t="n">
        <v>44733</v>
      </c>
      <c r="C608" s="1" t="n">
        <v>46072</v>
      </c>
      <c r="D608" t="inlineStr">
        <is>
          <t>GOTLANDS LÄN</t>
        </is>
      </c>
      <c r="E608" t="inlineStr">
        <is>
          <t>GOTLAND</t>
        </is>
      </c>
      <c r="G608" t="n">
        <v>2.9</v>
      </c>
      <c r="H608" t="n">
        <v>0</v>
      </c>
      <c r="I608" t="n">
        <v>0</v>
      </c>
      <c r="J608" t="n">
        <v>0</v>
      </c>
      <c r="K608" t="n">
        <v>0</v>
      </c>
      <c r="L608" t="n">
        <v>0</v>
      </c>
      <c r="M608" t="n">
        <v>0</v>
      </c>
      <c r="N608" t="n">
        <v>0</v>
      </c>
      <c r="O608" t="n">
        <v>0</v>
      </c>
      <c r="P608" t="n">
        <v>0</v>
      </c>
      <c r="Q608" t="n">
        <v>0</v>
      </c>
      <c r="R608" s="2" t="inlineStr"/>
    </row>
    <row r="609" ht="15" customHeight="1">
      <c r="A609" t="inlineStr">
        <is>
          <t>A 9887-2025</t>
        </is>
      </c>
      <c r="B609" s="1" t="n">
        <v>45716</v>
      </c>
      <c r="C609" s="1" t="n">
        <v>46072</v>
      </c>
      <c r="D609" t="inlineStr">
        <is>
          <t>GOTLANDS LÄN</t>
        </is>
      </c>
      <c r="E609" t="inlineStr">
        <is>
          <t>GOTLAND</t>
        </is>
      </c>
      <c r="G609" t="n">
        <v>7.5</v>
      </c>
      <c r="H609" t="n">
        <v>0</v>
      </c>
      <c r="I609" t="n">
        <v>0</v>
      </c>
      <c r="J609" t="n">
        <v>0</v>
      </c>
      <c r="K609" t="n">
        <v>0</v>
      </c>
      <c r="L609" t="n">
        <v>0</v>
      </c>
      <c r="M609" t="n">
        <v>0</v>
      </c>
      <c r="N609" t="n">
        <v>0</v>
      </c>
      <c r="O609" t="n">
        <v>0</v>
      </c>
      <c r="P609" t="n">
        <v>0</v>
      </c>
      <c r="Q609" t="n">
        <v>0</v>
      </c>
      <c r="R609" s="2" t="inlineStr"/>
    </row>
    <row r="610" ht="15" customHeight="1">
      <c r="A610" t="inlineStr">
        <is>
          <t>A 12209-2024</t>
        </is>
      </c>
      <c r="B610" s="1" t="n">
        <v>45378</v>
      </c>
      <c r="C610" s="1" t="n">
        <v>46072</v>
      </c>
      <c r="D610" t="inlineStr">
        <is>
          <t>GOTLANDS LÄN</t>
        </is>
      </c>
      <c r="E610" t="inlineStr">
        <is>
          <t>GOTLAND</t>
        </is>
      </c>
      <c r="G610" t="n">
        <v>5.3</v>
      </c>
      <c r="H610" t="n">
        <v>0</v>
      </c>
      <c r="I610" t="n">
        <v>0</v>
      </c>
      <c r="J610" t="n">
        <v>0</v>
      </c>
      <c r="K610" t="n">
        <v>0</v>
      </c>
      <c r="L610" t="n">
        <v>0</v>
      </c>
      <c r="M610" t="n">
        <v>0</v>
      </c>
      <c r="N610" t="n">
        <v>0</v>
      </c>
      <c r="O610" t="n">
        <v>0</v>
      </c>
      <c r="P610" t="n">
        <v>0</v>
      </c>
      <c r="Q610" t="n">
        <v>0</v>
      </c>
      <c r="R610" s="2" t="inlineStr"/>
    </row>
    <row r="611" ht="15" customHeight="1">
      <c r="A611" t="inlineStr">
        <is>
          <t>A 12210-2024</t>
        </is>
      </c>
      <c r="B611" s="1" t="n">
        <v>45378</v>
      </c>
      <c r="C611" s="1" t="n">
        <v>46072</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59986-2022</t>
        </is>
      </c>
      <c r="B612" s="1" t="n">
        <v>44909</v>
      </c>
      <c r="C612" s="1" t="n">
        <v>46072</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31802-2024</t>
        </is>
      </c>
      <c r="B613" s="1" t="n">
        <v>45509</v>
      </c>
      <c r="C613" s="1" t="n">
        <v>46072</v>
      </c>
      <c r="D613" t="inlineStr">
        <is>
          <t>GOTLANDS LÄN</t>
        </is>
      </c>
      <c r="E613" t="inlineStr">
        <is>
          <t>GOTLAND</t>
        </is>
      </c>
      <c r="G613" t="n">
        <v>2.8</v>
      </c>
      <c r="H613" t="n">
        <v>0</v>
      </c>
      <c r="I613" t="n">
        <v>0</v>
      </c>
      <c r="J613" t="n">
        <v>0</v>
      </c>
      <c r="K613" t="n">
        <v>0</v>
      </c>
      <c r="L613" t="n">
        <v>0</v>
      </c>
      <c r="M613" t="n">
        <v>0</v>
      </c>
      <c r="N613" t="n">
        <v>0</v>
      </c>
      <c r="O613" t="n">
        <v>0</v>
      </c>
      <c r="P613" t="n">
        <v>0</v>
      </c>
      <c r="Q613" t="n">
        <v>0</v>
      </c>
      <c r="R613" s="2" t="inlineStr"/>
    </row>
    <row r="614" ht="15" customHeight="1">
      <c r="A614" t="inlineStr">
        <is>
          <t>A 20993-2023</t>
        </is>
      </c>
      <c r="B614" s="1" t="n">
        <v>45056</v>
      </c>
      <c r="C614" s="1" t="n">
        <v>46072</v>
      </c>
      <c r="D614" t="inlineStr">
        <is>
          <t>GOTLANDS LÄN</t>
        </is>
      </c>
      <c r="E614" t="inlineStr">
        <is>
          <t>GOTLAND</t>
        </is>
      </c>
      <c r="G614" t="n">
        <v>7.1</v>
      </c>
      <c r="H614" t="n">
        <v>0</v>
      </c>
      <c r="I614" t="n">
        <v>0</v>
      </c>
      <c r="J614" t="n">
        <v>0</v>
      </c>
      <c r="K614" t="n">
        <v>0</v>
      </c>
      <c r="L614" t="n">
        <v>0</v>
      </c>
      <c r="M614" t="n">
        <v>0</v>
      </c>
      <c r="N614" t="n">
        <v>0</v>
      </c>
      <c r="O614" t="n">
        <v>0</v>
      </c>
      <c r="P614" t="n">
        <v>0</v>
      </c>
      <c r="Q614" t="n">
        <v>0</v>
      </c>
      <c r="R614" s="2" t="inlineStr"/>
    </row>
    <row r="615" ht="15" customHeight="1">
      <c r="A615" t="inlineStr">
        <is>
          <t>A 15042-2025</t>
        </is>
      </c>
      <c r="B615" s="1" t="n">
        <v>45743</v>
      </c>
      <c r="C615" s="1" t="n">
        <v>46072</v>
      </c>
      <c r="D615" t="inlineStr">
        <is>
          <t>GOTLANDS LÄN</t>
        </is>
      </c>
      <c r="E615" t="inlineStr">
        <is>
          <t>GOTLAND</t>
        </is>
      </c>
      <c r="G615" t="n">
        <v>8.5</v>
      </c>
      <c r="H615" t="n">
        <v>0</v>
      </c>
      <c r="I615" t="n">
        <v>0</v>
      </c>
      <c r="J615" t="n">
        <v>0</v>
      </c>
      <c r="K615" t="n">
        <v>0</v>
      </c>
      <c r="L615" t="n">
        <v>0</v>
      </c>
      <c r="M615" t="n">
        <v>0</v>
      </c>
      <c r="N615" t="n">
        <v>0</v>
      </c>
      <c r="O615" t="n">
        <v>0</v>
      </c>
      <c r="P615" t="n">
        <v>0</v>
      </c>
      <c r="Q615" t="n">
        <v>0</v>
      </c>
      <c r="R615" s="2" t="inlineStr"/>
    </row>
    <row r="616" ht="15" customHeight="1">
      <c r="A616" t="inlineStr">
        <is>
          <t>A 12327-2025</t>
        </is>
      </c>
      <c r="B616" s="1" t="n">
        <v>45730</v>
      </c>
      <c r="C616" s="1" t="n">
        <v>46072</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4420-2025</t>
        </is>
      </c>
      <c r="B617" s="1" t="n">
        <v>45686.47157407407</v>
      </c>
      <c r="C617" s="1" t="n">
        <v>46072</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14427-2024</t>
        </is>
      </c>
      <c r="B618" s="1" t="n">
        <v>45394</v>
      </c>
      <c r="C618" s="1" t="n">
        <v>46072</v>
      </c>
      <c r="D618" t="inlineStr">
        <is>
          <t>GOTLANDS LÄN</t>
        </is>
      </c>
      <c r="E618" t="inlineStr">
        <is>
          <t>GOTLAND</t>
        </is>
      </c>
      <c r="G618" t="n">
        <v>1.3</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46072</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49315-2024</t>
        </is>
      </c>
      <c r="B620" s="1" t="n">
        <v>45595</v>
      </c>
      <c r="C620" s="1" t="n">
        <v>46072</v>
      </c>
      <c r="D620" t="inlineStr">
        <is>
          <t>GOTLANDS LÄN</t>
        </is>
      </c>
      <c r="E620" t="inlineStr">
        <is>
          <t>GOTLAND</t>
        </is>
      </c>
      <c r="G620" t="n">
        <v>1.5</v>
      </c>
      <c r="H620" t="n">
        <v>0</v>
      </c>
      <c r="I620" t="n">
        <v>0</v>
      </c>
      <c r="J620" t="n">
        <v>0</v>
      </c>
      <c r="K620" t="n">
        <v>0</v>
      </c>
      <c r="L620" t="n">
        <v>0</v>
      </c>
      <c r="M620" t="n">
        <v>0</v>
      </c>
      <c r="N620" t="n">
        <v>0</v>
      </c>
      <c r="O620" t="n">
        <v>0</v>
      </c>
      <c r="P620" t="n">
        <v>0</v>
      </c>
      <c r="Q620" t="n">
        <v>0</v>
      </c>
      <c r="R620" s="2" t="inlineStr"/>
    </row>
    <row r="621" ht="15" customHeight="1">
      <c r="A621" t="inlineStr">
        <is>
          <t>A 27596-2023</t>
        </is>
      </c>
      <c r="B621" s="1" t="n">
        <v>45097</v>
      </c>
      <c r="C621" s="1" t="n">
        <v>46072</v>
      </c>
      <c r="D621" t="inlineStr">
        <is>
          <t>GOTLANDS LÄN</t>
        </is>
      </c>
      <c r="E621" t="inlineStr">
        <is>
          <t>GOTLAND</t>
        </is>
      </c>
      <c r="G621" t="n">
        <v>3.6</v>
      </c>
      <c r="H621" t="n">
        <v>0</v>
      </c>
      <c r="I621" t="n">
        <v>0</v>
      </c>
      <c r="J621" t="n">
        <v>0</v>
      </c>
      <c r="K621" t="n">
        <v>0</v>
      </c>
      <c r="L621" t="n">
        <v>0</v>
      </c>
      <c r="M621" t="n">
        <v>0</v>
      </c>
      <c r="N621" t="n">
        <v>0</v>
      </c>
      <c r="O621" t="n">
        <v>0</v>
      </c>
      <c r="P621" t="n">
        <v>0</v>
      </c>
      <c r="Q621" t="n">
        <v>0</v>
      </c>
      <c r="R621" s="2" t="inlineStr"/>
    </row>
    <row r="622" ht="15" customHeight="1">
      <c r="A622" t="inlineStr">
        <is>
          <t>A 56115-2023</t>
        </is>
      </c>
      <c r="B622" s="1" t="n">
        <v>45236</v>
      </c>
      <c r="C622" s="1" t="n">
        <v>46072</v>
      </c>
      <c r="D622" t="inlineStr">
        <is>
          <t>GOTLANDS LÄN</t>
        </is>
      </c>
      <c r="E622" t="inlineStr">
        <is>
          <t>GOTLAND</t>
        </is>
      </c>
      <c r="G622" t="n">
        <v>2</v>
      </c>
      <c r="H622" t="n">
        <v>0</v>
      </c>
      <c r="I622" t="n">
        <v>0</v>
      </c>
      <c r="J622" t="n">
        <v>0</v>
      </c>
      <c r="K622" t="n">
        <v>0</v>
      </c>
      <c r="L622" t="n">
        <v>0</v>
      </c>
      <c r="M622" t="n">
        <v>0</v>
      </c>
      <c r="N622" t="n">
        <v>0</v>
      </c>
      <c r="O622" t="n">
        <v>0</v>
      </c>
      <c r="P622" t="n">
        <v>0</v>
      </c>
      <c r="Q622" t="n">
        <v>0</v>
      </c>
      <c r="R622" s="2" t="inlineStr"/>
    </row>
    <row r="623" ht="15" customHeight="1">
      <c r="A623" t="inlineStr">
        <is>
          <t>A 64969-2023</t>
        </is>
      </c>
      <c r="B623" s="1" t="n">
        <v>45284.54009259259</v>
      </c>
      <c r="C623" s="1" t="n">
        <v>46072</v>
      </c>
      <c r="D623" t="inlineStr">
        <is>
          <t>GOTLANDS LÄN</t>
        </is>
      </c>
      <c r="E623" t="inlineStr">
        <is>
          <t>GOTLAND</t>
        </is>
      </c>
      <c r="G623" t="n">
        <v>1.2</v>
      </c>
      <c r="H623" t="n">
        <v>0</v>
      </c>
      <c r="I623" t="n">
        <v>0</v>
      </c>
      <c r="J623" t="n">
        <v>0</v>
      </c>
      <c r="K623" t="n">
        <v>0</v>
      </c>
      <c r="L623" t="n">
        <v>0</v>
      </c>
      <c r="M623" t="n">
        <v>0</v>
      </c>
      <c r="N623" t="n">
        <v>0</v>
      </c>
      <c r="O623" t="n">
        <v>0</v>
      </c>
      <c r="P623" t="n">
        <v>0</v>
      </c>
      <c r="Q623" t="n">
        <v>0</v>
      </c>
      <c r="R623" s="2" t="inlineStr"/>
    </row>
    <row r="624" ht="15" customHeight="1">
      <c r="A624" t="inlineStr">
        <is>
          <t>A 33853-2024</t>
        </is>
      </c>
      <c r="B624" s="1" t="n">
        <v>45520.64298611111</v>
      </c>
      <c r="C624" s="1" t="n">
        <v>46072</v>
      </c>
      <c r="D624" t="inlineStr">
        <is>
          <t>GOTLANDS LÄN</t>
        </is>
      </c>
      <c r="E624" t="inlineStr">
        <is>
          <t>GOTLAND</t>
        </is>
      </c>
      <c r="G624" t="n">
        <v>3.9</v>
      </c>
      <c r="H624" t="n">
        <v>0</v>
      </c>
      <c r="I624" t="n">
        <v>0</v>
      </c>
      <c r="J624" t="n">
        <v>0</v>
      </c>
      <c r="K624" t="n">
        <v>0</v>
      </c>
      <c r="L624" t="n">
        <v>0</v>
      </c>
      <c r="M624" t="n">
        <v>0</v>
      </c>
      <c r="N624" t="n">
        <v>0</v>
      </c>
      <c r="O624" t="n">
        <v>0</v>
      </c>
      <c r="P624" t="n">
        <v>0</v>
      </c>
      <c r="Q624" t="n">
        <v>0</v>
      </c>
      <c r="R624" s="2" t="inlineStr"/>
    </row>
    <row r="625" ht="15" customHeight="1">
      <c r="A625" t="inlineStr">
        <is>
          <t>A 18223-2025</t>
        </is>
      </c>
      <c r="B625" s="1" t="n">
        <v>45761</v>
      </c>
      <c r="C625" s="1" t="n">
        <v>46072</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46949-2024</t>
        </is>
      </c>
      <c r="B626" s="1" t="n">
        <v>45585</v>
      </c>
      <c r="C626" s="1" t="n">
        <v>46072</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24001-2021</t>
        </is>
      </c>
      <c r="B627" s="1" t="n">
        <v>44335</v>
      </c>
      <c r="C627" s="1" t="n">
        <v>46072</v>
      </c>
      <c r="D627" t="inlineStr">
        <is>
          <t>GOTLANDS LÄN</t>
        </is>
      </c>
      <c r="E627" t="inlineStr">
        <is>
          <t>GOTLAND</t>
        </is>
      </c>
      <c r="G627" t="n">
        <v>3.4</v>
      </c>
      <c r="H627" t="n">
        <v>0</v>
      </c>
      <c r="I627" t="n">
        <v>0</v>
      </c>
      <c r="J627" t="n">
        <v>0</v>
      </c>
      <c r="K627" t="n">
        <v>0</v>
      </c>
      <c r="L627" t="n">
        <v>0</v>
      </c>
      <c r="M627" t="n">
        <v>0</v>
      </c>
      <c r="N627" t="n">
        <v>0</v>
      </c>
      <c r="O627" t="n">
        <v>0</v>
      </c>
      <c r="P627" t="n">
        <v>0</v>
      </c>
      <c r="Q627" t="n">
        <v>0</v>
      </c>
      <c r="R627" s="2" t="inlineStr"/>
    </row>
    <row r="628" ht="15" customHeight="1">
      <c r="A628" t="inlineStr">
        <is>
          <t>A 39479-2022</t>
        </is>
      </c>
      <c r="B628" s="1" t="n">
        <v>44818</v>
      </c>
      <c r="C628" s="1" t="n">
        <v>46072</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46072</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46389-2021</t>
        </is>
      </c>
      <c r="B630" s="1" t="n">
        <v>44443</v>
      </c>
      <c r="C630" s="1" t="n">
        <v>46072</v>
      </c>
      <c r="D630" t="inlineStr">
        <is>
          <t>GOTLANDS LÄN</t>
        </is>
      </c>
      <c r="E630" t="inlineStr">
        <is>
          <t>GOTLAND</t>
        </is>
      </c>
      <c r="F630" t="inlineStr">
        <is>
          <t>Kyrkan</t>
        </is>
      </c>
      <c r="G630" t="n">
        <v>2.1</v>
      </c>
      <c r="H630" t="n">
        <v>0</v>
      </c>
      <c r="I630" t="n">
        <v>0</v>
      </c>
      <c r="J630" t="n">
        <v>0</v>
      </c>
      <c r="K630" t="n">
        <v>0</v>
      </c>
      <c r="L630" t="n">
        <v>0</v>
      </c>
      <c r="M630" t="n">
        <v>0</v>
      </c>
      <c r="N630" t="n">
        <v>0</v>
      </c>
      <c r="O630" t="n">
        <v>0</v>
      </c>
      <c r="P630" t="n">
        <v>0</v>
      </c>
      <c r="Q630" t="n">
        <v>0</v>
      </c>
      <c r="R630" s="2" t="inlineStr"/>
    </row>
    <row r="631" ht="15" customHeight="1">
      <c r="A631" t="inlineStr">
        <is>
          <t>A 44949-2023</t>
        </is>
      </c>
      <c r="B631" s="1" t="n">
        <v>45190.69520833333</v>
      </c>
      <c r="C631" s="1" t="n">
        <v>46072</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17682-2024</t>
        </is>
      </c>
      <c r="B632" s="1" t="n">
        <v>45418.42966435185</v>
      </c>
      <c r="C632" s="1" t="n">
        <v>46072</v>
      </c>
      <c r="D632" t="inlineStr">
        <is>
          <t>GOTLANDS LÄN</t>
        </is>
      </c>
      <c r="E632" t="inlineStr">
        <is>
          <t>GOTLAND</t>
        </is>
      </c>
      <c r="G632" t="n">
        <v>2.9</v>
      </c>
      <c r="H632" t="n">
        <v>0</v>
      </c>
      <c r="I632" t="n">
        <v>0</v>
      </c>
      <c r="J632" t="n">
        <v>0</v>
      </c>
      <c r="K632" t="n">
        <v>0</v>
      </c>
      <c r="L632" t="n">
        <v>0</v>
      </c>
      <c r="M632" t="n">
        <v>0</v>
      </c>
      <c r="N632" t="n">
        <v>0</v>
      </c>
      <c r="O632" t="n">
        <v>0</v>
      </c>
      <c r="P632" t="n">
        <v>0</v>
      </c>
      <c r="Q632" t="n">
        <v>0</v>
      </c>
      <c r="R632" s="2" t="inlineStr"/>
    </row>
    <row r="633" ht="15" customHeight="1">
      <c r="A633" t="inlineStr">
        <is>
          <t>A 61897-2024</t>
        </is>
      </c>
      <c r="B633" s="1" t="n">
        <v>45652.75685185185</v>
      </c>
      <c r="C633" s="1" t="n">
        <v>46072</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12032-2025</t>
        </is>
      </c>
      <c r="B634" s="1" t="n">
        <v>45728.64472222222</v>
      </c>
      <c r="C634" s="1" t="n">
        <v>46072</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15595-2024</t>
        </is>
      </c>
      <c r="B635" s="1" t="n">
        <v>45401.81480324074</v>
      </c>
      <c r="C635" s="1" t="n">
        <v>46072</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21164-2024</t>
        </is>
      </c>
      <c r="B636" s="1" t="n">
        <v>45440</v>
      </c>
      <c r="C636" s="1" t="n">
        <v>46072</v>
      </c>
      <c r="D636" t="inlineStr">
        <is>
          <t>GOTLANDS LÄN</t>
        </is>
      </c>
      <c r="E636" t="inlineStr">
        <is>
          <t>GOTLAND</t>
        </is>
      </c>
      <c r="G636" t="n">
        <v>6.3</v>
      </c>
      <c r="H636" t="n">
        <v>0</v>
      </c>
      <c r="I636" t="n">
        <v>0</v>
      </c>
      <c r="J636" t="n">
        <v>0</v>
      </c>
      <c r="K636" t="n">
        <v>0</v>
      </c>
      <c r="L636" t="n">
        <v>0</v>
      </c>
      <c r="M636" t="n">
        <v>0</v>
      </c>
      <c r="N636" t="n">
        <v>0</v>
      </c>
      <c r="O636" t="n">
        <v>0</v>
      </c>
      <c r="P636" t="n">
        <v>0</v>
      </c>
      <c r="Q636" t="n">
        <v>0</v>
      </c>
      <c r="R636" s="2" t="inlineStr"/>
    </row>
    <row r="637" ht="15" customHeight="1">
      <c r="A637" t="inlineStr">
        <is>
          <t>A 17541-2024</t>
        </is>
      </c>
      <c r="B637" s="1" t="n">
        <v>45415</v>
      </c>
      <c r="C637" s="1" t="n">
        <v>46072</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883-2025</t>
        </is>
      </c>
      <c r="B638" s="1" t="n">
        <v>45665</v>
      </c>
      <c r="C638" s="1" t="n">
        <v>46072</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13910-2025</t>
        </is>
      </c>
      <c r="B639" s="1" t="n">
        <v>45737</v>
      </c>
      <c r="C639" s="1" t="n">
        <v>46072</v>
      </c>
      <c r="D639" t="inlineStr">
        <is>
          <t>GOTLANDS LÄN</t>
        </is>
      </c>
      <c r="E639" t="inlineStr">
        <is>
          <t>GOTLAND</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20794-2025</t>
        </is>
      </c>
      <c r="B640" s="1" t="n">
        <v>45776</v>
      </c>
      <c r="C640" s="1" t="n">
        <v>46072</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20805-2025</t>
        </is>
      </c>
      <c r="B641" s="1" t="n">
        <v>45776</v>
      </c>
      <c r="C641" s="1" t="n">
        <v>46072</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21389-2025</t>
        </is>
      </c>
      <c r="B642" s="1" t="n">
        <v>45782</v>
      </c>
      <c r="C642" s="1" t="n">
        <v>46072</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c r="A643" t="inlineStr">
        <is>
          <t>A 21651-2025</t>
        </is>
      </c>
      <c r="B643" s="1" t="n">
        <v>45783</v>
      </c>
      <c r="C643" s="1" t="n">
        <v>46072</v>
      </c>
      <c r="D643" t="inlineStr">
        <is>
          <t>GOTLANDS LÄN</t>
        </is>
      </c>
      <c r="E643" t="inlineStr">
        <is>
          <t>GOTLAND</t>
        </is>
      </c>
      <c r="G643" t="n">
        <v>4.2</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2026-02-19T14:33:31Z</dcterms:created>
  <dcterms:modified xmlns:dcterms="http://purl.org/dc/terms/" xmlns:xsi="http://www.w3.org/2001/XMLSchema-instance" xsi:type="dcterms:W3CDTF">2026-02-19T14:33:32Z</dcterms:modified>
</cp:coreProperties>
</file>