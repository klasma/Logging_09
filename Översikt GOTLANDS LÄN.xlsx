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45983</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45983</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45983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45983</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45983</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45983</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45983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45983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45983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45983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45983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45983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45983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45983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17766-2024</t>
        </is>
      </c>
      <c r="B54" s="1" t="n">
        <v>45418</v>
      </c>
      <c r="C54" s="1" t="n">
        <v>45983</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45983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45983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45983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27280-2023</t>
        </is>
      </c>
      <c r="B64" s="1" t="n">
        <v>45096</v>
      </c>
      <c r="C64" s="1" t="n">
        <v>45983</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45983</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45983</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45983</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45983</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53584-2025</t>
        </is>
      </c>
      <c r="B69" s="1" t="n">
        <v>45960.43130787037</v>
      </c>
      <c r="C69" s="1" t="n">
        <v>45983</v>
      </c>
      <c r="D69" t="inlineStr">
        <is>
          <t>GOTLANDS LÄN</t>
        </is>
      </c>
      <c r="E69" t="inlineStr">
        <is>
          <t>GOTLAND</t>
        </is>
      </c>
      <c r="F69" t="inlineStr">
        <is>
          <t>Övriga Aktiebolag</t>
        </is>
      </c>
      <c r="G69" t="n">
        <v>18.1</v>
      </c>
      <c r="H69" t="n">
        <v>3</v>
      </c>
      <c r="I69" t="n">
        <v>0</v>
      </c>
      <c r="J69" t="n">
        <v>4</v>
      </c>
      <c r="K69" t="n">
        <v>0</v>
      </c>
      <c r="L69" t="n">
        <v>0</v>
      </c>
      <c r="M69" t="n">
        <v>0</v>
      </c>
      <c r="N69" t="n">
        <v>0</v>
      </c>
      <c r="O69" t="n">
        <v>4</v>
      </c>
      <c r="P69" t="n">
        <v>0</v>
      </c>
      <c r="Q69" t="n">
        <v>6</v>
      </c>
      <c r="R69" s="2" t="inlineStr">
        <is>
          <t>Apollofjäril
Jordtistel
Klasefibbla
Majviva
Gråkråka
Nattviol</t>
        </is>
      </c>
      <c r="S69">
        <f>HYPERLINK("https://klasma.github.io/Logging_0980/artfynd/A 53584-2025 artfynd.xlsx", "A 53584-2025")</f>
        <v/>
      </c>
      <c r="T69">
        <f>HYPERLINK("https://klasma.github.io/Logging_0980/kartor/A 53584-2025 karta.png", "A 53584-2025")</f>
        <v/>
      </c>
      <c r="V69">
        <f>HYPERLINK("https://klasma.github.io/Logging_0980/klagomål/A 53584-2025 FSC-klagomål.docx", "A 53584-2025")</f>
        <v/>
      </c>
      <c r="W69">
        <f>HYPERLINK("https://klasma.github.io/Logging_0980/klagomålsmail/A 53584-2025 FSC-klagomål mail.docx", "A 53584-2025")</f>
        <v/>
      </c>
      <c r="X69">
        <f>HYPERLINK("https://klasma.github.io/Logging_0980/tillsyn/A 53584-2025 tillsynsbegäran.docx", "A 53584-2025")</f>
        <v/>
      </c>
      <c r="Y69">
        <f>HYPERLINK("https://klasma.github.io/Logging_0980/tillsynsmail/A 53584-2025 tillsynsbegäran mail.docx", "A 53584-2025")</f>
        <v/>
      </c>
    </row>
    <row r="70" ht="15" customHeight="1">
      <c r="A70" t="inlineStr">
        <is>
          <t>A 16823-2024</t>
        </is>
      </c>
      <c r="B70" s="1" t="n">
        <v>45411</v>
      </c>
      <c r="C70" s="1" t="n">
        <v>45983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45983</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45983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57773-2025</t>
        </is>
      </c>
      <c r="B73" s="1" t="n">
        <v>45981.56349537037</v>
      </c>
      <c r="C73" s="1" t="n">
        <v>45983</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45983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65819-2020</t>
        </is>
      </c>
      <c r="B75" s="1" t="n">
        <v>44174</v>
      </c>
      <c r="C75" s="1" t="n">
        <v>45983</v>
      </c>
      <c r="D75" t="inlineStr">
        <is>
          <t>GOTLANDS LÄN</t>
        </is>
      </c>
      <c r="E75" t="inlineStr">
        <is>
          <t>GOTLAND</t>
        </is>
      </c>
      <c r="G75" t="n">
        <v>4.3</v>
      </c>
      <c r="H75" t="n">
        <v>1</v>
      </c>
      <c r="I75" t="n">
        <v>3</v>
      </c>
      <c r="J75" t="n">
        <v>1</v>
      </c>
      <c r="K75" t="n">
        <v>2</v>
      </c>
      <c r="L75" t="n">
        <v>0</v>
      </c>
      <c r="M75" t="n">
        <v>0</v>
      </c>
      <c r="N75" t="n">
        <v>0</v>
      </c>
      <c r="O75" t="n">
        <v>3</v>
      </c>
      <c r="P75" t="n">
        <v>2</v>
      </c>
      <c r="Q75" t="n">
        <v>6</v>
      </c>
      <c r="R75" s="2" t="inlineStr">
        <is>
          <t>Tallvaxskivling
Vit taggsvamp
Skugglosta
Blå slemspindling
Kattfotslav
Nästrot</t>
        </is>
      </c>
      <c r="S75">
        <f>HYPERLINK("https://klasma.github.io/Logging_0980/artfynd/A 65819-2020 artfynd.xlsx", "A 65819-2020")</f>
        <v/>
      </c>
      <c r="T75">
        <f>HYPERLINK("https://klasma.github.io/Logging_0980/kartor/A 65819-2020 karta.png", "A 65819-2020")</f>
        <v/>
      </c>
      <c r="V75">
        <f>HYPERLINK("https://klasma.github.io/Logging_0980/klagomål/A 65819-2020 FSC-klagomål.docx", "A 65819-2020")</f>
        <v/>
      </c>
      <c r="W75">
        <f>HYPERLINK("https://klasma.github.io/Logging_0980/klagomålsmail/A 65819-2020 FSC-klagomål mail.docx", "A 65819-2020")</f>
        <v/>
      </c>
      <c r="X75">
        <f>HYPERLINK("https://klasma.github.io/Logging_0980/tillsyn/A 65819-2020 tillsynsbegäran.docx", "A 65819-2020")</f>
        <v/>
      </c>
      <c r="Y75">
        <f>HYPERLINK("https://klasma.github.io/Logging_0980/tillsynsmail/A 65819-2020 tillsynsbegäran mail.docx", "A 65819-2020")</f>
        <v/>
      </c>
    </row>
    <row r="76" ht="15" customHeight="1">
      <c r="A76" t="inlineStr">
        <is>
          <t>A 7038-2023</t>
        </is>
      </c>
      <c r="B76" s="1" t="n">
        <v>44968</v>
      </c>
      <c r="C76" s="1" t="n">
        <v>45983</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45983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45983</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45983</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45983</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45983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44944-2022</t>
        </is>
      </c>
      <c r="B82" s="1" t="n">
        <v>44841</v>
      </c>
      <c r="C82" s="1" t="n">
        <v>45983</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39425-2023</t>
        </is>
      </c>
      <c r="B83" s="1" t="n">
        <v>45166</v>
      </c>
      <c r="C83" s="1" t="n">
        <v>45983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45983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45983</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29331-2021</t>
        </is>
      </c>
      <c r="B86" s="1" t="n">
        <v>44361</v>
      </c>
      <c r="C86" s="1" t="n">
        <v>45983</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5904-2024</t>
        </is>
      </c>
      <c r="B87" s="1" t="n">
        <v>45335</v>
      </c>
      <c r="C87" s="1" t="n">
        <v>45983</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54523-2023</t>
        </is>
      </c>
      <c r="B88" s="1" t="n">
        <v>45233</v>
      </c>
      <c r="C88" s="1" t="n">
        <v>45983</v>
      </c>
      <c r="D88" t="inlineStr">
        <is>
          <t>GOTLANDS LÄN</t>
        </is>
      </c>
      <c r="E88" t="inlineStr">
        <is>
          <t>GOTLAND</t>
        </is>
      </c>
      <c r="G88" t="n">
        <v>3.7</v>
      </c>
      <c r="H88" t="n">
        <v>2</v>
      </c>
      <c r="I88" t="n">
        <v>0</v>
      </c>
      <c r="J88" t="n">
        <v>1</v>
      </c>
      <c r="K88" t="n">
        <v>1</v>
      </c>
      <c r="L88" t="n">
        <v>0</v>
      </c>
      <c r="M88" t="n">
        <v>0</v>
      </c>
      <c r="N88" t="n">
        <v>0</v>
      </c>
      <c r="O88" t="n">
        <v>2</v>
      </c>
      <c r="P88" t="n">
        <v>1</v>
      </c>
      <c r="Q88" t="n">
        <v>4</v>
      </c>
      <c r="R88" s="2" t="inlineStr">
        <is>
          <t>Sommarklynne
Åkerkulla
Brudsporre
Kärrknipprot</t>
        </is>
      </c>
      <c r="S88">
        <f>HYPERLINK("https://klasma.github.io/Logging_0980/artfynd/A 54523-2023 artfynd.xlsx", "A 54523-2023")</f>
        <v/>
      </c>
      <c r="T88">
        <f>HYPERLINK("https://klasma.github.io/Logging_0980/kartor/A 54523-2023 karta.png", "A 54523-2023")</f>
        <v/>
      </c>
      <c r="V88">
        <f>HYPERLINK("https://klasma.github.io/Logging_0980/klagomål/A 54523-2023 FSC-klagomål.docx", "A 54523-2023")</f>
        <v/>
      </c>
      <c r="W88">
        <f>HYPERLINK("https://klasma.github.io/Logging_0980/klagomålsmail/A 54523-2023 FSC-klagomål mail.docx", "A 54523-2023")</f>
        <v/>
      </c>
      <c r="X88">
        <f>HYPERLINK("https://klasma.github.io/Logging_0980/tillsyn/A 54523-2023 tillsynsbegäran.docx", "A 54523-2023")</f>
        <v/>
      </c>
      <c r="Y88">
        <f>HYPERLINK("https://klasma.github.io/Logging_0980/tillsynsmail/A 54523-2023 tillsynsbegäran mail.docx", "A 54523-2023")</f>
        <v/>
      </c>
    </row>
    <row r="89" ht="15" customHeight="1">
      <c r="A89" t="inlineStr">
        <is>
          <t>A 40099-2025</t>
        </is>
      </c>
      <c r="B89" s="1" t="n">
        <v>45894.48462962963</v>
      </c>
      <c r="C89" s="1" t="n">
        <v>45983</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6159-2023</t>
        </is>
      </c>
      <c r="B90" s="1" t="n">
        <v>44964</v>
      </c>
      <c r="C90" s="1" t="n">
        <v>45983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45983</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45983</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64378-2020</t>
        </is>
      </c>
      <c r="B93" s="1" t="n">
        <v>44168</v>
      </c>
      <c r="C93" s="1" t="n">
        <v>45983</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52309-2025</t>
        </is>
      </c>
      <c r="B94" s="1" t="n">
        <v>45953.64381944444</v>
      </c>
      <c r="C94" s="1" t="n">
        <v>45983</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52250-2025</t>
        </is>
      </c>
      <c r="B95" s="1" t="n">
        <v>45953.48998842593</v>
      </c>
      <c r="C95" s="1" t="n">
        <v>45983</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20833-2024</t>
        </is>
      </c>
      <c r="B96" s="1" t="n">
        <v>45439</v>
      </c>
      <c r="C96" s="1" t="n">
        <v>45983</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57463-2025</t>
        </is>
      </c>
      <c r="B97" s="1" t="n">
        <v>45980.54174768519</v>
      </c>
      <c r="C97" s="1" t="n">
        <v>45983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44933-2022</t>
        </is>
      </c>
      <c r="B98" s="1" t="n">
        <v>44841</v>
      </c>
      <c r="C98" s="1" t="n">
        <v>45983</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45983</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45983</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45983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45983</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65537-2020</t>
        </is>
      </c>
      <c r="B103" s="1" t="n">
        <v>44173</v>
      </c>
      <c r="C103" s="1" t="n">
        <v>45983</v>
      </c>
      <c r="D103" t="inlineStr">
        <is>
          <t>GOTLANDS LÄN</t>
        </is>
      </c>
      <c r="E103" t="inlineStr">
        <is>
          <t>GOTLAND</t>
        </is>
      </c>
      <c r="G103" t="n">
        <v>1.6</v>
      </c>
      <c r="H103" t="n">
        <v>0</v>
      </c>
      <c r="I103" t="n">
        <v>0</v>
      </c>
      <c r="J103" t="n">
        <v>3</v>
      </c>
      <c r="K103" t="n">
        <v>0</v>
      </c>
      <c r="L103" t="n">
        <v>0</v>
      </c>
      <c r="M103" t="n">
        <v>0</v>
      </c>
      <c r="N103" t="n">
        <v>0</v>
      </c>
      <c r="O103" t="n">
        <v>3</v>
      </c>
      <c r="P103" t="n">
        <v>0</v>
      </c>
      <c r="Q103" t="n">
        <v>3</v>
      </c>
      <c r="R103" s="2" t="inlineStr">
        <is>
          <t>Axveronika
Backtimjan
Solvända</t>
        </is>
      </c>
      <c r="S103">
        <f>HYPERLINK("https://klasma.github.io/Logging_0980/artfynd/A 65537-2020 artfynd.xlsx", "A 65537-2020")</f>
        <v/>
      </c>
      <c r="T103">
        <f>HYPERLINK("https://klasma.github.io/Logging_0980/kartor/A 65537-2020 karta.png", "A 65537-2020")</f>
        <v/>
      </c>
      <c r="V103">
        <f>HYPERLINK("https://klasma.github.io/Logging_0980/klagomål/A 65537-2020 FSC-klagomål.docx", "A 65537-2020")</f>
        <v/>
      </c>
      <c r="W103">
        <f>HYPERLINK("https://klasma.github.io/Logging_0980/klagomålsmail/A 65537-2020 FSC-klagomål mail.docx", "A 65537-2020")</f>
        <v/>
      </c>
      <c r="X103">
        <f>HYPERLINK("https://klasma.github.io/Logging_0980/tillsyn/A 65537-2020 tillsynsbegäran.docx", "A 65537-2020")</f>
        <v/>
      </c>
      <c r="Y103">
        <f>HYPERLINK("https://klasma.github.io/Logging_0980/tillsynsmail/A 65537-2020 tillsynsbegäran mail.docx", "A 65537-2020")</f>
        <v/>
      </c>
    </row>
    <row r="104" ht="15" customHeight="1">
      <c r="A104" t="inlineStr">
        <is>
          <t>A 44323-2021</t>
        </is>
      </c>
      <c r="B104" s="1" t="n">
        <v>44434</v>
      </c>
      <c r="C104" s="1" t="n">
        <v>45983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45983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45983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45983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45983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45983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45983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45983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45983</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45983</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45983</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49709-2025</t>
        </is>
      </c>
      <c r="B115" s="1" t="n">
        <v>45939.68228009259</v>
      </c>
      <c r="C115" s="1" t="n">
        <v>45983</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53552-2021</t>
        </is>
      </c>
      <c r="B116" s="1" t="n">
        <v>44468</v>
      </c>
      <c r="C116" s="1" t="n">
        <v>45983</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45983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45983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45983</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45983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62326-2020</t>
        </is>
      </c>
      <c r="B121" s="1" t="n">
        <v>44160</v>
      </c>
      <c r="C121" s="1" t="n">
        <v>45983</v>
      </c>
      <c r="D121" t="inlineStr">
        <is>
          <t>GOTLANDS LÄN</t>
        </is>
      </c>
      <c r="E121" t="inlineStr">
        <is>
          <t>GOTLAND</t>
        </is>
      </c>
      <c r="G121" t="n">
        <v>7.4</v>
      </c>
      <c r="H121" t="n">
        <v>1</v>
      </c>
      <c r="I121" t="n">
        <v>3</v>
      </c>
      <c r="J121" t="n">
        <v>0</v>
      </c>
      <c r="K121" t="n">
        <v>0</v>
      </c>
      <c r="L121" t="n">
        <v>0</v>
      </c>
      <c r="M121" t="n">
        <v>0</v>
      </c>
      <c r="N121" t="n">
        <v>0</v>
      </c>
      <c r="O121" t="n">
        <v>0</v>
      </c>
      <c r="P121" t="n">
        <v>0</v>
      </c>
      <c r="Q121" t="n">
        <v>3</v>
      </c>
      <c r="R121" s="2" t="inlineStr">
        <is>
          <t>Anisspindling
Blåmossa
Skogsknipprot</t>
        </is>
      </c>
      <c r="S121">
        <f>HYPERLINK("https://klasma.github.io/Logging_0980/artfynd/A 62326-2020 artfynd.xlsx", "A 62326-2020")</f>
        <v/>
      </c>
      <c r="T121">
        <f>HYPERLINK("https://klasma.github.io/Logging_0980/kartor/A 62326-2020 karta.png", "A 62326-2020")</f>
        <v/>
      </c>
      <c r="V121">
        <f>HYPERLINK("https://klasma.github.io/Logging_0980/klagomål/A 62326-2020 FSC-klagomål.docx", "A 62326-2020")</f>
        <v/>
      </c>
      <c r="W121">
        <f>HYPERLINK("https://klasma.github.io/Logging_0980/klagomålsmail/A 62326-2020 FSC-klagomål mail.docx", "A 62326-2020")</f>
        <v/>
      </c>
      <c r="X121">
        <f>HYPERLINK("https://klasma.github.io/Logging_0980/tillsyn/A 62326-2020 tillsynsbegäran.docx", "A 62326-2020")</f>
        <v/>
      </c>
      <c r="Y121">
        <f>HYPERLINK("https://klasma.github.io/Logging_0980/tillsynsmail/A 62326-2020 tillsynsbegäran mail.docx", "A 62326-2020")</f>
        <v/>
      </c>
    </row>
    <row r="122" ht="15" customHeight="1">
      <c r="A122" t="inlineStr">
        <is>
          <t>A 73144-2021</t>
        </is>
      </c>
      <c r="B122" s="1" t="n">
        <v>44550</v>
      </c>
      <c r="C122" s="1" t="n">
        <v>45983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45983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45983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45983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45983</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45983</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45983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45983</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52245-2025</t>
        </is>
      </c>
      <c r="B130" s="1" t="n">
        <v>45953.47115740741</v>
      </c>
      <c r="C130" s="1" t="n">
        <v>45983</v>
      </c>
      <c r="D130" t="inlineStr">
        <is>
          <t>GOTLANDS LÄN</t>
        </is>
      </c>
      <c r="E130" t="inlineStr">
        <is>
          <t>GOTLAND</t>
        </is>
      </c>
      <c r="F130" t="inlineStr">
        <is>
          <t>Övriga Aktiebolag</t>
        </is>
      </c>
      <c r="G130" t="n">
        <v>10.1</v>
      </c>
      <c r="H130" t="n">
        <v>0</v>
      </c>
      <c r="I130" t="n">
        <v>1</v>
      </c>
      <c r="J130" t="n">
        <v>0</v>
      </c>
      <c r="K130" t="n">
        <v>1</v>
      </c>
      <c r="L130" t="n">
        <v>0</v>
      </c>
      <c r="M130" t="n">
        <v>0</v>
      </c>
      <c r="N130" t="n">
        <v>0</v>
      </c>
      <c r="O130" t="n">
        <v>1</v>
      </c>
      <c r="P130" t="n">
        <v>1</v>
      </c>
      <c r="Q130" t="n">
        <v>2</v>
      </c>
      <c r="R130" s="2" t="inlineStr">
        <is>
          <t>Källnate
Underviol</t>
        </is>
      </c>
      <c r="S130">
        <f>HYPERLINK("https://klasma.github.io/Logging_0980/artfynd/A 52245-2025 artfynd.xlsx", "A 52245-2025")</f>
        <v/>
      </c>
      <c r="T130">
        <f>HYPERLINK("https://klasma.github.io/Logging_0980/kartor/A 52245-2025 karta.png", "A 52245-2025")</f>
        <v/>
      </c>
      <c r="V130">
        <f>HYPERLINK("https://klasma.github.io/Logging_0980/klagomål/A 52245-2025 FSC-klagomål.docx", "A 52245-2025")</f>
        <v/>
      </c>
      <c r="W130">
        <f>HYPERLINK("https://klasma.github.io/Logging_0980/klagomålsmail/A 52245-2025 FSC-klagomål mail.docx", "A 52245-2025")</f>
        <v/>
      </c>
      <c r="X130">
        <f>HYPERLINK("https://klasma.github.io/Logging_0980/tillsyn/A 52245-2025 tillsynsbegäran.docx", "A 52245-2025")</f>
        <v/>
      </c>
      <c r="Y130">
        <f>HYPERLINK("https://klasma.github.io/Logging_0980/tillsynsmail/A 52245-2025 tillsynsbegäran mail.docx", "A 52245-2025")</f>
        <v/>
      </c>
    </row>
    <row r="131" ht="15" customHeight="1">
      <c r="A131" t="inlineStr">
        <is>
          <t>A 20838-2024</t>
        </is>
      </c>
      <c r="B131" s="1" t="n">
        <v>45439</v>
      </c>
      <c r="C131" s="1" t="n">
        <v>45983</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45983</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45983</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45983</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45983</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45983</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45983</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45983</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45983</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45983</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45983</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45983</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45983</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45983</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10440-2024</t>
        </is>
      </c>
      <c r="B148" s="1" t="n">
        <v>45366.32818287037</v>
      </c>
      <c r="C148" s="1" t="n">
        <v>45983</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45983</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45983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26461-2025</t>
        </is>
      </c>
      <c r="B151" s="1" t="n">
        <v>45807.43337962963</v>
      </c>
      <c r="C151" s="1" t="n">
        <v>45983</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65927-2021</t>
        </is>
      </c>
      <c r="B152" s="1" t="n">
        <v>44516</v>
      </c>
      <c r="C152" s="1" t="n">
        <v>45983</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61796-2022</t>
        </is>
      </c>
      <c r="B153" s="1" t="n">
        <v>44917</v>
      </c>
      <c r="C153" s="1" t="n">
        <v>45983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35467-2021</t>
        </is>
      </c>
      <c r="B154" s="1" t="n">
        <v>44385</v>
      </c>
      <c r="C154" s="1" t="n">
        <v>45983</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45983</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15637-2024</t>
        </is>
      </c>
      <c r="B156" s="1" t="n">
        <v>45403.6684837963</v>
      </c>
      <c r="C156" s="1" t="n">
        <v>45983</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34141-2024</t>
        </is>
      </c>
      <c r="B157" s="1" t="n">
        <v>45524.36229166666</v>
      </c>
      <c r="C157" s="1" t="n">
        <v>45983</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9862-2024</t>
        </is>
      </c>
      <c r="B158" s="1" t="n">
        <v>45363</v>
      </c>
      <c r="C158" s="1" t="n">
        <v>45983</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2476-2025</t>
        </is>
      </c>
      <c r="B159" s="1" t="n">
        <v>45673</v>
      </c>
      <c r="C159" s="1" t="n">
        <v>45983</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45983</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56687-2025</t>
        </is>
      </c>
      <c r="B161" s="1" t="n">
        <v>45975.84065972222</v>
      </c>
      <c r="C161" s="1" t="n">
        <v>45983</v>
      </c>
      <c r="D161" t="inlineStr">
        <is>
          <t>GOTLANDS LÄN</t>
        </is>
      </c>
      <c r="E161" t="inlineStr">
        <is>
          <t>GOTLAND</t>
        </is>
      </c>
      <c r="G161" t="n">
        <v>2.4</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56687-2025 artfynd.xlsx", "A 56687-2025")</f>
        <v/>
      </c>
      <c r="T161">
        <f>HYPERLINK("https://klasma.github.io/Logging_0980/kartor/A 56687-2025 karta.png", "A 56687-2025")</f>
        <v/>
      </c>
      <c r="V161">
        <f>HYPERLINK("https://klasma.github.io/Logging_0980/klagomål/A 56687-2025 FSC-klagomål.docx", "A 56687-2025")</f>
        <v/>
      </c>
      <c r="W161">
        <f>HYPERLINK("https://klasma.github.io/Logging_0980/klagomålsmail/A 56687-2025 FSC-klagomål mail.docx", "A 56687-2025")</f>
        <v/>
      </c>
      <c r="X161">
        <f>HYPERLINK("https://klasma.github.io/Logging_0980/tillsyn/A 56687-2025 tillsynsbegäran.docx", "A 56687-2025")</f>
        <v/>
      </c>
      <c r="Y161">
        <f>HYPERLINK("https://klasma.github.io/Logging_0980/tillsynsmail/A 56687-2025 tillsynsbegäran mail.docx", "A 56687-2025")</f>
        <v/>
      </c>
    </row>
    <row r="162" ht="15" customHeight="1">
      <c r="A162" t="inlineStr">
        <is>
          <t>A 12924-2025</t>
        </is>
      </c>
      <c r="B162" s="1" t="n">
        <v>45734</v>
      </c>
      <c r="C162" s="1" t="n">
        <v>45983</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45983</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45983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45983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49726-2025</t>
        </is>
      </c>
      <c r="B166" s="1" t="n">
        <v>45939.84466435185</v>
      </c>
      <c r="C166" s="1" t="n">
        <v>45983</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45983</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44308-2021</t>
        </is>
      </c>
      <c r="B168" s="1" t="n">
        <v>44434</v>
      </c>
      <c r="C168" s="1" t="n">
        <v>45983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45983</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45983</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45983</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45983</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45983</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45983</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45983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45983</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45983</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6303-2024</t>
        </is>
      </c>
      <c r="B178" s="1" t="n">
        <v>45338.35376157407</v>
      </c>
      <c r="C178" s="1" t="n">
        <v>45983</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34809-2024</t>
        </is>
      </c>
      <c r="B179" s="1" t="n">
        <v>45526</v>
      </c>
      <c r="C179" s="1" t="n">
        <v>45983</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45983</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63299-2020</t>
        </is>
      </c>
      <c r="B181" s="1" t="n">
        <v>44165</v>
      </c>
      <c r="C181" s="1" t="n">
        <v>45983</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45983</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45983</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45983</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45983</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45983</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45983</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45983</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37591-2023</t>
        </is>
      </c>
      <c r="B189" s="1" t="n">
        <v>45159</v>
      </c>
      <c r="C189" s="1" t="n">
        <v>45983</v>
      </c>
      <c r="D189" t="inlineStr">
        <is>
          <t>GOTLANDS LÄN</t>
        </is>
      </c>
      <c r="E189" t="inlineStr">
        <is>
          <t>GOTLAND</t>
        </is>
      </c>
      <c r="G189" t="n">
        <v>8.300000000000001</v>
      </c>
      <c r="H189" t="n">
        <v>0</v>
      </c>
      <c r="I189" t="n">
        <v>0</v>
      </c>
      <c r="J189" t="n">
        <v>1</v>
      </c>
      <c r="K189" t="n">
        <v>0</v>
      </c>
      <c r="L189" t="n">
        <v>0</v>
      </c>
      <c r="M189" t="n">
        <v>0</v>
      </c>
      <c r="N189" t="n">
        <v>0</v>
      </c>
      <c r="O189" t="n">
        <v>1</v>
      </c>
      <c r="P189" t="n">
        <v>0</v>
      </c>
      <c r="Q189" t="n">
        <v>1</v>
      </c>
      <c r="R189" s="2" t="inlineStr">
        <is>
          <t>Ängsstarr</t>
        </is>
      </c>
      <c r="S189">
        <f>HYPERLINK("https://klasma.github.io/Logging_0980/artfynd/A 37591-2023 artfynd.xlsx", "A 37591-2023")</f>
        <v/>
      </c>
      <c r="T189">
        <f>HYPERLINK("https://klasma.github.io/Logging_0980/kartor/A 37591-2023 karta.png", "A 37591-2023")</f>
        <v/>
      </c>
      <c r="V189">
        <f>HYPERLINK("https://klasma.github.io/Logging_0980/klagomål/A 37591-2023 FSC-klagomål.docx", "A 37591-2023")</f>
        <v/>
      </c>
      <c r="W189">
        <f>HYPERLINK("https://klasma.github.io/Logging_0980/klagomålsmail/A 37591-2023 FSC-klagomål mail.docx", "A 37591-2023")</f>
        <v/>
      </c>
      <c r="X189">
        <f>HYPERLINK("https://klasma.github.io/Logging_0980/tillsyn/A 37591-2023 tillsynsbegäran.docx", "A 37591-2023")</f>
        <v/>
      </c>
      <c r="Y189">
        <f>HYPERLINK("https://klasma.github.io/Logging_0980/tillsynsmail/A 37591-2023 tillsynsbegäran mail.docx", "A 37591-2023")</f>
        <v/>
      </c>
    </row>
    <row r="190" ht="15" customHeight="1">
      <c r="A190" t="inlineStr">
        <is>
          <t>A 21466-2025</t>
        </is>
      </c>
      <c r="B190" s="1" t="n">
        <v>45782</v>
      </c>
      <c r="C190" s="1" t="n">
        <v>45983</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45983</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45983</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45983</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45983</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45983</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45983</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45983</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45983</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45983</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45983</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45983</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45983</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45983</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45983</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45983</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45983</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45983</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45983</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45983</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45983</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45983</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45983</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45983</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45983</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45983</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45983</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45983</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45983</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45983</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45983</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45983</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45983</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45983</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45983</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45983</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45983</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45983</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45983</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45983</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45983</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45983</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45983</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45983</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45983</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45983</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45983</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45983</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32330-2024</t>
        </is>
      </c>
      <c r="B248" s="1" t="n">
        <v>45512</v>
      </c>
      <c r="C248" s="1" t="n">
        <v>45983</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45983</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45983</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45983</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45983</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45983</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45983</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57356-2023</t>
        </is>
      </c>
      <c r="B255" s="1" t="n">
        <v>45240</v>
      </c>
      <c r="C255" s="1" t="n">
        <v>45983</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45983</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45983</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45983</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45983</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48503-2023</t>
        </is>
      </c>
      <c r="B260" s="1" t="n">
        <v>45207</v>
      </c>
      <c r="C260" s="1" t="n">
        <v>45983</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45983</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65901-2021</t>
        </is>
      </c>
      <c r="B262" s="1" t="n">
        <v>44516</v>
      </c>
      <c r="C262" s="1" t="n">
        <v>45983</v>
      </c>
      <c r="D262" t="inlineStr">
        <is>
          <t>GOTLANDS LÄN</t>
        </is>
      </c>
      <c r="E262" t="inlineStr">
        <is>
          <t>GOTLAND</t>
        </is>
      </c>
      <c r="G262" t="n">
        <v>4.9</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45983</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23473-2025</t>
        </is>
      </c>
      <c r="B264" s="1" t="n">
        <v>45792</v>
      </c>
      <c r="C264" s="1" t="n">
        <v>45983</v>
      </c>
      <c r="D264" t="inlineStr">
        <is>
          <t>GOTLANDS LÄN</t>
        </is>
      </c>
      <c r="E264" t="inlineStr">
        <is>
          <t>GOTLAND</t>
        </is>
      </c>
      <c r="G264" t="n">
        <v>3.6</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45983</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9947-2024</t>
        </is>
      </c>
      <c r="B266" s="1" t="n">
        <v>45363</v>
      </c>
      <c r="C266" s="1" t="n">
        <v>45983</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45983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45983</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44304-2021</t>
        </is>
      </c>
      <c r="B269" s="1" t="n">
        <v>44434</v>
      </c>
      <c r="C269" s="1" t="n">
        <v>45983</v>
      </c>
      <c r="D269" t="inlineStr">
        <is>
          <t>GOTLANDS LÄN</t>
        </is>
      </c>
      <c r="E269" t="inlineStr">
        <is>
          <t>GOTLAND</t>
        </is>
      </c>
      <c r="G269" t="n">
        <v>5.8</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45983</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45983</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15073-2025</t>
        </is>
      </c>
      <c r="B272" s="1" t="n">
        <v>45743</v>
      </c>
      <c r="C272" s="1" t="n">
        <v>45983</v>
      </c>
      <c r="D272" t="inlineStr">
        <is>
          <t>GOTLANDS LÄN</t>
        </is>
      </c>
      <c r="E272" t="inlineStr">
        <is>
          <t>GOTLAND</t>
        </is>
      </c>
      <c r="G272" t="n">
        <v>12.1</v>
      </c>
      <c r="H272" t="n">
        <v>0</v>
      </c>
      <c r="I272" t="n">
        <v>0</v>
      </c>
      <c r="J272" t="n">
        <v>0</v>
      </c>
      <c r="K272" t="n">
        <v>0</v>
      </c>
      <c r="L272" t="n">
        <v>0</v>
      </c>
      <c r="M272" t="n">
        <v>0</v>
      </c>
      <c r="N272" t="n">
        <v>0</v>
      </c>
      <c r="O272" t="n">
        <v>0</v>
      </c>
      <c r="P272" t="n">
        <v>0</v>
      </c>
      <c r="Q272" t="n">
        <v>0</v>
      </c>
      <c r="R272" s="2" t="inlineStr"/>
    </row>
    <row r="273" ht="15" customHeight="1">
      <c r="A273" t="inlineStr">
        <is>
          <t>A 35142-2025</t>
        </is>
      </c>
      <c r="B273" s="1" t="n">
        <v>45852.65532407408</v>
      </c>
      <c r="C273" s="1" t="n">
        <v>45983</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45983</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45983</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6749-2025</t>
        </is>
      </c>
      <c r="B276" s="1" t="n">
        <v>45700</v>
      </c>
      <c r="C276" s="1" t="n">
        <v>45983</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45983</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27593-2023</t>
        </is>
      </c>
      <c r="B278" s="1" t="n">
        <v>45097</v>
      </c>
      <c r="C278" s="1" t="n">
        <v>45983</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45983</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45983</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45983</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45983</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63516-2023</t>
        </is>
      </c>
      <c r="B283" s="1" t="n">
        <v>45274</v>
      </c>
      <c r="C283" s="1" t="n">
        <v>45983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38649-2025</t>
        </is>
      </c>
      <c r="B284" s="1" t="n">
        <v>45884</v>
      </c>
      <c r="C284" s="1" t="n">
        <v>45983</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45983</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45983</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45983</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45983</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45983</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45983</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45983</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45983</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45983</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1681-2023</t>
        </is>
      </c>
      <c r="B294" s="1" t="n">
        <v>44938.39715277778</v>
      </c>
      <c r="C294" s="1" t="n">
        <v>45983</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45983</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45983</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50421-2025</t>
        </is>
      </c>
      <c r="B297" s="1" t="n">
        <v>45944.66049768519</v>
      </c>
      <c r="C297" s="1" t="n">
        <v>45983</v>
      </c>
      <c r="D297" t="inlineStr">
        <is>
          <t>GOTLANDS LÄN</t>
        </is>
      </c>
      <c r="E297" t="inlineStr">
        <is>
          <t>GOTLAND</t>
        </is>
      </c>
      <c r="G297" t="n">
        <v>3.9</v>
      </c>
      <c r="H297" t="n">
        <v>0</v>
      </c>
      <c r="I297" t="n">
        <v>0</v>
      </c>
      <c r="J297" t="n">
        <v>0</v>
      </c>
      <c r="K297" t="n">
        <v>0</v>
      </c>
      <c r="L297" t="n">
        <v>0</v>
      </c>
      <c r="M297" t="n">
        <v>0</v>
      </c>
      <c r="N297" t="n">
        <v>0</v>
      </c>
      <c r="O297" t="n">
        <v>0</v>
      </c>
      <c r="P297" t="n">
        <v>0</v>
      </c>
      <c r="Q297" t="n">
        <v>0</v>
      </c>
      <c r="R297" s="2" t="inlineStr"/>
    </row>
    <row r="298" ht="15" customHeight="1">
      <c r="A298" t="inlineStr">
        <is>
          <t>A 41435-2025</t>
        </is>
      </c>
      <c r="B298" s="1" t="n">
        <v>45901.39974537037</v>
      </c>
      <c r="C298" s="1" t="n">
        <v>45983</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45983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58780-2024</t>
        </is>
      </c>
      <c r="B300" s="1" t="n">
        <v>45635.84113425926</v>
      </c>
      <c r="C300" s="1" t="n">
        <v>45983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50431-2025</t>
        </is>
      </c>
      <c r="B301" s="1" t="n">
        <v>45944.68453703704</v>
      </c>
      <c r="C301" s="1" t="n">
        <v>45983</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45983</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45983</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45983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45983</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45983</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28285-2024</t>
        </is>
      </c>
      <c r="B307" s="1" t="n">
        <v>45477</v>
      </c>
      <c r="C307" s="1" t="n">
        <v>45983</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61100-2022</t>
        </is>
      </c>
      <c r="B308" s="1" t="n">
        <v>44915</v>
      </c>
      <c r="C308" s="1" t="n">
        <v>45983</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26465-2025</t>
        </is>
      </c>
      <c r="B309" s="1" t="n">
        <v>45807.44377314814</v>
      </c>
      <c r="C309" s="1" t="n">
        <v>45983</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50928-2025</t>
        </is>
      </c>
      <c r="B310" s="1" t="n">
        <v>45946.67896990741</v>
      </c>
      <c r="C310" s="1" t="n">
        <v>45983</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45983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26660-2025</t>
        </is>
      </c>
      <c r="B312" s="1" t="n">
        <v>45810.39737268518</v>
      </c>
      <c r="C312" s="1" t="n">
        <v>45983</v>
      </c>
      <c r="D312" t="inlineStr">
        <is>
          <t>GOTLANDS LÄN</t>
        </is>
      </c>
      <c r="E312" t="inlineStr">
        <is>
          <t>GOTLAND</t>
        </is>
      </c>
      <c r="G312" t="n">
        <v>1.8</v>
      </c>
      <c r="H312" t="n">
        <v>0</v>
      </c>
      <c r="I312" t="n">
        <v>0</v>
      </c>
      <c r="J312" t="n">
        <v>0</v>
      </c>
      <c r="K312" t="n">
        <v>0</v>
      </c>
      <c r="L312" t="n">
        <v>0</v>
      </c>
      <c r="M312" t="n">
        <v>0</v>
      </c>
      <c r="N312" t="n">
        <v>0</v>
      </c>
      <c r="O312" t="n">
        <v>0</v>
      </c>
      <c r="P312" t="n">
        <v>0</v>
      </c>
      <c r="Q312" t="n">
        <v>0</v>
      </c>
      <c r="R312" s="2" t="inlineStr"/>
    </row>
    <row r="313" ht="15" customHeight="1">
      <c r="A313" t="inlineStr">
        <is>
          <t>A 27371-2025</t>
        </is>
      </c>
      <c r="B313" s="1" t="n">
        <v>45812</v>
      </c>
      <c r="C313" s="1" t="n">
        <v>45983</v>
      </c>
      <c r="D313" t="inlineStr">
        <is>
          <t>GOTLANDS LÄN</t>
        </is>
      </c>
      <c r="E313" t="inlineStr">
        <is>
          <t>GOTLAND</t>
        </is>
      </c>
      <c r="G313" t="n">
        <v>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45983</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51262-2025</t>
        </is>
      </c>
      <c r="B315" s="1" t="n">
        <v>45949.49872685185</v>
      </c>
      <c r="C315" s="1" t="n">
        <v>45983</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45983</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7850-2025</t>
        </is>
      </c>
      <c r="B317" s="1" t="n">
        <v>45706</v>
      </c>
      <c r="C317" s="1" t="n">
        <v>45983</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45983</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45983</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8444-2025</t>
        </is>
      </c>
      <c r="B320" s="1" t="n">
        <v>45709</v>
      </c>
      <c r="C320" s="1" t="n">
        <v>45983</v>
      </c>
      <c r="D320" t="inlineStr">
        <is>
          <t>GOTLANDS LÄN</t>
        </is>
      </c>
      <c r="E320" t="inlineStr">
        <is>
          <t>GOTLAND</t>
        </is>
      </c>
      <c r="G320" t="n">
        <v>5.2</v>
      </c>
      <c r="H320" t="n">
        <v>0</v>
      </c>
      <c r="I320" t="n">
        <v>0</v>
      </c>
      <c r="J320" t="n">
        <v>0</v>
      </c>
      <c r="K320" t="n">
        <v>0</v>
      </c>
      <c r="L320" t="n">
        <v>0</v>
      </c>
      <c r="M320" t="n">
        <v>0</v>
      </c>
      <c r="N320" t="n">
        <v>0</v>
      </c>
      <c r="O320" t="n">
        <v>0</v>
      </c>
      <c r="P320" t="n">
        <v>0</v>
      </c>
      <c r="Q320" t="n">
        <v>0</v>
      </c>
      <c r="R320" s="2" t="inlineStr"/>
    </row>
    <row r="321" ht="15" customHeight="1">
      <c r="A321" t="inlineStr">
        <is>
          <t>A 42608-2025</t>
        </is>
      </c>
      <c r="B321" s="1" t="n">
        <v>45905</v>
      </c>
      <c r="C321" s="1" t="n">
        <v>45983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45983</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7837-2024</t>
        </is>
      </c>
      <c r="B323" s="1" t="n">
        <v>45349.83787037037</v>
      </c>
      <c r="C323" s="1" t="n">
        <v>45983</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45983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29196-2025</t>
        </is>
      </c>
      <c r="B325" s="1" t="n">
        <v>45822</v>
      </c>
      <c r="C325" s="1" t="n">
        <v>45983</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45983</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45983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29207-2025</t>
        </is>
      </c>
      <c r="B328" s="1" t="n">
        <v>45823</v>
      </c>
      <c r="C328" s="1" t="n">
        <v>45983</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52637-2025</t>
        </is>
      </c>
      <c r="B329" s="1" t="n">
        <v>45954.75099537037</v>
      </c>
      <c r="C329" s="1" t="n">
        <v>45983</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35512-2023</t>
        </is>
      </c>
      <c r="B330" s="1" t="n">
        <v>45147.25623842593</v>
      </c>
      <c r="C330" s="1" t="n">
        <v>45983</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5905-2024</t>
        </is>
      </c>
      <c r="B331" s="1" t="n">
        <v>45335.88993055555</v>
      </c>
      <c r="C331" s="1" t="n">
        <v>45983</v>
      </c>
      <c r="D331" t="inlineStr">
        <is>
          <t>GOTLANDS LÄN</t>
        </is>
      </c>
      <c r="E331" t="inlineStr">
        <is>
          <t>GOTLAND</t>
        </is>
      </c>
      <c r="G331" t="n">
        <v>3</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45983</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52249-2025</t>
        </is>
      </c>
      <c r="B333" s="1" t="n">
        <v>45953.48637731482</v>
      </c>
      <c r="C333" s="1" t="n">
        <v>45983</v>
      </c>
      <c r="D333" t="inlineStr">
        <is>
          <t>GOTLANDS LÄN</t>
        </is>
      </c>
      <c r="E333" t="inlineStr">
        <is>
          <t>GOTLAND</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58160-2024</t>
        </is>
      </c>
      <c r="B334" s="1" t="n">
        <v>45632.44927083333</v>
      </c>
      <c r="C334" s="1" t="n">
        <v>45983</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1291-2023</t>
        </is>
      </c>
      <c r="B335" s="1" t="n">
        <v>44936.47561342592</v>
      </c>
      <c r="C335" s="1" t="n">
        <v>45983</v>
      </c>
      <c r="D335" t="inlineStr">
        <is>
          <t>GOTLANDS LÄN</t>
        </is>
      </c>
      <c r="E335" t="inlineStr">
        <is>
          <t>GOTLAND</t>
        </is>
      </c>
      <c r="G335" t="n">
        <v>7.4</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45983</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45983</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49315-2024</t>
        </is>
      </c>
      <c r="B338" s="1" t="n">
        <v>45595</v>
      </c>
      <c r="C338" s="1" t="n">
        <v>45983</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45983</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45983</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45983</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45983</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43951-2025</t>
        </is>
      </c>
      <c r="B343" s="1" t="n">
        <v>45915.38119212963</v>
      </c>
      <c r="C343" s="1" t="n">
        <v>45983</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2676-2023</t>
        </is>
      </c>
      <c r="B344" s="1" t="n">
        <v>44944</v>
      </c>
      <c r="C344" s="1" t="n">
        <v>45983</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45983</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45983</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45983</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45983</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45983</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45983</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53561-2025</t>
        </is>
      </c>
      <c r="B351" s="1" t="n">
        <v>45960.4059375</v>
      </c>
      <c r="C351" s="1" t="n">
        <v>45983</v>
      </c>
      <c r="D351" t="inlineStr">
        <is>
          <t>GOTLANDS LÄN</t>
        </is>
      </c>
      <c r="E351" t="inlineStr">
        <is>
          <t>GOTLAND</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53569-2025</t>
        </is>
      </c>
      <c r="B352" s="1" t="n">
        <v>45960.41155092593</v>
      </c>
      <c r="C352" s="1" t="n">
        <v>45983</v>
      </c>
      <c r="D352" t="inlineStr">
        <is>
          <t>GOTLANDS LÄN</t>
        </is>
      </c>
      <c r="E352" t="inlineStr">
        <is>
          <t>GOTLAND</t>
        </is>
      </c>
      <c r="F352" t="inlineStr">
        <is>
          <t>Övriga Aktiebolag</t>
        </is>
      </c>
      <c r="G352" t="n">
        <v>11.3</v>
      </c>
      <c r="H352" t="n">
        <v>0</v>
      </c>
      <c r="I352" t="n">
        <v>0</v>
      </c>
      <c r="J352" t="n">
        <v>0</v>
      </c>
      <c r="K352" t="n">
        <v>0</v>
      </c>
      <c r="L352" t="n">
        <v>0</v>
      </c>
      <c r="M352" t="n">
        <v>0</v>
      </c>
      <c r="N352" t="n">
        <v>0</v>
      </c>
      <c r="O352" t="n">
        <v>0</v>
      </c>
      <c r="P352" t="n">
        <v>0</v>
      </c>
      <c r="Q352" t="n">
        <v>0</v>
      </c>
      <c r="R352" s="2" t="inlineStr"/>
    </row>
    <row r="353" ht="15" customHeight="1">
      <c r="A353" t="inlineStr">
        <is>
          <t>A 53577-2025</t>
        </is>
      </c>
      <c r="B353" s="1" t="n">
        <v>45960.42224537037</v>
      </c>
      <c r="C353" s="1" t="n">
        <v>45983</v>
      </c>
      <c r="D353" t="inlineStr">
        <is>
          <t>GOTLANDS LÄN</t>
        </is>
      </c>
      <c r="E353" t="inlineStr">
        <is>
          <t>GOTLAND</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53587-2025</t>
        </is>
      </c>
      <c r="B354" s="1" t="n">
        <v>45960.43681712963</v>
      </c>
      <c r="C354" s="1" t="n">
        <v>45983</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45983</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20356-2022</t>
        </is>
      </c>
      <c r="B356" s="1" t="n">
        <v>44699</v>
      </c>
      <c r="C356" s="1" t="n">
        <v>45983</v>
      </c>
      <c r="D356" t="inlineStr">
        <is>
          <t>GOTLANDS LÄN</t>
        </is>
      </c>
      <c r="E356" t="inlineStr">
        <is>
          <t>GOTLAND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45983</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14141-2024</t>
        </is>
      </c>
      <c r="B358" s="1" t="n">
        <v>45392.85193287037</v>
      </c>
      <c r="C358" s="1" t="n">
        <v>45983</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29809-2022</t>
        </is>
      </c>
      <c r="B359" s="1" t="n">
        <v>44755.8713425926</v>
      </c>
      <c r="C359" s="1" t="n">
        <v>45983</v>
      </c>
      <c r="D359" t="inlineStr">
        <is>
          <t>GOTLANDS LÄN</t>
        </is>
      </c>
      <c r="E359" t="inlineStr">
        <is>
          <t>GOTLAND</t>
        </is>
      </c>
      <c r="G359" t="n">
        <v>11.5</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45983</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45983</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33007-2025</t>
        </is>
      </c>
      <c r="B362" s="1" t="n">
        <v>45840</v>
      </c>
      <c r="C362" s="1" t="n">
        <v>45983</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45983</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45983</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45983</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45983</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45983</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54584-2025</t>
        </is>
      </c>
      <c r="B368" s="1" t="n">
        <v>45965.71788194445</v>
      </c>
      <c r="C368" s="1" t="n">
        <v>45983</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45983</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45983</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45983</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45983</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45983</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35096-2025</t>
        </is>
      </c>
      <c r="B375" s="1" t="n">
        <v>45852.54356481481</v>
      </c>
      <c r="C375" s="1" t="n">
        <v>45983</v>
      </c>
      <c r="D375" t="inlineStr">
        <is>
          <t>GOTLANDS LÄN</t>
        </is>
      </c>
      <c r="E375" t="inlineStr">
        <is>
          <t>GOTLAND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45983</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35290-2025</t>
        </is>
      </c>
      <c r="B377" s="1" t="n">
        <v>45854.38502314815</v>
      </c>
      <c r="C377" s="1" t="n">
        <v>45983</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45983</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45983</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26391-2025</t>
        </is>
      </c>
      <c r="B380" s="1" t="n">
        <v>45806</v>
      </c>
      <c r="C380" s="1" t="n">
        <v>45983</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45983</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45983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45983</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45983</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45983</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45983</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46836-2025</t>
        </is>
      </c>
      <c r="B387" s="1" t="n">
        <v>45928.31511574074</v>
      </c>
      <c r="C387" s="1" t="n">
        <v>45983</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45983</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45983</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45983</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12596-2023</t>
        </is>
      </c>
      <c r="B391" s="1" t="n">
        <v>45000.43310185185</v>
      </c>
      <c r="C391" s="1" t="n">
        <v>45983</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2125-2025</t>
        </is>
      </c>
      <c r="B392" s="1" t="n">
        <v>45672.64940972222</v>
      </c>
      <c r="C392" s="1" t="n">
        <v>45983</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45983</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12155-2023</t>
        </is>
      </c>
      <c r="B394" s="1" t="n">
        <v>44998.49106481481</v>
      </c>
      <c r="C394" s="1" t="n">
        <v>45983</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457-2023</t>
        </is>
      </c>
      <c r="B395" s="1" t="n">
        <v>44929.87238425926</v>
      </c>
      <c r="C395" s="1" t="n">
        <v>45983</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459-2023</t>
        </is>
      </c>
      <c r="B396" s="1" t="n">
        <v>44929.87423611111</v>
      </c>
      <c r="C396" s="1" t="n">
        <v>45983</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45983</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50744-2024</t>
        </is>
      </c>
      <c r="B398" s="1" t="n">
        <v>45602.4187037037</v>
      </c>
      <c r="C398" s="1" t="n">
        <v>45983</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45983</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45983</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1446-2025</t>
        </is>
      </c>
      <c r="B401" s="1" t="n">
        <v>45669.86035879629</v>
      </c>
      <c r="C401" s="1" t="n">
        <v>45983</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6108-2025</t>
        </is>
      </c>
      <c r="B402" s="1" t="n">
        <v>45698.29880787037</v>
      </c>
      <c r="C402" s="1" t="n">
        <v>45983</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45983</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45983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56799-2025</t>
        </is>
      </c>
      <c r="B405" s="1" t="n">
        <v>45978.43392361111</v>
      </c>
      <c r="C405" s="1" t="n">
        <v>45983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45983</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45983</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45983</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45983</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16501-2023</t>
        </is>
      </c>
      <c r="B410" s="1" t="n">
        <v>45029</v>
      </c>
      <c r="C410" s="1" t="n">
        <v>45983</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45983</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47147-2025</t>
        </is>
      </c>
      <c r="B412" s="1" t="n">
        <v>45929</v>
      </c>
      <c r="C412" s="1" t="n">
        <v>45983</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32378-2025</t>
        </is>
      </c>
      <c r="B413" s="1" t="n">
        <v>45837</v>
      </c>
      <c r="C413" s="1" t="n">
        <v>45983</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20307-2025</t>
        </is>
      </c>
      <c r="B414" s="1" t="n">
        <v>45774.95546296296</v>
      </c>
      <c r="C414" s="1" t="n">
        <v>45983</v>
      </c>
      <c r="D414" t="inlineStr">
        <is>
          <t>GOTLANDS LÄN</t>
        </is>
      </c>
      <c r="E414" t="inlineStr">
        <is>
          <t>GOTLAND</t>
        </is>
      </c>
      <c r="G414" t="n">
        <v>6.8</v>
      </c>
      <c r="H414" t="n">
        <v>0</v>
      </c>
      <c r="I414" t="n">
        <v>0</v>
      </c>
      <c r="J414" t="n">
        <v>0</v>
      </c>
      <c r="K414" t="n">
        <v>0</v>
      </c>
      <c r="L414" t="n">
        <v>0</v>
      </c>
      <c r="M414" t="n">
        <v>0</v>
      </c>
      <c r="N414" t="n">
        <v>0</v>
      </c>
      <c r="O414" t="n">
        <v>0</v>
      </c>
      <c r="P414" t="n">
        <v>0</v>
      </c>
      <c r="Q414" t="n">
        <v>0</v>
      </c>
      <c r="R414" s="2" t="inlineStr"/>
    </row>
    <row r="415" ht="15" customHeight="1">
      <c r="A415" t="inlineStr">
        <is>
          <t>A 27930-2021</t>
        </is>
      </c>
      <c r="B415" s="1" t="n">
        <v>44354</v>
      </c>
      <c r="C415" s="1" t="n">
        <v>45983</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61962-2024</t>
        </is>
      </c>
      <c r="B416" s="1" t="n">
        <v>45653.54340277778</v>
      </c>
      <c r="C416" s="1" t="n">
        <v>45983</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45983</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10492-2023</t>
        </is>
      </c>
      <c r="B418" s="1" t="n">
        <v>44987</v>
      </c>
      <c r="C418" s="1" t="n">
        <v>45983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35550-2025</t>
        </is>
      </c>
      <c r="B419" s="1" t="n">
        <v>45856.49324074074</v>
      </c>
      <c r="C419" s="1" t="n">
        <v>45983</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56688-2025</t>
        </is>
      </c>
      <c r="B420" s="1" t="n">
        <v>45975.84331018518</v>
      </c>
      <c r="C420" s="1" t="n">
        <v>45983</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5909-2025</t>
        </is>
      </c>
      <c r="B421" s="1" t="n">
        <v>45695.40634259259</v>
      </c>
      <c r="C421" s="1" t="n">
        <v>45983</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10653-2023</t>
        </is>
      </c>
      <c r="B422" s="1" t="n">
        <v>44988.48859953704</v>
      </c>
      <c r="C422" s="1" t="n">
        <v>45983</v>
      </c>
      <c r="D422" t="inlineStr">
        <is>
          <t>GOTLANDS LÄN</t>
        </is>
      </c>
      <c r="E422" t="inlineStr">
        <is>
          <t>GOTLAND</t>
        </is>
      </c>
      <c r="F422" t="inlineStr">
        <is>
          <t>Kyrkan</t>
        </is>
      </c>
      <c r="G422" t="n">
        <v>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45983</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45983</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45983</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45983</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5884-2025</t>
        </is>
      </c>
      <c r="B427" s="1" t="n">
        <v>45695.37482638889</v>
      </c>
      <c r="C427" s="1" t="n">
        <v>45983</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5897-2025</t>
        </is>
      </c>
      <c r="B428" s="1" t="n">
        <v>45695.39273148148</v>
      </c>
      <c r="C428" s="1" t="n">
        <v>45983</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49724-2025</t>
        </is>
      </c>
      <c r="B429" s="1" t="n">
        <v>45939.83730324074</v>
      </c>
      <c r="C429" s="1" t="n">
        <v>45983</v>
      </c>
      <c r="D429" t="inlineStr">
        <is>
          <t>GOTLANDS LÄN</t>
        </is>
      </c>
      <c r="E429" t="inlineStr">
        <is>
          <t>GOTLAND</t>
        </is>
      </c>
      <c r="F429" t="inlineStr">
        <is>
          <t>Kyrkan</t>
        </is>
      </c>
      <c r="G429" t="n">
        <v>3.1</v>
      </c>
      <c r="H429" t="n">
        <v>0</v>
      </c>
      <c r="I429" t="n">
        <v>0</v>
      </c>
      <c r="J429" t="n">
        <v>0</v>
      </c>
      <c r="K429" t="n">
        <v>0</v>
      </c>
      <c r="L429" t="n">
        <v>0</v>
      </c>
      <c r="M429" t="n">
        <v>0</v>
      </c>
      <c r="N429" t="n">
        <v>0</v>
      </c>
      <c r="O429" t="n">
        <v>0</v>
      </c>
      <c r="P429" t="n">
        <v>0</v>
      </c>
      <c r="Q429" t="n">
        <v>0</v>
      </c>
      <c r="R429" s="2" t="inlineStr"/>
    </row>
    <row r="430" ht="15" customHeight="1">
      <c r="A430" t="inlineStr">
        <is>
          <t>A 49730-2025</t>
        </is>
      </c>
      <c r="B430" s="1" t="n">
        <v>45939.87613425926</v>
      </c>
      <c r="C430" s="1" t="n">
        <v>45983</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45983</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45983</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17901-2023</t>
        </is>
      </c>
      <c r="B433" s="1" t="n">
        <v>45039</v>
      </c>
      <c r="C433" s="1" t="n">
        <v>45983</v>
      </c>
      <c r="D433" t="inlineStr">
        <is>
          <t>GOTLANDS LÄN</t>
        </is>
      </c>
      <c r="E433" t="inlineStr">
        <is>
          <t>GOTLAND</t>
        </is>
      </c>
      <c r="F433" t="inlineStr">
        <is>
          <t>Kyrkan</t>
        </is>
      </c>
      <c r="G433" t="n">
        <v>0.6</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45983</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45983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52892-2021</t>
        </is>
      </c>
      <c r="B436" s="1" t="n">
        <v>44467.49048611111</v>
      </c>
      <c r="C436" s="1" t="n">
        <v>45983</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45983</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17724-2024</t>
        </is>
      </c>
      <c r="B438" s="1" t="n">
        <v>45418.55096064815</v>
      </c>
      <c r="C438" s="1" t="n">
        <v>45983</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34312-2024</t>
        </is>
      </c>
      <c r="B439" s="1" t="n">
        <v>45524.69703703704</v>
      </c>
      <c r="C439" s="1" t="n">
        <v>45983</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45983</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7638-2025</t>
        </is>
      </c>
      <c r="B441" s="1" t="n">
        <v>45705.77306712963</v>
      </c>
      <c r="C441" s="1" t="n">
        <v>45983</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50482-2024</t>
        </is>
      </c>
      <c r="B442" s="1" t="n">
        <v>45601.48114583334</v>
      </c>
      <c r="C442" s="1" t="n">
        <v>45983</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1394-2023</t>
        </is>
      </c>
      <c r="B443" s="1" t="n">
        <v>44936.72997685185</v>
      </c>
      <c r="C443" s="1" t="n">
        <v>45983</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58230-2024</t>
        </is>
      </c>
      <c r="B444" s="1" t="n">
        <v>45632.51625</v>
      </c>
      <c r="C444" s="1" t="n">
        <v>45983</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45983</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45983</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45983</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45983</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45983</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45983</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1000-2024</t>
        </is>
      </c>
      <c r="B451" s="1" t="n">
        <v>45301.63371527778</v>
      </c>
      <c r="C451" s="1" t="n">
        <v>45983</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1010-2024</t>
        </is>
      </c>
      <c r="B452" s="1" t="n">
        <v>45301</v>
      </c>
      <c r="C452" s="1" t="n">
        <v>45983</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45983</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46545-2024</t>
        </is>
      </c>
      <c r="B454" s="1" t="n">
        <v>45582.65831018519</v>
      </c>
      <c r="C454" s="1" t="n">
        <v>45983</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60086-2022</t>
        </is>
      </c>
      <c r="B455" s="1" t="n">
        <v>44909</v>
      </c>
      <c r="C455" s="1" t="n">
        <v>45983</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28480-2023</t>
        </is>
      </c>
      <c r="B456" s="1" t="n">
        <v>45103</v>
      </c>
      <c r="C456" s="1" t="n">
        <v>45983</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28485-2023</t>
        </is>
      </c>
      <c r="B457" s="1" t="n">
        <v>45103.43731481482</v>
      </c>
      <c r="C457" s="1" t="n">
        <v>45983</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45983</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44949-2023</t>
        </is>
      </c>
      <c r="B459" s="1" t="n">
        <v>45190.69520833333</v>
      </c>
      <c r="C459" s="1" t="n">
        <v>45983</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45983</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3964-2024</t>
        </is>
      </c>
      <c r="B461" s="1" t="n">
        <v>45322</v>
      </c>
      <c r="C461" s="1" t="n">
        <v>45983</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45084-2024</t>
        </is>
      </c>
      <c r="B462" s="1" t="n">
        <v>45575</v>
      </c>
      <c r="C462" s="1" t="n">
        <v>45983</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5217-2023</t>
        </is>
      </c>
      <c r="B463" s="1" t="n">
        <v>44959.39582175926</v>
      </c>
      <c r="C463" s="1" t="n">
        <v>45983</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1677-2023</t>
        </is>
      </c>
      <c r="B464" s="1" t="n">
        <v>44938</v>
      </c>
      <c r="C464" s="1" t="n">
        <v>45983</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45244-2024</t>
        </is>
      </c>
      <c r="B465" s="1" t="n">
        <v>45576</v>
      </c>
      <c r="C465" s="1" t="n">
        <v>45983</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45983</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45983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45983</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45983</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45983</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15434-2024</t>
        </is>
      </c>
      <c r="B471" s="1" t="n">
        <v>45401.38836805556</v>
      </c>
      <c r="C471" s="1" t="n">
        <v>45983</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5943-2024</t>
        </is>
      </c>
      <c r="B472" s="1" t="n">
        <v>45336</v>
      </c>
      <c r="C472" s="1" t="n">
        <v>45983</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44881.50380787037</v>
      </c>
      <c r="C473" s="1" t="n">
        <v>45983</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45983</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45983</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45983</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31802-2024</t>
        </is>
      </c>
      <c r="B477" s="1" t="n">
        <v>45509</v>
      </c>
      <c r="C477" s="1" t="n">
        <v>45983</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45983</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45983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45983</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45983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45983</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1351-2025</t>
        </is>
      </c>
      <c r="B483" s="1" t="n">
        <v>45667.62246527777</v>
      </c>
      <c r="C483" s="1" t="n">
        <v>45983</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45983</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49874-2024</t>
        </is>
      </c>
      <c r="B485" s="1" t="n">
        <v>45597.49274305555</v>
      </c>
      <c r="C485" s="1" t="n">
        <v>45983</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45983</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45983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45983</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45983</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45983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45983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45983</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45983</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44698.49854166667</v>
      </c>
      <c r="C494" s="1" t="n">
        <v>45983</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45983</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12032-2025</t>
        </is>
      </c>
      <c r="B496" s="1" t="n">
        <v>45728.64472222222</v>
      </c>
      <c r="C496" s="1" t="n">
        <v>45983</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45983</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43231-2023</t>
        </is>
      </c>
      <c r="B498" s="1" t="n">
        <v>45183.47025462963</v>
      </c>
      <c r="C498" s="1" t="n">
        <v>45983</v>
      </c>
      <c r="D498" t="inlineStr">
        <is>
          <t>GOTLANDS LÄN</t>
        </is>
      </c>
      <c r="E498" t="inlineStr">
        <is>
          <t>GOTLAND</t>
        </is>
      </c>
      <c r="G498" t="n">
        <v>3.6</v>
      </c>
      <c r="H498" t="n">
        <v>0</v>
      </c>
      <c r="I498" t="n">
        <v>0</v>
      </c>
      <c r="J498" t="n">
        <v>0</v>
      </c>
      <c r="K498" t="n">
        <v>0</v>
      </c>
      <c r="L498" t="n">
        <v>0</v>
      </c>
      <c r="M498" t="n">
        <v>0</v>
      </c>
      <c r="N498" t="n">
        <v>0</v>
      </c>
      <c r="O498" t="n">
        <v>0</v>
      </c>
      <c r="P498" t="n">
        <v>0</v>
      </c>
      <c r="Q498" t="n">
        <v>0</v>
      </c>
      <c r="R498" s="2" t="inlineStr"/>
    </row>
    <row r="499" ht="15" customHeight="1">
      <c r="A499" t="inlineStr">
        <is>
          <t>A 17532-2024</t>
        </is>
      </c>
      <c r="B499" s="1" t="n">
        <v>45415</v>
      </c>
      <c r="C499" s="1" t="n">
        <v>45983</v>
      </c>
      <c r="D499" t="inlineStr">
        <is>
          <t>GOTLANDS LÄN</t>
        </is>
      </c>
      <c r="E499" t="inlineStr">
        <is>
          <t>GOTLAND</t>
        </is>
      </c>
      <c r="G499" t="n">
        <v>4.3</v>
      </c>
      <c r="H499" t="n">
        <v>0</v>
      </c>
      <c r="I499" t="n">
        <v>0</v>
      </c>
      <c r="J499" t="n">
        <v>0</v>
      </c>
      <c r="K499" t="n">
        <v>0</v>
      </c>
      <c r="L499" t="n">
        <v>0</v>
      </c>
      <c r="M499" t="n">
        <v>0</v>
      </c>
      <c r="N499" t="n">
        <v>0</v>
      </c>
      <c r="O499" t="n">
        <v>0</v>
      </c>
      <c r="P499" t="n">
        <v>0</v>
      </c>
      <c r="Q499" t="n">
        <v>0</v>
      </c>
      <c r="R499" s="2" t="inlineStr"/>
    </row>
    <row r="500" ht="15" customHeight="1">
      <c r="A500" t="inlineStr">
        <is>
          <t>A 3935-2025</t>
        </is>
      </c>
      <c r="B500" s="1" t="n">
        <v>45684.46070601852</v>
      </c>
      <c r="C500" s="1" t="n">
        <v>45983</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45983</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883-2025</t>
        </is>
      </c>
      <c r="B502" s="1" t="n">
        <v>45665</v>
      </c>
      <c r="C502" s="1" t="n">
        <v>45983</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45983</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17144-2025</t>
        </is>
      </c>
      <c r="B504" s="1" t="n">
        <v>45755.9499537037</v>
      </c>
      <c r="C504" s="1" t="n">
        <v>45983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56009-2024</t>
        </is>
      </c>
      <c r="B505" s="1" t="n">
        <v>45623.80864583333</v>
      </c>
      <c r="C505" s="1" t="n">
        <v>45983</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45983</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581-2023</t>
        </is>
      </c>
      <c r="B507" s="1" t="n">
        <v>44930</v>
      </c>
      <c r="C507" s="1" t="n">
        <v>45983</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61386-2023</t>
        </is>
      </c>
      <c r="B508" s="1" t="n">
        <v>45264</v>
      </c>
      <c r="C508" s="1" t="n">
        <v>45983</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45983</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49411-2023</t>
        </is>
      </c>
      <c r="B510" s="1" t="n">
        <v>45205</v>
      </c>
      <c r="C510" s="1" t="n">
        <v>45983</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45983</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45983</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45983</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45983</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45983</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45983</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60675-2021</t>
        </is>
      </c>
      <c r="B517" s="1" t="n">
        <v>44496.64855324074</v>
      </c>
      <c r="C517" s="1" t="n">
        <v>45983</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37728-2024</t>
        </is>
      </c>
      <c r="B518" s="1" t="n">
        <v>45541</v>
      </c>
      <c r="C518" s="1" t="n">
        <v>45983</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45983</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45983</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65249-2023</t>
        </is>
      </c>
      <c r="B521" s="1" t="n">
        <v>45290</v>
      </c>
      <c r="C521" s="1" t="n">
        <v>45983</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13910-2025</t>
        </is>
      </c>
      <c r="B522" s="1" t="n">
        <v>45737</v>
      </c>
      <c r="C522" s="1" t="n">
        <v>45983</v>
      </c>
      <c r="D522" t="inlineStr">
        <is>
          <t>GOTLANDS LÄN</t>
        </is>
      </c>
      <c r="E522" t="inlineStr">
        <is>
          <t>GOTLAND</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17780-2022</t>
        </is>
      </c>
      <c r="B523" s="1" t="n">
        <v>44682.82622685185</v>
      </c>
      <c r="C523" s="1" t="n">
        <v>45983</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45983</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14536-2021</t>
        </is>
      </c>
      <c r="B525" s="1" t="n">
        <v>44279.66168981481</v>
      </c>
      <c r="C525" s="1" t="n">
        <v>45983</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45983</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42041-2024</t>
        </is>
      </c>
      <c r="B527" s="1" t="n">
        <v>45561</v>
      </c>
      <c r="C527" s="1" t="n">
        <v>45983</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61694-2023</t>
        </is>
      </c>
      <c r="B528" s="1" t="n">
        <v>45264</v>
      </c>
      <c r="C528" s="1" t="n">
        <v>45983</v>
      </c>
      <c r="D528" t="inlineStr">
        <is>
          <t>GOTLANDS LÄN</t>
        </is>
      </c>
      <c r="E528" t="inlineStr">
        <is>
          <t>GOTLAND</t>
        </is>
      </c>
      <c r="G528" t="n">
        <v>4.6</v>
      </c>
      <c r="H528" t="n">
        <v>0</v>
      </c>
      <c r="I528" t="n">
        <v>0</v>
      </c>
      <c r="J528" t="n">
        <v>0</v>
      </c>
      <c r="K528" t="n">
        <v>0</v>
      </c>
      <c r="L528" t="n">
        <v>0</v>
      </c>
      <c r="M528" t="n">
        <v>0</v>
      </c>
      <c r="N528" t="n">
        <v>0</v>
      </c>
      <c r="O528" t="n">
        <v>0</v>
      </c>
      <c r="P528" t="n">
        <v>0</v>
      </c>
      <c r="Q528" t="n">
        <v>0</v>
      </c>
      <c r="R528" s="2" t="inlineStr"/>
    </row>
    <row r="529" ht="15" customHeight="1">
      <c r="A529" t="inlineStr">
        <is>
          <t>A 64555-2023</t>
        </is>
      </c>
      <c r="B529" s="1" t="n">
        <v>45281</v>
      </c>
      <c r="C529" s="1" t="n">
        <v>45983</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45983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14804-2021</t>
        </is>
      </c>
      <c r="B531" s="1" t="n">
        <v>44280</v>
      </c>
      <c r="C531" s="1" t="n">
        <v>45983</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999-2023</t>
        </is>
      </c>
      <c r="B532" s="1" t="n">
        <v>44935</v>
      </c>
      <c r="C532" s="1" t="n">
        <v>45983</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27602-2023</t>
        </is>
      </c>
      <c r="B533" s="1" t="n">
        <v>45097</v>
      </c>
      <c r="C533" s="1" t="n">
        <v>45983</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4377-2023</t>
        </is>
      </c>
      <c r="B534" s="1" t="n">
        <v>44955.5502662037</v>
      </c>
      <c r="C534" s="1" t="n">
        <v>45983</v>
      </c>
      <c r="D534" t="inlineStr">
        <is>
          <t>GOTLANDS LÄN</t>
        </is>
      </c>
      <c r="E534" t="inlineStr">
        <is>
          <t>GOTLAND</t>
        </is>
      </c>
      <c r="F534" t="inlineStr">
        <is>
          <t>Kyrkan</t>
        </is>
      </c>
      <c r="G534" t="n">
        <v>0.6</v>
      </c>
      <c r="H534" t="n">
        <v>0</v>
      </c>
      <c r="I534" t="n">
        <v>0</v>
      </c>
      <c r="J534" t="n">
        <v>0</v>
      </c>
      <c r="K534" t="n">
        <v>0</v>
      </c>
      <c r="L534" t="n">
        <v>0</v>
      </c>
      <c r="M534" t="n">
        <v>0</v>
      </c>
      <c r="N534" t="n">
        <v>0</v>
      </c>
      <c r="O534" t="n">
        <v>0</v>
      </c>
      <c r="P534" t="n">
        <v>0</v>
      </c>
      <c r="Q534" t="n">
        <v>0</v>
      </c>
      <c r="R534" s="2" t="inlineStr"/>
    </row>
    <row r="535" ht="15" customHeight="1">
      <c r="A535" t="inlineStr">
        <is>
          <t>A 4387-2023</t>
        </is>
      </c>
      <c r="B535" s="1" t="n">
        <v>44955.73359953704</v>
      </c>
      <c r="C535" s="1" t="n">
        <v>45983</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39479-2022</t>
        </is>
      </c>
      <c r="B536" s="1" t="n">
        <v>44818</v>
      </c>
      <c r="C536" s="1" t="n">
        <v>45983</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51963-2024</t>
        </is>
      </c>
      <c r="B537" s="1" t="n">
        <v>45607.64833333333</v>
      </c>
      <c r="C537" s="1" t="n">
        <v>45983</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45983</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46389-2021</t>
        </is>
      </c>
      <c r="B539" s="1" t="n">
        <v>44443</v>
      </c>
      <c r="C539" s="1" t="n">
        <v>45983</v>
      </c>
      <c r="D539" t="inlineStr">
        <is>
          <t>GOTLANDS LÄN</t>
        </is>
      </c>
      <c r="E539" t="inlineStr">
        <is>
          <t>GOTLAND</t>
        </is>
      </c>
      <c r="F539" t="inlineStr">
        <is>
          <t>Kyrkan</t>
        </is>
      </c>
      <c r="G539" t="n">
        <v>2.1</v>
      </c>
      <c r="H539" t="n">
        <v>0</v>
      </c>
      <c r="I539" t="n">
        <v>0</v>
      </c>
      <c r="J539" t="n">
        <v>0</v>
      </c>
      <c r="K539" t="n">
        <v>0</v>
      </c>
      <c r="L539" t="n">
        <v>0</v>
      </c>
      <c r="M539" t="n">
        <v>0</v>
      </c>
      <c r="N539" t="n">
        <v>0</v>
      </c>
      <c r="O539" t="n">
        <v>0</v>
      </c>
      <c r="P539" t="n">
        <v>0</v>
      </c>
      <c r="Q539" t="n">
        <v>0</v>
      </c>
      <c r="R539" s="2" t="inlineStr"/>
    </row>
    <row r="540" ht="15" customHeight="1">
      <c r="A540" t="inlineStr">
        <is>
          <t>A 26810-2021</t>
        </is>
      </c>
      <c r="B540" s="1" t="n">
        <v>44349.55087962963</v>
      </c>
      <c r="C540" s="1" t="n">
        <v>45983</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45983</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33853-2024</t>
        </is>
      </c>
      <c r="B542" s="1" t="n">
        <v>45520.64298611111</v>
      </c>
      <c r="C542" s="1" t="n">
        <v>45983</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18918-2025</t>
        </is>
      </c>
      <c r="B543" s="1" t="n">
        <v>45764</v>
      </c>
      <c r="C543" s="1" t="n">
        <v>45983</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45983</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45983</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44944.55361111111</v>
      </c>
      <c r="C546" s="1" t="n">
        <v>45983</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26891-2024</t>
        </is>
      </c>
      <c r="B547" s="1" t="n">
        <v>45470.65540509259</v>
      </c>
      <c r="C547" s="1" t="n">
        <v>45983</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42007-2023</t>
        </is>
      </c>
      <c r="B548" s="1" t="n">
        <v>45177</v>
      </c>
      <c r="C548" s="1" t="n">
        <v>45983</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9887-2025</t>
        </is>
      </c>
      <c r="B549" s="1" t="n">
        <v>45716</v>
      </c>
      <c r="C549" s="1" t="n">
        <v>45983</v>
      </c>
      <c r="D549" t="inlineStr">
        <is>
          <t>GOTLANDS LÄN</t>
        </is>
      </c>
      <c r="E549" t="inlineStr">
        <is>
          <t>GOTLAND</t>
        </is>
      </c>
      <c r="G549" t="n">
        <v>7.5</v>
      </c>
      <c r="H549" t="n">
        <v>0</v>
      </c>
      <c r="I549" t="n">
        <v>0</v>
      </c>
      <c r="J549" t="n">
        <v>0</v>
      </c>
      <c r="K549" t="n">
        <v>0</v>
      </c>
      <c r="L549" t="n">
        <v>0</v>
      </c>
      <c r="M549" t="n">
        <v>0</v>
      </c>
      <c r="N549" t="n">
        <v>0</v>
      </c>
      <c r="O549" t="n">
        <v>0</v>
      </c>
      <c r="P549" t="n">
        <v>0</v>
      </c>
      <c r="Q549" t="n">
        <v>0</v>
      </c>
      <c r="R549" s="2" t="inlineStr"/>
    </row>
    <row r="550" ht="15" customHeight="1">
      <c r="A550" t="inlineStr">
        <is>
          <t>A 38165-2023</t>
        </is>
      </c>
      <c r="B550" s="1" t="n">
        <v>45161</v>
      </c>
      <c r="C550" s="1" t="n">
        <v>45983</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27596-2023</t>
        </is>
      </c>
      <c r="B551" s="1" t="n">
        <v>45097</v>
      </c>
      <c r="C551" s="1" t="n">
        <v>45983</v>
      </c>
      <c r="D551" t="inlineStr">
        <is>
          <t>GOTLANDS LÄN</t>
        </is>
      </c>
      <c r="E551" t="inlineStr">
        <is>
          <t>GOTLAND</t>
        </is>
      </c>
      <c r="G551" t="n">
        <v>3.6</v>
      </c>
      <c r="H551" t="n">
        <v>0</v>
      </c>
      <c r="I551" t="n">
        <v>0</v>
      </c>
      <c r="J551" t="n">
        <v>0</v>
      </c>
      <c r="K551" t="n">
        <v>0</v>
      </c>
      <c r="L551" t="n">
        <v>0</v>
      </c>
      <c r="M551" t="n">
        <v>0</v>
      </c>
      <c r="N551" t="n">
        <v>0</v>
      </c>
      <c r="O551" t="n">
        <v>0</v>
      </c>
      <c r="P551" t="n">
        <v>0</v>
      </c>
      <c r="Q551" t="n">
        <v>0</v>
      </c>
      <c r="R551" s="2" t="inlineStr"/>
    </row>
    <row r="552" ht="15" customHeight="1">
      <c r="A552" t="inlineStr">
        <is>
          <t>A 24825-2024</t>
        </is>
      </c>
      <c r="B552" s="1" t="n">
        <v>45461</v>
      </c>
      <c r="C552" s="1" t="n">
        <v>45983</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6696-2023</t>
        </is>
      </c>
      <c r="B553" s="1" t="n">
        <v>44966.66425925926</v>
      </c>
      <c r="C553" s="1" t="n">
        <v>45983</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45983</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45983</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45983</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45983</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51782-2023</t>
        </is>
      </c>
      <c r="B558" s="1" t="n">
        <v>45222.80952546297</v>
      </c>
      <c r="C558" s="1" t="n">
        <v>45983</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45983</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45983</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25866-2022</t>
        </is>
      </c>
      <c r="B561" s="1" t="n">
        <v>44733</v>
      </c>
      <c r="C561" s="1" t="n">
        <v>45983</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43229-2023</t>
        </is>
      </c>
      <c r="B562" s="1" t="n">
        <v>45183.46704861111</v>
      </c>
      <c r="C562" s="1" t="n">
        <v>45983</v>
      </c>
      <c r="D562" t="inlineStr">
        <is>
          <t>GOTLANDS LÄN</t>
        </is>
      </c>
      <c r="E562" t="inlineStr">
        <is>
          <t>GOTLAND</t>
        </is>
      </c>
      <c r="G562" t="n">
        <v>7.1</v>
      </c>
      <c r="H562" t="n">
        <v>0</v>
      </c>
      <c r="I562" t="n">
        <v>0</v>
      </c>
      <c r="J562" t="n">
        <v>0</v>
      </c>
      <c r="K562" t="n">
        <v>0</v>
      </c>
      <c r="L562" t="n">
        <v>0</v>
      </c>
      <c r="M562" t="n">
        <v>0</v>
      </c>
      <c r="N562" t="n">
        <v>0</v>
      </c>
      <c r="O562" t="n">
        <v>0</v>
      </c>
      <c r="P562" t="n">
        <v>0</v>
      </c>
      <c r="Q562" t="n">
        <v>0</v>
      </c>
      <c r="R562" s="2" t="inlineStr"/>
    </row>
    <row r="563" ht="15" customHeight="1">
      <c r="A563" t="inlineStr">
        <is>
          <t>A 1175-2025</t>
        </is>
      </c>
      <c r="B563" s="1" t="n">
        <v>45667.34449074074</v>
      </c>
      <c r="C563" s="1" t="n">
        <v>45983</v>
      </c>
      <c r="D563" t="inlineStr">
        <is>
          <t>GOTLANDS LÄN</t>
        </is>
      </c>
      <c r="E563" t="inlineStr">
        <is>
          <t>GOTLAND</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27095-2022</t>
        </is>
      </c>
      <c r="B564" s="1" t="n">
        <v>44741</v>
      </c>
      <c r="C564" s="1" t="n">
        <v>45983</v>
      </c>
      <c r="D564" t="inlineStr">
        <is>
          <t>GOTLANDS LÄN</t>
        </is>
      </c>
      <c r="E564" t="inlineStr">
        <is>
          <t>GOTLAND</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22899-2023</t>
        </is>
      </c>
      <c r="B565" s="1" t="n">
        <v>45072</v>
      </c>
      <c r="C565" s="1" t="n">
        <v>45983</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45983</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45983</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45983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45983</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45983</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45983</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45983</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44228-2022</t>
        </is>
      </c>
      <c r="B573" s="1" t="n">
        <v>44839.51599537037</v>
      </c>
      <c r="C573" s="1" t="n">
        <v>45983</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58132-2023</t>
        </is>
      </c>
      <c r="B574" s="1" t="n">
        <v>45250</v>
      </c>
      <c r="C574" s="1" t="n">
        <v>45983</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45983</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876-2024</t>
        </is>
      </c>
      <c r="B576" s="1" t="n">
        <v>45301</v>
      </c>
      <c r="C576" s="1" t="n">
        <v>45983</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45983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45983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45983</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45983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45983</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45983</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45983</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45983</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45983</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45983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45983</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45983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45983</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49257-2024</t>
        </is>
      </c>
      <c r="B590" s="1" t="n">
        <v>45595.47627314815</v>
      </c>
      <c r="C590" s="1" t="n">
        <v>45983</v>
      </c>
      <c r="D590" t="inlineStr">
        <is>
          <t>GOTLANDS LÄN</t>
        </is>
      </c>
      <c r="E590" t="inlineStr">
        <is>
          <t>GOTLAND</t>
        </is>
      </c>
      <c r="G590" t="n">
        <v>6.3</v>
      </c>
      <c r="H590" t="n">
        <v>0</v>
      </c>
      <c r="I590" t="n">
        <v>0</v>
      </c>
      <c r="J590" t="n">
        <v>0</v>
      </c>
      <c r="K590" t="n">
        <v>0</v>
      </c>
      <c r="L590" t="n">
        <v>0</v>
      </c>
      <c r="M590" t="n">
        <v>0</v>
      </c>
      <c r="N590" t="n">
        <v>0</v>
      </c>
      <c r="O590" t="n">
        <v>0</v>
      </c>
      <c r="P590" t="n">
        <v>0</v>
      </c>
      <c r="Q590" t="n">
        <v>0</v>
      </c>
      <c r="R590" s="2" t="inlineStr"/>
    </row>
    <row r="591" ht="15" customHeight="1">
      <c r="A591" t="inlineStr">
        <is>
          <t>A 37202-2024</t>
        </is>
      </c>
      <c r="B591" s="1" t="n">
        <v>45539.67310185185</v>
      </c>
      <c r="C591" s="1" t="n">
        <v>45983</v>
      </c>
      <c r="D591" t="inlineStr">
        <is>
          <t>GOTLANDS LÄN</t>
        </is>
      </c>
      <c r="E591" t="inlineStr">
        <is>
          <t>GOTLAND</t>
        </is>
      </c>
      <c r="G591" t="n">
        <v>0.3</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45983</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45983</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60709-2023</t>
        </is>
      </c>
      <c r="B594" s="1" t="n">
        <v>45260</v>
      </c>
      <c r="C594" s="1" t="n">
        <v>45983</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64208-2021</t>
        </is>
      </c>
      <c r="B595" s="1" t="n">
        <v>44510</v>
      </c>
      <c r="C595" s="1" t="n">
        <v>45983</v>
      </c>
      <c r="D595" t="inlineStr">
        <is>
          <t>GOTLANDS LÄN</t>
        </is>
      </c>
      <c r="E595" t="inlineStr">
        <is>
          <t>GOTLAND</t>
        </is>
      </c>
      <c r="G595" t="n">
        <v>4.7</v>
      </c>
      <c r="H595" t="n">
        <v>0</v>
      </c>
      <c r="I595" t="n">
        <v>0</v>
      </c>
      <c r="J595" t="n">
        <v>0</v>
      </c>
      <c r="K595" t="n">
        <v>0</v>
      </c>
      <c r="L595" t="n">
        <v>0</v>
      </c>
      <c r="M595" t="n">
        <v>0</v>
      </c>
      <c r="N595" t="n">
        <v>0</v>
      </c>
      <c r="O595" t="n">
        <v>0</v>
      </c>
      <c r="P595" t="n">
        <v>0</v>
      </c>
      <c r="Q595" t="n">
        <v>0</v>
      </c>
      <c r="R595" s="2" t="inlineStr"/>
    </row>
    <row r="596" ht="15" customHeight="1">
      <c r="A596" t="inlineStr">
        <is>
          <t>A 39764-2022</t>
        </is>
      </c>
      <c r="B596" s="1" t="n">
        <v>44819</v>
      </c>
      <c r="C596" s="1" t="n">
        <v>45983</v>
      </c>
      <c r="D596" t="inlineStr">
        <is>
          <t>GOTLANDS LÄN</t>
        </is>
      </c>
      <c r="E596" t="inlineStr">
        <is>
          <t>GOTLAND</t>
        </is>
      </c>
      <c r="F596" t="inlineStr">
        <is>
          <t>Kyrkan</t>
        </is>
      </c>
      <c r="G596" t="n">
        <v>3.7</v>
      </c>
      <c r="H596" t="n">
        <v>0</v>
      </c>
      <c r="I596" t="n">
        <v>0</v>
      </c>
      <c r="J596" t="n">
        <v>0</v>
      </c>
      <c r="K596" t="n">
        <v>0</v>
      </c>
      <c r="L596" t="n">
        <v>0</v>
      </c>
      <c r="M596" t="n">
        <v>0</v>
      </c>
      <c r="N596" t="n">
        <v>0</v>
      </c>
      <c r="O596" t="n">
        <v>0</v>
      </c>
      <c r="P596" t="n">
        <v>0</v>
      </c>
      <c r="Q596" t="n">
        <v>0</v>
      </c>
      <c r="R596" s="2" t="inlineStr"/>
    </row>
    <row r="597" ht="15" customHeight="1">
      <c r="A597" t="inlineStr">
        <is>
          <t>A 58211-2024</t>
        </is>
      </c>
      <c r="B597" s="1" t="n">
        <v>45632.49292824074</v>
      </c>
      <c r="C597" s="1" t="n">
        <v>45983</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30956-2024</t>
        </is>
      </c>
      <c r="B598" s="1" t="n">
        <v>45499.42527777778</v>
      </c>
      <c r="C598" s="1" t="n">
        <v>45983</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30892-2024</t>
        </is>
      </c>
      <c r="B599" s="1" t="n">
        <v>45491</v>
      </c>
      <c r="C599" s="1" t="n">
        <v>45983</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45013.69365740741</v>
      </c>
      <c r="C600" s="1" t="n">
        <v>45983</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59469-2024</t>
        </is>
      </c>
      <c r="B601" s="1" t="n">
        <v>45638</v>
      </c>
      <c r="C601" s="1" t="n">
        <v>45983</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7858-2025</t>
        </is>
      </c>
      <c r="B602" s="1" t="n">
        <v>45706.68633101852</v>
      </c>
      <c r="C602" s="1" t="n">
        <v>45983</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53935-2024</t>
        </is>
      </c>
      <c r="B603" s="1" t="n">
        <v>45615</v>
      </c>
      <c r="C603" s="1" t="n">
        <v>45983</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45983</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4420-2025</t>
        </is>
      </c>
      <c r="B605" s="1" t="n">
        <v>45686.47157407407</v>
      </c>
      <c r="C605" s="1" t="n">
        <v>45983</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5891-2025</t>
        </is>
      </c>
      <c r="B606" s="1" t="n">
        <v>45695.38327546296</v>
      </c>
      <c r="C606" s="1" t="n">
        <v>45983</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7835-2024</t>
        </is>
      </c>
      <c r="B607" s="1" t="n">
        <v>45349.83138888889</v>
      </c>
      <c r="C607" s="1" t="n">
        <v>45983</v>
      </c>
      <c r="D607" t="inlineStr">
        <is>
          <t>GOTLANDS LÄN</t>
        </is>
      </c>
      <c r="E607" t="inlineStr">
        <is>
          <t>GOTLAND</t>
        </is>
      </c>
      <c r="G607" t="n">
        <v>3.8</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45983</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45983</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45983</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45983</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2025-11-22T10:15:10Z</dcterms:created>
  <dcterms:modified xmlns:dcterms="http://purl.org/dc/terms/" xmlns:xsi="http://www.w3.org/2001/XMLSchema-instance" xsi:type="dcterms:W3CDTF">2025-11-22T10:15:10Z</dcterms:modified>
</cp:coreProperties>
</file>