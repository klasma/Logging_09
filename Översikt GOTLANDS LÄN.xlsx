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45580</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45580</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45580</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1702-2023</t>
        </is>
      </c>
      <c r="B7" s="1" t="n">
        <v>44938</v>
      </c>
      <c r="C7" s="1" t="n">
        <v>45580</v>
      </c>
      <c r="D7" t="inlineStr">
        <is>
          <t>GOTLANDS LÄN</t>
        </is>
      </c>
      <c r="E7" t="inlineStr">
        <is>
          <t>GOTLAND</t>
        </is>
      </c>
      <c r="G7" t="n">
        <v>3.7</v>
      </c>
      <c r="H7" t="n">
        <v>3</v>
      </c>
      <c r="I7" t="n">
        <v>9</v>
      </c>
      <c r="J7" t="n">
        <v>3</v>
      </c>
      <c r="K7" t="n">
        <v>3</v>
      </c>
      <c r="L7" t="n">
        <v>0</v>
      </c>
      <c r="M7" t="n">
        <v>0</v>
      </c>
      <c r="N7" t="n">
        <v>0</v>
      </c>
      <c r="O7" t="n">
        <v>6</v>
      </c>
      <c r="P7" t="n">
        <v>3</v>
      </c>
      <c r="Q7" t="n">
        <v>18</v>
      </c>
      <c r="R7"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7">
        <f>HYPERLINK("https://klasma.github.io/Logging_0980/artfynd/A 1702-2023 artfynd.xlsx", "A 1702-2023")</f>
        <v/>
      </c>
      <c r="T7">
        <f>HYPERLINK("https://klasma.github.io/Logging_0980/kartor/A 1702-2023 karta.png", "A 1702-2023")</f>
        <v/>
      </c>
      <c r="V7">
        <f>HYPERLINK("https://klasma.github.io/Logging_0980/klagomål/A 1702-2023 FSC-klagomål.docx", "A 1702-2023")</f>
        <v/>
      </c>
      <c r="W7">
        <f>HYPERLINK("https://klasma.github.io/Logging_0980/klagomålsmail/A 1702-2023 FSC-klagomål mail.docx", "A 1702-2023")</f>
        <v/>
      </c>
      <c r="X7">
        <f>HYPERLINK("https://klasma.github.io/Logging_0980/tillsyn/A 1702-2023 tillsynsbegäran.docx", "A 1702-2023")</f>
        <v/>
      </c>
      <c r="Y7">
        <f>HYPERLINK("https://klasma.github.io/Logging_0980/tillsynsmail/A 1702-2023 tillsynsbegäran mail.docx", "A 1702-2023")</f>
        <v/>
      </c>
    </row>
    <row r="8" ht="15" customHeight="1">
      <c r="A8" t="inlineStr">
        <is>
          <t>A 530-2024</t>
        </is>
      </c>
      <c r="B8" s="1" t="n">
        <v>45299</v>
      </c>
      <c r="C8" s="1" t="n">
        <v>45580</v>
      </c>
      <c r="D8" t="inlineStr">
        <is>
          <t>GOTLANDS LÄN</t>
        </is>
      </c>
      <c r="E8" t="inlineStr">
        <is>
          <t>GOTLAND</t>
        </is>
      </c>
      <c r="G8" t="n">
        <v>6.5</v>
      </c>
      <c r="H8" t="n">
        <v>7</v>
      </c>
      <c r="I8" t="n">
        <v>6</v>
      </c>
      <c r="J8" t="n">
        <v>3</v>
      </c>
      <c r="K8" t="n">
        <v>3</v>
      </c>
      <c r="L8" t="n">
        <v>1</v>
      </c>
      <c r="M8" t="n">
        <v>0</v>
      </c>
      <c r="N8" t="n">
        <v>0</v>
      </c>
      <c r="O8" t="n">
        <v>7</v>
      </c>
      <c r="P8" t="n">
        <v>4</v>
      </c>
      <c r="Q8" t="n">
        <v>18</v>
      </c>
      <c r="R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8">
        <f>HYPERLINK("https://klasma.github.io/Logging_0980/artfynd/A 530-2024 artfynd.xlsx", "A 530-2024")</f>
        <v/>
      </c>
      <c r="T8">
        <f>HYPERLINK("https://klasma.github.io/Logging_0980/kartor/A 530-2024 karta.png", "A 530-2024")</f>
        <v/>
      </c>
      <c r="V8">
        <f>HYPERLINK("https://klasma.github.io/Logging_0980/klagomål/A 530-2024 FSC-klagomål.docx", "A 530-2024")</f>
        <v/>
      </c>
      <c r="W8">
        <f>HYPERLINK("https://klasma.github.io/Logging_0980/klagomålsmail/A 530-2024 FSC-klagomål mail.docx", "A 530-2024")</f>
        <v/>
      </c>
      <c r="X8">
        <f>HYPERLINK("https://klasma.github.io/Logging_0980/tillsyn/A 530-2024 tillsynsbegäran.docx", "A 530-2024")</f>
        <v/>
      </c>
      <c r="Y8">
        <f>HYPERLINK("https://klasma.github.io/Logging_0980/tillsynsmail/A 530-2024 tillsynsbegäran mail.docx", "A 530-2024")</f>
        <v/>
      </c>
      <c r="Z8">
        <f>HYPERLINK("https://klasma.github.io/Logging_0980/fåglar/A 530-2024 prioriterade fågelarter.docx", "A 530-2024")</f>
        <v/>
      </c>
    </row>
    <row r="9" ht="15" customHeight="1">
      <c r="A9" t="inlineStr">
        <is>
          <t>A 62551-2022</t>
        </is>
      </c>
      <c r="B9" s="1" t="n">
        <v>44924</v>
      </c>
      <c r="C9" s="1" t="n">
        <v>45580</v>
      </c>
      <c r="D9" t="inlineStr">
        <is>
          <t>GOTLANDS LÄN</t>
        </is>
      </c>
      <c r="E9" t="inlineStr">
        <is>
          <t>GOTLAND</t>
        </is>
      </c>
      <c r="G9" t="n">
        <v>7.9</v>
      </c>
      <c r="H9" t="n">
        <v>2</v>
      </c>
      <c r="I9" t="n">
        <v>9</v>
      </c>
      <c r="J9" t="n">
        <v>5</v>
      </c>
      <c r="K9" t="n">
        <v>2</v>
      </c>
      <c r="L9" t="n">
        <v>0</v>
      </c>
      <c r="M9" t="n">
        <v>0</v>
      </c>
      <c r="N9" t="n">
        <v>0</v>
      </c>
      <c r="O9" t="n">
        <v>7</v>
      </c>
      <c r="P9" t="n">
        <v>2</v>
      </c>
      <c r="Q9" t="n">
        <v>17</v>
      </c>
      <c r="R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9">
        <f>HYPERLINK("https://klasma.github.io/Logging_0980/artfynd/A 62551-2022 artfynd.xlsx", "A 62551-2022")</f>
        <v/>
      </c>
      <c r="T9">
        <f>HYPERLINK("https://klasma.github.io/Logging_0980/kartor/A 62551-2022 karta.png", "A 62551-2022")</f>
        <v/>
      </c>
      <c r="V9">
        <f>HYPERLINK("https://klasma.github.io/Logging_0980/klagomål/A 62551-2022 FSC-klagomål.docx", "A 62551-2022")</f>
        <v/>
      </c>
      <c r="W9">
        <f>HYPERLINK("https://klasma.github.io/Logging_0980/klagomålsmail/A 62551-2022 FSC-klagomål mail.docx", "A 62551-2022")</f>
        <v/>
      </c>
      <c r="X9">
        <f>HYPERLINK("https://klasma.github.io/Logging_0980/tillsyn/A 62551-2022 tillsynsbegäran.docx", "A 62551-2022")</f>
        <v/>
      </c>
      <c r="Y9">
        <f>HYPERLINK("https://klasma.github.io/Logging_0980/tillsynsmail/A 62551-2022 tillsynsbegäran mail.docx", "A 62551-2022")</f>
        <v/>
      </c>
    </row>
    <row r="10" ht="15" customHeight="1">
      <c r="A10" t="inlineStr">
        <is>
          <t>A 1684-2023</t>
        </is>
      </c>
      <c r="B10" s="1" t="n">
        <v>44938</v>
      </c>
      <c r="C10" s="1" t="n">
        <v>45580</v>
      </c>
      <c r="D10" t="inlineStr">
        <is>
          <t>GOTLANDS LÄN</t>
        </is>
      </c>
      <c r="E10" t="inlineStr">
        <is>
          <t>GOTLAND</t>
        </is>
      </c>
      <c r="G10" t="n">
        <v>23.3</v>
      </c>
      <c r="H10" t="n">
        <v>2</v>
      </c>
      <c r="I10" t="n">
        <v>8</v>
      </c>
      <c r="J10" t="n">
        <v>3</v>
      </c>
      <c r="K10" t="n">
        <v>1</v>
      </c>
      <c r="L10" t="n">
        <v>1</v>
      </c>
      <c r="M10" t="n">
        <v>2</v>
      </c>
      <c r="N10" t="n">
        <v>0</v>
      </c>
      <c r="O10" t="n">
        <v>7</v>
      </c>
      <c r="P10" t="n">
        <v>4</v>
      </c>
      <c r="Q10" t="n">
        <v>17</v>
      </c>
      <c r="R10" s="2" t="inlineStr">
        <is>
          <t>Cinnoberfläck
Frostfläck
Ädellav
Mörk kraterlav
Loppstarr
Mjölmusseron
Odörspindling
Anisspindling
Besk kastanjemusseron
Havstulpanlav
Kattfotslav
Korallblylav
Murgröna
Rikfruktig blemlav
Västlig hakmossa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row>
    <row r="11" ht="15" customHeight="1">
      <c r="A11" t="inlineStr">
        <is>
          <t>A 61664-2023</t>
        </is>
      </c>
      <c r="B11" s="1" t="n">
        <v>45265</v>
      </c>
      <c r="C11" s="1" t="n">
        <v>45580</v>
      </c>
      <c r="D11" t="inlineStr">
        <is>
          <t>GOTLANDS LÄN</t>
        </is>
      </c>
      <c r="E11" t="inlineStr">
        <is>
          <t>GOTLAND</t>
        </is>
      </c>
      <c r="G11" t="n">
        <v>13.3</v>
      </c>
      <c r="H11" t="n">
        <v>1</v>
      </c>
      <c r="I11" t="n">
        <v>7</v>
      </c>
      <c r="J11" t="n">
        <v>1</v>
      </c>
      <c r="K11" t="n">
        <v>7</v>
      </c>
      <c r="L11" t="n">
        <v>0</v>
      </c>
      <c r="M11" t="n">
        <v>0</v>
      </c>
      <c r="N11" t="n">
        <v>0</v>
      </c>
      <c r="O11" t="n">
        <v>8</v>
      </c>
      <c r="P11" t="n">
        <v>7</v>
      </c>
      <c r="Q11" t="n">
        <v>16</v>
      </c>
      <c r="R11"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row>
    <row r="12" ht="15" customHeight="1">
      <c r="A12" t="inlineStr">
        <is>
          <t>A 58474-2022</t>
        </is>
      </c>
      <c r="B12" s="1" t="n">
        <v>44902</v>
      </c>
      <c r="C12" s="1" t="n">
        <v>45580</v>
      </c>
      <c r="D12" t="inlineStr">
        <is>
          <t>GOTLANDS LÄN</t>
        </is>
      </c>
      <c r="E12" t="inlineStr">
        <is>
          <t>GOTLAND</t>
        </is>
      </c>
      <c r="G12" t="n">
        <v>10.3</v>
      </c>
      <c r="H12" t="n">
        <v>1</v>
      </c>
      <c r="I12" t="n">
        <v>9</v>
      </c>
      <c r="J12" t="n">
        <v>2</v>
      </c>
      <c r="K12" t="n">
        <v>2</v>
      </c>
      <c r="L12" t="n">
        <v>1</v>
      </c>
      <c r="M12" t="n">
        <v>0</v>
      </c>
      <c r="N12" t="n">
        <v>0</v>
      </c>
      <c r="O12" t="n">
        <v>5</v>
      </c>
      <c r="P12" t="n">
        <v>3</v>
      </c>
      <c r="Q12" t="n">
        <v>15</v>
      </c>
      <c r="R12" s="2" t="inlineStr">
        <is>
          <t>Ädellav
Mörk kraterlav
Skogskorn
Flattoppad klubbsvamp
Odörspindling
Anisspindling
Diskvaxskivling
Havstulpanlav
Murgröna
Rikfruktig blemlav
Rödgul trumpetsvamp
Skuggsprötmossa
Svavelriska
Västlig hakmossa
Fläcknycklar</t>
        </is>
      </c>
      <c r="S12">
        <f>HYPERLINK("https://klasma.github.io/Logging_0980/artfynd/A 58474-2022 artfynd.xlsx", "A 58474-2022")</f>
        <v/>
      </c>
      <c r="T12">
        <f>HYPERLINK("https://klasma.github.io/Logging_0980/kartor/A 58474-2022 karta.png", "A 58474-2022")</f>
        <v/>
      </c>
      <c r="V12">
        <f>HYPERLINK("https://klasma.github.io/Logging_0980/klagomål/A 58474-2022 FSC-klagomål.docx", "A 58474-2022")</f>
        <v/>
      </c>
      <c r="W12">
        <f>HYPERLINK("https://klasma.github.io/Logging_0980/klagomålsmail/A 58474-2022 FSC-klagomål mail.docx", "A 58474-2022")</f>
        <v/>
      </c>
      <c r="X12">
        <f>HYPERLINK("https://klasma.github.io/Logging_0980/tillsyn/A 58474-2022 tillsynsbegäran.docx", "A 58474-2022")</f>
        <v/>
      </c>
      <c r="Y12">
        <f>HYPERLINK("https://klasma.github.io/Logging_0980/tillsynsmail/A 58474-2022 tillsynsbegäran mail.docx", "A 58474-2022")</f>
        <v/>
      </c>
    </row>
    <row r="13" ht="15" customHeight="1">
      <c r="A13" t="inlineStr">
        <is>
          <t>A 24202-2023</t>
        </is>
      </c>
      <c r="B13" s="1" t="n">
        <v>45079</v>
      </c>
      <c r="C13" s="1" t="n">
        <v>45580</v>
      </c>
      <c r="D13" t="inlineStr">
        <is>
          <t>GOTLANDS LÄN</t>
        </is>
      </c>
      <c r="E13" t="inlineStr">
        <is>
          <t>GOTLAND</t>
        </is>
      </c>
      <c r="G13" t="n">
        <v>2.5</v>
      </c>
      <c r="H13" t="n">
        <v>0</v>
      </c>
      <c r="I13" t="n">
        <v>10</v>
      </c>
      <c r="J13" t="n">
        <v>2</v>
      </c>
      <c r="K13" t="n">
        <v>3</v>
      </c>
      <c r="L13" t="n">
        <v>0</v>
      </c>
      <c r="M13" t="n">
        <v>0</v>
      </c>
      <c r="N13" t="n">
        <v>0</v>
      </c>
      <c r="O13" t="n">
        <v>5</v>
      </c>
      <c r="P13" t="n">
        <v>3</v>
      </c>
      <c r="Q13" t="n">
        <v>15</v>
      </c>
      <c r="R13"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3">
        <f>HYPERLINK("https://klasma.github.io/Logging_0980/artfynd/A 24202-2023 artfynd.xlsx", "A 24202-2023")</f>
        <v/>
      </c>
      <c r="T13">
        <f>HYPERLINK("https://klasma.github.io/Logging_0980/kartor/A 24202-2023 karta.png", "A 24202-2023")</f>
        <v/>
      </c>
      <c r="V13">
        <f>HYPERLINK("https://klasma.github.io/Logging_0980/klagomål/A 24202-2023 FSC-klagomål.docx", "A 24202-2023")</f>
        <v/>
      </c>
      <c r="W13">
        <f>HYPERLINK("https://klasma.github.io/Logging_0980/klagomålsmail/A 24202-2023 FSC-klagomål mail.docx", "A 24202-2023")</f>
        <v/>
      </c>
      <c r="X13">
        <f>HYPERLINK("https://klasma.github.io/Logging_0980/tillsyn/A 24202-2023 tillsynsbegäran.docx", "A 24202-2023")</f>
        <v/>
      </c>
      <c r="Y13">
        <f>HYPERLINK("https://klasma.github.io/Logging_0980/tillsynsmail/A 24202-2023 tillsynsbegäran mail.docx", "A 24202-2023")</f>
        <v/>
      </c>
    </row>
    <row r="14" ht="15" customHeight="1">
      <c r="A14" t="inlineStr">
        <is>
          <t>A 61697-2023</t>
        </is>
      </c>
      <c r="B14" s="1" t="n">
        <v>45265</v>
      </c>
      <c r="C14" s="1" t="n">
        <v>45580</v>
      </c>
      <c r="D14" t="inlineStr">
        <is>
          <t>GOTLANDS LÄN</t>
        </is>
      </c>
      <c r="E14" t="inlineStr">
        <is>
          <t>GOTLAND</t>
        </is>
      </c>
      <c r="G14" t="n">
        <v>8.699999999999999</v>
      </c>
      <c r="H14" t="n">
        <v>2</v>
      </c>
      <c r="I14" t="n">
        <v>3</v>
      </c>
      <c r="J14" t="n">
        <v>4</v>
      </c>
      <c r="K14" t="n">
        <v>7</v>
      </c>
      <c r="L14" t="n">
        <v>1</v>
      </c>
      <c r="M14" t="n">
        <v>0</v>
      </c>
      <c r="N14" t="n">
        <v>0</v>
      </c>
      <c r="O14" t="n">
        <v>12</v>
      </c>
      <c r="P14" t="n">
        <v>8</v>
      </c>
      <c r="Q14" t="n">
        <v>15</v>
      </c>
      <c r="R14"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4">
        <f>HYPERLINK("https://klasma.github.io/Logging_0980/artfynd/A 61697-2023 artfynd.xlsx", "A 61697-2023")</f>
        <v/>
      </c>
      <c r="T14">
        <f>HYPERLINK("https://klasma.github.io/Logging_0980/kartor/A 61697-2023 karta.png", "A 61697-2023")</f>
        <v/>
      </c>
      <c r="V14">
        <f>HYPERLINK("https://klasma.github.io/Logging_0980/klagomål/A 61697-2023 FSC-klagomål.docx", "A 61697-2023")</f>
        <v/>
      </c>
      <c r="W14">
        <f>HYPERLINK("https://klasma.github.io/Logging_0980/klagomålsmail/A 61697-2023 FSC-klagomål mail.docx", "A 61697-2023")</f>
        <v/>
      </c>
      <c r="X14">
        <f>HYPERLINK("https://klasma.github.io/Logging_0980/tillsyn/A 61697-2023 tillsynsbegäran.docx", "A 61697-2023")</f>
        <v/>
      </c>
      <c r="Y14">
        <f>HYPERLINK("https://klasma.github.io/Logging_0980/tillsynsmail/A 61697-2023 tillsynsbegäran mail.docx", "A 61697-2023")</f>
        <v/>
      </c>
    </row>
    <row r="15" ht="15" customHeight="1">
      <c r="A15" t="inlineStr">
        <is>
          <t>A 25779-2022</t>
        </is>
      </c>
      <c r="B15" s="1" t="n">
        <v>44733</v>
      </c>
      <c r="C15" s="1" t="n">
        <v>45580</v>
      </c>
      <c r="D15" t="inlineStr">
        <is>
          <t>GOTLANDS LÄN</t>
        </is>
      </c>
      <c r="E15" t="inlineStr">
        <is>
          <t>GOTLAND</t>
        </is>
      </c>
      <c r="G15" t="n">
        <v>12.6</v>
      </c>
      <c r="H15" t="n">
        <v>4</v>
      </c>
      <c r="I15" t="n">
        <v>8</v>
      </c>
      <c r="J15" t="n">
        <v>3</v>
      </c>
      <c r="K15" t="n">
        <v>3</v>
      </c>
      <c r="L15" t="n">
        <v>0</v>
      </c>
      <c r="M15" t="n">
        <v>0</v>
      </c>
      <c r="N15" t="n">
        <v>0</v>
      </c>
      <c r="O15" t="n">
        <v>6</v>
      </c>
      <c r="P15" t="n">
        <v>3</v>
      </c>
      <c r="Q15" t="n">
        <v>14</v>
      </c>
      <c r="R15" s="2" t="inlineStr">
        <is>
          <t>Duvspindling
Knärot
Ruttaggsvamp
Jordtistel
Odörspindling
Svart taggsvamp
Nästrot
Rödgul trumpetsvamp
Skogsknipprot
Strimspindling
Strävlosta
Svavelriska
Vit skogslilja
Zontaggsvamp</t>
        </is>
      </c>
      <c r="S15">
        <f>HYPERLINK("https://klasma.github.io/Logging_0980/artfynd/A 25779-2022 artfynd.xlsx", "A 25779-2022")</f>
        <v/>
      </c>
      <c r="T15">
        <f>HYPERLINK("https://klasma.github.io/Logging_0980/kartor/A 25779-2022 karta.png", "A 25779-2022")</f>
        <v/>
      </c>
      <c r="U15">
        <f>HYPERLINK("https://klasma.github.io/Logging_0980/knärot/A 25779-2022 karta knärot.png", "A 25779-2022")</f>
        <v/>
      </c>
      <c r="V15">
        <f>HYPERLINK("https://klasma.github.io/Logging_0980/klagomål/A 25779-2022 FSC-klagomål.docx", "A 25779-2022")</f>
        <v/>
      </c>
      <c r="W15">
        <f>HYPERLINK("https://klasma.github.io/Logging_0980/klagomålsmail/A 25779-2022 FSC-klagomål mail.docx", "A 25779-2022")</f>
        <v/>
      </c>
      <c r="X15">
        <f>HYPERLINK("https://klasma.github.io/Logging_0980/tillsyn/A 25779-2022 tillsynsbegäran.docx", "A 25779-2022")</f>
        <v/>
      </c>
      <c r="Y15">
        <f>HYPERLINK("https://klasma.github.io/Logging_0980/tillsynsmail/A 25779-2022 tillsynsbegäran mail.docx", "A 25779-2022")</f>
        <v/>
      </c>
    </row>
    <row r="16" ht="15" customHeight="1">
      <c r="A16" t="inlineStr">
        <is>
          <t>A 569-2023</t>
        </is>
      </c>
      <c r="B16" s="1" t="n">
        <v>44930</v>
      </c>
      <c r="C16" s="1" t="n">
        <v>45580</v>
      </c>
      <c r="D16" t="inlineStr">
        <is>
          <t>GOTLANDS LÄN</t>
        </is>
      </c>
      <c r="E16" t="inlineStr">
        <is>
          <t>GOTLAND</t>
        </is>
      </c>
      <c r="G16" t="n">
        <v>12.8</v>
      </c>
      <c r="H16" t="n">
        <v>1</v>
      </c>
      <c r="I16" t="n">
        <v>5</v>
      </c>
      <c r="J16" t="n">
        <v>4</v>
      </c>
      <c r="K16" t="n">
        <v>5</v>
      </c>
      <c r="L16" t="n">
        <v>0</v>
      </c>
      <c r="M16" t="n">
        <v>0</v>
      </c>
      <c r="N16" t="n">
        <v>0</v>
      </c>
      <c r="O16" t="n">
        <v>9</v>
      </c>
      <c r="P16" t="n">
        <v>5</v>
      </c>
      <c r="Q16" t="n">
        <v>14</v>
      </c>
      <c r="R16"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53920-2023</t>
        </is>
      </c>
      <c r="B17" s="1" t="n">
        <v>45231</v>
      </c>
      <c r="C17" s="1" t="n">
        <v>45580</v>
      </c>
      <c r="D17" t="inlineStr">
        <is>
          <t>GOTLANDS LÄN</t>
        </is>
      </c>
      <c r="E17" t="inlineStr">
        <is>
          <t>GOTLAND</t>
        </is>
      </c>
      <c r="G17" t="n">
        <v>11.4</v>
      </c>
      <c r="H17" t="n">
        <v>0</v>
      </c>
      <c r="I17" t="n">
        <v>6</v>
      </c>
      <c r="J17" t="n">
        <v>2</v>
      </c>
      <c r="K17" t="n">
        <v>6</v>
      </c>
      <c r="L17" t="n">
        <v>0</v>
      </c>
      <c r="M17" t="n">
        <v>0</v>
      </c>
      <c r="N17" t="n">
        <v>0</v>
      </c>
      <c r="O17" t="n">
        <v>8</v>
      </c>
      <c r="P17" t="n">
        <v>6</v>
      </c>
      <c r="Q17" t="n">
        <v>14</v>
      </c>
      <c r="R17" s="2" t="inlineStr">
        <is>
          <t>Duvspindling
Granrotspindling
Gulsträngad fagerspindling
Svartgrön spindling
Tvillingspindling
Vit taggsvamp
Igelkott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12841-2020</t>
        </is>
      </c>
      <c r="B18" s="1" t="n">
        <v>43899</v>
      </c>
      <c r="C18" s="1" t="n">
        <v>45580</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45580</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45580</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45580</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45580</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45580</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45580</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45580</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45580</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45580</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45580</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45580</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45580</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45580</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45580</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45580</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45580</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45580</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45580</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45580</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45580</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45580</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45580</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45580</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45580</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45580</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45580</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45580</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45580</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45580</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45580</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45580</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45580</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45580</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45580</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45580</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45580</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45580</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45580</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45580</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45580</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45580</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45580</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45580</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45580</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45580</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45580</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45580</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45580</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45580</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45580</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45580</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45580</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45580</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45580</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45580</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45580</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45580</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45580</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45580</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45580</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45580</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45580</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45580</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45580</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45580</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45580</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45580</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45580</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45580</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45580</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45580</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45580</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45580</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45580</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45580</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45580</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45580</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45580</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45580</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45580</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45580</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45580</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45580</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45580</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45580</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45580</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45580</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45580</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45580</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45580</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45580</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45580</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45580</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45580</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45580</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45580</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45580</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45580</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45580</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45580</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45580</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45580</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45580</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45580</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45580</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45580</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45580</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45580</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45580</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45580</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45580</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45580</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45580</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45580</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45580</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45580</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45580</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45580</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45580</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45580</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45580</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45580</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45580</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45580</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45580</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45580</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45580</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45580</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45580</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45580</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45580</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45580</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45580</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45580</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45580</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45580</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45580</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45580</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45580</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45580</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45580</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45580</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45580</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45580</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45580</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45580</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45580</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45580</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45580</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45580</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45580</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45580</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45580</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45580</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45580</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45580</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45580</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45580</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45580</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45580</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45580</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45580</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45580</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45580</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45580</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45580</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45580</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45580</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45580</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45580</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45580</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45580</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45580</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45580</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45580</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45580</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45580</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45580</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45580</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45580</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45580</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45580</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45580</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45580</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45580</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45580</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45580</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45580</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45580</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45580</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45580</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45580</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45580</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45580</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45580</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45580</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45580</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45580</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45580</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45580</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45580</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45580</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45580</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45580</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45580</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45580</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45580</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45580</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45580</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45580</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45580</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45580</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45580</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45580</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45580</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45580</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45580</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45580</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45580</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45580</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45580</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45580</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45580</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45580</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45580</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45580</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45580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45580</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45580</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45580</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45580</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45580</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45580</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45580</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45580</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45580</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45580</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45580</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45580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45580</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45580</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45580</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45580</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45580</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45580</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45580</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45580</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45580</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45580</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45580</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45580</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45580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45580</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45580</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45580</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45580</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45580</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45580</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45580</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45580</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45580</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45580</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45580</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45580</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45580</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45580</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45580</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45580</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45580</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45580</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45580</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45580</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45580</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45580</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45580</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45580</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45580</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45580</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45580</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45580</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45580</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45580</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45580</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45580</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45580</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45580</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45580</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45580</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45580</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45580</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45580</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45580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45580</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45580</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45580</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45580</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45580</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45580</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45580</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45580</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45580</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45580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45580</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45580</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45580</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45580</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45580</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45580</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45580</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45580</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45580</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45580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45580</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45580</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45580</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45580</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45580</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45580</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45580</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45580</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45580</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45580</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45580</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45580</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45580</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45580</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45580</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45580</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45580</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45580</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45580</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45580</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45580</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45580</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45580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45580</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45580</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45580</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45580</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45580</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45580</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45580</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45580</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45580</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45580</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45580</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45580</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45580</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45580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45580</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45580</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45580</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45580</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45580</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45580</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45580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45580</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45580</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45580</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45580</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45580</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45580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45580</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45580</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45580</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45580</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45580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45580</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45580</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45580</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45580</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45580</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45580</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45580</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45580</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45580</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45580</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45580</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45580</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45580</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45580</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45580</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45580</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45580</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45580</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45580</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45580</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45580</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45580</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45580</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45580</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45580</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45580</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45580</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45580</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45580</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45580</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45580</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45580</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45580</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45580</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45580</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45580</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45580</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45580</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45580</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45580</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45580</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45580</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45580</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45580</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45580</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45580</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45580</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45580</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45580</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45580</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45580</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45580</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45580</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45580</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45580</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45580</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45580</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45580</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45580</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45580</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45580</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45580</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45580</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45580</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45580</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45580</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45580</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45580</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45580</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45580</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45580</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45580</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45580</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45580</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45580</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45580</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45580</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45580</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45580</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45580</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45580</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45580</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45580</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45580</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45580</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45580</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45580</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45580</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45580</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45580</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45580</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45580</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45580</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45580</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45580</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45580</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45580</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45580</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45580</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45580</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45580</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45580</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45580</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45580</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45580</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45580</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45580</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45580</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45580</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45580</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45580</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45580</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45580</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45580</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45580</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45580</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45580</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45580</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45580</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45580</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45580</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45580</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45580</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45580</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45580</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45580</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45580</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45580</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45580</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45580</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45580</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45580</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45580</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45580</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45580</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45580</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45580</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45580</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45580</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45580</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45580</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45580</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45580</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45580</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45580</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45580</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45580</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45580</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45580</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45580</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45580</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45580</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45580</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45580</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45580</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45580</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45580</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45580</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45580</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45580</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45580</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45580</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45580</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45580</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45580</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45580</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45580</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45580</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45580</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45580</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45580</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45580</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45580</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45580</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45580</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45580</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45580</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45580</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45580</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45580</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45580</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45580</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45580</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45580</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45580</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45580</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45580</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45580</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45580</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45580</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45580</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45580</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45580</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45580</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45580</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45580</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45580</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45580</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45580</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45580</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45580</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45580</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45580</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45580</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45580</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45580</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45580</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45580</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45580</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45580</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45580</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45580</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45580</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45580</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45580</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45580</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45580</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45580</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45580</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45580</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45580</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45580</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45580</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45580</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45580</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45580</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45580</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45580</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45580</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45580</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45580</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45580</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45580</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45580</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45580</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45580</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45580</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45580</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45580</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45580</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45580</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45580</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45580</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45580</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45580</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45580</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45580</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45580</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45580</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45580</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45580</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45580</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45580</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45580</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45580</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45580</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45580</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45580</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45580</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45580</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45580</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45580</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45580</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45580</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45580</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45580</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45580</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45580</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45580</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45580</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45580</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45580</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45580</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45580</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45580</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45580</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45580</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45580</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45580</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45580</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45580</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45580</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45580</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45580</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45580</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45580</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45580</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45580</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45580</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45580</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45580</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45580</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45580</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45580</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45580</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45580</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45580</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45580</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45580</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45580</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45580</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45580</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45580</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45580</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45580</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45580</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45580</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45580</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45580</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45580</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45580</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45580</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45580</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45580</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45580</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45580</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45580</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45580</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45580</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45580</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45580</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45580</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45580</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45580</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45580</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45580</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45580</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45580</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45580</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45580</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45580</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45580</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45580</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45580</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45580</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45580</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45580</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45580</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45580</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45580</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45580</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45580</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45580</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45580</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45580</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45580</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45580</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45580</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45580</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45580</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45580</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45580</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45580</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45580</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45580</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45580</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45580</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45580</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45580</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45580</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45580</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45580</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45580</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45580</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45580</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45580</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45580</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45580</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45580</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45580</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45580</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45580</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45580</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45580</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45580</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45580</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45580</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45580</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45580</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45580</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45580</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45580</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45580</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45580</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45580</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45580</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45580</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45580</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45580</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45580</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45580</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45580</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45580</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45580</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45580</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45580</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45580</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45580</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45580</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45580</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45580</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45580</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45580</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45580</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45580</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45580</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45580</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45580</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45580</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45580</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45580</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45580</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45580</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45580</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45580</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45580</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45580</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45580</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45580</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45580</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45580</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45580</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45580</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45580</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45580</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45580</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45580</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45580</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45580</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45580</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45580</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45580</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45580</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45580</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45580</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45580</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45580</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45580</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45580</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45580</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45580</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45580</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45580</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45580</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45580</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45580</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45580</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45580</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45580</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45580</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45580</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45580</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45580</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45580</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45580</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45580</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45580</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45580</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45580</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45580</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45580</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45580</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45580</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45580</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45580</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45580</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45580</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45580</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45580</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45580</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45580</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45580</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45580</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45580</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45580</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45580</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45580</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45580</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45580</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45580</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45580</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45580</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45580</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45580</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45580</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45580</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45580</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45580</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42346-2024</t>
        </is>
      </c>
      <c r="B892" s="1" t="n">
        <v>45562</v>
      </c>
      <c r="C892" s="1" t="n">
        <v>45580</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43785-2024</t>
        </is>
      </c>
      <c r="B893" s="1" t="n">
        <v>45570</v>
      </c>
      <c r="C893" s="1" t="n">
        <v>45580</v>
      </c>
      <c r="D893" t="inlineStr">
        <is>
          <t>GOTLANDS LÄN</t>
        </is>
      </c>
      <c r="E893" t="inlineStr">
        <is>
          <t>GOTLAND</t>
        </is>
      </c>
      <c r="G893" t="n">
        <v>12.6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45580</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45580</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45580</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45580</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45580</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45580</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45580</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45580</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45580</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45580</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45071-2024</t>
        </is>
      </c>
      <c r="B904" s="1" t="n">
        <v>45575</v>
      </c>
      <c r="C904" s="1" t="n">
        <v>45580</v>
      </c>
      <c r="D904" t="inlineStr">
        <is>
          <t>GOTLANDS LÄN</t>
        </is>
      </c>
      <c r="E904" t="inlineStr">
        <is>
          <t>GOTLAND</t>
        </is>
      </c>
      <c r="G904" t="n">
        <v>7.9</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45580</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45580</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2024-10-15T12:47:38Z</dcterms:created>
  <dcterms:modified xmlns:dcterms="http://purl.org/dc/terms/" xmlns:xsi="http://www.w3.org/2001/XMLSchema-instance" xsi:type="dcterms:W3CDTF">2024-10-15T12:47:39Z</dcterms:modified>
</cp:coreProperties>
</file>