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46184</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46184</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46184</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46184</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46184</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46184</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46184</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46184</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46184</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46184</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46184</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46184</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46184</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46184</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46184</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46184</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46184</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46184</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46184</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46184</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46184</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10274-2026</t>
        </is>
      </c>
      <c r="B39" s="1" t="n">
        <v>46076</v>
      </c>
      <c r="C39" s="1" t="n">
        <v>46184</v>
      </c>
      <c r="D39" t="inlineStr">
        <is>
          <t>GOTLANDS LÄN</t>
        </is>
      </c>
      <c r="E39" t="inlineStr">
        <is>
          <t>GOTLAND</t>
        </is>
      </c>
      <c r="G39" t="n">
        <v>9.800000000000001</v>
      </c>
      <c r="H39" t="n">
        <v>4</v>
      </c>
      <c r="I39" t="n">
        <v>3</v>
      </c>
      <c r="J39" t="n">
        <v>4</v>
      </c>
      <c r="K39" t="n">
        <v>1</v>
      </c>
      <c r="L39" t="n">
        <v>0</v>
      </c>
      <c r="M39" t="n">
        <v>0</v>
      </c>
      <c r="N39" t="n">
        <v>0</v>
      </c>
      <c r="O39" t="n">
        <v>5</v>
      </c>
      <c r="P39" t="n">
        <v>1</v>
      </c>
      <c r="Q39" t="n">
        <v>11</v>
      </c>
      <c r="R39" s="2" t="inlineStr">
        <is>
          <t>Gråfingerört
Backstarr
Backtimjan
Reliktbock
Spillkråka
Axag
Grönpyrola
Kragjordstjärna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43201-2023</t>
        </is>
      </c>
      <c r="B40" s="1" t="n">
        <v>45183</v>
      </c>
      <c r="C40" s="1" t="n">
        <v>46184</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46184</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17766-2024</t>
        </is>
      </c>
      <c r="B43" s="1" t="n">
        <v>45418</v>
      </c>
      <c r="C43" s="1" t="n">
        <v>46184</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45248-2024</t>
        </is>
      </c>
      <c r="B44" s="1" t="n">
        <v>45576</v>
      </c>
      <c r="C44" s="1" t="n">
        <v>46184</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46184</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46184</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46184</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2649-2023</t>
        </is>
      </c>
      <c r="B50" s="1" t="n">
        <v>44943</v>
      </c>
      <c r="C50" s="1" t="n">
        <v>46184</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27168-2022</t>
        </is>
      </c>
      <c r="B51" s="1" t="n">
        <v>44741</v>
      </c>
      <c r="C51" s="1" t="n">
        <v>46184</v>
      </c>
      <c r="D51" t="inlineStr">
        <is>
          <t>GOTLANDS LÄN</t>
        </is>
      </c>
      <c r="E51" t="inlineStr">
        <is>
          <t>GOTLAND</t>
        </is>
      </c>
      <c r="G51" t="n">
        <v>2.2</v>
      </c>
      <c r="H51" t="n">
        <v>5</v>
      </c>
      <c r="I51" t="n">
        <v>2</v>
      </c>
      <c r="J51" t="n">
        <v>2</v>
      </c>
      <c r="K51" t="n">
        <v>1</v>
      </c>
      <c r="L51" t="n">
        <v>0</v>
      </c>
      <c r="M51" t="n">
        <v>0</v>
      </c>
      <c r="N51" t="n">
        <v>0</v>
      </c>
      <c r="O51" t="n">
        <v>3</v>
      </c>
      <c r="P51" t="n">
        <v>1</v>
      </c>
      <c r="Q51" t="n">
        <v>8</v>
      </c>
      <c r="R51" s="2" t="inlineStr">
        <is>
          <t>Gotlandsmåra
Solvända
Svinrot
Purpurknipprot
Vit skogslilja
Brudsporre
Fläcknycklar
Kärrknipprot</t>
        </is>
      </c>
      <c r="S51">
        <f>HYPERLINK("https://klasma.github.io/Logging_0980/artfynd/A 27168-2022 artfynd.xlsx", "A 27168-2022")</f>
        <v/>
      </c>
      <c r="T51">
        <f>HYPERLINK("https://klasma.github.io/Logging_0980/kartor/A 27168-2022 karta.png", "A 27168-2022")</f>
        <v/>
      </c>
      <c r="V51">
        <f>HYPERLINK("https://klasma.github.io/Logging_0980/klagomål/A 27168-2022 FSC-klagomål.docx", "A 27168-2022")</f>
        <v/>
      </c>
      <c r="W51">
        <f>HYPERLINK("https://klasma.github.io/Logging_0980/klagomålsmail/A 27168-2022 FSC-klagomål mail.docx", "A 27168-2022")</f>
        <v/>
      </c>
      <c r="X51">
        <f>HYPERLINK("https://klasma.github.io/Logging_0980/tillsyn/A 27168-2022 tillsynsbegäran.docx", "A 27168-2022")</f>
        <v/>
      </c>
      <c r="Y51">
        <f>HYPERLINK("https://klasma.github.io/Logging_0980/tillsynsmail/A 27168-2022 tillsynsbegäran mail.docx", "A 27168-2022")</f>
        <v/>
      </c>
    </row>
    <row r="52" ht="15" customHeight="1">
      <c r="A52" t="inlineStr">
        <is>
          <t>A 7039-2023</t>
        </is>
      </c>
      <c r="B52" s="1" t="n">
        <v>44968</v>
      </c>
      <c r="C52" s="1" t="n">
        <v>46184</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46184</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46184</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46184</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46184</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46184</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46184</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46184</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46184</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46184</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16823-2024</t>
        </is>
      </c>
      <c r="B62" s="1" t="n">
        <v>45411</v>
      </c>
      <c r="C62" s="1" t="n">
        <v>46184</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46184</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7038-2023</t>
        </is>
      </c>
      <c r="B64" s="1" t="n">
        <v>44968</v>
      </c>
      <c r="C64" s="1" t="n">
        <v>46184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57773-2025</t>
        </is>
      </c>
      <c r="B65" s="1" t="n">
        <v>45981.56349537037</v>
      </c>
      <c r="C65" s="1" t="n">
        <v>46184</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46184</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54527-2023</t>
        </is>
      </c>
      <c r="B67" s="1" t="n">
        <v>45233</v>
      </c>
      <c r="C67" s="1" t="n">
        <v>46184</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46184</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35293-2025</t>
        </is>
      </c>
      <c r="B69" s="1" t="n">
        <v>45854.39438657407</v>
      </c>
      <c r="C69" s="1" t="n">
        <v>46184</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32326-2024</t>
        </is>
      </c>
      <c r="B70" s="1" t="n">
        <v>45512</v>
      </c>
      <c r="C70" s="1" t="n">
        <v>46184</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39425-2023</t>
        </is>
      </c>
      <c r="B71" s="1" t="n">
        <v>45166</v>
      </c>
      <c r="C71" s="1" t="n">
        <v>46184</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2213-2023</t>
        </is>
      </c>
      <c r="B72" s="1" t="n">
        <v>44942</v>
      </c>
      <c r="C72" s="1" t="n">
        <v>46184</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6839-2026</t>
        </is>
      </c>
      <c r="B73" s="1" t="n">
        <v>46057.41193287037</v>
      </c>
      <c r="C73" s="1" t="n">
        <v>46184</v>
      </c>
      <c r="D73" t="inlineStr">
        <is>
          <t>GOTLANDS LÄN</t>
        </is>
      </c>
      <c r="E73" t="inlineStr">
        <is>
          <t>GOTLAND</t>
        </is>
      </c>
      <c r="G73" t="n">
        <v>4.9</v>
      </c>
      <c r="H73" t="n">
        <v>0</v>
      </c>
      <c r="I73" t="n">
        <v>1</v>
      </c>
      <c r="J73" t="n">
        <v>2</v>
      </c>
      <c r="K73" t="n">
        <v>2</v>
      </c>
      <c r="L73" t="n">
        <v>0</v>
      </c>
      <c r="M73" t="n">
        <v>0</v>
      </c>
      <c r="N73" t="n">
        <v>0</v>
      </c>
      <c r="O73" t="n">
        <v>4</v>
      </c>
      <c r="P73" t="n">
        <v>2</v>
      </c>
      <c r="Q73" t="n">
        <v>5</v>
      </c>
      <c r="R73" s="2" t="inlineStr">
        <is>
          <t>Mörk kraterlav
Skogskorn
Ekvaxskivling
Mjölmusseron
Besk kastanjemusseron</t>
        </is>
      </c>
      <c r="S73">
        <f>HYPERLINK("https://klasma.github.io/Logging_0980/artfynd/A 6839-2026 artfynd.xlsx", "A 6839-2026")</f>
        <v/>
      </c>
      <c r="T73">
        <f>HYPERLINK("https://klasma.github.io/Logging_0980/kartor/A 6839-2026 karta.png", "A 6839-2026")</f>
        <v/>
      </c>
      <c r="V73">
        <f>HYPERLINK("https://klasma.github.io/Logging_0980/klagomål/A 6839-2026 FSC-klagomål.docx", "A 6839-2026")</f>
        <v/>
      </c>
      <c r="W73">
        <f>HYPERLINK("https://klasma.github.io/Logging_0980/klagomålsmail/A 6839-2026 FSC-klagomål mail.docx", "A 6839-2026")</f>
        <v/>
      </c>
      <c r="X73">
        <f>HYPERLINK("https://klasma.github.io/Logging_0980/tillsyn/A 6839-2026 tillsynsbegäran.docx", "A 6839-2026")</f>
        <v/>
      </c>
      <c r="Y73">
        <f>HYPERLINK("https://klasma.github.io/Logging_0980/tillsynsmail/A 6839-2026 tillsynsbegäran mail.docx", "A 6839-2026")</f>
        <v/>
      </c>
    </row>
    <row r="74" ht="15" customHeight="1">
      <c r="A74" t="inlineStr">
        <is>
          <t>A 42936-2024</t>
        </is>
      </c>
      <c r="B74" s="1" t="n">
        <v>45567</v>
      </c>
      <c r="C74" s="1" t="n">
        <v>46184</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54055-2022</t>
        </is>
      </c>
      <c r="B75" s="1" t="n">
        <v>44881</v>
      </c>
      <c r="C75" s="1" t="n">
        <v>46184</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29331-2021</t>
        </is>
      </c>
      <c r="B76" s="1" t="n">
        <v>44361</v>
      </c>
      <c r="C76" s="1" t="n">
        <v>46184</v>
      </c>
      <c r="D76" t="inlineStr">
        <is>
          <t>GOTLANDS LÄN</t>
        </is>
      </c>
      <c r="E76" t="inlineStr">
        <is>
          <t>GOTLAND</t>
        </is>
      </c>
      <c r="G76" t="n">
        <v>3.7</v>
      </c>
      <c r="H76" t="n">
        <v>1</v>
      </c>
      <c r="I76" t="n">
        <v>4</v>
      </c>
      <c r="J76" t="n">
        <v>0</v>
      </c>
      <c r="K76" t="n">
        <v>0</v>
      </c>
      <c r="L76" t="n">
        <v>0</v>
      </c>
      <c r="M76" t="n">
        <v>0</v>
      </c>
      <c r="N76" t="n">
        <v>0</v>
      </c>
      <c r="O76" t="n">
        <v>0</v>
      </c>
      <c r="P76" t="n">
        <v>0</v>
      </c>
      <c r="Q76" t="n">
        <v>4</v>
      </c>
      <c r="R76" s="2" t="inlineStr">
        <is>
          <t>Blåmossa
Granbarkgnagare
Kattfotslav
Tvåblad</t>
        </is>
      </c>
      <c r="S76">
        <f>HYPERLINK("https://klasma.github.io/Logging_0980/artfynd/A 29331-2021 artfynd.xlsx", "A 29331-2021")</f>
        <v/>
      </c>
      <c r="T76">
        <f>HYPERLINK("https://klasma.github.io/Logging_0980/kartor/A 29331-2021 karta.png", "A 29331-2021")</f>
        <v/>
      </c>
      <c r="V76">
        <f>HYPERLINK("https://klasma.github.io/Logging_0980/klagomål/A 29331-2021 FSC-klagomål.docx", "A 29331-2021")</f>
        <v/>
      </c>
      <c r="W76">
        <f>HYPERLINK("https://klasma.github.io/Logging_0980/klagomålsmail/A 29331-2021 FSC-klagomål mail.docx", "A 29331-2021")</f>
        <v/>
      </c>
      <c r="X76">
        <f>HYPERLINK("https://klasma.github.io/Logging_0980/tillsyn/A 29331-2021 tillsynsbegäran.docx", "A 29331-2021")</f>
        <v/>
      </c>
      <c r="Y76">
        <f>HYPERLINK("https://klasma.github.io/Logging_0980/tillsynsmail/A 29331-2021 tillsynsbegäran mail.docx", "A 29331-2021")</f>
        <v/>
      </c>
    </row>
    <row r="77" ht="15" customHeight="1">
      <c r="A77" t="inlineStr">
        <is>
          <t>A 5904-2024</t>
        </is>
      </c>
      <c r="B77" s="1" t="n">
        <v>45335</v>
      </c>
      <c r="C77" s="1" t="n">
        <v>46184</v>
      </c>
      <c r="D77" t="inlineStr">
        <is>
          <t>GOTLANDS LÄN</t>
        </is>
      </c>
      <c r="E77" t="inlineStr">
        <is>
          <t>GOTLAND</t>
        </is>
      </c>
      <c r="G77" t="n">
        <v>6.4</v>
      </c>
      <c r="H77" t="n">
        <v>1</v>
      </c>
      <c r="I77" t="n">
        <v>2</v>
      </c>
      <c r="J77" t="n">
        <v>1</v>
      </c>
      <c r="K77" t="n">
        <v>0</v>
      </c>
      <c r="L77" t="n">
        <v>0</v>
      </c>
      <c r="M77" t="n">
        <v>0</v>
      </c>
      <c r="N77" t="n">
        <v>0</v>
      </c>
      <c r="O77" t="n">
        <v>1</v>
      </c>
      <c r="P77" t="n">
        <v>0</v>
      </c>
      <c r="Q77" t="n">
        <v>4</v>
      </c>
      <c r="R77" s="2" t="inlineStr">
        <is>
          <t>Backstarr
Blåmossa
Kattfotslav
Sankt pers nycklar</t>
        </is>
      </c>
      <c r="S77">
        <f>HYPERLINK("https://klasma.github.io/Logging_0980/artfynd/A 5904-2024 artfynd.xlsx", "A 5904-2024")</f>
        <v/>
      </c>
      <c r="T77">
        <f>HYPERLINK("https://klasma.github.io/Logging_0980/kartor/A 5904-2024 karta.png", "A 5904-2024")</f>
        <v/>
      </c>
      <c r="V77">
        <f>HYPERLINK("https://klasma.github.io/Logging_0980/klagomål/A 5904-2024 FSC-klagomål.docx", "A 5904-2024")</f>
        <v/>
      </c>
      <c r="W77">
        <f>HYPERLINK("https://klasma.github.io/Logging_0980/klagomålsmail/A 5904-2024 FSC-klagomål mail.docx", "A 5904-2024")</f>
        <v/>
      </c>
      <c r="X77">
        <f>HYPERLINK("https://klasma.github.io/Logging_0980/tillsyn/A 5904-2024 tillsynsbegäran.docx", "A 5904-2024")</f>
        <v/>
      </c>
      <c r="Y77">
        <f>HYPERLINK("https://klasma.github.io/Logging_0980/tillsynsmail/A 5904-2024 tillsynsbegäran mail.docx", "A 5904-2024")</f>
        <v/>
      </c>
    </row>
    <row r="78" ht="15" customHeight="1">
      <c r="A78" t="inlineStr">
        <is>
          <t>A 56717-2024</t>
        </is>
      </c>
      <c r="B78" s="1" t="n">
        <v>45628.3166550926</v>
      </c>
      <c r="C78" s="1" t="n">
        <v>46184</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46184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46184</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6159-2023</t>
        </is>
      </c>
      <c r="B81" s="1" t="n">
        <v>44964</v>
      </c>
      <c r="C81" s="1" t="n">
        <v>46184</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46184</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1971-2023</t>
        </is>
      </c>
      <c r="B83" s="1" t="n">
        <v>44939</v>
      </c>
      <c r="C83" s="1" t="n">
        <v>46184</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186-2023</t>
        </is>
      </c>
      <c r="B84" s="1" t="n">
        <v>44928</v>
      </c>
      <c r="C84" s="1" t="n">
        <v>46184</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63152-2025</t>
        </is>
      </c>
      <c r="B85" s="1" t="n">
        <v>46010</v>
      </c>
      <c r="C85" s="1" t="n">
        <v>46184</v>
      </c>
      <c r="D85" t="inlineStr">
        <is>
          <t>GOTLANDS LÄN</t>
        </is>
      </c>
      <c r="E85" t="inlineStr">
        <is>
          <t>GOTLAND</t>
        </is>
      </c>
      <c r="G85" t="n">
        <v>1.5</v>
      </c>
      <c r="H85" t="n">
        <v>3</v>
      </c>
      <c r="I85" t="n">
        <v>1</v>
      </c>
      <c r="J85" t="n">
        <v>2</v>
      </c>
      <c r="K85" t="n">
        <v>0</v>
      </c>
      <c r="L85" t="n">
        <v>0</v>
      </c>
      <c r="M85" t="n">
        <v>0</v>
      </c>
      <c r="N85" t="n">
        <v>0</v>
      </c>
      <c r="O85" t="n">
        <v>2</v>
      </c>
      <c r="P85" t="n">
        <v>0</v>
      </c>
      <c r="Q85" t="n">
        <v>4</v>
      </c>
      <c r="R85" s="2" t="inlineStr">
        <is>
          <t>Spillkråka
Svinrot
Nästrot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20833-2024</t>
        </is>
      </c>
      <c r="B86" s="1" t="n">
        <v>45439</v>
      </c>
      <c r="C86" s="1" t="n">
        <v>46184</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57463-2025</t>
        </is>
      </c>
      <c r="B87" s="1" t="n">
        <v>45980</v>
      </c>
      <c r="C87" s="1" t="n">
        <v>46184</v>
      </c>
      <c r="D87" t="inlineStr">
        <is>
          <t>GOTLANDS LÄN</t>
        </is>
      </c>
      <c r="E87" t="inlineStr">
        <is>
          <t>GOTLAND</t>
        </is>
      </c>
      <c r="G87" t="n">
        <v>3.8</v>
      </c>
      <c r="H87" t="n">
        <v>0</v>
      </c>
      <c r="I87" t="n">
        <v>1</v>
      </c>
      <c r="J87" t="n">
        <v>1</v>
      </c>
      <c r="K87" t="n">
        <v>2</v>
      </c>
      <c r="L87" t="n">
        <v>0</v>
      </c>
      <c r="M87" t="n">
        <v>0</v>
      </c>
      <c r="N87" t="n">
        <v>0</v>
      </c>
      <c r="O87" t="n">
        <v>3</v>
      </c>
      <c r="P87" t="n">
        <v>2</v>
      </c>
      <c r="Q87" t="n">
        <v>4</v>
      </c>
      <c r="R87" s="2" t="inlineStr">
        <is>
          <t>Gulsträngad fagerspindling
Tvillingspindling
Odörspindling
Blå slemspindling</t>
        </is>
      </c>
      <c r="S87">
        <f>HYPERLINK("https://klasma.github.io/Logging_0980/artfynd/A 57463-2025 artfynd.xlsx", "A 57463-2025")</f>
        <v/>
      </c>
      <c r="T87">
        <f>HYPERLINK("https://klasma.github.io/Logging_0980/kartor/A 57463-2025 karta.png", "A 57463-2025")</f>
        <v/>
      </c>
      <c r="V87">
        <f>HYPERLINK("https://klasma.github.io/Logging_0980/klagomål/A 57463-2025 FSC-klagomål.docx", "A 57463-2025")</f>
        <v/>
      </c>
      <c r="W87">
        <f>HYPERLINK("https://klasma.github.io/Logging_0980/klagomålsmail/A 57463-2025 FSC-klagomål mail.docx", "A 57463-2025")</f>
        <v/>
      </c>
      <c r="X87">
        <f>HYPERLINK("https://klasma.github.io/Logging_0980/tillsyn/A 57463-2025 tillsynsbegäran.docx", "A 57463-2025")</f>
        <v/>
      </c>
      <c r="Y87">
        <f>HYPERLINK("https://klasma.github.io/Logging_0980/tillsynsmail/A 57463-2025 tillsynsbegäran mail.docx", "A 57463-2025")</f>
        <v/>
      </c>
    </row>
    <row r="88" ht="15" customHeight="1">
      <c r="A88" t="inlineStr">
        <is>
          <t>A 6836-2026</t>
        </is>
      </c>
      <c r="B88" s="1" t="n">
        <v>46057</v>
      </c>
      <c r="C88" s="1" t="n">
        <v>46184</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8265-2023</t>
        </is>
      </c>
      <c r="B89" s="1" t="n">
        <v>44974</v>
      </c>
      <c r="C89" s="1" t="n">
        <v>46184</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44323-2021</t>
        </is>
      </c>
      <c r="B90" s="1" t="n">
        <v>44434</v>
      </c>
      <c r="C90" s="1" t="n">
        <v>46184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46184</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46184</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73144-2021</t>
        </is>
      </c>
      <c r="B94" s="1" t="n">
        <v>44550</v>
      </c>
      <c r="C94" s="1" t="n">
        <v>46184</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49709-2025</t>
        </is>
      </c>
      <c r="B95" s="1" t="n">
        <v>45939.68228009259</v>
      </c>
      <c r="C95" s="1" t="n">
        <v>46184</v>
      </c>
      <c r="D95" t="inlineStr">
        <is>
          <t>GOTLANDS LÄN</t>
        </is>
      </c>
      <c r="E95" t="inlineStr">
        <is>
          <t>GOTLAND</t>
        </is>
      </c>
      <c r="G95" t="n">
        <v>10.2</v>
      </c>
      <c r="H95" t="n">
        <v>0</v>
      </c>
      <c r="I95" t="n">
        <v>2</v>
      </c>
      <c r="J95" t="n">
        <v>1</v>
      </c>
      <c r="K95" t="n">
        <v>0</v>
      </c>
      <c r="L95" t="n">
        <v>0</v>
      </c>
      <c r="M95" t="n">
        <v>0</v>
      </c>
      <c r="N95" t="n">
        <v>0</v>
      </c>
      <c r="O95" t="n">
        <v>1</v>
      </c>
      <c r="P95" t="n">
        <v>0</v>
      </c>
      <c r="Q95" t="n">
        <v>3</v>
      </c>
      <c r="R95" s="2" t="inlineStr">
        <is>
          <t>Tallticka
Blåmossa
Grovticka</t>
        </is>
      </c>
      <c r="S95">
        <f>HYPERLINK("https://klasma.github.io/Logging_0980/artfynd/A 49709-2025 artfynd.xlsx", "A 49709-2025")</f>
        <v/>
      </c>
      <c r="T95">
        <f>HYPERLINK("https://klasma.github.io/Logging_0980/kartor/A 49709-2025 karta.png", "A 49709-2025")</f>
        <v/>
      </c>
      <c r="V95">
        <f>HYPERLINK("https://klasma.github.io/Logging_0980/klagomål/A 49709-2025 FSC-klagomål.docx", "A 49709-2025")</f>
        <v/>
      </c>
      <c r="W95">
        <f>HYPERLINK("https://klasma.github.io/Logging_0980/klagomålsmail/A 49709-2025 FSC-klagomål mail.docx", "A 49709-2025")</f>
        <v/>
      </c>
      <c r="X95">
        <f>HYPERLINK("https://klasma.github.io/Logging_0980/tillsyn/A 49709-2025 tillsynsbegäran.docx", "A 49709-2025")</f>
        <v/>
      </c>
      <c r="Y95">
        <f>HYPERLINK("https://klasma.github.io/Logging_0980/tillsynsmail/A 49709-2025 tillsynsbegäran mail.docx", "A 49709-2025")</f>
        <v/>
      </c>
    </row>
    <row r="96" ht="15" customHeight="1">
      <c r="A96" t="inlineStr">
        <is>
          <t>A 13499-2022</t>
        </is>
      </c>
      <c r="B96" s="1" t="n">
        <v>44647.79203703703</v>
      </c>
      <c r="C96" s="1" t="n">
        <v>46184</v>
      </c>
      <c r="D96" t="inlineStr">
        <is>
          <t>GOTLANDS LÄN</t>
        </is>
      </c>
      <c r="E96" t="inlineStr">
        <is>
          <t>GOTLAND</t>
        </is>
      </c>
      <c r="G96" t="n">
        <v>6.8</v>
      </c>
      <c r="H96" t="n">
        <v>3</v>
      </c>
      <c r="I96" t="n">
        <v>0</v>
      </c>
      <c r="J96" t="n">
        <v>1</v>
      </c>
      <c r="K96" t="n">
        <v>0</v>
      </c>
      <c r="L96" t="n">
        <v>0</v>
      </c>
      <c r="M96" t="n">
        <v>0</v>
      </c>
      <c r="N96" t="n">
        <v>0</v>
      </c>
      <c r="O96" t="n">
        <v>1</v>
      </c>
      <c r="P96" t="n">
        <v>0</v>
      </c>
      <c r="Q96" t="n">
        <v>3</v>
      </c>
      <c r="R96" s="2" t="inlineStr">
        <is>
          <t>Spillkråka
Sankt pers nycklar
Blåsippa</t>
        </is>
      </c>
      <c r="S96">
        <f>HYPERLINK("https://klasma.github.io/Logging_0980/artfynd/A 13499-2022 artfynd.xlsx", "A 13499-2022")</f>
        <v/>
      </c>
      <c r="T96">
        <f>HYPERLINK("https://klasma.github.io/Logging_0980/kartor/A 13499-2022 karta.png", "A 13499-2022")</f>
        <v/>
      </c>
      <c r="V96">
        <f>HYPERLINK("https://klasma.github.io/Logging_0980/klagomål/A 13499-2022 FSC-klagomål.docx", "A 13499-2022")</f>
        <v/>
      </c>
      <c r="W96">
        <f>HYPERLINK("https://klasma.github.io/Logging_0980/klagomålsmail/A 13499-2022 FSC-klagomål mail.docx", "A 13499-2022")</f>
        <v/>
      </c>
      <c r="X96">
        <f>HYPERLINK("https://klasma.github.io/Logging_0980/tillsyn/A 13499-2022 tillsynsbegäran.docx", "A 13499-2022")</f>
        <v/>
      </c>
      <c r="Y96">
        <f>HYPERLINK("https://klasma.github.io/Logging_0980/tillsynsmail/A 13499-2022 tillsynsbegäran mail.docx", "A 13499-2022")</f>
        <v/>
      </c>
      <c r="Z96">
        <f>HYPERLINK("https://klasma.github.io/Logging_0980/fåglar/A 13499-2022 prioriterade fågelarter.docx", "A 13499-2022")</f>
        <v/>
      </c>
    </row>
    <row r="97" ht="15" customHeight="1">
      <c r="A97" t="inlineStr">
        <is>
          <t>A 5235-2025</t>
        </is>
      </c>
      <c r="B97" s="1" t="n">
        <v>45692.26797453704</v>
      </c>
      <c r="C97" s="1" t="n">
        <v>46184</v>
      </c>
      <c r="D97" t="inlineStr">
        <is>
          <t>GOTLANDS LÄN</t>
        </is>
      </c>
      <c r="E97" t="inlineStr">
        <is>
          <t>GOTLAND</t>
        </is>
      </c>
      <c r="G97" t="n">
        <v>7.6</v>
      </c>
      <c r="H97" t="n">
        <v>1</v>
      </c>
      <c r="I97" t="n">
        <v>2</v>
      </c>
      <c r="J97" t="n">
        <v>1</v>
      </c>
      <c r="K97" t="n">
        <v>0</v>
      </c>
      <c r="L97" t="n">
        <v>0</v>
      </c>
      <c r="M97" t="n">
        <v>0</v>
      </c>
      <c r="N97" t="n">
        <v>0</v>
      </c>
      <c r="O97" t="n">
        <v>1</v>
      </c>
      <c r="P97" t="n">
        <v>0</v>
      </c>
      <c r="Q97" t="n">
        <v>3</v>
      </c>
      <c r="R97" s="2" t="inlineStr">
        <is>
          <t>Svinrot
Blåmossa
Tvåblad</t>
        </is>
      </c>
      <c r="S97">
        <f>HYPERLINK("https://klasma.github.io/Logging_0980/artfynd/A 5235-2025 artfynd.xlsx", "A 5235-2025")</f>
        <v/>
      </c>
      <c r="T97">
        <f>HYPERLINK("https://klasma.github.io/Logging_0980/kartor/A 5235-2025 karta.png", "A 5235-2025")</f>
        <v/>
      </c>
      <c r="V97">
        <f>HYPERLINK("https://klasma.github.io/Logging_0980/klagomål/A 5235-2025 FSC-klagomål.docx", "A 5235-2025")</f>
        <v/>
      </c>
      <c r="W97">
        <f>HYPERLINK("https://klasma.github.io/Logging_0980/klagomålsmail/A 5235-2025 FSC-klagomål mail.docx", "A 5235-2025")</f>
        <v/>
      </c>
      <c r="X97">
        <f>HYPERLINK("https://klasma.github.io/Logging_0980/tillsyn/A 5235-2025 tillsynsbegäran.docx", "A 5235-2025")</f>
        <v/>
      </c>
      <c r="Y97">
        <f>HYPERLINK("https://klasma.github.io/Logging_0980/tillsynsmail/A 5235-2025 tillsynsbegäran mail.docx", "A 5235-2025")</f>
        <v/>
      </c>
    </row>
    <row r="98" ht="15" customHeight="1">
      <c r="A98" t="inlineStr">
        <is>
          <t>A 48126-2022</t>
        </is>
      </c>
      <c r="B98" s="1" t="n">
        <v>44857</v>
      </c>
      <c r="C98" s="1" t="n">
        <v>46184</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17975-2024</t>
        </is>
      </c>
      <c r="B99" s="1" t="n">
        <v>45419.85546296297</v>
      </c>
      <c r="C99" s="1" t="n">
        <v>46184</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17982-2023</t>
        </is>
      </c>
      <c r="B100" s="1" t="n">
        <v>45040</v>
      </c>
      <c r="C100" s="1" t="n">
        <v>46184</v>
      </c>
      <c r="D100" t="inlineStr">
        <is>
          <t>GOTLANDS LÄN</t>
        </is>
      </c>
      <c r="E100" t="inlineStr">
        <is>
          <t>GOTLAND</t>
        </is>
      </c>
      <c r="G100" t="n">
        <v>2.2</v>
      </c>
      <c r="H100" t="n">
        <v>0</v>
      </c>
      <c r="I100" t="n">
        <v>0</v>
      </c>
      <c r="J100" t="n">
        <v>2</v>
      </c>
      <c r="K100" t="n">
        <v>0</v>
      </c>
      <c r="L100" t="n">
        <v>0</v>
      </c>
      <c r="M100" t="n">
        <v>1</v>
      </c>
      <c r="N100" t="n">
        <v>0</v>
      </c>
      <c r="O100" t="n">
        <v>3</v>
      </c>
      <c r="P100" t="n">
        <v>1</v>
      </c>
      <c r="Q100" t="n">
        <v>3</v>
      </c>
      <c r="R100" s="2" t="inlineStr">
        <is>
          <t>Lundalm
Krusfrö
Ängsskära</t>
        </is>
      </c>
      <c r="S100">
        <f>HYPERLINK("https://klasma.github.io/Logging_0980/artfynd/A 17982-2023 artfynd.xlsx", "A 17982-2023")</f>
        <v/>
      </c>
      <c r="T100">
        <f>HYPERLINK("https://klasma.github.io/Logging_0980/kartor/A 17982-2023 karta.png", "A 17982-2023")</f>
        <v/>
      </c>
      <c r="V100">
        <f>HYPERLINK("https://klasma.github.io/Logging_0980/klagomål/A 17982-2023 FSC-klagomål.docx", "A 17982-2023")</f>
        <v/>
      </c>
      <c r="W100">
        <f>HYPERLINK("https://klasma.github.io/Logging_0980/klagomålsmail/A 17982-2023 FSC-klagomål mail.docx", "A 17982-2023")</f>
        <v/>
      </c>
      <c r="X100">
        <f>HYPERLINK("https://klasma.github.io/Logging_0980/tillsyn/A 17982-2023 tillsynsbegäran.docx", "A 17982-2023")</f>
        <v/>
      </c>
      <c r="Y100">
        <f>HYPERLINK("https://klasma.github.io/Logging_0980/tillsynsmail/A 17982-2023 tillsynsbegäran mail.docx", "A 17982-2023")</f>
        <v/>
      </c>
    </row>
    <row r="101" ht="15" customHeight="1">
      <c r="A101" t="inlineStr">
        <is>
          <t>A 20831-2024</t>
        </is>
      </c>
      <c r="B101" s="1" t="n">
        <v>45439</v>
      </c>
      <c r="C101" s="1" t="n">
        <v>46184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53552-2021</t>
        </is>
      </c>
      <c r="B102" s="1" t="n">
        <v>44468</v>
      </c>
      <c r="C102" s="1" t="n">
        <v>46184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12315-2024</t>
        </is>
      </c>
      <c r="B103" s="1" t="n">
        <v>45378.6434837963</v>
      </c>
      <c r="C103" s="1" t="n">
        <v>46184</v>
      </c>
      <c r="D103" t="inlineStr">
        <is>
          <t>GOTLANDS LÄN</t>
        </is>
      </c>
      <c r="E103" t="inlineStr">
        <is>
          <t>GOTLAND</t>
        </is>
      </c>
      <c r="G103" t="n">
        <v>6</v>
      </c>
      <c r="H103" t="n">
        <v>3</v>
      </c>
      <c r="I103" t="n">
        <v>1</v>
      </c>
      <c r="J103" t="n">
        <v>1</v>
      </c>
      <c r="K103" t="n">
        <v>0</v>
      </c>
      <c r="L103" t="n">
        <v>0</v>
      </c>
      <c r="M103" t="n">
        <v>0</v>
      </c>
      <c r="N103" t="n">
        <v>0</v>
      </c>
      <c r="O103" t="n">
        <v>1</v>
      </c>
      <c r="P103" t="n">
        <v>0</v>
      </c>
      <c r="Q103" t="n">
        <v>3</v>
      </c>
      <c r="R103" s="2" t="inlineStr">
        <is>
          <t>Buskskvätta
Tvåblad
Fläcknycklar</t>
        </is>
      </c>
      <c r="S103">
        <f>HYPERLINK("https://klasma.github.io/Logging_0980/artfynd/A 12315-2024 artfynd.xlsx", "A 12315-2024")</f>
        <v/>
      </c>
      <c r="T103">
        <f>HYPERLINK("https://klasma.github.io/Logging_0980/kartor/A 12315-2024 karta.png", "A 12315-2024")</f>
        <v/>
      </c>
      <c r="V103">
        <f>HYPERLINK("https://klasma.github.io/Logging_0980/klagomål/A 12315-2024 FSC-klagomål.docx", "A 12315-2024")</f>
        <v/>
      </c>
      <c r="W103">
        <f>HYPERLINK("https://klasma.github.io/Logging_0980/klagomålsmail/A 12315-2024 FSC-klagomål mail.docx", "A 12315-2024")</f>
        <v/>
      </c>
      <c r="X103">
        <f>HYPERLINK("https://klasma.github.io/Logging_0980/tillsyn/A 12315-2024 tillsynsbegäran.docx", "A 12315-2024")</f>
        <v/>
      </c>
      <c r="Y103">
        <f>HYPERLINK("https://klasma.github.io/Logging_0980/tillsynsmail/A 12315-2024 tillsynsbegäran mail.docx", "A 12315-2024")</f>
        <v/>
      </c>
      <c r="Z103">
        <f>HYPERLINK("https://klasma.github.io/Logging_0980/fåglar/A 12315-2024 prioriterade fågelarter.docx", "A 12315-2024")</f>
        <v/>
      </c>
    </row>
    <row r="104" ht="15" customHeight="1">
      <c r="A104" t="inlineStr">
        <is>
          <t>A 29870-2021</t>
        </is>
      </c>
      <c r="B104" s="1" t="n">
        <v>44362</v>
      </c>
      <c r="C104" s="1" t="n">
        <v>46184</v>
      </c>
      <c r="D104" t="inlineStr">
        <is>
          <t>GOTLANDS LÄN</t>
        </is>
      </c>
      <c r="E104" t="inlineStr">
        <is>
          <t>GOTLAND</t>
        </is>
      </c>
      <c r="G104" t="n">
        <v>2.4</v>
      </c>
      <c r="H104" t="n">
        <v>0</v>
      </c>
      <c r="I104" t="n">
        <v>1</v>
      </c>
      <c r="J104" t="n">
        <v>0</v>
      </c>
      <c r="K104" t="n">
        <v>1</v>
      </c>
      <c r="L104" t="n">
        <v>0</v>
      </c>
      <c r="M104" t="n">
        <v>0</v>
      </c>
      <c r="N104" t="n">
        <v>0</v>
      </c>
      <c r="O104" t="n">
        <v>1</v>
      </c>
      <c r="P104" t="n">
        <v>1</v>
      </c>
      <c r="Q104" t="n">
        <v>2</v>
      </c>
      <c r="R104" s="2" t="inlineStr">
        <is>
          <t>Blåfotad fagerspindling
Olivspindling</t>
        </is>
      </c>
      <c r="S104">
        <f>HYPERLINK("https://klasma.github.io/Logging_0980/artfynd/A 29870-2021 artfynd.xlsx", "A 29870-2021")</f>
        <v/>
      </c>
      <c r="T104">
        <f>HYPERLINK("https://klasma.github.io/Logging_0980/kartor/A 29870-2021 karta.png", "A 29870-2021")</f>
        <v/>
      </c>
      <c r="V104">
        <f>HYPERLINK("https://klasma.github.io/Logging_0980/klagomål/A 29870-2021 FSC-klagomål.docx", "A 29870-2021")</f>
        <v/>
      </c>
      <c r="W104">
        <f>HYPERLINK("https://klasma.github.io/Logging_0980/klagomålsmail/A 29870-2021 FSC-klagomål mail.docx", "A 29870-2021")</f>
        <v/>
      </c>
      <c r="X104">
        <f>HYPERLINK("https://klasma.github.io/Logging_0980/tillsyn/A 29870-2021 tillsynsbegäran.docx", "A 29870-2021")</f>
        <v/>
      </c>
      <c r="Y104">
        <f>HYPERLINK("https://klasma.github.io/Logging_0980/tillsynsmail/A 29870-2021 tillsynsbegäran mail.docx", "A 29870-2021")</f>
        <v/>
      </c>
    </row>
    <row r="105" ht="15" customHeight="1">
      <c r="A105" t="inlineStr">
        <is>
          <t>A 60665-2021</t>
        </is>
      </c>
      <c r="B105" s="1" t="n">
        <v>44496</v>
      </c>
      <c r="C105" s="1" t="n">
        <v>46184</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46184</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28261-2024</t>
        </is>
      </c>
      <c r="B107" s="1" t="n">
        <v>45477</v>
      </c>
      <c r="C107" s="1" t="n">
        <v>46184</v>
      </c>
      <c r="D107" t="inlineStr">
        <is>
          <t>GOTLANDS LÄN</t>
        </is>
      </c>
      <c r="E107" t="inlineStr">
        <is>
          <t>GOTLAND</t>
        </is>
      </c>
      <c r="G107" t="n">
        <v>22.8</v>
      </c>
      <c r="H107" t="n">
        <v>0</v>
      </c>
      <c r="I107" t="n">
        <v>0</v>
      </c>
      <c r="J107" t="n">
        <v>2</v>
      </c>
      <c r="K107" t="n">
        <v>0</v>
      </c>
      <c r="L107" t="n">
        <v>0</v>
      </c>
      <c r="M107" t="n">
        <v>0</v>
      </c>
      <c r="N107" t="n">
        <v>0</v>
      </c>
      <c r="O107" t="n">
        <v>2</v>
      </c>
      <c r="P107" t="n">
        <v>0</v>
      </c>
      <c r="Q107" t="n">
        <v>2</v>
      </c>
      <c r="R107" s="2" t="inlineStr">
        <is>
          <t>Grådådra
Åkerkulla</t>
        </is>
      </c>
      <c r="S107">
        <f>HYPERLINK("https://klasma.github.io/Logging_0980/artfynd/A 28261-2024 artfynd.xlsx", "A 28261-2024")</f>
        <v/>
      </c>
      <c r="T107">
        <f>HYPERLINK("https://klasma.github.io/Logging_0980/kartor/A 28261-2024 karta.png", "A 28261-2024")</f>
        <v/>
      </c>
      <c r="V107">
        <f>HYPERLINK("https://klasma.github.io/Logging_0980/klagomål/A 28261-2024 FSC-klagomål.docx", "A 28261-2024")</f>
        <v/>
      </c>
      <c r="W107">
        <f>HYPERLINK("https://klasma.github.io/Logging_0980/klagomålsmail/A 28261-2024 FSC-klagomål mail.docx", "A 28261-2024")</f>
        <v/>
      </c>
      <c r="X107">
        <f>HYPERLINK("https://klasma.github.io/Logging_0980/tillsyn/A 28261-2024 tillsynsbegäran.docx", "A 28261-2024")</f>
        <v/>
      </c>
      <c r="Y107">
        <f>HYPERLINK("https://klasma.github.io/Logging_0980/tillsynsmail/A 28261-2024 tillsynsbegäran mail.docx", "A 28261-2024")</f>
        <v/>
      </c>
    </row>
    <row r="108" ht="15" customHeight="1">
      <c r="A108" t="inlineStr">
        <is>
          <t>A 55649-2024</t>
        </is>
      </c>
      <c r="B108" s="1" t="n">
        <v>45622.63053240741</v>
      </c>
      <c r="C108" s="1" t="n">
        <v>46184</v>
      </c>
      <c r="D108" t="inlineStr">
        <is>
          <t>GOTLANDS LÄN</t>
        </is>
      </c>
      <c r="E108" t="inlineStr">
        <is>
          <t>GOTLAND</t>
        </is>
      </c>
      <c r="G108" t="n">
        <v>4.6</v>
      </c>
      <c r="H108" t="n">
        <v>2</v>
      </c>
      <c r="I108" t="n">
        <v>0</v>
      </c>
      <c r="J108" t="n">
        <v>0</v>
      </c>
      <c r="K108" t="n">
        <v>0</v>
      </c>
      <c r="L108" t="n">
        <v>0</v>
      </c>
      <c r="M108" t="n">
        <v>0</v>
      </c>
      <c r="N108" t="n">
        <v>0</v>
      </c>
      <c r="O108" t="n">
        <v>0</v>
      </c>
      <c r="P108" t="n">
        <v>0</v>
      </c>
      <c r="Q108" t="n">
        <v>2</v>
      </c>
      <c r="R108" s="2" t="inlineStr">
        <is>
          <t>Sankt pers nycklar
Blåsippa</t>
        </is>
      </c>
      <c r="S108">
        <f>HYPERLINK("https://klasma.github.io/Logging_0980/artfynd/A 55649-2024 artfynd.xlsx", "A 55649-2024")</f>
        <v/>
      </c>
      <c r="T108">
        <f>HYPERLINK("https://klasma.github.io/Logging_0980/kartor/A 55649-2024 karta.png", "A 55649-2024")</f>
        <v/>
      </c>
      <c r="V108">
        <f>HYPERLINK("https://klasma.github.io/Logging_0980/klagomål/A 55649-2024 FSC-klagomål.docx", "A 55649-2024")</f>
        <v/>
      </c>
      <c r="W108">
        <f>HYPERLINK("https://klasma.github.io/Logging_0980/klagomålsmail/A 55649-2024 FSC-klagomål mail.docx", "A 55649-2024")</f>
        <v/>
      </c>
      <c r="X108">
        <f>HYPERLINK("https://klasma.github.io/Logging_0980/tillsyn/A 55649-2024 tillsynsbegäran.docx", "A 55649-2024")</f>
        <v/>
      </c>
      <c r="Y108">
        <f>HYPERLINK("https://klasma.github.io/Logging_0980/tillsynsmail/A 55649-2024 tillsynsbegäran mail.docx", "A 55649-2024")</f>
        <v/>
      </c>
    </row>
    <row r="109" ht="15" customHeight="1">
      <c r="A109" t="inlineStr">
        <is>
          <t>A 20429-2025</t>
        </is>
      </c>
      <c r="B109" s="1" t="n">
        <v>45775.47728009259</v>
      </c>
      <c r="C109" s="1" t="n">
        <v>46184</v>
      </c>
      <c r="D109" t="inlineStr">
        <is>
          <t>GOTLANDS LÄN</t>
        </is>
      </c>
      <c r="E109" t="inlineStr">
        <is>
          <t>GOTLAND</t>
        </is>
      </c>
      <c r="G109" t="n">
        <v>1.4</v>
      </c>
      <c r="H109" t="n">
        <v>2</v>
      </c>
      <c r="I109" t="n">
        <v>0</v>
      </c>
      <c r="J109" t="n">
        <v>0</v>
      </c>
      <c r="K109" t="n">
        <v>0</v>
      </c>
      <c r="L109" t="n">
        <v>0</v>
      </c>
      <c r="M109" t="n">
        <v>0</v>
      </c>
      <c r="N109" t="n">
        <v>0</v>
      </c>
      <c r="O109" t="n">
        <v>0</v>
      </c>
      <c r="P109" t="n">
        <v>0</v>
      </c>
      <c r="Q109" t="n">
        <v>2</v>
      </c>
      <c r="R109" s="2" t="inlineStr">
        <is>
          <t>Lopplummer (aggregat)
Äkta lopplummer</t>
        </is>
      </c>
      <c r="S109">
        <f>HYPERLINK("https://klasma.github.io/Logging_0980/artfynd/A 20429-2025 artfynd.xlsx", "A 20429-2025")</f>
        <v/>
      </c>
      <c r="T109">
        <f>HYPERLINK("https://klasma.github.io/Logging_0980/kartor/A 20429-2025 karta.png", "A 20429-2025")</f>
        <v/>
      </c>
      <c r="V109">
        <f>HYPERLINK("https://klasma.github.io/Logging_0980/klagomål/A 20429-2025 FSC-klagomål.docx", "A 20429-2025")</f>
        <v/>
      </c>
      <c r="W109">
        <f>HYPERLINK("https://klasma.github.io/Logging_0980/klagomålsmail/A 20429-2025 FSC-klagomål mail.docx", "A 20429-2025")</f>
        <v/>
      </c>
      <c r="X109">
        <f>HYPERLINK("https://klasma.github.io/Logging_0980/tillsyn/A 20429-2025 tillsynsbegäran.docx", "A 20429-2025")</f>
        <v/>
      </c>
      <c r="Y109">
        <f>HYPERLINK("https://klasma.github.io/Logging_0980/tillsynsmail/A 20429-2025 tillsynsbegäran mail.docx", "A 20429-2025")</f>
        <v/>
      </c>
    </row>
    <row r="110" ht="15" customHeight="1">
      <c r="A110" t="inlineStr">
        <is>
          <t>A 7070-2022</t>
        </is>
      </c>
      <c r="B110" s="1" t="n">
        <v>44603</v>
      </c>
      <c r="C110" s="1" t="n">
        <v>46184</v>
      </c>
      <c r="D110" t="inlineStr">
        <is>
          <t>GOTLANDS LÄN</t>
        </is>
      </c>
      <c r="E110" t="inlineStr">
        <is>
          <t>GOTLAND</t>
        </is>
      </c>
      <c r="G110" t="n">
        <v>2.6</v>
      </c>
      <c r="H110" t="n">
        <v>0</v>
      </c>
      <c r="I110" t="n">
        <v>2</v>
      </c>
      <c r="J110" t="n">
        <v>0</v>
      </c>
      <c r="K110" t="n">
        <v>0</v>
      </c>
      <c r="L110" t="n">
        <v>0</v>
      </c>
      <c r="M110" t="n">
        <v>0</v>
      </c>
      <c r="N110" t="n">
        <v>0</v>
      </c>
      <c r="O110" t="n">
        <v>0</v>
      </c>
      <c r="P110" t="n">
        <v>0</v>
      </c>
      <c r="Q110" t="n">
        <v>2</v>
      </c>
      <c r="R110" s="2" t="inlineStr">
        <is>
          <t>Blåmossa
Kattfotslav</t>
        </is>
      </c>
      <c r="S110">
        <f>HYPERLINK("https://klasma.github.io/Logging_0980/artfynd/A 7070-2022 artfynd.xlsx", "A 7070-2022")</f>
        <v/>
      </c>
      <c r="T110">
        <f>HYPERLINK("https://klasma.github.io/Logging_0980/kartor/A 7070-2022 karta.png", "A 7070-2022")</f>
        <v/>
      </c>
      <c r="V110">
        <f>HYPERLINK("https://klasma.github.io/Logging_0980/klagomål/A 7070-2022 FSC-klagomål.docx", "A 7070-2022")</f>
        <v/>
      </c>
      <c r="W110">
        <f>HYPERLINK("https://klasma.github.io/Logging_0980/klagomålsmail/A 7070-2022 FSC-klagomål mail.docx", "A 7070-2022")</f>
        <v/>
      </c>
      <c r="X110">
        <f>HYPERLINK("https://klasma.github.io/Logging_0980/tillsyn/A 7070-2022 tillsynsbegäran.docx", "A 7070-2022")</f>
        <v/>
      </c>
      <c r="Y110">
        <f>HYPERLINK("https://klasma.github.io/Logging_0980/tillsynsmail/A 7070-2022 tillsynsbegäran mail.docx", "A 7070-2022")</f>
        <v/>
      </c>
    </row>
    <row r="111" ht="15" customHeight="1">
      <c r="A111" t="inlineStr">
        <is>
          <t>A 12914-2025</t>
        </is>
      </c>
      <c r="B111" s="1" t="n">
        <v>45733</v>
      </c>
      <c r="C111" s="1" t="n">
        <v>46184</v>
      </c>
      <c r="D111" t="inlineStr">
        <is>
          <t>GOTLANDS LÄN</t>
        </is>
      </c>
      <c r="E111" t="inlineStr">
        <is>
          <t>GOTLAND</t>
        </is>
      </c>
      <c r="G111" t="n">
        <v>24.8</v>
      </c>
      <c r="H111" t="n">
        <v>2</v>
      </c>
      <c r="I111" t="n">
        <v>1</v>
      </c>
      <c r="J111" t="n">
        <v>0</v>
      </c>
      <c r="K111" t="n">
        <v>0</v>
      </c>
      <c r="L111" t="n">
        <v>0</v>
      </c>
      <c r="M111" t="n">
        <v>0</v>
      </c>
      <c r="N111" t="n">
        <v>0</v>
      </c>
      <c r="O111" t="n">
        <v>0</v>
      </c>
      <c r="P111" t="n">
        <v>0</v>
      </c>
      <c r="Q111" t="n">
        <v>2</v>
      </c>
      <c r="R111" s="2" t="inlineStr">
        <is>
          <t>Purpurknipprot
Brudsporre</t>
        </is>
      </c>
      <c r="S111">
        <f>HYPERLINK("https://klasma.github.io/Logging_0980/artfynd/A 12914-2025 artfynd.xlsx", "A 12914-2025")</f>
        <v/>
      </c>
      <c r="T111">
        <f>HYPERLINK("https://klasma.github.io/Logging_0980/kartor/A 12914-2025 karta.png", "A 12914-2025")</f>
        <v/>
      </c>
      <c r="V111">
        <f>HYPERLINK("https://klasma.github.io/Logging_0980/klagomål/A 12914-2025 FSC-klagomål.docx", "A 12914-2025")</f>
        <v/>
      </c>
      <c r="W111">
        <f>HYPERLINK("https://klasma.github.io/Logging_0980/klagomålsmail/A 12914-2025 FSC-klagomål mail.docx", "A 12914-2025")</f>
        <v/>
      </c>
      <c r="X111">
        <f>HYPERLINK("https://klasma.github.io/Logging_0980/tillsyn/A 12914-2025 tillsynsbegäran.docx", "A 12914-2025")</f>
        <v/>
      </c>
      <c r="Y111">
        <f>HYPERLINK("https://klasma.github.io/Logging_0980/tillsynsmail/A 12914-2025 tillsynsbegäran mail.docx", "A 12914-2025")</f>
        <v/>
      </c>
    </row>
    <row r="112" ht="15" customHeight="1">
      <c r="A112" t="inlineStr">
        <is>
          <t>A 54357-2024</t>
        </is>
      </c>
      <c r="B112" s="1" t="n">
        <v>45617.40662037037</v>
      </c>
      <c r="C112" s="1" t="n">
        <v>46184</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63162-2025</t>
        </is>
      </c>
      <c r="B113" s="1" t="n">
        <v>46010.37629629629</v>
      </c>
      <c r="C113" s="1" t="n">
        <v>46184</v>
      </c>
      <c r="D113" t="inlineStr">
        <is>
          <t>GOTLANDS LÄN</t>
        </is>
      </c>
      <c r="E113" t="inlineStr">
        <is>
          <t>GOTLAND</t>
        </is>
      </c>
      <c r="G113" t="n">
        <v>3.5</v>
      </c>
      <c r="H113" t="n">
        <v>0</v>
      </c>
      <c r="I113" t="n">
        <v>1</v>
      </c>
      <c r="J113" t="n">
        <v>0</v>
      </c>
      <c r="K113" t="n">
        <v>1</v>
      </c>
      <c r="L113" t="n">
        <v>0</v>
      </c>
      <c r="M113" t="n">
        <v>0</v>
      </c>
      <c r="N113" t="n">
        <v>0</v>
      </c>
      <c r="O113" t="n">
        <v>1</v>
      </c>
      <c r="P113" t="n">
        <v>1</v>
      </c>
      <c r="Q113" t="n">
        <v>2</v>
      </c>
      <c r="R113" s="2" t="inlineStr">
        <is>
          <t>Gotlandsmåra
Myskmadra</t>
        </is>
      </c>
      <c r="S113">
        <f>HYPERLINK("https://klasma.github.io/Logging_0980/artfynd/A 63162-2025 artfynd.xlsx", "A 63162-2025")</f>
        <v/>
      </c>
      <c r="T113">
        <f>HYPERLINK("https://klasma.github.io/Logging_0980/kartor/A 63162-2025 karta.png", "A 63162-2025")</f>
        <v/>
      </c>
      <c r="V113">
        <f>HYPERLINK("https://klasma.github.io/Logging_0980/klagomål/A 63162-2025 FSC-klagomål.docx", "A 63162-2025")</f>
        <v/>
      </c>
      <c r="W113">
        <f>HYPERLINK("https://klasma.github.io/Logging_0980/klagomålsmail/A 63162-2025 FSC-klagomål mail.docx", "A 63162-2025")</f>
        <v/>
      </c>
      <c r="X113">
        <f>HYPERLINK("https://klasma.github.io/Logging_0980/tillsyn/A 63162-2025 tillsynsbegäran.docx", "A 63162-2025")</f>
        <v/>
      </c>
      <c r="Y113">
        <f>HYPERLINK("https://klasma.github.io/Logging_0980/tillsynsmail/A 63162-2025 tillsynsbegäran mail.docx", "A 63162-2025")</f>
        <v/>
      </c>
    </row>
    <row r="114" ht="15" customHeight="1">
      <c r="A114" t="inlineStr">
        <is>
          <t>A 62760-2025</t>
        </is>
      </c>
      <c r="B114" s="1" t="n">
        <v>46008</v>
      </c>
      <c r="C114" s="1" t="n">
        <v>46184</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20838-2024</t>
        </is>
      </c>
      <c r="B115" s="1" t="n">
        <v>45439</v>
      </c>
      <c r="C115" s="1" t="n">
        <v>46184</v>
      </c>
      <c r="D115" t="inlineStr">
        <is>
          <t>GOTLANDS LÄN</t>
        </is>
      </c>
      <c r="E115" t="inlineStr">
        <is>
          <t>GOTLAND</t>
        </is>
      </c>
      <c r="G115" t="n">
        <v>0.7</v>
      </c>
      <c r="H115" t="n">
        <v>2</v>
      </c>
      <c r="I115" t="n">
        <v>1</v>
      </c>
      <c r="J115" t="n">
        <v>1</v>
      </c>
      <c r="K115" t="n">
        <v>0</v>
      </c>
      <c r="L115" t="n">
        <v>0</v>
      </c>
      <c r="M115" t="n">
        <v>0</v>
      </c>
      <c r="N115" t="n">
        <v>0</v>
      </c>
      <c r="O115" t="n">
        <v>1</v>
      </c>
      <c r="P115" t="n">
        <v>0</v>
      </c>
      <c r="Q115" t="n">
        <v>2</v>
      </c>
      <c r="R115" s="2" t="inlineStr">
        <is>
          <t>Spillkråka
Skogsknipprot</t>
        </is>
      </c>
      <c r="S115">
        <f>HYPERLINK("https://klasma.github.io/Logging_0980/artfynd/A 20838-2024 artfynd.xlsx", "A 20838-2024")</f>
        <v/>
      </c>
      <c r="T115">
        <f>HYPERLINK("https://klasma.github.io/Logging_0980/kartor/A 20838-2024 karta.png", "A 20838-2024")</f>
        <v/>
      </c>
      <c r="V115">
        <f>HYPERLINK("https://klasma.github.io/Logging_0980/klagomål/A 20838-2024 FSC-klagomål.docx", "A 20838-2024")</f>
        <v/>
      </c>
      <c r="W115">
        <f>HYPERLINK("https://klasma.github.io/Logging_0980/klagomålsmail/A 20838-2024 FSC-klagomål mail.docx", "A 20838-2024")</f>
        <v/>
      </c>
      <c r="X115">
        <f>HYPERLINK("https://klasma.github.io/Logging_0980/tillsyn/A 20838-2024 tillsynsbegäran.docx", "A 20838-2024")</f>
        <v/>
      </c>
      <c r="Y115">
        <f>HYPERLINK("https://klasma.github.io/Logging_0980/tillsynsmail/A 20838-2024 tillsynsbegäran mail.docx", "A 20838-2024")</f>
        <v/>
      </c>
      <c r="Z115">
        <f>HYPERLINK("https://klasma.github.io/Logging_0980/fåglar/A 20838-2024 prioriterade fågelarter.docx", "A 20838-2024")</f>
        <v/>
      </c>
    </row>
    <row r="116" ht="15" customHeight="1">
      <c r="A116" t="inlineStr">
        <is>
          <t>A 16997-2026</t>
        </is>
      </c>
      <c r="B116" s="1" t="n">
        <v>46114.42539351852</v>
      </c>
      <c r="C116" s="1" t="n">
        <v>46184</v>
      </c>
      <c r="D116" t="inlineStr">
        <is>
          <t>GOTLANDS LÄN</t>
        </is>
      </c>
      <c r="E116" t="inlineStr">
        <is>
          <t>GOTLAND</t>
        </is>
      </c>
      <c r="G116" t="n">
        <v>0.7</v>
      </c>
      <c r="H116" t="n">
        <v>0</v>
      </c>
      <c r="I116" t="n">
        <v>1</v>
      </c>
      <c r="J116" t="n">
        <v>0</v>
      </c>
      <c r="K116" t="n">
        <v>0</v>
      </c>
      <c r="L116" t="n">
        <v>1</v>
      </c>
      <c r="M116" t="n">
        <v>0</v>
      </c>
      <c r="N116" t="n">
        <v>0</v>
      </c>
      <c r="O116" t="n">
        <v>1</v>
      </c>
      <c r="P116" t="n">
        <v>1</v>
      </c>
      <c r="Q116" t="n">
        <v>2</v>
      </c>
      <c r="R116" s="2" t="inlineStr">
        <is>
          <t>Ask
Hasselticka</t>
        </is>
      </c>
      <c r="S116">
        <f>HYPERLINK("https://klasma.github.io/Logging_0980/artfynd/A 16997-2026 artfynd.xlsx", "A 16997-2026")</f>
        <v/>
      </c>
      <c r="T116">
        <f>HYPERLINK("https://klasma.github.io/Logging_0980/kartor/A 16997-2026 karta.png", "A 16997-2026")</f>
        <v/>
      </c>
      <c r="V116">
        <f>HYPERLINK("https://klasma.github.io/Logging_0980/klagomål/A 16997-2026 FSC-klagomål.docx", "A 16997-2026")</f>
        <v/>
      </c>
      <c r="W116">
        <f>HYPERLINK("https://klasma.github.io/Logging_0980/klagomålsmail/A 16997-2026 FSC-klagomål mail.docx", "A 16997-2026")</f>
        <v/>
      </c>
      <c r="X116">
        <f>HYPERLINK("https://klasma.github.io/Logging_0980/tillsyn/A 16997-2026 tillsynsbegäran.docx", "A 16997-2026")</f>
        <v/>
      </c>
      <c r="Y116">
        <f>HYPERLINK("https://klasma.github.io/Logging_0980/tillsynsmail/A 16997-2026 tillsynsbegäran mail.docx", "A 16997-2026")</f>
        <v/>
      </c>
    </row>
    <row r="117" ht="15" customHeight="1">
      <c r="A117" t="inlineStr">
        <is>
          <t>A 26077-2024</t>
        </is>
      </c>
      <c r="B117" s="1" t="n">
        <v>45467</v>
      </c>
      <c r="C117" s="1" t="n">
        <v>46184</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17328-2026</t>
        </is>
      </c>
      <c r="B118" s="1" t="n">
        <v>46119</v>
      </c>
      <c r="C118" s="1" t="n">
        <v>46184</v>
      </c>
      <c r="D118" t="inlineStr">
        <is>
          <t>GOTLANDS LÄN</t>
        </is>
      </c>
      <c r="E118" t="inlineStr">
        <is>
          <t>GOTLAND</t>
        </is>
      </c>
      <c r="F118" t="inlineStr">
        <is>
          <t>Kyrkan</t>
        </is>
      </c>
      <c r="G118" t="n">
        <v>4</v>
      </c>
      <c r="H118" t="n">
        <v>1</v>
      </c>
      <c r="I118" t="n">
        <v>0</v>
      </c>
      <c r="J118" t="n">
        <v>2</v>
      </c>
      <c r="K118" t="n">
        <v>0</v>
      </c>
      <c r="L118" t="n">
        <v>0</v>
      </c>
      <c r="M118" t="n">
        <v>0</v>
      </c>
      <c r="N118" t="n">
        <v>0</v>
      </c>
      <c r="O118" t="n">
        <v>2</v>
      </c>
      <c r="P118" t="n">
        <v>0</v>
      </c>
      <c r="Q118" t="n">
        <v>2</v>
      </c>
      <c r="R118" s="2" t="inlineStr">
        <is>
          <t>Backtimjan
Spillkråka</t>
        </is>
      </c>
      <c r="S118">
        <f>HYPERLINK("https://klasma.github.io/Logging_0980/artfynd/A 17328-2026 artfynd.xlsx", "A 17328-2026")</f>
        <v/>
      </c>
      <c r="T118">
        <f>HYPERLINK("https://klasma.github.io/Logging_0980/kartor/A 17328-2026 karta.png", "A 17328-2026")</f>
        <v/>
      </c>
      <c r="V118">
        <f>HYPERLINK("https://klasma.github.io/Logging_0980/klagomål/A 17328-2026 FSC-klagomål.docx", "A 17328-2026")</f>
        <v/>
      </c>
      <c r="W118">
        <f>HYPERLINK("https://klasma.github.io/Logging_0980/klagomålsmail/A 17328-2026 FSC-klagomål mail.docx", "A 17328-2026")</f>
        <v/>
      </c>
      <c r="X118">
        <f>HYPERLINK("https://klasma.github.io/Logging_0980/tillsyn/A 17328-2026 tillsynsbegäran.docx", "A 17328-2026")</f>
        <v/>
      </c>
      <c r="Y118">
        <f>HYPERLINK("https://klasma.github.io/Logging_0980/tillsynsmail/A 17328-2026 tillsynsbegäran mail.docx", "A 17328-2026")</f>
        <v/>
      </c>
      <c r="Z118">
        <f>HYPERLINK("https://klasma.github.io/Logging_0980/fåglar/A 17328-2026 prioriterade fågelarter.docx", "A 17328-2026")</f>
        <v/>
      </c>
    </row>
    <row r="119" ht="15" customHeight="1">
      <c r="A119" t="inlineStr">
        <is>
          <t>A 43219-2023</t>
        </is>
      </c>
      <c r="B119" s="1" t="n">
        <v>45183</v>
      </c>
      <c r="C119" s="1" t="n">
        <v>46184</v>
      </c>
      <c r="D119" t="inlineStr">
        <is>
          <t>GOTLANDS LÄN</t>
        </is>
      </c>
      <c r="E119" t="inlineStr">
        <is>
          <t>GOTLAND</t>
        </is>
      </c>
      <c r="G119" t="n">
        <v>3.6</v>
      </c>
      <c r="H119" t="n">
        <v>1</v>
      </c>
      <c r="I119" t="n">
        <v>0</v>
      </c>
      <c r="J119" t="n">
        <v>1</v>
      </c>
      <c r="K119" t="n">
        <v>0</v>
      </c>
      <c r="L119" t="n">
        <v>0</v>
      </c>
      <c r="M119" t="n">
        <v>0</v>
      </c>
      <c r="N119" t="n">
        <v>0</v>
      </c>
      <c r="O119" t="n">
        <v>1</v>
      </c>
      <c r="P119" t="n">
        <v>0</v>
      </c>
      <c r="Q119" t="n">
        <v>2</v>
      </c>
      <c r="R119" s="2" t="inlineStr">
        <is>
          <t>Axveronika
Skogsduva</t>
        </is>
      </c>
      <c r="S119">
        <f>HYPERLINK("https://klasma.github.io/Logging_0980/artfynd/A 43219-2023 artfynd.xlsx", "A 43219-2023")</f>
        <v/>
      </c>
      <c r="T119">
        <f>HYPERLINK("https://klasma.github.io/Logging_0980/kartor/A 43219-2023 karta.png", "A 43219-2023")</f>
        <v/>
      </c>
      <c r="V119">
        <f>HYPERLINK("https://klasma.github.io/Logging_0980/klagomål/A 43219-2023 FSC-klagomål.docx", "A 43219-2023")</f>
        <v/>
      </c>
      <c r="W119">
        <f>HYPERLINK("https://klasma.github.io/Logging_0980/klagomålsmail/A 43219-2023 FSC-klagomål mail.docx", "A 43219-2023")</f>
        <v/>
      </c>
      <c r="X119">
        <f>HYPERLINK("https://klasma.github.io/Logging_0980/tillsyn/A 43219-2023 tillsynsbegäran.docx", "A 43219-2023")</f>
        <v/>
      </c>
      <c r="Y119">
        <f>HYPERLINK("https://klasma.github.io/Logging_0980/tillsynsmail/A 43219-2023 tillsynsbegäran mail.docx", "A 43219-2023")</f>
        <v/>
      </c>
      <c r="Z119">
        <f>HYPERLINK("https://klasma.github.io/Logging_0980/fåglar/A 43219-2023 prioriterade fågelarter.docx", "A 43219-2023")</f>
        <v/>
      </c>
    </row>
    <row r="120" ht="15" customHeight="1">
      <c r="A120" t="inlineStr">
        <is>
          <t>A 28276-2024</t>
        </is>
      </c>
      <c r="B120" s="1" t="n">
        <v>45477</v>
      </c>
      <c r="C120" s="1" t="n">
        <v>46184</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46362-2021</t>
        </is>
      </c>
      <c r="B121" s="1" t="n">
        <v>44442</v>
      </c>
      <c r="C121" s="1" t="n">
        <v>46184</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24245-2022</t>
        </is>
      </c>
      <c r="B122" s="1" t="n">
        <v>44725</v>
      </c>
      <c r="C122" s="1" t="n">
        <v>46184</v>
      </c>
      <c r="D122" t="inlineStr">
        <is>
          <t>GOTLANDS LÄN</t>
        </is>
      </c>
      <c r="E122" t="inlineStr">
        <is>
          <t>GOTLAND</t>
        </is>
      </c>
      <c r="G122" t="n">
        <v>4.9</v>
      </c>
      <c r="H122" t="n">
        <v>0</v>
      </c>
      <c r="I122" t="n">
        <v>0</v>
      </c>
      <c r="J122" t="n">
        <v>0</v>
      </c>
      <c r="K122" t="n">
        <v>0</v>
      </c>
      <c r="L122" t="n">
        <v>1</v>
      </c>
      <c r="M122" t="n">
        <v>0</v>
      </c>
      <c r="N122" t="n">
        <v>0</v>
      </c>
      <c r="O122" t="n">
        <v>1</v>
      </c>
      <c r="P122" t="n">
        <v>1</v>
      </c>
      <c r="Q122" t="n">
        <v>1</v>
      </c>
      <c r="R122" s="2" t="inlineStr">
        <is>
          <t>Slät taggsvamp</t>
        </is>
      </c>
      <c r="S122">
        <f>HYPERLINK("https://klasma.github.io/Logging_0980/artfynd/A 24245-2022 artfynd.xlsx", "A 24245-2022")</f>
        <v/>
      </c>
      <c r="T122">
        <f>HYPERLINK("https://klasma.github.io/Logging_0980/kartor/A 24245-2022 karta.png", "A 24245-2022")</f>
        <v/>
      </c>
      <c r="V122">
        <f>HYPERLINK("https://klasma.github.io/Logging_0980/klagomål/A 24245-2022 FSC-klagomål.docx", "A 24245-2022")</f>
        <v/>
      </c>
      <c r="W122">
        <f>HYPERLINK("https://klasma.github.io/Logging_0980/klagomålsmail/A 24245-2022 FSC-klagomål mail.docx", "A 24245-2022")</f>
        <v/>
      </c>
      <c r="X122">
        <f>HYPERLINK("https://klasma.github.io/Logging_0980/tillsyn/A 24245-2022 tillsynsbegäran.docx", "A 24245-2022")</f>
        <v/>
      </c>
      <c r="Y122">
        <f>HYPERLINK("https://klasma.github.io/Logging_0980/tillsynsmail/A 24245-2022 tillsynsbegäran mail.docx", "A 24245-2022")</f>
        <v/>
      </c>
    </row>
    <row r="123" ht="15" customHeight="1">
      <c r="A123" t="inlineStr">
        <is>
          <t>A 63576-2021</t>
        </is>
      </c>
      <c r="B123" s="1" t="n">
        <v>44508</v>
      </c>
      <c r="C123" s="1" t="n">
        <v>46184</v>
      </c>
      <c r="D123" t="inlineStr">
        <is>
          <t>GOTLANDS LÄN</t>
        </is>
      </c>
      <c r="E123" t="inlineStr">
        <is>
          <t>GOTLAND</t>
        </is>
      </c>
      <c r="F123" t="inlineStr">
        <is>
          <t>Kyrkan</t>
        </is>
      </c>
      <c r="G123" t="n">
        <v>4.1</v>
      </c>
      <c r="H123" t="n">
        <v>1</v>
      </c>
      <c r="I123" t="n">
        <v>0</v>
      </c>
      <c r="J123" t="n">
        <v>1</v>
      </c>
      <c r="K123" t="n">
        <v>0</v>
      </c>
      <c r="L123" t="n">
        <v>0</v>
      </c>
      <c r="M123" t="n">
        <v>0</v>
      </c>
      <c r="N123" t="n">
        <v>0</v>
      </c>
      <c r="O123" t="n">
        <v>1</v>
      </c>
      <c r="P123" t="n">
        <v>0</v>
      </c>
      <c r="Q123" t="n">
        <v>1</v>
      </c>
      <c r="R123" s="2" t="inlineStr">
        <is>
          <t>Dårgräsfjäril</t>
        </is>
      </c>
      <c r="S123">
        <f>HYPERLINK("https://klasma.github.io/Logging_0980/artfynd/A 63576-2021 artfynd.xlsx", "A 63576-2021")</f>
        <v/>
      </c>
      <c r="T123">
        <f>HYPERLINK("https://klasma.github.io/Logging_0980/kartor/A 63576-2021 karta.png", "A 63576-2021")</f>
        <v/>
      </c>
      <c r="V123">
        <f>HYPERLINK("https://klasma.github.io/Logging_0980/klagomål/A 63576-2021 FSC-klagomål.docx", "A 63576-2021")</f>
        <v/>
      </c>
      <c r="W123">
        <f>HYPERLINK("https://klasma.github.io/Logging_0980/klagomålsmail/A 63576-2021 FSC-klagomål mail.docx", "A 63576-2021")</f>
        <v/>
      </c>
      <c r="X123">
        <f>HYPERLINK("https://klasma.github.io/Logging_0980/tillsyn/A 63576-2021 tillsynsbegäran.docx", "A 63576-2021")</f>
        <v/>
      </c>
      <c r="Y123">
        <f>HYPERLINK("https://klasma.github.io/Logging_0980/tillsynsmail/A 63576-2021 tillsynsbegäran mail.docx", "A 63576-2021")</f>
        <v/>
      </c>
    </row>
    <row r="124" ht="15" customHeight="1">
      <c r="A124" t="inlineStr">
        <is>
          <t>A 22883-2024</t>
        </is>
      </c>
      <c r="B124" s="1" t="n">
        <v>45448.66368055555</v>
      </c>
      <c r="C124" s="1" t="n">
        <v>46184</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10440-2024</t>
        </is>
      </c>
      <c r="B125" s="1" t="n">
        <v>45366.32818287037</v>
      </c>
      <c r="C125" s="1" t="n">
        <v>46184</v>
      </c>
      <c r="D125" t="inlineStr">
        <is>
          <t>GOTLANDS LÄN</t>
        </is>
      </c>
      <c r="E125" t="inlineStr">
        <is>
          <t>GOTLAND</t>
        </is>
      </c>
      <c r="G125" t="n">
        <v>2.5</v>
      </c>
      <c r="H125" t="n">
        <v>1</v>
      </c>
      <c r="I125" t="n">
        <v>0</v>
      </c>
      <c r="J125" t="n">
        <v>1</v>
      </c>
      <c r="K125" t="n">
        <v>0</v>
      </c>
      <c r="L125" t="n">
        <v>0</v>
      </c>
      <c r="M125" t="n">
        <v>0</v>
      </c>
      <c r="N125" t="n">
        <v>0</v>
      </c>
      <c r="O125" t="n">
        <v>1</v>
      </c>
      <c r="P125" t="n">
        <v>0</v>
      </c>
      <c r="Q125" t="n">
        <v>1</v>
      </c>
      <c r="R125" s="2" t="inlineStr">
        <is>
          <t>Mindre hackspett</t>
        </is>
      </c>
      <c r="S125">
        <f>HYPERLINK("https://klasma.github.io/Logging_0980/artfynd/A 10440-2024 artfynd.xlsx", "A 10440-2024")</f>
        <v/>
      </c>
      <c r="T125">
        <f>HYPERLINK("https://klasma.github.io/Logging_0980/kartor/A 10440-2024 karta.png", "A 10440-2024")</f>
        <v/>
      </c>
      <c r="V125">
        <f>HYPERLINK("https://klasma.github.io/Logging_0980/klagomål/A 10440-2024 FSC-klagomål.docx", "A 10440-2024")</f>
        <v/>
      </c>
      <c r="W125">
        <f>HYPERLINK("https://klasma.github.io/Logging_0980/klagomålsmail/A 10440-2024 FSC-klagomål mail.docx", "A 10440-2024")</f>
        <v/>
      </c>
      <c r="X125">
        <f>HYPERLINK("https://klasma.github.io/Logging_0980/tillsyn/A 10440-2024 tillsynsbegäran.docx", "A 10440-2024")</f>
        <v/>
      </c>
      <c r="Y125">
        <f>HYPERLINK("https://klasma.github.io/Logging_0980/tillsynsmail/A 10440-2024 tillsynsbegäran mail.docx", "A 10440-2024")</f>
        <v/>
      </c>
      <c r="Z125">
        <f>HYPERLINK("https://klasma.github.io/Logging_0980/fåglar/A 10440-2024 prioriterade fågelarter.docx", "A 10440-2024")</f>
        <v/>
      </c>
    </row>
    <row r="126" ht="15" customHeight="1">
      <c r="A126" t="inlineStr">
        <is>
          <t>A 35467-2021</t>
        </is>
      </c>
      <c r="B126" s="1" t="n">
        <v>44385</v>
      </c>
      <c r="C126" s="1" t="n">
        <v>46184</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44308-2021</t>
        </is>
      </c>
      <c r="B127" s="1" t="n">
        <v>44434</v>
      </c>
      <c r="C127" s="1" t="n">
        <v>46184</v>
      </c>
      <c r="D127" t="inlineStr">
        <is>
          <t>GOTLANDS LÄN</t>
        </is>
      </c>
      <c r="E127" t="inlineStr">
        <is>
          <t>GOTLAND</t>
        </is>
      </c>
      <c r="G127" t="n">
        <v>5.9</v>
      </c>
      <c r="H127" t="n">
        <v>0</v>
      </c>
      <c r="I127" t="n">
        <v>1</v>
      </c>
      <c r="J127" t="n">
        <v>0</v>
      </c>
      <c r="K127" t="n">
        <v>0</v>
      </c>
      <c r="L127" t="n">
        <v>0</v>
      </c>
      <c r="M127" t="n">
        <v>0</v>
      </c>
      <c r="N127" t="n">
        <v>0</v>
      </c>
      <c r="O127" t="n">
        <v>0</v>
      </c>
      <c r="P127" t="n">
        <v>0</v>
      </c>
      <c r="Q127" t="n">
        <v>1</v>
      </c>
      <c r="R127" s="2" t="inlineStr">
        <is>
          <t>Svavelriska</t>
        </is>
      </c>
      <c r="S127">
        <f>HYPERLINK("https://klasma.github.io/Logging_0980/artfynd/A 44308-2021 artfynd.xlsx", "A 44308-2021")</f>
        <v/>
      </c>
      <c r="T127">
        <f>HYPERLINK("https://klasma.github.io/Logging_0980/kartor/A 44308-2021 karta.png", "A 44308-2021")</f>
        <v/>
      </c>
      <c r="V127">
        <f>HYPERLINK("https://klasma.github.io/Logging_0980/klagomål/A 44308-2021 FSC-klagomål.docx", "A 44308-2021")</f>
        <v/>
      </c>
      <c r="W127">
        <f>HYPERLINK("https://klasma.github.io/Logging_0980/klagomålsmail/A 44308-2021 FSC-klagomål mail.docx", "A 44308-2021")</f>
        <v/>
      </c>
      <c r="X127">
        <f>HYPERLINK("https://klasma.github.io/Logging_0980/tillsyn/A 44308-2021 tillsynsbegäran.docx", "A 44308-2021")</f>
        <v/>
      </c>
      <c r="Y127">
        <f>HYPERLINK("https://klasma.github.io/Logging_0980/tillsynsmail/A 44308-2021 tillsynsbegäran mail.docx", "A 44308-2021")</f>
        <v/>
      </c>
    </row>
    <row r="128" ht="15" customHeight="1">
      <c r="A128" t="inlineStr">
        <is>
          <t>A 6739-2025</t>
        </is>
      </c>
      <c r="B128" s="1" t="n">
        <v>45700</v>
      </c>
      <c r="C128" s="1" t="n">
        <v>46184</v>
      </c>
      <c r="D128" t="inlineStr">
        <is>
          <t>GOTLANDS LÄN</t>
        </is>
      </c>
      <c r="E128" t="inlineStr">
        <is>
          <t>GOTLAND</t>
        </is>
      </c>
      <c r="G128" t="n">
        <v>4.5</v>
      </c>
      <c r="H128" t="n">
        <v>1</v>
      </c>
      <c r="I128" t="n">
        <v>0</v>
      </c>
      <c r="J128" t="n">
        <v>0</v>
      </c>
      <c r="K128" t="n">
        <v>0</v>
      </c>
      <c r="L128" t="n">
        <v>0</v>
      </c>
      <c r="M128" t="n">
        <v>0</v>
      </c>
      <c r="N128" t="n">
        <v>0</v>
      </c>
      <c r="O128" t="n">
        <v>0</v>
      </c>
      <c r="P128" t="n">
        <v>0</v>
      </c>
      <c r="Q128" t="n">
        <v>1</v>
      </c>
      <c r="R128" s="2" t="inlineStr">
        <is>
          <t>Röd glada</t>
        </is>
      </c>
      <c r="S128">
        <f>HYPERLINK("https://klasma.github.io/Logging_0980/artfynd/A 6739-2025 artfynd.xlsx", "A 6739-2025")</f>
        <v/>
      </c>
      <c r="T128">
        <f>HYPERLINK("https://klasma.github.io/Logging_0980/kartor/A 6739-2025 karta.png", "A 6739-2025")</f>
        <v/>
      </c>
      <c r="V128">
        <f>HYPERLINK("https://klasma.github.io/Logging_0980/klagomål/A 6739-2025 FSC-klagomål.docx", "A 6739-2025")</f>
        <v/>
      </c>
      <c r="W128">
        <f>HYPERLINK("https://klasma.github.io/Logging_0980/klagomålsmail/A 6739-2025 FSC-klagomål mail.docx", "A 6739-2025")</f>
        <v/>
      </c>
      <c r="X128">
        <f>HYPERLINK("https://klasma.github.io/Logging_0980/tillsyn/A 6739-2025 tillsynsbegäran.docx", "A 6739-2025")</f>
        <v/>
      </c>
      <c r="Y128">
        <f>HYPERLINK("https://klasma.github.io/Logging_0980/tillsynsmail/A 6739-2025 tillsynsbegäran mail.docx", "A 6739-2025")</f>
        <v/>
      </c>
      <c r="Z128">
        <f>HYPERLINK("https://klasma.github.io/Logging_0980/fåglar/A 6739-2025 prioriterade fågelarter.docx", "A 6739-2025")</f>
        <v/>
      </c>
    </row>
    <row r="129" ht="15" customHeight="1">
      <c r="A129" t="inlineStr">
        <is>
          <t>A 46527-2023</t>
        </is>
      </c>
      <c r="B129" s="1" t="n">
        <v>45197</v>
      </c>
      <c r="C129" s="1" t="n">
        <v>46184</v>
      </c>
      <c r="D129" t="inlineStr">
        <is>
          <t>GOTLANDS LÄN</t>
        </is>
      </c>
      <c r="E129" t="inlineStr">
        <is>
          <t>GOTLAND</t>
        </is>
      </c>
      <c r="G129" t="n">
        <v>0.9</v>
      </c>
      <c r="H129" t="n">
        <v>0</v>
      </c>
      <c r="I129" t="n">
        <v>0</v>
      </c>
      <c r="J129" t="n">
        <v>1</v>
      </c>
      <c r="K129" t="n">
        <v>0</v>
      </c>
      <c r="L129" t="n">
        <v>0</v>
      </c>
      <c r="M129" t="n">
        <v>0</v>
      </c>
      <c r="N129" t="n">
        <v>0</v>
      </c>
      <c r="O129" t="n">
        <v>1</v>
      </c>
      <c r="P129" t="n">
        <v>0</v>
      </c>
      <c r="Q129" t="n">
        <v>1</v>
      </c>
      <c r="R129" s="2" t="inlineStr">
        <is>
          <t>Guldgräshoppa</t>
        </is>
      </c>
      <c r="S129">
        <f>HYPERLINK("https://klasma.github.io/Logging_0980/artfynd/A 46527-2023 artfynd.xlsx", "A 46527-2023")</f>
        <v/>
      </c>
      <c r="T129">
        <f>HYPERLINK("https://klasma.github.io/Logging_0980/kartor/A 46527-2023 karta.png", "A 46527-2023")</f>
        <v/>
      </c>
      <c r="V129">
        <f>HYPERLINK("https://klasma.github.io/Logging_0980/klagomål/A 46527-2023 FSC-klagomål.docx", "A 46527-2023")</f>
        <v/>
      </c>
      <c r="W129">
        <f>HYPERLINK("https://klasma.github.io/Logging_0980/klagomålsmail/A 46527-2023 FSC-klagomål mail.docx", "A 46527-2023")</f>
        <v/>
      </c>
      <c r="X129">
        <f>HYPERLINK("https://klasma.github.io/Logging_0980/tillsyn/A 46527-2023 tillsynsbegäran.docx", "A 46527-2023")</f>
        <v/>
      </c>
      <c r="Y129">
        <f>HYPERLINK("https://klasma.github.io/Logging_0980/tillsynsmail/A 46527-2023 tillsynsbegäran mail.docx", "A 46527-2023")</f>
        <v/>
      </c>
    </row>
    <row r="130" ht="15" customHeight="1">
      <c r="A130" t="inlineStr">
        <is>
          <t>A 9862-2024</t>
        </is>
      </c>
      <c r="B130" s="1" t="n">
        <v>45363</v>
      </c>
      <c r="C130" s="1" t="n">
        <v>46184</v>
      </c>
      <c r="D130" t="inlineStr">
        <is>
          <t>GOTLANDS LÄN</t>
        </is>
      </c>
      <c r="E130" t="inlineStr">
        <is>
          <t>GOTLAND</t>
        </is>
      </c>
      <c r="G130" t="n">
        <v>3.5</v>
      </c>
      <c r="H130" t="n">
        <v>1</v>
      </c>
      <c r="I130" t="n">
        <v>0</v>
      </c>
      <c r="J130" t="n">
        <v>0</v>
      </c>
      <c r="K130" t="n">
        <v>0</v>
      </c>
      <c r="L130" t="n">
        <v>0</v>
      </c>
      <c r="M130" t="n">
        <v>0</v>
      </c>
      <c r="N130" t="n">
        <v>0</v>
      </c>
      <c r="O130" t="n">
        <v>0</v>
      </c>
      <c r="P130" t="n">
        <v>0</v>
      </c>
      <c r="Q130" t="n">
        <v>1</v>
      </c>
      <c r="R130" s="2" t="inlineStr">
        <is>
          <t>Nattviol</t>
        </is>
      </c>
      <c r="S130">
        <f>HYPERLINK("https://klasma.github.io/Logging_0980/artfynd/A 9862-2024 artfynd.xlsx", "A 9862-2024")</f>
        <v/>
      </c>
      <c r="T130">
        <f>HYPERLINK("https://klasma.github.io/Logging_0980/kartor/A 9862-2024 karta.png", "A 9862-2024")</f>
        <v/>
      </c>
      <c r="V130">
        <f>HYPERLINK("https://klasma.github.io/Logging_0980/klagomål/A 9862-2024 FSC-klagomål.docx", "A 9862-2024")</f>
        <v/>
      </c>
      <c r="W130">
        <f>HYPERLINK("https://klasma.github.io/Logging_0980/klagomålsmail/A 9862-2024 FSC-klagomål mail.docx", "A 9862-2024")</f>
        <v/>
      </c>
      <c r="X130">
        <f>HYPERLINK("https://klasma.github.io/Logging_0980/tillsyn/A 9862-2024 tillsynsbegäran.docx", "A 9862-2024")</f>
        <v/>
      </c>
      <c r="Y130">
        <f>HYPERLINK("https://klasma.github.io/Logging_0980/tillsynsmail/A 9862-2024 tillsynsbegäran mail.docx", "A 9862-2024")</f>
        <v/>
      </c>
    </row>
    <row r="131" ht="15" customHeight="1">
      <c r="A131" t="inlineStr">
        <is>
          <t>A 34141-2024</t>
        </is>
      </c>
      <c r="B131" s="1" t="n">
        <v>45524.36229166666</v>
      </c>
      <c r="C131" s="1" t="n">
        <v>46184</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6303-2024</t>
        </is>
      </c>
      <c r="B132" s="1" t="n">
        <v>45338.35376157407</v>
      </c>
      <c r="C132" s="1" t="n">
        <v>46184</v>
      </c>
      <c r="D132" t="inlineStr">
        <is>
          <t>GOTLANDS LÄN</t>
        </is>
      </c>
      <c r="E132" t="inlineStr">
        <is>
          <t>GOTLAND</t>
        </is>
      </c>
      <c r="G132" t="n">
        <v>0.6</v>
      </c>
      <c r="H132" t="n">
        <v>0</v>
      </c>
      <c r="I132" t="n">
        <v>1</v>
      </c>
      <c r="J132" t="n">
        <v>0</v>
      </c>
      <c r="K132" t="n">
        <v>0</v>
      </c>
      <c r="L132" t="n">
        <v>0</v>
      </c>
      <c r="M132" t="n">
        <v>0</v>
      </c>
      <c r="N132" t="n">
        <v>0</v>
      </c>
      <c r="O132" t="n">
        <v>0</v>
      </c>
      <c r="P132" t="n">
        <v>0</v>
      </c>
      <c r="Q132" t="n">
        <v>1</v>
      </c>
      <c r="R132" s="2" t="inlineStr">
        <is>
          <t>Strävlosta</t>
        </is>
      </c>
      <c r="S132">
        <f>HYPERLINK("https://klasma.github.io/Logging_0980/artfynd/A 6303-2024 artfynd.xlsx", "A 6303-2024")</f>
        <v/>
      </c>
      <c r="T132">
        <f>HYPERLINK("https://klasma.github.io/Logging_0980/kartor/A 6303-2024 karta.png", "A 6303-2024")</f>
        <v/>
      </c>
      <c r="V132">
        <f>HYPERLINK("https://klasma.github.io/Logging_0980/klagomål/A 6303-2024 FSC-klagomål.docx", "A 6303-2024")</f>
        <v/>
      </c>
      <c r="W132">
        <f>HYPERLINK("https://klasma.github.io/Logging_0980/klagomålsmail/A 6303-2024 FSC-klagomål mail.docx", "A 6303-2024")</f>
        <v/>
      </c>
      <c r="X132">
        <f>HYPERLINK("https://klasma.github.io/Logging_0980/tillsyn/A 6303-2024 tillsynsbegäran.docx", "A 6303-2024")</f>
        <v/>
      </c>
      <c r="Y132">
        <f>HYPERLINK("https://klasma.github.io/Logging_0980/tillsynsmail/A 6303-2024 tillsynsbegäran mail.docx", "A 6303-2024")</f>
        <v/>
      </c>
    </row>
    <row r="133" ht="15" customHeight="1">
      <c r="A133" t="inlineStr">
        <is>
          <t>A 62552-2022</t>
        </is>
      </c>
      <c r="B133" s="1" t="n">
        <v>44924</v>
      </c>
      <c r="C133" s="1" t="n">
        <v>46184</v>
      </c>
      <c r="D133" t="inlineStr">
        <is>
          <t>GOTLANDS LÄN</t>
        </is>
      </c>
      <c r="E133" t="inlineStr">
        <is>
          <t>GOTLAND</t>
        </is>
      </c>
      <c r="G133" t="n">
        <v>1.6</v>
      </c>
      <c r="H133" t="n">
        <v>0</v>
      </c>
      <c r="I133" t="n">
        <v>0</v>
      </c>
      <c r="J133" t="n">
        <v>1</v>
      </c>
      <c r="K133" t="n">
        <v>0</v>
      </c>
      <c r="L133" t="n">
        <v>0</v>
      </c>
      <c r="M133" t="n">
        <v>0</v>
      </c>
      <c r="N133" t="n">
        <v>0</v>
      </c>
      <c r="O133" t="n">
        <v>1</v>
      </c>
      <c r="P133" t="n">
        <v>0</v>
      </c>
      <c r="Q133" t="n">
        <v>1</v>
      </c>
      <c r="R133" s="2" t="inlineStr">
        <is>
          <t>Äggspindling</t>
        </is>
      </c>
      <c r="S133">
        <f>HYPERLINK("https://klasma.github.io/Logging_0980/artfynd/A 62552-2022 artfynd.xlsx", "A 62552-2022")</f>
        <v/>
      </c>
      <c r="T133">
        <f>HYPERLINK("https://klasma.github.io/Logging_0980/kartor/A 62552-2022 karta.png", "A 62552-2022")</f>
        <v/>
      </c>
      <c r="V133">
        <f>HYPERLINK("https://klasma.github.io/Logging_0980/klagomål/A 62552-2022 FSC-klagomål.docx", "A 62552-2022")</f>
        <v/>
      </c>
      <c r="W133">
        <f>HYPERLINK("https://klasma.github.io/Logging_0980/klagomålsmail/A 62552-2022 FSC-klagomål mail.docx", "A 62552-2022")</f>
        <v/>
      </c>
      <c r="X133">
        <f>HYPERLINK("https://klasma.github.io/Logging_0980/tillsyn/A 62552-2022 tillsynsbegäran.docx", "A 62552-2022")</f>
        <v/>
      </c>
      <c r="Y133">
        <f>HYPERLINK("https://klasma.github.io/Logging_0980/tillsynsmail/A 62552-2022 tillsynsbegäran mail.docx", "A 62552-2022")</f>
        <v/>
      </c>
    </row>
    <row r="134" ht="15" customHeight="1">
      <c r="A134" t="inlineStr">
        <is>
          <t>A 25977-2024</t>
        </is>
      </c>
      <c r="B134" s="1" t="n">
        <v>45467.69356481481</v>
      </c>
      <c r="C134" s="1" t="n">
        <v>46184</v>
      </c>
      <c r="D134" t="inlineStr">
        <is>
          <t>GOTLANDS LÄN</t>
        </is>
      </c>
      <c r="E134" t="inlineStr">
        <is>
          <t>GOTLAND</t>
        </is>
      </c>
      <c r="G134" t="n">
        <v>3</v>
      </c>
      <c r="H134" t="n">
        <v>1</v>
      </c>
      <c r="I134" t="n">
        <v>0</v>
      </c>
      <c r="J134" t="n">
        <v>0</v>
      </c>
      <c r="K134" t="n">
        <v>0</v>
      </c>
      <c r="L134" t="n">
        <v>0</v>
      </c>
      <c r="M134" t="n">
        <v>0</v>
      </c>
      <c r="N134" t="n">
        <v>0</v>
      </c>
      <c r="O134" t="n">
        <v>0</v>
      </c>
      <c r="P134" t="n">
        <v>0</v>
      </c>
      <c r="Q134" t="n">
        <v>1</v>
      </c>
      <c r="R134" s="2" t="inlineStr">
        <is>
          <t>Nattviol</t>
        </is>
      </c>
      <c r="S134">
        <f>HYPERLINK("https://klasma.github.io/Logging_0980/artfynd/A 25977-2024 artfynd.xlsx", "A 25977-2024")</f>
        <v/>
      </c>
      <c r="T134">
        <f>HYPERLINK("https://klasma.github.io/Logging_0980/kartor/A 25977-2024 karta.png", "A 25977-2024")</f>
        <v/>
      </c>
      <c r="V134">
        <f>HYPERLINK("https://klasma.github.io/Logging_0980/klagomål/A 25977-2024 FSC-klagomål.docx", "A 25977-2024")</f>
        <v/>
      </c>
      <c r="W134">
        <f>HYPERLINK("https://klasma.github.io/Logging_0980/klagomålsmail/A 25977-2024 FSC-klagomål mail.docx", "A 25977-2024")</f>
        <v/>
      </c>
      <c r="X134">
        <f>HYPERLINK("https://klasma.github.io/Logging_0980/tillsyn/A 25977-2024 tillsynsbegäran.docx", "A 25977-2024")</f>
        <v/>
      </c>
      <c r="Y134">
        <f>HYPERLINK("https://klasma.github.io/Logging_0980/tillsynsmail/A 25977-2024 tillsynsbegäran mail.docx", "A 25977-2024")</f>
        <v/>
      </c>
    </row>
    <row r="135" ht="15" customHeight="1">
      <c r="A135" t="inlineStr">
        <is>
          <t>A 27589-2023</t>
        </is>
      </c>
      <c r="B135" s="1" t="n">
        <v>45097</v>
      </c>
      <c r="C135" s="1" t="n">
        <v>46184</v>
      </c>
      <c r="D135" t="inlineStr">
        <is>
          <t>GOTLANDS LÄN</t>
        </is>
      </c>
      <c r="E135" t="inlineStr">
        <is>
          <t>GOTLAND</t>
        </is>
      </c>
      <c r="G135" t="n">
        <v>5.4</v>
      </c>
      <c r="H135" t="n">
        <v>0</v>
      </c>
      <c r="I135" t="n">
        <v>0</v>
      </c>
      <c r="J135" t="n">
        <v>0</v>
      </c>
      <c r="K135" t="n">
        <v>0</v>
      </c>
      <c r="L135" t="n">
        <v>0</v>
      </c>
      <c r="M135" t="n">
        <v>1</v>
      </c>
      <c r="N135" t="n">
        <v>0</v>
      </c>
      <c r="O135" t="n">
        <v>1</v>
      </c>
      <c r="P135" t="n">
        <v>1</v>
      </c>
      <c r="Q135" t="n">
        <v>1</v>
      </c>
      <c r="R135" s="2" t="inlineStr">
        <is>
          <t>Skogsalm</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65927-2021</t>
        </is>
      </c>
      <c r="B136" s="1" t="n">
        <v>44516</v>
      </c>
      <c r="C136" s="1" t="n">
        <v>46184</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46184</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46184</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2476-2025</t>
        </is>
      </c>
      <c r="B139" s="1" t="n">
        <v>45673</v>
      </c>
      <c r="C139" s="1" t="n">
        <v>46184</v>
      </c>
      <c r="D139" t="inlineStr">
        <is>
          <t>GOTLANDS LÄN</t>
        </is>
      </c>
      <c r="E139" t="inlineStr">
        <is>
          <t>GOTLAND</t>
        </is>
      </c>
      <c r="G139" t="n">
        <v>3.1</v>
      </c>
      <c r="H139" t="n">
        <v>0</v>
      </c>
      <c r="I139" t="n">
        <v>1</v>
      </c>
      <c r="J139" t="n">
        <v>0</v>
      </c>
      <c r="K139" t="n">
        <v>0</v>
      </c>
      <c r="L139" t="n">
        <v>0</v>
      </c>
      <c r="M139" t="n">
        <v>0</v>
      </c>
      <c r="N139" t="n">
        <v>0</v>
      </c>
      <c r="O139" t="n">
        <v>0</v>
      </c>
      <c r="P139" t="n">
        <v>0</v>
      </c>
      <c r="Q139" t="n">
        <v>1</v>
      </c>
      <c r="R139" s="2" t="inlineStr">
        <is>
          <t>Kryddspindling</t>
        </is>
      </c>
      <c r="S139">
        <f>HYPERLINK("https://klasma.github.io/Logging_0980/artfynd/A 2476-2025 artfynd.xlsx", "A 2476-2025")</f>
        <v/>
      </c>
      <c r="T139">
        <f>HYPERLINK("https://klasma.github.io/Logging_0980/kartor/A 2476-2025 karta.png", "A 2476-2025")</f>
        <v/>
      </c>
      <c r="V139">
        <f>HYPERLINK("https://klasma.github.io/Logging_0980/klagomål/A 2476-2025 FSC-klagomål.docx", "A 2476-2025")</f>
        <v/>
      </c>
      <c r="W139">
        <f>HYPERLINK("https://klasma.github.io/Logging_0980/klagomålsmail/A 2476-2025 FSC-klagomål mail.docx", "A 2476-2025")</f>
        <v/>
      </c>
      <c r="X139">
        <f>HYPERLINK("https://klasma.github.io/Logging_0980/tillsyn/A 2476-2025 tillsynsbegäran.docx", "A 2476-2025")</f>
        <v/>
      </c>
      <c r="Y139">
        <f>HYPERLINK("https://klasma.github.io/Logging_0980/tillsynsmail/A 2476-2025 tillsynsbegäran mail.docx", "A 2476-2025")</f>
        <v/>
      </c>
    </row>
    <row r="140" ht="15" customHeight="1">
      <c r="A140" t="inlineStr">
        <is>
          <t>A 44304-2021</t>
        </is>
      </c>
      <c r="B140" s="1" t="n">
        <v>44434</v>
      </c>
      <c r="C140" s="1" t="n">
        <v>46184</v>
      </c>
      <c r="D140" t="inlineStr">
        <is>
          <t>GOTLANDS LÄN</t>
        </is>
      </c>
      <c r="E140" t="inlineStr">
        <is>
          <t>GOTLAND</t>
        </is>
      </c>
      <c r="G140" t="n">
        <v>5.8</v>
      </c>
      <c r="H140" t="n">
        <v>0</v>
      </c>
      <c r="I140" t="n">
        <v>0</v>
      </c>
      <c r="J140" t="n">
        <v>1</v>
      </c>
      <c r="K140" t="n">
        <v>0</v>
      </c>
      <c r="L140" t="n">
        <v>0</v>
      </c>
      <c r="M140" t="n">
        <v>0</v>
      </c>
      <c r="N140" t="n">
        <v>0</v>
      </c>
      <c r="O140" t="n">
        <v>1</v>
      </c>
      <c r="P140" t="n">
        <v>0</v>
      </c>
      <c r="Q140" t="n">
        <v>1</v>
      </c>
      <c r="R140" s="2" t="inlineStr">
        <is>
          <t>Svinrot</t>
        </is>
      </c>
      <c r="S140">
        <f>HYPERLINK("https://klasma.github.io/Logging_0980/artfynd/A 44304-2021 artfynd.xlsx", "A 44304-2021")</f>
        <v/>
      </c>
      <c r="T140">
        <f>HYPERLINK("https://klasma.github.io/Logging_0980/kartor/A 44304-2021 karta.png", "A 44304-2021")</f>
        <v/>
      </c>
      <c r="V140">
        <f>HYPERLINK("https://klasma.github.io/Logging_0980/klagomål/A 44304-2021 FSC-klagomål.docx", "A 44304-2021")</f>
        <v/>
      </c>
      <c r="W140">
        <f>HYPERLINK("https://klasma.github.io/Logging_0980/klagomålsmail/A 44304-2021 FSC-klagomål mail.docx", "A 44304-2021")</f>
        <v/>
      </c>
      <c r="X140">
        <f>HYPERLINK("https://klasma.github.io/Logging_0980/tillsyn/A 44304-2021 tillsynsbegäran.docx", "A 44304-2021")</f>
        <v/>
      </c>
      <c r="Y140">
        <f>HYPERLINK("https://klasma.github.io/Logging_0980/tillsynsmail/A 44304-2021 tillsynsbegäran mail.docx", "A 44304-2021")</f>
        <v/>
      </c>
    </row>
    <row r="141" ht="15" customHeight="1">
      <c r="A141" t="inlineStr">
        <is>
          <t>A 11708-2026</t>
        </is>
      </c>
      <c r="B141" s="1" t="n">
        <v>46084</v>
      </c>
      <c r="C141" s="1" t="n">
        <v>46184</v>
      </c>
      <c r="D141" t="inlineStr">
        <is>
          <t>GOTLANDS LÄN</t>
        </is>
      </c>
      <c r="E141" t="inlineStr">
        <is>
          <t>GOTLAND</t>
        </is>
      </c>
      <c r="G141" t="n">
        <v>8.4</v>
      </c>
      <c r="H141" t="n">
        <v>1</v>
      </c>
      <c r="I141" t="n">
        <v>0</v>
      </c>
      <c r="J141" t="n">
        <v>1</v>
      </c>
      <c r="K141" t="n">
        <v>0</v>
      </c>
      <c r="L141" t="n">
        <v>0</v>
      </c>
      <c r="M141" t="n">
        <v>0</v>
      </c>
      <c r="N141" t="n">
        <v>0</v>
      </c>
      <c r="O141" t="n">
        <v>1</v>
      </c>
      <c r="P141" t="n">
        <v>0</v>
      </c>
      <c r="Q141" t="n">
        <v>1</v>
      </c>
      <c r="R141" s="2" t="inlineStr">
        <is>
          <t>Bredarun</t>
        </is>
      </c>
      <c r="S141">
        <f>HYPERLINK("https://klasma.github.io/Logging_0980/artfynd/A 11708-2026 artfynd.xlsx", "A 11708-2026")</f>
        <v/>
      </c>
      <c r="T141">
        <f>HYPERLINK("https://klasma.github.io/Logging_0980/kartor/A 11708-2026 karta.png", "A 11708-2026")</f>
        <v/>
      </c>
      <c r="V141">
        <f>HYPERLINK("https://klasma.github.io/Logging_0980/klagomål/A 11708-2026 FSC-klagomål.docx", "A 11708-2026")</f>
        <v/>
      </c>
      <c r="W141">
        <f>HYPERLINK("https://klasma.github.io/Logging_0980/klagomålsmail/A 11708-2026 FSC-klagomål mail.docx", "A 11708-2026")</f>
        <v/>
      </c>
      <c r="X141">
        <f>HYPERLINK("https://klasma.github.io/Logging_0980/tillsyn/A 11708-2026 tillsynsbegäran.docx", "A 11708-2026")</f>
        <v/>
      </c>
      <c r="Y141">
        <f>HYPERLINK("https://klasma.github.io/Logging_0980/tillsynsmail/A 11708-2026 tillsynsbegäran mail.docx", "A 11708-2026")</f>
        <v/>
      </c>
    </row>
    <row r="142" ht="15" customHeight="1">
      <c r="A142" t="inlineStr">
        <is>
          <t>A 447-2023</t>
        </is>
      </c>
      <c r="B142" s="1" t="n">
        <v>44929</v>
      </c>
      <c r="C142" s="1" t="n">
        <v>46184</v>
      </c>
      <c r="D142" t="inlineStr">
        <is>
          <t>GOTLANDS LÄN</t>
        </is>
      </c>
      <c r="E142" t="inlineStr">
        <is>
          <t>GOTLAND</t>
        </is>
      </c>
      <c r="G142" t="n">
        <v>5.1</v>
      </c>
      <c r="H142" t="n">
        <v>0</v>
      </c>
      <c r="I142" t="n">
        <v>0</v>
      </c>
      <c r="J142" t="n">
        <v>1</v>
      </c>
      <c r="K142" t="n">
        <v>0</v>
      </c>
      <c r="L142" t="n">
        <v>0</v>
      </c>
      <c r="M142" t="n">
        <v>0</v>
      </c>
      <c r="N142" t="n">
        <v>0</v>
      </c>
      <c r="O142" t="n">
        <v>1</v>
      </c>
      <c r="P142" t="n">
        <v>0</v>
      </c>
      <c r="Q142" t="n">
        <v>1</v>
      </c>
      <c r="R142" s="2" t="inlineStr">
        <is>
          <t>Äggspindling</t>
        </is>
      </c>
      <c r="S142">
        <f>HYPERLINK("https://klasma.github.io/Logging_0980/artfynd/A 447-2023 artfynd.xlsx", "A 447-2023")</f>
        <v/>
      </c>
      <c r="T142">
        <f>HYPERLINK("https://klasma.github.io/Logging_0980/kartor/A 447-2023 karta.png", "A 447-2023")</f>
        <v/>
      </c>
      <c r="V142">
        <f>HYPERLINK("https://klasma.github.io/Logging_0980/klagomål/A 447-2023 FSC-klagomål.docx", "A 447-2023")</f>
        <v/>
      </c>
      <c r="W142">
        <f>HYPERLINK("https://klasma.github.io/Logging_0980/klagomålsmail/A 447-2023 FSC-klagomål mail.docx", "A 447-2023")</f>
        <v/>
      </c>
      <c r="X142">
        <f>HYPERLINK("https://klasma.github.io/Logging_0980/tillsyn/A 447-2023 tillsynsbegäran.docx", "A 447-2023")</f>
        <v/>
      </c>
      <c r="Y142">
        <f>HYPERLINK("https://klasma.github.io/Logging_0980/tillsynsmail/A 447-2023 tillsynsbegäran mail.docx", "A 447-2023")</f>
        <v/>
      </c>
    </row>
    <row r="143" ht="15" customHeight="1">
      <c r="A143" t="inlineStr">
        <is>
          <t>A 13482-2026</t>
        </is>
      </c>
      <c r="B143" s="1" t="n">
        <v>46094</v>
      </c>
      <c r="C143" s="1" t="n">
        <v>46184</v>
      </c>
      <c r="D143" t="inlineStr">
        <is>
          <t>GOTLANDS LÄN</t>
        </is>
      </c>
      <c r="E143" t="inlineStr">
        <is>
          <t>GOTLAND</t>
        </is>
      </c>
      <c r="G143" t="n">
        <v>1.7</v>
      </c>
      <c r="H143" t="n">
        <v>1</v>
      </c>
      <c r="I143" t="n">
        <v>0</v>
      </c>
      <c r="J143" t="n">
        <v>1</v>
      </c>
      <c r="K143" t="n">
        <v>0</v>
      </c>
      <c r="L143" t="n">
        <v>0</v>
      </c>
      <c r="M143" t="n">
        <v>0</v>
      </c>
      <c r="N143" t="n">
        <v>0</v>
      </c>
      <c r="O143" t="n">
        <v>1</v>
      </c>
      <c r="P143" t="n">
        <v>0</v>
      </c>
      <c r="Q143" t="n">
        <v>1</v>
      </c>
      <c r="R143" s="2" t="inlineStr">
        <is>
          <t>Spillkråka</t>
        </is>
      </c>
      <c r="S143">
        <f>HYPERLINK("https://klasma.github.io/Logging_0980/artfynd/A 13482-2026 artfynd.xlsx", "A 13482-2026")</f>
        <v/>
      </c>
      <c r="T143">
        <f>HYPERLINK("https://klasma.github.io/Logging_0980/kartor/A 13482-2026 karta.png", "A 13482-2026")</f>
        <v/>
      </c>
      <c r="V143">
        <f>HYPERLINK("https://klasma.github.io/Logging_0980/klagomål/A 13482-2026 FSC-klagomål.docx", "A 13482-2026")</f>
        <v/>
      </c>
      <c r="W143">
        <f>HYPERLINK("https://klasma.github.io/Logging_0980/klagomålsmail/A 13482-2026 FSC-klagomål mail.docx", "A 13482-2026")</f>
        <v/>
      </c>
      <c r="X143">
        <f>HYPERLINK("https://klasma.github.io/Logging_0980/tillsyn/A 13482-2026 tillsynsbegäran.docx", "A 13482-2026")</f>
        <v/>
      </c>
      <c r="Y143">
        <f>HYPERLINK("https://klasma.github.io/Logging_0980/tillsynsmail/A 13482-2026 tillsynsbegäran mail.docx", "A 13482-2026")</f>
        <v/>
      </c>
      <c r="Z143">
        <f>HYPERLINK("https://klasma.github.io/Logging_0980/fåglar/A 13482-2026 prioriterade fågelarter.docx", "A 13482-2026")</f>
        <v/>
      </c>
    </row>
    <row r="144" ht="15" customHeight="1">
      <c r="A144" t="inlineStr">
        <is>
          <t>A 34809-2024</t>
        </is>
      </c>
      <c r="B144" s="1" t="n">
        <v>45526</v>
      </c>
      <c r="C144" s="1" t="n">
        <v>46184</v>
      </c>
      <c r="D144" t="inlineStr">
        <is>
          <t>GOTLANDS LÄN</t>
        </is>
      </c>
      <c r="E144" t="inlineStr">
        <is>
          <t>GOTLAND</t>
        </is>
      </c>
      <c r="G144" t="n">
        <v>9.9</v>
      </c>
      <c r="H144" t="n">
        <v>1</v>
      </c>
      <c r="I144" t="n">
        <v>0</v>
      </c>
      <c r="J144" t="n">
        <v>1</v>
      </c>
      <c r="K144" t="n">
        <v>0</v>
      </c>
      <c r="L144" t="n">
        <v>0</v>
      </c>
      <c r="M144" t="n">
        <v>0</v>
      </c>
      <c r="N144" t="n">
        <v>0</v>
      </c>
      <c r="O144" t="n">
        <v>1</v>
      </c>
      <c r="P144" t="n">
        <v>0</v>
      </c>
      <c r="Q144" t="n">
        <v>1</v>
      </c>
      <c r="R144" s="2" t="inlineStr">
        <is>
          <t>Brun ögontröst</t>
        </is>
      </c>
      <c r="S144">
        <f>HYPERLINK("https://klasma.github.io/Logging_0980/artfynd/A 34809-2024 artfynd.xlsx", "A 34809-2024")</f>
        <v/>
      </c>
      <c r="T144">
        <f>HYPERLINK("https://klasma.github.io/Logging_0980/kartor/A 34809-2024 karta.png", "A 34809-2024")</f>
        <v/>
      </c>
      <c r="V144">
        <f>HYPERLINK("https://klasma.github.io/Logging_0980/klagomål/A 34809-2024 FSC-klagomål.docx", "A 34809-2024")</f>
        <v/>
      </c>
      <c r="W144">
        <f>HYPERLINK("https://klasma.github.io/Logging_0980/klagomålsmail/A 34809-2024 FSC-klagomål mail.docx", "A 34809-2024")</f>
        <v/>
      </c>
      <c r="X144">
        <f>HYPERLINK("https://klasma.github.io/Logging_0980/tillsyn/A 34809-2024 tillsynsbegäran.docx", "A 34809-2024")</f>
        <v/>
      </c>
      <c r="Y144">
        <f>HYPERLINK("https://klasma.github.io/Logging_0980/tillsynsmail/A 34809-2024 tillsynsbegäran mail.docx", "A 34809-2024")</f>
        <v/>
      </c>
    </row>
    <row r="145" ht="15" customHeight="1">
      <c r="A145" t="inlineStr">
        <is>
          <t>A 49304-2024</t>
        </is>
      </c>
      <c r="B145" s="1" t="n">
        <v>45595.54996527778</v>
      </c>
      <c r="C145" s="1" t="n">
        <v>46184</v>
      </c>
      <c r="D145" t="inlineStr">
        <is>
          <t>GOTLANDS LÄN</t>
        </is>
      </c>
      <c r="E145" t="inlineStr">
        <is>
          <t>GOTLAND</t>
        </is>
      </c>
      <c r="G145" t="n">
        <v>10.8</v>
      </c>
      <c r="H145" t="n">
        <v>0</v>
      </c>
      <c r="I145" t="n">
        <v>0</v>
      </c>
      <c r="J145" t="n">
        <v>1</v>
      </c>
      <c r="K145" t="n">
        <v>0</v>
      </c>
      <c r="L145" t="n">
        <v>0</v>
      </c>
      <c r="M145" t="n">
        <v>0</v>
      </c>
      <c r="N145" t="n">
        <v>0</v>
      </c>
      <c r="O145" t="n">
        <v>1</v>
      </c>
      <c r="P145" t="n">
        <v>0</v>
      </c>
      <c r="Q145" t="n">
        <v>1</v>
      </c>
      <c r="R145" s="2" t="inlineStr">
        <is>
          <t>Åkerranunkel</t>
        </is>
      </c>
      <c r="S145">
        <f>HYPERLINK("https://klasma.github.io/Logging_0980/artfynd/A 49304-2024 artfynd.xlsx", "A 49304-2024")</f>
        <v/>
      </c>
      <c r="T145">
        <f>HYPERLINK("https://klasma.github.io/Logging_0980/kartor/A 49304-2024 karta.png", "A 49304-2024")</f>
        <v/>
      </c>
      <c r="V145">
        <f>HYPERLINK("https://klasma.github.io/Logging_0980/klagomål/A 49304-2024 FSC-klagomål.docx", "A 49304-2024")</f>
        <v/>
      </c>
      <c r="W145">
        <f>HYPERLINK("https://klasma.github.io/Logging_0980/klagomålsmail/A 49304-2024 FSC-klagomål mail.docx", "A 49304-2024")</f>
        <v/>
      </c>
      <c r="X145">
        <f>HYPERLINK("https://klasma.github.io/Logging_0980/tillsyn/A 49304-2024 tillsynsbegäran.docx", "A 49304-2024")</f>
        <v/>
      </c>
      <c r="Y145">
        <f>HYPERLINK("https://klasma.github.io/Logging_0980/tillsynsmail/A 49304-2024 tillsynsbegäran mail.docx", "A 49304-2024")</f>
        <v/>
      </c>
    </row>
    <row r="146" ht="15" customHeight="1">
      <c r="A146" t="inlineStr">
        <is>
          <t>A 22782-2023</t>
        </is>
      </c>
      <c r="B146" s="1" t="n">
        <v>45072</v>
      </c>
      <c r="C146" s="1" t="n">
        <v>46184</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44088-2022</t>
        </is>
      </c>
      <c r="B147" s="1" t="n">
        <v>44839</v>
      </c>
      <c r="C147" s="1" t="n">
        <v>46184</v>
      </c>
      <c r="D147" t="inlineStr">
        <is>
          <t>GOTLANDS LÄN</t>
        </is>
      </c>
      <c r="E147" t="inlineStr">
        <is>
          <t>GOTLAND</t>
        </is>
      </c>
      <c r="G147" t="n">
        <v>1.5</v>
      </c>
      <c r="H147" t="n">
        <v>0</v>
      </c>
      <c r="I147" t="n">
        <v>1</v>
      </c>
      <c r="J147" t="n">
        <v>0</v>
      </c>
      <c r="K147" t="n">
        <v>0</v>
      </c>
      <c r="L147" t="n">
        <v>0</v>
      </c>
      <c r="M147" t="n">
        <v>0</v>
      </c>
      <c r="N147" t="n">
        <v>0</v>
      </c>
      <c r="O147" t="n">
        <v>0</v>
      </c>
      <c r="P147" t="n">
        <v>0</v>
      </c>
      <c r="Q147" t="n">
        <v>1</v>
      </c>
      <c r="R147" s="2" t="inlineStr">
        <is>
          <t>Strävlosta</t>
        </is>
      </c>
      <c r="S147">
        <f>HYPERLINK("https://klasma.github.io/Logging_0980/artfynd/A 44088-2022 artfynd.xlsx", "A 44088-2022")</f>
        <v/>
      </c>
      <c r="T147">
        <f>HYPERLINK("https://klasma.github.io/Logging_0980/kartor/A 44088-2022 karta.png", "A 44088-2022")</f>
        <v/>
      </c>
      <c r="V147">
        <f>HYPERLINK("https://klasma.github.io/Logging_0980/klagomål/A 44088-2022 FSC-klagomål.docx", "A 44088-2022")</f>
        <v/>
      </c>
      <c r="W147">
        <f>HYPERLINK("https://klasma.github.io/Logging_0980/klagomålsmail/A 44088-2022 FSC-klagomål mail.docx", "A 44088-2022")</f>
        <v/>
      </c>
      <c r="X147">
        <f>HYPERLINK("https://klasma.github.io/Logging_0980/tillsyn/A 44088-2022 tillsynsbegäran.docx", "A 44088-2022")</f>
        <v/>
      </c>
      <c r="Y147">
        <f>HYPERLINK("https://klasma.github.io/Logging_0980/tillsynsmail/A 44088-2022 tillsynsbegäran mail.docx", "A 44088-2022")</f>
        <v/>
      </c>
    </row>
    <row r="148" ht="15" customHeight="1">
      <c r="A148" t="inlineStr">
        <is>
          <t>A 22281-2026</t>
        </is>
      </c>
      <c r="B148" s="1" t="n">
        <v>46154</v>
      </c>
      <c r="C148" s="1" t="n">
        <v>46184</v>
      </c>
      <c r="D148" t="inlineStr">
        <is>
          <t>GOTLANDS LÄN</t>
        </is>
      </c>
      <c r="E148" t="inlineStr">
        <is>
          <t>GOTLAND</t>
        </is>
      </c>
      <c r="G148" t="n">
        <v>8.1</v>
      </c>
      <c r="H148" t="n">
        <v>0</v>
      </c>
      <c r="I148" t="n">
        <v>0</v>
      </c>
      <c r="J148" t="n">
        <v>1</v>
      </c>
      <c r="K148" t="n">
        <v>0</v>
      </c>
      <c r="L148" t="n">
        <v>0</v>
      </c>
      <c r="M148" t="n">
        <v>0</v>
      </c>
      <c r="N148" t="n">
        <v>0</v>
      </c>
      <c r="O148" t="n">
        <v>1</v>
      </c>
      <c r="P148" t="n">
        <v>0</v>
      </c>
      <c r="Q148" t="n">
        <v>1</v>
      </c>
      <c r="R148" s="2" t="inlineStr">
        <is>
          <t>Vasstandad trädbasbagge</t>
        </is>
      </c>
      <c r="S148">
        <f>HYPERLINK("https://klasma.github.io/Logging_0980/artfynd/A 22281-2026 artfynd.xlsx", "A 22281-2026")</f>
        <v/>
      </c>
      <c r="T148">
        <f>HYPERLINK("https://klasma.github.io/Logging_0980/kartor/A 22281-2026 karta.png", "A 22281-2026")</f>
        <v/>
      </c>
      <c r="V148">
        <f>HYPERLINK("https://klasma.github.io/Logging_0980/klagomål/A 22281-2026 FSC-klagomål.docx", "A 22281-2026")</f>
        <v/>
      </c>
      <c r="W148">
        <f>HYPERLINK("https://klasma.github.io/Logging_0980/klagomålsmail/A 22281-2026 FSC-klagomål mail.docx", "A 22281-2026")</f>
        <v/>
      </c>
      <c r="X148">
        <f>HYPERLINK("https://klasma.github.io/Logging_0980/tillsyn/A 22281-2026 tillsynsbegäran.docx", "A 22281-2026")</f>
        <v/>
      </c>
      <c r="Y148">
        <f>HYPERLINK("https://klasma.github.io/Logging_0980/tillsynsmail/A 22281-2026 tillsynsbegäran mail.docx", "A 22281-2026")</f>
        <v/>
      </c>
    </row>
    <row r="149" ht="15" customHeight="1">
      <c r="A149" t="inlineStr">
        <is>
          <t>A 17854-2026</t>
        </is>
      </c>
      <c r="B149" s="1" t="n">
        <v>46121</v>
      </c>
      <c r="C149" s="1" t="n">
        <v>46184</v>
      </c>
      <c r="D149" t="inlineStr">
        <is>
          <t>GOTLANDS LÄN</t>
        </is>
      </c>
      <c r="E149" t="inlineStr">
        <is>
          <t>GOTLAND</t>
        </is>
      </c>
      <c r="G149" t="n">
        <v>6.6</v>
      </c>
      <c r="H149" t="n">
        <v>0</v>
      </c>
      <c r="I149" t="n">
        <v>1</v>
      </c>
      <c r="J149" t="n">
        <v>0</v>
      </c>
      <c r="K149" t="n">
        <v>0</v>
      </c>
      <c r="L149" t="n">
        <v>0</v>
      </c>
      <c r="M149" t="n">
        <v>0</v>
      </c>
      <c r="N149" t="n">
        <v>0</v>
      </c>
      <c r="O149" t="n">
        <v>0</v>
      </c>
      <c r="P149" t="n">
        <v>0</v>
      </c>
      <c r="Q149" t="n">
        <v>1</v>
      </c>
      <c r="R149" s="2" t="inlineStr">
        <is>
          <t>Blå slemspindling</t>
        </is>
      </c>
      <c r="S149">
        <f>HYPERLINK("https://klasma.github.io/Logging_0980/artfynd/A 17854-2026 artfynd.xlsx", "A 17854-2026")</f>
        <v/>
      </c>
      <c r="T149">
        <f>HYPERLINK("https://klasma.github.io/Logging_0980/kartor/A 17854-2026 karta.png", "A 17854-2026")</f>
        <v/>
      </c>
      <c r="V149">
        <f>HYPERLINK("https://klasma.github.io/Logging_0980/klagomål/A 17854-2026 FSC-klagomål.docx", "A 17854-2026")</f>
        <v/>
      </c>
      <c r="W149">
        <f>HYPERLINK("https://klasma.github.io/Logging_0980/klagomålsmail/A 17854-2026 FSC-klagomål mail.docx", "A 17854-2026")</f>
        <v/>
      </c>
      <c r="X149">
        <f>HYPERLINK("https://klasma.github.io/Logging_0980/tillsyn/A 17854-2026 tillsynsbegäran.docx", "A 17854-2026")</f>
        <v/>
      </c>
      <c r="Y149">
        <f>HYPERLINK("https://klasma.github.io/Logging_0980/tillsynsmail/A 17854-2026 tillsynsbegäran mail.docx", "A 17854-2026")</f>
        <v/>
      </c>
    </row>
    <row r="150" ht="15" customHeight="1">
      <c r="A150" t="inlineStr">
        <is>
          <t>A 18036-2026</t>
        </is>
      </c>
      <c r="B150" s="1" t="n">
        <v>46125.39576388889</v>
      </c>
      <c r="C150" s="1" t="n">
        <v>46184</v>
      </c>
      <c r="D150" t="inlineStr">
        <is>
          <t>GOTLANDS LÄN</t>
        </is>
      </c>
      <c r="E150" t="inlineStr">
        <is>
          <t>GOTLAND</t>
        </is>
      </c>
      <c r="G150" t="n">
        <v>1.8</v>
      </c>
      <c r="H150" t="n">
        <v>0</v>
      </c>
      <c r="I150" t="n">
        <v>0</v>
      </c>
      <c r="J150" t="n">
        <v>1</v>
      </c>
      <c r="K150" t="n">
        <v>0</v>
      </c>
      <c r="L150" t="n">
        <v>0</v>
      </c>
      <c r="M150" t="n">
        <v>0</v>
      </c>
      <c r="N150" t="n">
        <v>0</v>
      </c>
      <c r="O150" t="n">
        <v>1</v>
      </c>
      <c r="P150" t="n">
        <v>0</v>
      </c>
      <c r="Q150" t="n">
        <v>1</v>
      </c>
      <c r="R150" s="2" t="inlineStr">
        <is>
          <t>Sommarfibbla</t>
        </is>
      </c>
      <c r="S150">
        <f>HYPERLINK("https://klasma.github.io/Logging_0980/artfynd/A 18036-2026 artfynd.xlsx", "A 18036-2026")</f>
        <v/>
      </c>
      <c r="T150">
        <f>HYPERLINK("https://klasma.github.io/Logging_0980/kartor/A 18036-2026 karta.png", "A 18036-2026")</f>
        <v/>
      </c>
      <c r="V150">
        <f>HYPERLINK("https://klasma.github.io/Logging_0980/klagomål/A 18036-2026 FSC-klagomål.docx", "A 18036-2026")</f>
        <v/>
      </c>
      <c r="W150">
        <f>HYPERLINK("https://klasma.github.io/Logging_0980/klagomålsmail/A 18036-2026 FSC-klagomål mail.docx", "A 18036-2026")</f>
        <v/>
      </c>
      <c r="X150">
        <f>HYPERLINK("https://klasma.github.io/Logging_0980/tillsyn/A 18036-2026 tillsynsbegäran.docx", "A 18036-2026")</f>
        <v/>
      </c>
      <c r="Y150">
        <f>HYPERLINK("https://klasma.github.io/Logging_0980/tillsynsmail/A 18036-2026 tillsynsbegäran mail.docx", "A 18036-2026")</f>
        <v/>
      </c>
    </row>
    <row r="151" ht="15" customHeight="1">
      <c r="A151" t="inlineStr">
        <is>
          <t>A 1477-2024</t>
        </is>
      </c>
      <c r="B151" s="1" t="n">
        <v>45305.37987268518</v>
      </c>
      <c r="C151" s="1" t="n">
        <v>46184</v>
      </c>
      <c r="D151" t="inlineStr">
        <is>
          <t>GOTLANDS LÄN</t>
        </is>
      </c>
      <c r="E151" t="inlineStr">
        <is>
          <t>GOTLAND</t>
        </is>
      </c>
      <c r="G151" t="n">
        <v>6.9</v>
      </c>
      <c r="H151" t="n">
        <v>0</v>
      </c>
      <c r="I151" t="n">
        <v>0</v>
      </c>
      <c r="J151" t="n">
        <v>1</v>
      </c>
      <c r="K151" t="n">
        <v>0</v>
      </c>
      <c r="L151" t="n">
        <v>0</v>
      </c>
      <c r="M151" t="n">
        <v>0</v>
      </c>
      <c r="N151" t="n">
        <v>0</v>
      </c>
      <c r="O151" t="n">
        <v>1</v>
      </c>
      <c r="P151" t="n">
        <v>0</v>
      </c>
      <c r="Q151" t="n">
        <v>1</v>
      </c>
      <c r="R151" s="2" t="inlineStr">
        <is>
          <t>Igelkott</t>
        </is>
      </c>
      <c r="S151">
        <f>HYPERLINK("https://klasma.github.io/Logging_0980/artfynd/A 1477-2024 artfynd.xlsx", "A 1477-2024")</f>
        <v/>
      </c>
      <c r="T151">
        <f>HYPERLINK("https://klasma.github.io/Logging_0980/kartor/A 1477-2024 karta.png", "A 1477-2024")</f>
        <v/>
      </c>
      <c r="V151">
        <f>HYPERLINK("https://klasma.github.io/Logging_0980/klagomål/A 1477-2024 FSC-klagomål.docx", "A 1477-2024")</f>
        <v/>
      </c>
      <c r="W151">
        <f>HYPERLINK("https://klasma.github.io/Logging_0980/klagomålsmail/A 1477-2024 FSC-klagomål mail.docx", "A 1477-2024")</f>
        <v/>
      </c>
      <c r="X151">
        <f>HYPERLINK("https://klasma.github.io/Logging_0980/tillsyn/A 1477-2024 tillsynsbegäran.docx", "A 1477-2024")</f>
        <v/>
      </c>
      <c r="Y151">
        <f>HYPERLINK("https://klasma.github.io/Logging_0980/tillsynsmail/A 1477-2024 tillsynsbegäran mail.docx", "A 1477-2024")</f>
        <v/>
      </c>
    </row>
    <row r="152" ht="15" customHeight="1">
      <c r="A152" t="inlineStr">
        <is>
          <t>A 7637-2025</t>
        </is>
      </c>
      <c r="B152" s="1" t="n">
        <v>45705.77181712963</v>
      </c>
      <c r="C152" s="1" t="n">
        <v>46184</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61796-2022</t>
        </is>
      </c>
      <c r="B153" s="1" t="n">
        <v>44917</v>
      </c>
      <c r="C153" s="1" t="n">
        <v>46184</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10218-2025</t>
        </is>
      </c>
      <c r="B154" s="1" t="n">
        <v>45720</v>
      </c>
      <c r="C154" s="1" t="n">
        <v>46184</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12379-2024</t>
        </is>
      </c>
      <c r="B155" s="1" t="n">
        <v>45379.28155092592</v>
      </c>
      <c r="C155" s="1" t="n">
        <v>46184</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64700-2021</t>
        </is>
      </c>
      <c r="B156" s="1" t="n">
        <v>44511</v>
      </c>
      <c r="C156" s="1" t="n">
        <v>46184</v>
      </c>
      <c r="D156" t="inlineStr">
        <is>
          <t>GOTLANDS LÄN</t>
        </is>
      </c>
      <c r="E156" t="inlineStr">
        <is>
          <t>GOTLAND</t>
        </is>
      </c>
      <c r="F156" t="inlineStr">
        <is>
          <t>Naturvårdsverket</t>
        </is>
      </c>
      <c r="G156" t="n">
        <v>2.4</v>
      </c>
      <c r="H156" t="n">
        <v>1</v>
      </c>
      <c r="I156" t="n">
        <v>0</v>
      </c>
      <c r="J156" t="n">
        <v>0</v>
      </c>
      <c r="K156" t="n">
        <v>1</v>
      </c>
      <c r="L156" t="n">
        <v>0</v>
      </c>
      <c r="M156" t="n">
        <v>0</v>
      </c>
      <c r="N156" t="n">
        <v>0</v>
      </c>
      <c r="O156" t="n">
        <v>1</v>
      </c>
      <c r="P156" t="n">
        <v>1</v>
      </c>
      <c r="Q156" t="n">
        <v>1</v>
      </c>
      <c r="R156" s="2" t="inlineStr">
        <is>
          <t>Kalkdån</t>
        </is>
      </c>
      <c r="S156">
        <f>HYPERLINK("https://klasma.github.io/Logging_0980/artfynd/A 64700-2021 artfynd.xlsx", "A 64700-2021")</f>
        <v/>
      </c>
      <c r="T156">
        <f>HYPERLINK("https://klasma.github.io/Logging_0980/kartor/A 64700-2021 karta.png", "A 64700-2021")</f>
        <v/>
      </c>
      <c r="V156">
        <f>HYPERLINK("https://klasma.github.io/Logging_0980/klagomål/A 64700-2021 FSC-klagomål.docx", "A 64700-2021")</f>
        <v/>
      </c>
      <c r="W156">
        <f>HYPERLINK("https://klasma.github.io/Logging_0980/klagomålsmail/A 64700-2021 FSC-klagomål mail.docx", "A 64700-2021")</f>
        <v/>
      </c>
      <c r="X156">
        <f>HYPERLINK("https://klasma.github.io/Logging_0980/tillsyn/A 64700-2021 tillsynsbegäran.docx", "A 64700-2021")</f>
        <v/>
      </c>
      <c r="Y156">
        <f>HYPERLINK("https://klasma.github.io/Logging_0980/tillsynsmail/A 64700-2021 tillsynsbegäran mail.docx", "A 64700-2021")</f>
        <v/>
      </c>
    </row>
    <row r="157" ht="15" customHeight="1">
      <c r="A157" t="inlineStr">
        <is>
          <t>A 35574-2024</t>
        </is>
      </c>
      <c r="B157" s="1" t="n">
        <v>45531</v>
      </c>
      <c r="C157" s="1" t="n">
        <v>46184</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37591-2023</t>
        </is>
      </c>
      <c r="B158" s="1" t="n">
        <v>45159</v>
      </c>
      <c r="C158" s="1" t="n">
        <v>46184</v>
      </c>
      <c r="D158" t="inlineStr">
        <is>
          <t>GOTLANDS LÄN</t>
        </is>
      </c>
      <c r="E158" t="inlineStr">
        <is>
          <t>GOTLAND</t>
        </is>
      </c>
      <c r="G158" t="n">
        <v>8.300000000000001</v>
      </c>
      <c r="H158" t="n">
        <v>0</v>
      </c>
      <c r="I158" t="n">
        <v>0</v>
      </c>
      <c r="J158" t="n">
        <v>1</v>
      </c>
      <c r="K158" t="n">
        <v>0</v>
      </c>
      <c r="L158" t="n">
        <v>0</v>
      </c>
      <c r="M158" t="n">
        <v>0</v>
      </c>
      <c r="N158" t="n">
        <v>0</v>
      </c>
      <c r="O158" t="n">
        <v>1</v>
      </c>
      <c r="P158" t="n">
        <v>0</v>
      </c>
      <c r="Q158" t="n">
        <v>1</v>
      </c>
      <c r="R158" s="2" t="inlineStr">
        <is>
          <t>Ängsstarr</t>
        </is>
      </c>
      <c r="S158">
        <f>HYPERLINK("https://klasma.github.io/Logging_0980/artfynd/A 37591-2023 artfynd.xlsx", "A 37591-2023")</f>
        <v/>
      </c>
      <c r="T158">
        <f>HYPERLINK("https://klasma.github.io/Logging_0980/kartor/A 37591-2023 karta.png", "A 37591-2023")</f>
        <v/>
      </c>
      <c r="V158">
        <f>HYPERLINK("https://klasma.github.io/Logging_0980/klagomål/A 37591-2023 FSC-klagomål.docx", "A 37591-2023")</f>
        <v/>
      </c>
      <c r="W158">
        <f>HYPERLINK("https://klasma.github.io/Logging_0980/klagomålsmail/A 37591-2023 FSC-klagomål mail.docx", "A 37591-2023")</f>
        <v/>
      </c>
      <c r="X158">
        <f>HYPERLINK("https://klasma.github.io/Logging_0980/tillsyn/A 37591-2023 tillsynsbegäran.docx", "A 37591-2023")</f>
        <v/>
      </c>
      <c r="Y158">
        <f>HYPERLINK("https://klasma.github.io/Logging_0980/tillsynsmail/A 37591-2023 tillsynsbegäran mail.docx", "A 37591-2023")</f>
        <v/>
      </c>
    </row>
    <row r="159" ht="15" customHeight="1">
      <c r="A159" t="inlineStr">
        <is>
          <t>A 15637-2024</t>
        </is>
      </c>
      <c r="B159" s="1" t="n">
        <v>45403.6684837963</v>
      </c>
      <c r="C159" s="1" t="n">
        <v>46184</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49847-2023</t>
        </is>
      </c>
      <c r="B160" s="1" t="n">
        <v>45212</v>
      </c>
      <c r="C160" s="1" t="n">
        <v>46184</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10995-2023</t>
        </is>
      </c>
      <c r="B161" s="1" t="n">
        <v>44986</v>
      </c>
      <c r="C161" s="1" t="n">
        <v>46184</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36313-2021</t>
        </is>
      </c>
      <c r="B162" s="1" t="n">
        <v>44390</v>
      </c>
      <c r="C162" s="1" t="n">
        <v>46184</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46184</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46184</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46184</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46184</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24235-2022</t>
        </is>
      </c>
      <c r="B167" s="1" t="n">
        <v>44725</v>
      </c>
      <c r="C167" s="1" t="n">
        <v>46184</v>
      </c>
      <c r="D167" t="inlineStr">
        <is>
          <t>GOTLANDS LÄN</t>
        </is>
      </c>
      <c r="E167" t="inlineStr">
        <is>
          <t>GOTLAND</t>
        </is>
      </c>
      <c r="G167" t="n">
        <v>0.8</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46184</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46184</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46184</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24123-2022</t>
        </is>
      </c>
      <c r="B171" s="1" t="n">
        <v>44725.4384375</v>
      </c>
      <c r="C171" s="1" t="n">
        <v>46184</v>
      </c>
      <c r="D171" t="inlineStr">
        <is>
          <t>GOTLANDS LÄN</t>
        </is>
      </c>
      <c r="E171" t="inlineStr">
        <is>
          <t>GOTLAND</t>
        </is>
      </c>
      <c r="G171" t="n">
        <v>6</v>
      </c>
      <c r="H171" t="n">
        <v>0</v>
      </c>
      <c r="I171" t="n">
        <v>0</v>
      </c>
      <c r="J171" t="n">
        <v>0</v>
      </c>
      <c r="K171" t="n">
        <v>0</v>
      </c>
      <c r="L171" t="n">
        <v>0</v>
      </c>
      <c r="M171" t="n">
        <v>0</v>
      </c>
      <c r="N171" t="n">
        <v>0</v>
      </c>
      <c r="O171" t="n">
        <v>0</v>
      </c>
      <c r="P171" t="n">
        <v>0</v>
      </c>
      <c r="Q171" t="n">
        <v>0</v>
      </c>
      <c r="R171" s="2" t="inlineStr"/>
    </row>
    <row r="172" ht="15" customHeight="1">
      <c r="A172" t="inlineStr">
        <is>
          <t>A 44207-2022</t>
        </is>
      </c>
      <c r="B172" s="1" t="n">
        <v>44839</v>
      </c>
      <c r="C172" s="1" t="n">
        <v>46184</v>
      </c>
      <c r="D172" t="inlineStr">
        <is>
          <t>GOTLANDS LÄN</t>
        </is>
      </c>
      <c r="E172" t="inlineStr">
        <is>
          <t>GOTLAND</t>
        </is>
      </c>
      <c r="G172" t="n">
        <v>3.8</v>
      </c>
      <c r="H172" t="n">
        <v>0</v>
      </c>
      <c r="I172" t="n">
        <v>0</v>
      </c>
      <c r="J172" t="n">
        <v>0</v>
      </c>
      <c r="K172" t="n">
        <v>0</v>
      </c>
      <c r="L172" t="n">
        <v>0</v>
      </c>
      <c r="M172" t="n">
        <v>0</v>
      </c>
      <c r="N172" t="n">
        <v>0</v>
      </c>
      <c r="O172" t="n">
        <v>0</v>
      </c>
      <c r="P172" t="n">
        <v>0</v>
      </c>
      <c r="Q172" t="n">
        <v>0</v>
      </c>
      <c r="R172" s="2" t="inlineStr"/>
    </row>
    <row r="173" ht="15" customHeight="1">
      <c r="A173" t="inlineStr">
        <is>
          <t>A 32691-2021</t>
        </is>
      </c>
      <c r="B173" s="1" t="n">
        <v>44375</v>
      </c>
      <c r="C173" s="1" t="n">
        <v>46184</v>
      </c>
      <c r="D173" t="inlineStr">
        <is>
          <t>GOTLANDS LÄN</t>
        </is>
      </c>
      <c r="E173" t="inlineStr">
        <is>
          <t>GOTLAND</t>
        </is>
      </c>
      <c r="G173" t="n">
        <v>0.8</v>
      </c>
      <c r="H173" t="n">
        <v>0</v>
      </c>
      <c r="I173" t="n">
        <v>0</v>
      </c>
      <c r="J173" t="n">
        <v>0</v>
      </c>
      <c r="K173" t="n">
        <v>0</v>
      </c>
      <c r="L173" t="n">
        <v>0</v>
      </c>
      <c r="M173" t="n">
        <v>0</v>
      </c>
      <c r="N173" t="n">
        <v>0</v>
      </c>
      <c r="O173" t="n">
        <v>0</v>
      </c>
      <c r="P173" t="n">
        <v>0</v>
      </c>
      <c r="Q173" t="n">
        <v>0</v>
      </c>
      <c r="R173" s="2" t="inlineStr"/>
    </row>
    <row r="174" ht="15" customHeight="1">
      <c r="A174" t="inlineStr">
        <is>
          <t>A 42688-2021</t>
        </is>
      </c>
      <c r="B174" s="1" t="n">
        <v>44428</v>
      </c>
      <c r="C174" s="1" t="n">
        <v>46184</v>
      </c>
      <c r="D174" t="inlineStr">
        <is>
          <t>GOTLANDS LÄN</t>
        </is>
      </c>
      <c r="E174" t="inlineStr">
        <is>
          <t>GOTLAND</t>
        </is>
      </c>
      <c r="G174" t="n">
        <v>0.6</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46184</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11029-2022</t>
        </is>
      </c>
      <c r="B176" s="1" t="n">
        <v>44628</v>
      </c>
      <c r="C176" s="1" t="n">
        <v>46184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47369-2021</t>
        </is>
      </c>
      <c r="B177" s="1" t="n">
        <v>44447</v>
      </c>
      <c r="C177" s="1" t="n">
        <v>46184</v>
      </c>
      <c r="D177" t="inlineStr">
        <is>
          <t>GOTLANDS LÄN</t>
        </is>
      </c>
      <c r="E177" t="inlineStr">
        <is>
          <t>GOTLAND</t>
        </is>
      </c>
      <c r="G177" t="n">
        <v>2.3</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46184</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46184</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46184</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46184</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46184</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46184</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46184</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46184</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46184</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46184</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46184</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46184</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46184</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46184</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46184</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17901-2023</t>
        </is>
      </c>
      <c r="B193" s="1" t="n">
        <v>45039</v>
      </c>
      <c r="C193" s="1" t="n">
        <v>46184</v>
      </c>
      <c r="D193" t="inlineStr">
        <is>
          <t>GOTLANDS LÄN</t>
        </is>
      </c>
      <c r="E193" t="inlineStr">
        <is>
          <t>GOTLAND</t>
        </is>
      </c>
      <c r="F193" t="inlineStr">
        <is>
          <t>Kyrkan</t>
        </is>
      </c>
      <c r="G193" t="n">
        <v>0.6</v>
      </c>
      <c r="H193" t="n">
        <v>0</v>
      </c>
      <c r="I193" t="n">
        <v>0</v>
      </c>
      <c r="J193" t="n">
        <v>0</v>
      </c>
      <c r="K193" t="n">
        <v>0</v>
      </c>
      <c r="L193" t="n">
        <v>0</v>
      </c>
      <c r="M193" t="n">
        <v>0</v>
      </c>
      <c r="N193" t="n">
        <v>0</v>
      </c>
      <c r="O193" t="n">
        <v>0</v>
      </c>
      <c r="P193" t="n">
        <v>0</v>
      </c>
      <c r="Q193" t="n">
        <v>0</v>
      </c>
      <c r="R193" s="2" t="inlineStr"/>
    </row>
    <row r="194" ht="15" customHeight="1">
      <c r="A194" t="inlineStr">
        <is>
          <t>A 456-2023</t>
        </is>
      </c>
      <c r="B194" s="1" t="n">
        <v>44929.87122685185</v>
      </c>
      <c r="C194" s="1" t="n">
        <v>46184</v>
      </c>
      <c r="D194" t="inlineStr">
        <is>
          <t>GOTLANDS LÄN</t>
        </is>
      </c>
      <c r="E194" t="inlineStr">
        <is>
          <t>GOTLAND</t>
        </is>
      </c>
      <c r="G194" t="n">
        <v>3.2</v>
      </c>
      <c r="H194" t="n">
        <v>0</v>
      </c>
      <c r="I194" t="n">
        <v>0</v>
      </c>
      <c r="J194" t="n">
        <v>0</v>
      </c>
      <c r="K194" t="n">
        <v>0</v>
      </c>
      <c r="L194" t="n">
        <v>0</v>
      </c>
      <c r="M194" t="n">
        <v>0</v>
      </c>
      <c r="N194" t="n">
        <v>0</v>
      </c>
      <c r="O194" t="n">
        <v>0</v>
      </c>
      <c r="P194" t="n">
        <v>0</v>
      </c>
      <c r="Q194" t="n">
        <v>0</v>
      </c>
      <c r="R194" s="2" t="inlineStr"/>
    </row>
    <row r="195" ht="15" customHeight="1">
      <c r="A195" t="inlineStr">
        <is>
          <t>A 58476-2022</t>
        </is>
      </c>
      <c r="B195" s="1" t="n">
        <v>44902</v>
      </c>
      <c r="C195" s="1" t="n">
        <v>46184</v>
      </c>
      <c r="D195" t="inlineStr">
        <is>
          <t>GOTLANDS LÄN</t>
        </is>
      </c>
      <c r="E195" t="inlineStr">
        <is>
          <t>GOTLAND</t>
        </is>
      </c>
      <c r="G195" t="n">
        <v>0.9</v>
      </c>
      <c r="H195" t="n">
        <v>0</v>
      </c>
      <c r="I195" t="n">
        <v>0</v>
      </c>
      <c r="J195" t="n">
        <v>0</v>
      </c>
      <c r="K195" t="n">
        <v>0</v>
      </c>
      <c r="L195" t="n">
        <v>0</v>
      </c>
      <c r="M195" t="n">
        <v>0</v>
      </c>
      <c r="N195" t="n">
        <v>0</v>
      </c>
      <c r="O195" t="n">
        <v>0</v>
      </c>
      <c r="P195" t="n">
        <v>0</v>
      </c>
      <c r="Q195" t="n">
        <v>0</v>
      </c>
      <c r="R195" s="2" t="inlineStr"/>
    </row>
    <row r="196" ht="15" customHeight="1">
      <c r="A196" t="inlineStr">
        <is>
          <t>A 61596-2023</t>
        </is>
      </c>
      <c r="B196" s="1" t="n">
        <v>45265</v>
      </c>
      <c r="C196" s="1" t="n">
        <v>46184</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873-2024</t>
        </is>
      </c>
      <c r="B197" s="1" t="n">
        <v>45301</v>
      </c>
      <c r="C197" s="1" t="n">
        <v>46184</v>
      </c>
      <c r="D197" t="inlineStr">
        <is>
          <t>GOTLANDS LÄN</t>
        </is>
      </c>
      <c r="E197" t="inlineStr">
        <is>
          <t>GOTLAND</t>
        </is>
      </c>
      <c r="G197" t="n">
        <v>2.7</v>
      </c>
      <c r="H197" t="n">
        <v>0</v>
      </c>
      <c r="I197" t="n">
        <v>0</v>
      </c>
      <c r="J197" t="n">
        <v>0</v>
      </c>
      <c r="K197" t="n">
        <v>0</v>
      </c>
      <c r="L197" t="n">
        <v>0</v>
      </c>
      <c r="M197" t="n">
        <v>0</v>
      </c>
      <c r="N197" t="n">
        <v>0</v>
      </c>
      <c r="O197" t="n">
        <v>0</v>
      </c>
      <c r="P197" t="n">
        <v>0</v>
      </c>
      <c r="Q197" t="n">
        <v>0</v>
      </c>
      <c r="R197" s="2" t="inlineStr"/>
    </row>
    <row r="198" ht="15" customHeight="1">
      <c r="A198" t="inlineStr">
        <is>
          <t>A 44228-2022</t>
        </is>
      </c>
      <c r="B198" s="1" t="n">
        <v>44839.51599537037</v>
      </c>
      <c r="C198" s="1" t="n">
        <v>46184</v>
      </c>
      <c r="D198" t="inlineStr">
        <is>
          <t>GOTLANDS LÄN</t>
        </is>
      </c>
      <c r="E198" t="inlineStr">
        <is>
          <t>GOTLAND</t>
        </is>
      </c>
      <c r="G198" t="n">
        <v>2.1</v>
      </c>
      <c r="H198" t="n">
        <v>0</v>
      </c>
      <c r="I198" t="n">
        <v>0</v>
      </c>
      <c r="J198" t="n">
        <v>0</v>
      </c>
      <c r="K198" t="n">
        <v>0</v>
      </c>
      <c r="L198" t="n">
        <v>0</v>
      </c>
      <c r="M198" t="n">
        <v>0</v>
      </c>
      <c r="N198" t="n">
        <v>0</v>
      </c>
      <c r="O198" t="n">
        <v>0</v>
      </c>
      <c r="P198" t="n">
        <v>0</v>
      </c>
      <c r="Q198" t="n">
        <v>0</v>
      </c>
      <c r="R198" s="2" t="inlineStr"/>
    </row>
    <row r="199" ht="15" customHeight="1">
      <c r="A199" t="inlineStr">
        <is>
          <t>A 63229-2021</t>
        </is>
      </c>
      <c r="B199" s="1" t="n">
        <v>44508.34518518519</v>
      </c>
      <c r="C199" s="1" t="n">
        <v>46184</v>
      </c>
      <c r="D199" t="inlineStr">
        <is>
          <t>GOTLANDS LÄN</t>
        </is>
      </c>
      <c r="E199" t="inlineStr">
        <is>
          <t>GOTLAND</t>
        </is>
      </c>
      <c r="F199" t="inlineStr">
        <is>
          <t>Kyrkan</t>
        </is>
      </c>
      <c r="G199" t="n">
        <v>3.8</v>
      </c>
      <c r="H199" t="n">
        <v>0</v>
      </c>
      <c r="I199" t="n">
        <v>0</v>
      </c>
      <c r="J199" t="n">
        <v>0</v>
      </c>
      <c r="K199" t="n">
        <v>0</v>
      </c>
      <c r="L199" t="n">
        <v>0</v>
      </c>
      <c r="M199" t="n">
        <v>0</v>
      </c>
      <c r="N199" t="n">
        <v>0</v>
      </c>
      <c r="O199" t="n">
        <v>0</v>
      </c>
      <c r="P199" t="n">
        <v>0</v>
      </c>
      <c r="Q199" t="n">
        <v>0</v>
      </c>
      <c r="R199" s="2" t="inlineStr"/>
    </row>
    <row r="200" ht="15" customHeight="1">
      <c r="A200" t="inlineStr">
        <is>
          <t>A 61386-2023</t>
        </is>
      </c>
      <c r="B200" s="1" t="n">
        <v>45264</v>
      </c>
      <c r="C200" s="1" t="n">
        <v>46184</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21164-2024</t>
        </is>
      </c>
      <c r="B201" s="1" t="n">
        <v>45440</v>
      </c>
      <c r="C201" s="1" t="n">
        <v>46184</v>
      </c>
      <c r="D201" t="inlineStr">
        <is>
          <t>GOTLANDS LÄN</t>
        </is>
      </c>
      <c r="E201" t="inlineStr">
        <is>
          <t>GOTLAND</t>
        </is>
      </c>
      <c r="G201" t="n">
        <v>6.3</v>
      </c>
      <c r="H201" t="n">
        <v>0</v>
      </c>
      <c r="I201" t="n">
        <v>0</v>
      </c>
      <c r="J201" t="n">
        <v>0</v>
      </c>
      <c r="K201" t="n">
        <v>0</v>
      </c>
      <c r="L201" t="n">
        <v>0</v>
      </c>
      <c r="M201" t="n">
        <v>0</v>
      </c>
      <c r="N201" t="n">
        <v>0</v>
      </c>
      <c r="O201" t="n">
        <v>0</v>
      </c>
      <c r="P201" t="n">
        <v>0</v>
      </c>
      <c r="Q201" t="n">
        <v>0</v>
      </c>
      <c r="R201" s="2" t="inlineStr"/>
    </row>
    <row r="202" ht="15" customHeight="1">
      <c r="A202" t="inlineStr">
        <is>
          <t>A 17541-2024</t>
        </is>
      </c>
      <c r="B202" s="1" t="n">
        <v>45415</v>
      </c>
      <c r="C202" s="1" t="n">
        <v>46184</v>
      </c>
      <c r="D202" t="inlineStr">
        <is>
          <t>GOTLANDS LÄN</t>
        </is>
      </c>
      <c r="E202" t="inlineStr">
        <is>
          <t>GOTLAND</t>
        </is>
      </c>
      <c r="G202" t="n">
        <v>2.6</v>
      </c>
      <c r="H202" t="n">
        <v>0</v>
      </c>
      <c r="I202" t="n">
        <v>0</v>
      </c>
      <c r="J202" t="n">
        <v>0</v>
      </c>
      <c r="K202" t="n">
        <v>0</v>
      </c>
      <c r="L202" t="n">
        <v>0</v>
      </c>
      <c r="M202" t="n">
        <v>0</v>
      </c>
      <c r="N202" t="n">
        <v>0</v>
      </c>
      <c r="O202" t="n">
        <v>0</v>
      </c>
      <c r="P202" t="n">
        <v>0</v>
      </c>
      <c r="Q202" t="n">
        <v>0</v>
      </c>
      <c r="R202" s="2" t="inlineStr"/>
    </row>
    <row r="203" ht="15" customHeight="1">
      <c r="A203" t="inlineStr">
        <is>
          <t>A 27593-2023</t>
        </is>
      </c>
      <c r="B203" s="1" t="n">
        <v>45097</v>
      </c>
      <c r="C203" s="1" t="n">
        <v>46184</v>
      </c>
      <c r="D203" t="inlineStr">
        <is>
          <t>GOTLANDS LÄN</t>
        </is>
      </c>
      <c r="E203" t="inlineStr">
        <is>
          <t>GOTLAND</t>
        </is>
      </c>
      <c r="G203" t="n">
        <v>3.1</v>
      </c>
      <c r="H203" t="n">
        <v>0</v>
      </c>
      <c r="I203" t="n">
        <v>0</v>
      </c>
      <c r="J203" t="n">
        <v>0</v>
      </c>
      <c r="K203" t="n">
        <v>0</v>
      </c>
      <c r="L203" t="n">
        <v>0</v>
      </c>
      <c r="M203" t="n">
        <v>0</v>
      </c>
      <c r="N203" t="n">
        <v>0</v>
      </c>
      <c r="O203" t="n">
        <v>0</v>
      </c>
      <c r="P203" t="n">
        <v>0</v>
      </c>
      <c r="Q203" t="n">
        <v>0</v>
      </c>
      <c r="R203" s="2" t="inlineStr"/>
    </row>
    <row r="204" ht="15" customHeight="1">
      <c r="A204" t="inlineStr">
        <is>
          <t>A 25129-2023</t>
        </is>
      </c>
      <c r="B204" s="1" t="n">
        <v>45086.44261574074</v>
      </c>
      <c r="C204" s="1" t="n">
        <v>46184</v>
      </c>
      <c r="D204" t="inlineStr">
        <is>
          <t>GOTLANDS LÄN</t>
        </is>
      </c>
      <c r="E204" t="inlineStr">
        <is>
          <t>GOTLAND</t>
        </is>
      </c>
      <c r="G204" t="n">
        <v>1.5</v>
      </c>
      <c r="H204" t="n">
        <v>0</v>
      </c>
      <c r="I204" t="n">
        <v>0</v>
      </c>
      <c r="J204" t="n">
        <v>0</v>
      </c>
      <c r="K204" t="n">
        <v>0</v>
      </c>
      <c r="L204" t="n">
        <v>0</v>
      </c>
      <c r="M204" t="n">
        <v>0</v>
      </c>
      <c r="N204" t="n">
        <v>0</v>
      </c>
      <c r="O204" t="n">
        <v>0</v>
      </c>
      <c r="P204" t="n">
        <v>0</v>
      </c>
      <c r="Q204" t="n">
        <v>0</v>
      </c>
      <c r="R204" s="2" t="inlineStr"/>
    </row>
    <row r="205" ht="15" customHeight="1">
      <c r="A205" t="inlineStr">
        <is>
          <t>A 32378-2025</t>
        </is>
      </c>
      <c r="B205" s="1" t="n">
        <v>45837</v>
      </c>
      <c r="C205" s="1" t="n">
        <v>46184</v>
      </c>
      <c r="D205" t="inlineStr">
        <is>
          <t>GOTLANDS LÄN</t>
        </is>
      </c>
      <c r="E205" t="inlineStr">
        <is>
          <t>GOTLAND</t>
        </is>
      </c>
      <c r="G205" t="n">
        <v>4.1</v>
      </c>
      <c r="H205" t="n">
        <v>0</v>
      </c>
      <c r="I205" t="n">
        <v>0</v>
      </c>
      <c r="J205" t="n">
        <v>0</v>
      </c>
      <c r="K205" t="n">
        <v>0</v>
      </c>
      <c r="L205" t="n">
        <v>0</v>
      </c>
      <c r="M205" t="n">
        <v>0</v>
      </c>
      <c r="N205" t="n">
        <v>0</v>
      </c>
      <c r="O205" t="n">
        <v>0</v>
      </c>
      <c r="P205" t="n">
        <v>0</v>
      </c>
      <c r="Q205" t="n">
        <v>0</v>
      </c>
      <c r="R205" s="2" t="inlineStr"/>
    </row>
    <row r="206" ht="15" customHeight="1">
      <c r="A206" t="inlineStr">
        <is>
          <t>A 21389-2025</t>
        </is>
      </c>
      <c r="B206" s="1" t="n">
        <v>45782</v>
      </c>
      <c r="C206" s="1" t="n">
        <v>46184</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20356-2022</t>
        </is>
      </c>
      <c r="B207" s="1" t="n">
        <v>44699</v>
      </c>
      <c r="C207" s="1" t="n">
        <v>46184</v>
      </c>
      <c r="D207" t="inlineStr">
        <is>
          <t>GOTLANDS LÄN</t>
        </is>
      </c>
      <c r="E207" t="inlineStr">
        <is>
          <t>GOTLAND</t>
        </is>
      </c>
      <c r="F207" t="inlineStr">
        <is>
          <t>Övriga Aktiebolag</t>
        </is>
      </c>
      <c r="G207" t="n">
        <v>4.4</v>
      </c>
      <c r="H207" t="n">
        <v>0</v>
      </c>
      <c r="I207" t="n">
        <v>0</v>
      </c>
      <c r="J207" t="n">
        <v>0</v>
      </c>
      <c r="K207" t="n">
        <v>0</v>
      </c>
      <c r="L207" t="n">
        <v>0</v>
      </c>
      <c r="M207" t="n">
        <v>0</v>
      </c>
      <c r="N207" t="n">
        <v>0</v>
      </c>
      <c r="O207" t="n">
        <v>0</v>
      </c>
      <c r="P207" t="n">
        <v>0</v>
      </c>
      <c r="Q207" t="n">
        <v>0</v>
      </c>
      <c r="R207" s="2" t="inlineStr"/>
    </row>
    <row r="208" ht="15" customHeight="1">
      <c r="A208" t="inlineStr">
        <is>
          <t>A 35550-2025</t>
        </is>
      </c>
      <c r="B208" s="1" t="n">
        <v>45856.49324074074</v>
      </c>
      <c r="C208" s="1" t="n">
        <v>46184</v>
      </c>
      <c r="D208" t="inlineStr">
        <is>
          <t>GOTLANDS LÄN</t>
        </is>
      </c>
      <c r="E208" t="inlineStr">
        <is>
          <t>GOTLAND</t>
        </is>
      </c>
      <c r="G208" t="n">
        <v>3.2</v>
      </c>
      <c r="H208" t="n">
        <v>0</v>
      </c>
      <c r="I208" t="n">
        <v>0</v>
      </c>
      <c r="J208" t="n">
        <v>0</v>
      </c>
      <c r="K208" t="n">
        <v>0</v>
      </c>
      <c r="L208" t="n">
        <v>0</v>
      </c>
      <c r="M208" t="n">
        <v>0</v>
      </c>
      <c r="N208" t="n">
        <v>0</v>
      </c>
      <c r="O208" t="n">
        <v>0</v>
      </c>
      <c r="P208" t="n">
        <v>0</v>
      </c>
      <c r="Q208" t="n">
        <v>0</v>
      </c>
      <c r="R208" s="2" t="inlineStr"/>
    </row>
    <row r="209" ht="15" customHeight="1">
      <c r="A209" t="inlineStr">
        <is>
          <t>A 21651-2025</t>
        </is>
      </c>
      <c r="B209" s="1" t="n">
        <v>45783</v>
      </c>
      <c r="C209" s="1" t="n">
        <v>46184</v>
      </c>
      <c r="D209" t="inlineStr">
        <is>
          <t>GOTLANDS LÄN</t>
        </is>
      </c>
      <c r="E209" t="inlineStr">
        <is>
          <t>GOTLAND</t>
        </is>
      </c>
      <c r="G209" t="n">
        <v>4.2</v>
      </c>
      <c r="H209" t="n">
        <v>0</v>
      </c>
      <c r="I209" t="n">
        <v>0</v>
      </c>
      <c r="J209" t="n">
        <v>0</v>
      </c>
      <c r="K209" t="n">
        <v>0</v>
      </c>
      <c r="L209" t="n">
        <v>0</v>
      </c>
      <c r="M209" t="n">
        <v>0</v>
      </c>
      <c r="N209" t="n">
        <v>0</v>
      </c>
      <c r="O209" t="n">
        <v>0</v>
      </c>
      <c r="P209" t="n">
        <v>0</v>
      </c>
      <c r="Q209" t="n">
        <v>0</v>
      </c>
      <c r="R209" s="2" t="inlineStr"/>
    </row>
    <row r="210" ht="15" customHeight="1">
      <c r="A210" t="inlineStr">
        <is>
          <t>A 35142-2025</t>
        </is>
      </c>
      <c r="B210" s="1" t="n">
        <v>45852.65532407408</v>
      </c>
      <c r="C210" s="1" t="n">
        <v>46184</v>
      </c>
      <c r="D210" t="inlineStr">
        <is>
          <t>GOTLANDS LÄN</t>
        </is>
      </c>
      <c r="E210" t="inlineStr">
        <is>
          <t>GOTLAND</t>
        </is>
      </c>
      <c r="G210" t="n">
        <v>2.4</v>
      </c>
      <c r="H210" t="n">
        <v>0</v>
      </c>
      <c r="I210" t="n">
        <v>0</v>
      </c>
      <c r="J210" t="n">
        <v>0</v>
      </c>
      <c r="K210" t="n">
        <v>0</v>
      </c>
      <c r="L210" t="n">
        <v>0</v>
      </c>
      <c r="M210" t="n">
        <v>0</v>
      </c>
      <c r="N210" t="n">
        <v>0</v>
      </c>
      <c r="O210" t="n">
        <v>0</v>
      </c>
      <c r="P210" t="n">
        <v>0</v>
      </c>
      <c r="Q210" t="n">
        <v>0</v>
      </c>
      <c r="R210" s="2" t="inlineStr"/>
    </row>
    <row r="211" ht="15" customHeight="1">
      <c r="A211" t="inlineStr">
        <is>
          <t>A 47578-2025</t>
        </is>
      </c>
      <c r="B211" s="1" t="n">
        <v>45931</v>
      </c>
      <c r="C211" s="1" t="n">
        <v>46184</v>
      </c>
      <c r="D211" t="inlineStr">
        <is>
          <t>GOTLANDS LÄN</t>
        </is>
      </c>
      <c r="E211" t="inlineStr">
        <is>
          <t>GOTLAND</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33011-2025</t>
        </is>
      </c>
      <c r="B212" s="1" t="n">
        <v>45840</v>
      </c>
      <c r="C212" s="1" t="n">
        <v>46184</v>
      </c>
      <c r="D212" t="inlineStr">
        <is>
          <t>GOTLANDS LÄN</t>
        </is>
      </c>
      <c r="E212" t="inlineStr">
        <is>
          <t>GOTLAND</t>
        </is>
      </c>
      <c r="G212" t="n">
        <v>1.7</v>
      </c>
      <c r="H212" t="n">
        <v>0</v>
      </c>
      <c r="I212" t="n">
        <v>0</v>
      </c>
      <c r="J212" t="n">
        <v>0</v>
      </c>
      <c r="K212" t="n">
        <v>0</v>
      </c>
      <c r="L212" t="n">
        <v>0</v>
      </c>
      <c r="M212" t="n">
        <v>0</v>
      </c>
      <c r="N212" t="n">
        <v>0</v>
      </c>
      <c r="O212" t="n">
        <v>0</v>
      </c>
      <c r="P212" t="n">
        <v>0</v>
      </c>
      <c r="Q212" t="n">
        <v>0</v>
      </c>
      <c r="R212" s="2" t="inlineStr"/>
    </row>
    <row r="213" ht="15" customHeight="1">
      <c r="A213" t="inlineStr">
        <is>
          <t>A 35141-2025</t>
        </is>
      </c>
      <c r="B213" s="1" t="n">
        <v>45852.65206018519</v>
      </c>
      <c r="C213" s="1" t="n">
        <v>46184</v>
      </c>
      <c r="D213" t="inlineStr">
        <is>
          <t>GOTLANDS LÄN</t>
        </is>
      </c>
      <c r="E213" t="inlineStr">
        <is>
          <t>GOTLAND</t>
        </is>
      </c>
      <c r="G213" t="n">
        <v>1</v>
      </c>
      <c r="H213" t="n">
        <v>0</v>
      </c>
      <c r="I213" t="n">
        <v>0</v>
      </c>
      <c r="J213" t="n">
        <v>0</v>
      </c>
      <c r="K213" t="n">
        <v>0</v>
      </c>
      <c r="L213" t="n">
        <v>0</v>
      </c>
      <c r="M213" t="n">
        <v>0</v>
      </c>
      <c r="N213" t="n">
        <v>0</v>
      </c>
      <c r="O213" t="n">
        <v>0</v>
      </c>
      <c r="P213" t="n">
        <v>0</v>
      </c>
      <c r="Q213" t="n">
        <v>0</v>
      </c>
      <c r="R213" s="2" t="inlineStr"/>
    </row>
    <row r="214" ht="15" customHeight="1">
      <c r="A214" t="inlineStr">
        <is>
          <t>A 49690-2025</t>
        </is>
      </c>
      <c r="B214" s="1" t="n">
        <v>45939.66730324074</v>
      </c>
      <c r="C214" s="1" t="n">
        <v>46184</v>
      </c>
      <c r="D214" t="inlineStr">
        <is>
          <t>GOTLANDS LÄN</t>
        </is>
      </c>
      <c r="E214" t="inlineStr">
        <is>
          <t>GOTLAND</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54073-2022</t>
        </is>
      </c>
      <c r="B215" s="1" t="n">
        <v>44881.50380787037</v>
      </c>
      <c r="C215" s="1" t="n">
        <v>46184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21420-2024</t>
        </is>
      </c>
      <c r="B216" s="1" t="n">
        <v>45441.38293981482</v>
      </c>
      <c r="C216" s="1" t="n">
        <v>46184</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10656-2024</t>
        </is>
      </c>
      <c r="B217" s="1" t="n">
        <v>45368</v>
      </c>
      <c r="C217" s="1" t="n">
        <v>46184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57356-2023</t>
        </is>
      </c>
      <c r="B218" s="1" t="n">
        <v>45240</v>
      </c>
      <c r="C218" s="1" t="n">
        <v>46184</v>
      </c>
      <c r="D218" t="inlineStr">
        <is>
          <t>GOTLANDS LÄN</t>
        </is>
      </c>
      <c r="E218" t="inlineStr">
        <is>
          <t>GOTLAND</t>
        </is>
      </c>
      <c r="G218" t="n">
        <v>6.4</v>
      </c>
      <c r="H218" t="n">
        <v>0</v>
      </c>
      <c r="I218" t="n">
        <v>0</v>
      </c>
      <c r="J218" t="n">
        <v>0</v>
      </c>
      <c r="K218" t="n">
        <v>0</v>
      </c>
      <c r="L218" t="n">
        <v>0</v>
      </c>
      <c r="M218" t="n">
        <v>0</v>
      </c>
      <c r="N218" t="n">
        <v>0</v>
      </c>
      <c r="O218" t="n">
        <v>0</v>
      </c>
      <c r="P218" t="n">
        <v>0</v>
      </c>
      <c r="Q218" t="n">
        <v>0</v>
      </c>
      <c r="R218" s="2" t="inlineStr"/>
    </row>
    <row r="219" ht="15" customHeight="1">
      <c r="A219" t="inlineStr">
        <is>
          <t>A 28506-2023</t>
        </is>
      </c>
      <c r="B219" s="1" t="n">
        <v>45103</v>
      </c>
      <c r="C219" s="1" t="n">
        <v>46184</v>
      </c>
      <c r="D219" t="inlineStr">
        <is>
          <t>GOTLANDS LÄN</t>
        </is>
      </c>
      <c r="E219" t="inlineStr">
        <is>
          <t>GOTLAND</t>
        </is>
      </c>
      <c r="G219" t="n">
        <v>3.2</v>
      </c>
      <c r="H219" t="n">
        <v>0</v>
      </c>
      <c r="I219" t="n">
        <v>0</v>
      </c>
      <c r="J219" t="n">
        <v>0</v>
      </c>
      <c r="K219" t="n">
        <v>0</v>
      </c>
      <c r="L219" t="n">
        <v>0</v>
      </c>
      <c r="M219" t="n">
        <v>0</v>
      </c>
      <c r="N219" t="n">
        <v>0</v>
      </c>
      <c r="O219" t="n">
        <v>0</v>
      </c>
      <c r="P219" t="n">
        <v>0</v>
      </c>
      <c r="Q219" t="n">
        <v>0</v>
      </c>
      <c r="R219" s="2" t="inlineStr"/>
    </row>
    <row r="220" ht="15" customHeight="1">
      <c r="A220" t="inlineStr">
        <is>
          <t>A 3964-2024</t>
        </is>
      </c>
      <c r="B220" s="1" t="n">
        <v>45322</v>
      </c>
      <c r="C220" s="1" t="n">
        <v>46184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23188-2025</t>
        </is>
      </c>
      <c r="B221" s="1" t="n">
        <v>45791</v>
      </c>
      <c r="C221" s="1" t="n">
        <v>46184</v>
      </c>
      <c r="D221" t="inlineStr">
        <is>
          <t>GOTLANDS LÄN</t>
        </is>
      </c>
      <c r="E221" t="inlineStr">
        <is>
          <t>GOTLAND</t>
        </is>
      </c>
      <c r="G221" t="n">
        <v>6.2</v>
      </c>
      <c r="H221" t="n">
        <v>0</v>
      </c>
      <c r="I221" t="n">
        <v>0</v>
      </c>
      <c r="J221" t="n">
        <v>0</v>
      </c>
      <c r="K221" t="n">
        <v>0</v>
      </c>
      <c r="L221" t="n">
        <v>0</v>
      </c>
      <c r="M221" t="n">
        <v>0</v>
      </c>
      <c r="N221" t="n">
        <v>0</v>
      </c>
      <c r="O221" t="n">
        <v>0</v>
      </c>
      <c r="P221" t="n">
        <v>0</v>
      </c>
      <c r="Q221" t="n">
        <v>0</v>
      </c>
      <c r="R221" s="2" t="inlineStr"/>
    </row>
    <row r="222" ht="15" customHeight="1">
      <c r="A222" t="inlineStr">
        <is>
          <t>A 39816-2025</t>
        </is>
      </c>
      <c r="B222" s="1" t="n">
        <v>45891</v>
      </c>
      <c r="C222" s="1" t="n">
        <v>46184</v>
      </c>
      <c r="D222" t="inlineStr">
        <is>
          <t>GOTLANDS LÄN</t>
        </is>
      </c>
      <c r="E222" t="inlineStr">
        <is>
          <t>GOTLAND</t>
        </is>
      </c>
      <c r="G222" t="n">
        <v>0.9</v>
      </c>
      <c r="H222" t="n">
        <v>0</v>
      </c>
      <c r="I222" t="n">
        <v>0</v>
      </c>
      <c r="J222" t="n">
        <v>0</v>
      </c>
      <c r="K222" t="n">
        <v>0</v>
      </c>
      <c r="L222" t="n">
        <v>0</v>
      </c>
      <c r="M222" t="n">
        <v>0</v>
      </c>
      <c r="N222" t="n">
        <v>0</v>
      </c>
      <c r="O222" t="n">
        <v>0</v>
      </c>
      <c r="P222" t="n">
        <v>0</v>
      </c>
      <c r="Q222" t="n">
        <v>0</v>
      </c>
      <c r="R222" s="2" t="inlineStr"/>
    </row>
    <row r="223" ht="15" customHeight="1">
      <c r="A223" t="inlineStr">
        <is>
          <t>A 40372-2025</t>
        </is>
      </c>
      <c r="B223" s="1" t="n">
        <v>45895.5162037037</v>
      </c>
      <c r="C223" s="1" t="n">
        <v>46184</v>
      </c>
      <c r="D223" t="inlineStr">
        <is>
          <t>GOTLANDS LÄN</t>
        </is>
      </c>
      <c r="E223" t="inlineStr">
        <is>
          <t>GOTLAND</t>
        </is>
      </c>
      <c r="G223" t="n">
        <v>3.3</v>
      </c>
      <c r="H223" t="n">
        <v>0</v>
      </c>
      <c r="I223" t="n">
        <v>0</v>
      </c>
      <c r="J223" t="n">
        <v>0</v>
      </c>
      <c r="K223" t="n">
        <v>0</v>
      </c>
      <c r="L223" t="n">
        <v>0</v>
      </c>
      <c r="M223" t="n">
        <v>0</v>
      </c>
      <c r="N223" t="n">
        <v>0</v>
      </c>
      <c r="O223" t="n">
        <v>0</v>
      </c>
      <c r="P223" t="n">
        <v>0</v>
      </c>
      <c r="Q223" t="n">
        <v>0</v>
      </c>
      <c r="R223" s="2" t="inlineStr"/>
    </row>
    <row r="224" ht="15" customHeight="1">
      <c r="A224" t="inlineStr">
        <is>
          <t>A 40373-2025</t>
        </is>
      </c>
      <c r="B224" s="1" t="n">
        <v>45895.51821759259</v>
      </c>
      <c r="C224" s="1" t="n">
        <v>46184</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7026-2023</t>
        </is>
      </c>
      <c r="B225" s="1" t="n">
        <v>44968.30340277778</v>
      </c>
      <c r="C225" s="1" t="n">
        <v>46184</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23856-2025</t>
        </is>
      </c>
      <c r="B227" s="1" t="n">
        <v>45793</v>
      </c>
      <c r="C227" s="1" t="n">
        <v>46184</v>
      </c>
      <c r="D227" t="inlineStr">
        <is>
          <t>GOTLANDS LÄN</t>
        </is>
      </c>
      <c r="E227" t="inlineStr">
        <is>
          <t>GOTLAND</t>
        </is>
      </c>
      <c r="G227" t="n">
        <v>4.4</v>
      </c>
      <c r="H227" t="n">
        <v>0</v>
      </c>
      <c r="I227" t="n">
        <v>0</v>
      </c>
      <c r="J227" t="n">
        <v>0</v>
      </c>
      <c r="K227" t="n">
        <v>0</v>
      </c>
      <c r="L227" t="n">
        <v>0</v>
      </c>
      <c r="M227" t="n">
        <v>0</v>
      </c>
      <c r="N227" t="n">
        <v>0</v>
      </c>
      <c r="O227" t="n">
        <v>0</v>
      </c>
      <c r="P227" t="n">
        <v>0</v>
      </c>
      <c r="Q227" t="n">
        <v>0</v>
      </c>
      <c r="R227" s="2" t="inlineStr"/>
    </row>
    <row r="228" ht="15" customHeight="1">
      <c r="A228" t="inlineStr">
        <is>
          <t>A 52892-2021</t>
        </is>
      </c>
      <c r="B228" s="1" t="n">
        <v>44467.49048611111</v>
      </c>
      <c r="C228" s="1" t="n">
        <v>46184</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49730-2025</t>
        </is>
      </c>
      <c r="B229" s="1" t="n">
        <v>45939.87613425926</v>
      </c>
      <c r="C229" s="1" t="n">
        <v>46184</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1351-2025</t>
        </is>
      </c>
      <c r="B230" s="1" t="n">
        <v>45667.62246527777</v>
      </c>
      <c r="C230" s="1" t="n">
        <v>46184</v>
      </c>
      <c r="D230" t="inlineStr">
        <is>
          <t>GOTLANDS LÄN</t>
        </is>
      </c>
      <c r="E230" t="inlineStr">
        <is>
          <t>GOTLAND</t>
        </is>
      </c>
      <c r="G230" t="n">
        <v>1.3</v>
      </c>
      <c r="H230" t="n">
        <v>0</v>
      </c>
      <c r="I230" t="n">
        <v>0</v>
      </c>
      <c r="J230" t="n">
        <v>0</v>
      </c>
      <c r="K230" t="n">
        <v>0</v>
      </c>
      <c r="L230" t="n">
        <v>0</v>
      </c>
      <c r="M230" t="n">
        <v>0</v>
      </c>
      <c r="N230" t="n">
        <v>0</v>
      </c>
      <c r="O230" t="n">
        <v>0</v>
      </c>
      <c r="P230" t="n">
        <v>0</v>
      </c>
      <c r="Q230" t="n">
        <v>0</v>
      </c>
      <c r="R230" s="2" t="inlineStr"/>
    </row>
    <row r="231" ht="15" customHeight="1">
      <c r="A231" t="inlineStr">
        <is>
          <t>A 23698-2025</t>
        </is>
      </c>
      <c r="B231" s="1" t="n">
        <v>45793</v>
      </c>
      <c r="C231" s="1" t="n">
        <v>46184</v>
      </c>
      <c r="D231" t="inlineStr">
        <is>
          <t>GOTLANDS LÄN</t>
        </is>
      </c>
      <c r="E231" t="inlineStr">
        <is>
          <t>GOTLAND</t>
        </is>
      </c>
      <c r="G231" t="n">
        <v>0.8</v>
      </c>
      <c r="H231" t="n">
        <v>0</v>
      </c>
      <c r="I231" t="n">
        <v>0</v>
      </c>
      <c r="J231" t="n">
        <v>0</v>
      </c>
      <c r="K231" t="n">
        <v>0</v>
      </c>
      <c r="L231" t="n">
        <v>0</v>
      </c>
      <c r="M231" t="n">
        <v>0</v>
      </c>
      <c r="N231" t="n">
        <v>0</v>
      </c>
      <c r="O231" t="n">
        <v>0</v>
      </c>
      <c r="P231" t="n">
        <v>0</v>
      </c>
      <c r="Q231" t="n">
        <v>0</v>
      </c>
      <c r="R231" s="2" t="inlineStr"/>
    </row>
    <row r="232" ht="15" customHeight="1">
      <c r="A232" t="inlineStr">
        <is>
          <t>A 15073-2025</t>
        </is>
      </c>
      <c r="B232" s="1" t="n">
        <v>45743</v>
      </c>
      <c r="C232" s="1" t="n">
        <v>46184</v>
      </c>
      <c r="D232" t="inlineStr">
        <is>
          <t>GOTLANDS LÄN</t>
        </is>
      </c>
      <c r="E232" t="inlineStr">
        <is>
          <t>GOTLAND</t>
        </is>
      </c>
      <c r="G232" t="n">
        <v>12.1</v>
      </c>
      <c r="H232" t="n">
        <v>0</v>
      </c>
      <c r="I232" t="n">
        <v>0</v>
      </c>
      <c r="J232" t="n">
        <v>0</v>
      </c>
      <c r="K232" t="n">
        <v>0</v>
      </c>
      <c r="L232" t="n">
        <v>0</v>
      </c>
      <c r="M232" t="n">
        <v>0</v>
      </c>
      <c r="N232" t="n">
        <v>0</v>
      </c>
      <c r="O232" t="n">
        <v>0</v>
      </c>
      <c r="P232" t="n">
        <v>0</v>
      </c>
      <c r="Q232" t="n">
        <v>0</v>
      </c>
      <c r="R232" s="2" t="inlineStr"/>
    </row>
    <row r="233" ht="15" customHeight="1">
      <c r="A233" t="inlineStr">
        <is>
          <t>A 49874-2024</t>
        </is>
      </c>
      <c r="B233" s="1" t="n">
        <v>45597.49274305555</v>
      </c>
      <c r="C233" s="1" t="n">
        <v>46184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39278-2025</t>
        </is>
      </c>
      <c r="B234" s="1" t="n">
        <v>45889</v>
      </c>
      <c r="C234" s="1" t="n">
        <v>46184</v>
      </c>
      <c r="D234" t="inlineStr">
        <is>
          <t>GOTLANDS LÄN</t>
        </is>
      </c>
      <c r="E234" t="inlineStr">
        <is>
          <t>GOTLAND</t>
        </is>
      </c>
      <c r="G234" t="n">
        <v>3.7</v>
      </c>
      <c r="H234" t="n">
        <v>0</v>
      </c>
      <c r="I234" t="n">
        <v>0</v>
      </c>
      <c r="J234" t="n">
        <v>0</v>
      </c>
      <c r="K234" t="n">
        <v>0</v>
      </c>
      <c r="L234" t="n">
        <v>0</v>
      </c>
      <c r="M234" t="n">
        <v>0</v>
      </c>
      <c r="N234" t="n">
        <v>0</v>
      </c>
      <c r="O234" t="n">
        <v>0</v>
      </c>
      <c r="P234" t="n">
        <v>0</v>
      </c>
      <c r="Q234" t="n">
        <v>0</v>
      </c>
      <c r="R234" s="2" t="inlineStr"/>
    </row>
    <row r="235" ht="15" customHeight="1">
      <c r="A235" t="inlineStr">
        <is>
          <t>A 6749-2025</t>
        </is>
      </c>
      <c r="B235" s="1" t="n">
        <v>45700</v>
      </c>
      <c r="C235" s="1" t="n">
        <v>46184</v>
      </c>
      <c r="D235" t="inlineStr">
        <is>
          <t>GOTLANDS LÄN</t>
        </is>
      </c>
      <c r="E235" t="inlineStr">
        <is>
          <t>GOTLAND</t>
        </is>
      </c>
      <c r="G235" t="n">
        <v>4.5</v>
      </c>
      <c r="H235" t="n">
        <v>0</v>
      </c>
      <c r="I235" t="n">
        <v>0</v>
      </c>
      <c r="J235" t="n">
        <v>0</v>
      </c>
      <c r="K235" t="n">
        <v>0</v>
      </c>
      <c r="L235" t="n">
        <v>0</v>
      </c>
      <c r="M235" t="n">
        <v>0</v>
      </c>
      <c r="N235" t="n">
        <v>0</v>
      </c>
      <c r="O235" t="n">
        <v>0</v>
      </c>
      <c r="P235" t="n">
        <v>0</v>
      </c>
      <c r="Q235" t="n">
        <v>0</v>
      </c>
      <c r="R235" s="2" t="inlineStr"/>
    </row>
    <row r="236" ht="15" customHeight="1">
      <c r="A236" t="inlineStr">
        <is>
          <t>A 5462-2025</t>
        </is>
      </c>
      <c r="B236" s="1" t="n">
        <v>45693.29331018519</v>
      </c>
      <c r="C236" s="1" t="n">
        <v>46184</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46184</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46184</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46184</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5217-2023</t>
        </is>
      </c>
      <c r="B240" s="1" t="n">
        <v>44959.39582175926</v>
      </c>
      <c r="C240" s="1" t="n">
        <v>46184</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46184</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46184</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10158-2025</t>
        </is>
      </c>
      <c r="B243" s="1" t="n">
        <v>45719</v>
      </c>
      <c r="C243" s="1" t="n">
        <v>46184</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46184</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31264-2021</t>
        </is>
      </c>
      <c r="B245" s="1" t="n">
        <v>44368</v>
      </c>
      <c r="C245" s="1" t="n">
        <v>46184</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43951-2025</t>
        </is>
      </c>
      <c r="B246" s="1" t="n">
        <v>45915.38119212963</v>
      </c>
      <c r="C246" s="1" t="n">
        <v>46184</v>
      </c>
      <c r="D246" t="inlineStr">
        <is>
          <t>GOTLANDS LÄN</t>
        </is>
      </c>
      <c r="E246" t="inlineStr">
        <is>
          <t>GOTLAND</t>
        </is>
      </c>
      <c r="G246" t="n">
        <v>4.4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46184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43223-2023</t>
        </is>
      </c>
      <c r="B248" s="1" t="n">
        <v>45183.45642361111</v>
      </c>
      <c r="C248" s="1" t="n">
        <v>46184</v>
      </c>
      <c r="D248" t="inlineStr">
        <is>
          <t>GOTLANDS LÄN</t>
        </is>
      </c>
      <c r="E248" t="inlineStr">
        <is>
          <t>GOTLAND</t>
        </is>
      </c>
      <c r="G248" t="n">
        <v>1.8</v>
      </c>
      <c r="H248" t="n">
        <v>0</v>
      </c>
      <c r="I248" t="n">
        <v>0</v>
      </c>
      <c r="J248" t="n">
        <v>0</v>
      </c>
      <c r="K248" t="n">
        <v>0</v>
      </c>
      <c r="L248" t="n">
        <v>0</v>
      </c>
      <c r="M248" t="n">
        <v>0</v>
      </c>
      <c r="N248" t="n">
        <v>0</v>
      </c>
      <c r="O248" t="n">
        <v>0</v>
      </c>
      <c r="P248" t="n">
        <v>0</v>
      </c>
      <c r="Q248" t="n">
        <v>0</v>
      </c>
      <c r="R248" s="2" t="inlineStr"/>
    </row>
    <row r="249" ht="15" customHeight="1">
      <c r="A249" t="inlineStr">
        <is>
          <t>A 61962-2024</t>
        </is>
      </c>
      <c r="B249" s="1" t="n">
        <v>45653.54340277778</v>
      </c>
      <c r="C249" s="1" t="n">
        <v>46184</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27355-2025</t>
        </is>
      </c>
      <c r="B250" s="1" t="n">
        <v>45812</v>
      </c>
      <c r="C250" s="1" t="n">
        <v>46184</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46184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46184</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46184</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8444-2025</t>
        </is>
      </c>
      <c r="B254" s="1" t="n">
        <v>45709</v>
      </c>
      <c r="C254" s="1" t="n">
        <v>46184</v>
      </c>
      <c r="D254" t="inlineStr">
        <is>
          <t>GOTLANDS LÄN</t>
        </is>
      </c>
      <c r="E254" t="inlineStr">
        <is>
          <t>GOTLAND</t>
        </is>
      </c>
      <c r="G254" t="n">
        <v>5.2</v>
      </c>
      <c r="H254" t="n">
        <v>0</v>
      </c>
      <c r="I254" t="n">
        <v>0</v>
      </c>
      <c r="J254" t="n">
        <v>0</v>
      </c>
      <c r="K254" t="n">
        <v>0</v>
      </c>
      <c r="L254" t="n">
        <v>0</v>
      </c>
      <c r="M254" t="n">
        <v>0</v>
      </c>
      <c r="N254" t="n">
        <v>0</v>
      </c>
      <c r="O254" t="n">
        <v>0</v>
      </c>
      <c r="P254" t="n">
        <v>0</v>
      </c>
      <c r="Q254" t="n">
        <v>0</v>
      </c>
      <c r="R254" s="2" t="inlineStr"/>
    </row>
    <row r="255" ht="15" customHeight="1">
      <c r="A255" t="inlineStr">
        <is>
          <t>A 19905-2025</t>
        </is>
      </c>
      <c r="B255" s="1" t="n">
        <v>45771</v>
      </c>
      <c r="C255" s="1" t="n">
        <v>46184</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6696-2023</t>
        </is>
      </c>
      <c r="B256" s="1" t="n">
        <v>44966.66425925926</v>
      </c>
      <c r="C256" s="1" t="n">
        <v>46184</v>
      </c>
      <c r="D256" t="inlineStr">
        <is>
          <t>GOTLANDS LÄN</t>
        </is>
      </c>
      <c r="E256" t="inlineStr">
        <is>
          <t>GOTLAND</t>
        </is>
      </c>
      <c r="G256" t="n">
        <v>1.5</v>
      </c>
      <c r="H256" t="n">
        <v>0</v>
      </c>
      <c r="I256" t="n">
        <v>0</v>
      </c>
      <c r="J256" t="n">
        <v>0</v>
      </c>
      <c r="K256" t="n">
        <v>0</v>
      </c>
      <c r="L256" t="n">
        <v>0</v>
      </c>
      <c r="M256" t="n">
        <v>0</v>
      </c>
      <c r="N256" t="n">
        <v>0</v>
      </c>
      <c r="O256" t="n">
        <v>0</v>
      </c>
      <c r="P256" t="n">
        <v>0</v>
      </c>
      <c r="Q256" t="n">
        <v>0</v>
      </c>
      <c r="R256" s="2" t="inlineStr"/>
    </row>
    <row r="257" ht="15" customHeight="1">
      <c r="A257" t="inlineStr">
        <is>
          <t>A 28485-2023</t>
        </is>
      </c>
      <c r="B257" s="1" t="n">
        <v>45103.43731481482</v>
      </c>
      <c r="C257" s="1" t="n">
        <v>46184</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4990-2025</t>
        </is>
      </c>
      <c r="B258" s="1" t="n">
        <v>45691</v>
      </c>
      <c r="C258" s="1" t="n">
        <v>46184</v>
      </c>
      <c r="D258" t="inlineStr">
        <is>
          <t>GOTLANDS LÄN</t>
        </is>
      </c>
      <c r="E258" t="inlineStr">
        <is>
          <t>GOTLAND</t>
        </is>
      </c>
      <c r="G258" t="n">
        <v>7.7</v>
      </c>
      <c r="H258" t="n">
        <v>0</v>
      </c>
      <c r="I258" t="n">
        <v>0</v>
      </c>
      <c r="J258" t="n">
        <v>0</v>
      </c>
      <c r="K258" t="n">
        <v>0</v>
      </c>
      <c r="L258" t="n">
        <v>0</v>
      </c>
      <c r="M258" t="n">
        <v>0</v>
      </c>
      <c r="N258" t="n">
        <v>0</v>
      </c>
      <c r="O258" t="n">
        <v>0</v>
      </c>
      <c r="P258" t="n">
        <v>0</v>
      </c>
      <c r="Q258" t="n">
        <v>0</v>
      </c>
      <c r="R258" s="2" t="inlineStr"/>
    </row>
    <row r="259" ht="15" customHeight="1">
      <c r="A259" t="inlineStr">
        <is>
          <t>A 26391-2025</t>
        </is>
      </c>
      <c r="B259" s="1" t="n">
        <v>45806</v>
      </c>
      <c r="C259" s="1" t="n">
        <v>46184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29196-2025</t>
        </is>
      </c>
      <c r="B260" s="1" t="n">
        <v>45822</v>
      </c>
      <c r="C260" s="1" t="n">
        <v>46184</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46836-2025</t>
        </is>
      </c>
      <c r="B261" s="1" t="n">
        <v>45928.31511574074</v>
      </c>
      <c r="C261" s="1" t="n">
        <v>46184</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47637-2025</t>
        </is>
      </c>
      <c r="B262" s="1" t="n">
        <v>45931.49753472222</v>
      </c>
      <c r="C262" s="1" t="n">
        <v>46184</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30061-2025</t>
        </is>
      </c>
      <c r="B263" s="1" t="n">
        <v>45826.61488425926</v>
      </c>
      <c r="C263" s="1" t="n">
        <v>46184</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58160-2024</t>
        </is>
      </c>
      <c r="B264" s="1" t="n">
        <v>45632.44927083333</v>
      </c>
      <c r="C264" s="1" t="n">
        <v>46184</v>
      </c>
      <c r="D264" t="inlineStr">
        <is>
          <t>GOTLANDS LÄN</t>
        </is>
      </c>
      <c r="E264" t="inlineStr">
        <is>
          <t>GOTLAND</t>
        </is>
      </c>
      <c r="G264" t="n">
        <v>5.6</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46184</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46184</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46184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46184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16109-2025</t>
        </is>
      </c>
      <c r="B269" s="1" t="n">
        <v>45750</v>
      </c>
      <c r="C269" s="1" t="n">
        <v>46184</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46184</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46184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46184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46184</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35096-2025</t>
        </is>
      </c>
      <c r="B274" s="1" t="n">
        <v>45852.54356481481</v>
      </c>
      <c r="C274" s="1" t="n">
        <v>46184</v>
      </c>
      <c r="D274" t="inlineStr">
        <is>
          <t>GOTLANDS LÄN</t>
        </is>
      </c>
      <c r="E274" t="inlineStr">
        <is>
          <t>GOTLAND</t>
        </is>
      </c>
      <c r="F274" t="inlineStr">
        <is>
          <t>Kyrkan</t>
        </is>
      </c>
      <c r="G274" t="n">
        <v>1</v>
      </c>
      <c r="H274" t="n">
        <v>0</v>
      </c>
      <c r="I274" t="n">
        <v>0</v>
      </c>
      <c r="J274" t="n">
        <v>0</v>
      </c>
      <c r="K274" t="n">
        <v>0</v>
      </c>
      <c r="L274" t="n">
        <v>0</v>
      </c>
      <c r="M274" t="n">
        <v>0</v>
      </c>
      <c r="N274" t="n">
        <v>0</v>
      </c>
      <c r="O274" t="n">
        <v>0</v>
      </c>
      <c r="P274" t="n">
        <v>0</v>
      </c>
      <c r="Q274" t="n">
        <v>0</v>
      </c>
      <c r="R274" s="2" t="inlineStr"/>
    </row>
    <row r="275" ht="15" customHeight="1">
      <c r="A275" t="inlineStr">
        <is>
          <t>A 35123-2025</t>
        </is>
      </c>
      <c r="B275" s="1" t="n">
        <v>45852.614375</v>
      </c>
      <c r="C275" s="1" t="n">
        <v>46184</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39764-2022</t>
        </is>
      </c>
      <c r="B276" s="1" t="n">
        <v>44819</v>
      </c>
      <c r="C276" s="1" t="n">
        <v>46184</v>
      </c>
      <c r="D276" t="inlineStr">
        <is>
          <t>GOTLANDS LÄN</t>
        </is>
      </c>
      <c r="E276" t="inlineStr">
        <is>
          <t>GOTLAND</t>
        </is>
      </c>
      <c r="F276" t="inlineStr">
        <is>
          <t>Kyrkan</t>
        </is>
      </c>
      <c r="G276" t="n">
        <v>3.7</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46184</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35290-2025</t>
        </is>
      </c>
      <c r="B278" s="1" t="n">
        <v>45854.38502314815</v>
      </c>
      <c r="C278" s="1" t="n">
        <v>46184</v>
      </c>
      <c r="D278" t="inlineStr">
        <is>
          <t>GOTLANDS LÄN</t>
        </is>
      </c>
      <c r="E278" t="inlineStr">
        <is>
          <t>GOTLAND</t>
        </is>
      </c>
      <c r="G278" t="n">
        <v>5.4</v>
      </c>
      <c r="H278" t="n">
        <v>0</v>
      </c>
      <c r="I278" t="n">
        <v>0</v>
      </c>
      <c r="J278" t="n">
        <v>0</v>
      </c>
      <c r="K278" t="n">
        <v>0</v>
      </c>
      <c r="L278" t="n">
        <v>0</v>
      </c>
      <c r="M278" t="n">
        <v>0</v>
      </c>
      <c r="N278" t="n">
        <v>0</v>
      </c>
      <c r="O278" t="n">
        <v>0</v>
      </c>
      <c r="P278" t="n">
        <v>0</v>
      </c>
      <c r="Q278" t="n">
        <v>0</v>
      </c>
      <c r="R278" s="2" t="inlineStr"/>
    </row>
    <row r="279" ht="15" customHeight="1">
      <c r="A279" t="inlineStr">
        <is>
          <t>A 8260-2023</t>
        </is>
      </c>
      <c r="B279" s="1" t="n">
        <v>44974.61608796296</v>
      </c>
      <c r="C279" s="1" t="n">
        <v>46184</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30104-2025</t>
        </is>
      </c>
      <c r="B280" s="1" t="n">
        <v>45826.68806712963</v>
      </c>
      <c r="C280" s="1" t="n">
        <v>46184</v>
      </c>
      <c r="D280" t="inlineStr">
        <is>
          <t>GOTLANDS LÄN</t>
        </is>
      </c>
      <c r="E280" t="inlineStr">
        <is>
          <t>GOTLAND</t>
        </is>
      </c>
      <c r="G280" t="n">
        <v>15.4</v>
      </c>
      <c r="H280" t="n">
        <v>0</v>
      </c>
      <c r="I280" t="n">
        <v>0</v>
      </c>
      <c r="J280" t="n">
        <v>0</v>
      </c>
      <c r="K280" t="n">
        <v>0</v>
      </c>
      <c r="L280" t="n">
        <v>0</v>
      </c>
      <c r="M280" t="n">
        <v>0</v>
      </c>
      <c r="N280" t="n">
        <v>0</v>
      </c>
      <c r="O280" t="n">
        <v>0</v>
      </c>
      <c r="P280" t="n">
        <v>0</v>
      </c>
      <c r="Q280" t="n">
        <v>0</v>
      </c>
      <c r="R280" s="2" t="inlineStr"/>
    </row>
    <row r="281" ht="15" customHeight="1">
      <c r="A281" t="inlineStr">
        <is>
          <t>A 32669-2024</t>
        </is>
      </c>
      <c r="B281" s="1" t="n">
        <v>45514</v>
      </c>
      <c r="C281" s="1" t="n">
        <v>46184</v>
      </c>
      <c r="D281" t="inlineStr">
        <is>
          <t>GOTLANDS LÄN</t>
        </is>
      </c>
      <c r="E281" t="inlineStr">
        <is>
          <t>GOTLAND</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22287-2022</t>
        </is>
      </c>
      <c r="B282" s="1" t="n">
        <v>44712</v>
      </c>
      <c r="C282" s="1" t="n">
        <v>46184</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57534-2022</t>
        </is>
      </c>
      <c r="B283" s="1" t="n">
        <v>44896</v>
      </c>
      <c r="C283" s="1" t="n">
        <v>46184</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30488-2025</t>
        </is>
      </c>
      <c r="B284" s="1" t="n">
        <v>45830</v>
      </c>
      <c r="C284" s="1" t="n">
        <v>46184</v>
      </c>
      <c r="D284" t="inlineStr">
        <is>
          <t>GOTLANDS LÄN</t>
        </is>
      </c>
      <c r="E284" t="inlineStr">
        <is>
          <t>GOTLAND</t>
        </is>
      </c>
      <c r="F284" t="inlineStr">
        <is>
          <t>Kyrkan</t>
        </is>
      </c>
      <c r="G284" t="n">
        <v>3.9</v>
      </c>
      <c r="H284" t="n">
        <v>0</v>
      </c>
      <c r="I284" t="n">
        <v>0</v>
      </c>
      <c r="J284" t="n">
        <v>0</v>
      </c>
      <c r="K284" t="n">
        <v>0</v>
      </c>
      <c r="L284" t="n">
        <v>0</v>
      </c>
      <c r="M284" t="n">
        <v>0</v>
      </c>
      <c r="N284" t="n">
        <v>0</v>
      </c>
      <c r="O284" t="n">
        <v>0</v>
      </c>
      <c r="P284" t="n">
        <v>0</v>
      </c>
      <c r="Q284" t="n">
        <v>0</v>
      </c>
      <c r="R284" s="2" t="inlineStr"/>
    </row>
    <row r="285" ht="15" customHeight="1">
      <c r="A285" t="inlineStr">
        <is>
          <t>A 15216-2025</t>
        </is>
      </c>
      <c r="B285" s="1" t="n">
        <v>45744</v>
      </c>
      <c r="C285" s="1" t="n">
        <v>46184</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15001-2025</t>
        </is>
      </c>
      <c r="B286" s="1" t="n">
        <v>45743</v>
      </c>
      <c r="C286" s="1" t="n">
        <v>46184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43790-2024</t>
        </is>
      </c>
      <c r="B287" s="1" t="n">
        <v>45571</v>
      </c>
      <c r="C287" s="1" t="n">
        <v>46184</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17847-2025</t>
        </is>
      </c>
      <c r="B288" s="1" t="n">
        <v>45758</v>
      </c>
      <c r="C288" s="1" t="n">
        <v>46184</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46184</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35129-2025</t>
        </is>
      </c>
      <c r="B290" s="1" t="n">
        <v>45852.63224537037</v>
      </c>
      <c r="C290" s="1" t="n">
        <v>46184</v>
      </c>
      <c r="D290" t="inlineStr">
        <is>
          <t>GOTLANDS LÄN</t>
        </is>
      </c>
      <c r="E290" t="inlineStr">
        <is>
          <t>GOTLAND</t>
        </is>
      </c>
      <c r="G290" t="n">
        <v>3.2</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46184</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56688-2025</t>
        </is>
      </c>
      <c r="B292" s="1" t="n">
        <v>45975.84331018518</v>
      </c>
      <c r="C292" s="1" t="n">
        <v>46184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56799-2025</t>
        </is>
      </c>
      <c r="B293" s="1" t="n">
        <v>45978.43392361111</v>
      </c>
      <c r="C293" s="1" t="n">
        <v>46184</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30489-2025</t>
        </is>
      </c>
      <c r="B294" s="1" t="n">
        <v>45830</v>
      </c>
      <c r="C294" s="1" t="n">
        <v>46184</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21142-2025</t>
        </is>
      </c>
      <c r="B295" s="1" t="n">
        <v>45779</v>
      </c>
      <c r="C295" s="1" t="n">
        <v>46184</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6108-2025</t>
        </is>
      </c>
      <c r="B296" s="1" t="n">
        <v>45698.29880787037</v>
      </c>
      <c r="C296" s="1" t="n">
        <v>46184</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20855-2023</t>
        </is>
      </c>
      <c r="B297" s="1" t="n">
        <v>45058.82172453704</v>
      </c>
      <c r="C297" s="1" t="n">
        <v>46184</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17343-2025</t>
        </is>
      </c>
      <c r="B298" s="1" t="n">
        <v>45756.6687037037</v>
      </c>
      <c r="C298" s="1" t="n">
        <v>46184</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18938-2025</t>
        </is>
      </c>
      <c r="B299" s="1" t="n">
        <v>45764.49172453704</v>
      </c>
      <c r="C299" s="1" t="n">
        <v>46184</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20307-2025</t>
        </is>
      </c>
      <c r="B300" s="1" t="n">
        <v>45774.95546296296</v>
      </c>
      <c r="C300" s="1" t="n">
        <v>46184</v>
      </c>
      <c r="D300" t="inlineStr">
        <is>
          <t>GOTLANDS LÄN</t>
        </is>
      </c>
      <c r="E300" t="inlineStr">
        <is>
          <t>GOTLAND</t>
        </is>
      </c>
      <c r="G300" t="n">
        <v>6.8</v>
      </c>
      <c r="H300" t="n">
        <v>0</v>
      </c>
      <c r="I300" t="n">
        <v>0</v>
      </c>
      <c r="J300" t="n">
        <v>0</v>
      </c>
      <c r="K300" t="n">
        <v>0</v>
      </c>
      <c r="L300" t="n">
        <v>0</v>
      </c>
      <c r="M300" t="n">
        <v>0</v>
      </c>
      <c r="N300" t="n">
        <v>0</v>
      </c>
      <c r="O300" t="n">
        <v>0</v>
      </c>
      <c r="P300" t="n">
        <v>0</v>
      </c>
      <c r="Q300" t="n">
        <v>0</v>
      </c>
      <c r="R300" s="2" t="inlineStr"/>
    </row>
    <row r="301" ht="15" customHeight="1">
      <c r="A301" t="inlineStr">
        <is>
          <t>A 60709-2023</t>
        </is>
      </c>
      <c r="B301" s="1" t="n">
        <v>45260</v>
      </c>
      <c r="C301" s="1" t="n">
        <v>46184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1000-2024</t>
        </is>
      </c>
      <c r="B302" s="1" t="n">
        <v>45301.63371527778</v>
      </c>
      <c r="C302" s="1" t="n">
        <v>46184</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1010-2024</t>
        </is>
      </c>
      <c r="B303" s="1" t="n">
        <v>45301</v>
      </c>
      <c r="C303" s="1" t="n">
        <v>46184</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65249-2023</t>
        </is>
      </c>
      <c r="B304" s="1" t="n">
        <v>45290</v>
      </c>
      <c r="C304" s="1" t="n">
        <v>46184</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30956-2024</t>
        </is>
      </c>
      <c r="B305" s="1" t="n">
        <v>45499.42527777778</v>
      </c>
      <c r="C305" s="1" t="n">
        <v>46184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12596-2023</t>
        </is>
      </c>
      <c r="B306" s="1" t="n">
        <v>45000.43310185185</v>
      </c>
      <c r="C306" s="1" t="n">
        <v>46184</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8045-2022</t>
        </is>
      </c>
      <c r="B307" s="1" t="n">
        <v>44609</v>
      </c>
      <c r="C307" s="1" t="n">
        <v>46184</v>
      </c>
      <c r="D307" t="inlineStr">
        <is>
          <t>GOTLANDS LÄN</t>
        </is>
      </c>
      <c r="E307" t="inlineStr">
        <is>
          <t>GOTLAND</t>
        </is>
      </c>
      <c r="G307" t="n">
        <v>7</v>
      </c>
      <c r="H307" t="n">
        <v>0</v>
      </c>
      <c r="I307" t="n">
        <v>0</v>
      </c>
      <c r="J307" t="n">
        <v>0</v>
      </c>
      <c r="K307" t="n">
        <v>0</v>
      </c>
      <c r="L307" t="n">
        <v>0</v>
      </c>
      <c r="M307" t="n">
        <v>0</v>
      </c>
      <c r="N307" t="n">
        <v>0</v>
      </c>
      <c r="O307" t="n">
        <v>0</v>
      </c>
      <c r="P307" t="n">
        <v>0</v>
      </c>
      <c r="Q307" t="n">
        <v>0</v>
      </c>
      <c r="R307" s="2" t="inlineStr"/>
    </row>
    <row r="308" ht="15" customHeight="1">
      <c r="A308" t="inlineStr">
        <is>
          <t>A 12599-2025</t>
        </is>
      </c>
      <c r="B308" s="1" t="n">
        <v>45733.29546296296</v>
      </c>
      <c r="C308" s="1" t="n">
        <v>46184</v>
      </c>
      <c r="D308" t="inlineStr">
        <is>
          <t>GOTLANDS LÄN</t>
        </is>
      </c>
      <c r="E308" t="inlineStr">
        <is>
          <t>GOTLAND</t>
        </is>
      </c>
      <c r="G308" t="n">
        <v>4.7</v>
      </c>
      <c r="H308" t="n">
        <v>0</v>
      </c>
      <c r="I308" t="n">
        <v>0</v>
      </c>
      <c r="J308" t="n">
        <v>0</v>
      </c>
      <c r="K308" t="n">
        <v>0</v>
      </c>
      <c r="L308" t="n">
        <v>0</v>
      </c>
      <c r="M308" t="n">
        <v>0</v>
      </c>
      <c r="N308" t="n">
        <v>0</v>
      </c>
      <c r="O308" t="n">
        <v>0</v>
      </c>
      <c r="P308" t="n">
        <v>0</v>
      </c>
      <c r="Q308" t="n">
        <v>0</v>
      </c>
      <c r="R308" s="2" t="inlineStr"/>
    </row>
    <row r="309" ht="15" customHeight="1">
      <c r="A309" t="inlineStr">
        <is>
          <t>A 999-2024</t>
        </is>
      </c>
      <c r="B309" s="1" t="n">
        <v>45301</v>
      </c>
      <c r="C309" s="1" t="n">
        <v>46184</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65901-2021</t>
        </is>
      </c>
      <c r="B310" s="1" t="n">
        <v>44516</v>
      </c>
      <c r="C310" s="1" t="n">
        <v>46184</v>
      </c>
      <c r="D310" t="inlineStr">
        <is>
          <t>GOTLANDS LÄN</t>
        </is>
      </c>
      <c r="E310" t="inlineStr">
        <is>
          <t>GOTLAND</t>
        </is>
      </c>
      <c r="G310" t="n">
        <v>4.9</v>
      </c>
      <c r="H310" t="n">
        <v>0</v>
      </c>
      <c r="I310" t="n">
        <v>0</v>
      </c>
      <c r="J310" t="n">
        <v>0</v>
      </c>
      <c r="K310" t="n">
        <v>0</v>
      </c>
      <c r="L310" t="n">
        <v>0</v>
      </c>
      <c r="M310" t="n">
        <v>0</v>
      </c>
      <c r="N310" t="n">
        <v>0</v>
      </c>
      <c r="O310" t="n">
        <v>0</v>
      </c>
      <c r="P310" t="n">
        <v>0</v>
      </c>
      <c r="Q310" t="n">
        <v>0</v>
      </c>
      <c r="R310" s="2" t="inlineStr"/>
    </row>
    <row r="311" ht="15" customHeight="1">
      <c r="A311" t="inlineStr">
        <is>
          <t>A 36319-2025</t>
        </is>
      </c>
      <c r="B311" s="1" t="n">
        <v>45868</v>
      </c>
      <c r="C311" s="1" t="n">
        <v>46184</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47762-2023</t>
        </is>
      </c>
      <c r="B312" s="1" t="n">
        <v>45203.86256944444</v>
      </c>
      <c r="C312" s="1" t="n">
        <v>46184</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40294-2022</t>
        </is>
      </c>
      <c r="B313" s="1" t="n">
        <v>44821</v>
      </c>
      <c r="C313" s="1" t="n">
        <v>46184</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27602-2023</t>
        </is>
      </c>
      <c r="B314" s="1" t="n">
        <v>45097</v>
      </c>
      <c r="C314" s="1" t="n">
        <v>46184</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46184</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46184</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24192-2023</t>
        </is>
      </c>
      <c r="B317" s="1" t="n">
        <v>45079</v>
      </c>
      <c r="C317" s="1" t="n">
        <v>46184</v>
      </c>
      <c r="D317" t="inlineStr">
        <is>
          <t>GOTLANDS LÄN</t>
        </is>
      </c>
      <c r="E317" t="inlineStr">
        <is>
          <t>GOTLAND</t>
        </is>
      </c>
      <c r="G317" t="n">
        <v>2.1</v>
      </c>
      <c r="H317" t="n">
        <v>0</v>
      </c>
      <c r="I317" t="n">
        <v>0</v>
      </c>
      <c r="J317" t="n">
        <v>0</v>
      </c>
      <c r="K317" t="n">
        <v>0</v>
      </c>
      <c r="L317" t="n">
        <v>0</v>
      </c>
      <c r="M317" t="n">
        <v>0</v>
      </c>
      <c r="N317" t="n">
        <v>0</v>
      </c>
      <c r="O317" t="n">
        <v>0</v>
      </c>
      <c r="P317" t="n">
        <v>0</v>
      </c>
      <c r="Q317" t="n">
        <v>0</v>
      </c>
      <c r="R317" s="2" t="inlineStr"/>
    </row>
    <row r="318" ht="15" customHeight="1">
      <c r="A318" t="inlineStr">
        <is>
          <t>A 30282-2022</t>
        </is>
      </c>
      <c r="B318" s="1" t="n">
        <v>44760</v>
      </c>
      <c r="C318" s="1" t="n">
        <v>46184</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7835-2024</t>
        </is>
      </c>
      <c r="B319" s="1" t="n">
        <v>45349.83138888889</v>
      </c>
      <c r="C319" s="1" t="n">
        <v>46184</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10650-2022</t>
        </is>
      </c>
      <c r="B320" s="1" t="n">
        <v>44624.57945601852</v>
      </c>
      <c r="C320" s="1" t="n">
        <v>46184</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28425-2023</t>
        </is>
      </c>
      <c r="B321" s="1" t="n">
        <v>45102</v>
      </c>
      <c r="C321" s="1" t="n">
        <v>46184</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13037-2025</t>
        </is>
      </c>
      <c r="B322" s="1" t="n">
        <v>45734</v>
      </c>
      <c r="C322" s="1" t="n">
        <v>46184</v>
      </c>
      <c r="D322" t="inlineStr">
        <is>
          <t>GOTLANDS LÄN</t>
        </is>
      </c>
      <c r="E322" t="inlineStr">
        <is>
          <t>GOTLAND</t>
        </is>
      </c>
      <c r="G322" t="n">
        <v>9.5</v>
      </c>
      <c r="H322" t="n">
        <v>0</v>
      </c>
      <c r="I322" t="n">
        <v>0</v>
      </c>
      <c r="J322" t="n">
        <v>0</v>
      </c>
      <c r="K322" t="n">
        <v>0</v>
      </c>
      <c r="L322" t="n">
        <v>0</v>
      </c>
      <c r="M322" t="n">
        <v>0</v>
      </c>
      <c r="N322" t="n">
        <v>0</v>
      </c>
      <c r="O322" t="n">
        <v>0</v>
      </c>
      <c r="P322" t="n">
        <v>0</v>
      </c>
      <c r="Q322" t="n">
        <v>0</v>
      </c>
      <c r="R322" s="2" t="inlineStr"/>
    </row>
    <row r="323" ht="15" customHeight="1">
      <c r="A323" t="inlineStr">
        <is>
          <t>A 63002-2025</t>
        </is>
      </c>
      <c r="B323" s="1" t="n">
        <v>46009.56564814815</v>
      </c>
      <c r="C323" s="1" t="n">
        <v>46184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10746-2025</t>
        </is>
      </c>
      <c r="B324" s="1" t="n">
        <v>45722.42766203704</v>
      </c>
      <c r="C324" s="1" t="n">
        <v>46184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38649-2025</t>
        </is>
      </c>
      <c r="B325" s="1" t="n">
        <v>45884</v>
      </c>
      <c r="C325" s="1" t="n">
        <v>46184</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43229-2023</t>
        </is>
      </c>
      <c r="B326" s="1" t="n">
        <v>45183.46704861111</v>
      </c>
      <c r="C326" s="1" t="n">
        <v>46184</v>
      </c>
      <c r="D326" t="inlineStr">
        <is>
          <t>GOTLANDS LÄN</t>
        </is>
      </c>
      <c r="E326" t="inlineStr">
        <is>
          <t>GOTLAND</t>
        </is>
      </c>
      <c r="G326" t="n">
        <v>7.1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46184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41038-2023</t>
        </is>
      </c>
      <c r="B328" s="1" t="n">
        <v>45173.60959490741</v>
      </c>
      <c r="C328" s="1" t="n">
        <v>46184</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36-2026</t>
        </is>
      </c>
      <c r="B329" s="1" t="n">
        <v>46024.38886574074</v>
      </c>
      <c r="C329" s="1" t="n">
        <v>46184</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57652-2023</t>
        </is>
      </c>
      <c r="B330" s="1" t="n">
        <v>45246</v>
      </c>
      <c r="C330" s="1" t="n">
        <v>46184</v>
      </c>
      <c r="D330" t="inlineStr">
        <is>
          <t>GOTLANDS LÄN</t>
        </is>
      </c>
      <c r="E330" t="inlineStr">
        <is>
          <t>GOTLAND</t>
        </is>
      </c>
      <c r="G330" t="n">
        <v>7.2</v>
      </c>
      <c r="H330" t="n">
        <v>0</v>
      </c>
      <c r="I330" t="n">
        <v>0</v>
      </c>
      <c r="J330" t="n">
        <v>0</v>
      </c>
      <c r="K330" t="n">
        <v>0</v>
      </c>
      <c r="L330" t="n">
        <v>0</v>
      </c>
      <c r="M330" t="n">
        <v>0</v>
      </c>
      <c r="N330" t="n">
        <v>0</v>
      </c>
      <c r="O330" t="n">
        <v>0</v>
      </c>
      <c r="P330" t="n">
        <v>0</v>
      </c>
      <c r="Q330" t="n">
        <v>0</v>
      </c>
      <c r="R330" s="2" t="inlineStr"/>
    </row>
    <row r="331" ht="15" customHeight="1">
      <c r="A331" t="inlineStr">
        <is>
          <t>A 46189-2022</t>
        </is>
      </c>
      <c r="B331" s="1" t="n">
        <v>44847</v>
      </c>
      <c r="C331" s="1" t="n">
        <v>46184</v>
      </c>
      <c r="D331" t="inlineStr">
        <is>
          <t>GOTLANDS LÄN</t>
        </is>
      </c>
      <c r="E331" t="inlineStr">
        <is>
          <t>GOTLAND</t>
        </is>
      </c>
      <c r="G331" t="n">
        <v>0.4</v>
      </c>
      <c r="H331" t="n">
        <v>0</v>
      </c>
      <c r="I331" t="n">
        <v>0</v>
      </c>
      <c r="J331" t="n">
        <v>0</v>
      </c>
      <c r="K331" t="n">
        <v>0</v>
      </c>
      <c r="L331" t="n">
        <v>0</v>
      </c>
      <c r="M331" t="n">
        <v>0</v>
      </c>
      <c r="N331" t="n">
        <v>0</v>
      </c>
      <c r="O331" t="n">
        <v>0</v>
      </c>
      <c r="P331" t="n">
        <v>0</v>
      </c>
      <c r="Q331" t="n">
        <v>0</v>
      </c>
      <c r="R331" s="2" t="inlineStr"/>
    </row>
    <row r="332" ht="15" customHeight="1">
      <c r="A332" t="inlineStr">
        <is>
          <t>A 57522-2022</t>
        </is>
      </c>
      <c r="B332" s="1" t="n">
        <v>44896</v>
      </c>
      <c r="C332" s="1" t="n">
        <v>46184</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14797-2024</t>
        </is>
      </c>
      <c r="B333" s="1" t="n">
        <v>45397.87030092593</v>
      </c>
      <c r="C333" s="1" t="n">
        <v>46184</v>
      </c>
      <c r="D333" t="inlineStr">
        <is>
          <t>GOTLANDS LÄN</t>
        </is>
      </c>
      <c r="E333" t="inlineStr">
        <is>
          <t>GOTLAND</t>
        </is>
      </c>
      <c r="G333" t="n">
        <v>8.1</v>
      </c>
      <c r="H333" t="n">
        <v>0</v>
      </c>
      <c r="I333" t="n">
        <v>0</v>
      </c>
      <c r="J333" t="n">
        <v>0</v>
      </c>
      <c r="K333" t="n">
        <v>0</v>
      </c>
      <c r="L333" t="n">
        <v>0</v>
      </c>
      <c r="M333" t="n">
        <v>0</v>
      </c>
      <c r="N333" t="n">
        <v>0</v>
      </c>
      <c r="O333" t="n">
        <v>0</v>
      </c>
      <c r="P333" t="n">
        <v>0</v>
      </c>
      <c r="Q333" t="n">
        <v>0</v>
      </c>
      <c r="R333" s="2" t="inlineStr"/>
    </row>
    <row r="334" ht="15" customHeight="1">
      <c r="A334" t="inlineStr">
        <is>
          <t>A 7837-2024</t>
        </is>
      </c>
      <c r="B334" s="1" t="n">
        <v>45349.83787037037</v>
      </c>
      <c r="C334" s="1" t="n">
        <v>46184</v>
      </c>
      <c r="D334" t="inlineStr">
        <is>
          <t>GOTLANDS LÄN</t>
        </is>
      </c>
      <c r="E334" t="inlineStr">
        <is>
          <t>GOTLAND</t>
        </is>
      </c>
      <c r="G334" t="n">
        <v>5</v>
      </c>
      <c r="H334" t="n">
        <v>0</v>
      </c>
      <c r="I334" t="n">
        <v>0</v>
      </c>
      <c r="J334" t="n">
        <v>0</v>
      </c>
      <c r="K334" t="n">
        <v>0</v>
      </c>
      <c r="L334" t="n">
        <v>0</v>
      </c>
      <c r="M334" t="n">
        <v>0</v>
      </c>
      <c r="N334" t="n">
        <v>0</v>
      </c>
      <c r="O334" t="n">
        <v>0</v>
      </c>
      <c r="P334" t="n">
        <v>0</v>
      </c>
      <c r="Q334" t="n">
        <v>0</v>
      </c>
      <c r="R334" s="2" t="inlineStr"/>
    </row>
    <row r="335" ht="15" customHeight="1">
      <c r="A335" t="inlineStr">
        <is>
          <t>A 2415-2026</t>
        </is>
      </c>
      <c r="B335" s="1" t="n">
        <v>46036.76203703704</v>
      </c>
      <c r="C335" s="1" t="n">
        <v>46184</v>
      </c>
      <c r="D335" t="inlineStr">
        <is>
          <t>GOTLANDS LÄN</t>
        </is>
      </c>
      <c r="E335" t="inlineStr">
        <is>
          <t>GOTLAND</t>
        </is>
      </c>
      <c r="G335" t="n">
        <v>6.9</v>
      </c>
      <c r="H335" t="n">
        <v>0</v>
      </c>
      <c r="I335" t="n">
        <v>0</v>
      </c>
      <c r="J335" t="n">
        <v>0</v>
      </c>
      <c r="K335" t="n">
        <v>0</v>
      </c>
      <c r="L335" t="n">
        <v>0</v>
      </c>
      <c r="M335" t="n">
        <v>0</v>
      </c>
      <c r="N335" t="n">
        <v>0</v>
      </c>
      <c r="O335" t="n">
        <v>0</v>
      </c>
      <c r="P335" t="n">
        <v>0</v>
      </c>
      <c r="Q335" t="n">
        <v>0</v>
      </c>
      <c r="R335" s="2" t="inlineStr"/>
    </row>
    <row r="336" ht="15" customHeight="1">
      <c r="A336" t="inlineStr">
        <is>
          <t>A 1394-2023</t>
        </is>
      </c>
      <c r="B336" s="1" t="n">
        <v>44936.72997685185</v>
      </c>
      <c r="C336" s="1" t="n">
        <v>46184</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2676-2023</t>
        </is>
      </c>
      <c r="B337" s="1" t="n">
        <v>44944</v>
      </c>
      <c r="C337" s="1" t="n">
        <v>46184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4387-2023</t>
        </is>
      </c>
      <c r="B338" s="1" t="n">
        <v>44955.73359953704</v>
      </c>
      <c r="C338" s="1" t="n">
        <v>46184</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49411-2023</t>
        </is>
      </c>
      <c r="B339" s="1" t="n">
        <v>45205</v>
      </c>
      <c r="C339" s="1" t="n">
        <v>46184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37728-2024</t>
        </is>
      </c>
      <c r="B340" s="1" t="n">
        <v>45541</v>
      </c>
      <c r="C340" s="1" t="n">
        <v>46184</v>
      </c>
      <c r="D340" t="inlineStr">
        <is>
          <t>GOTLANDS LÄN</t>
        </is>
      </c>
      <c r="E340" t="inlineStr">
        <is>
          <t>GOTLAND</t>
        </is>
      </c>
      <c r="G340" t="n">
        <v>0.4</v>
      </c>
      <c r="H340" t="n">
        <v>0</v>
      </c>
      <c r="I340" t="n">
        <v>0</v>
      </c>
      <c r="J340" t="n">
        <v>0</v>
      </c>
      <c r="K340" t="n">
        <v>0</v>
      </c>
      <c r="L340" t="n">
        <v>0</v>
      </c>
      <c r="M340" t="n">
        <v>0</v>
      </c>
      <c r="N340" t="n">
        <v>0</v>
      </c>
      <c r="O340" t="n">
        <v>0</v>
      </c>
      <c r="P340" t="n">
        <v>0</v>
      </c>
      <c r="Q340" t="n">
        <v>0</v>
      </c>
      <c r="R340" s="2" t="inlineStr"/>
    </row>
    <row r="341" ht="15" customHeight="1">
      <c r="A341" t="inlineStr">
        <is>
          <t>A 22275-2023</t>
        </is>
      </c>
      <c r="B341" s="1" t="n">
        <v>45070.39875</v>
      </c>
      <c r="C341" s="1" t="n">
        <v>46184</v>
      </c>
      <c r="D341" t="inlineStr">
        <is>
          <t>GOTLANDS LÄN</t>
        </is>
      </c>
      <c r="E341" t="inlineStr">
        <is>
          <t>GOTLAND</t>
        </is>
      </c>
      <c r="G341" t="n">
        <v>7.2</v>
      </c>
      <c r="H341" t="n">
        <v>0</v>
      </c>
      <c r="I341" t="n">
        <v>0</v>
      </c>
      <c r="J341" t="n">
        <v>0</v>
      </c>
      <c r="K341" t="n">
        <v>0</v>
      </c>
      <c r="L341" t="n">
        <v>0</v>
      </c>
      <c r="M341" t="n">
        <v>0</v>
      </c>
      <c r="N341" t="n">
        <v>0</v>
      </c>
      <c r="O341" t="n">
        <v>0</v>
      </c>
      <c r="P341" t="n">
        <v>0</v>
      </c>
      <c r="Q341" t="n">
        <v>0</v>
      </c>
      <c r="R341" s="2" t="inlineStr"/>
    </row>
    <row r="342" ht="15" customHeight="1">
      <c r="A342" t="inlineStr">
        <is>
          <t>A 14635-2023</t>
        </is>
      </c>
      <c r="B342" s="1" t="n">
        <v>45013.69365740741</v>
      </c>
      <c r="C342" s="1" t="n">
        <v>46184</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63763-2023</t>
        </is>
      </c>
      <c r="B343" s="1" t="n">
        <v>45278.33944444444</v>
      </c>
      <c r="C343" s="1" t="n">
        <v>46184</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7636-2025</t>
        </is>
      </c>
      <c r="B344" s="1" t="n">
        <v>45705.7687962963</v>
      </c>
      <c r="C344" s="1" t="n">
        <v>46184</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7639-2025</t>
        </is>
      </c>
      <c r="B345" s="1" t="n">
        <v>45705.77465277778</v>
      </c>
      <c r="C345" s="1" t="n">
        <v>46184</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4646-2026</t>
        </is>
      </c>
      <c r="B346" s="1" t="n">
        <v>46048.40357638889</v>
      </c>
      <c r="C346" s="1" t="n">
        <v>46184</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46184</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15434-2024</t>
        </is>
      </c>
      <c r="B348" s="1" t="n">
        <v>45401.38836805556</v>
      </c>
      <c r="C348" s="1" t="n">
        <v>46184</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4634-2026</t>
        </is>
      </c>
      <c r="B349" s="1" t="n">
        <v>46048.39304398148</v>
      </c>
      <c r="C349" s="1" t="n">
        <v>46184</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4670-2026</t>
        </is>
      </c>
      <c r="B350" s="1" t="n">
        <v>46048.41733796296</v>
      </c>
      <c r="C350" s="1" t="n">
        <v>46184</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7034-2023</t>
        </is>
      </c>
      <c r="B351" s="1" t="n">
        <v>44968.32108796296</v>
      </c>
      <c r="C351" s="1" t="n">
        <v>46184</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7042-2023</t>
        </is>
      </c>
      <c r="B352" s="1" t="n">
        <v>44968</v>
      </c>
      <c r="C352" s="1" t="n">
        <v>46184</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54074-2022</t>
        </is>
      </c>
      <c r="B353" s="1" t="n">
        <v>44881</v>
      </c>
      <c r="C353" s="1" t="n">
        <v>46184</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61694-2023</t>
        </is>
      </c>
      <c r="B354" s="1" t="n">
        <v>45264</v>
      </c>
      <c r="C354" s="1" t="n">
        <v>46184</v>
      </c>
      <c r="D354" t="inlineStr">
        <is>
          <t>GOTLANDS LÄN</t>
        </is>
      </c>
      <c r="E354" t="inlineStr">
        <is>
          <t>GOTLAND</t>
        </is>
      </c>
      <c r="G354" t="n">
        <v>4.6</v>
      </c>
      <c r="H354" t="n">
        <v>0</v>
      </c>
      <c r="I354" t="n">
        <v>0</v>
      </c>
      <c r="J354" t="n">
        <v>0</v>
      </c>
      <c r="K354" t="n">
        <v>0</v>
      </c>
      <c r="L354" t="n">
        <v>0</v>
      </c>
      <c r="M354" t="n">
        <v>0</v>
      </c>
      <c r="N354" t="n">
        <v>0</v>
      </c>
      <c r="O354" t="n">
        <v>0</v>
      </c>
      <c r="P354" t="n">
        <v>0</v>
      </c>
      <c r="Q354" t="n">
        <v>0</v>
      </c>
      <c r="R354" s="2" t="inlineStr"/>
    </row>
    <row r="355" ht="15" customHeight="1">
      <c r="A355" t="inlineStr">
        <is>
          <t>A 64208-2021</t>
        </is>
      </c>
      <c r="B355" s="1" t="n">
        <v>44510</v>
      </c>
      <c r="C355" s="1" t="n">
        <v>46184</v>
      </c>
      <c r="D355" t="inlineStr">
        <is>
          <t>GOTLANDS LÄN</t>
        </is>
      </c>
      <c r="E355" t="inlineStr">
        <is>
          <t>GOTLAND</t>
        </is>
      </c>
      <c r="G355" t="n">
        <v>4.7</v>
      </c>
      <c r="H355" t="n">
        <v>0</v>
      </c>
      <c r="I355" t="n">
        <v>0</v>
      </c>
      <c r="J355" t="n">
        <v>0</v>
      </c>
      <c r="K355" t="n">
        <v>0</v>
      </c>
      <c r="L355" t="n">
        <v>0</v>
      </c>
      <c r="M355" t="n">
        <v>0</v>
      </c>
      <c r="N355" t="n">
        <v>0</v>
      </c>
      <c r="O355" t="n">
        <v>0</v>
      </c>
      <c r="P355" t="n">
        <v>0</v>
      </c>
      <c r="Q355" t="n">
        <v>0</v>
      </c>
      <c r="R355" s="2" t="inlineStr"/>
    </row>
    <row r="356" ht="15" customHeight="1">
      <c r="A356" t="inlineStr">
        <is>
          <t>A 6207-2026</t>
        </is>
      </c>
      <c r="B356" s="1" t="n">
        <v>46055.42083333333</v>
      </c>
      <c r="C356" s="1" t="n">
        <v>46184</v>
      </c>
      <c r="D356" t="inlineStr">
        <is>
          <t>GOTLANDS LÄN</t>
        </is>
      </c>
      <c r="E356" t="inlineStr">
        <is>
          <t>GOTLAND</t>
        </is>
      </c>
      <c r="G356" t="n">
        <v>7.6</v>
      </c>
      <c r="H356" t="n">
        <v>0</v>
      </c>
      <c r="I356" t="n">
        <v>0</v>
      </c>
      <c r="J356" t="n">
        <v>0</v>
      </c>
      <c r="K356" t="n">
        <v>0</v>
      </c>
      <c r="L356" t="n">
        <v>0</v>
      </c>
      <c r="M356" t="n">
        <v>0</v>
      </c>
      <c r="N356" t="n">
        <v>0</v>
      </c>
      <c r="O356" t="n">
        <v>0</v>
      </c>
      <c r="P356" t="n">
        <v>0</v>
      </c>
      <c r="Q356" t="n">
        <v>0</v>
      </c>
      <c r="R356" s="2" t="inlineStr"/>
    </row>
    <row r="357" ht="15" customHeight="1">
      <c r="A357" t="inlineStr">
        <is>
          <t>A 6218-2026</t>
        </is>
      </c>
      <c r="B357" s="1" t="n">
        <v>46055.42859953704</v>
      </c>
      <c r="C357" s="1" t="n">
        <v>46184</v>
      </c>
      <c r="D357" t="inlineStr">
        <is>
          <t>GOTLANDS LÄN</t>
        </is>
      </c>
      <c r="E357" t="inlineStr">
        <is>
          <t>GOTLAND</t>
        </is>
      </c>
      <c r="G357" t="n">
        <v>4.3</v>
      </c>
      <c r="H357" t="n">
        <v>0</v>
      </c>
      <c r="I357" t="n">
        <v>0</v>
      </c>
      <c r="J357" t="n">
        <v>0</v>
      </c>
      <c r="K357" t="n">
        <v>0</v>
      </c>
      <c r="L357" t="n">
        <v>0</v>
      </c>
      <c r="M357" t="n">
        <v>0</v>
      </c>
      <c r="N357" t="n">
        <v>0</v>
      </c>
      <c r="O357" t="n">
        <v>0</v>
      </c>
      <c r="P357" t="n">
        <v>0</v>
      </c>
      <c r="Q357" t="n">
        <v>0</v>
      </c>
      <c r="R357" s="2" t="inlineStr"/>
    </row>
    <row r="358" ht="15" customHeight="1">
      <c r="A358" t="inlineStr">
        <is>
          <t>A 54268-2022</t>
        </is>
      </c>
      <c r="B358" s="1" t="n">
        <v>44882</v>
      </c>
      <c r="C358" s="1" t="n">
        <v>46184</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1446-2025</t>
        </is>
      </c>
      <c r="B359" s="1" t="n">
        <v>45669.86035879629</v>
      </c>
      <c r="C359" s="1" t="n">
        <v>46184</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1462-2025</t>
        </is>
      </c>
      <c r="B360" s="1" t="n">
        <v>45670.36319444444</v>
      </c>
      <c r="C360" s="1" t="n">
        <v>46184</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57685-2022</t>
        </is>
      </c>
      <c r="B361" s="1" t="n">
        <v>44897.4777662037</v>
      </c>
      <c r="C361" s="1" t="n">
        <v>46184</v>
      </c>
      <c r="D361" t="inlineStr">
        <is>
          <t>GOTLANDS LÄN</t>
        </is>
      </c>
      <c r="E361" t="inlineStr">
        <is>
          <t>GOTLAND</t>
        </is>
      </c>
      <c r="G361" t="n">
        <v>3.7</v>
      </c>
      <c r="H361" t="n">
        <v>0</v>
      </c>
      <c r="I361" t="n">
        <v>0</v>
      </c>
      <c r="J361" t="n">
        <v>0</v>
      </c>
      <c r="K361" t="n">
        <v>0</v>
      </c>
      <c r="L361" t="n">
        <v>0</v>
      </c>
      <c r="M361" t="n">
        <v>0</v>
      </c>
      <c r="N361" t="n">
        <v>0</v>
      </c>
      <c r="O361" t="n">
        <v>0</v>
      </c>
      <c r="P361" t="n">
        <v>0</v>
      </c>
      <c r="Q361" t="n">
        <v>0</v>
      </c>
      <c r="R361" s="2" t="inlineStr"/>
    </row>
    <row r="362" ht="15" customHeight="1">
      <c r="A362" t="inlineStr">
        <is>
          <t>A 811-2023</t>
        </is>
      </c>
      <c r="B362" s="1" t="n">
        <v>44931</v>
      </c>
      <c r="C362" s="1" t="n">
        <v>46184</v>
      </c>
      <c r="D362" t="inlineStr">
        <is>
          <t>GOTLANDS LÄN</t>
        </is>
      </c>
      <c r="E362" t="inlineStr">
        <is>
          <t>GOTLAND</t>
        </is>
      </c>
      <c r="G362" t="n">
        <v>0.6</v>
      </c>
      <c r="H362" t="n">
        <v>0</v>
      </c>
      <c r="I362" t="n">
        <v>0</v>
      </c>
      <c r="J362" t="n">
        <v>0</v>
      </c>
      <c r="K362" t="n">
        <v>0</v>
      </c>
      <c r="L362" t="n">
        <v>0</v>
      </c>
      <c r="M362" t="n">
        <v>0</v>
      </c>
      <c r="N362" t="n">
        <v>0</v>
      </c>
      <c r="O362" t="n">
        <v>0</v>
      </c>
      <c r="P362" t="n">
        <v>0</v>
      </c>
      <c r="Q362" t="n">
        <v>0</v>
      </c>
      <c r="R362" s="2" t="inlineStr"/>
    </row>
    <row r="363" ht="15" customHeight="1">
      <c r="A363" t="inlineStr">
        <is>
          <t>A 5905-2024</t>
        </is>
      </c>
      <c r="B363" s="1" t="n">
        <v>45335.88993055555</v>
      </c>
      <c r="C363" s="1" t="n">
        <v>46184</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3431-2025</t>
        </is>
      </c>
      <c r="B364" s="1" t="n">
        <v>45680.42935185185</v>
      </c>
      <c r="C364" s="1" t="n">
        <v>46184</v>
      </c>
      <c r="D364" t="inlineStr">
        <is>
          <t>GOTLANDS LÄN</t>
        </is>
      </c>
      <c r="E364" t="inlineStr">
        <is>
          <t>GOTLAND</t>
        </is>
      </c>
      <c r="G364" t="n">
        <v>4.8</v>
      </c>
      <c r="H364" t="n">
        <v>0</v>
      </c>
      <c r="I364" t="n">
        <v>0</v>
      </c>
      <c r="J364" t="n">
        <v>0</v>
      </c>
      <c r="K364" t="n">
        <v>0</v>
      </c>
      <c r="L364" t="n">
        <v>0</v>
      </c>
      <c r="M364" t="n">
        <v>0</v>
      </c>
      <c r="N364" t="n">
        <v>0</v>
      </c>
      <c r="O364" t="n">
        <v>0</v>
      </c>
      <c r="P364" t="n">
        <v>0</v>
      </c>
      <c r="Q364" t="n">
        <v>0</v>
      </c>
      <c r="R364" s="2" t="inlineStr"/>
    </row>
    <row r="365" ht="15" customHeight="1">
      <c r="A365" t="inlineStr">
        <is>
          <t>A 7627-2026</t>
        </is>
      </c>
      <c r="B365" s="1" t="n">
        <v>46062.35465277778</v>
      </c>
      <c r="C365" s="1" t="n">
        <v>46184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34407-2023</t>
        </is>
      </c>
      <c r="B366" s="1" t="n">
        <v>45132</v>
      </c>
      <c r="C366" s="1" t="n">
        <v>46184</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30892-2024</t>
        </is>
      </c>
      <c r="B367" s="1" t="n">
        <v>45491</v>
      </c>
      <c r="C367" s="1" t="n">
        <v>46184</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46184</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2135-2026</t>
        </is>
      </c>
      <c r="B369" s="1" t="n">
        <v>46036</v>
      </c>
      <c r="C369" s="1" t="n">
        <v>46184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7858-2025</t>
        </is>
      </c>
      <c r="B370" s="1" t="n">
        <v>45706.68633101852</v>
      </c>
      <c r="C370" s="1" t="n">
        <v>46184</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46545-2024</t>
        </is>
      </c>
      <c r="B371" s="1" t="n">
        <v>45582.65831018519</v>
      </c>
      <c r="C371" s="1" t="n">
        <v>46184</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999-2023</t>
        </is>
      </c>
      <c r="B372" s="1" t="n">
        <v>44935</v>
      </c>
      <c r="C372" s="1" t="n">
        <v>46184</v>
      </c>
      <c r="D372" t="inlineStr">
        <is>
          <t>GOTLANDS LÄN</t>
        </is>
      </c>
      <c r="E372" t="inlineStr">
        <is>
          <t>GOTLAND</t>
        </is>
      </c>
      <c r="G372" t="n">
        <v>4.7</v>
      </c>
      <c r="H372" t="n">
        <v>0</v>
      </c>
      <c r="I372" t="n">
        <v>0</v>
      </c>
      <c r="J372" t="n">
        <v>0</v>
      </c>
      <c r="K372" t="n">
        <v>0</v>
      </c>
      <c r="L372" t="n">
        <v>0</v>
      </c>
      <c r="M372" t="n">
        <v>0</v>
      </c>
      <c r="N372" t="n">
        <v>0</v>
      </c>
      <c r="O372" t="n">
        <v>0</v>
      </c>
      <c r="P372" t="n">
        <v>0</v>
      </c>
      <c r="Q372" t="n">
        <v>0</v>
      </c>
      <c r="R372" s="2" t="inlineStr"/>
    </row>
    <row r="373" ht="15" customHeight="1">
      <c r="A373" t="inlineStr">
        <is>
          <t>A 2125-2025</t>
        </is>
      </c>
      <c r="B373" s="1" t="n">
        <v>45672.64940972222</v>
      </c>
      <c r="C373" s="1" t="n">
        <v>46184</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9540-2026</t>
        </is>
      </c>
      <c r="B374" s="1" t="n">
        <v>46071.61961805556</v>
      </c>
      <c r="C374" s="1" t="n">
        <v>46184</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12155-2023</t>
        </is>
      </c>
      <c r="B375" s="1" t="n">
        <v>44998.49106481481</v>
      </c>
      <c r="C375" s="1" t="n">
        <v>46184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9521-2026</t>
        </is>
      </c>
      <c r="B376" s="1" t="n">
        <v>46071.59969907408</v>
      </c>
      <c r="C376" s="1" t="n">
        <v>46184</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9524-2026</t>
        </is>
      </c>
      <c r="B377" s="1" t="n">
        <v>46071.60108796296</v>
      </c>
      <c r="C377" s="1" t="n">
        <v>46184</v>
      </c>
      <c r="D377" t="inlineStr">
        <is>
          <t>GOTLANDS LÄN</t>
        </is>
      </c>
      <c r="E377" t="inlineStr">
        <is>
          <t>GOTLAND</t>
        </is>
      </c>
      <c r="G377" t="n">
        <v>2.5</v>
      </c>
      <c r="H377" t="n">
        <v>0</v>
      </c>
      <c r="I377" t="n">
        <v>0</v>
      </c>
      <c r="J377" t="n">
        <v>0</v>
      </c>
      <c r="K377" t="n">
        <v>0</v>
      </c>
      <c r="L377" t="n">
        <v>0</v>
      </c>
      <c r="M377" t="n">
        <v>0</v>
      </c>
      <c r="N377" t="n">
        <v>0</v>
      </c>
      <c r="O377" t="n">
        <v>0</v>
      </c>
      <c r="P377" t="n">
        <v>0</v>
      </c>
      <c r="Q377" t="n">
        <v>0</v>
      </c>
      <c r="R377" s="2" t="inlineStr"/>
    </row>
    <row r="378" ht="15" customHeight="1">
      <c r="A378" t="inlineStr">
        <is>
          <t>A 9543-2026</t>
        </is>
      </c>
      <c r="B378" s="1" t="n">
        <v>46071.62486111111</v>
      </c>
      <c r="C378" s="1" t="n">
        <v>46184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9518-2026</t>
        </is>
      </c>
      <c r="B379" s="1" t="n">
        <v>46071.59653935185</v>
      </c>
      <c r="C379" s="1" t="n">
        <v>46184</v>
      </c>
      <c r="D379" t="inlineStr">
        <is>
          <t>GOTLANDS LÄN</t>
        </is>
      </c>
      <c r="E379" t="inlineStr">
        <is>
          <t>GOTLAND</t>
        </is>
      </c>
      <c r="G379" t="n">
        <v>6.2</v>
      </c>
      <c r="H379" t="n">
        <v>0</v>
      </c>
      <c r="I379" t="n">
        <v>0</v>
      </c>
      <c r="J379" t="n">
        <v>0</v>
      </c>
      <c r="K379" t="n">
        <v>0</v>
      </c>
      <c r="L379" t="n">
        <v>0</v>
      </c>
      <c r="M379" t="n">
        <v>0</v>
      </c>
      <c r="N379" t="n">
        <v>0</v>
      </c>
      <c r="O379" t="n">
        <v>0</v>
      </c>
      <c r="P379" t="n">
        <v>0</v>
      </c>
      <c r="Q379" t="n">
        <v>0</v>
      </c>
      <c r="R379" s="2" t="inlineStr"/>
    </row>
    <row r="380" ht="15" customHeight="1">
      <c r="A380" t="inlineStr">
        <is>
          <t>A 9519-2026</t>
        </is>
      </c>
      <c r="B380" s="1" t="n">
        <v>46071.59820601852</v>
      </c>
      <c r="C380" s="1" t="n">
        <v>46184</v>
      </c>
      <c r="D380" t="inlineStr">
        <is>
          <t>GOTLANDS LÄN</t>
        </is>
      </c>
      <c r="E380" t="inlineStr">
        <is>
          <t>GOTLAND</t>
        </is>
      </c>
      <c r="G380" t="n">
        <v>4</v>
      </c>
      <c r="H380" t="n">
        <v>0</v>
      </c>
      <c r="I380" t="n">
        <v>0</v>
      </c>
      <c r="J380" t="n">
        <v>0</v>
      </c>
      <c r="K380" t="n">
        <v>0</v>
      </c>
      <c r="L380" t="n">
        <v>0</v>
      </c>
      <c r="M380" t="n">
        <v>0</v>
      </c>
      <c r="N380" t="n">
        <v>0</v>
      </c>
      <c r="O380" t="n">
        <v>0</v>
      </c>
      <c r="P380" t="n">
        <v>0</v>
      </c>
      <c r="Q380" t="n">
        <v>0</v>
      </c>
      <c r="R380" s="2" t="inlineStr"/>
    </row>
    <row r="381" ht="15" customHeight="1">
      <c r="A381" t="inlineStr">
        <is>
          <t>A 9901-2026</t>
        </is>
      </c>
      <c r="B381" s="1" t="n">
        <v>46073.40391203704</v>
      </c>
      <c r="C381" s="1" t="n">
        <v>46184</v>
      </c>
      <c r="D381" t="inlineStr">
        <is>
          <t>GOTLANDS LÄN</t>
        </is>
      </c>
      <c r="E381" t="inlineStr">
        <is>
          <t>GOTLAND</t>
        </is>
      </c>
      <c r="F381" t="inlineStr">
        <is>
          <t>Kyrkan</t>
        </is>
      </c>
      <c r="G381" t="n">
        <v>0.9</v>
      </c>
      <c r="H381" t="n">
        <v>0</v>
      </c>
      <c r="I381" t="n">
        <v>0</v>
      </c>
      <c r="J381" t="n">
        <v>0</v>
      </c>
      <c r="K381" t="n">
        <v>0</v>
      </c>
      <c r="L381" t="n">
        <v>0</v>
      </c>
      <c r="M381" t="n">
        <v>0</v>
      </c>
      <c r="N381" t="n">
        <v>0</v>
      </c>
      <c r="O381" t="n">
        <v>0</v>
      </c>
      <c r="P381" t="n">
        <v>0</v>
      </c>
      <c r="Q381" t="n">
        <v>0</v>
      </c>
      <c r="R381" s="2" t="inlineStr"/>
    </row>
    <row r="382" ht="15" customHeight="1">
      <c r="A382" t="inlineStr">
        <is>
          <t>A 2774-2024</t>
        </is>
      </c>
      <c r="B382" s="1" t="n">
        <v>45314.62375</v>
      </c>
      <c r="C382" s="1" t="n">
        <v>46184</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9947-2024</t>
        </is>
      </c>
      <c r="B383" s="1" t="n">
        <v>45363</v>
      </c>
      <c r="C383" s="1" t="n">
        <v>46184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42007-2023</t>
        </is>
      </c>
      <c r="B384" s="1" t="n">
        <v>45177</v>
      </c>
      <c r="C384" s="1" t="n">
        <v>46184</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10284-2026</t>
        </is>
      </c>
      <c r="B385" s="1" t="n">
        <v>46076</v>
      </c>
      <c r="C385" s="1" t="n">
        <v>46184</v>
      </c>
      <c r="D385" t="inlineStr">
        <is>
          <t>GOTLANDS LÄN</t>
        </is>
      </c>
      <c r="E385" t="inlineStr">
        <is>
          <t>GOTLAND</t>
        </is>
      </c>
      <c r="G385" t="n">
        <v>5.2</v>
      </c>
      <c r="H385" t="n">
        <v>0</v>
      </c>
      <c r="I385" t="n">
        <v>0</v>
      </c>
      <c r="J385" t="n">
        <v>0</v>
      </c>
      <c r="K385" t="n">
        <v>0</v>
      </c>
      <c r="L385" t="n">
        <v>0</v>
      </c>
      <c r="M385" t="n">
        <v>0</v>
      </c>
      <c r="N385" t="n">
        <v>0</v>
      </c>
      <c r="O385" t="n">
        <v>0</v>
      </c>
      <c r="P385" t="n">
        <v>0</v>
      </c>
      <c r="Q385" t="n">
        <v>0</v>
      </c>
      <c r="R385" s="2" t="inlineStr"/>
    </row>
    <row r="386" ht="15" customHeight="1">
      <c r="A386" t="inlineStr">
        <is>
          <t>A 15083-2025</t>
        </is>
      </c>
      <c r="B386" s="1" t="n">
        <v>45743</v>
      </c>
      <c r="C386" s="1" t="n">
        <v>46184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11424-2026</t>
        </is>
      </c>
      <c r="B387" s="1" t="n">
        <v>46083.48068287037</v>
      </c>
      <c r="C387" s="1" t="n">
        <v>46184</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3067-2026</t>
        </is>
      </c>
      <c r="B388" s="1" t="n">
        <v>46040.59025462963</v>
      </c>
      <c r="C388" s="1" t="n">
        <v>46184</v>
      </c>
      <c r="D388" t="inlineStr">
        <is>
          <t>GOTLANDS LÄN</t>
        </is>
      </c>
      <c r="E388" t="inlineStr">
        <is>
          <t>GOTLAND</t>
        </is>
      </c>
      <c r="G388" t="n">
        <v>7.8</v>
      </c>
      <c r="H388" t="n">
        <v>0</v>
      </c>
      <c r="I388" t="n">
        <v>0</v>
      </c>
      <c r="J388" t="n">
        <v>0</v>
      </c>
      <c r="K388" t="n">
        <v>0</v>
      </c>
      <c r="L388" t="n">
        <v>0</v>
      </c>
      <c r="M388" t="n">
        <v>0</v>
      </c>
      <c r="N388" t="n">
        <v>0</v>
      </c>
      <c r="O388" t="n">
        <v>0</v>
      </c>
      <c r="P388" t="n">
        <v>0</v>
      </c>
      <c r="Q388" t="n">
        <v>0</v>
      </c>
      <c r="R388" s="2" t="inlineStr"/>
    </row>
    <row r="389" ht="15" customHeight="1">
      <c r="A389" t="inlineStr">
        <is>
          <t>A 12135-2026</t>
        </is>
      </c>
      <c r="B389" s="1" t="n">
        <v>46086</v>
      </c>
      <c r="C389" s="1" t="n">
        <v>46184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11982-2026</t>
        </is>
      </c>
      <c r="B390" s="1" t="n">
        <v>46085.6434375</v>
      </c>
      <c r="C390" s="1" t="n">
        <v>46184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42201-2023</t>
        </is>
      </c>
      <c r="B391" s="1" t="n">
        <v>45179</v>
      </c>
      <c r="C391" s="1" t="n">
        <v>46184</v>
      </c>
      <c r="D391" t="inlineStr">
        <is>
          <t>GOTLANDS LÄN</t>
        </is>
      </c>
      <c r="E391" t="inlineStr">
        <is>
          <t>GOTLAND</t>
        </is>
      </c>
      <c r="G391" t="n">
        <v>11.9</v>
      </c>
      <c r="H391" t="n">
        <v>0</v>
      </c>
      <c r="I391" t="n">
        <v>0</v>
      </c>
      <c r="J391" t="n">
        <v>0</v>
      </c>
      <c r="K391" t="n">
        <v>0</v>
      </c>
      <c r="L391" t="n">
        <v>0</v>
      </c>
      <c r="M391" t="n">
        <v>0</v>
      </c>
      <c r="N391" t="n">
        <v>0</v>
      </c>
      <c r="O391" t="n">
        <v>0</v>
      </c>
      <c r="P391" t="n">
        <v>0</v>
      </c>
      <c r="Q391" t="n">
        <v>0</v>
      </c>
      <c r="R391" s="2" t="inlineStr"/>
    </row>
    <row r="392" ht="15" customHeight="1">
      <c r="A392" t="inlineStr">
        <is>
          <t>A 63000-2025</t>
        </is>
      </c>
      <c r="B392" s="1" t="n">
        <v>46009</v>
      </c>
      <c r="C392" s="1" t="n">
        <v>46184</v>
      </c>
      <c r="D392" t="inlineStr">
        <is>
          <t>GOTLANDS LÄN</t>
        </is>
      </c>
      <c r="E392" t="inlineStr">
        <is>
          <t>GOTLAND</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1066-2024</t>
        </is>
      </c>
      <c r="B393" s="1" t="n">
        <v>45302.285</v>
      </c>
      <c r="C393" s="1" t="n">
        <v>46184</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62751-2025</t>
        </is>
      </c>
      <c r="B394" s="1" t="n">
        <v>46008</v>
      </c>
      <c r="C394" s="1" t="n">
        <v>46184</v>
      </c>
      <c r="D394" t="inlineStr">
        <is>
          <t>GOTLANDS LÄN</t>
        </is>
      </c>
      <c r="E394" t="inlineStr">
        <is>
          <t>GOTLAND</t>
        </is>
      </c>
      <c r="F394" t="inlineStr">
        <is>
          <t>Övriga Aktiebolag</t>
        </is>
      </c>
      <c r="G394" t="n">
        <v>7.8</v>
      </c>
      <c r="H394" t="n">
        <v>0</v>
      </c>
      <c r="I394" t="n">
        <v>0</v>
      </c>
      <c r="J394" t="n">
        <v>0</v>
      </c>
      <c r="K394" t="n">
        <v>0</v>
      </c>
      <c r="L394" t="n">
        <v>0</v>
      </c>
      <c r="M394" t="n">
        <v>0</v>
      </c>
      <c r="N394" t="n">
        <v>0</v>
      </c>
      <c r="O394" t="n">
        <v>0</v>
      </c>
      <c r="P394" t="n">
        <v>0</v>
      </c>
      <c r="Q394" t="n">
        <v>0</v>
      </c>
      <c r="R394" s="2" t="inlineStr"/>
    </row>
    <row r="395" ht="15" customHeight="1">
      <c r="A395" t="inlineStr">
        <is>
          <t>A 37202-2024</t>
        </is>
      </c>
      <c r="B395" s="1" t="n">
        <v>45539.67310185185</v>
      </c>
      <c r="C395" s="1" t="n">
        <v>46184</v>
      </c>
      <c r="D395" t="inlineStr">
        <is>
          <t>GOTLANDS LÄN</t>
        </is>
      </c>
      <c r="E395" t="inlineStr">
        <is>
          <t>GOTLAND</t>
        </is>
      </c>
      <c r="G395" t="n">
        <v>0.3</v>
      </c>
      <c r="H395" t="n">
        <v>0</v>
      </c>
      <c r="I395" t="n">
        <v>0</v>
      </c>
      <c r="J395" t="n">
        <v>0</v>
      </c>
      <c r="K395" t="n">
        <v>0</v>
      </c>
      <c r="L395" t="n">
        <v>0</v>
      </c>
      <c r="M395" t="n">
        <v>0</v>
      </c>
      <c r="N395" t="n">
        <v>0</v>
      </c>
      <c r="O395" t="n">
        <v>0</v>
      </c>
      <c r="P395" t="n">
        <v>0</v>
      </c>
      <c r="Q395" t="n">
        <v>0</v>
      </c>
      <c r="R395" s="2" t="inlineStr"/>
    </row>
    <row r="396" ht="15" customHeight="1">
      <c r="A396" t="inlineStr">
        <is>
          <t>A 13486-2026</t>
        </is>
      </c>
      <c r="B396" s="1" t="n">
        <v>46094</v>
      </c>
      <c r="C396" s="1" t="n">
        <v>46184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30815-2023</t>
        </is>
      </c>
      <c r="B397" s="1" t="n">
        <v>45112</v>
      </c>
      <c r="C397" s="1" t="n">
        <v>46184</v>
      </c>
      <c r="D397" t="inlineStr">
        <is>
          <t>GOTLANDS LÄN</t>
        </is>
      </c>
      <c r="E397" t="inlineStr">
        <is>
          <t>GOTLAND</t>
        </is>
      </c>
      <c r="G397" t="n">
        <v>6</v>
      </c>
      <c r="H397" t="n">
        <v>0</v>
      </c>
      <c r="I397" t="n">
        <v>0</v>
      </c>
      <c r="J397" t="n">
        <v>0</v>
      </c>
      <c r="K397" t="n">
        <v>0</v>
      </c>
      <c r="L397" t="n">
        <v>0</v>
      </c>
      <c r="M397" t="n">
        <v>0</v>
      </c>
      <c r="N397" t="n">
        <v>0</v>
      </c>
      <c r="O397" t="n">
        <v>0</v>
      </c>
      <c r="P397" t="n">
        <v>0</v>
      </c>
      <c r="Q397" t="n">
        <v>0</v>
      </c>
      <c r="R397" s="2" t="inlineStr"/>
    </row>
    <row r="398" ht="15" customHeight="1">
      <c r="A398" t="inlineStr">
        <is>
          <t>A 46400-2023</t>
        </is>
      </c>
      <c r="B398" s="1" t="n">
        <v>45197.49290509259</v>
      </c>
      <c r="C398" s="1" t="n">
        <v>46184</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46184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44919-2022</t>
        </is>
      </c>
      <c r="B400" s="1" t="n">
        <v>44841</v>
      </c>
      <c r="C400" s="1" t="n">
        <v>46184</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16501-2023</t>
        </is>
      </c>
      <c r="B401" s="1" t="n">
        <v>45029</v>
      </c>
      <c r="C401" s="1" t="n">
        <v>46184</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27095-2022</t>
        </is>
      </c>
      <c r="B402" s="1" t="n">
        <v>44741</v>
      </c>
      <c r="C402" s="1" t="n">
        <v>46184</v>
      </c>
      <c r="D402" t="inlineStr">
        <is>
          <t>GOTLANDS LÄN</t>
        </is>
      </c>
      <c r="E402" t="inlineStr">
        <is>
          <t>GOTLAND</t>
        </is>
      </c>
      <c r="F402" t="inlineStr">
        <is>
          <t>Övriga Aktiebolag</t>
        </is>
      </c>
      <c r="G402" t="n">
        <v>2.9</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46184</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5891-2025</t>
        </is>
      </c>
      <c r="B404" s="1" t="n">
        <v>45695.38327546296</v>
      </c>
      <c r="C404" s="1" t="n">
        <v>46184</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2719-2023</t>
        </is>
      </c>
      <c r="B405" s="1" t="n">
        <v>44944.55361111111</v>
      </c>
      <c r="C405" s="1" t="n">
        <v>46184</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49314-2024</t>
        </is>
      </c>
      <c r="B406" s="1" t="n">
        <v>45595.55893518519</v>
      </c>
      <c r="C406" s="1" t="n">
        <v>46184</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29809-2022</t>
        </is>
      </c>
      <c r="B407" s="1" t="n">
        <v>44755.8713425926</v>
      </c>
      <c r="C407" s="1" t="n">
        <v>46184</v>
      </c>
      <c r="D407" t="inlineStr">
        <is>
          <t>GOTLANDS LÄN</t>
        </is>
      </c>
      <c r="E407" t="inlineStr">
        <is>
          <t>GOTLAND</t>
        </is>
      </c>
      <c r="G407" t="n">
        <v>11.5</v>
      </c>
      <c r="H407" t="n">
        <v>0</v>
      </c>
      <c r="I407" t="n">
        <v>0</v>
      </c>
      <c r="J407" t="n">
        <v>0</v>
      </c>
      <c r="K407" t="n">
        <v>0</v>
      </c>
      <c r="L407" t="n">
        <v>0</v>
      </c>
      <c r="M407" t="n">
        <v>0</v>
      </c>
      <c r="N407" t="n">
        <v>0</v>
      </c>
      <c r="O407" t="n">
        <v>0</v>
      </c>
      <c r="P407" t="n">
        <v>0</v>
      </c>
      <c r="Q407" t="n">
        <v>0</v>
      </c>
      <c r="R407" s="2" t="inlineStr"/>
    </row>
    <row r="408" ht="15" customHeight="1">
      <c r="A408" t="inlineStr">
        <is>
          <t>A 21396-2026</t>
        </is>
      </c>
      <c r="B408" s="1" t="n">
        <v>46148.30710648148</v>
      </c>
      <c r="C408" s="1" t="n">
        <v>46184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16361-2024</t>
        </is>
      </c>
      <c r="B409" s="1" t="n">
        <v>45407</v>
      </c>
      <c r="C409" s="1" t="n">
        <v>46184</v>
      </c>
      <c r="D409" t="inlineStr">
        <is>
          <t>GOTLANDS LÄN</t>
        </is>
      </c>
      <c r="E409" t="inlineStr">
        <is>
          <t>GOTLAND</t>
        </is>
      </c>
      <c r="G409" t="n">
        <v>6</v>
      </c>
      <c r="H409" t="n">
        <v>0</v>
      </c>
      <c r="I409" t="n">
        <v>0</v>
      </c>
      <c r="J409" t="n">
        <v>0</v>
      </c>
      <c r="K409" t="n">
        <v>0</v>
      </c>
      <c r="L409" t="n">
        <v>0</v>
      </c>
      <c r="M409" t="n">
        <v>0</v>
      </c>
      <c r="N409" t="n">
        <v>0</v>
      </c>
      <c r="O409" t="n">
        <v>0</v>
      </c>
      <c r="P409" t="n">
        <v>0</v>
      </c>
      <c r="Q409" t="n">
        <v>0</v>
      </c>
      <c r="R409" s="2" t="inlineStr"/>
    </row>
    <row r="410" ht="15" customHeight="1">
      <c r="A410" t="inlineStr">
        <is>
          <t>A 43081-2022</t>
        </is>
      </c>
      <c r="B410" s="1" t="n">
        <v>44833</v>
      </c>
      <c r="C410" s="1" t="n">
        <v>46184</v>
      </c>
      <c r="D410" t="inlineStr">
        <is>
          <t>GOTLANDS LÄN</t>
        </is>
      </c>
      <c r="E410" t="inlineStr">
        <is>
          <t>GOTLAND</t>
        </is>
      </c>
      <c r="G410" t="n">
        <v>6.8</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46184</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1175-2025</t>
        </is>
      </c>
      <c r="B412" s="1" t="n">
        <v>45667.34449074074</v>
      </c>
      <c r="C412" s="1" t="n">
        <v>46184</v>
      </c>
      <c r="D412" t="inlineStr">
        <is>
          <t>GOTLANDS LÄN</t>
        </is>
      </c>
      <c r="E412" t="inlineStr">
        <is>
          <t>GOTLAND</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46184</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22351-2026</t>
        </is>
      </c>
      <c r="B414" s="1" t="n">
        <v>46154.58350694444</v>
      </c>
      <c r="C414" s="1" t="n">
        <v>46184</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22348-2026</t>
        </is>
      </c>
      <c r="B415" s="1" t="n">
        <v>46154.58071759259</v>
      </c>
      <c r="C415" s="1" t="n">
        <v>46184</v>
      </c>
      <c r="D415" t="inlineStr">
        <is>
          <t>GOTLANDS LÄN</t>
        </is>
      </c>
      <c r="E415" t="inlineStr">
        <is>
          <t>GOTLAND</t>
        </is>
      </c>
      <c r="G415" t="n">
        <v>3.3</v>
      </c>
      <c r="H415" t="n">
        <v>0</v>
      </c>
      <c r="I415" t="n">
        <v>0</v>
      </c>
      <c r="J415" t="n">
        <v>0</v>
      </c>
      <c r="K415" t="n">
        <v>0</v>
      </c>
      <c r="L415" t="n">
        <v>0</v>
      </c>
      <c r="M415" t="n">
        <v>0</v>
      </c>
      <c r="N415" t="n">
        <v>0</v>
      </c>
      <c r="O415" t="n">
        <v>0</v>
      </c>
      <c r="P415" t="n">
        <v>0</v>
      </c>
      <c r="Q415" t="n">
        <v>0</v>
      </c>
      <c r="R415" s="2" t="inlineStr"/>
    </row>
    <row r="416" ht="15" customHeight="1">
      <c r="A416" t="inlineStr">
        <is>
          <t>A 42041-2024</t>
        </is>
      </c>
      <c r="B416" s="1" t="n">
        <v>45561</v>
      </c>
      <c r="C416" s="1" t="n">
        <v>46184</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46184</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17000-2026</t>
        </is>
      </c>
      <c r="B418" s="1" t="n">
        <v>46114.42690972222</v>
      </c>
      <c r="C418" s="1" t="n">
        <v>46184</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16993-2026</t>
        </is>
      </c>
      <c r="B419" s="1" t="n">
        <v>46114.41918981481</v>
      </c>
      <c r="C419" s="1" t="n">
        <v>46184</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21247-2022</t>
        </is>
      </c>
      <c r="B420" s="1" t="n">
        <v>44705.38832175926</v>
      </c>
      <c r="C420" s="1" t="n">
        <v>46184</v>
      </c>
      <c r="D420" t="inlineStr">
        <is>
          <t>GOTLANDS LÄN</t>
        </is>
      </c>
      <c r="E420" t="inlineStr">
        <is>
          <t>GOTLAND</t>
        </is>
      </c>
      <c r="G420" t="n">
        <v>16.2</v>
      </c>
      <c r="H420" t="n">
        <v>0</v>
      </c>
      <c r="I420" t="n">
        <v>0</v>
      </c>
      <c r="J420" t="n">
        <v>0</v>
      </c>
      <c r="K420" t="n">
        <v>0</v>
      </c>
      <c r="L420" t="n">
        <v>0</v>
      </c>
      <c r="M420" t="n">
        <v>0</v>
      </c>
      <c r="N420" t="n">
        <v>0</v>
      </c>
      <c r="O420" t="n">
        <v>0</v>
      </c>
      <c r="P420" t="n">
        <v>0</v>
      </c>
      <c r="Q420" t="n">
        <v>0</v>
      </c>
      <c r="R420" s="2" t="inlineStr"/>
    </row>
    <row r="421" ht="15" customHeight="1">
      <c r="A421" t="inlineStr">
        <is>
          <t>A 17780-2022</t>
        </is>
      </c>
      <c r="B421" s="1" t="n">
        <v>44682.82622685185</v>
      </c>
      <c r="C421" s="1" t="n">
        <v>46184</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22887-2026</t>
        </is>
      </c>
      <c r="B422" s="1" t="n">
        <v>46160.47591435185</v>
      </c>
      <c r="C422" s="1" t="n">
        <v>46184</v>
      </c>
      <c r="D422" t="inlineStr">
        <is>
          <t>GOTLANDS LÄN</t>
        </is>
      </c>
      <c r="E422" t="inlineStr">
        <is>
          <t>GOTLAND</t>
        </is>
      </c>
      <c r="G422" t="n">
        <v>3.6</v>
      </c>
      <c r="H422" t="n">
        <v>0</v>
      </c>
      <c r="I422" t="n">
        <v>0</v>
      </c>
      <c r="J422" t="n">
        <v>0</v>
      </c>
      <c r="K422" t="n">
        <v>0</v>
      </c>
      <c r="L422" t="n">
        <v>0</v>
      </c>
      <c r="M422" t="n">
        <v>0</v>
      </c>
      <c r="N422" t="n">
        <v>0</v>
      </c>
      <c r="O422" t="n">
        <v>0</v>
      </c>
      <c r="P422" t="n">
        <v>0</v>
      </c>
      <c r="Q422" t="n">
        <v>0</v>
      </c>
      <c r="R422" s="2" t="inlineStr"/>
    </row>
    <row r="423" ht="15" customHeight="1">
      <c r="A423" t="inlineStr">
        <is>
          <t>A 63516-2023</t>
        </is>
      </c>
      <c r="B423" s="1" t="n">
        <v>45274</v>
      </c>
      <c r="C423" s="1" t="n">
        <v>46184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53935-2024</t>
        </is>
      </c>
      <c r="B424" s="1" t="n">
        <v>45615</v>
      </c>
      <c r="C424" s="1" t="n">
        <v>46184</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69112-2021</t>
        </is>
      </c>
      <c r="B425" s="1" t="n">
        <v>44530</v>
      </c>
      <c r="C425" s="1" t="n">
        <v>46184</v>
      </c>
      <c r="D425" t="inlineStr">
        <is>
          <t>GOTLANDS LÄN</t>
        </is>
      </c>
      <c r="E425" t="inlineStr">
        <is>
          <t>GOTLAND</t>
        </is>
      </c>
      <c r="G425" t="n">
        <v>4.2</v>
      </c>
      <c r="H425" t="n">
        <v>0</v>
      </c>
      <c r="I425" t="n">
        <v>0</v>
      </c>
      <c r="J425" t="n">
        <v>0</v>
      </c>
      <c r="K425" t="n">
        <v>0</v>
      </c>
      <c r="L425" t="n">
        <v>0</v>
      </c>
      <c r="M425" t="n">
        <v>0</v>
      </c>
      <c r="N425" t="n">
        <v>0</v>
      </c>
      <c r="O425" t="n">
        <v>0</v>
      </c>
      <c r="P425" t="n">
        <v>0</v>
      </c>
      <c r="Q425" t="n">
        <v>0</v>
      </c>
      <c r="R425" s="2" t="inlineStr"/>
    </row>
    <row r="426" ht="15" customHeight="1">
      <c r="A426" t="inlineStr">
        <is>
          <t>A 48734-2022</t>
        </is>
      </c>
      <c r="B426" s="1" t="n">
        <v>44855</v>
      </c>
      <c r="C426" s="1" t="n">
        <v>46184</v>
      </c>
      <c r="D426" t="inlineStr">
        <is>
          <t>GOTLANDS LÄN</t>
        </is>
      </c>
      <c r="E426" t="inlineStr">
        <is>
          <t>GOTLAND</t>
        </is>
      </c>
      <c r="G426" t="n">
        <v>1.6</v>
      </c>
      <c r="H426" t="n">
        <v>0</v>
      </c>
      <c r="I426" t="n">
        <v>0</v>
      </c>
      <c r="J426" t="n">
        <v>0</v>
      </c>
      <c r="K426" t="n">
        <v>0</v>
      </c>
      <c r="L426" t="n">
        <v>0</v>
      </c>
      <c r="M426" t="n">
        <v>0</v>
      </c>
      <c r="N426" t="n">
        <v>0</v>
      </c>
      <c r="O426" t="n">
        <v>0</v>
      </c>
      <c r="P426" t="n">
        <v>0</v>
      </c>
      <c r="Q426" t="n">
        <v>0</v>
      </c>
      <c r="R426" s="2" t="inlineStr"/>
    </row>
    <row r="427" ht="15" customHeight="1">
      <c r="A427" t="inlineStr">
        <is>
          <t>A 23516-2023</t>
        </is>
      </c>
      <c r="B427" s="1" t="n">
        <v>45076.93391203704</v>
      </c>
      <c r="C427" s="1" t="n">
        <v>46184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43231-2023</t>
        </is>
      </c>
      <c r="B428" s="1" t="n">
        <v>45183.47025462963</v>
      </c>
      <c r="C428" s="1" t="n">
        <v>46184</v>
      </c>
      <c r="D428" t="inlineStr">
        <is>
          <t>GOTLANDS LÄN</t>
        </is>
      </c>
      <c r="E428" t="inlineStr">
        <is>
          <t>GOTLAND</t>
        </is>
      </c>
      <c r="G428" t="n">
        <v>3.6</v>
      </c>
      <c r="H428" t="n">
        <v>0</v>
      </c>
      <c r="I428" t="n">
        <v>0</v>
      </c>
      <c r="J428" t="n">
        <v>0</v>
      </c>
      <c r="K428" t="n">
        <v>0</v>
      </c>
      <c r="L428" t="n">
        <v>0</v>
      </c>
      <c r="M428" t="n">
        <v>0</v>
      </c>
      <c r="N428" t="n">
        <v>0</v>
      </c>
      <c r="O428" t="n">
        <v>0</v>
      </c>
      <c r="P428" t="n">
        <v>0</v>
      </c>
      <c r="Q428" t="n">
        <v>0</v>
      </c>
      <c r="R428" s="2" t="inlineStr"/>
    </row>
    <row r="429" ht="15" customHeight="1">
      <c r="A429" t="inlineStr">
        <is>
          <t>A 64555-2023</t>
        </is>
      </c>
      <c r="B429" s="1" t="n">
        <v>45281</v>
      </c>
      <c r="C429" s="1" t="n">
        <v>46184</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457-2023</t>
        </is>
      </c>
      <c r="B430" s="1" t="n">
        <v>44929.87238425926</v>
      </c>
      <c r="C430" s="1" t="n">
        <v>46184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459-2023</t>
        </is>
      </c>
      <c r="B431" s="1" t="n">
        <v>44929.87423611111</v>
      </c>
      <c r="C431" s="1" t="n">
        <v>46184</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23103-2026</t>
        </is>
      </c>
      <c r="B432" s="1" t="n">
        <v>46161.57108796296</v>
      </c>
      <c r="C432" s="1" t="n">
        <v>46184</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17935-2026</t>
        </is>
      </c>
      <c r="B433" s="1" t="n">
        <v>46122</v>
      </c>
      <c r="C433" s="1" t="n">
        <v>46184</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23504-2026</t>
        </is>
      </c>
      <c r="B434" s="1" t="n">
        <v>46163.45875</v>
      </c>
      <c r="C434" s="1" t="n">
        <v>46184</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876-2024</t>
        </is>
      </c>
      <c r="B435" s="1" t="n">
        <v>45301</v>
      </c>
      <c r="C435" s="1" t="n">
        <v>46184</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26891-2024</t>
        </is>
      </c>
      <c r="B436" s="1" t="n">
        <v>45470.65540509259</v>
      </c>
      <c r="C436" s="1" t="n">
        <v>46184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5923-2023</t>
        </is>
      </c>
      <c r="B437" s="1" t="n">
        <v>44963.69503472222</v>
      </c>
      <c r="C437" s="1" t="n">
        <v>46184</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50482-2024</t>
        </is>
      </c>
      <c r="B438" s="1" t="n">
        <v>45601.48114583334</v>
      </c>
      <c r="C438" s="1" t="n">
        <v>46184</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5943-2024</t>
        </is>
      </c>
      <c r="B439" s="1" t="n">
        <v>45336</v>
      </c>
      <c r="C439" s="1" t="n">
        <v>46184</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38234-2023</t>
        </is>
      </c>
      <c r="B440" s="1" t="n">
        <v>45161.56663194444</v>
      </c>
      <c r="C440" s="1" t="n">
        <v>46184</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1273-2023</t>
        </is>
      </c>
      <c r="B441" s="1" t="n">
        <v>44936</v>
      </c>
      <c r="C441" s="1" t="n">
        <v>46184</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17724-2024</t>
        </is>
      </c>
      <c r="B442" s="1" t="n">
        <v>45418.55096064815</v>
      </c>
      <c r="C442" s="1" t="n">
        <v>46184</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23978-2023</t>
        </is>
      </c>
      <c r="B443" s="1" t="n">
        <v>45078</v>
      </c>
      <c r="C443" s="1" t="n">
        <v>46184</v>
      </c>
      <c r="D443" t="inlineStr">
        <is>
          <t>GOTLANDS LÄN</t>
        </is>
      </c>
      <c r="E443" t="inlineStr">
        <is>
          <t>GOTLAND</t>
        </is>
      </c>
      <c r="F443" t="inlineStr">
        <is>
          <t>Naturvårdsverket</t>
        </is>
      </c>
      <c r="G443" t="n">
        <v>1.7</v>
      </c>
      <c r="H443" t="n">
        <v>0</v>
      </c>
      <c r="I443" t="n">
        <v>0</v>
      </c>
      <c r="J443" t="n">
        <v>0</v>
      </c>
      <c r="K443" t="n">
        <v>0</v>
      </c>
      <c r="L443" t="n">
        <v>0</v>
      </c>
      <c r="M443" t="n">
        <v>0</v>
      </c>
      <c r="N443" t="n">
        <v>0</v>
      </c>
      <c r="O443" t="n">
        <v>0</v>
      </c>
      <c r="P443" t="n">
        <v>0</v>
      </c>
      <c r="Q443" t="n">
        <v>0</v>
      </c>
      <c r="R443" s="2" t="inlineStr"/>
    </row>
    <row r="444" ht="15" customHeight="1">
      <c r="A444" t="inlineStr">
        <is>
          <t>A 49884-2023</t>
        </is>
      </c>
      <c r="B444" s="1" t="n">
        <v>45213</v>
      </c>
      <c r="C444" s="1" t="n">
        <v>46184</v>
      </c>
      <c r="D444" t="inlineStr">
        <is>
          <t>GOTLANDS LÄN</t>
        </is>
      </c>
      <c r="E444" t="inlineStr">
        <is>
          <t>GOTLAND</t>
        </is>
      </c>
      <c r="G444" t="n">
        <v>8.9</v>
      </c>
      <c r="H444" t="n">
        <v>0</v>
      </c>
      <c r="I444" t="n">
        <v>0</v>
      </c>
      <c r="J444" t="n">
        <v>0</v>
      </c>
      <c r="K444" t="n">
        <v>0</v>
      </c>
      <c r="L444" t="n">
        <v>0</v>
      </c>
      <c r="M444" t="n">
        <v>0</v>
      </c>
      <c r="N444" t="n">
        <v>0</v>
      </c>
      <c r="O444" t="n">
        <v>0</v>
      </c>
      <c r="P444" t="n">
        <v>0</v>
      </c>
      <c r="Q444" t="n">
        <v>0</v>
      </c>
      <c r="R444" s="2" t="inlineStr"/>
    </row>
    <row r="445" ht="15" customHeight="1">
      <c r="A445" t="inlineStr">
        <is>
          <t>A 12846-2025</t>
        </is>
      </c>
      <c r="B445" s="1" t="n">
        <v>45733.65049768519</v>
      </c>
      <c r="C445" s="1" t="n">
        <v>46184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43200-2023</t>
        </is>
      </c>
      <c r="B446" s="1" t="n">
        <v>45183</v>
      </c>
      <c r="C446" s="1" t="n">
        <v>46184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18804-2026</t>
        </is>
      </c>
      <c r="B447" s="1" t="n">
        <v>46128.62366898148</v>
      </c>
      <c r="C447" s="1" t="n">
        <v>46184</v>
      </c>
      <c r="D447" t="inlineStr">
        <is>
          <t>GOTLANDS LÄN</t>
        </is>
      </c>
      <c r="E447" t="inlineStr">
        <is>
          <t>GOTLAND</t>
        </is>
      </c>
      <c r="F447" t="inlineStr">
        <is>
          <t>Kyrkan</t>
        </is>
      </c>
      <c r="G447" t="n">
        <v>2.6</v>
      </c>
      <c r="H447" t="n">
        <v>0</v>
      </c>
      <c r="I447" t="n">
        <v>0</v>
      </c>
      <c r="J447" t="n">
        <v>0</v>
      </c>
      <c r="K447" t="n">
        <v>0</v>
      </c>
      <c r="L447" t="n">
        <v>0</v>
      </c>
      <c r="M447" t="n">
        <v>0</v>
      </c>
      <c r="N447" t="n">
        <v>0</v>
      </c>
      <c r="O447" t="n">
        <v>0</v>
      </c>
      <c r="P447" t="n">
        <v>0</v>
      </c>
      <c r="Q447" t="n">
        <v>0</v>
      </c>
      <c r="R447" s="2" t="inlineStr"/>
    </row>
    <row r="448" ht="15" customHeight="1">
      <c r="A448" t="inlineStr">
        <is>
          <t>A 4639-2026</t>
        </is>
      </c>
      <c r="B448" s="1" t="n">
        <v>46048.39880787037</v>
      </c>
      <c r="C448" s="1" t="n">
        <v>46184</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24448-2026</t>
        </is>
      </c>
      <c r="B449" s="1" t="n">
        <v>46170.35354166666</v>
      </c>
      <c r="C449" s="1" t="n">
        <v>46184</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62836-2025</t>
        </is>
      </c>
      <c r="B450" s="1" t="n">
        <v>46008</v>
      </c>
      <c r="C450" s="1" t="n">
        <v>46184</v>
      </c>
      <c r="D450" t="inlineStr">
        <is>
          <t>GOTLANDS LÄN</t>
        </is>
      </c>
      <c r="E450" t="inlineStr">
        <is>
          <t>GOTLAND</t>
        </is>
      </c>
      <c r="G450" t="n">
        <v>6.5</v>
      </c>
      <c r="H450" t="n">
        <v>0</v>
      </c>
      <c r="I450" t="n">
        <v>0</v>
      </c>
      <c r="J450" t="n">
        <v>0</v>
      </c>
      <c r="K450" t="n">
        <v>0</v>
      </c>
      <c r="L450" t="n">
        <v>0</v>
      </c>
      <c r="M450" t="n">
        <v>0</v>
      </c>
      <c r="N450" t="n">
        <v>0</v>
      </c>
      <c r="O450" t="n">
        <v>0</v>
      </c>
      <c r="P450" t="n">
        <v>0</v>
      </c>
      <c r="Q450" t="n">
        <v>0</v>
      </c>
      <c r="R450" s="2" t="inlineStr"/>
    </row>
    <row r="451" ht="15" customHeight="1">
      <c r="A451" t="inlineStr">
        <is>
          <t>A 48843-2024</t>
        </is>
      </c>
      <c r="B451" s="1" t="n">
        <v>45593</v>
      </c>
      <c r="C451" s="1" t="n">
        <v>46184</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19322-2026</t>
        </is>
      </c>
      <c r="B452" s="1" t="n">
        <v>46129</v>
      </c>
      <c r="C452" s="1" t="n">
        <v>46184</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10653-2023</t>
        </is>
      </c>
      <c r="B453" s="1" t="n">
        <v>44988.48859953704</v>
      </c>
      <c r="C453" s="1" t="n">
        <v>46184</v>
      </c>
      <c r="D453" t="inlineStr">
        <is>
          <t>GOTLANDS LÄN</t>
        </is>
      </c>
      <c r="E453" t="inlineStr">
        <is>
          <t>GOTLAND</t>
        </is>
      </c>
      <c r="F453" t="inlineStr">
        <is>
          <t>Kyrkan</t>
        </is>
      </c>
      <c r="G453" t="n">
        <v>3</v>
      </c>
      <c r="H453" t="n">
        <v>0</v>
      </c>
      <c r="I453" t="n">
        <v>0</v>
      </c>
      <c r="J453" t="n">
        <v>0</v>
      </c>
      <c r="K453" t="n">
        <v>0</v>
      </c>
      <c r="L453" t="n">
        <v>0</v>
      </c>
      <c r="M453" t="n">
        <v>0</v>
      </c>
      <c r="N453" t="n">
        <v>0</v>
      </c>
      <c r="O453" t="n">
        <v>0</v>
      </c>
      <c r="P453" t="n">
        <v>0</v>
      </c>
      <c r="Q453" t="n">
        <v>0</v>
      </c>
      <c r="R453" s="2" t="inlineStr"/>
    </row>
    <row r="454" ht="15" customHeight="1">
      <c r="A454" t="inlineStr">
        <is>
          <t>A 35512-2023</t>
        </is>
      </c>
      <c r="B454" s="1" t="n">
        <v>45147.25623842593</v>
      </c>
      <c r="C454" s="1" t="n">
        <v>46184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17943-2026</t>
        </is>
      </c>
      <c r="B455" s="1" t="n">
        <v>46122</v>
      </c>
      <c r="C455" s="1" t="n">
        <v>46184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11874-2024</t>
        </is>
      </c>
      <c r="B456" s="1" t="n">
        <v>45376.46956018519</v>
      </c>
      <c r="C456" s="1" t="n">
        <v>46184</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1677-2023</t>
        </is>
      </c>
      <c r="B457" s="1" t="n">
        <v>44938</v>
      </c>
      <c r="C457" s="1" t="n">
        <v>46184</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5863-2026</t>
        </is>
      </c>
      <c r="B458" s="1" t="n">
        <v>46052</v>
      </c>
      <c r="C458" s="1" t="n">
        <v>46184</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7625-2026</t>
        </is>
      </c>
      <c r="B459" s="1" t="n">
        <v>46062.35135416667</v>
      </c>
      <c r="C459" s="1" t="n">
        <v>46184</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62754-2025</t>
        </is>
      </c>
      <c r="B460" s="1" t="n">
        <v>46008</v>
      </c>
      <c r="C460" s="1" t="n">
        <v>46184</v>
      </c>
      <c r="D460" t="inlineStr">
        <is>
          <t>GOTLANDS LÄN</t>
        </is>
      </c>
      <c r="E460" t="inlineStr">
        <is>
          <t>GOTLAND</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46184</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45282.44924768519</v>
      </c>
      <c r="C462" s="1" t="n">
        <v>46184</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46184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25796-2025</t>
        </is>
      </c>
      <c r="B464" s="1" t="n">
        <v>45804.39543981481</v>
      </c>
      <c r="C464" s="1" t="n">
        <v>46184</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46184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1854-2026</t>
        </is>
      </c>
      <c r="B466" s="1" t="n">
        <v>46035</v>
      </c>
      <c r="C466" s="1" t="n">
        <v>46184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7638-2025</t>
        </is>
      </c>
      <c r="B467" s="1" t="n">
        <v>45705.77306712963</v>
      </c>
      <c r="C467" s="1" t="n">
        <v>46184</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4377-2023</t>
        </is>
      </c>
      <c r="B468" s="1" t="n">
        <v>44955.5502662037</v>
      </c>
      <c r="C468" s="1" t="n">
        <v>46184</v>
      </c>
      <c r="D468" t="inlineStr">
        <is>
          <t>GOTLANDS LÄN</t>
        </is>
      </c>
      <c r="E468" t="inlineStr">
        <is>
          <t>GOTLAND</t>
        </is>
      </c>
      <c r="F468" t="inlineStr">
        <is>
          <t>Kyrkan</t>
        </is>
      </c>
      <c r="G468" t="n">
        <v>0.6</v>
      </c>
      <c r="H468" t="n">
        <v>0</v>
      </c>
      <c r="I468" t="n">
        <v>0</v>
      </c>
      <c r="J468" t="n">
        <v>0</v>
      </c>
      <c r="K468" t="n">
        <v>0</v>
      </c>
      <c r="L468" t="n">
        <v>0</v>
      </c>
      <c r="M468" t="n">
        <v>0</v>
      </c>
      <c r="N468" t="n">
        <v>0</v>
      </c>
      <c r="O468" t="n">
        <v>0</v>
      </c>
      <c r="P468" t="n">
        <v>0</v>
      </c>
      <c r="Q468" t="n">
        <v>0</v>
      </c>
      <c r="R468" s="2" t="inlineStr"/>
    </row>
    <row r="469" ht="15" customHeight="1">
      <c r="A469" t="inlineStr">
        <is>
          <t>A 43901-2023</t>
        </is>
      </c>
      <c r="B469" s="1" t="n">
        <v>45187</v>
      </c>
      <c r="C469" s="1" t="n">
        <v>46184</v>
      </c>
      <c r="D469" t="inlineStr">
        <is>
          <t>GOTLANDS LÄN</t>
        </is>
      </c>
      <c r="E469" t="inlineStr">
        <is>
          <t>GOTLAND</t>
        </is>
      </c>
      <c r="G469" t="n">
        <v>5.4</v>
      </c>
      <c r="H469" t="n">
        <v>0</v>
      </c>
      <c r="I469" t="n">
        <v>0</v>
      </c>
      <c r="J469" t="n">
        <v>0</v>
      </c>
      <c r="K469" t="n">
        <v>0</v>
      </c>
      <c r="L469" t="n">
        <v>0</v>
      </c>
      <c r="M469" t="n">
        <v>0</v>
      </c>
      <c r="N469" t="n">
        <v>0</v>
      </c>
      <c r="O469" t="n">
        <v>0</v>
      </c>
      <c r="P469" t="n">
        <v>0</v>
      </c>
      <c r="Q469" t="n">
        <v>0</v>
      </c>
      <c r="R469" s="2" t="inlineStr"/>
    </row>
    <row r="470" ht="15" customHeight="1">
      <c r="A470" t="inlineStr">
        <is>
          <t>A 17532-2024</t>
        </is>
      </c>
      <c r="B470" s="1" t="n">
        <v>45415</v>
      </c>
      <c r="C470" s="1" t="n">
        <v>46184</v>
      </c>
      <c r="D470" t="inlineStr">
        <is>
          <t>GOTLANDS LÄN</t>
        </is>
      </c>
      <c r="E470" t="inlineStr">
        <is>
          <t>GOTLAND</t>
        </is>
      </c>
      <c r="G470" t="n">
        <v>4.3</v>
      </c>
      <c r="H470" t="n">
        <v>0</v>
      </c>
      <c r="I470" t="n">
        <v>0</v>
      </c>
      <c r="J470" t="n">
        <v>0</v>
      </c>
      <c r="K470" t="n">
        <v>0</v>
      </c>
      <c r="L470" t="n">
        <v>0</v>
      </c>
      <c r="M470" t="n">
        <v>0</v>
      </c>
      <c r="N470" t="n">
        <v>0</v>
      </c>
      <c r="O470" t="n">
        <v>0</v>
      </c>
      <c r="P470" t="n">
        <v>0</v>
      </c>
      <c r="Q470" t="n">
        <v>0</v>
      </c>
      <c r="R470" s="2" t="inlineStr"/>
    </row>
    <row r="471" ht="15" customHeight="1">
      <c r="A471" t="inlineStr">
        <is>
          <t>A 2180-2025</t>
        </is>
      </c>
      <c r="B471" s="1" t="n">
        <v>45673</v>
      </c>
      <c r="C471" s="1" t="n">
        <v>46184</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37222-2021</t>
        </is>
      </c>
      <c r="B472" s="1" t="n">
        <v>44396</v>
      </c>
      <c r="C472" s="1" t="n">
        <v>46184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13910-2025</t>
        </is>
      </c>
      <c r="B473" s="1" t="n">
        <v>45737</v>
      </c>
      <c r="C473" s="1" t="n">
        <v>46184</v>
      </c>
      <c r="D473" t="inlineStr">
        <is>
          <t>GOTLANDS LÄN</t>
        </is>
      </c>
      <c r="E473" t="inlineStr">
        <is>
          <t>GOTLAND</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46396-2023</t>
        </is>
      </c>
      <c r="B474" s="1" t="n">
        <v>45197</v>
      </c>
      <c r="C474" s="1" t="n">
        <v>46184</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46184</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45112-2024</t>
        </is>
      </c>
      <c r="B476" s="1" t="n">
        <v>45575</v>
      </c>
      <c r="C476" s="1" t="n">
        <v>46184</v>
      </c>
      <c r="D476" t="inlineStr">
        <is>
          <t>GOTLANDS LÄN</t>
        </is>
      </c>
      <c r="E476" t="inlineStr">
        <is>
          <t>GOTLAND</t>
        </is>
      </c>
      <c r="G476" t="n">
        <v>5.1</v>
      </c>
      <c r="H476" t="n">
        <v>0</v>
      </c>
      <c r="I476" t="n">
        <v>0</v>
      </c>
      <c r="J476" t="n">
        <v>0</v>
      </c>
      <c r="K476" t="n">
        <v>0</v>
      </c>
      <c r="L476" t="n">
        <v>0</v>
      </c>
      <c r="M476" t="n">
        <v>0</v>
      </c>
      <c r="N476" t="n">
        <v>0</v>
      </c>
      <c r="O476" t="n">
        <v>0</v>
      </c>
      <c r="P476" t="n">
        <v>0</v>
      </c>
      <c r="Q476" t="n">
        <v>0</v>
      </c>
      <c r="R476" s="2" t="inlineStr"/>
    </row>
    <row r="477" ht="15" customHeight="1">
      <c r="A477" t="inlineStr">
        <is>
          <t>A 58132-2023</t>
        </is>
      </c>
      <c r="B477" s="1" t="n">
        <v>45250</v>
      </c>
      <c r="C477" s="1" t="n">
        <v>46184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22899-2023</t>
        </is>
      </c>
      <c r="B478" s="1" t="n">
        <v>45072</v>
      </c>
      <c r="C478" s="1" t="n">
        <v>46184</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28285-2024</t>
        </is>
      </c>
      <c r="B479" s="1" t="n">
        <v>45477</v>
      </c>
      <c r="C479" s="1" t="n">
        <v>46184</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51963-2024</t>
        </is>
      </c>
      <c r="B480" s="1" t="n">
        <v>45607.64833333333</v>
      </c>
      <c r="C480" s="1" t="n">
        <v>46184</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35537-2025</t>
        </is>
      </c>
      <c r="B481" s="1" t="n">
        <v>45856</v>
      </c>
      <c r="C481" s="1" t="n">
        <v>46184</v>
      </c>
      <c r="D481" t="inlineStr">
        <is>
          <t>GOTLANDS LÄN</t>
        </is>
      </c>
      <c r="E481" t="inlineStr">
        <is>
          <t>GOTLAND</t>
        </is>
      </c>
      <c r="G481" t="n">
        <v>16.8</v>
      </c>
      <c r="H481" t="n">
        <v>0</v>
      </c>
      <c r="I481" t="n">
        <v>0</v>
      </c>
      <c r="J481" t="n">
        <v>0</v>
      </c>
      <c r="K481" t="n">
        <v>0</v>
      </c>
      <c r="L481" t="n">
        <v>0</v>
      </c>
      <c r="M481" t="n">
        <v>0</v>
      </c>
      <c r="N481" t="n">
        <v>0</v>
      </c>
      <c r="O481" t="n">
        <v>0</v>
      </c>
      <c r="P481" t="n">
        <v>0</v>
      </c>
      <c r="Q481" t="n">
        <v>0</v>
      </c>
      <c r="R481" s="2" t="inlineStr"/>
    </row>
    <row r="482" ht="15" customHeight="1">
      <c r="A482" t="inlineStr">
        <is>
          <t>A 20225-2025</t>
        </is>
      </c>
      <c r="B482" s="1" t="n">
        <v>45772.65802083333</v>
      </c>
      <c r="C482" s="1" t="n">
        <v>46184</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1734-2025</t>
        </is>
      </c>
      <c r="B483" s="1" t="n">
        <v>45671.3840625</v>
      </c>
      <c r="C483" s="1" t="n">
        <v>46184</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883-2025</t>
        </is>
      </c>
      <c r="B484" s="1" t="n">
        <v>45665</v>
      </c>
      <c r="C484" s="1" t="n">
        <v>46184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30365-2024</t>
        </is>
      </c>
      <c r="B485" s="1" t="n">
        <v>45491.3716087963</v>
      </c>
      <c r="C485" s="1" t="n">
        <v>46184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46184</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2674-2023</t>
        </is>
      </c>
      <c r="B487" s="1" t="n">
        <v>44944</v>
      </c>
      <c r="C487" s="1" t="n">
        <v>46184</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46184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29207-2025</t>
        </is>
      </c>
      <c r="B489" s="1" t="n">
        <v>45823</v>
      </c>
      <c r="C489" s="1" t="n">
        <v>46184</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46184</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32379-2025</t>
        </is>
      </c>
      <c r="B491" s="1" t="n">
        <v>45837</v>
      </c>
      <c r="C491" s="1" t="n">
        <v>46184</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44649-2021</t>
        </is>
      </c>
      <c r="B492" s="1" t="n">
        <v>44437</v>
      </c>
      <c r="C492" s="1" t="n">
        <v>46184</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8484-2025</t>
        </is>
      </c>
      <c r="B493" s="1" t="n">
        <v>45709</v>
      </c>
      <c r="C493" s="1" t="n">
        <v>46184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50744-2024</t>
        </is>
      </c>
      <c r="B494" s="1" t="n">
        <v>45602.4187037037</v>
      </c>
      <c r="C494" s="1" t="n">
        <v>46184</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38165-2023</t>
        </is>
      </c>
      <c r="B495" s="1" t="n">
        <v>45161</v>
      </c>
      <c r="C495" s="1" t="n">
        <v>46184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46184</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46184</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46184</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46184</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46184</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46184</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46184</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46184</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46184</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46184</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46184</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46184</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46184</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46184</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46184</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46184</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46184</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46184</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46184</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46184</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46184</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46184</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46184</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46184</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46184</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46184</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46184</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46184</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46184</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2026-06-11T09:24:16Z</dcterms:created>
  <dcterms:modified xmlns:dcterms="http://purl.org/dc/terms/" xmlns:xsi="http://www.w3.org/2001/XMLSchema-instance" xsi:type="dcterms:W3CDTF">2026-06-11T09:24:17Z</dcterms:modified>
</cp:coreProperties>
</file>