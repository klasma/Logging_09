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46175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46175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46175</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46175</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46175</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46175</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46175</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46175</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46175</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46175</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46175</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46175</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8645-2025</t>
        </is>
      </c>
      <c r="B18" s="1" t="n">
        <v>45712</v>
      </c>
      <c r="C18" s="1" t="n">
        <v>46175</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46175</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46175</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46175</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34100-2024</t>
        </is>
      </c>
      <c r="B22" s="1" t="n">
        <v>45523</v>
      </c>
      <c r="C22" s="1" t="n">
        <v>46175</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46175</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15629-2024</t>
        </is>
      </c>
      <c r="B24" s="1" t="n">
        <v>45402.78372685185</v>
      </c>
      <c r="C24" s="1" t="n">
        <v>46175</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61697-2023</t>
        </is>
      </c>
      <c r="B25" s="1" t="n">
        <v>45265</v>
      </c>
      <c r="C25" s="1" t="n">
        <v>46175</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17762-2024</t>
        </is>
      </c>
      <c r="B26" s="1" t="n">
        <v>45418</v>
      </c>
      <c r="C26" s="1" t="n">
        <v>46175</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46175</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2222-2024</t>
        </is>
      </c>
      <c r="B28" s="1" t="n">
        <v>45309</v>
      </c>
      <c r="C28" s="1" t="n">
        <v>46175</v>
      </c>
      <c r="D28" t="inlineStr">
        <is>
          <t>GOTLANDS LÄN</t>
        </is>
      </c>
      <c r="E28" t="inlineStr">
        <is>
          <t>GOTLAND</t>
        </is>
      </c>
      <c r="F28" t="inlineStr">
        <is>
          <t>Kyrkan</t>
        </is>
      </c>
      <c r="G28" t="n">
        <v>10.6</v>
      </c>
      <c r="H28" t="n">
        <v>0</v>
      </c>
      <c r="I28" t="n">
        <v>6</v>
      </c>
      <c r="J28" t="n">
        <v>3</v>
      </c>
      <c r="K28" t="n">
        <v>5</v>
      </c>
      <c r="L28" t="n">
        <v>0</v>
      </c>
      <c r="M28" t="n">
        <v>0</v>
      </c>
      <c r="N28" t="n">
        <v>0</v>
      </c>
      <c r="O28" t="n">
        <v>8</v>
      </c>
      <c r="P28" t="n">
        <v>5</v>
      </c>
      <c r="Q28" t="n">
        <v>14</v>
      </c>
      <c r="R28" s="2" t="inlineStr">
        <is>
          <t>Granrotspindling
Gulsträngad fagerspindling
Svartgrön spindling
Tvillingspindling
Vit taggsvamp
Denisespindling
Odörspindling
Svinrot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25779-2022</t>
        </is>
      </c>
      <c r="B29" s="1" t="n">
        <v>44733</v>
      </c>
      <c r="C29" s="1" t="n">
        <v>46175</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44928-2022</t>
        </is>
      </c>
      <c r="B30" s="1" t="n">
        <v>44841</v>
      </c>
      <c r="C30" s="1" t="n">
        <v>46175</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44204-2022</t>
        </is>
      </c>
      <c r="B31" s="1" t="n">
        <v>44839</v>
      </c>
      <c r="C31" s="1" t="n">
        <v>46175</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2804-2023</t>
        </is>
      </c>
      <c r="B32" s="1" t="n">
        <v>44944</v>
      </c>
      <c r="C32" s="1" t="n">
        <v>46175</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46175</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3324-2023</t>
        </is>
      </c>
      <c r="B34" s="1" t="n">
        <v>44949</v>
      </c>
      <c r="C34" s="1" t="n">
        <v>46175</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61664-2023</t>
        </is>
      </c>
      <c r="B35" s="1" t="n">
        <v>45265</v>
      </c>
      <c r="C35" s="1" t="n">
        <v>46175</v>
      </c>
      <c r="D35" t="inlineStr">
        <is>
          <t>GOTLANDS LÄN</t>
        </is>
      </c>
      <c r="E35" t="inlineStr">
        <is>
          <t>GOTLAND</t>
        </is>
      </c>
      <c r="G35" t="n">
        <v>4.8</v>
      </c>
      <c r="H35" t="n">
        <v>6</v>
      </c>
      <c r="I35" t="n">
        <v>5</v>
      </c>
      <c r="J35" t="n">
        <v>4</v>
      </c>
      <c r="K35" t="n">
        <v>0</v>
      </c>
      <c r="L35" t="n">
        <v>0</v>
      </c>
      <c r="M35" t="n">
        <v>0</v>
      </c>
      <c r="N35" t="n">
        <v>0</v>
      </c>
      <c r="O35" t="n">
        <v>4</v>
      </c>
      <c r="P35" t="n">
        <v>0</v>
      </c>
      <c r="Q35" t="n">
        <v>12</v>
      </c>
      <c r="R35" s="2" t="inlineStr">
        <is>
          <t>Majviva
Odörspindling
Spillkråka
Svinrot
Blå slemspindling
Blåmossa
Nästrot
Skogsknipprot
Svavelriska
Brudsporre
Kärrknipprot
Ängsnycklar</t>
        </is>
      </c>
      <c r="S35">
        <f>HYPERLINK("https://klasma.github.io/Logging_0980/artfynd/A 61664-2023 artfynd.xlsx", "A 61664-2023")</f>
        <v/>
      </c>
      <c r="T35">
        <f>HYPERLINK("https://klasma.github.io/Logging_0980/kartor/A 61664-2023 karta.png", "A 61664-2023")</f>
        <v/>
      </c>
      <c r="V35">
        <f>HYPERLINK("https://klasma.github.io/Logging_0980/klagomål/A 61664-2023 FSC-klagomål.docx", "A 61664-2023")</f>
        <v/>
      </c>
      <c r="W35">
        <f>HYPERLINK("https://klasma.github.io/Logging_0980/klagomålsmail/A 61664-2023 FSC-klagomål mail.docx", "A 61664-2023")</f>
        <v/>
      </c>
      <c r="X35">
        <f>HYPERLINK("https://klasma.github.io/Logging_0980/tillsyn/A 61664-2023 tillsynsbegäran.docx", "A 61664-2023")</f>
        <v/>
      </c>
      <c r="Y35">
        <f>HYPERLINK("https://klasma.github.io/Logging_0980/tillsynsmail/A 61664-2023 tillsynsbegäran mail.docx", "A 61664-2023")</f>
        <v/>
      </c>
      <c r="Z35">
        <f>HYPERLINK("https://klasma.github.io/Logging_0980/fåglar/A 61664-2023 prioriterade fågelarter.docx", "A 61664-2023")</f>
        <v/>
      </c>
    </row>
    <row r="36" ht="15" customHeight="1">
      <c r="A36" t="inlineStr">
        <is>
          <t>A 15850-2025</t>
        </is>
      </c>
      <c r="B36" s="1" t="n">
        <v>45748</v>
      </c>
      <c r="C36" s="1" t="n">
        <v>46175</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63872-2021</t>
        </is>
      </c>
      <c r="B37" s="1" t="n">
        <v>44509</v>
      </c>
      <c r="C37" s="1" t="n">
        <v>46175</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46175</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37037-2021</t>
        </is>
      </c>
      <c r="B39" s="1" t="n">
        <v>44393.84688657407</v>
      </c>
      <c r="C39" s="1" t="n">
        <v>46175</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46175</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11176-2024</t>
        </is>
      </c>
      <c r="B41" s="1" t="n">
        <v>45371</v>
      </c>
      <c r="C41" s="1" t="n">
        <v>46175</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10274-2026</t>
        </is>
      </c>
      <c r="B42" s="1" t="n">
        <v>46076</v>
      </c>
      <c r="C42" s="1" t="n">
        <v>46175</v>
      </c>
      <c r="D42" t="inlineStr">
        <is>
          <t>GOTLANDS LÄN</t>
        </is>
      </c>
      <c r="E42" t="inlineStr">
        <is>
          <t>GOTLAND</t>
        </is>
      </c>
      <c r="G42" t="n">
        <v>9.800000000000001</v>
      </c>
      <c r="H42" t="n">
        <v>4</v>
      </c>
      <c r="I42" t="n">
        <v>3</v>
      </c>
      <c r="J42" t="n">
        <v>4</v>
      </c>
      <c r="K42" t="n">
        <v>1</v>
      </c>
      <c r="L42" t="n">
        <v>0</v>
      </c>
      <c r="M42" t="n">
        <v>0</v>
      </c>
      <c r="N42" t="n">
        <v>0</v>
      </c>
      <c r="O42" t="n">
        <v>5</v>
      </c>
      <c r="P42" t="n">
        <v>1</v>
      </c>
      <c r="Q42" t="n">
        <v>11</v>
      </c>
      <c r="R42" s="2" t="inlineStr">
        <is>
          <t>Gråfingerört
Backstarr
Backtimjan
Reliktbock
Spillkråka
Axag
Grönpyrola
Kragjordstjärna
Alvarstånds
Nattviol
Sankt pers nycklar</t>
        </is>
      </c>
      <c r="S42">
        <f>HYPERLINK("https://klasma.github.io/Logging_0980/artfynd/A 10274-2026 artfynd.xlsx", "A 10274-2026")</f>
        <v/>
      </c>
      <c r="T42">
        <f>HYPERLINK("https://klasma.github.io/Logging_0980/kartor/A 10274-2026 karta.png", "A 10274-2026")</f>
        <v/>
      </c>
      <c r="V42">
        <f>HYPERLINK("https://klasma.github.io/Logging_0980/klagomål/A 10274-2026 FSC-klagomål.docx", "A 10274-2026")</f>
        <v/>
      </c>
      <c r="W42">
        <f>HYPERLINK("https://klasma.github.io/Logging_0980/klagomålsmail/A 10274-2026 FSC-klagomål mail.docx", "A 10274-2026")</f>
        <v/>
      </c>
      <c r="X42">
        <f>HYPERLINK("https://klasma.github.io/Logging_0980/tillsyn/A 10274-2026 tillsynsbegäran.docx", "A 10274-2026")</f>
        <v/>
      </c>
      <c r="Y42">
        <f>HYPERLINK("https://klasma.github.io/Logging_0980/tillsynsmail/A 10274-2026 tillsynsbegäran mail.docx", "A 10274-2026")</f>
        <v/>
      </c>
      <c r="Z42">
        <f>HYPERLINK("https://klasma.github.io/Logging_0980/fåglar/A 10274-2026 prioriterade fågelarter.docx", "A 10274-2026")</f>
        <v/>
      </c>
    </row>
    <row r="43" ht="15" customHeight="1">
      <c r="A43" t="inlineStr">
        <is>
          <t>A 52223-2025</t>
        </is>
      </c>
      <c r="B43" s="1" t="n">
        <v>45953.44509259259</v>
      </c>
      <c r="C43" s="1" t="n">
        <v>46175</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46175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45248-2024</t>
        </is>
      </c>
      <c r="B45" s="1" t="n">
        <v>45576</v>
      </c>
      <c r="C45" s="1" t="n">
        <v>46175</v>
      </c>
      <c r="D45" t="inlineStr">
        <is>
          <t>GOTLANDS LÄN</t>
        </is>
      </c>
      <c r="E45" t="inlineStr">
        <is>
          <t>GOTLAND</t>
        </is>
      </c>
      <c r="G45" t="n">
        <v>9.4</v>
      </c>
      <c r="H45" t="n">
        <v>0</v>
      </c>
      <c r="I45" t="n">
        <v>6</v>
      </c>
      <c r="J45" t="n">
        <v>1</v>
      </c>
      <c r="K45" t="n">
        <v>1</v>
      </c>
      <c r="L45" t="n">
        <v>1</v>
      </c>
      <c r="M45" t="n">
        <v>1</v>
      </c>
      <c r="N45" t="n">
        <v>0</v>
      </c>
      <c r="O45" t="n">
        <v>4</v>
      </c>
      <c r="P45" t="n">
        <v>3</v>
      </c>
      <c r="Q45" t="n">
        <v>10</v>
      </c>
      <c r="R45" s="2" t="inlineStr">
        <is>
          <t>Lundalm
Ask
Mjölspindling
Oxtungssvamp
Blå slemspindling
Bolmörtsskivling
Myskmadra
Stinkbrosking
Toppvaxing
Underviol</t>
        </is>
      </c>
      <c r="S45">
        <f>HYPERLINK("https://klasma.github.io/Logging_0980/artfynd/A 45248-2024 artfynd.xlsx", "A 45248-2024")</f>
        <v/>
      </c>
      <c r="T45">
        <f>HYPERLINK("https://klasma.github.io/Logging_0980/kartor/A 45248-2024 karta.png", "A 45248-2024")</f>
        <v/>
      </c>
      <c r="V45">
        <f>HYPERLINK("https://klasma.github.io/Logging_0980/klagomål/A 45248-2024 FSC-klagomål.docx", "A 45248-2024")</f>
        <v/>
      </c>
      <c r="W45">
        <f>HYPERLINK("https://klasma.github.io/Logging_0980/klagomålsmail/A 45248-2024 FSC-klagomål mail.docx", "A 45248-2024")</f>
        <v/>
      </c>
      <c r="X45">
        <f>HYPERLINK("https://klasma.github.io/Logging_0980/tillsyn/A 45248-2024 tillsynsbegäran.docx", "A 45248-2024")</f>
        <v/>
      </c>
      <c r="Y45">
        <f>HYPERLINK("https://klasma.github.io/Logging_0980/tillsynsmail/A 45248-2024 tillsynsbegäran mail.docx", "A 45248-2024")</f>
        <v/>
      </c>
    </row>
    <row r="46" ht="15" customHeight="1">
      <c r="A46" t="inlineStr">
        <is>
          <t>A 1719-2025</t>
        </is>
      </c>
      <c r="B46" s="1" t="n">
        <v>45671</v>
      </c>
      <c r="C46" s="1" t="n">
        <v>46175</v>
      </c>
      <c r="D46" t="inlineStr">
        <is>
          <t>GOTLANDS LÄN</t>
        </is>
      </c>
      <c r="E46" t="inlineStr">
        <is>
          <t>GOTLAND</t>
        </is>
      </c>
      <c r="G46" t="n">
        <v>6</v>
      </c>
      <c r="H46" t="n">
        <v>3</v>
      </c>
      <c r="I46" t="n">
        <v>2</v>
      </c>
      <c r="J46" t="n">
        <v>3</v>
      </c>
      <c r="K46" t="n">
        <v>3</v>
      </c>
      <c r="L46" t="n">
        <v>1</v>
      </c>
      <c r="M46" t="n">
        <v>0</v>
      </c>
      <c r="N46" t="n">
        <v>0</v>
      </c>
      <c r="O46" t="n">
        <v>7</v>
      </c>
      <c r="P46" t="n">
        <v>4</v>
      </c>
      <c r="Q46" t="n">
        <v>10</v>
      </c>
      <c r="R46" s="2" t="inlineStr">
        <is>
          <t>Ask
Gulsträngad fagerspindling
Skogskorn
Vit taggsvamp
Backtimjan
Doftskinn
Spillkråka
Besk kastanjemusseron
Skogsknipprot
Blåsippa</t>
        </is>
      </c>
      <c r="S46">
        <f>HYPERLINK("https://klasma.github.io/Logging_0980/artfynd/A 1719-2025 artfynd.xlsx", "A 1719-2025")</f>
        <v/>
      </c>
      <c r="T46">
        <f>HYPERLINK("https://klasma.github.io/Logging_0980/kartor/A 1719-2025 karta.png", "A 1719-2025")</f>
        <v/>
      </c>
      <c r="V46">
        <f>HYPERLINK("https://klasma.github.io/Logging_0980/klagomål/A 1719-2025 FSC-klagomål.docx", "A 1719-2025")</f>
        <v/>
      </c>
      <c r="W46">
        <f>HYPERLINK("https://klasma.github.io/Logging_0980/klagomålsmail/A 1719-2025 FSC-klagomål mail.docx", "A 1719-2025")</f>
        <v/>
      </c>
      <c r="X46">
        <f>HYPERLINK("https://klasma.github.io/Logging_0980/tillsyn/A 1719-2025 tillsynsbegäran.docx", "A 1719-2025")</f>
        <v/>
      </c>
      <c r="Y46">
        <f>HYPERLINK("https://klasma.github.io/Logging_0980/tillsynsmail/A 1719-2025 tillsynsbegäran mail.docx", "A 1719-2025")</f>
        <v/>
      </c>
      <c r="Z46">
        <f>HYPERLINK("https://klasma.github.io/Logging_0980/fåglar/A 1719-2025 prioriterade fågelarter.docx", "A 1719-2025")</f>
        <v/>
      </c>
    </row>
    <row r="47" ht="15" customHeight="1">
      <c r="A47" t="inlineStr">
        <is>
          <t>A 14354-2024</t>
        </is>
      </c>
      <c r="B47" s="1" t="n">
        <v>45393</v>
      </c>
      <c r="C47" s="1" t="n">
        <v>46175</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46175</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46175</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584-2023</t>
        </is>
      </c>
      <c r="B50" s="1" t="n">
        <v>44930</v>
      </c>
      <c r="C50" s="1" t="n">
        <v>46175</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46175</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46175</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46175</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46175</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21467-2024</t>
        </is>
      </c>
      <c r="B56" s="1" t="n">
        <v>45441</v>
      </c>
      <c r="C56" s="1" t="n">
        <v>46175</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7039-2023</t>
        </is>
      </c>
      <c r="B57" s="1" t="n">
        <v>44968</v>
      </c>
      <c r="C57" s="1" t="n">
        <v>46175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27168-2022</t>
        </is>
      </c>
      <c r="B58" s="1" t="n">
        <v>44741</v>
      </c>
      <c r="C58" s="1" t="n">
        <v>46175</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46175</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51737-2021</t>
        </is>
      </c>
      <c r="B60" s="1" t="n">
        <v>44462.57368055556</v>
      </c>
      <c r="C60" s="1" t="n">
        <v>46175</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46175</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46175</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46175</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56687-2025</t>
        </is>
      </c>
      <c r="B64" s="1" t="n">
        <v>45975.84065972222</v>
      </c>
      <c r="C64" s="1" t="n">
        <v>46175</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34142-2024</t>
        </is>
      </c>
      <c r="B65" s="1" t="n">
        <v>45524.36521990741</v>
      </c>
      <c r="C65" s="1" t="n">
        <v>46175</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46175</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46175</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16823-2024</t>
        </is>
      </c>
      <c r="B68" s="1" t="n">
        <v>45411</v>
      </c>
      <c r="C68" s="1" t="n">
        <v>46175</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57773-2025</t>
        </is>
      </c>
      <c r="B69" s="1" t="n">
        <v>45981.56349537037</v>
      </c>
      <c r="C69" s="1" t="n">
        <v>46175</v>
      </c>
      <c r="D69" t="inlineStr">
        <is>
          <t>GOTLANDS LÄN</t>
        </is>
      </c>
      <c r="E69" t="inlineStr">
        <is>
          <t>GOTLAND</t>
        </is>
      </c>
      <c r="G69" t="n">
        <v>4.4</v>
      </c>
      <c r="H69" t="n">
        <v>0</v>
      </c>
      <c r="I69" t="n">
        <v>4</v>
      </c>
      <c r="J69" t="n">
        <v>0</v>
      </c>
      <c r="K69" t="n">
        <v>2</v>
      </c>
      <c r="L69" t="n">
        <v>0</v>
      </c>
      <c r="M69" t="n">
        <v>0</v>
      </c>
      <c r="N69" t="n">
        <v>0</v>
      </c>
      <c r="O69" t="n">
        <v>2</v>
      </c>
      <c r="P69" t="n">
        <v>2</v>
      </c>
      <c r="Q69" t="n">
        <v>6</v>
      </c>
      <c r="R69" s="2" t="inlineStr">
        <is>
          <t>Duvspindling
Mörkfjällig olivspindling
Besk kastanjemusseron
Olivspindling
Rödgul trumpetsvamp
Strimspindling</t>
        </is>
      </c>
      <c r="S69">
        <f>HYPERLINK("https://klasma.github.io/Logging_0980/artfynd/A 57773-2025 artfynd.xlsx", "A 57773-2025")</f>
        <v/>
      </c>
      <c r="T69">
        <f>HYPERLINK("https://klasma.github.io/Logging_0980/kartor/A 57773-2025 karta.png", "A 57773-2025")</f>
        <v/>
      </c>
      <c r="V69">
        <f>HYPERLINK("https://klasma.github.io/Logging_0980/klagomål/A 57773-2025 FSC-klagomål.docx", "A 57773-2025")</f>
        <v/>
      </c>
      <c r="W69">
        <f>HYPERLINK("https://klasma.github.io/Logging_0980/klagomålsmail/A 57773-2025 FSC-klagomål mail.docx", "A 57773-2025")</f>
        <v/>
      </c>
      <c r="X69">
        <f>HYPERLINK("https://klasma.github.io/Logging_0980/tillsyn/A 57773-2025 tillsynsbegäran.docx", "A 57773-2025")</f>
        <v/>
      </c>
      <c r="Y69">
        <f>HYPERLINK("https://klasma.github.io/Logging_0980/tillsynsmail/A 57773-2025 tillsynsbegäran mail.docx", "A 57773-2025")</f>
        <v/>
      </c>
    </row>
    <row r="70" ht="15" customHeight="1">
      <c r="A70" t="inlineStr">
        <is>
          <t>A 63149-2025</t>
        </is>
      </c>
      <c r="B70" s="1" t="n">
        <v>46010</v>
      </c>
      <c r="C70" s="1" t="n">
        <v>46175</v>
      </c>
      <c r="D70" t="inlineStr">
        <is>
          <t>GOTLANDS LÄN</t>
        </is>
      </c>
      <c r="E70" t="inlineStr">
        <is>
          <t>GOTLAND</t>
        </is>
      </c>
      <c r="G70" t="n">
        <v>4.3</v>
      </c>
      <c r="H70" t="n">
        <v>4</v>
      </c>
      <c r="I70" t="n">
        <v>2</v>
      </c>
      <c r="J70" t="n">
        <v>3</v>
      </c>
      <c r="K70" t="n">
        <v>0</v>
      </c>
      <c r="L70" t="n">
        <v>0</v>
      </c>
      <c r="M70" t="n">
        <v>0</v>
      </c>
      <c r="N70" t="n">
        <v>0</v>
      </c>
      <c r="O70" t="n">
        <v>3</v>
      </c>
      <c r="P70" t="n">
        <v>0</v>
      </c>
      <c r="Q70" t="n">
        <v>6</v>
      </c>
      <c r="R70" s="2" t="inlineStr">
        <is>
          <t>Gulsparv
Spillkråka
Svinrot
Anisspindling
Skogsknipprot
Sankt pers nycklar</t>
        </is>
      </c>
      <c r="S70">
        <f>HYPERLINK("https://klasma.github.io/Logging_0980/artfynd/A 63149-2025 artfynd.xlsx", "A 63149-2025")</f>
        <v/>
      </c>
      <c r="T70">
        <f>HYPERLINK("https://klasma.github.io/Logging_0980/kartor/A 63149-2025 karta.png", "A 63149-2025")</f>
        <v/>
      </c>
      <c r="V70">
        <f>HYPERLINK("https://klasma.github.io/Logging_0980/klagomål/A 63149-2025 FSC-klagomål.docx", "A 63149-2025")</f>
        <v/>
      </c>
      <c r="W70">
        <f>HYPERLINK("https://klasma.github.io/Logging_0980/klagomålsmail/A 63149-2025 FSC-klagomål mail.docx", "A 63149-2025")</f>
        <v/>
      </c>
      <c r="X70">
        <f>HYPERLINK("https://klasma.github.io/Logging_0980/tillsyn/A 63149-2025 tillsynsbegäran.docx", "A 63149-2025")</f>
        <v/>
      </c>
      <c r="Y70">
        <f>HYPERLINK("https://klasma.github.io/Logging_0980/tillsynsmail/A 63149-2025 tillsynsbegäran mail.docx", "A 63149-2025")</f>
        <v/>
      </c>
      <c r="Z70">
        <f>HYPERLINK("https://klasma.github.io/Logging_0980/fåglar/A 63149-2025 prioriterade fågelarter.docx", "A 63149-2025")</f>
        <v/>
      </c>
    </row>
    <row r="71" ht="15" customHeight="1">
      <c r="A71" t="inlineStr">
        <is>
          <t>A 54527-2023</t>
        </is>
      </c>
      <c r="B71" s="1" t="n">
        <v>45233</v>
      </c>
      <c r="C71" s="1" t="n">
        <v>46175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46175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46175</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54527-2023</t>
        </is>
      </c>
      <c r="B74" s="1" t="n">
        <v>45233</v>
      </c>
      <c r="C74" s="1" t="n">
        <v>46175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7038-2023</t>
        </is>
      </c>
      <c r="B75" s="1" t="n">
        <v>44968</v>
      </c>
      <c r="C75" s="1" t="n">
        <v>46175</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66091-2021</t>
        </is>
      </c>
      <c r="B76" s="1" t="n">
        <v>44517</v>
      </c>
      <c r="C76" s="1" t="n">
        <v>46175</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46175</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46175</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35293-2025</t>
        </is>
      </c>
      <c r="B79" s="1" t="n">
        <v>45854.39438657407</v>
      </c>
      <c r="C79" s="1" t="n">
        <v>46175</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6839-2026</t>
        </is>
      </c>
      <c r="B80" s="1" t="n">
        <v>46057.41193287037</v>
      </c>
      <c r="C80" s="1" t="n">
        <v>46175</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39425-2023</t>
        </is>
      </c>
      <c r="B81" s="1" t="n">
        <v>45166</v>
      </c>
      <c r="C81" s="1" t="n">
        <v>46175</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52245-2025</t>
        </is>
      </c>
      <c r="B82" s="1" t="n">
        <v>45953.47115740741</v>
      </c>
      <c r="C82" s="1" t="n">
        <v>46175</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2213-2023</t>
        </is>
      </c>
      <c r="B83" s="1" t="n">
        <v>44942</v>
      </c>
      <c r="C83" s="1" t="n">
        <v>46175</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46175</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46175</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29331-2021</t>
        </is>
      </c>
      <c r="B86" s="1" t="n">
        <v>44361</v>
      </c>
      <c r="C86" s="1" t="n">
        <v>46175</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6159-2023</t>
        </is>
      </c>
      <c r="B87" s="1" t="n">
        <v>44964</v>
      </c>
      <c r="C87" s="1" t="n">
        <v>46175</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46175</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1971-2023</t>
        </is>
      </c>
      <c r="B89" s="1" t="n">
        <v>44939</v>
      </c>
      <c r="C89" s="1" t="n">
        <v>46175</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5904-2024</t>
        </is>
      </c>
      <c r="B90" s="1" t="n">
        <v>45335</v>
      </c>
      <c r="C90" s="1" t="n">
        <v>46175</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46175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13203-2026</t>
        </is>
      </c>
      <c r="B92" s="1" t="n">
        <v>46093</v>
      </c>
      <c r="C92" s="1" t="n">
        <v>46175</v>
      </c>
      <c r="D92" t="inlineStr">
        <is>
          <t>GOTLANDS LÄN</t>
        </is>
      </c>
      <c r="E92" t="inlineStr">
        <is>
          <t>GOTLAND</t>
        </is>
      </c>
      <c r="G92" t="n">
        <v>4.5</v>
      </c>
      <c r="H92" t="n">
        <v>2</v>
      </c>
      <c r="I92" t="n">
        <v>1</v>
      </c>
      <c r="J92" t="n">
        <v>1</v>
      </c>
      <c r="K92" t="n">
        <v>1</v>
      </c>
      <c r="L92" t="n">
        <v>0</v>
      </c>
      <c r="M92" t="n">
        <v>0</v>
      </c>
      <c r="N92" t="n">
        <v>0</v>
      </c>
      <c r="O92" t="n">
        <v>2</v>
      </c>
      <c r="P92" t="n">
        <v>1</v>
      </c>
      <c r="Q92" t="n">
        <v>4</v>
      </c>
      <c r="R92" s="2" t="inlineStr">
        <is>
          <t>Gotlandsmåra
Svinrot
Nästrot
Grönvit nattviol</t>
        </is>
      </c>
      <c r="S92">
        <f>HYPERLINK("https://klasma.github.io/Logging_0980/artfynd/A 13203-2026 artfynd.xlsx", "A 13203-2026")</f>
        <v/>
      </c>
      <c r="T92">
        <f>HYPERLINK("https://klasma.github.io/Logging_0980/kartor/A 13203-2026 karta.png", "A 13203-2026")</f>
        <v/>
      </c>
      <c r="V92">
        <f>HYPERLINK("https://klasma.github.io/Logging_0980/klagomål/A 13203-2026 FSC-klagomål.docx", "A 13203-2026")</f>
        <v/>
      </c>
      <c r="W92">
        <f>HYPERLINK("https://klasma.github.io/Logging_0980/klagomålsmail/A 13203-2026 FSC-klagomål mail.docx", "A 13203-2026")</f>
        <v/>
      </c>
      <c r="X92">
        <f>HYPERLINK("https://klasma.github.io/Logging_0980/tillsyn/A 13203-2026 tillsynsbegäran.docx", "A 13203-2026")</f>
        <v/>
      </c>
      <c r="Y92">
        <f>HYPERLINK("https://klasma.github.io/Logging_0980/tillsynsmail/A 13203-2026 tillsynsbegäran mail.docx", "A 13203-2026")</f>
        <v/>
      </c>
    </row>
    <row r="93" ht="15" customHeight="1">
      <c r="A93" t="inlineStr">
        <is>
          <t>A 20833-2024</t>
        </is>
      </c>
      <c r="B93" s="1" t="n">
        <v>45439</v>
      </c>
      <c r="C93" s="1" t="n">
        <v>46175</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57463-2025</t>
        </is>
      </c>
      <c r="B94" s="1" t="n">
        <v>45980</v>
      </c>
      <c r="C94" s="1" t="n">
        <v>46175</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6836-2026</t>
        </is>
      </c>
      <c r="B95" s="1" t="n">
        <v>46057</v>
      </c>
      <c r="C95" s="1" t="n">
        <v>46175</v>
      </c>
      <c r="D95" t="inlineStr">
        <is>
          <t>GOTLANDS LÄN</t>
        </is>
      </c>
      <c r="E95" t="inlineStr">
        <is>
          <t>GOTLAND</t>
        </is>
      </c>
      <c r="G95" t="n">
        <v>3.8</v>
      </c>
      <c r="H95" t="n">
        <v>1</v>
      </c>
      <c r="I95" t="n">
        <v>3</v>
      </c>
      <c r="J95" t="n">
        <v>0</v>
      </c>
      <c r="K95" t="n">
        <v>1</v>
      </c>
      <c r="L95" t="n">
        <v>0</v>
      </c>
      <c r="M95" t="n">
        <v>0</v>
      </c>
      <c r="N95" t="n">
        <v>0</v>
      </c>
      <c r="O95" t="n">
        <v>1</v>
      </c>
      <c r="P95" t="n">
        <v>1</v>
      </c>
      <c r="Q95" t="n">
        <v>4</v>
      </c>
      <c r="R95" s="2" t="inlineStr">
        <is>
          <t>Knärot
Fransig jordstjärna
Rödgul trumpetsvamp
Svavelriska</t>
        </is>
      </c>
      <c r="S95">
        <f>HYPERLINK("https://klasma.github.io/Logging_0980/artfynd/A 6836-2026 artfynd.xlsx", "A 6836-2026")</f>
        <v/>
      </c>
      <c r="T95">
        <f>HYPERLINK("https://klasma.github.io/Logging_0980/kartor/A 6836-2026 karta.png", "A 6836-2026")</f>
        <v/>
      </c>
      <c r="U95">
        <f>HYPERLINK("https://klasma.github.io/Logging_0980/knärot/A 6836-2026 karta knärot.png", "A 6836-2026")</f>
        <v/>
      </c>
      <c r="V95">
        <f>HYPERLINK("https://klasma.github.io/Logging_0980/klagomål/A 6836-2026 FSC-klagomål.docx", "A 6836-2026")</f>
        <v/>
      </c>
      <c r="W95">
        <f>HYPERLINK("https://klasma.github.io/Logging_0980/klagomålsmail/A 6836-2026 FSC-klagomål mail.docx", "A 6836-2026")</f>
        <v/>
      </c>
      <c r="X95">
        <f>HYPERLINK("https://klasma.github.io/Logging_0980/tillsyn/A 6836-2026 tillsynsbegäran.docx", "A 6836-2026")</f>
        <v/>
      </c>
      <c r="Y95">
        <f>HYPERLINK("https://klasma.github.io/Logging_0980/tillsynsmail/A 6836-2026 tillsynsbegäran mail.docx", "A 6836-2026")</f>
        <v/>
      </c>
    </row>
    <row r="96" ht="15" customHeight="1">
      <c r="A96" t="inlineStr">
        <is>
          <t>A 44933-2022</t>
        </is>
      </c>
      <c r="B96" s="1" t="n">
        <v>44841</v>
      </c>
      <c r="C96" s="1" t="n">
        <v>46175</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54523-2023</t>
        </is>
      </c>
      <c r="B97" s="1" t="n">
        <v>45233</v>
      </c>
      <c r="C97" s="1" t="n">
        <v>46175</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2485-2025</t>
        </is>
      </c>
      <c r="B98" s="1" t="n">
        <v>45673</v>
      </c>
      <c r="C98" s="1" t="n">
        <v>46175</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52250-2025</t>
        </is>
      </c>
      <c r="B99" s="1" t="n">
        <v>45953.48998842593</v>
      </c>
      <c r="C99" s="1" t="n">
        <v>46175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8265-2023</t>
        </is>
      </c>
      <c r="B100" s="1" t="n">
        <v>44974</v>
      </c>
      <c r="C100" s="1" t="n">
        <v>46175</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46175</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46175</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46175</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46175</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46175</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46175</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30490-2025</t>
        </is>
      </c>
      <c r="B107" s="1" t="n">
        <v>45830</v>
      </c>
      <c r="C107" s="1" t="n">
        <v>46175</v>
      </c>
      <c r="D107" t="inlineStr">
        <is>
          <t>GOTLANDS LÄN</t>
        </is>
      </c>
      <c r="E107" t="inlineStr">
        <is>
          <t>GOTLAND</t>
        </is>
      </c>
      <c r="G107" t="n">
        <v>7.9</v>
      </c>
      <c r="H107" t="n">
        <v>1</v>
      </c>
      <c r="I107" t="n">
        <v>0</v>
      </c>
      <c r="J107" t="n">
        <v>2</v>
      </c>
      <c r="K107" t="n">
        <v>0</v>
      </c>
      <c r="L107" t="n">
        <v>0</v>
      </c>
      <c r="M107" t="n">
        <v>0</v>
      </c>
      <c r="N107" t="n">
        <v>0</v>
      </c>
      <c r="O107" t="n">
        <v>2</v>
      </c>
      <c r="P107" t="n">
        <v>0</v>
      </c>
      <c r="Q107" t="n">
        <v>3</v>
      </c>
      <c r="R107" s="2" t="inlineStr">
        <is>
          <t>Klasefibbla
Majviva
Nattviol</t>
        </is>
      </c>
      <c r="S107">
        <f>HYPERLINK("https://klasma.github.io/Logging_0980/artfynd/A 30490-2025 artfynd.xlsx", "A 30490-2025")</f>
        <v/>
      </c>
      <c r="T107">
        <f>HYPERLINK("https://klasma.github.io/Logging_0980/kartor/A 30490-2025 karta.png", "A 30490-2025")</f>
        <v/>
      </c>
      <c r="V107">
        <f>HYPERLINK("https://klasma.github.io/Logging_0980/klagomål/A 30490-2025 FSC-klagomål.docx", "A 30490-2025")</f>
        <v/>
      </c>
      <c r="W107">
        <f>HYPERLINK("https://klasma.github.io/Logging_0980/klagomålsmail/A 30490-2025 FSC-klagomål mail.docx", "A 30490-2025")</f>
        <v/>
      </c>
      <c r="X107">
        <f>HYPERLINK("https://klasma.github.io/Logging_0980/tillsyn/A 30490-2025 tillsynsbegäran.docx", "A 30490-2025")</f>
        <v/>
      </c>
      <c r="Y107">
        <f>HYPERLINK("https://klasma.github.io/Logging_0980/tillsynsmail/A 30490-2025 tillsynsbegäran mail.docx", "A 30490-2025")</f>
        <v/>
      </c>
    </row>
    <row r="108" ht="15" customHeight="1">
      <c r="A108" t="inlineStr">
        <is>
          <t>A 43013-2022</t>
        </is>
      </c>
      <c r="B108" s="1" t="n">
        <v>44833</v>
      </c>
      <c r="C108" s="1" t="n">
        <v>46175</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55334-2024</t>
        </is>
      </c>
      <c r="B109" s="1" t="n">
        <v>45621</v>
      </c>
      <c r="C109" s="1" t="n">
        <v>46175</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5235-2025</t>
        </is>
      </c>
      <c r="B110" s="1" t="n">
        <v>45692.26797453704</v>
      </c>
      <c r="C110" s="1" t="n">
        <v>46175</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1520-2026</t>
        </is>
      </c>
      <c r="B111" s="1" t="n">
        <v>46034.35891203704</v>
      </c>
      <c r="C111" s="1" t="n">
        <v>46175</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53552-2021</t>
        </is>
      </c>
      <c r="B112" s="1" t="n">
        <v>44468</v>
      </c>
      <c r="C112" s="1" t="n">
        <v>46175</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49709-2025</t>
        </is>
      </c>
      <c r="B113" s="1" t="n">
        <v>45939.68228009259</v>
      </c>
      <c r="C113" s="1" t="n">
        <v>46175</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20831-2024</t>
        </is>
      </c>
      <c r="B114" s="1" t="n">
        <v>45439</v>
      </c>
      <c r="C114" s="1" t="n">
        <v>46175</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17982-2023</t>
        </is>
      </c>
      <c r="B115" s="1" t="n">
        <v>45040</v>
      </c>
      <c r="C115" s="1" t="n">
        <v>46175</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46175</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46175</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12315-2024</t>
        </is>
      </c>
      <c r="B118" s="1" t="n">
        <v>45378.6434837963</v>
      </c>
      <c r="C118" s="1" t="n">
        <v>46175</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46175</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29870-2021</t>
        </is>
      </c>
      <c r="B120" s="1" t="n">
        <v>44362</v>
      </c>
      <c r="C120" s="1" t="n">
        <v>46175</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46175</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46175</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46175</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26077-2024</t>
        </is>
      </c>
      <c r="B124" s="1" t="n">
        <v>45467</v>
      </c>
      <c r="C124" s="1" t="n">
        <v>46175</v>
      </c>
      <c r="D124" t="inlineStr">
        <is>
          <t>GOTLANDS LÄN</t>
        </is>
      </c>
      <c r="E124" t="inlineStr">
        <is>
          <t>GOTLAND</t>
        </is>
      </c>
      <c r="G124" t="n">
        <v>4.6</v>
      </c>
      <c r="H124" t="n">
        <v>0</v>
      </c>
      <c r="I124" t="n">
        <v>0</v>
      </c>
      <c r="J124" t="n">
        <v>1</v>
      </c>
      <c r="K124" t="n">
        <v>0</v>
      </c>
      <c r="L124" t="n">
        <v>1</v>
      </c>
      <c r="M124" t="n">
        <v>0</v>
      </c>
      <c r="N124" t="n">
        <v>0</v>
      </c>
      <c r="O124" t="n">
        <v>2</v>
      </c>
      <c r="P124" t="n">
        <v>1</v>
      </c>
      <c r="Q124" t="n">
        <v>2</v>
      </c>
      <c r="R124" s="2" t="inlineStr">
        <is>
          <t>Ask
Tallticka</t>
        </is>
      </c>
      <c r="S124">
        <f>HYPERLINK("https://klasma.github.io/Logging_0980/artfynd/A 26077-2024 artfynd.xlsx", "A 26077-2024")</f>
        <v/>
      </c>
      <c r="T124">
        <f>HYPERLINK("https://klasma.github.io/Logging_0980/kartor/A 26077-2024 karta.png", "A 26077-2024")</f>
        <v/>
      </c>
      <c r="V124">
        <f>HYPERLINK("https://klasma.github.io/Logging_0980/klagomål/A 26077-2024 FSC-klagomål.docx", "A 26077-2024")</f>
        <v/>
      </c>
      <c r="W124">
        <f>HYPERLINK("https://klasma.github.io/Logging_0980/klagomålsmail/A 26077-2024 FSC-klagomål mail.docx", "A 26077-2024")</f>
        <v/>
      </c>
      <c r="X124">
        <f>HYPERLINK("https://klasma.github.io/Logging_0980/tillsyn/A 26077-2024 tillsynsbegäran.docx", "A 26077-2024")</f>
        <v/>
      </c>
      <c r="Y124">
        <f>HYPERLINK("https://klasma.github.io/Logging_0980/tillsynsmail/A 26077-2024 tillsynsbegäran mail.docx", "A 26077-2024")</f>
        <v/>
      </c>
    </row>
    <row r="125" ht="15" customHeight="1">
      <c r="A125" t="inlineStr">
        <is>
          <t>A 62760-2025</t>
        </is>
      </c>
      <c r="B125" s="1" t="n">
        <v>46008</v>
      </c>
      <c r="C125" s="1" t="n">
        <v>46175</v>
      </c>
      <c r="D125" t="inlineStr">
        <is>
          <t>GOTLANDS LÄN</t>
        </is>
      </c>
      <c r="E125" t="inlineStr">
        <is>
          <t>GOTLAND</t>
        </is>
      </c>
      <c r="F125" t="inlineStr">
        <is>
          <t>Övriga Aktiebolag</t>
        </is>
      </c>
      <c r="G125" t="n">
        <v>4.6</v>
      </c>
      <c r="H125" t="n">
        <v>1</v>
      </c>
      <c r="I125" t="n">
        <v>2</v>
      </c>
      <c r="J125" t="n">
        <v>0</v>
      </c>
      <c r="K125" t="n">
        <v>0</v>
      </c>
      <c r="L125" t="n">
        <v>0</v>
      </c>
      <c r="M125" t="n">
        <v>0</v>
      </c>
      <c r="N125" t="n">
        <v>0</v>
      </c>
      <c r="O125" t="n">
        <v>0</v>
      </c>
      <c r="P125" t="n">
        <v>0</v>
      </c>
      <c r="Q125" t="n">
        <v>2</v>
      </c>
      <c r="R125" s="2" t="inlineStr">
        <is>
          <t>Nästrot
Vårärt</t>
        </is>
      </c>
      <c r="S125">
        <f>HYPERLINK("https://klasma.github.io/Logging_0980/artfynd/A 62760-2025 artfynd.xlsx", "A 62760-2025")</f>
        <v/>
      </c>
      <c r="T125">
        <f>HYPERLINK("https://klasma.github.io/Logging_0980/kartor/A 62760-2025 karta.png", "A 62760-2025")</f>
        <v/>
      </c>
      <c r="V125">
        <f>HYPERLINK("https://klasma.github.io/Logging_0980/klagomål/A 62760-2025 FSC-klagomål.docx", "A 62760-2025")</f>
        <v/>
      </c>
      <c r="W125">
        <f>HYPERLINK("https://klasma.github.io/Logging_0980/klagomålsmail/A 62760-2025 FSC-klagomål mail.docx", "A 62760-2025")</f>
        <v/>
      </c>
      <c r="X125">
        <f>HYPERLINK("https://klasma.github.io/Logging_0980/tillsyn/A 62760-2025 tillsynsbegäran.docx", "A 62760-2025")</f>
        <v/>
      </c>
      <c r="Y125">
        <f>HYPERLINK("https://klasma.github.io/Logging_0980/tillsynsmail/A 62760-2025 tillsynsbegäran mail.docx", "A 62760-2025")</f>
        <v/>
      </c>
    </row>
    <row r="126" ht="15" customHeight="1">
      <c r="A126" t="inlineStr">
        <is>
          <t>A 63162-2025</t>
        </is>
      </c>
      <c r="B126" s="1" t="n">
        <v>46010.37629629629</v>
      </c>
      <c r="C126" s="1" t="n">
        <v>46175</v>
      </c>
      <c r="D126" t="inlineStr">
        <is>
          <t>GOTLANDS LÄN</t>
        </is>
      </c>
      <c r="E126" t="inlineStr">
        <is>
          <t>GOTLAND</t>
        </is>
      </c>
      <c r="G126" t="n">
        <v>3.5</v>
      </c>
      <c r="H126" t="n">
        <v>0</v>
      </c>
      <c r="I126" t="n">
        <v>1</v>
      </c>
      <c r="J126" t="n">
        <v>0</v>
      </c>
      <c r="K126" t="n">
        <v>1</v>
      </c>
      <c r="L126" t="n">
        <v>0</v>
      </c>
      <c r="M126" t="n">
        <v>0</v>
      </c>
      <c r="N126" t="n">
        <v>0</v>
      </c>
      <c r="O126" t="n">
        <v>1</v>
      </c>
      <c r="P126" t="n">
        <v>1</v>
      </c>
      <c r="Q126" t="n">
        <v>2</v>
      </c>
      <c r="R126" s="2" t="inlineStr">
        <is>
          <t>Gotlandsmåra
Myskmadra</t>
        </is>
      </c>
      <c r="S126">
        <f>HYPERLINK("https://klasma.github.io/Logging_0980/artfynd/A 63162-2025 artfynd.xlsx", "A 63162-2025")</f>
        <v/>
      </c>
      <c r="T126">
        <f>HYPERLINK("https://klasma.github.io/Logging_0980/kartor/A 63162-2025 karta.png", "A 63162-2025")</f>
        <v/>
      </c>
      <c r="V126">
        <f>HYPERLINK("https://klasma.github.io/Logging_0980/klagomål/A 63162-2025 FSC-klagomål.docx", "A 63162-2025")</f>
        <v/>
      </c>
      <c r="W126">
        <f>HYPERLINK("https://klasma.github.io/Logging_0980/klagomålsmail/A 63162-2025 FSC-klagomål mail.docx", "A 63162-2025")</f>
        <v/>
      </c>
      <c r="X126">
        <f>HYPERLINK("https://klasma.github.io/Logging_0980/tillsyn/A 63162-2025 tillsynsbegäran.docx", "A 63162-2025")</f>
        <v/>
      </c>
      <c r="Y126">
        <f>HYPERLINK("https://klasma.github.io/Logging_0980/tillsynsmail/A 63162-2025 tillsynsbegäran mail.docx", "A 63162-2025")</f>
        <v/>
      </c>
    </row>
    <row r="127" ht="15" customHeight="1">
      <c r="A127" t="inlineStr">
        <is>
          <t>A 16997-2026</t>
        </is>
      </c>
      <c r="B127" s="1" t="n">
        <v>46114.42539351852</v>
      </c>
      <c r="C127" s="1" t="n">
        <v>46175</v>
      </c>
      <c r="D127" t="inlineStr">
        <is>
          <t>GOTLANDS LÄN</t>
        </is>
      </c>
      <c r="E127" t="inlineStr">
        <is>
          <t>GOTLAND</t>
        </is>
      </c>
      <c r="G127" t="n">
        <v>0.7</v>
      </c>
      <c r="H127" t="n">
        <v>0</v>
      </c>
      <c r="I127" t="n">
        <v>1</v>
      </c>
      <c r="J127" t="n">
        <v>0</v>
      </c>
      <c r="K127" t="n">
        <v>0</v>
      </c>
      <c r="L127" t="n">
        <v>1</v>
      </c>
      <c r="M127" t="n">
        <v>0</v>
      </c>
      <c r="N127" t="n">
        <v>0</v>
      </c>
      <c r="O127" t="n">
        <v>1</v>
      </c>
      <c r="P127" t="n">
        <v>1</v>
      </c>
      <c r="Q127" t="n">
        <v>2</v>
      </c>
      <c r="R127" s="2" t="inlineStr">
        <is>
          <t>Ask
Hasselticka</t>
        </is>
      </c>
      <c r="S127">
        <f>HYPERLINK("https://klasma.github.io/Logging_0980/artfynd/A 16997-2026 artfynd.xlsx", "A 16997-2026")</f>
        <v/>
      </c>
      <c r="T127">
        <f>HYPERLINK("https://klasma.github.io/Logging_0980/kartor/A 16997-2026 karta.png", "A 16997-2026")</f>
        <v/>
      </c>
      <c r="V127">
        <f>HYPERLINK("https://klasma.github.io/Logging_0980/klagomål/A 16997-2026 FSC-klagomål.docx", "A 16997-2026")</f>
        <v/>
      </c>
      <c r="W127">
        <f>HYPERLINK("https://klasma.github.io/Logging_0980/klagomålsmail/A 16997-2026 FSC-klagomål mail.docx", "A 16997-2026")</f>
        <v/>
      </c>
      <c r="X127">
        <f>HYPERLINK("https://klasma.github.io/Logging_0980/tillsyn/A 16997-2026 tillsynsbegäran.docx", "A 16997-2026")</f>
        <v/>
      </c>
      <c r="Y127">
        <f>HYPERLINK("https://klasma.github.io/Logging_0980/tillsynsmail/A 16997-2026 tillsynsbegäran mail.docx", "A 16997-2026")</f>
        <v/>
      </c>
    </row>
    <row r="128" ht="15" customHeight="1">
      <c r="A128" t="inlineStr">
        <is>
          <t>A 20429-2025</t>
        </is>
      </c>
      <c r="B128" s="1" t="n">
        <v>45775.47728009259</v>
      </c>
      <c r="C128" s="1" t="n">
        <v>46175</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46175</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17328-2026</t>
        </is>
      </c>
      <c r="B130" s="1" t="n">
        <v>46119.61216435185</v>
      </c>
      <c r="C130" s="1" t="n">
        <v>46175</v>
      </c>
      <c r="D130" t="inlineStr">
        <is>
          <t>GOTLANDS LÄN</t>
        </is>
      </c>
      <c r="E130" t="inlineStr">
        <is>
          <t>GOTLAND</t>
        </is>
      </c>
      <c r="F130" t="inlineStr">
        <is>
          <t>Kyrkan</t>
        </is>
      </c>
      <c r="G130" t="n">
        <v>4</v>
      </c>
      <c r="H130" t="n">
        <v>1</v>
      </c>
      <c r="I130" t="n">
        <v>0</v>
      </c>
      <c r="J130" t="n">
        <v>2</v>
      </c>
      <c r="K130" t="n">
        <v>0</v>
      </c>
      <c r="L130" t="n">
        <v>0</v>
      </c>
      <c r="M130" t="n">
        <v>0</v>
      </c>
      <c r="N130" t="n">
        <v>0</v>
      </c>
      <c r="O130" t="n">
        <v>2</v>
      </c>
      <c r="P130" t="n">
        <v>0</v>
      </c>
      <c r="Q130" t="n">
        <v>2</v>
      </c>
      <c r="R130" s="2" t="inlineStr">
        <is>
          <t>Backtimjan
Spillkråka</t>
        </is>
      </c>
      <c r="S130">
        <f>HYPERLINK("https://klasma.github.io/Logging_0980/artfynd/A 17328-2026 artfynd.xlsx", "A 17328-2026")</f>
        <v/>
      </c>
      <c r="T130">
        <f>HYPERLINK("https://klasma.github.io/Logging_0980/kartor/A 17328-2026 karta.png", "A 17328-2026")</f>
        <v/>
      </c>
      <c r="V130">
        <f>HYPERLINK("https://klasma.github.io/Logging_0980/klagomål/A 17328-2026 FSC-klagomål.docx", "A 17328-2026")</f>
        <v/>
      </c>
      <c r="W130">
        <f>HYPERLINK("https://klasma.github.io/Logging_0980/klagomålsmail/A 17328-2026 FSC-klagomål mail.docx", "A 17328-2026")</f>
        <v/>
      </c>
      <c r="X130">
        <f>HYPERLINK("https://klasma.github.io/Logging_0980/tillsyn/A 17328-2026 tillsynsbegäran.docx", "A 17328-2026")</f>
        <v/>
      </c>
      <c r="Y130">
        <f>HYPERLINK("https://klasma.github.io/Logging_0980/tillsynsmail/A 17328-2026 tillsynsbegäran mail.docx", "A 17328-2026")</f>
        <v/>
      </c>
      <c r="Z130">
        <f>HYPERLINK("https://klasma.github.io/Logging_0980/fåglar/A 17328-2026 prioriterade fågelarter.docx", "A 17328-2026")</f>
        <v/>
      </c>
    </row>
    <row r="131" ht="15" customHeight="1">
      <c r="A131" t="inlineStr">
        <is>
          <t>A 54357-2024</t>
        </is>
      </c>
      <c r="B131" s="1" t="n">
        <v>45617.40662037037</v>
      </c>
      <c r="C131" s="1" t="n">
        <v>46175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46175</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46175</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46175</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46175</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46175</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46175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46175</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46175</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46175</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46175</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46175</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46175</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65927-2021</t>
        </is>
      </c>
      <c r="B144" s="1" t="n">
        <v>44516</v>
      </c>
      <c r="C144" s="1" t="n">
        <v>46175</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46175</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39812-2025</t>
        </is>
      </c>
      <c r="B146" s="1" t="n">
        <v>45891</v>
      </c>
      <c r="C146" s="1" t="n">
        <v>46175</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15637-2024</t>
        </is>
      </c>
      <c r="B147" s="1" t="n">
        <v>45403.6684837963</v>
      </c>
      <c r="C147" s="1" t="n">
        <v>46175</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11708-2026</t>
        </is>
      </c>
      <c r="B148" s="1" t="n">
        <v>46084</v>
      </c>
      <c r="C148" s="1" t="n">
        <v>46175</v>
      </c>
      <c r="D148" t="inlineStr">
        <is>
          <t>GOTLANDS LÄN</t>
        </is>
      </c>
      <c r="E148" t="inlineStr">
        <is>
          <t>GOTLAND</t>
        </is>
      </c>
      <c r="G148" t="n">
        <v>8.4</v>
      </c>
      <c r="H148" t="n">
        <v>1</v>
      </c>
      <c r="I148" t="n">
        <v>0</v>
      </c>
      <c r="J148" t="n">
        <v>1</v>
      </c>
      <c r="K148" t="n">
        <v>0</v>
      </c>
      <c r="L148" t="n">
        <v>0</v>
      </c>
      <c r="M148" t="n">
        <v>0</v>
      </c>
      <c r="N148" t="n">
        <v>0</v>
      </c>
      <c r="O148" t="n">
        <v>1</v>
      </c>
      <c r="P148" t="n">
        <v>0</v>
      </c>
      <c r="Q148" t="n">
        <v>1</v>
      </c>
      <c r="R148" s="2" t="inlineStr">
        <is>
          <t>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34141-2024</t>
        </is>
      </c>
      <c r="B149" s="1" t="n">
        <v>45524.36229166666</v>
      </c>
      <c r="C149" s="1" t="n">
        <v>46175</v>
      </c>
      <c r="D149" t="inlineStr">
        <is>
          <t>GOTLANDS LÄN</t>
        </is>
      </c>
      <c r="E149" t="inlineStr">
        <is>
          <t>GOTLAND</t>
        </is>
      </c>
      <c r="G149" t="n">
        <v>0.9</v>
      </c>
      <c r="H149" t="n">
        <v>0</v>
      </c>
      <c r="I149" t="n">
        <v>1</v>
      </c>
      <c r="J149" t="n">
        <v>0</v>
      </c>
      <c r="K149" t="n">
        <v>0</v>
      </c>
      <c r="L149" t="n">
        <v>0</v>
      </c>
      <c r="M149" t="n">
        <v>0</v>
      </c>
      <c r="N149" t="n">
        <v>0</v>
      </c>
      <c r="O149" t="n">
        <v>0</v>
      </c>
      <c r="P149" t="n">
        <v>0</v>
      </c>
      <c r="Q149" t="n">
        <v>1</v>
      </c>
      <c r="R149" s="2" t="inlineStr">
        <is>
          <t>Strävlosta</t>
        </is>
      </c>
      <c r="S149">
        <f>HYPERLINK("https://klasma.github.io/Logging_0980/artfynd/A 34141-2024 artfynd.xlsx", "A 34141-2024")</f>
        <v/>
      </c>
      <c r="T149">
        <f>HYPERLINK("https://klasma.github.io/Logging_0980/kartor/A 34141-2024 karta.png", "A 34141-2024")</f>
        <v/>
      </c>
      <c r="V149">
        <f>HYPERLINK("https://klasma.github.io/Logging_0980/klagomål/A 34141-2024 FSC-klagomål.docx", "A 34141-2024")</f>
        <v/>
      </c>
      <c r="W149">
        <f>HYPERLINK("https://klasma.github.io/Logging_0980/klagomålsmail/A 34141-2024 FSC-klagomål mail.docx", "A 34141-2024")</f>
        <v/>
      </c>
      <c r="X149">
        <f>HYPERLINK("https://klasma.github.io/Logging_0980/tillsyn/A 34141-2024 tillsynsbegäran.docx", "A 34141-2024")</f>
        <v/>
      </c>
      <c r="Y149">
        <f>HYPERLINK("https://klasma.github.io/Logging_0980/tillsynsmail/A 34141-2024 tillsynsbegäran mail.docx", "A 34141-2024")</f>
        <v/>
      </c>
    </row>
    <row r="150" ht="15" customHeight="1">
      <c r="A150" t="inlineStr">
        <is>
          <t>A 9862-2024</t>
        </is>
      </c>
      <c r="B150" s="1" t="n">
        <v>45363</v>
      </c>
      <c r="C150" s="1" t="n">
        <v>46175</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13482-2026</t>
        </is>
      </c>
      <c r="B151" s="1" t="n">
        <v>46094</v>
      </c>
      <c r="C151" s="1" t="n">
        <v>46175</v>
      </c>
      <c r="D151" t="inlineStr">
        <is>
          <t>GOTLANDS LÄN</t>
        </is>
      </c>
      <c r="E151" t="inlineStr">
        <is>
          <t>GOTLAND</t>
        </is>
      </c>
      <c r="G151" t="n">
        <v>1.7</v>
      </c>
      <c r="H151" t="n">
        <v>1</v>
      </c>
      <c r="I151" t="n">
        <v>0</v>
      </c>
      <c r="J151" t="n">
        <v>1</v>
      </c>
      <c r="K151" t="n">
        <v>0</v>
      </c>
      <c r="L151" t="n">
        <v>0</v>
      </c>
      <c r="M151" t="n">
        <v>0</v>
      </c>
      <c r="N151" t="n">
        <v>0</v>
      </c>
      <c r="O151" t="n">
        <v>1</v>
      </c>
      <c r="P151" t="n">
        <v>0</v>
      </c>
      <c r="Q151" t="n">
        <v>1</v>
      </c>
      <c r="R151" s="2" t="inlineStr">
        <is>
          <t>Spillkråka</t>
        </is>
      </c>
      <c r="S151">
        <f>HYPERLINK("https://klasma.github.io/Logging_0980/artfynd/A 13482-2026 artfynd.xlsx", "A 13482-2026")</f>
        <v/>
      </c>
      <c r="T151">
        <f>HYPERLINK("https://klasma.github.io/Logging_0980/kartor/A 13482-2026 karta.png", "A 13482-2026")</f>
        <v/>
      </c>
      <c r="V151">
        <f>HYPERLINK("https://klasma.github.io/Logging_0980/klagomål/A 13482-2026 FSC-klagomål.docx", "A 13482-2026")</f>
        <v/>
      </c>
      <c r="W151">
        <f>HYPERLINK("https://klasma.github.io/Logging_0980/klagomålsmail/A 13482-2026 FSC-klagomål mail.docx", "A 13482-2026")</f>
        <v/>
      </c>
      <c r="X151">
        <f>HYPERLINK("https://klasma.github.io/Logging_0980/tillsyn/A 13482-2026 tillsynsbegäran.docx", "A 13482-2026")</f>
        <v/>
      </c>
      <c r="Y151">
        <f>HYPERLINK("https://klasma.github.io/Logging_0980/tillsynsmail/A 13482-2026 tillsynsbegäran mail.docx", "A 13482-2026")</f>
        <v/>
      </c>
      <c r="Z151">
        <f>HYPERLINK("https://klasma.github.io/Logging_0980/fåglar/A 13482-2026 prioriterade fågelarter.docx", "A 13482-2026")</f>
        <v/>
      </c>
    </row>
    <row r="152" ht="15" customHeight="1">
      <c r="A152" t="inlineStr">
        <is>
          <t>A 2476-2025</t>
        </is>
      </c>
      <c r="B152" s="1" t="n">
        <v>45673</v>
      </c>
      <c r="C152" s="1" t="n">
        <v>46175</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35467-2021</t>
        </is>
      </c>
      <c r="B153" s="1" t="n">
        <v>44385</v>
      </c>
      <c r="C153" s="1" t="n">
        <v>46175</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46175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10995-2023</t>
        </is>
      </c>
      <c r="B155" s="1" t="n">
        <v>44986</v>
      </c>
      <c r="C155" s="1" t="n">
        <v>46175</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62552-2022</t>
        </is>
      </c>
      <c r="B156" s="1" t="n">
        <v>44924</v>
      </c>
      <c r="C156" s="1" t="n">
        <v>46175</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44088-2022</t>
        </is>
      </c>
      <c r="B157" s="1" t="n">
        <v>44839</v>
      </c>
      <c r="C157" s="1" t="n">
        <v>46175</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22281-2026</t>
        </is>
      </c>
      <c r="B158" s="1" t="n">
        <v>46154</v>
      </c>
      <c r="C158" s="1" t="n">
        <v>46175</v>
      </c>
      <c r="D158" t="inlineStr">
        <is>
          <t>GOTLANDS LÄN</t>
        </is>
      </c>
      <c r="E158" t="inlineStr">
        <is>
          <t>GOTLAND</t>
        </is>
      </c>
      <c r="G158" t="n">
        <v>8.1</v>
      </c>
      <c r="H158" t="n">
        <v>0</v>
      </c>
      <c r="I158" t="n">
        <v>0</v>
      </c>
      <c r="J158" t="n">
        <v>1</v>
      </c>
      <c r="K158" t="n">
        <v>0</v>
      </c>
      <c r="L158" t="n">
        <v>0</v>
      </c>
      <c r="M158" t="n">
        <v>0</v>
      </c>
      <c r="N158" t="n">
        <v>0</v>
      </c>
      <c r="O158" t="n">
        <v>1</v>
      </c>
      <c r="P158" t="n">
        <v>0</v>
      </c>
      <c r="Q158" t="n">
        <v>1</v>
      </c>
      <c r="R158" s="2" t="inlineStr">
        <is>
          <t>Vasstandad trädbasbagge</t>
        </is>
      </c>
      <c r="S158">
        <f>HYPERLINK("https://klasma.github.io/Logging_0980/artfynd/A 22281-2026 artfynd.xlsx", "A 22281-2026")</f>
        <v/>
      </c>
      <c r="T158">
        <f>HYPERLINK("https://klasma.github.io/Logging_0980/kartor/A 22281-2026 karta.png", "A 22281-2026")</f>
        <v/>
      </c>
      <c r="V158">
        <f>HYPERLINK("https://klasma.github.io/Logging_0980/klagomål/A 22281-2026 FSC-klagomål.docx", "A 22281-2026")</f>
        <v/>
      </c>
      <c r="W158">
        <f>HYPERLINK("https://klasma.github.io/Logging_0980/klagomålsmail/A 22281-2026 FSC-klagomål mail.docx", "A 22281-2026")</f>
        <v/>
      </c>
      <c r="X158">
        <f>HYPERLINK("https://klasma.github.io/Logging_0980/tillsyn/A 22281-2026 tillsynsbegäran.docx", "A 22281-2026")</f>
        <v/>
      </c>
      <c r="Y158">
        <f>HYPERLINK("https://klasma.github.io/Logging_0980/tillsynsmail/A 22281-2026 tillsynsbegäran mail.docx", "A 22281-2026")</f>
        <v/>
      </c>
    </row>
    <row r="159" ht="15" customHeight="1">
      <c r="A159" t="inlineStr">
        <is>
          <t>A 49726-2025</t>
        </is>
      </c>
      <c r="B159" s="1" t="n">
        <v>45939.84466435185</v>
      </c>
      <c r="C159" s="1" t="n">
        <v>46175</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44308-2021</t>
        </is>
      </c>
      <c r="B160" s="1" t="n">
        <v>44434</v>
      </c>
      <c r="C160" s="1" t="n">
        <v>46175</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17854-2026</t>
        </is>
      </c>
      <c r="B161" s="1" t="n">
        <v>46121</v>
      </c>
      <c r="C161" s="1" t="n">
        <v>46175</v>
      </c>
      <c r="D161" t="inlineStr">
        <is>
          <t>GOTLANDS LÄN</t>
        </is>
      </c>
      <c r="E161" t="inlineStr">
        <is>
          <t>GOTLAND</t>
        </is>
      </c>
      <c r="G161" t="n">
        <v>6.6</v>
      </c>
      <c r="H161" t="n">
        <v>0</v>
      </c>
      <c r="I161" t="n">
        <v>1</v>
      </c>
      <c r="J161" t="n">
        <v>0</v>
      </c>
      <c r="K161" t="n">
        <v>0</v>
      </c>
      <c r="L161" t="n">
        <v>0</v>
      </c>
      <c r="M161" t="n">
        <v>0</v>
      </c>
      <c r="N161" t="n">
        <v>0</v>
      </c>
      <c r="O161" t="n">
        <v>0</v>
      </c>
      <c r="P161" t="n">
        <v>0</v>
      </c>
      <c r="Q161" t="n">
        <v>1</v>
      </c>
      <c r="R161" s="2" t="inlineStr">
        <is>
          <t>Blå slemspindling</t>
        </is>
      </c>
      <c r="S161">
        <f>HYPERLINK("https://klasma.github.io/Logging_0980/artfynd/A 17854-2026 artfynd.xlsx", "A 17854-2026")</f>
        <v/>
      </c>
      <c r="T161">
        <f>HYPERLINK("https://klasma.github.io/Logging_0980/kartor/A 17854-2026 karta.png", "A 17854-2026")</f>
        <v/>
      </c>
      <c r="V161">
        <f>HYPERLINK("https://klasma.github.io/Logging_0980/klagomål/A 17854-2026 FSC-klagomål.docx", "A 17854-2026")</f>
        <v/>
      </c>
      <c r="W161">
        <f>HYPERLINK("https://klasma.github.io/Logging_0980/klagomålsmail/A 17854-2026 FSC-klagomål mail.docx", "A 17854-2026")</f>
        <v/>
      </c>
      <c r="X161">
        <f>HYPERLINK("https://klasma.github.io/Logging_0980/tillsyn/A 17854-2026 tillsynsbegäran.docx", "A 17854-2026")</f>
        <v/>
      </c>
      <c r="Y161">
        <f>HYPERLINK("https://klasma.github.io/Logging_0980/tillsynsmail/A 17854-2026 tillsynsbegäran mail.docx", "A 17854-2026")</f>
        <v/>
      </c>
    </row>
    <row r="162" ht="15" customHeight="1">
      <c r="A162" t="inlineStr">
        <is>
          <t>A 18036-2026</t>
        </is>
      </c>
      <c r="B162" s="1" t="n">
        <v>46125.39576388889</v>
      </c>
      <c r="C162" s="1" t="n">
        <v>46175</v>
      </c>
      <c r="D162" t="inlineStr">
        <is>
          <t>GOTLANDS LÄN</t>
        </is>
      </c>
      <c r="E162" t="inlineStr">
        <is>
          <t>GOTLAND</t>
        </is>
      </c>
      <c r="G162" t="n">
        <v>1.8</v>
      </c>
      <c r="H162" t="n">
        <v>0</v>
      </c>
      <c r="I162" t="n">
        <v>0</v>
      </c>
      <c r="J162" t="n">
        <v>1</v>
      </c>
      <c r="K162" t="n">
        <v>0</v>
      </c>
      <c r="L162" t="n">
        <v>0</v>
      </c>
      <c r="M162" t="n">
        <v>0</v>
      </c>
      <c r="N162" t="n">
        <v>0</v>
      </c>
      <c r="O162" t="n">
        <v>1</v>
      </c>
      <c r="P162" t="n">
        <v>0</v>
      </c>
      <c r="Q162" t="n">
        <v>1</v>
      </c>
      <c r="R162" s="2" t="inlineStr">
        <is>
          <t>Sommarfibbla</t>
        </is>
      </c>
      <c r="S162">
        <f>HYPERLINK("https://klasma.github.io/Logging_0980/artfynd/A 18036-2026 artfynd.xlsx", "A 18036-2026")</f>
        <v/>
      </c>
      <c r="T162">
        <f>HYPERLINK("https://klasma.github.io/Logging_0980/kartor/A 18036-2026 karta.png", "A 18036-2026")</f>
        <v/>
      </c>
      <c r="V162">
        <f>HYPERLINK("https://klasma.github.io/Logging_0980/klagomål/A 18036-2026 FSC-klagomål.docx", "A 18036-2026")</f>
        <v/>
      </c>
      <c r="W162">
        <f>HYPERLINK("https://klasma.github.io/Logging_0980/klagomålsmail/A 18036-2026 FSC-klagomål mail.docx", "A 18036-2026")</f>
        <v/>
      </c>
      <c r="X162">
        <f>HYPERLINK("https://klasma.github.io/Logging_0980/tillsyn/A 18036-2026 tillsynsbegäran.docx", "A 18036-2026")</f>
        <v/>
      </c>
      <c r="Y162">
        <f>HYPERLINK("https://klasma.github.io/Logging_0980/tillsynsmail/A 18036-2026 tillsynsbegäran mail.docx", "A 18036-2026")</f>
        <v/>
      </c>
    </row>
    <row r="163" ht="15" customHeight="1">
      <c r="A163" t="inlineStr">
        <is>
          <t>A 447-2023</t>
        </is>
      </c>
      <c r="B163" s="1" t="n">
        <v>44929</v>
      </c>
      <c r="C163" s="1" t="n">
        <v>46175</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12924-2025</t>
        </is>
      </c>
      <c r="B164" s="1" t="n">
        <v>45734</v>
      </c>
      <c r="C164" s="1" t="n">
        <v>46175</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947-2023</t>
        </is>
      </c>
      <c r="B165" s="1" t="n">
        <v>44934</v>
      </c>
      <c r="C165" s="1" t="n">
        <v>46175</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46175</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63576-2021</t>
        </is>
      </c>
      <c r="B167" s="1" t="n">
        <v>44508</v>
      </c>
      <c r="C167" s="1" t="n">
        <v>46175</v>
      </c>
      <c r="D167" t="inlineStr">
        <is>
          <t>GOTLANDS LÄN</t>
        </is>
      </c>
      <c r="E167" t="inlineStr">
        <is>
          <t>GOTLAND</t>
        </is>
      </c>
      <c r="F167" t="inlineStr">
        <is>
          <t>Kyrkan</t>
        </is>
      </c>
      <c r="G167" t="n">
        <v>4.1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63576-2021 artfynd.xlsx", "A 63576-2021")</f>
        <v/>
      </c>
      <c r="T167">
        <f>HYPERLINK("https://klasma.github.io/Logging_0980/kartor/A 63576-2021 karta.png", "A 63576-2021")</f>
        <v/>
      </c>
      <c r="V167">
        <f>HYPERLINK("https://klasma.github.io/Logging_0980/klagomål/A 63576-2021 FSC-klagomål.docx", "A 63576-2021")</f>
        <v/>
      </c>
      <c r="W167">
        <f>HYPERLINK("https://klasma.github.io/Logging_0980/klagomålsmail/A 63576-2021 FSC-klagomål mail.docx", "A 63576-2021")</f>
        <v/>
      </c>
      <c r="X167">
        <f>HYPERLINK("https://klasma.github.io/Logging_0980/tillsyn/A 63576-2021 tillsynsbegäran.docx", "A 63576-2021")</f>
        <v/>
      </c>
      <c r="Y167">
        <f>HYPERLINK("https://klasma.github.io/Logging_0980/tillsynsmail/A 63576-2021 tillsynsbegäran mail.docx", "A 63576-2021")</f>
        <v/>
      </c>
    </row>
    <row r="168" ht="15" customHeight="1">
      <c r="A168" t="inlineStr">
        <is>
          <t>A 10013-2026</t>
        </is>
      </c>
      <c r="B168" s="1" t="n">
        <v>46073</v>
      </c>
      <c r="C168" s="1" t="n">
        <v>46175</v>
      </c>
      <c r="D168" t="inlineStr">
        <is>
          <t>GOTLANDS LÄN</t>
        </is>
      </c>
      <c r="E168" t="inlineStr">
        <is>
          <t>GOTLAND</t>
        </is>
      </c>
      <c r="G168" t="n">
        <v>10.5</v>
      </c>
      <c r="H168" t="n">
        <v>0</v>
      </c>
      <c r="I168" t="n">
        <v>0</v>
      </c>
      <c r="J168" t="n">
        <v>0</v>
      </c>
      <c r="K168" t="n">
        <v>1</v>
      </c>
      <c r="L168" t="n">
        <v>0</v>
      </c>
      <c r="M168" t="n">
        <v>0</v>
      </c>
      <c r="N168" t="n">
        <v>0</v>
      </c>
      <c r="O168" t="n">
        <v>1</v>
      </c>
      <c r="P168" t="n">
        <v>1</v>
      </c>
      <c r="Q168" t="n">
        <v>1</v>
      </c>
      <c r="R168" s="2" t="inlineStr">
        <is>
          <t>Skogskorn</t>
        </is>
      </c>
      <c r="S168">
        <f>HYPERLINK("https://klasma.github.io/Logging_0980/artfynd/A 10013-2026 artfynd.xlsx", "A 10013-2026")</f>
        <v/>
      </c>
      <c r="T168">
        <f>HYPERLINK("https://klasma.github.io/Logging_0980/kartor/A 10013-2026 karta.png", "A 10013-2026")</f>
        <v/>
      </c>
      <c r="V168">
        <f>HYPERLINK("https://klasma.github.io/Logging_0980/klagomål/A 10013-2026 FSC-klagomål.docx", "A 10013-2026")</f>
        <v/>
      </c>
      <c r="W168">
        <f>HYPERLINK("https://klasma.github.io/Logging_0980/klagomålsmail/A 10013-2026 FSC-klagomål mail.docx", "A 10013-2026")</f>
        <v/>
      </c>
      <c r="X168">
        <f>HYPERLINK("https://klasma.github.io/Logging_0980/tillsyn/A 10013-2026 tillsynsbegäran.docx", "A 10013-2026")</f>
        <v/>
      </c>
      <c r="Y168">
        <f>HYPERLINK("https://klasma.github.io/Logging_0980/tillsynsmail/A 10013-2026 tillsynsbegäran mail.docx", "A 10013-2026")</f>
        <v/>
      </c>
    </row>
    <row r="169" ht="15" customHeight="1">
      <c r="A169" t="inlineStr">
        <is>
          <t>A 64700-2021</t>
        </is>
      </c>
      <c r="B169" s="1" t="n">
        <v>44511</v>
      </c>
      <c r="C169" s="1" t="n">
        <v>46175</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46175</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46175</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46175</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46175</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6303-2024</t>
        </is>
      </c>
      <c r="B174" s="1" t="n">
        <v>45338.35376157407</v>
      </c>
      <c r="C174" s="1" t="n">
        <v>46175</v>
      </c>
      <c r="D174" t="inlineStr">
        <is>
          <t>GOTLANDS LÄN</t>
        </is>
      </c>
      <c r="E174" t="inlineStr">
        <is>
          <t>GOTLAND</t>
        </is>
      </c>
      <c r="G174" t="n">
        <v>0.6</v>
      </c>
      <c r="H174" t="n">
        <v>0</v>
      </c>
      <c r="I174" t="n">
        <v>1</v>
      </c>
      <c r="J174" t="n">
        <v>0</v>
      </c>
      <c r="K174" t="n">
        <v>0</v>
      </c>
      <c r="L174" t="n">
        <v>0</v>
      </c>
      <c r="M174" t="n">
        <v>0</v>
      </c>
      <c r="N174" t="n">
        <v>0</v>
      </c>
      <c r="O174" t="n">
        <v>0</v>
      </c>
      <c r="P174" t="n">
        <v>0</v>
      </c>
      <c r="Q174" t="n">
        <v>1</v>
      </c>
      <c r="R174" s="2" t="inlineStr">
        <is>
          <t>Strävlosta</t>
        </is>
      </c>
      <c r="S174">
        <f>HYPERLINK("https://klasma.github.io/Logging_0980/artfynd/A 6303-2024 artfynd.xlsx", "A 6303-2024")</f>
        <v/>
      </c>
      <c r="T174">
        <f>HYPERLINK("https://klasma.github.io/Logging_0980/kartor/A 6303-2024 karta.png", "A 6303-2024")</f>
        <v/>
      </c>
      <c r="V174">
        <f>HYPERLINK("https://klasma.github.io/Logging_0980/klagomål/A 6303-2024 FSC-klagomål.docx", "A 6303-2024")</f>
        <v/>
      </c>
      <c r="W174">
        <f>HYPERLINK("https://klasma.github.io/Logging_0980/klagomålsmail/A 6303-2024 FSC-klagomål mail.docx", "A 6303-2024")</f>
        <v/>
      </c>
      <c r="X174">
        <f>HYPERLINK("https://klasma.github.io/Logging_0980/tillsyn/A 6303-2024 tillsynsbegäran.docx", "A 6303-2024")</f>
        <v/>
      </c>
      <c r="Y174">
        <f>HYPERLINK("https://klasma.github.io/Logging_0980/tillsynsmail/A 6303-2024 tillsynsbegäran mail.docx", "A 6303-2024")</f>
        <v/>
      </c>
    </row>
    <row r="175" ht="15" customHeight="1">
      <c r="A175" t="inlineStr">
        <is>
          <t>A 34809-2024</t>
        </is>
      </c>
      <c r="B175" s="1" t="n">
        <v>45526</v>
      </c>
      <c r="C175" s="1" t="n">
        <v>46175</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61561-2023</t>
        </is>
      </c>
      <c r="B176" s="1" t="n">
        <v>45265</v>
      </c>
      <c r="C176" s="1" t="n">
        <v>46175</v>
      </c>
      <c r="D176" t="inlineStr">
        <is>
          <t>GOTLANDS LÄN</t>
        </is>
      </c>
      <c r="E176" t="inlineStr">
        <is>
          <t>GOTLAND</t>
        </is>
      </c>
      <c r="G176" t="n">
        <v>7.4</v>
      </c>
      <c r="H176" t="n">
        <v>0</v>
      </c>
      <c r="I176" t="n">
        <v>0</v>
      </c>
      <c r="J176" t="n">
        <v>1</v>
      </c>
      <c r="K176" t="n">
        <v>0</v>
      </c>
      <c r="L176" t="n">
        <v>0</v>
      </c>
      <c r="M176" t="n">
        <v>0</v>
      </c>
      <c r="N176" t="n">
        <v>0</v>
      </c>
      <c r="O176" t="n">
        <v>1</v>
      </c>
      <c r="P176" t="n">
        <v>0</v>
      </c>
      <c r="Q176" t="n">
        <v>1</v>
      </c>
      <c r="R176" s="2" t="inlineStr">
        <is>
          <t>Loppstarr</t>
        </is>
      </c>
      <c r="S176">
        <f>HYPERLINK("https://klasma.github.io/Logging_0980/artfynd/A 61561-2023 artfynd.xlsx", "A 61561-2023")</f>
        <v/>
      </c>
      <c r="T176">
        <f>HYPERLINK("https://klasma.github.io/Logging_0980/kartor/A 61561-2023 karta.png", "A 61561-2023")</f>
        <v/>
      </c>
      <c r="V176">
        <f>HYPERLINK("https://klasma.github.io/Logging_0980/klagomål/A 61561-2023 FSC-klagomål.docx", "A 61561-2023")</f>
        <v/>
      </c>
      <c r="W176">
        <f>HYPERLINK("https://klasma.github.io/Logging_0980/klagomålsmail/A 61561-2023 FSC-klagomål mail.docx", "A 61561-2023")</f>
        <v/>
      </c>
      <c r="X176">
        <f>HYPERLINK("https://klasma.github.io/Logging_0980/tillsyn/A 61561-2023 tillsynsbegäran.docx", "A 61561-2023")</f>
        <v/>
      </c>
      <c r="Y176">
        <f>HYPERLINK("https://klasma.github.io/Logging_0980/tillsynsmail/A 61561-2023 tillsynsbegäran mail.docx", "A 61561-2023")</f>
        <v/>
      </c>
    </row>
    <row r="177" ht="15" customHeight="1">
      <c r="A177" t="inlineStr">
        <is>
          <t>A 22782-2023</t>
        </is>
      </c>
      <c r="B177" s="1" t="n">
        <v>45072</v>
      </c>
      <c r="C177" s="1" t="n">
        <v>46175</v>
      </c>
      <c r="D177" t="inlineStr">
        <is>
          <t>GOTLANDS LÄN</t>
        </is>
      </c>
      <c r="E177" t="inlineStr">
        <is>
          <t>GOTLAND</t>
        </is>
      </c>
      <c r="F177" t="inlineStr">
        <is>
          <t>Kyrkan</t>
        </is>
      </c>
      <c r="G177" t="n">
        <v>3.1</v>
      </c>
      <c r="H177" t="n">
        <v>1</v>
      </c>
      <c r="I177" t="n">
        <v>0</v>
      </c>
      <c r="J177" t="n">
        <v>0</v>
      </c>
      <c r="K177" t="n">
        <v>0</v>
      </c>
      <c r="L177" t="n">
        <v>0</v>
      </c>
      <c r="M177" t="n">
        <v>0</v>
      </c>
      <c r="N177" t="n">
        <v>0</v>
      </c>
      <c r="O177" t="n">
        <v>0</v>
      </c>
      <c r="P177" t="n">
        <v>0</v>
      </c>
      <c r="Q177" t="n">
        <v>1</v>
      </c>
      <c r="R177" s="2" t="inlineStr">
        <is>
          <t>Ängsnycklar × skogsnycklar</t>
        </is>
      </c>
      <c r="S177">
        <f>HYPERLINK("https://klasma.github.io/Logging_0980/artfynd/A 22782-2023 artfynd.xlsx", "A 22782-2023")</f>
        <v/>
      </c>
      <c r="T177">
        <f>HYPERLINK("https://klasma.github.io/Logging_0980/kartor/A 22782-2023 karta.png", "A 22782-2023")</f>
        <v/>
      </c>
      <c r="V177">
        <f>HYPERLINK("https://klasma.github.io/Logging_0980/klagomål/A 22782-2023 FSC-klagomål.docx", "A 22782-2023")</f>
        <v/>
      </c>
      <c r="W177">
        <f>HYPERLINK("https://klasma.github.io/Logging_0980/klagomålsmail/A 22782-2023 FSC-klagomål mail.docx", "A 22782-2023")</f>
        <v/>
      </c>
      <c r="X177">
        <f>HYPERLINK("https://klasma.github.io/Logging_0980/tillsyn/A 22782-2023 tillsynsbegäran.docx", "A 22782-2023")</f>
        <v/>
      </c>
      <c r="Y177">
        <f>HYPERLINK("https://klasma.github.io/Logging_0980/tillsynsmail/A 22782-2023 tillsynsbegäran mail.docx", "A 22782-2023")</f>
        <v/>
      </c>
    </row>
    <row r="178" ht="15" customHeight="1">
      <c r="A178" t="inlineStr">
        <is>
          <t>A 22883-2024</t>
        </is>
      </c>
      <c r="B178" s="1" t="n">
        <v>45448.66368055555</v>
      </c>
      <c r="C178" s="1" t="n">
        <v>46175</v>
      </c>
      <c r="D178" t="inlineStr">
        <is>
          <t>GOTLANDS LÄN</t>
        </is>
      </c>
      <c r="E178" t="inlineStr">
        <is>
          <t>GOTLAND</t>
        </is>
      </c>
      <c r="G178" t="n">
        <v>0.5</v>
      </c>
      <c r="H178" t="n">
        <v>0</v>
      </c>
      <c r="I178" t="n">
        <v>0</v>
      </c>
      <c r="J178" t="n">
        <v>0</v>
      </c>
      <c r="K178" t="n">
        <v>1</v>
      </c>
      <c r="L178" t="n">
        <v>0</v>
      </c>
      <c r="M178" t="n">
        <v>0</v>
      </c>
      <c r="N178" t="n">
        <v>0</v>
      </c>
      <c r="O178" t="n">
        <v>1</v>
      </c>
      <c r="P178" t="n">
        <v>1</v>
      </c>
      <c r="Q178" t="n">
        <v>1</v>
      </c>
      <c r="R178" s="2" t="inlineStr">
        <is>
          <t>Gotlandsmåra</t>
        </is>
      </c>
      <c r="S178">
        <f>HYPERLINK("https://klasma.github.io/Logging_0980/artfynd/A 22883-2024 artfynd.xlsx", "A 22883-2024")</f>
        <v/>
      </c>
      <c r="T178">
        <f>HYPERLINK("https://klasma.github.io/Logging_0980/kartor/A 22883-2024 karta.png", "A 22883-2024")</f>
        <v/>
      </c>
      <c r="V178">
        <f>HYPERLINK("https://klasma.github.io/Logging_0980/klagomål/A 22883-2024 FSC-klagomål.docx", "A 22883-2024")</f>
        <v/>
      </c>
      <c r="W178">
        <f>HYPERLINK("https://klasma.github.io/Logging_0980/klagomålsmail/A 22883-2024 FSC-klagomål mail.docx", "A 22883-2024")</f>
        <v/>
      </c>
      <c r="X178">
        <f>HYPERLINK("https://klasma.github.io/Logging_0980/tillsyn/A 22883-2024 tillsynsbegäran.docx", "A 22883-2024")</f>
        <v/>
      </c>
      <c r="Y178">
        <f>HYPERLINK("https://klasma.github.io/Logging_0980/tillsynsmail/A 22883-2024 tillsynsbegäran mail.docx", "A 22883-2024")</f>
        <v/>
      </c>
    </row>
    <row r="179" ht="15" customHeight="1">
      <c r="A179" t="inlineStr">
        <is>
          <t>A 24245-2022</t>
        </is>
      </c>
      <c r="B179" s="1" t="n">
        <v>44725</v>
      </c>
      <c r="C179" s="1" t="n">
        <v>46175</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49847-2023</t>
        </is>
      </c>
      <c r="B180" s="1" t="n">
        <v>45212</v>
      </c>
      <c r="C180" s="1" t="n">
        <v>46175</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46527-2023</t>
        </is>
      </c>
      <c r="B181" s="1" t="n">
        <v>45197</v>
      </c>
      <c r="C181" s="1" t="n">
        <v>46175</v>
      </c>
      <c r="D181" t="inlineStr">
        <is>
          <t>GOTLANDS LÄN</t>
        </is>
      </c>
      <c r="E181" t="inlineStr">
        <is>
          <t>GOTLAND</t>
        </is>
      </c>
      <c r="G181" t="n">
        <v>0.9</v>
      </c>
      <c r="H181" t="n">
        <v>0</v>
      </c>
      <c r="I181" t="n">
        <v>0</v>
      </c>
      <c r="J181" t="n">
        <v>1</v>
      </c>
      <c r="K181" t="n">
        <v>0</v>
      </c>
      <c r="L181" t="n">
        <v>0</v>
      </c>
      <c r="M181" t="n">
        <v>0</v>
      </c>
      <c r="N181" t="n">
        <v>0</v>
      </c>
      <c r="O181" t="n">
        <v>1</v>
      </c>
      <c r="P181" t="n">
        <v>0</v>
      </c>
      <c r="Q181" t="n">
        <v>1</v>
      </c>
      <c r="R181" s="2" t="inlineStr">
        <is>
          <t>Guldgräshoppa</t>
        </is>
      </c>
      <c r="S181">
        <f>HYPERLINK("https://klasma.github.io/Logging_0980/artfynd/A 46527-2023 artfynd.xlsx", "A 46527-2023")</f>
        <v/>
      </c>
      <c r="T181">
        <f>HYPERLINK("https://klasma.github.io/Logging_0980/kartor/A 46527-2023 karta.png", "A 46527-2023")</f>
        <v/>
      </c>
      <c r="V181">
        <f>HYPERLINK("https://klasma.github.io/Logging_0980/klagomål/A 46527-2023 FSC-klagomål.docx", "A 46527-2023")</f>
        <v/>
      </c>
      <c r="W181">
        <f>HYPERLINK("https://klasma.github.io/Logging_0980/klagomålsmail/A 46527-2023 FSC-klagomål mail.docx", "A 46527-2023")</f>
        <v/>
      </c>
      <c r="X181">
        <f>HYPERLINK("https://klasma.github.io/Logging_0980/tillsyn/A 46527-2023 tillsynsbegäran.docx", "A 46527-2023")</f>
        <v/>
      </c>
      <c r="Y181">
        <f>HYPERLINK("https://klasma.github.io/Logging_0980/tillsynsmail/A 46527-2023 tillsynsbegäran mail.docx", "A 46527-2023")</f>
        <v/>
      </c>
    </row>
    <row r="182" ht="15" customHeight="1">
      <c r="A182" t="inlineStr">
        <is>
          <t>A 12324-2025</t>
        </is>
      </c>
      <c r="B182" s="1" t="n">
        <v>45730</v>
      </c>
      <c r="C182" s="1" t="n">
        <v>46175</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46175</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46175</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46175</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46175</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6739-2025</t>
        </is>
      </c>
      <c r="B187" s="1" t="n">
        <v>45700</v>
      </c>
      <c r="C187" s="1" t="n">
        <v>46175</v>
      </c>
      <c r="D187" t="inlineStr">
        <is>
          <t>GOTLANDS LÄN</t>
        </is>
      </c>
      <c r="E187" t="inlineStr">
        <is>
          <t>GOTLAND</t>
        </is>
      </c>
      <c r="G187" t="n">
        <v>4.5</v>
      </c>
      <c r="H187" t="n">
        <v>1</v>
      </c>
      <c r="I187" t="n">
        <v>0</v>
      </c>
      <c r="J187" t="n">
        <v>0</v>
      </c>
      <c r="K187" t="n">
        <v>0</v>
      </c>
      <c r="L187" t="n">
        <v>0</v>
      </c>
      <c r="M187" t="n">
        <v>0</v>
      </c>
      <c r="N187" t="n">
        <v>0</v>
      </c>
      <c r="O187" t="n">
        <v>0</v>
      </c>
      <c r="P187" t="n">
        <v>0</v>
      </c>
      <c r="Q187" t="n">
        <v>1</v>
      </c>
      <c r="R187" s="2" t="inlineStr">
        <is>
          <t>Röd glada</t>
        </is>
      </c>
      <c r="S187">
        <f>HYPERLINK("https://klasma.github.io/Logging_0980/artfynd/A 6739-2025 artfynd.xlsx", "A 6739-2025")</f>
        <v/>
      </c>
      <c r="T187">
        <f>HYPERLINK("https://klasma.github.io/Logging_0980/kartor/A 6739-2025 karta.png", "A 6739-2025")</f>
        <v/>
      </c>
      <c r="V187">
        <f>HYPERLINK("https://klasma.github.io/Logging_0980/klagomål/A 6739-2025 FSC-klagomål.docx", "A 6739-2025")</f>
        <v/>
      </c>
      <c r="W187">
        <f>HYPERLINK("https://klasma.github.io/Logging_0980/klagomålsmail/A 6739-2025 FSC-klagomål mail.docx", "A 6739-2025")</f>
        <v/>
      </c>
      <c r="X187">
        <f>HYPERLINK("https://klasma.github.io/Logging_0980/tillsyn/A 6739-2025 tillsynsbegäran.docx", "A 6739-2025")</f>
        <v/>
      </c>
      <c r="Y187">
        <f>HYPERLINK("https://klasma.github.io/Logging_0980/tillsynsmail/A 6739-2025 tillsynsbegäran mail.docx", "A 6739-2025")</f>
        <v/>
      </c>
      <c r="Z187">
        <f>HYPERLINK("https://klasma.github.io/Logging_0980/fåglar/A 6739-2025 prioriterade fågelarter.docx", "A 6739-2025")</f>
        <v/>
      </c>
    </row>
    <row r="188" ht="15" customHeight="1">
      <c r="A188" t="inlineStr">
        <is>
          <t>A 36313-2021</t>
        </is>
      </c>
      <c r="B188" s="1" t="n">
        <v>44390</v>
      </c>
      <c r="C188" s="1" t="n">
        <v>46175</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46175</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46175</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46175</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46175</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46175</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46175</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46175</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46175</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46175</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46175</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46175</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46175</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46175</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46175</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46175</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46175</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46175</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71010-2021</t>
        </is>
      </c>
      <c r="B207" s="1" t="n">
        <v>44538.63775462963</v>
      </c>
      <c r="C207" s="1" t="n">
        <v>46175</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22495-2022</t>
        </is>
      </c>
      <c r="B208" s="1" t="n">
        <v>44713.6452199074</v>
      </c>
      <c r="C208" s="1" t="n">
        <v>46175</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44942-2022</t>
        </is>
      </c>
      <c r="B209" s="1" t="n">
        <v>44841</v>
      </c>
      <c r="C209" s="1" t="n">
        <v>46175</v>
      </c>
      <c r="D209" t="inlineStr">
        <is>
          <t>GOTLANDS LÄN</t>
        </is>
      </c>
      <c r="E209" t="inlineStr">
        <is>
          <t>GOTLAND</t>
        </is>
      </c>
      <c r="G209" t="n">
        <v>2</v>
      </c>
      <c r="H209" t="n">
        <v>0</v>
      </c>
      <c r="I209" t="n">
        <v>0</v>
      </c>
      <c r="J209" t="n">
        <v>0</v>
      </c>
      <c r="K209" t="n">
        <v>0</v>
      </c>
      <c r="L209" t="n">
        <v>0</v>
      </c>
      <c r="M209" t="n">
        <v>0</v>
      </c>
      <c r="N209" t="n">
        <v>0</v>
      </c>
      <c r="O209" t="n">
        <v>0</v>
      </c>
      <c r="P209" t="n">
        <v>0</v>
      </c>
      <c r="Q209" t="n">
        <v>0</v>
      </c>
      <c r="R209" s="2" t="inlineStr"/>
    </row>
    <row r="210" ht="15" customHeight="1">
      <c r="A210" t="inlineStr">
        <is>
          <t>A 30055-2021</t>
        </is>
      </c>
      <c r="B210" s="1" t="n">
        <v>44363</v>
      </c>
      <c r="C210" s="1" t="n">
        <v>46175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46175</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46175</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46175</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46175</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56951-2021</t>
        </is>
      </c>
      <c r="B215" s="1" t="n">
        <v>44482.37388888889</v>
      </c>
      <c r="C215" s="1" t="n">
        <v>46175</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13498-2022</t>
        </is>
      </c>
      <c r="B216" s="1" t="n">
        <v>44647.78866898148</v>
      </c>
      <c r="C216" s="1" t="n">
        <v>46175</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13500-2022</t>
        </is>
      </c>
      <c r="B217" s="1" t="n">
        <v>44647.79513888889</v>
      </c>
      <c r="C217" s="1" t="n">
        <v>46175</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46175</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30282-2022</t>
        </is>
      </c>
      <c r="B219" s="1" t="n">
        <v>44760</v>
      </c>
      <c r="C219" s="1" t="n">
        <v>46175</v>
      </c>
      <c r="D219" t="inlineStr">
        <is>
          <t>GOTLANDS LÄN</t>
        </is>
      </c>
      <c r="E219" t="inlineStr">
        <is>
          <t>GOTLAND</t>
        </is>
      </c>
      <c r="G219" t="n">
        <v>2.6</v>
      </c>
      <c r="H219" t="n">
        <v>0</v>
      </c>
      <c r="I219" t="n">
        <v>0</v>
      </c>
      <c r="J219" t="n">
        <v>0</v>
      </c>
      <c r="K219" t="n">
        <v>0</v>
      </c>
      <c r="L219" t="n">
        <v>0</v>
      </c>
      <c r="M219" t="n">
        <v>0</v>
      </c>
      <c r="N219" t="n">
        <v>0</v>
      </c>
      <c r="O219" t="n">
        <v>0</v>
      </c>
      <c r="P219" t="n">
        <v>0</v>
      </c>
      <c r="Q219" t="n">
        <v>0</v>
      </c>
      <c r="R219" s="2" t="inlineStr"/>
    </row>
    <row r="220" ht="15" customHeight="1">
      <c r="A220" t="inlineStr">
        <is>
          <t>A 4868-2024</t>
        </is>
      </c>
      <c r="B220" s="1" t="n">
        <v>45329</v>
      </c>
      <c r="C220" s="1" t="n">
        <v>46175</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32330-2024</t>
        </is>
      </c>
      <c r="B221" s="1" t="n">
        <v>45512</v>
      </c>
      <c r="C221" s="1" t="n">
        <v>46175</v>
      </c>
      <c r="D221" t="inlineStr">
        <is>
          <t>GOTLANDS LÄN</t>
        </is>
      </c>
      <c r="E221" t="inlineStr">
        <is>
          <t>GOTLAND</t>
        </is>
      </c>
      <c r="G221" t="n">
        <v>2.6</v>
      </c>
      <c r="H221" t="n">
        <v>0</v>
      </c>
      <c r="I221" t="n">
        <v>0</v>
      </c>
      <c r="J221" t="n">
        <v>0</v>
      </c>
      <c r="K221" t="n">
        <v>0</v>
      </c>
      <c r="L221" t="n">
        <v>0</v>
      </c>
      <c r="M221" t="n">
        <v>0</v>
      </c>
      <c r="N221" t="n">
        <v>0</v>
      </c>
      <c r="O221" t="n">
        <v>0</v>
      </c>
      <c r="P221" t="n">
        <v>0</v>
      </c>
      <c r="Q221" t="n">
        <v>0</v>
      </c>
      <c r="R221" s="2" t="inlineStr"/>
    </row>
    <row r="222" ht="15" customHeight="1">
      <c r="A222" t="inlineStr">
        <is>
          <t>A 9613-2025</t>
        </is>
      </c>
      <c r="B222" s="1" t="n">
        <v>45715</v>
      </c>
      <c r="C222" s="1" t="n">
        <v>46175</v>
      </c>
      <c r="D222" t="inlineStr">
        <is>
          <t>GOTLANDS LÄN</t>
        </is>
      </c>
      <c r="E222" t="inlineStr">
        <is>
          <t>GOTLAND</t>
        </is>
      </c>
      <c r="G222" t="n">
        <v>3.5</v>
      </c>
      <c r="H222" t="n">
        <v>0</v>
      </c>
      <c r="I222" t="n">
        <v>0</v>
      </c>
      <c r="J222" t="n">
        <v>0</v>
      </c>
      <c r="K222" t="n">
        <v>0</v>
      </c>
      <c r="L222" t="n">
        <v>0</v>
      </c>
      <c r="M222" t="n">
        <v>0</v>
      </c>
      <c r="N222" t="n">
        <v>0</v>
      </c>
      <c r="O222" t="n">
        <v>0</v>
      </c>
      <c r="P222" t="n">
        <v>0</v>
      </c>
      <c r="Q222" t="n">
        <v>0</v>
      </c>
      <c r="R222" s="2" t="inlineStr"/>
    </row>
    <row r="223" ht="15" customHeight="1">
      <c r="A223" t="inlineStr">
        <is>
          <t>A 15595-2024</t>
        </is>
      </c>
      <c r="B223" s="1" t="n">
        <v>45401.81480324074</v>
      </c>
      <c r="C223" s="1" t="n">
        <v>46175</v>
      </c>
      <c r="D223" t="inlineStr">
        <is>
          <t>GOTLANDS LÄN</t>
        </is>
      </c>
      <c r="E223" t="inlineStr">
        <is>
          <t>GOTLAND</t>
        </is>
      </c>
      <c r="G223" t="n">
        <v>6.4</v>
      </c>
      <c r="H223" t="n">
        <v>0</v>
      </c>
      <c r="I223" t="n">
        <v>0</v>
      </c>
      <c r="J223" t="n">
        <v>0</v>
      </c>
      <c r="K223" t="n">
        <v>0</v>
      </c>
      <c r="L223" t="n">
        <v>0</v>
      </c>
      <c r="M223" t="n">
        <v>0</v>
      </c>
      <c r="N223" t="n">
        <v>0</v>
      </c>
      <c r="O223" t="n">
        <v>0</v>
      </c>
      <c r="P223" t="n">
        <v>0</v>
      </c>
      <c r="Q223" t="n">
        <v>0</v>
      </c>
      <c r="R223" s="2" t="inlineStr"/>
    </row>
    <row r="224" ht="15" customHeight="1">
      <c r="A224" t="inlineStr">
        <is>
          <t>A 24966-2023</t>
        </is>
      </c>
      <c r="B224" s="1" t="n">
        <v>45085</v>
      </c>
      <c r="C224" s="1" t="n">
        <v>46175</v>
      </c>
      <c r="D224" t="inlineStr">
        <is>
          <t>GOTLANDS LÄN</t>
        </is>
      </c>
      <c r="E224" t="inlineStr">
        <is>
          <t>GOTLAND</t>
        </is>
      </c>
      <c r="G224" t="n">
        <v>7</v>
      </c>
      <c r="H224" t="n">
        <v>0</v>
      </c>
      <c r="I224" t="n">
        <v>0</v>
      </c>
      <c r="J224" t="n">
        <v>0</v>
      </c>
      <c r="K224" t="n">
        <v>0</v>
      </c>
      <c r="L224" t="n">
        <v>0</v>
      </c>
      <c r="M224" t="n">
        <v>0</v>
      </c>
      <c r="N224" t="n">
        <v>0</v>
      </c>
      <c r="O224" t="n">
        <v>0</v>
      </c>
      <c r="P224" t="n">
        <v>0</v>
      </c>
      <c r="Q224" t="n">
        <v>0</v>
      </c>
      <c r="R224" s="2" t="inlineStr"/>
    </row>
    <row r="225" ht="15" customHeight="1">
      <c r="A225" t="inlineStr">
        <is>
          <t>A 46189-2022</t>
        </is>
      </c>
      <c r="B225" s="1" t="n">
        <v>44847</v>
      </c>
      <c r="C225" s="1" t="n">
        <v>46175</v>
      </c>
      <c r="D225" t="inlineStr">
        <is>
          <t>GOTLANDS LÄN</t>
        </is>
      </c>
      <c r="E225" t="inlineStr">
        <is>
          <t>GOTLAND</t>
        </is>
      </c>
      <c r="G225" t="n">
        <v>0.4</v>
      </c>
      <c r="H225" t="n">
        <v>0</v>
      </c>
      <c r="I225" t="n">
        <v>0</v>
      </c>
      <c r="J225" t="n">
        <v>0</v>
      </c>
      <c r="K225" t="n">
        <v>0</v>
      </c>
      <c r="L225" t="n">
        <v>0</v>
      </c>
      <c r="M225" t="n">
        <v>0</v>
      </c>
      <c r="N225" t="n">
        <v>0</v>
      </c>
      <c r="O225" t="n">
        <v>0</v>
      </c>
      <c r="P225" t="n">
        <v>0</v>
      </c>
      <c r="Q225" t="n">
        <v>0</v>
      </c>
      <c r="R225" s="2" t="inlineStr"/>
    </row>
    <row r="226" ht="15" customHeight="1">
      <c r="A226" t="inlineStr">
        <is>
          <t>A 22031-2024</t>
        </is>
      </c>
      <c r="B226" s="1" t="n">
        <v>45443.60075231481</v>
      </c>
      <c r="C226" s="1" t="n">
        <v>46175</v>
      </c>
      <c r="D226" t="inlineStr">
        <is>
          <t>GOTLANDS LÄN</t>
        </is>
      </c>
      <c r="E226" t="inlineStr">
        <is>
          <t>GOTLAND</t>
        </is>
      </c>
      <c r="G226" t="n">
        <v>2.3</v>
      </c>
      <c r="H226" t="n">
        <v>0</v>
      </c>
      <c r="I226" t="n">
        <v>0</v>
      </c>
      <c r="J226" t="n">
        <v>0</v>
      </c>
      <c r="K226" t="n">
        <v>0</v>
      </c>
      <c r="L226" t="n">
        <v>0</v>
      </c>
      <c r="M226" t="n">
        <v>0</v>
      </c>
      <c r="N226" t="n">
        <v>0</v>
      </c>
      <c r="O226" t="n">
        <v>0</v>
      </c>
      <c r="P226" t="n">
        <v>0</v>
      </c>
      <c r="Q226" t="n">
        <v>0</v>
      </c>
      <c r="R226" s="2" t="inlineStr"/>
    </row>
    <row r="227" ht="15" customHeight="1">
      <c r="A227" t="inlineStr">
        <is>
          <t>A 5751-2024</t>
        </is>
      </c>
      <c r="B227" s="1" t="n">
        <v>45335.32702546296</v>
      </c>
      <c r="C227" s="1" t="n">
        <v>46175</v>
      </c>
      <c r="D227" t="inlineStr">
        <is>
          <t>GOTLANDS LÄN</t>
        </is>
      </c>
      <c r="E227" t="inlineStr">
        <is>
          <t>GOTLAND</t>
        </is>
      </c>
      <c r="G227" t="n">
        <v>4.2</v>
      </c>
      <c r="H227" t="n">
        <v>0</v>
      </c>
      <c r="I227" t="n">
        <v>0</v>
      </c>
      <c r="J227" t="n">
        <v>0</v>
      </c>
      <c r="K227" t="n">
        <v>0</v>
      </c>
      <c r="L227" t="n">
        <v>0</v>
      </c>
      <c r="M227" t="n">
        <v>0</v>
      </c>
      <c r="N227" t="n">
        <v>0</v>
      </c>
      <c r="O227" t="n">
        <v>0</v>
      </c>
      <c r="P227" t="n">
        <v>0</v>
      </c>
      <c r="Q227" t="n">
        <v>0</v>
      </c>
      <c r="R227" s="2" t="inlineStr"/>
    </row>
    <row r="228" ht="15" customHeight="1">
      <c r="A228" t="inlineStr">
        <is>
          <t>A 49314-2024</t>
        </is>
      </c>
      <c r="B228" s="1" t="n">
        <v>45595.55893518519</v>
      </c>
      <c r="C228" s="1" t="n">
        <v>46175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44919-2022</t>
        </is>
      </c>
      <c r="B229" s="1" t="n">
        <v>44841</v>
      </c>
      <c r="C229" s="1" t="n">
        <v>46175</v>
      </c>
      <c r="D229" t="inlineStr">
        <is>
          <t>GOTLANDS LÄN</t>
        </is>
      </c>
      <c r="E229" t="inlineStr">
        <is>
          <t>GOTLAND</t>
        </is>
      </c>
      <c r="G229" t="n">
        <v>2.2</v>
      </c>
      <c r="H229" t="n">
        <v>0</v>
      </c>
      <c r="I229" t="n">
        <v>0</v>
      </c>
      <c r="J229" t="n">
        <v>0</v>
      </c>
      <c r="K229" t="n">
        <v>0</v>
      </c>
      <c r="L229" t="n">
        <v>0</v>
      </c>
      <c r="M229" t="n">
        <v>0</v>
      </c>
      <c r="N229" t="n">
        <v>0</v>
      </c>
      <c r="O229" t="n">
        <v>0</v>
      </c>
      <c r="P229" t="n">
        <v>0</v>
      </c>
      <c r="Q229" t="n">
        <v>0</v>
      </c>
      <c r="R229" s="2" t="inlineStr"/>
    </row>
    <row r="230" ht="15" customHeight="1">
      <c r="A230" t="inlineStr">
        <is>
          <t>A 65901-2021</t>
        </is>
      </c>
      <c r="B230" s="1" t="n">
        <v>44516</v>
      </c>
      <c r="C230" s="1" t="n">
        <v>46175</v>
      </c>
      <c r="D230" t="inlineStr">
        <is>
          <t>GOTLANDS LÄN</t>
        </is>
      </c>
      <c r="E230" t="inlineStr">
        <is>
          <t>GOTLAND</t>
        </is>
      </c>
      <c r="G230" t="n">
        <v>4.9</v>
      </c>
      <c r="H230" t="n">
        <v>0</v>
      </c>
      <c r="I230" t="n">
        <v>0</v>
      </c>
      <c r="J230" t="n">
        <v>0</v>
      </c>
      <c r="K230" t="n">
        <v>0</v>
      </c>
      <c r="L230" t="n">
        <v>0</v>
      </c>
      <c r="M230" t="n">
        <v>0</v>
      </c>
      <c r="N230" t="n">
        <v>0</v>
      </c>
      <c r="O230" t="n">
        <v>0</v>
      </c>
      <c r="P230" t="n">
        <v>0</v>
      </c>
      <c r="Q230" t="n">
        <v>0</v>
      </c>
      <c r="R230" s="2" t="inlineStr"/>
    </row>
    <row r="231" ht="15" customHeight="1">
      <c r="A231" t="inlineStr">
        <is>
          <t>A 48503-2023</t>
        </is>
      </c>
      <c r="B231" s="1" t="n">
        <v>45207</v>
      </c>
      <c r="C231" s="1" t="n">
        <v>46175</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44649-2021</t>
        </is>
      </c>
      <c r="B232" s="1" t="n">
        <v>44437</v>
      </c>
      <c r="C232" s="1" t="n">
        <v>46175</v>
      </c>
      <c r="D232" t="inlineStr">
        <is>
          <t>GOTLANDS LÄN</t>
        </is>
      </c>
      <c r="E232" t="inlineStr">
        <is>
          <t>GOTLAND</t>
        </is>
      </c>
      <c r="G232" t="n">
        <v>8.1</v>
      </c>
      <c r="H232" t="n">
        <v>0</v>
      </c>
      <c r="I232" t="n">
        <v>0</v>
      </c>
      <c r="J232" t="n">
        <v>0</v>
      </c>
      <c r="K232" t="n">
        <v>0</v>
      </c>
      <c r="L232" t="n">
        <v>0</v>
      </c>
      <c r="M232" t="n">
        <v>0</v>
      </c>
      <c r="N232" t="n">
        <v>0</v>
      </c>
      <c r="O232" t="n">
        <v>0</v>
      </c>
      <c r="P232" t="n">
        <v>0</v>
      </c>
      <c r="Q232" t="n">
        <v>0</v>
      </c>
      <c r="R232" s="2" t="inlineStr"/>
    </row>
    <row r="233" ht="15" customHeight="1">
      <c r="A233" t="inlineStr">
        <is>
          <t>A 27593-2023</t>
        </is>
      </c>
      <c r="B233" s="1" t="n">
        <v>45097</v>
      </c>
      <c r="C233" s="1" t="n">
        <v>46175</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17682-2024</t>
        </is>
      </c>
      <c r="B234" s="1" t="n">
        <v>45418.42966435185</v>
      </c>
      <c r="C234" s="1" t="n">
        <v>46175</v>
      </c>
      <c r="D234" t="inlineStr">
        <is>
          <t>GOTLANDS LÄN</t>
        </is>
      </c>
      <c r="E234" t="inlineStr">
        <is>
          <t>GOTLAND</t>
        </is>
      </c>
      <c r="G234" t="n">
        <v>2.9</v>
      </c>
      <c r="H234" t="n">
        <v>0</v>
      </c>
      <c r="I234" t="n">
        <v>0</v>
      </c>
      <c r="J234" t="n">
        <v>0</v>
      </c>
      <c r="K234" t="n">
        <v>0</v>
      </c>
      <c r="L234" t="n">
        <v>0</v>
      </c>
      <c r="M234" t="n">
        <v>0</v>
      </c>
      <c r="N234" t="n">
        <v>0</v>
      </c>
      <c r="O234" t="n">
        <v>0</v>
      </c>
      <c r="P234" t="n">
        <v>0</v>
      </c>
      <c r="Q234" t="n">
        <v>0</v>
      </c>
      <c r="R234" s="2" t="inlineStr"/>
    </row>
    <row r="235" ht="15" customHeight="1">
      <c r="A235" t="inlineStr">
        <is>
          <t>A 57522-2022</t>
        </is>
      </c>
      <c r="B235" s="1" t="n">
        <v>44896</v>
      </c>
      <c r="C235" s="1" t="n">
        <v>46175</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63516-2023</t>
        </is>
      </c>
      <c r="B236" s="1" t="n">
        <v>45274</v>
      </c>
      <c r="C236" s="1" t="n">
        <v>46175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9947-2024</t>
        </is>
      </c>
      <c r="B237" s="1" t="n">
        <v>45363</v>
      </c>
      <c r="C237" s="1" t="n">
        <v>46175</v>
      </c>
      <c r="D237" t="inlineStr">
        <is>
          <t>GOTLANDS LÄN</t>
        </is>
      </c>
      <c r="E237" t="inlineStr">
        <is>
          <t>GOTLAND</t>
        </is>
      </c>
      <c r="G237" t="n">
        <v>2</v>
      </c>
      <c r="H237" t="n">
        <v>0</v>
      </c>
      <c r="I237" t="n">
        <v>0</v>
      </c>
      <c r="J237" t="n">
        <v>0</v>
      </c>
      <c r="K237" t="n">
        <v>0</v>
      </c>
      <c r="L237" t="n">
        <v>0</v>
      </c>
      <c r="M237" t="n">
        <v>0</v>
      </c>
      <c r="N237" t="n">
        <v>0</v>
      </c>
      <c r="O237" t="n">
        <v>0</v>
      </c>
      <c r="P237" t="n">
        <v>0</v>
      </c>
      <c r="Q237" t="n">
        <v>0</v>
      </c>
      <c r="R237" s="2" t="inlineStr"/>
    </row>
    <row r="238" ht="15" customHeight="1">
      <c r="A238" t="inlineStr">
        <is>
          <t>A 1681-2023</t>
        </is>
      </c>
      <c r="B238" s="1" t="n">
        <v>44938.39715277778</v>
      </c>
      <c r="C238" s="1" t="n">
        <v>46175</v>
      </c>
      <c r="D238" t="inlineStr">
        <is>
          <t>GOTLANDS LÄN</t>
        </is>
      </c>
      <c r="E238" t="inlineStr">
        <is>
          <t>GOTLAND</t>
        </is>
      </c>
      <c r="G238" t="n">
        <v>2.4</v>
      </c>
      <c r="H238" t="n">
        <v>0</v>
      </c>
      <c r="I238" t="n">
        <v>0</v>
      </c>
      <c r="J238" t="n">
        <v>0</v>
      </c>
      <c r="K238" t="n">
        <v>0</v>
      </c>
      <c r="L238" t="n">
        <v>0</v>
      </c>
      <c r="M238" t="n">
        <v>0</v>
      </c>
      <c r="N238" t="n">
        <v>0</v>
      </c>
      <c r="O238" t="n">
        <v>0</v>
      </c>
      <c r="P238" t="n">
        <v>0</v>
      </c>
      <c r="Q238" t="n">
        <v>0</v>
      </c>
      <c r="R238" s="2" t="inlineStr"/>
    </row>
    <row r="239" ht="15" customHeight="1">
      <c r="A239" t="inlineStr">
        <is>
          <t>A 30365-2024</t>
        </is>
      </c>
      <c r="B239" s="1" t="n">
        <v>45491.3716087963</v>
      </c>
      <c r="C239" s="1" t="n">
        <v>46175</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6099-2024</t>
        </is>
      </c>
      <c r="B240" s="1" t="n">
        <v>45337</v>
      </c>
      <c r="C240" s="1" t="n">
        <v>46175</v>
      </c>
      <c r="D240" t="inlineStr">
        <is>
          <t>GOTLANDS LÄN</t>
        </is>
      </c>
      <c r="E240" t="inlineStr">
        <is>
          <t>GOTLAND</t>
        </is>
      </c>
      <c r="G240" t="n">
        <v>12.6</v>
      </c>
      <c r="H240" t="n">
        <v>0</v>
      </c>
      <c r="I240" t="n">
        <v>0</v>
      </c>
      <c r="J240" t="n">
        <v>0</v>
      </c>
      <c r="K240" t="n">
        <v>0</v>
      </c>
      <c r="L240" t="n">
        <v>0</v>
      </c>
      <c r="M240" t="n">
        <v>0</v>
      </c>
      <c r="N240" t="n">
        <v>0</v>
      </c>
      <c r="O240" t="n">
        <v>0</v>
      </c>
      <c r="P240" t="n">
        <v>0</v>
      </c>
      <c r="Q240" t="n">
        <v>0</v>
      </c>
      <c r="R240" s="2" t="inlineStr"/>
    </row>
    <row r="241" ht="15" customHeight="1">
      <c r="A241" t="inlineStr">
        <is>
          <t>A 1273-2023</t>
        </is>
      </c>
      <c r="B241" s="1" t="n">
        <v>44936</v>
      </c>
      <c r="C241" s="1" t="n">
        <v>46175</v>
      </c>
      <c r="D241" t="inlineStr">
        <is>
          <t>GOTLANDS LÄN</t>
        </is>
      </c>
      <c r="E241" t="inlineStr">
        <is>
          <t>GOTLAND</t>
        </is>
      </c>
      <c r="G241" t="n">
        <v>4.5</v>
      </c>
      <c r="H241" t="n">
        <v>0</v>
      </c>
      <c r="I241" t="n">
        <v>0</v>
      </c>
      <c r="J241" t="n">
        <v>0</v>
      </c>
      <c r="K241" t="n">
        <v>0</v>
      </c>
      <c r="L241" t="n">
        <v>0</v>
      </c>
      <c r="M241" t="n">
        <v>0</v>
      </c>
      <c r="N241" t="n">
        <v>0</v>
      </c>
      <c r="O241" t="n">
        <v>0</v>
      </c>
      <c r="P241" t="n">
        <v>0</v>
      </c>
      <c r="Q241" t="n">
        <v>0</v>
      </c>
      <c r="R241" s="2" t="inlineStr"/>
    </row>
    <row r="242" ht="15" customHeight="1">
      <c r="A242" t="inlineStr">
        <is>
          <t>A 58780-2024</t>
        </is>
      </c>
      <c r="B242" s="1" t="n">
        <v>45635.84113425926</v>
      </c>
      <c r="C242" s="1" t="n">
        <v>46175</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28285-2024</t>
        </is>
      </c>
      <c r="B243" s="1" t="n">
        <v>45477</v>
      </c>
      <c r="C243" s="1" t="n">
        <v>46175</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45692-2023</t>
        </is>
      </c>
      <c r="B244" s="1" t="n">
        <v>45195</v>
      </c>
      <c r="C244" s="1" t="n">
        <v>46175</v>
      </c>
      <c r="D244" t="inlineStr">
        <is>
          <t>GOTLANDS LÄN</t>
        </is>
      </c>
      <c r="E244" t="inlineStr">
        <is>
          <t>GOTLAND</t>
        </is>
      </c>
      <c r="G244" t="n">
        <v>5.3</v>
      </c>
      <c r="H244" t="n">
        <v>0</v>
      </c>
      <c r="I244" t="n">
        <v>0</v>
      </c>
      <c r="J244" t="n">
        <v>0</v>
      </c>
      <c r="K244" t="n">
        <v>0</v>
      </c>
      <c r="L244" t="n">
        <v>0</v>
      </c>
      <c r="M244" t="n">
        <v>0</v>
      </c>
      <c r="N244" t="n">
        <v>0</v>
      </c>
      <c r="O244" t="n">
        <v>0</v>
      </c>
      <c r="P244" t="n">
        <v>0</v>
      </c>
      <c r="Q244" t="n">
        <v>0</v>
      </c>
      <c r="R244" s="2" t="inlineStr"/>
    </row>
    <row r="245" ht="15" customHeight="1">
      <c r="A245" t="inlineStr">
        <is>
          <t>A 61100-2022</t>
        </is>
      </c>
      <c r="B245" s="1" t="n">
        <v>44915</v>
      </c>
      <c r="C245" s="1" t="n">
        <v>46175</v>
      </c>
      <c r="D245" t="inlineStr">
        <is>
          <t>GOTLANDS LÄN</t>
        </is>
      </c>
      <c r="E245" t="inlineStr">
        <is>
          <t>GOTLAND</t>
        </is>
      </c>
      <c r="G245" t="n">
        <v>1.4</v>
      </c>
      <c r="H245" t="n">
        <v>0</v>
      </c>
      <c r="I245" t="n">
        <v>0</v>
      </c>
      <c r="J245" t="n">
        <v>0</v>
      </c>
      <c r="K245" t="n">
        <v>0</v>
      </c>
      <c r="L245" t="n">
        <v>0</v>
      </c>
      <c r="M245" t="n">
        <v>0</v>
      </c>
      <c r="N245" t="n">
        <v>0</v>
      </c>
      <c r="O245" t="n">
        <v>0</v>
      </c>
      <c r="P245" t="n">
        <v>0</v>
      </c>
      <c r="Q245" t="n">
        <v>0</v>
      </c>
      <c r="R245" s="2" t="inlineStr"/>
    </row>
    <row r="246" ht="15" customHeight="1">
      <c r="A246" t="inlineStr">
        <is>
          <t>A 61682-2024</t>
        </is>
      </c>
      <c r="B246" s="1" t="n">
        <v>45647.48824074074</v>
      </c>
      <c r="C246" s="1" t="n">
        <v>46175</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46175</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21792-2024</t>
        </is>
      </c>
      <c r="B248" s="1" t="n">
        <v>45442.64326388889</v>
      </c>
      <c r="C248" s="1" t="n">
        <v>46175</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17688-2024</t>
        </is>
      </c>
      <c r="B249" s="1" t="n">
        <v>45418.43575231481</v>
      </c>
      <c r="C249" s="1" t="n">
        <v>46175</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7837-2024</t>
        </is>
      </c>
      <c r="B250" s="1" t="n">
        <v>45349.83787037037</v>
      </c>
      <c r="C250" s="1" t="n">
        <v>46175</v>
      </c>
      <c r="D250" t="inlineStr">
        <is>
          <t>GOTLANDS LÄN</t>
        </is>
      </c>
      <c r="E250" t="inlineStr">
        <is>
          <t>GOTLAND</t>
        </is>
      </c>
      <c r="G250" t="n">
        <v>5</v>
      </c>
      <c r="H250" t="n">
        <v>0</v>
      </c>
      <c r="I250" t="n">
        <v>0</v>
      </c>
      <c r="J250" t="n">
        <v>0</v>
      </c>
      <c r="K250" t="n">
        <v>0</v>
      </c>
      <c r="L250" t="n">
        <v>0</v>
      </c>
      <c r="M250" t="n">
        <v>0</v>
      </c>
      <c r="N250" t="n">
        <v>0</v>
      </c>
      <c r="O250" t="n">
        <v>0</v>
      </c>
      <c r="P250" t="n">
        <v>0</v>
      </c>
      <c r="Q250" t="n">
        <v>0</v>
      </c>
      <c r="R250" s="2" t="inlineStr"/>
    </row>
    <row r="251" ht="15" customHeight="1">
      <c r="A251" t="inlineStr">
        <is>
          <t>A 4568-2025</t>
        </is>
      </c>
      <c r="B251" s="1" t="n">
        <v>45687</v>
      </c>
      <c r="C251" s="1" t="n">
        <v>46175</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58388-2022</t>
        </is>
      </c>
      <c r="B252" s="1" t="n">
        <v>44894</v>
      </c>
      <c r="C252" s="1" t="n">
        <v>46175</v>
      </c>
      <c r="D252" t="inlineStr">
        <is>
          <t>GOTLANDS LÄN</t>
        </is>
      </c>
      <c r="E252" t="inlineStr">
        <is>
          <t>GOTLAND</t>
        </is>
      </c>
      <c r="F252" t="inlineStr">
        <is>
          <t>Övriga statliga verk och myndigheter</t>
        </is>
      </c>
      <c r="G252" t="n">
        <v>3.1</v>
      </c>
      <c r="H252" t="n">
        <v>0</v>
      </c>
      <c r="I252" t="n">
        <v>0</v>
      </c>
      <c r="J252" t="n">
        <v>0</v>
      </c>
      <c r="K252" t="n">
        <v>0</v>
      </c>
      <c r="L252" t="n">
        <v>0</v>
      </c>
      <c r="M252" t="n">
        <v>0</v>
      </c>
      <c r="N252" t="n">
        <v>0</v>
      </c>
      <c r="O252" t="n">
        <v>0</v>
      </c>
      <c r="P252" t="n">
        <v>0</v>
      </c>
      <c r="Q252" t="n">
        <v>0</v>
      </c>
      <c r="R252" s="2" t="inlineStr"/>
    </row>
    <row r="253" ht="15" customHeight="1">
      <c r="A253" t="inlineStr">
        <is>
          <t>A 2134-2026</t>
        </is>
      </c>
      <c r="B253" s="1" t="n">
        <v>46036</v>
      </c>
      <c r="C253" s="1" t="n">
        <v>46175</v>
      </c>
      <c r="D253" t="inlineStr">
        <is>
          <t>GOTLANDS LÄN</t>
        </is>
      </c>
      <c r="E253" t="inlineStr">
        <is>
          <t>GOTLAND</t>
        </is>
      </c>
      <c r="G253" t="n">
        <v>1.7</v>
      </c>
      <c r="H253" t="n">
        <v>0</v>
      </c>
      <c r="I253" t="n">
        <v>0</v>
      </c>
      <c r="J253" t="n">
        <v>0</v>
      </c>
      <c r="K253" t="n">
        <v>0</v>
      </c>
      <c r="L253" t="n">
        <v>0</v>
      </c>
      <c r="M253" t="n">
        <v>0</v>
      </c>
      <c r="N253" t="n">
        <v>0</v>
      </c>
      <c r="O253" t="n">
        <v>0</v>
      </c>
      <c r="P253" t="n">
        <v>0</v>
      </c>
      <c r="Q253" t="n">
        <v>0</v>
      </c>
      <c r="R253" s="2" t="inlineStr"/>
    </row>
    <row r="254" ht="15" customHeight="1">
      <c r="A254" t="inlineStr">
        <is>
          <t>A 19905-2025</t>
        </is>
      </c>
      <c r="B254" s="1" t="n">
        <v>45771</v>
      </c>
      <c r="C254" s="1" t="n">
        <v>46175</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29196-2025</t>
        </is>
      </c>
      <c r="B255" s="1" t="n">
        <v>45822</v>
      </c>
      <c r="C255" s="1" t="n">
        <v>46175</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35512-2023</t>
        </is>
      </c>
      <c r="B256" s="1" t="n">
        <v>45147.25623842593</v>
      </c>
      <c r="C256" s="1" t="n">
        <v>46175</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5905-2024</t>
        </is>
      </c>
      <c r="B257" s="1" t="n">
        <v>45335.88993055555</v>
      </c>
      <c r="C257" s="1" t="n">
        <v>46175</v>
      </c>
      <c r="D257" t="inlineStr">
        <is>
          <t>GOTLANDS LÄN</t>
        </is>
      </c>
      <c r="E257" t="inlineStr">
        <is>
          <t>GOTLAND</t>
        </is>
      </c>
      <c r="G257" t="n">
        <v>3</v>
      </c>
      <c r="H257" t="n">
        <v>0</v>
      </c>
      <c r="I257" t="n">
        <v>0</v>
      </c>
      <c r="J257" t="n">
        <v>0</v>
      </c>
      <c r="K257" t="n">
        <v>0</v>
      </c>
      <c r="L257" t="n">
        <v>0</v>
      </c>
      <c r="M257" t="n">
        <v>0</v>
      </c>
      <c r="N257" t="n">
        <v>0</v>
      </c>
      <c r="O257" t="n">
        <v>0</v>
      </c>
      <c r="P257" t="n">
        <v>0</v>
      </c>
      <c r="Q257" t="n">
        <v>0</v>
      </c>
      <c r="R257" s="2" t="inlineStr"/>
    </row>
    <row r="258" ht="15" customHeight="1">
      <c r="A258" t="inlineStr">
        <is>
          <t>A 29207-2025</t>
        </is>
      </c>
      <c r="B258" s="1" t="n">
        <v>45823</v>
      </c>
      <c r="C258" s="1" t="n">
        <v>46175</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1291-2023</t>
        </is>
      </c>
      <c r="B259" s="1" t="n">
        <v>44936.47561342592</v>
      </c>
      <c r="C259" s="1" t="n">
        <v>46175</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30061-2025</t>
        </is>
      </c>
      <c r="B260" s="1" t="n">
        <v>45826.61488425926</v>
      </c>
      <c r="C260" s="1" t="n">
        <v>46175</v>
      </c>
      <c r="D260" t="inlineStr">
        <is>
          <t>GOTLANDS LÄN</t>
        </is>
      </c>
      <c r="E260" t="inlineStr">
        <is>
          <t>GOTLAND</t>
        </is>
      </c>
      <c r="G260" t="n">
        <v>4.1</v>
      </c>
      <c r="H260" t="n">
        <v>0</v>
      </c>
      <c r="I260" t="n">
        <v>0</v>
      </c>
      <c r="J260" t="n">
        <v>0</v>
      </c>
      <c r="K260" t="n">
        <v>0</v>
      </c>
      <c r="L260" t="n">
        <v>0</v>
      </c>
      <c r="M260" t="n">
        <v>0</v>
      </c>
      <c r="N260" t="n">
        <v>0</v>
      </c>
      <c r="O260" t="n">
        <v>0</v>
      </c>
      <c r="P260" t="n">
        <v>0</v>
      </c>
      <c r="Q260" t="n">
        <v>0</v>
      </c>
      <c r="R260" s="2" t="inlineStr"/>
    </row>
    <row r="261" ht="15" customHeight="1">
      <c r="A261" t="inlineStr">
        <is>
          <t>A 53561-2025</t>
        </is>
      </c>
      <c r="B261" s="1" t="n">
        <v>45960.4059375</v>
      </c>
      <c r="C261" s="1" t="n">
        <v>46175</v>
      </c>
      <c r="D261" t="inlineStr">
        <is>
          <t>GOTLANDS LÄN</t>
        </is>
      </c>
      <c r="E261" t="inlineStr">
        <is>
          <t>GOTLAND</t>
        </is>
      </c>
      <c r="F261" t="inlineStr">
        <is>
          <t>Övriga Aktiebolag</t>
        </is>
      </c>
      <c r="G261" t="n">
        <v>2.4</v>
      </c>
      <c r="H261" t="n">
        <v>0</v>
      </c>
      <c r="I261" t="n">
        <v>0</v>
      </c>
      <c r="J261" t="n">
        <v>0</v>
      </c>
      <c r="K261" t="n">
        <v>0</v>
      </c>
      <c r="L261" t="n">
        <v>0</v>
      </c>
      <c r="M261" t="n">
        <v>0</v>
      </c>
      <c r="N261" t="n">
        <v>0</v>
      </c>
      <c r="O261" t="n">
        <v>0</v>
      </c>
      <c r="P261" t="n">
        <v>0</v>
      </c>
      <c r="Q261" t="n">
        <v>0</v>
      </c>
      <c r="R261" s="2" t="inlineStr"/>
    </row>
    <row r="262" ht="15" customHeight="1">
      <c r="A262" t="inlineStr">
        <is>
          <t>A 58160-2024</t>
        </is>
      </c>
      <c r="B262" s="1" t="n">
        <v>45632.44927083333</v>
      </c>
      <c r="C262" s="1" t="n">
        <v>46175</v>
      </c>
      <c r="D262" t="inlineStr">
        <is>
          <t>GOTLANDS LÄN</t>
        </is>
      </c>
      <c r="E262" t="inlineStr">
        <is>
          <t>GOTLAND</t>
        </is>
      </c>
      <c r="G262" t="n">
        <v>5.6</v>
      </c>
      <c r="H262" t="n">
        <v>0</v>
      </c>
      <c r="I262" t="n">
        <v>0</v>
      </c>
      <c r="J262" t="n">
        <v>0</v>
      </c>
      <c r="K262" t="n">
        <v>0</v>
      </c>
      <c r="L262" t="n">
        <v>0</v>
      </c>
      <c r="M262" t="n">
        <v>0</v>
      </c>
      <c r="N262" t="n">
        <v>0</v>
      </c>
      <c r="O262" t="n">
        <v>0</v>
      </c>
      <c r="P262" t="n">
        <v>0</v>
      </c>
      <c r="Q262" t="n">
        <v>0</v>
      </c>
      <c r="R262" s="2" t="inlineStr"/>
    </row>
    <row r="263" ht="15" customHeight="1">
      <c r="A263" t="inlineStr">
        <is>
          <t>A 57652-2023</t>
        </is>
      </c>
      <c r="B263" s="1" t="n">
        <v>45246</v>
      </c>
      <c r="C263" s="1" t="n">
        <v>46175</v>
      </c>
      <c r="D263" t="inlineStr">
        <is>
          <t>GOTLANDS LÄN</t>
        </is>
      </c>
      <c r="E263" t="inlineStr">
        <is>
          <t>GOTLAND</t>
        </is>
      </c>
      <c r="G263" t="n">
        <v>7.2</v>
      </c>
      <c r="H263" t="n">
        <v>0</v>
      </c>
      <c r="I263" t="n">
        <v>0</v>
      </c>
      <c r="J263" t="n">
        <v>0</v>
      </c>
      <c r="K263" t="n">
        <v>0</v>
      </c>
      <c r="L263" t="n">
        <v>0</v>
      </c>
      <c r="M263" t="n">
        <v>0</v>
      </c>
      <c r="N263" t="n">
        <v>0</v>
      </c>
      <c r="O263" t="n">
        <v>0</v>
      </c>
      <c r="P263" t="n">
        <v>0</v>
      </c>
      <c r="Q263" t="n">
        <v>0</v>
      </c>
      <c r="R263" s="2" t="inlineStr"/>
    </row>
    <row r="264" ht="15" customHeight="1">
      <c r="A264" t="inlineStr">
        <is>
          <t>A 18993-2025</t>
        </is>
      </c>
      <c r="B264" s="1" t="n">
        <v>45764</v>
      </c>
      <c r="C264" s="1" t="n">
        <v>46175</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53587-2025</t>
        </is>
      </c>
      <c r="B265" s="1" t="n">
        <v>45960.43681712963</v>
      </c>
      <c r="C265" s="1" t="n">
        <v>46175</v>
      </c>
      <c r="D265" t="inlineStr">
        <is>
          <t>GOTLANDS LÄN</t>
        </is>
      </c>
      <c r="E265" t="inlineStr">
        <is>
          <t>GOTLAND</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9504-2026</t>
        </is>
      </c>
      <c r="B266" s="1" t="n">
        <v>46071.57730324074</v>
      </c>
      <c r="C266" s="1" t="n">
        <v>46175</v>
      </c>
      <c r="D266" t="inlineStr">
        <is>
          <t>GOTLANDS LÄN</t>
        </is>
      </c>
      <c r="E266" t="inlineStr">
        <is>
          <t>GOTLAND</t>
        </is>
      </c>
      <c r="G266" t="n">
        <v>0.6</v>
      </c>
      <c r="H266" t="n">
        <v>0</v>
      </c>
      <c r="I266" t="n">
        <v>0</v>
      </c>
      <c r="J266" t="n">
        <v>0</v>
      </c>
      <c r="K266" t="n">
        <v>0</v>
      </c>
      <c r="L266" t="n">
        <v>0</v>
      </c>
      <c r="M266" t="n">
        <v>0</v>
      </c>
      <c r="N266" t="n">
        <v>0</v>
      </c>
      <c r="O266" t="n">
        <v>0</v>
      </c>
      <c r="P266" t="n">
        <v>0</v>
      </c>
      <c r="Q266" t="n">
        <v>0</v>
      </c>
      <c r="R266" s="2" t="inlineStr"/>
    </row>
    <row r="267" ht="15" customHeight="1">
      <c r="A267" t="inlineStr">
        <is>
          <t>A 9518-2026</t>
        </is>
      </c>
      <c r="B267" s="1" t="n">
        <v>46071.59653935185</v>
      </c>
      <c r="C267" s="1" t="n">
        <v>46175</v>
      </c>
      <c r="D267" t="inlineStr">
        <is>
          <t>GOTLANDS LÄN</t>
        </is>
      </c>
      <c r="E267" t="inlineStr">
        <is>
          <t>GOTLAND</t>
        </is>
      </c>
      <c r="G267" t="n">
        <v>6.2</v>
      </c>
      <c r="H267" t="n">
        <v>0</v>
      </c>
      <c r="I267" t="n">
        <v>0</v>
      </c>
      <c r="J267" t="n">
        <v>0</v>
      </c>
      <c r="K267" t="n">
        <v>0</v>
      </c>
      <c r="L267" t="n">
        <v>0</v>
      </c>
      <c r="M267" t="n">
        <v>0</v>
      </c>
      <c r="N267" t="n">
        <v>0</v>
      </c>
      <c r="O267" t="n">
        <v>0</v>
      </c>
      <c r="P267" t="n">
        <v>0</v>
      </c>
      <c r="Q267" t="n">
        <v>0</v>
      </c>
      <c r="R267" s="2" t="inlineStr"/>
    </row>
    <row r="268" ht="15" customHeight="1">
      <c r="A268" t="inlineStr">
        <is>
          <t>A 9519-2026</t>
        </is>
      </c>
      <c r="B268" s="1" t="n">
        <v>46071.59820601852</v>
      </c>
      <c r="C268" s="1" t="n">
        <v>46175</v>
      </c>
      <c r="D268" t="inlineStr">
        <is>
          <t>GOTLANDS LÄN</t>
        </is>
      </c>
      <c r="E268" t="inlineStr">
        <is>
          <t>GOTLAND</t>
        </is>
      </c>
      <c r="G268" t="n">
        <v>4</v>
      </c>
      <c r="H268" t="n">
        <v>0</v>
      </c>
      <c r="I268" t="n">
        <v>0</v>
      </c>
      <c r="J268" t="n">
        <v>0</v>
      </c>
      <c r="K268" t="n">
        <v>0</v>
      </c>
      <c r="L268" t="n">
        <v>0</v>
      </c>
      <c r="M268" t="n">
        <v>0</v>
      </c>
      <c r="N268" t="n">
        <v>0</v>
      </c>
      <c r="O268" t="n">
        <v>0</v>
      </c>
      <c r="P268" t="n">
        <v>0</v>
      </c>
      <c r="Q268" t="n">
        <v>0</v>
      </c>
      <c r="R268" s="2" t="inlineStr"/>
    </row>
    <row r="269" ht="15" customHeight="1">
      <c r="A269" t="inlineStr">
        <is>
          <t>A 9540-2026</t>
        </is>
      </c>
      <c r="B269" s="1" t="n">
        <v>46071.61961805556</v>
      </c>
      <c r="C269" s="1" t="n">
        <v>46175</v>
      </c>
      <c r="D269" t="inlineStr">
        <is>
          <t>GOTLANDS LÄN</t>
        </is>
      </c>
      <c r="E269" t="inlineStr">
        <is>
          <t>GOTLAND</t>
        </is>
      </c>
      <c r="G269" t="n">
        <v>2.8</v>
      </c>
      <c r="H269" t="n">
        <v>0</v>
      </c>
      <c r="I269" t="n">
        <v>0</v>
      </c>
      <c r="J269" t="n">
        <v>0</v>
      </c>
      <c r="K269" t="n">
        <v>0</v>
      </c>
      <c r="L269" t="n">
        <v>0</v>
      </c>
      <c r="M269" t="n">
        <v>0</v>
      </c>
      <c r="N269" t="n">
        <v>0</v>
      </c>
      <c r="O269" t="n">
        <v>0</v>
      </c>
      <c r="P269" t="n">
        <v>0</v>
      </c>
      <c r="Q269" t="n">
        <v>0</v>
      </c>
      <c r="R269" s="2" t="inlineStr"/>
    </row>
    <row r="270" ht="15" customHeight="1">
      <c r="A270" t="inlineStr">
        <is>
          <t>A 9521-2026</t>
        </is>
      </c>
      <c r="B270" s="1" t="n">
        <v>46071.59969907408</v>
      </c>
      <c r="C270" s="1" t="n">
        <v>46175</v>
      </c>
      <c r="D270" t="inlineStr">
        <is>
          <t>GOTLANDS LÄN</t>
        </is>
      </c>
      <c r="E270" t="inlineStr">
        <is>
          <t>GOTLAND</t>
        </is>
      </c>
      <c r="G270" t="n">
        <v>3.9</v>
      </c>
      <c r="H270" t="n">
        <v>0</v>
      </c>
      <c r="I270" t="n">
        <v>0</v>
      </c>
      <c r="J270" t="n">
        <v>0</v>
      </c>
      <c r="K270" t="n">
        <v>0</v>
      </c>
      <c r="L270" t="n">
        <v>0</v>
      </c>
      <c r="M270" t="n">
        <v>0</v>
      </c>
      <c r="N270" t="n">
        <v>0</v>
      </c>
      <c r="O270" t="n">
        <v>0</v>
      </c>
      <c r="P270" t="n">
        <v>0</v>
      </c>
      <c r="Q270" t="n">
        <v>0</v>
      </c>
      <c r="R270" s="2" t="inlineStr"/>
    </row>
    <row r="271" ht="15" customHeight="1">
      <c r="A271" t="inlineStr">
        <is>
          <t>A 9524-2026</t>
        </is>
      </c>
      <c r="B271" s="1" t="n">
        <v>46071.60108796296</v>
      </c>
      <c r="C271" s="1" t="n">
        <v>46175</v>
      </c>
      <c r="D271" t="inlineStr">
        <is>
          <t>GOTLANDS LÄN</t>
        </is>
      </c>
      <c r="E271" t="inlineStr">
        <is>
          <t>GOTLAND</t>
        </is>
      </c>
      <c r="G271" t="n">
        <v>2.5</v>
      </c>
      <c r="H271" t="n">
        <v>0</v>
      </c>
      <c r="I271" t="n">
        <v>0</v>
      </c>
      <c r="J271" t="n">
        <v>0</v>
      </c>
      <c r="K271" t="n">
        <v>0</v>
      </c>
      <c r="L271" t="n">
        <v>0</v>
      </c>
      <c r="M271" t="n">
        <v>0</v>
      </c>
      <c r="N271" t="n">
        <v>0</v>
      </c>
      <c r="O271" t="n">
        <v>0</v>
      </c>
      <c r="P271" t="n">
        <v>0</v>
      </c>
      <c r="Q271" t="n">
        <v>0</v>
      </c>
      <c r="R271" s="2" t="inlineStr"/>
    </row>
    <row r="272" ht="15" customHeight="1">
      <c r="A272" t="inlineStr">
        <is>
          <t>A 9543-2026</t>
        </is>
      </c>
      <c r="B272" s="1" t="n">
        <v>46071.62486111111</v>
      </c>
      <c r="C272" s="1" t="n">
        <v>46175</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49315-2024</t>
        </is>
      </c>
      <c r="B273" s="1" t="n">
        <v>45595</v>
      </c>
      <c r="C273" s="1" t="n">
        <v>46175</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30135-2025</t>
        </is>
      </c>
      <c r="B274" s="1" t="n">
        <v>45826</v>
      </c>
      <c r="C274" s="1" t="n">
        <v>46175</v>
      </c>
      <c r="D274" t="inlineStr">
        <is>
          <t>GOTLANDS LÄN</t>
        </is>
      </c>
      <c r="E274" t="inlineStr">
        <is>
          <t>GOTLAND</t>
        </is>
      </c>
      <c r="G274" t="n">
        <v>2.7</v>
      </c>
      <c r="H274" t="n">
        <v>0</v>
      </c>
      <c r="I274" t="n">
        <v>0</v>
      </c>
      <c r="J274" t="n">
        <v>0</v>
      </c>
      <c r="K274" t="n">
        <v>0</v>
      </c>
      <c r="L274" t="n">
        <v>0</v>
      </c>
      <c r="M274" t="n">
        <v>0</v>
      </c>
      <c r="N274" t="n">
        <v>0</v>
      </c>
      <c r="O274" t="n">
        <v>0</v>
      </c>
      <c r="P274" t="n">
        <v>0</v>
      </c>
      <c r="Q274" t="n">
        <v>0</v>
      </c>
      <c r="R274" s="2" t="inlineStr"/>
    </row>
    <row r="275" ht="15" customHeight="1">
      <c r="A275" t="inlineStr">
        <is>
          <t>A 45106-2024</t>
        </is>
      </c>
      <c r="B275" s="1" t="n">
        <v>45575</v>
      </c>
      <c r="C275" s="1" t="n">
        <v>46175</v>
      </c>
      <c r="D275" t="inlineStr">
        <is>
          <t>GOTLANDS LÄN</t>
        </is>
      </c>
      <c r="E275" t="inlineStr">
        <is>
          <t>GOTLAND</t>
        </is>
      </c>
      <c r="G275" t="n">
        <v>10</v>
      </c>
      <c r="H275" t="n">
        <v>0</v>
      </c>
      <c r="I275" t="n">
        <v>0</v>
      </c>
      <c r="J275" t="n">
        <v>0</v>
      </c>
      <c r="K275" t="n">
        <v>0</v>
      </c>
      <c r="L275" t="n">
        <v>0</v>
      </c>
      <c r="M275" t="n">
        <v>0</v>
      </c>
      <c r="N275" t="n">
        <v>0</v>
      </c>
      <c r="O275" t="n">
        <v>0</v>
      </c>
      <c r="P275" t="n">
        <v>0</v>
      </c>
      <c r="Q275" t="n">
        <v>0</v>
      </c>
      <c r="R275" s="2" t="inlineStr"/>
    </row>
    <row r="276" ht="15" customHeight="1">
      <c r="A276" t="inlineStr">
        <is>
          <t>A 45112-2024</t>
        </is>
      </c>
      <c r="B276" s="1" t="n">
        <v>45575</v>
      </c>
      <c r="C276" s="1" t="n">
        <v>46175</v>
      </c>
      <c r="D276" t="inlineStr">
        <is>
          <t>GOTLANDS LÄN</t>
        </is>
      </c>
      <c r="E276" t="inlineStr">
        <is>
          <t>GOTLAND</t>
        </is>
      </c>
      <c r="G276" t="n">
        <v>5.1</v>
      </c>
      <c r="H276" t="n">
        <v>0</v>
      </c>
      <c r="I276" t="n">
        <v>0</v>
      </c>
      <c r="J276" t="n">
        <v>0</v>
      </c>
      <c r="K276" t="n">
        <v>0</v>
      </c>
      <c r="L276" t="n">
        <v>0</v>
      </c>
      <c r="M276" t="n">
        <v>0</v>
      </c>
      <c r="N276" t="n">
        <v>0</v>
      </c>
      <c r="O276" t="n">
        <v>0</v>
      </c>
      <c r="P276" t="n">
        <v>0</v>
      </c>
      <c r="Q276" t="n">
        <v>0</v>
      </c>
      <c r="R276" s="2" t="inlineStr"/>
    </row>
    <row r="277" ht="15" customHeight="1">
      <c r="A277" t="inlineStr">
        <is>
          <t>A 12599-2025</t>
        </is>
      </c>
      <c r="B277" s="1" t="n">
        <v>45733.29546296296</v>
      </c>
      <c r="C277" s="1" t="n">
        <v>46175</v>
      </c>
      <c r="D277" t="inlineStr">
        <is>
          <t>GOTLANDS LÄN</t>
        </is>
      </c>
      <c r="E277" t="inlineStr">
        <is>
          <t>GOTLAND</t>
        </is>
      </c>
      <c r="G277" t="n">
        <v>4.7</v>
      </c>
      <c r="H277" t="n">
        <v>0</v>
      </c>
      <c r="I277" t="n">
        <v>0</v>
      </c>
      <c r="J277" t="n">
        <v>0</v>
      </c>
      <c r="K277" t="n">
        <v>0</v>
      </c>
      <c r="L277" t="n">
        <v>0</v>
      </c>
      <c r="M277" t="n">
        <v>0</v>
      </c>
      <c r="N277" t="n">
        <v>0</v>
      </c>
      <c r="O277" t="n">
        <v>0</v>
      </c>
      <c r="P277" t="n">
        <v>0</v>
      </c>
      <c r="Q277" t="n">
        <v>0</v>
      </c>
      <c r="R277" s="2" t="inlineStr"/>
    </row>
    <row r="278" ht="15" customHeight="1">
      <c r="A278" t="inlineStr">
        <is>
          <t>A 2676-2023</t>
        </is>
      </c>
      <c r="B278" s="1" t="n">
        <v>44944</v>
      </c>
      <c r="C278" s="1" t="n">
        <v>46175</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35141-2025</t>
        </is>
      </c>
      <c r="B279" s="1" t="n">
        <v>45852.65206018519</v>
      </c>
      <c r="C279" s="1" t="n">
        <v>46175</v>
      </c>
      <c r="D279" t="inlineStr">
        <is>
          <t>GOTLANDS LÄN</t>
        </is>
      </c>
      <c r="E279" t="inlineStr">
        <is>
          <t>GOTLAND</t>
        </is>
      </c>
      <c r="G279" t="n">
        <v>1</v>
      </c>
      <c r="H279" t="n">
        <v>0</v>
      </c>
      <c r="I279" t="n">
        <v>0</v>
      </c>
      <c r="J279" t="n">
        <v>0</v>
      </c>
      <c r="K279" t="n">
        <v>0</v>
      </c>
      <c r="L279" t="n">
        <v>0</v>
      </c>
      <c r="M279" t="n">
        <v>0</v>
      </c>
      <c r="N279" t="n">
        <v>0</v>
      </c>
      <c r="O279" t="n">
        <v>0</v>
      </c>
      <c r="P279" t="n">
        <v>0</v>
      </c>
      <c r="Q279" t="n">
        <v>0</v>
      </c>
      <c r="R279" s="2" t="inlineStr"/>
    </row>
    <row r="280" ht="15" customHeight="1">
      <c r="A280" t="inlineStr">
        <is>
          <t>A 35142-2025</t>
        </is>
      </c>
      <c r="B280" s="1" t="n">
        <v>45852.65532407408</v>
      </c>
      <c r="C280" s="1" t="n">
        <v>46175</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3150-2025</t>
        </is>
      </c>
      <c r="B281" s="1" t="n">
        <v>45679.28974537037</v>
      </c>
      <c r="C281" s="1" t="n">
        <v>46175</v>
      </c>
      <c r="D281" t="inlineStr">
        <is>
          <t>GOTLANDS LÄN</t>
        </is>
      </c>
      <c r="E281" t="inlineStr">
        <is>
          <t>GOTLAND</t>
        </is>
      </c>
      <c r="G281" t="n">
        <v>2.5</v>
      </c>
      <c r="H281" t="n">
        <v>0</v>
      </c>
      <c r="I281" t="n">
        <v>0</v>
      </c>
      <c r="J281" t="n">
        <v>0</v>
      </c>
      <c r="K281" t="n">
        <v>0</v>
      </c>
      <c r="L281" t="n">
        <v>0</v>
      </c>
      <c r="M281" t="n">
        <v>0</v>
      </c>
      <c r="N281" t="n">
        <v>0</v>
      </c>
      <c r="O281" t="n">
        <v>0</v>
      </c>
      <c r="P281" t="n">
        <v>0</v>
      </c>
      <c r="Q281" t="n">
        <v>0</v>
      </c>
      <c r="R281" s="2" t="inlineStr"/>
    </row>
    <row r="282" ht="15" customHeight="1">
      <c r="A282" t="inlineStr">
        <is>
          <t>A 10486-2026</t>
        </is>
      </c>
      <c r="B282" s="1" t="n">
        <v>46077.51425925926</v>
      </c>
      <c r="C282" s="1" t="n">
        <v>46175</v>
      </c>
      <c r="D282" t="inlineStr">
        <is>
          <t>GOTLANDS LÄN</t>
        </is>
      </c>
      <c r="E282" t="inlineStr">
        <is>
          <t>GOTLAND</t>
        </is>
      </c>
      <c r="G282" t="n">
        <v>3.5</v>
      </c>
      <c r="H282" t="n">
        <v>0</v>
      </c>
      <c r="I282" t="n">
        <v>0</v>
      </c>
      <c r="J282" t="n">
        <v>0</v>
      </c>
      <c r="K282" t="n">
        <v>0</v>
      </c>
      <c r="L282" t="n">
        <v>0</v>
      </c>
      <c r="M282" t="n">
        <v>0</v>
      </c>
      <c r="N282" t="n">
        <v>0</v>
      </c>
      <c r="O282" t="n">
        <v>0</v>
      </c>
      <c r="P282" t="n">
        <v>0</v>
      </c>
      <c r="Q282" t="n">
        <v>0</v>
      </c>
      <c r="R282" s="2" t="inlineStr"/>
    </row>
    <row r="283" ht="15" customHeight="1">
      <c r="A283" t="inlineStr">
        <is>
          <t>A 9901-2026</t>
        </is>
      </c>
      <c r="B283" s="1" t="n">
        <v>46073.40391203704</v>
      </c>
      <c r="C283" s="1" t="n">
        <v>46175</v>
      </c>
      <c r="D283" t="inlineStr">
        <is>
          <t>GOTLANDS LÄN</t>
        </is>
      </c>
      <c r="E283" t="inlineStr">
        <is>
          <t>GOTLAND</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8484-2025</t>
        </is>
      </c>
      <c r="B284" s="1" t="n">
        <v>45709</v>
      </c>
      <c r="C284" s="1" t="n">
        <v>46175</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7635-2025</t>
        </is>
      </c>
      <c r="B285" s="1" t="n">
        <v>45705</v>
      </c>
      <c r="C285" s="1" t="n">
        <v>46175</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7636-2025</t>
        </is>
      </c>
      <c r="B286" s="1" t="n">
        <v>45705.7687962963</v>
      </c>
      <c r="C286" s="1" t="n">
        <v>46175</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7639-2025</t>
        </is>
      </c>
      <c r="B287" s="1" t="n">
        <v>45705.77465277778</v>
      </c>
      <c r="C287" s="1" t="n">
        <v>46175</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10284-2026</t>
        </is>
      </c>
      <c r="B288" s="1" t="n">
        <v>46076</v>
      </c>
      <c r="C288" s="1" t="n">
        <v>46175</v>
      </c>
      <c r="D288" t="inlineStr">
        <is>
          <t>GOTLANDS LÄN</t>
        </is>
      </c>
      <c r="E288" t="inlineStr">
        <is>
          <t>GOTLAND</t>
        </is>
      </c>
      <c r="G288" t="n">
        <v>5.2</v>
      </c>
      <c r="H288" t="n">
        <v>0</v>
      </c>
      <c r="I288" t="n">
        <v>0</v>
      </c>
      <c r="J288" t="n">
        <v>0</v>
      </c>
      <c r="K288" t="n">
        <v>0</v>
      </c>
      <c r="L288" t="n">
        <v>0</v>
      </c>
      <c r="M288" t="n">
        <v>0</v>
      </c>
      <c r="N288" t="n">
        <v>0</v>
      </c>
      <c r="O288" t="n">
        <v>0</v>
      </c>
      <c r="P288" t="n">
        <v>0</v>
      </c>
      <c r="Q288" t="n">
        <v>0</v>
      </c>
      <c r="R288" s="2" t="inlineStr"/>
    </row>
    <row r="289" ht="15" customHeight="1">
      <c r="A289" t="inlineStr">
        <is>
          <t>A 60384-2025</t>
        </is>
      </c>
      <c r="B289" s="1" t="n">
        <v>45995</v>
      </c>
      <c r="C289" s="1" t="n">
        <v>46175</v>
      </c>
      <c r="D289" t="inlineStr">
        <is>
          <t>GOTLANDS LÄN</t>
        </is>
      </c>
      <c r="E289" t="inlineStr">
        <is>
          <t>GOTLAND</t>
        </is>
      </c>
      <c r="G289" t="n">
        <v>2.5</v>
      </c>
      <c r="H289" t="n">
        <v>0</v>
      </c>
      <c r="I289" t="n">
        <v>0</v>
      </c>
      <c r="J289" t="n">
        <v>0</v>
      </c>
      <c r="K289" t="n">
        <v>0</v>
      </c>
      <c r="L289" t="n">
        <v>0</v>
      </c>
      <c r="M289" t="n">
        <v>0</v>
      </c>
      <c r="N289" t="n">
        <v>0</v>
      </c>
      <c r="O289" t="n">
        <v>0</v>
      </c>
      <c r="P289" t="n">
        <v>0</v>
      </c>
      <c r="Q289" t="n">
        <v>0</v>
      </c>
      <c r="R289" s="2" t="inlineStr"/>
    </row>
    <row r="290" ht="15" customHeight="1">
      <c r="A290" t="inlineStr">
        <is>
          <t>A 20356-2022</t>
        </is>
      </c>
      <c r="B290" s="1" t="n">
        <v>44699</v>
      </c>
      <c r="C290" s="1" t="n">
        <v>46175</v>
      </c>
      <c r="D290" t="inlineStr">
        <is>
          <t>GOTLANDS LÄN</t>
        </is>
      </c>
      <c r="E290" t="inlineStr">
        <is>
          <t>GOTLAND</t>
        </is>
      </c>
      <c r="F290" t="inlineStr">
        <is>
          <t>Övriga Aktiebolag</t>
        </is>
      </c>
      <c r="G290" t="n">
        <v>4.4</v>
      </c>
      <c r="H290" t="n">
        <v>0</v>
      </c>
      <c r="I290" t="n">
        <v>0</v>
      </c>
      <c r="J290" t="n">
        <v>0</v>
      </c>
      <c r="K290" t="n">
        <v>0</v>
      </c>
      <c r="L290" t="n">
        <v>0</v>
      </c>
      <c r="M290" t="n">
        <v>0</v>
      </c>
      <c r="N290" t="n">
        <v>0</v>
      </c>
      <c r="O290" t="n">
        <v>0</v>
      </c>
      <c r="P290" t="n">
        <v>0</v>
      </c>
      <c r="Q290" t="n">
        <v>0</v>
      </c>
      <c r="R290" s="2" t="inlineStr"/>
    </row>
    <row r="291" ht="15" customHeight="1">
      <c r="A291" t="inlineStr">
        <is>
          <t>A 48734-2022</t>
        </is>
      </c>
      <c r="B291" s="1" t="n">
        <v>44855</v>
      </c>
      <c r="C291" s="1" t="n">
        <v>46175</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14141-2024</t>
        </is>
      </c>
      <c r="B292" s="1" t="n">
        <v>45392.85193287037</v>
      </c>
      <c r="C292" s="1" t="n">
        <v>46175</v>
      </c>
      <c r="D292" t="inlineStr">
        <is>
          <t>GOTLANDS LÄN</t>
        </is>
      </c>
      <c r="E292" t="inlineStr">
        <is>
          <t>GOTLAND</t>
        </is>
      </c>
      <c r="G292" t="n">
        <v>5.3</v>
      </c>
      <c r="H292" t="n">
        <v>0</v>
      </c>
      <c r="I292" t="n">
        <v>0</v>
      </c>
      <c r="J292" t="n">
        <v>0</v>
      </c>
      <c r="K292" t="n">
        <v>0</v>
      </c>
      <c r="L292" t="n">
        <v>0</v>
      </c>
      <c r="M292" t="n">
        <v>0</v>
      </c>
      <c r="N292" t="n">
        <v>0</v>
      </c>
      <c r="O292" t="n">
        <v>0</v>
      </c>
      <c r="P292" t="n">
        <v>0</v>
      </c>
      <c r="Q292" t="n">
        <v>0</v>
      </c>
      <c r="R292" s="2" t="inlineStr"/>
    </row>
    <row r="293" ht="15" customHeight="1">
      <c r="A293" t="inlineStr">
        <is>
          <t>A 29809-2022</t>
        </is>
      </c>
      <c r="B293" s="1" t="n">
        <v>44755.8713425926</v>
      </c>
      <c r="C293" s="1" t="n">
        <v>46175</v>
      </c>
      <c r="D293" t="inlineStr">
        <is>
          <t>GOTLANDS LÄN</t>
        </is>
      </c>
      <c r="E293" t="inlineStr">
        <is>
          <t>GOTLAND</t>
        </is>
      </c>
      <c r="G293" t="n">
        <v>11.5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46175</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39814-2025</t>
        </is>
      </c>
      <c r="B295" s="1" t="n">
        <v>45891.52694444444</v>
      </c>
      <c r="C295" s="1" t="n">
        <v>46175</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39849-2025</t>
        </is>
      </c>
      <c r="B296" s="1" t="n">
        <v>45891.58502314815</v>
      </c>
      <c r="C296" s="1" t="n">
        <v>46175</v>
      </c>
      <c r="D296" t="inlineStr">
        <is>
          <t>GOTLANDS LÄN</t>
        </is>
      </c>
      <c r="E296" t="inlineStr">
        <is>
          <t>GOTLAND</t>
        </is>
      </c>
      <c r="G296" t="n">
        <v>6.1</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46175</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46175</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40103-2025</t>
        </is>
      </c>
      <c r="B299" s="1" t="n">
        <v>45894.4880324074</v>
      </c>
      <c r="C299" s="1" t="n">
        <v>46175</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46175</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40499-2025</t>
        </is>
      </c>
      <c r="B301" s="1" t="n">
        <v>45896.32517361111</v>
      </c>
      <c r="C301" s="1" t="n">
        <v>46175</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40372-2025</t>
        </is>
      </c>
      <c r="B302" s="1" t="n">
        <v>45895.5162037037</v>
      </c>
      <c r="C302" s="1" t="n">
        <v>46175</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57685-2022</t>
        </is>
      </c>
      <c r="B303" s="1" t="n">
        <v>44897.4777662037</v>
      </c>
      <c r="C303" s="1" t="n">
        <v>46175</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11424-2026</t>
        </is>
      </c>
      <c r="B304" s="1" t="n">
        <v>46083.48068287037</v>
      </c>
      <c r="C304" s="1" t="n">
        <v>46175</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30815-2023</t>
        </is>
      </c>
      <c r="B305" s="1" t="n">
        <v>45112</v>
      </c>
      <c r="C305" s="1" t="n">
        <v>46175</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11414-2026</t>
        </is>
      </c>
      <c r="B306" s="1" t="n">
        <v>46083.46336805556</v>
      </c>
      <c r="C306" s="1" t="n">
        <v>46175</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39278-2025</t>
        </is>
      </c>
      <c r="B307" s="1" t="n">
        <v>45889</v>
      </c>
      <c r="C307" s="1" t="n">
        <v>46175</v>
      </c>
      <c r="D307" t="inlineStr">
        <is>
          <t>GOTLANDS LÄN</t>
        </is>
      </c>
      <c r="E307" t="inlineStr">
        <is>
          <t>GOTLAND</t>
        </is>
      </c>
      <c r="G307" t="n">
        <v>3.7</v>
      </c>
      <c r="H307" t="n">
        <v>0</v>
      </c>
      <c r="I307" t="n">
        <v>0</v>
      </c>
      <c r="J307" t="n">
        <v>0</v>
      </c>
      <c r="K307" t="n">
        <v>0</v>
      </c>
      <c r="L307" t="n">
        <v>0</v>
      </c>
      <c r="M307" t="n">
        <v>0</v>
      </c>
      <c r="N307" t="n">
        <v>0</v>
      </c>
      <c r="O307" t="n">
        <v>0</v>
      </c>
      <c r="P307" t="n">
        <v>0</v>
      </c>
      <c r="Q307" t="n">
        <v>0</v>
      </c>
      <c r="R307" s="2" t="inlineStr"/>
    </row>
    <row r="308" ht="15" customHeight="1">
      <c r="A308" t="inlineStr">
        <is>
          <t>A 54584-2025</t>
        </is>
      </c>
      <c r="B308" s="1" t="n">
        <v>45965.71788194445</v>
      </c>
      <c r="C308" s="1" t="n">
        <v>46175</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3067-2026</t>
        </is>
      </c>
      <c r="B309" s="1" t="n">
        <v>46040.59025462963</v>
      </c>
      <c r="C309" s="1" t="n">
        <v>46175</v>
      </c>
      <c r="D309" t="inlineStr">
        <is>
          <t>GOTLANDS LÄN</t>
        </is>
      </c>
      <c r="E309" t="inlineStr">
        <is>
          <t>GOTLAND</t>
        </is>
      </c>
      <c r="G309" t="n">
        <v>7.8</v>
      </c>
      <c r="H309" t="n">
        <v>0</v>
      </c>
      <c r="I309" t="n">
        <v>0</v>
      </c>
      <c r="J309" t="n">
        <v>0</v>
      </c>
      <c r="K309" t="n">
        <v>0</v>
      </c>
      <c r="L309" t="n">
        <v>0</v>
      </c>
      <c r="M309" t="n">
        <v>0</v>
      </c>
      <c r="N309" t="n">
        <v>0</v>
      </c>
      <c r="O309" t="n">
        <v>0</v>
      </c>
      <c r="P309" t="n">
        <v>0</v>
      </c>
      <c r="Q309" t="n">
        <v>0</v>
      </c>
      <c r="R309" s="2" t="inlineStr"/>
    </row>
    <row r="310" ht="15" customHeight="1">
      <c r="A310" t="inlineStr">
        <is>
          <t>A 32379-2025</t>
        </is>
      </c>
      <c r="B310" s="1" t="n">
        <v>45837</v>
      </c>
      <c r="C310" s="1" t="n">
        <v>46175</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7034-2023</t>
        </is>
      </c>
      <c r="B311" s="1" t="n">
        <v>44968.32108796296</v>
      </c>
      <c r="C311" s="1" t="n">
        <v>46175</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7042-2023</t>
        </is>
      </c>
      <c r="B312" s="1" t="n">
        <v>44968</v>
      </c>
      <c r="C312" s="1" t="n">
        <v>46175</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23516-2023</t>
        </is>
      </c>
      <c r="B313" s="1" t="n">
        <v>45076.93391203704</v>
      </c>
      <c r="C313" s="1" t="n">
        <v>46175</v>
      </c>
      <c r="D313" t="inlineStr">
        <is>
          <t>GOTLANDS LÄN</t>
        </is>
      </c>
      <c r="E313" t="inlineStr">
        <is>
          <t>GOTLAND</t>
        </is>
      </c>
      <c r="G313" t="n">
        <v>1.4</v>
      </c>
      <c r="H313" t="n">
        <v>0</v>
      </c>
      <c r="I313" t="n">
        <v>0</v>
      </c>
      <c r="J313" t="n">
        <v>0</v>
      </c>
      <c r="K313" t="n">
        <v>0</v>
      </c>
      <c r="L313" t="n">
        <v>0</v>
      </c>
      <c r="M313" t="n">
        <v>0</v>
      </c>
      <c r="N313" t="n">
        <v>0</v>
      </c>
      <c r="O313" t="n">
        <v>0</v>
      </c>
      <c r="P313" t="n">
        <v>0</v>
      </c>
      <c r="Q313" t="n">
        <v>0</v>
      </c>
      <c r="R313" s="2" t="inlineStr"/>
    </row>
    <row r="314" ht="15" customHeight="1">
      <c r="A314" t="inlineStr">
        <is>
          <t>A 11982-2026</t>
        </is>
      </c>
      <c r="B314" s="1" t="n">
        <v>46085.6434375</v>
      </c>
      <c r="C314" s="1" t="n">
        <v>46175</v>
      </c>
      <c r="D314" t="inlineStr">
        <is>
          <t>GOTLANDS LÄN</t>
        </is>
      </c>
      <c r="E314" t="inlineStr">
        <is>
          <t>GOTLAND</t>
        </is>
      </c>
      <c r="G314" t="n">
        <v>2.2</v>
      </c>
      <c r="H314" t="n">
        <v>0</v>
      </c>
      <c r="I314" t="n">
        <v>0</v>
      </c>
      <c r="J314" t="n">
        <v>0</v>
      </c>
      <c r="K314" t="n">
        <v>0</v>
      </c>
      <c r="L314" t="n">
        <v>0</v>
      </c>
      <c r="M314" t="n">
        <v>0</v>
      </c>
      <c r="N314" t="n">
        <v>0</v>
      </c>
      <c r="O314" t="n">
        <v>0</v>
      </c>
      <c r="P314" t="n">
        <v>0</v>
      </c>
      <c r="Q314" t="n">
        <v>0</v>
      </c>
      <c r="R314" s="2" t="inlineStr"/>
    </row>
    <row r="315" ht="15" customHeight="1">
      <c r="A315" t="inlineStr">
        <is>
          <t>A 64660-2023</t>
        </is>
      </c>
      <c r="B315" s="1" t="n">
        <v>45281.60122685185</v>
      </c>
      <c r="C315" s="1" t="n">
        <v>46175</v>
      </c>
      <c r="D315" t="inlineStr">
        <is>
          <t>GOTLANDS LÄN</t>
        </is>
      </c>
      <c r="E315" t="inlineStr">
        <is>
          <t>GOTLAND</t>
        </is>
      </c>
      <c r="G315" t="n">
        <v>6.3</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45278.33944444444</v>
      </c>
      <c r="C316" s="1" t="n">
        <v>46175</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32467-2025</t>
        </is>
      </c>
      <c r="B317" s="1" t="n">
        <v>45838.42111111111</v>
      </c>
      <c r="C317" s="1" t="n">
        <v>46175</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16109-2025</t>
        </is>
      </c>
      <c r="B318" s="1" t="n">
        <v>45750</v>
      </c>
      <c r="C318" s="1" t="n">
        <v>46175</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12135-2026</t>
        </is>
      </c>
      <c r="B319" s="1" t="n">
        <v>46086</v>
      </c>
      <c r="C319" s="1" t="n">
        <v>46175</v>
      </c>
      <c r="D319" t="inlineStr">
        <is>
          <t>GOTLANDS LÄN</t>
        </is>
      </c>
      <c r="E319" t="inlineStr">
        <is>
          <t>GOTLAND</t>
        </is>
      </c>
      <c r="G319" t="n">
        <v>3</v>
      </c>
      <c r="H319" t="n">
        <v>0</v>
      </c>
      <c r="I319" t="n">
        <v>0</v>
      </c>
      <c r="J319" t="n">
        <v>0</v>
      </c>
      <c r="K319" t="n">
        <v>0</v>
      </c>
      <c r="L319" t="n">
        <v>0</v>
      </c>
      <c r="M319" t="n">
        <v>0</v>
      </c>
      <c r="N319" t="n">
        <v>0</v>
      </c>
      <c r="O319" t="n">
        <v>0</v>
      </c>
      <c r="P319" t="n">
        <v>0</v>
      </c>
      <c r="Q319" t="n">
        <v>0</v>
      </c>
      <c r="R319" s="2" t="inlineStr"/>
    </row>
    <row r="320" ht="15" customHeight="1">
      <c r="A320" t="inlineStr">
        <is>
          <t>A 41435-2025</t>
        </is>
      </c>
      <c r="B320" s="1" t="n">
        <v>45901.39974537037</v>
      </c>
      <c r="C320" s="1" t="n">
        <v>46175</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42201-2023</t>
        </is>
      </c>
      <c r="B321" s="1" t="n">
        <v>45179</v>
      </c>
      <c r="C321" s="1" t="n">
        <v>46175</v>
      </c>
      <c r="D321" t="inlineStr">
        <is>
          <t>GOTLANDS LÄN</t>
        </is>
      </c>
      <c r="E321" t="inlineStr">
        <is>
          <t>GOTLAND</t>
        </is>
      </c>
      <c r="G321" t="n">
        <v>11.9</v>
      </c>
      <c r="H321" t="n">
        <v>0</v>
      </c>
      <c r="I321" t="n">
        <v>0</v>
      </c>
      <c r="J321" t="n">
        <v>0</v>
      </c>
      <c r="K321" t="n">
        <v>0</v>
      </c>
      <c r="L321" t="n">
        <v>0</v>
      </c>
      <c r="M321" t="n">
        <v>0</v>
      </c>
      <c r="N321" t="n">
        <v>0</v>
      </c>
      <c r="O321" t="n">
        <v>0</v>
      </c>
      <c r="P321" t="n">
        <v>0</v>
      </c>
      <c r="Q321" t="n">
        <v>0</v>
      </c>
      <c r="R321" s="2" t="inlineStr"/>
    </row>
    <row r="322" ht="15" customHeight="1">
      <c r="A322" t="inlineStr">
        <is>
          <t>A 63229-2021</t>
        </is>
      </c>
      <c r="B322" s="1" t="n">
        <v>44508.34518518519</v>
      </c>
      <c r="C322" s="1" t="n">
        <v>46175</v>
      </c>
      <c r="D322" t="inlineStr">
        <is>
          <t>GOTLANDS LÄN</t>
        </is>
      </c>
      <c r="E322" t="inlineStr">
        <is>
          <t>GOTLAND</t>
        </is>
      </c>
      <c r="F322" t="inlineStr">
        <is>
          <t>Kyrkan</t>
        </is>
      </c>
      <c r="G322" t="n">
        <v>3.8</v>
      </c>
      <c r="H322" t="n">
        <v>0</v>
      </c>
      <c r="I322" t="n">
        <v>0</v>
      </c>
      <c r="J322" t="n">
        <v>0</v>
      </c>
      <c r="K322" t="n">
        <v>0</v>
      </c>
      <c r="L322" t="n">
        <v>0</v>
      </c>
      <c r="M322" t="n">
        <v>0</v>
      </c>
      <c r="N322" t="n">
        <v>0</v>
      </c>
      <c r="O322" t="n">
        <v>0</v>
      </c>
      <c r="P322" t="n">
        <v>0</v>
      </c>
      <c r="Q322" t="n">
        <v>0</v>
      </c>
      <c r="R322" s="2" t="inlineStr"/>
    </row>
    <row r="323" ht="15" customHeight="1">
      <c r="A323" t="inlineStr">
        <is>
          <t>A 46375-2024</t>
        </is>
      </c>
      <c r="B323" s="1" t="n">
        <v>45582</v>
      </c>
      <c r="C323" s="1" t="n">
        <v>46175</v>
      </c>
      <c r="D323" t="inlineStr">
        <is>
          <t>GOTLANDS LÄN</t>
        </is>
      </c>
      <c r="E323" t="inlineStr">
        <is>
          <t>GOTLAND</t>
        </is>
      </c>
      <c r="G323" t="n">
        <v>3</v>
      </c>
      <c r="H323" t="n">
        <v>0</v>
      </c>
      <c r="I323" t="n">
        <v>0</v>
      </c>
      <c r="J323" t="n">
        <v>0</v>
      </c>
      <c r="K323" t="n">
        <v>0</v>
      </c>
      <c r="L323" t="n">
        <v>0</v>
      </c>
      <c r="M323" t="n">
        <v>0</v>
      </c>
      <c r="N323" t="n">
        <v>0</v>
      </c>
      <c r="O323" t="n">
        <v>0</v>
      </c>
      <c r="P323" t="n">
        <v>0</v>
      </c>
      <c r="Q323" t="n">
        <v>0</v>
      </c>
      <c r="R323" s="2" t="inlineStr"/>
    </row>
    <row r="324" ht="15" customHeight="1">
      <c r="A324" t="inlineStr">
        <is>
          <t>A 41551-2025</t>
        </is>
      </c>
      <c r="B324" s="1" t="n">
        <v>45901.58854166666</v>
      </c>
      <c r="C324" s="1" t="n">
        <v>46175</v>
      </c>
      <c r="D324" t="inlineStr">
        <is>
          <t>GOTLANDS LÄN</t>
        </is>
      </c>
      <c r="E324" t="inlineStr">
        <is>
          <t>GOTLAND</t>
        </is>
      </c>
      <c r="G324" t="n">
        <v>5.6</v>
      </c>
      <c r="H324" t="n">
        <v>0</v>
      </c>
      <c r="I324" t="n">
        <v>0</v>
      </c>
      <c r="J324" t="n">
        <v>0</v>
      </c>
      <c r="K324" t="n">
        <v>0</v>
      </c>
      <c r="L324" t="n">
        <v>0</v>
      </c>
      <c r="M324" t="n">
        <v>0</v>
      </c>
      <c r="N324" t="n">
        <v>0</v>
      </c>
      <c r="O324" t="n">
        <v>0</v>
      </c>
      <c r="P324" t="n">
        <v>0</v>
      </c>
      <c r="Q324" t="n">
        <v>0</v>
      </c>
      <c r="R324" s="2" t="inlineStr"/>
    </row>
    <row r="325" ht="15" customHeight="1">
      <c r="A325" t="inlineStr">
        <is>
          <t>A 33007-2025</t>
        </is>
      </c>
      <c r="B325" s="1" t="n">
        <v>45840</v>
      </c>
      <c r="C325" s="1" t="n">
        <v>46175</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62754-2025</t>
        </is>
      </c>
      <c r="B326" s="1" t="n">
        <v>46008</v>
      </c>
      <c r="C326" s="1" t="n">
        <v>46175</v>
      </c>
      <c r="D326" t="inlineStr">
        <is>
          <t>GOTLANDS LÄN</t>
        </is>
      </c>
      <c r="E326" t="inlineStr">
        <is>
          <t>GOTLAND</t>
        </is>
      </c>
      <c r="F326" t="inlineStr">
        <is>
          <t>Övriga Aktiebolag</t>
        </is>
      </c>
      <c r="G326" t="n">
        <v>2.9</v>
      </c>
      <c r="H326" t="n">
        <v>0</v>
      </c>
      <c r="I326" t="n">
        <v>0</v>
      </c>
      <c r="J326" t="n">
        <v>0</v>
      </c>
      <c r="K326" t="n">
        <v>0</v>
      </c>
      <c r="L326" t="n">
        <v>0</v>
      </c>
      <c r="M326" t="n">
        <v>0</v>
      </c>
      <c r="N326" t="n">
        <v>0</v>
      </c>
      <c r="O326" t="n">
        <v>0</v>
      </c>
      <c r="P326" t="n">
        <v>0</v>
      </c>
      <c r="Q326" t="n">
        <v>0</v>
      </c>
      <c r="R326" s="2" t="inlineStr"/>
    </row>
    <row r="327" ht="15" customHeight="1">
      <c r="A327" t="inlineStr">
        <is>
          <t>A 1734-2025</t>
        </is>
      </c>
      <c r="B327" s="1" t="n">
        <v>45671.3840625</v>
      </c>
      <c r="C327" s="1" t="n">
        <v>46175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42608-2025</t>
        </is>
      </c>
      <c r="B328" s="1" t="n">
        <v>45905</v>
      </c>
      <c r="C328" s="1" t="n">
        <v>46175</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20993-2023</t>
        </is>
      </c>
      <c r="B329" s="1" t="n">
        <v>45056</v>
      </c>
      <c r="C329" s="1" t="n">
        <v>46175</v>
      </c>
      <c r="D329" t="inlineStr">
        <is>
          <t>GOTLANDS LÄN</t>
        </is>
      </c>
      <c r="E329" t="inlineStr">
        <is>
          <t>GOTLAND</t>
        </is>
      </c>
      <c r="G329" t="n">
        <v>7.1</v>
      </c>
      <c r="H329" t="n">
        <v>0</v>
      </c>
      <c r="I329" t="n">
        <v>0</v>
      </c>
      <c r="J329" t="n">
        <v>0</v>
      </c>
      <c r="K329" t="n">
        <v>0</v>
      </c>
      <c r="L329" t="n">
        <v>0</v>
      </c>
      <c r="M329" t="n">
        <v>0</v>
      </c>
      <c r="N329" t="n">
        <v>0</v>
      </c>
      <c r="O329" t="n">
        <v>0</v>
      </c>
      <c r="P329" t="n">
        <v>0</v>
      </c>
      <c r="Q329" t="n">
        <v>0</v>
      </c>
      <c r="R329" s="2" t="inlineStr"/>
    </row>
    <row r="330" ht="15" customHeight="1">
      <c r="A330" t="inlineStr">
        <is>
          <t>A 63000-2025</t>
        </is>
      </c>
      <c r="B330" s="1" t="n">
        <v>46009</v>
      </c>
      <c r="C330" s="1" t="n">
        <v>46175</v>
      </c>
      <c r="D330" t="inlineStr">
        <is>
          <t>GOTLANDS LÄN</t>
        </is>
      </c>
      <c r="E330" t="inlineStr">
        <is>
          <t>GOTLAND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46175</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15413-2025</t>
        </is>
      </c>
      <c r="B332" s="1" t="n">
        <v>45747.451875</v>
      </c>
      <c r="C332" s="1" t="n">
        <v>46175</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35123-2025</t>
        </is>
      </c>
      <c r="B333" s="1" t="n">
        <v>45852.614375</v>
      </c>
      <c r="C333" s="1" t="n">
        <v>46175</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13486-2026</t>
        </is>
      </c>
      <c r="B334" s="1" t="n">
        <v>46094</v>
      </c>
      <c r="C334" s="1" t="n">
        <v>46175</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12596-2023</t>
        </is>
      </c>
      <c r="B335" s="1" t="n">
        <v>45000.43310185185</v>
      </c>
      <c r="C335" s="1" t="n">
        <v>46175</v>
      </c>
      <c r="D335" t="inlineStr">
        <is>
          <t>GOTLANDS LÄN</t>
        </is>
      </c>
      <c r="E335" t="inlineStr">
        <is>
          <t>GOTLAND</t>
        </is>
      </c>
      <c r="G335" t="n">
        <v>4.1</v>
      </c>
      <c r="H335" t="n">
        <v>0</v>
      </c>
      <c r="I335" t="n">
        <v>0</v>
      </c>
      <c r="J335" t="n">
        <v>0</v>
      </c>
      <c r="K335" t="n">
        <v>0</v>
      </c>
      <c r="L335" t="n">
        <v>0</v>
      </c>
      <c r="M335" t="n">
        <v>0</v>
      </c>
      <c r="N335" t="n">
        <v>0</v>
      </c>
      <c r="O335" t="n">
        <v>0</v>
      </c>
      <c r="P335" t="n">
        <v>0</v>
      </c>
      <c r="Q335" t="n">
        <v>0</v>
      </c>
      <c r="R335" s="2" t="inlineStr"/>
    </row>
    <row r="336" ht="15" customHeight="1">
      <c r="A336" t="inlineStr">
        <is>
          <t>A 2125-2025</t>
        </is>
      </c>
      <c r="B336" s="1" t="n">
        <v>45672.64940972222</v>
      </c>
      <c r="C336" s="1" t="n">
        <v>46175</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62751-2025</t>
        </is>
      </c>
      <c r="B337" s="1" t="n">
        <v>46008</v>
      </c>
      <c r="C337" s="1" t="n">
        <v>46175</v>
      </c>
      <c r="D337" t="inlineStr">
        <is>
          <t>GOTLANDS LÄN</t>
        </is>
      </c>
      <c r="E337" t="inlineStr">
        <is>
          <t>GOTLAND</t>
        </is>
      </c>
      <c r="F337" t="inlineStr">
        <is>
          <t>Övriga Aktiebolag</t>
        </is>
      </c>
      <c r="G337" t="n">
        <v>7.8</v>
      </c>
      <c r="H337" t="n">
        <v>0</v>
      </c>
      <c r="I337" t="n">
        <v>0</v>
      </c>
      <c r="J337" t="n">
        <v>0</v>
      </c>
      <c r="K337" t="n">
        <v>0</v>
      </c>
      <c r="L337" t="n">
        <v>0</v>
      </c>
      <c r="M337" t="n">
        <v>0</v>
      </c>
      <c r="N337" t="n">
        <v>0</v>
      </c>
      <c r="O337" t="n">
        <v>0</v>
      </c>
      <c r="P337" t="n">
        <v>0</v>
      </c>
      <c r="Q337" t="n">
        <v>0</v>
      </c>
      <c r="R337" s="2" t="inlineStr"/>
    </row>
    <row r="338" ht="15" customHeight="1">
      <c r="A338" t="inlineStr">
        <is>
          <t>A 35096-2025</t>
        </is>
      </c>
      <c r="B338" s="1" t="n">
        <v>45852.54356481481</v>
      </c>
      <c r="C338" s="1" t="n">
        <v>46175</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12155-2023</t>
        </is>
      </c>
      <c r="B339" s="1" t="n">
        <v>44998.49106481481</v>
      </c>
      <c r="C339" s="1" t="n">
        <v>46175</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10158-2025</t>
        </is>
      </c>
      <c r="B340" s="1" t="n">
        <v>45719</v>
      </c>
      <c r="C340" s="1" t="n">
        <v>46175</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457-2023</t>
        </is>
      </c>
      <c r="B341" s="1" t="n">
        <v>44929.87238425926</v>
      </c>
      <c r="C341" s="1" t="n">
        <v>46175</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459-2023</t>
        </is>
      </c>
      <c r="B342" s="1" t="n">
        <v>44929.87423611111</v>
      </c>
      <c r="C342" s="1" t="n">
        <v>46175</v>
      </c>
      <c r="D342" t="inlineStr">
        <is>
          <t>GOTLANDS LÄN</t>
        </is>
      </c>
      <c r="E342" t="inlineStr">
        <is>
          <t>GOTLAND</t>
        </is>
      </c>
      <c r="G342" t="n">
        <v>4.2</v>
      </c>
      <c r="H342" t="n">
        <v>0</v>
      </c>
      <c r="I342" t="n">
        <v>0</v>
      </c>
      <c r="J342" t="n">
        <v>0</v>
      </c>
      <c r="K342" t="n">
        <v>0</v>
      </c>
      <c r="L342" t="n">
        <v>0</v>
      </c>
      <c r="M342" t="n">
        <v>0</v>
      </c>
      <c r="N342" t="n">
        <v>0</v>
      </c>
      <c r="O342" t="n">
        <v>0</v>
      </c>
      <c r="P342" t="n">
        <v>0</v>
      </c>
      <c r="Q342" t="n">
        <v>0</v>
      </c>
      <c r="R342" s="2" t="inlineStr"/>
    </row>
    <row r="343" ht="15" customHeight="1">
      <c r="A343" t="inlineStr">
        <is>
          <t>A 38234-2023</t>
        </is>
      </c>
      <c r="B343" s="1" t="n">
        <v>45161.56663194444</v>
      </c>
      <c r="C343" s="1" t="n">
        <v>46175</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50744-2024</t>
        </is>
      </c>
      <c r="B344" s="1" t="n">
        <v>45602.4187037037</v>
      </c>
      <c r="C344" s="1" t="n">
        <v>46175</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46175</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46175</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43951-2025</t>
        </is>
      </c>
      <c r="B347" s="1" t="n">
        <v>45915.38119212963</v>
      </c>
      <c r="C347" s="1" t="n">
        <v>46175</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53934-2024</t>
        </is>
      </c>
      <c r="B348" s="1" t="n">
        <v>45615</v>
      </c>
      <c r="C348" s="1" t="n">
        <v>46175</v>
      </c>
      <c r="D348" t="inlineStr">
        <is>
          <t>GOTLANDS LÄN</t>
        </is>
      </c>
      <c r="E348" t="inlineStr">
        <is>
          <t>GOTLAND</t>
        </is>
      </c>
      <c r="G348" t="n">
        <v>5</v>
      </c>
      <c r="H348" t="n">
        <v>0</v>
      </c>
      <c r="I348" t="n">
        <v>0</v>
      </c>
      <c r="J348" t="n">
        <v>0</v>
      </c>
      <c r="K348" t="n">
        <v>0</v>
      </c>
      <c r="L348" t="n">
        <v>0</v>
      </c>
      <c r="M348" t="n">
        <v>0</v>
      </c>
      <c r="N348" t="n">
        <v>0</v>
      </c>
      <c r="O348" t="n">
        <v>0</v>
      </c>
      <c r="P348" t="n">
        <v>0</v>
      </c>
      <c r="Q348" t="n">
        <v>0</v>
      </c>
      <c r="R348" s="2" t="inlineStr"/>
    </row>
    <row r="349" ht="15" customHeight="1">
      <c r="A349" t="inlineStr">
        <is>
          <t>A 44405-2025</t>
        </is>
      </c>
      <c r="B349" s="1" t="n">
        <v>45916.52405092592</v>
      </c>
      <c r="C349" s="1" t="n">
        <v>46175</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30104-2025</t>
        </is>
      </c>
      <c r="B350" s="1" t="n">
        <v>45826.68806712963</v>
      </c>
      <c r="C350" s="1" t="n">
        <v>46175</v>
      </c>
      <c r="D350" t="inlineStr">
        <is>
          <t>GOTLANDS LÄN</t>
        </is>
      </c>
      <c r="E350" t="inlineStr">
        <is>
          <t>GOTLAND</t>
        </is>
      </c>
      <c r="G350" t="n">
        <v>15.4</v>
      </c>
      <c r="H350" t="n">
        <v>0</v>
      </c>
      <c r="I350" t="n">
        <v>0</v>
      </c>
      <c r="J350" t="n">
        <v>0</v>
      </c>
      <c r="K350" t="n">
        <v>0</v>
      </c>
      <c r="L350" t="n">
        <v>0</v>
      </c>
      <c r="M350" t="n">
        <v>0</v>
      </c>
      <c r="N350" t="n">
        <v>0</v>
      </c>
      <c r="O350" t="n">
        <v>0</v>
      </c>
      <c r="P350" t="n">
        <v>0</v>
      </c>
      <c r="Q350" t="n">
        <v>0</v>
      </c>
      <c r="R350" s="2" t="inlineStr"/>
    </row>
    <row r="351" ht="15" customHeight="1">
      <c r="A351" t="inlineStr">
        <is>
          <t>A 35290-2025</t>
        </is>
      </c>
      <c r="B351" s="1" t="n">
        <v>45854.38502314815</v>
      </c>
      <c r="C351" s="1" t="n">
        <v>46175</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1446-2025</t>
        </is>
      </c>
      <c r="B352" s="1" t="n">
        <v>45669.86035879629</v>
      </c>
      <c r="C352" s="1" t="n">
        <v>46175</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32669-2024</t>
        </is>
      </c>
      <c r="B353" s="1" t="n">
        <v>45514</v>
      </c>
      <c r="C353" s="1" t="n">
        <v>46175</v>
      </c>
      <c r="D353" t="inlineStr">
        <is>
          <t>GOTLANDS LÄN</t>
        </is>
      </c>
      <c r="E353" t="inlineStr">
        <is>
          <t>GOTLAND</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35537-2025</t>
        </is>
      </c>
      <c r="B354" s="1" t="n">
        <v>45856</v>
      </c>
      <c r="C354" s="1" t="n">
        <v>46175</v>
      </c>
      <c r="D354" t="inlineStr">
        <is>
          <t>GOTLANDS LÄN</t>
        </is>
      </c>
      <c r="E354" t="inlineStr">
        <is>
          <t>GOTLAND</t>
        </is>
      </c>
      <c r="G354" t="n">
        <v>16.8</v>
      </c>
      <c r="H354" t="n">
        <v>0</v>
      </c>
      <c r="I354" t="n">
        <v>0</v>
      </c>
      <c r="J354" t="n">
        <v>0</v>
      </c>
      <c r="K354" t="n">
        <v>0</v>
      </c>
      <c r="L354" t="n">
        <v>0</v>
      </c>
      <c r="M354" t="n">
        <v>0</v>
      </c>
      <c r="N354" t="n">
        <v>0</v>
      </c>
      <c r="O354" t="n">
        <v>0</v>
      </c>
      <c r="P354" t="n">
        <v>0</v>
      </c>
      <c r="Q354" t="n">
        <v>0</v>
      </c>
      <c r="R354" s="2" t="inlineStr"/>
    </row>
    <row r="355" ht="15" customHeight="1">
      <c r="A355" t="inlineStr">
        <is>
          <t>A 31264-2021</t>
        </is>
      </c>
      <c r="B355" s="1" t="n">
        <v>44368</v>
      </c>
      <c r="C355" s="1" t="n">
        <v>46175</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14840-2026</t>
        </is>
      </c>
      <c r="B356" s="1" t="n">
        <v>46104.39498842593</v>
      </c>
      <c r="C356" s="1" t="n">
        <v>46175</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43901-2023</t>
        </is>
      </c>
      <c r="B357" s="1" t="n">
        <v>45187</v>
      </c>
      <c r="C357" s="1" t="n">
        <v>46175</v>
      </c>
      <c r="D357" t="inlineStr">
        <is>
          <t>GOTLANDS LÄN</t>
        </is>
      </c>
      <c r="E357" t="inlineStr">
        <is>
          <t>GOTLAND</t>
        </is>
      </c>
      <c r="G357" t="n">
        <v>5.4</v>
      </c>
      <c r="H357" t="n">
        <v>0</v>
      </c>
      <c r="I357" t="n">
        <v>0</v>
      </c>
      <c r="J357" t="n">
        <v>0</v>
      </c>
      <c r="K357" t="n">
        <v>0</v>
      </c>
      <c r="L357" t="n">
        <v>0</v>
      </c>
      <c r="M357" t="n">
        <v>0</v>
      </c>
      <c r="N357" t="n">
        <v>0</v>
      </c>
      <c r="O357" t="n">
        <v>0</v>
      </c>
      <c r="P357" t="n">
        <v>0</v>
      </c>
      <c r="Q357" t="n">
        <v>0</v>
      </c>
      <c r="R357" s="2" t="inlineStr"/>
    </row>
    <row r="358" ht="15" customHeight="1">
      <c r="A358" t="inlineStr">
        <is>
          <t>A 10746-2025</t>
        </is>
      </c>
      <c r="B358" s="1" t="n">
        <v>45722.42766203704</v>
      </c>
      <c r="C358" s="1" t="n">
        <v>46175</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16501-2023</t>
        </is>
      </c>
      <c r="B359" s="1" t="n">
        <v>45029</v>
      </c>
      <c r="C359" s="1" t="n">
        <v>46175</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27930-2021</t>
        </is>
      </c>
      <c r="B360" s="1" t="n">
        <v>44354</v>
      </c>
      <c r="C360" s="1" t="n">
        <v>46175</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26391-2025</t>
        </is>
      </c>
      <c r="B361" s="1" t="n">
        <v>45806</v>
      </c>
      <c r="C361" s="1" t="n">
        <v>46175</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61962-2024</t>
        </is>
      </c>
      <c r="B362" s="1" t="n">
        <v>45653.54340277778</v>
      </c>
      <c r="C362" s="1" t="n">
        <v>46175</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21396-2026</t>
        </is>
      </c>
      <c r="B363" s="1" t="n">
        <v>46148.30710648148</v>
      </c>
      <c r="C363" s="1" t="n">
        <v>46175</v>
      </c>
      <c r="D363" t="inlineStr">
        <is>
          <t>GOTLANDS LÄN</t>
        </is>
      </c>
      <c r="E363" t="inlineStr">
        <is>
          <t>GOTLAND</t>
        </is>
      </c>
      <c r="G363" t="n">
        <v>6.1</v>
      </c>
      <c r="H363" t="n">
        <v>0</v>
      </c>
      <c r="I363" t="n">
        <v>0</v>
      </c>
      <c r="J363" t="n">
        <v>0</v>
      </c>
      <c r="K363" t="n">
        <v>0</v>
      </c>
      <c r="L363" t="n">
        <v>0</v>
      </c>
      <c r="M363" t="n">
        <v>0</v>
      </c>
      <c r="N363" t="n">
        <v>0</v>
      </c>
      <c r="O363" t="n">
        <v>0</v>
      </c>
      <c r="P363" t="n">
        <v>0</v>
      </c>
      <c r="Q363" t="n">
        <v>0</v>
      </c>
      <c r="R363" s="2" t="inlineStr"/>
    </row>
    <row r="364" ht="15" customHeight="1">
      <c r="A364" t="inlineStr">
        <is>
          <t>A 10492-2023</t>
        </is>
      </c>
      <c r="B364" s="1" t="n">
        <v>44987</v>
      </c>
      <c r="C364" s="1" t="n">
        <v>46175</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5909-2025</t>
        </is>
      </c>
      <c r="B365" s="1" t="n">
        <v>45695.40634259259</v>
      </c>
      <c r="C365" s="1" t="n">
        <v>46175</v>
      </c>
      <c r="D365" t="inlineStr">
        <is>
          <t>GOTLANDS LÄN</t>
        </is>
      </c>
      <c r="E365" t="inlineStr">
        <is>
          <t>GOTLAND</t>
        </is>
      </c>
      <c r="G365" t="n">
        <v>2.9</v>
      </c>
      <c r="H365" t="n">
        <v>0</v>
      </c>
      <c r="I365" t="n">
        <v>0</v>
      </c>
      <c r="J365" t="n">
        <v>0</v>
      </c>
      <c r="K365" t="n">
        <v>0</v>
      </c>
      <c r="L365" t="n">
        <v>0</v>
      </c>
      <c r="M365" t="n">
        <v>0</v>
      </c>
      <c r="N365" t="n">
        <v>0</v>
      </c>
      <c r="O365" t="n">
        <v>0</v>
      </c>
      <c r="P365" t="n">
        <v>0</v>
      </c>
      <c r="Q365" t="n">
        <v>0</v>
      </c>
      <c r="R365" s="2" t="inlineStr"/>
    </row>
    <row r="366" ht="15" customHeight="1">
      <c r="A366" t="inlineStr">
        <is>
          <t>A 46836-2025</t>
        </is>
      </c>
      <c r="B366" s="1" t="n">
        <v>45928.31511574074</v>
      </c>
      <c r="C366" s="1" t="n">
        <v>46175</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10653-2023</t>
        </is>
      </c>
      <c r="B367" s="1" t="n">
        <v>44988.48859953704</v>
      </c>
      <c r="C367" s="1" t="n">
        <v>46175</v>
      </c>
      <c r="D367" t="inlineStr">
        <is>
          <t>GOTLANDS LÄN</t>
        </is>
      </c>
      <c r="E367" t="inlineStr">
        <is>
          <t>GOTLAND</t>
        </is>
      </c>
      <c r="F367" t="inlineStr">
        <is>
          <t>Kyrkan</t>
        </is>
      </c>
      <c r="G367" t="n">
        <v>3</v>
      </c>
      <c r="H367" t="n">
        <v>0</v>
      </c>
      <c r="I367" t="n">
        <v>0</v>
      </c>
      <c r="J367" t="n">
        <v>0</v>
      </c>
      <c r="K367" t="n">
        <v>0</v>
      </c>
      <c r="L367" t="n">
        <v>0</v>
      </c>
      <c r="M367" t="n">
        <v>0</v>
      </c>
      <c r="N367" t="n">
        <v>0</v>
      </c>
      <c r="O367" t="n">
        <v>0</v>
      </c>
      <c r="P367" t="n">
        <v>0</v>
      </c>
      <c r="Q367" t="n">
        <v>0</v>
      </c>
      <c r="R367" s="2" t="inlineStr"/>
    </row>
    <row r="368" ht="15" customHeight="1">
      <c r="A368" t="inlineStr">
        <is>
          <t>A 4662-2026</t>
        </is>
      </c>
      <c r="B368" s="1" t="n">
        <v>46048.40949074074</v>
      </c>
      <c r="C368" s="1" t="n">
        <v>46175</v>
      </c>
      <c r="D368" t="inlineStr">
        <is>
          <t>GOTLANDS LÄN</t>
        </is>
      </c>
      <c r="E368" t="inlineStr">
        <is>
          <t>GOTLAND</t>
        </is>
      </c>
      <c r="G368" t="n">
        <v>7.6</v>
      </c>
      <c r="H368" t="n">
        <v>0</v>
      </c>
      <c r="I368" t="n">
        <v>0</v>
      </c>
      <c r="J368" t="n">
        <v>0</v>
      </c>
      <c r="K368" t="n">
        <v>0</v>
      </c>
      <c r="L368" t="n">
        <v>0</v>
      </c>
      <c r="M368" t="n">
        <v>0</v>
      </c>
      <c r="N368" t="n">
        <v>0</v>
      </c>
      <c r="O368" t="n">
        <v>0</v>
      </c>
      <c r="P368" t="n">
        <v>0</v>
      </c>
      <c r="Q368" t="n">
        <v>0</v>
      </c>
      <c r="R368" s="2" t="inlineStr"/>
    </row>
    <row r="369" ht="15" customHeight="1">
      <c r="A369" t="inlineStr">
        <is>
          <t>A 4990-2025</t>
        </is>
      </c>
      <c r="B369" s="1" t="n">
        <v>45691</v>
      </c>
      <c r="C369" s="1" t="n">
        <v>46175</v>
      </c>
      <c r="D369" t="inlineStr">
        <is>
          <t>GOTLANDS LÄN</t>
        </is>
      </c>
      <c r="E369" t="inlineStr">
        <is>
          <t>GOTLAND</t>
        </is>
      </c>
      <c r="G369" t="n">
        <v>7.7</v>
      </c>
      <c r="H369" t="n">
        <v>0</v>
      </c>
      <c r="I369" t="n">
        <v>0</v>
      </c>
      <c r="J369" t="n">
        <v>0</v>
      </c>
      <c r="K369" t="n">
        <v>0</v>
      </c>
      <c r="L369" t="n">
        <v>0</v>
      </c>
      <c r="M369" t="n">
        <v>0</v>
      </c>
      <c r="N369" t="n">
        <v>0</v>
      </c>
      <c r="O369" t="n">
        <v>0</v>
      </c>
      <c r="P369" t="n">
        <v>0</v>
      </c>
      <c r="Q369" t="n">
        <v>0</v>
      </c>
      <c r="R369" s="2" t="inlineStr"/>
    </row>
    <row r="370" ht="15" customHeight="1">
      <c r="A370" t="inlineStr">
        <is>
          <t>A 1854-2026</t>
        </is>
      </c>
      <c r="B370" s="1" t="n">
        <v>46035.4171875</v>
      </c>
      <c r="C370" s="1" t="n">
        <v>46175</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43081-2022</t>
        </is>
      </c>
      <c r="B371" s="1" t="n">
        <v>44833</v>
      </c>
      <c r="C371" s="1" t="n">
        <v>46175</v>
      </c>
      <c r="D371" t="inlineStr">
        <is>
          <t>GOTLANDS LÄN</t>
        </is>
      </c>
      <c r="E371" t="inlineStr">
        <is>
          <t>GOTLAND</t>
        </is>
      </c>
      <c r="G371" t="n">
        <v>6.8</v>
      </c>
      <c r="H371" t="n">
        <v>0</v>
      </c>
      <c r="I371" t="n">
        <v>0</v>
      </c>
      <c r="J371" t="n">
        <v>0</v>
      </c>
      <c r="K371" t="n">
        <v>0</v>
      </c>
      <c r="L371" t="n">
        <v>0</v>
      </c>
      <c r="M371" t="n">
        <v>0</v>
      </c>
      <c r="N371" t="n">
        <v>0</v>
      </c>
      <c r="O371" t="n">
        <v>0</v>
      </c>
      <c r="P371" t="n">
        <v>0</v>
      </c>
      <c r="Q371" t="n">
        <v>0</v>
      </c>
      <c r="R371" s="2" t="inlineStr"/>
    </row>
    <row r="372" ht="15" customHeight="1">
      <c r="A372" t="inlineStr">
        <is>
          <t>A 32958-2021</t>
        </is>
      </c>
      <c r="B372" s="1" t="n">
        <v>44376</v>
      </c>
      <c r="C372" s="1" t="n">
        <v>46175</v>
      </c>
      <c r="D372" t="inlineStr">
        <is>
          <t>GOTLANDS LÄN</t>
        </is>
      </c>
      <c r="E372" t="inlineStr">
        <is>
          <t>GOTLAND</t>
        </is>
      </c>
      <c r="G372" t="n">
        <v>2.2</v>
      </c>
      <c r="H372" t="n">
        <v>0</v>
      </c>
      <c r="I372" t="n">
        <v>0</v>
      </c>
      <c r="J372" t="n">
        <v>0</v>
      </c>
      <c r="K372" t="n">
        <v>0</v>
      </c>
      <c r="L372" t="n">
        <v>0</v>
      </c>
      <c r="M372" t="n">
        <v>0</v>
      </c>
      <c r="N372" t="n">
        <v>0</v>
      </c>
      <c r="O372" t="n">
        <v>0</v>
      </c>
      <c r="P372" t="n">
        <v>0</v>
      </c>
      <c r="Q372" t="n">
        <v>0</v>
      </c>
      <c r="R372" s="2" t="inlineStr"/>
    </row>
    <row r="373" ht="15" customHeight="1">
      <c r="A373" t="inlineStr">
        <is>
          <t>A 47637-2025</t>
        </is>
      </c>
      <c r="B373" s="1" t="n">
        <v>45931.49753472222</v>
      </c>
      <c r="C373" s="1" t="n">
        <v>46175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5884-2025</t>
        </is>
      </c>
      <c r="B374" s="1" t="n">
        <v>45695.37482638889</v>
      </c>
      <c r="C374" s="1" t="n">
        <v>46175</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5897-2025</t>
        </is>
      </c>
      <c r="B375" s="1" t="n">
        <v>45695.39273148148</v>
      </c>
      <c r="C375" s="1" t="n">
        <v>46175</v>
      </c>
      <c r="D375" t="inlineStr">
        <is>
          <t>GOTLANDS LÄN</t>
        </is>
      </c>
      <c r="E375" t="inlineStr">
        <is>
          <t>GOTLAND</t>
        </is>
      </c>
      <c r="G375" t="n">
        <v>3.7</v>
      </c>
      <c r="H375" t="n">
        <v>0</v>
      </c>
      <c r="I375" t="n">
        <v>0</v>
      </c>
      <c r="J375" t="n">
        <v>0</v>
      </c>
      <c r="K375" t="n">
        <v>0</v>
      </c>
      <c r="L375" t="n">
        <v>0</v>
      </c>
      <c r="M375" t="n">
        <v>0</v>
      </c>
      <c r="N375" t="n">
        <v>0</v>
      </c>
      <c r="O375" t="n">
        <v>0</v>
      </c>
      <c r="P375" t="n">
        <v>0</v>
      </c>
      <c r="Q375" t="n">
        <v>0</v>
      </c>
      <c r="R375" s="2" t="inlineStr"/>
    </row>
    <row r="376" ht="15" customHeight="1">
      <c r="A376" t="inlineStr">
        <is>
          <t>A 22351-2026</t>
        </is>
      </c>
      <c r="B376" s="1" t="n">
        <v>46154.58350694444</v>
      </c>
      <c r="C376" s="1" t="n">
        <v>46175</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22275-2026</t>
        </is>
      </c>
      <c r="B377" s="1" t="n">
        <v>46154.41924768518</v>
      </c>
      <c r="C377" s="1" t="n">
        <v>46175</v>
      </c>
      <c r="D377" t="inlineStr">
        <is>
          <t>GOTLANDS LÄN</t>
        </is>
      </c>
      <c r="E377" t="inlineStr">
        <is>
          <t>GOTLAND</t>
        </is>
      </c>
      <c r="G377" t="n">
        <v>3.7</v>
      </c>
      <c r="H377" t="n">
        <v>0</v>
      </c>
      <c r="I377" t="n">
        <v>0</v>
      </c>
      <c r="J377" t="n">
        <v>0</v>
      </c>
      <c r="K377" t="n">
        <v>0</v>
      </c>
      <c r="L377" t="n">
        <v>0</v>
      </c>
      <c r="M377" t="n">
        <v>0</v>
      </c>
      <c r="N377" t="n">
        <v>0</v>
      </c>
      <c r="O377" t="n">
        <v>0</v>
      </c>
      <c r="P377" t="n">
        <v>0</v>
      </c>
      <c r="Q377" t="n">
        <v>0</v>
      </c>
      <c r="R377" s="2" t="inlineStr"/>
    </row>
    <row r="378" ht="15" customHeight="1">
      <c r="A378" t="inlineStr">
        <is>
          <t>A 22348-2026</t>
        </is>
      </c>
      <c r="B378" s="1" t="n">
        <v>46154.58071759259</v>
      </c>
      <c r="C378" s="1" t="n">
        <v>46175</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49693-2023</t>
        </is>
      </c>
      <c r="B379" s="1" t="n">
        <v>45212.38138888889</v>
      </c>
      <c r="C379" s="1" t="n">
        <v>46175</v>
      </c>
      <c r="D379" t="inlineStr">
        <is>
          <t>GOTLANDS LÄN</t>
        </is>
      </c>
      <c r="E379" t="inlineStr">
        <is>
          <t>GOTLAND</t>
        </is>
      </c>
      <c r="G379" t="n">
        <v>2.4</v>
      </c>
      <c r="H379" t="n">
        <v>0</v>
      </c>
      <c r="I379" t="n">
        <v>0</v>
      </c>
      <c r="J379" t="n">
        <v>0</v>
      </c>
      <c r="K379" t="n">
        <v>0</v>
      </c>
      <c r="L379" t="n">
        <v>0</v>
      </c>
      <c r="M379" t="n">
        <v>0</v>
      </c>
      <c r="N379" t="n">
        <v>0</v>
      </c>
      <c r="O379" t="n">
        <v>0</v>
      </c>
      <c r="P379" t="n">
        <v>0</v>
      </c>
      <c r="Q379" t="n">
        <v>0</v>
      </c>
      <c r="R379" s="2" t="inlineStr"/>
    </row>
    <row r="380" ht="15" customHeight="1">
      <c r="A380" t="inlineStr">
        <is>
          <t>A 49697-2023</t>
        </is>
      </c>
      <c r="B380" s="1" t="n">
        <v>45212.38909722222</v>
      </c>
      <c r="C380" s="1" t="n">
        <v>46175</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32378-2025</t>
        </is>
      </c>
      <c r="B381" s="1" t="n">
        <v>45837</v>
      </c>
      <c r="C381" s="1" t="n">
        <v>46175</v>
      </c>
      <c r="D381" t="inlineStr">
        <is>
          <t>GOTLANDS LÄN</t>
        </is>
      </c>
      <c r="E381" t="inlineStr">
        <is>
          <t>GOTLAND</t>
        </is>
      </c>
      <c r="G381" t="n">
        <v>4.1</v>
      </c>
      <c r="H381" t="n">
        <v>0</v>
      </c>
      <c r="I381" t="n">
        <v>0</v>
      </c>
      <c r="J381" t="n">
        <v>0</v>
      </c>
      <c r="K381" t="n">
        <v>0</v>
      </c>
      <c r="L381" t="n">
        <v>0</v>
      </c>
      <c r="M381" t="n">
        <v>0</v>
      </c>
      <c r="N381" t="n">
        <v>0</v>
      </c>
      <c r="O381" t="n">
        <v>0</v>
      </c>
      <c r="P381" t="n">
        <v>0</v>
      </c>
      <c r="Q381" t="n">
        <v>0</v>
      </c>
      <c r="R381" s="2" t="inlineStr"/>
    </row>
    <row r="382" ht="15" customHeight="1">
      <c r="A382" t="inlineStr">
        <is>
          <t>A 17901-2023</t>
        </is>
      </c>
      <c r="B382" s="1" t="n">
        <v>45039</v>
      </c>
      <c r="C382" s="1" t="n">
        <v>46175</v>
      </c>
      <c r="D382" t="inlineStr">
        <is>
          <t>GOTLANDS LÄN</t>
        </is>
      </c>
      <c r="E382" t="inlineStr">
        <is>
          <t>GOTLAND</t>
        </is>
      </c>
      <c r="F382" t="inlineStr">
        <is>
          <t>Kyrkan</t>
        </is>
      </c>
      <c r="G382" t="n">
        <v>0.6</v>
      </c>
      <c r="H382" t="n">
        <v>0</v>
      </c>
      <c r="I382" t="n">
        <v>0</v>
      </c>
      <c r="J382" t="n">
        <v>0</v>
      </c>
      <c r="K382" t="n">
        <v>0</v>
      </c>
      <c r="L382" t="n">
        <v>0</v>
      </c>
      <c r="M382" t="n">
        <v>0</v>
      </c>
      <c r="N382" t="n">
        <v>0</v>
      </c>
      <c r="O382" t="n">
        <v>0</v>
      </c>
      <c r="P382" t="n">
        <v>0</v>
      </c>
      <c r="Q382" t="n">
        <v>0</v>
      </c>
      <c r="R382" s="2" t="inlineStr"/>
    </row>
    <row r="383" ht="15" customHeight="1">
      <c r="A383" t="inlineStr">
        <is>
          <t>A 15216-2025</t>
        </is>
      </c>
      <c r="B383" s="1" t="n">
        <v>45744</v>
      </c>
      <c r="C383" s="1" t="n">
        <v>46175</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35550-2025</t>
        </is>
      </c>
      <c r="B384" s="1" t="n">
        <v>45856.49324074074</v>
      </c>
      <c r="C384" s="1" t="n">
        <v>46175</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43790-2024</t>
        </is>
      </c>
      <c r="B385" s="1" t="n">
        <v>45571</v>
      </c>
      <c r="C385" s="1" t="n">
        <v>46175</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15001-2025</t>
        </is>
      </c>
      <c r="B386" s="1" t="n">
        <v>45743</v>
      </c>
      <c r="C386" s="1" t="n">
        <v>46175</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30488-2025</t>
        </is>
      </c>
      <c r="B387" s="1" t="n">
        <v>45830</v>
      </c>
      <c r="C387" s="1" t="n">
        <v>46175</v>
      </c>
      <c r="D387" t="inlineStr">
        <is>
          <t>GOTLANDS LÄN</t>
        </is>
      </c>
      <c r="E387" t="inlineStr">
        <is>
          <t>GOTLAND</t>
        </is>
      </c>
      <c r="F387" t="inlineStr">
        <is>
          <t>Kyrkan</t>
        </is>
      </c>
      <c r="G387" t="n">
        <v>3.9</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46175</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16993-2026</t>
        </is>
      </c>
      <c r="B389" s="1" t="n">
        <v>46114.41918981481</v>
      </c>
      <c r="C389" s="1" t="n">
        <v>46175</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17000-2026</t>
        </is>
      </c>
      <c r="B390" s="1" t="n">
        <v>46114.42690972222</v>
      </c>
      <c r="C390" s="1" t="n">
        <v>46175</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18742-2025</t>
        </is>
      </c>
      <c r="B391" s="1" t="n">
        <v>45763</v>
      </c>
      <c r="C391" s="1" t="n">
        <v>46175</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35129-2025</t>
        </is>
      </c>
      <c r="B392" s="1" t="n">
        <v>45852.63224537037</v>
      </c>
      <c r="C392" s="1" t="n">
        <v>46175</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22887-2026</t>
        </is>
      </c>
      <c r="B393" s="1" t="n">
        <v>46160.47591435185</v>
      </c>
      <c r="C393" s="1" t="n">
        <v>46175</v>
      </c>
      <c r="D393" t="inlineStr">
        <is>
          <t>GOTLANDS LÄN</t>
        </is>
      </c>
      <c r="E393" t="inlineStr">
        <is>
          <t>GOTLAND</t>
        </is>
      </c>
      <c r="G393" t="n">
        <v>3.6</v>
      </c>
      <c r="H393" t="n">
        <v>0</v>
      </c>
      <c r="I393" t="n">
        <v>0</v>
      </c>
      <c r="J393" t="n">
        <v>0</v>
      </c>
      <c r="K393" t="n">
        <v>0</v>
      </c>
      <c r="L393" t="n">
        <v>0</v>
      </c>
      <c r="M393" t="n">
        <v>0</v>
      </c>
      <c r="N393" t="n">
        <v>0</v>
      </c>
      <c r="O393" t="n">
        <v>0</v>
      </c>
      <c r="P393" t="n">
        <v>0</v>
      </c>
      <c r="Q393" t="n">
        <v>0</v>
      </c>
      <c r="R393" s="2" t="inlineStr"/>
    </row>
    <row r="394" ht="15" customHeight="1">
      <c r="A394" t="inlineStr">
        <is>
          <t>A 52892-2021</t>
        </is>
      </c>
      <c r="B394" s="1" t="n">
        <v>44467.49048611111</v>
      </c>
      <c r="C394" s="1" t="n">
        <v>46175</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47578-2025</t>
        </is>
      </c>
      <c r="B395" s="1" t="n">
        <v>45931</v>
      </c>
      <c r="C395" s="1" t="n">
        <v>46175</v>
      </c>
      <c r="D395" t="inlineStr">
        <is>
          <t>GOTLANDS LÄN</t>
        </is>
      </c>
      <c r="E395" t="inlineStr">
        <is>
          <t>GOTLAND</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23103-2026</t>
        </is>
      </c>
      <c r="B396" s="1" t="n">
        <v>46161.57108796296</v>
      </c>
      <c r="C396" s="1" t="n">
        <v>46175</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63152-2025</t>
        </is>
      </c>
      <c r="B397" s="1" t="n">
        <v>46010</v>
      </c>
      <c r="C397" s="1" t="n">
        <v>46175</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49724-2025</t>
        </is>
      </c>
      <c r="B398" s="1" t="n">
        <v>45939.83730324074</v>
      </c>
      <c r="C398" s="1" t="n">
        <v>46175</v>
      </c>
      <c r="D398" t="inlineStr">
        <is>
          <t>GOTLANDS LÄN</t>
        </is>
      </c>
      <c r="E398" t="inlineStr">
        <is>
          <t>GOTLAND</t>
        </is>
      </c>
      <c r="F398" t="inlineStr">
        <is>
          <t>Kyrkan</t>
        </is>
      </c>
      <c r="G398" t="n">
        <v>3.1</v>
      </c>
      <c r="H398" t="n">
        <v>0</v>
      </c>
      <c r="I398" t="n">
        <v>0</v>
      </c>
      <c r="J398" t="n">
        <v>0</v>
      </c>
      <c r="K398" t="n">
        <v>0</v>
      </c>
      <c r="L398" t="n">
        <v>0</v>
      </c>
      <c r="M398" t="n">
        <v>0</v>
      </c>
      <c r="N398" t="n">
        <v>0</v>
      </c>
      <c r="O398" t="n">
        <v>0</v>
      </c>
      <c r="P398" t="n">
        <v>0</v>
      </c>
      <c r="Q398" t="n">
        <v>0</v>
      </c>
      <c r="R398" s="2" t="inlineStr"/>
    </row>
    <row r="399" ht="15" customHeight="1">
      <c r="A399" t="inlineStr">
        <is>
          <t>A 49730-2025</t>
        </is>
      </c>
      <c r="B399" s="1" t="n">
        <v>45939.87613425926</v>
      </c>
      <c r="C399" s="1" t="n">
        <v>46175</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46396-2023</t>
        </is>
      </c>
      <c r="B400" s="1" t="n">
        <v>45197</v>
      </c>
      <c r="C400" s="1" t="n">
        <v>46175</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49690-2025</t>
        </is>
      </c>
      <c r="B401" s="1" t="n">
        <v>45939.66730324074</v>
      </c>
      <c r="C401" s="1" t="n">
        <v>46175</v>
      </c>
      <c r="D401" t="inlineStr">
        <is>
          <t>GOTLANDS LÄN</t>
        </is>
      </c>
      <c r="E401" t="inlineStr">
        <is>
          <t>GOTLAND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33011-2025</t>
        </is>
      </c>
      <c r="B402" s="1" t="n">
        <v>45840</v>
      </c>
      <c r="C402" s="1" t="n">
        <v>46175</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17724-2024</t>
        </is>
      </c>
      <c r="B403" s="1" t="n">
        <v>45418.55096064815</v>
      </c>
      <c r="C403" s="1" t="n">
        <v>46175</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50421-2025</t>
        </is>
      </c>
      <c r="B404" s="1" t="n">
        <v>45944.66049768519</v>
      </c>
      <c r="C404" s="1" t="n">
        <v>46175</v>
      </c>
      <c r="D404" t="inlineStr">
        <is>
          <t>GOTLANDS LÄN</t>
        </is>
      </c>
      <c r="E404" t="inlineStr">
        <is>
          <t>GOTLAND</t>
        </is>
      </c>
      <c r="G404" t="n">
        <v>3.9</v>
      </c>
      <c r="H404" t="n">
        <v>0</v>
      </c>
      <c r="I404" t="n">
        <v>0</v>
      </c>
      <c r="J404" t="n">
        <v>0</v>
      </c>
      <c r="K404" t="n">
        <v>0</v>
      </c>
      <c r="L404" t="n">
        <v>0</v>
      </c>
      <c r="M404" t="n">
        <v>0</v>
      </c>
      <c r="N404" t="n">
        <v>0</v>
      </c>
      <c r="O404" t="n">
        <v>0</v>
      </c>
      <c r="P404" t="n">
        <v>0</v>
      </c>
      <c r="Q404" t="n">
        <v>0</v>
      </c>
      <c r="R404" s="2" t="inlineStr"/>
    </row>
    <row r="405" ht="15" customHeight="1">
      <c r="A405" t="inlineStr">
        <is>
          <t>A 34312-2024</t>
        </is>
      </c>
      <c r="B405" s="1" t="n">
        <v>45524.69703703704</v>
      </c>
      <c r="C405" s="1" t="n">
        <v>46175</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23504-2026</t>
        </is>
      </c>
      <c r="B406" s="1" t="n">
        <v>46163.45875</v>
      </c>
      <c r="C406" s="1" t="n">
        <v>46175</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50431-2025</t>
        </is>
      </c>
      <c r="B407" s="1" t="n">
        <v>45944.68453703704</v>
      </c>
      <c r="C407" s="1" t="n">
        <v>46175</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50928-2025</t>
        </is>
      </c>
      <c r="B408" s="1" t="n">
        <v>45946.67896990741</v>
      </c>
      <c r="C408" s="1" t="n">
        <v>46175</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69112-2021</t>
        </is>
      </c>
      <c r="B409" s="1" t="n">
        <v>44530</v>
      </c>
      <c r="C409" s="1" t="n">
        <v>46175</v>
      </c>
      <c r="D409" t="inlineStr">
        <is>
          <t>GOTLANDS LÄN</t>
        </is>
      </c>
      <c r="E409" t="inlineStr">
        <is>
          <t>GOTLAND</t>
        </is>
      </c>
      <c r="G409" t="n">
        <v>4.2</v>
      </c>
      <c r="H409" t="n">
        <v>0</v>
      </c>
      <c r="I409" t="n">
        <v>0</v>
      </c>
      <c r="J409" t="n">
        <v>0</v>
      </c>
      <c r="K409" t="n">
        <v>0</v>
      </c>
      <c r="L409" t="n">
        <v>0</v>
      </c>
      <c r="M409" t="n">
        <v>0</v>
      </c>
      <c r="N409" t="n">
        <v>0</v>
      </c>
      <c r="O409" t="n">
        <v>0</v>
      </c>
      <c r="P409" t="n">
        <v>0</v>
      </c>
      <c r="Q409" t="n">
        <v>0</v>
      </c>
      <c r="R409" s="2" t="inlineStr"/>
    </row>
    <row r="410" ht="15" customHeight="1">
      <c r="A410" t="inlineStr">
        <is>
          <t>A 7638-2025</t>
        </is>
      </c>
      <c r="B410" s="1" t="n">
        <v>45705.77306712963</v>
      </c>
      <c r="C410" s="1" t="n">
        <v>46175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50482-2024</t>
        </is>
      </c>
      <c r="B411" s="1" t="n">
        <v>45601.48114583334</v>
      </c>
      <c r="C411" s="1" t="n">
        <v>46175</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62674-2025</t>
        </is>
      </c>
      <c r="B412" s="1" t="n">
        <v>46008</v>
      </c>
      <c r="C412" s="1" t="n">
        <v>46175</v>
      </c>
      <c r="D412" t="inlineStr">
        <is>
          <t>GOTLANDS LÄN</t>
        </is>
      </c>
      <c r="E412" t="inlineStr">
        <is>
          <t>GOTLAND</t>
        </is>
      </c>
      <c r="G412" t="n">
        <v>5</v>
      </c>
      <c r="H412" t="n">
        <v>0</v>
      </c>
      <c r="I412" t="n">
        <v>0</v>
      </c>
      <c r="J412" t="n">
        <v>0</v>
      </c>
      <c r="K412" t="n">
        <v>0</v>
      </c>
      <c r="L412" t="n">
        <v>0</v>
      </c>
      <c r="M412" t="n">
        <v>0</v>
      </c>
      <c r="N412" t="n">
        <v>0</v>
      </c>
      <c r="O412" t="n">
        <v>0</v>
      </c>
      <c r="P412" t="n">
        <v>0</v>
      </c>
      <c r="Q412" t="n">
        <v>0</v>
      </c>
      <c r="R412" s="2" t="inlineStr"/>
    </row>
    <row r="413" ht="15" customHeight="1">
      <c r="A413" t="inlineStr">
        <is>
          <t>A 6108-2025</t>
        </is>
      </c>
      <c r="B413" s="1" t="n">
        <v>45698.29880787037</v>
      </c>
      <c r="C413" s="1" t="n">
        <v>46175</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46175</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1394-2023</t>
        </is>
      </c>
      <c r="B415" s="1" t="n">
        <v>44936.72997685185</v>
      </c>
      <c r="C415" s="1" t="n">
        <v>46175</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51262-2025</t>
        </is>
      </c>
      <c r="B416" s="1" t="n">
        <v>45949.49872685185</v>
      </c>
      <c r="C416" s="1" t="n">
        <v>46175</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17935-2026</t>
        </is>
      </c>
      <c r="B417" s="1" t="n">
        <v>46122</v>
      </c>
      <c r="C417" s="1" t="n">
        <v>46175</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58230-2024</t>
        </is>
      </c>
      <c r="B418" s="1" t="n">
        <v>45632.51625</v>
      </c>
      <c r="C418" s="1" t="n">
        <v>46175</v>
      </c>
      <c r="D418" t="inlineStr">
        <is>
          <t>GOTLANDS LÄN</t>
        </is>
      </c>
      <c r="E418" t="inlineStr">
        <is>
          <t>GOTLAND</t>
        </is>
      </c>
      <c r="G418" t="n">
        <v>7.3</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46175</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17343-2025</t>
        </is>
      </c>
      <c r="B420" s="1" t="n">
        <v>45756.6687037037</v>
      </c>
      <c r="C420" s="1" t="n">
        <v>46175</v>
      </c>
      <c r="D420" t="inlineStr">
        <is>
          <t>GOTLANDS LÄN</t>
        </is>
      </c>
      <c r="E420" t="inlineStr">
        <is>
          <t>GOTLAND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18938-2025</t>
        </is>
      </c>
      <c r="B421" s="1" t="n">
        <v>45764.49172453704</v>
      </c>
      <c r="C421" s="1" t="n">
        <v>46175</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62836-2025</t>
        </is>
      </c>
      <c r="B422" s="1" t="n">
        <v>46008</v>
      </c>
      <c r="C422" s="1" t="n">
        <v>46175</v>
      </c>
      <c r="D422" t="inlineStr">
        <is>
          <t>GOTLANDS LÄN</t>
        </is>
      </c>
      <c r="E422" t="inlineStr">
        <is>
          <t>GOTLAND</t>
        </is>
      </c>
      <c r="G422" t="n">
        <v>6.5</v>
      </c>
      <c r="H422" t="n">
        <v>0</v>
      </c>
      <c r="I422" t="n">
        <v>0</v>
      </c>
      <c r="J422" t="n">
        <v>0</v>
      </c>
      <c r="K422" t="n">
        <v>0</v>
      </c>
      <c r="L422" t="n">
        <v>0</v>
      </c>
      <c r="M422" t="n">
        <v>0</v>
      </c>
      <c r="N422" t="n">
        <v>0</v>
      </c>
      <c r="O422" t="n">
        <v>0</v>
      </c>
      <c r="P422" t="n">
        <v>0</v>
      </c>
      <c r="Q422" t="n">
        <v>0</v>
      </c>
      <c r="R422" s="2" t="inlineStr"/>
    </row>
    <row r="423" ht="15" customHeight="1">
      <c r="A423" t="inlineStr">
        <is>
          <t>A 25129-2023</t>
        </is>
      </c>
      <c r="B423" s="1" t="n">
        <v>45086.44261574074</v>
      </c>
      <c r="C423" s="1" t="n">
        <v>46175</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24192-2023</t>
        </is>
      </c>
      <c r="B424" s="1" t="n">
        <v>45079</v>
      </c>
      <c r="C424" s="1" t="n">
        <v>46175</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52249-2025</t>
        </is>
      </c>
      <c r="B425" s="1" t="n">
        <v>45953.48637731482</v>
      </c>
      <c r="C425" s="1" t="n">
        <v>46175</v>
      </c>
      <c r="D425" t="inlineStr">
        <is>
          <t>GOTLANDS LÄN</t>
        </is>
      </c>
      <c r="E425" t="inlineStr">
        <is>
          <t>GOTLAND</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30489-2025</t>
        </is>
      </c>
      <c r="B426" s="1" t="n">
        <v>45830</v>
      </c>
      <c r="C426" s="1" t="n">
        <v>46175</v>
      </c>
      <c r="D426" t="inlineStr">
        <is>
          <t>GOTLANDS LÄN</t>
        </is>
      </c>
      <c r="E426" t="inlineStr">
        <is>
          <t>GOTLAND</t>
        </is>
      </c>
      <c r="G426" t="n">
        <v>4.6</v>
      </c>
      <c r="H426" t="n">
        <v>0</v>
      </c>
      <c r="I426" t="n">
        <v>0</v>
      </c>
      <c r="J426" t="n">
        <v>0</v>
      </c>
      <c r="K426" t="n">
        <v>0</v>
      </c>
      <c r="L426" t="n">
        <v>0</v>
      </c>
      <c r="M426" t="n">
        <v>0</v>
      </c>
      <c r="N426" t="n">
        <v>0</v>
      </c>
      <c r="O426" t="n">
        <v>0</v>
      </c>
      <c r="P426" t="n">
        <v>0</v>
      </c>
      <c r="Q426" t="n">
        <v>0</v>
      </c>
      <c r="R426" s="2" t="inlineStr"/>
    </row>
    <row r="427" ht="15" customHeight="1">
      <c r="A427" t="inlineStr">
        <is>
          <t>A 5386-2023</t>
        </is>
      </c>
      <c r="B427" s="1" t="n">
        <v>44959</v>
      </c>
      <c r="C427" s="1" t="n">
        <v>46175</v>
      </c>
      <c r="D427" t="inlineStr">
        <is>
          <t>GOTLANDS LÄN</t>
        </is>
      </c>
      <c r="E427" t="inlineStr">
        <is>
          <t>GOTLAND</t>
        </is>
      </c>
      <c r="G427" t="n">
        <v>5.4</v>
      </c>
      <c r="H427" t="n">
        <v>0</v>
      </c>
      <c r="I427" t="n">
        <v>0</v>
      </c>
      <c r="J427" t="n">
        <v>0</v>
      </c>
      <c r="K427" t="n">
        <v>0</v>
      </c>
      <c r="L427" t="n">
        <v>0</v>
      </c>
      <c r="M427" t="n">
        <v>0</v>
      </c>
      <c r="N427" t="n">
        <v>0</v>
      </c>
      <c r="O427" t="n">
        <v>0</v>
      </c>
      <c r="P427" t="n">
        <v>0</v>
      </c>
      <c r="Q427" t="n">
        <v>0</v>
      </c>
      <c r="R427" s="2" t="inlineStr"/>
    </row>
    <row r="428" ht="15" customHeight="1">
      <c r="A428" t="inlineStr">
        <is>
          <t>A 7026-2023</t>
        </is>
      </c>
      <c r="B428" s="1" t="n">
        <v>44968.30340277778</v>
      </c>
      <c r="C428" s="1" t="n">
        <v>46175</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20855-2023</t>
        </is>
      </c>
      <c r="B429" s="1" t="n">
        <v>45058.82172453704</v>
      </c>
      <c r="C429" s="1" t="n">
        <v>46175</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52637-2025</t>
        </is>
      </c>
      <c r="B430" s="1" t="n">
        <v>45954.75099537037</v>
      </c>
      <c r="C430" s="1" t="n">
        <v>46175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1000-2024</t>
        </is>
      </c>
      <c r="B431" s="1" t="n">
        <v>45301.63371527778</v>
      </c>
      <c r="C431" s="1" t="n">
        <v>46175</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1010-2024</t>
        </is>
      </c>
      <c r="B432" s="1" t="n">
        <v>45301</v>
      </c>
      <c r="C432" s="1" t="n">
        <v>46175</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20307-2025</t>
        </is>
      </c>
      <c r="B433" s="1" t="n">
        <v>45774.95546296296</v>
      </c>
      <c r="C433" s="1" t="n">
        <v>46175</v>
      </c>
      <c r="D433" t="inlineStr">
        <is>
          <t>GOTLANDS LÄN</t>
        </is>
      </c>
      <c r="E433" t="inlineStr">
        <is>
          <t>GOTLAND</t>
        </is>
      </c>
      <c r="G433" t="n">
        <v>6.8</v>
      </c>
      <c r="H433" t="n">
        <v>0</v>
      </c>
      <c r="I433" t="n">
        <v>0</v>
      </c>
      <c r="J433" t="n">
        <v>0</v>
      </c>
      <c r="K433" t="n">
        <v>0</v>
      </c>
      <c r="L433" t="n">
        <v>0</v>
      </c>
      <c r="M433" t="n">
        <v>0</v>
      </c>
      <c r="N433" t="n">
        <v>0</v>
      </c>
      <c r="O433" t="n">
        <v>0</v>
      </c>
      <c r="P433" t="n">
        <v>0</v>
      </c>
      <c r="Q433" t="n">
        <v>0</v>
      </c>
      <c r="R433" s="2" t="inlineStr"/>
    </row>
    <row r="434" ht="15" customHeight="1">
      <c r="A434" t="inlineStr">
        <is>
          <t>A 7625-2026</t>
        </is>
      </c>
      <c r="B434" s="1" t="n">
        <v>46062.35135416667</v>
      </c>
      <c r="C434" s="1" t="n">
        <v>46175</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53569-2025</t>
        </is>
      </c>
      <c r="B435" s="1" t="n">
        <v>45960.41155092593</v>
      </c>
      <c r="C435" s="1" t="n">
        <v>46175</v>
      </c>
      <c r="D435" t="inlineStr">
        <is>
          <t>GOTLANDS LÄN</t>
        </is>
      </c>
      <c r="E435" t="inlineStr">
        <is>
          <t>GOTLAND</t>
        </is>
      </c>
      <c r="F435" t="inlineStr">
        <is>
          <t>Övriga Aktiebolag</t>
        </is>
      </c>
      <c r="G435" t="n">
        <v>11.3</v>
      </c>
      <c r="H435" t="n">
        <v>0</v>
      </c>
      <c r="I435" t="n">
        <v>0</v>
      </c>
      <c r="J435" t="n">
        <v>0</v>
      </c>
      <c r="K435" t="n">
        <v>0</v>
      </c>
      <c r="L435" t="n">
        <v>0</v>
      </c>
      <c r="M435" t="n">
        <v>0</v>
      </c>
      <c r="N435" t="n">
        <v>0</v>
      </c>
      <c r="O435" t="n">
        <v>0</v>
      </c>
      <c r="P435" t="n">
        <v>0</v>
      </c>
      <c r="Q435" t="n">
        <v>0</v>
      </c>
      <c r="R435" s="2" t="inlineStr"/>
    </row>
    <row r="436" ht="15" customHeight="1">
      <c r="A436" t="inlineStr">
        <is>
          <t>A 53577-2025</t>
        </is>
      </c>
      <c r="B436" s="1" t="n">
        <v>45960.42224537037</v>
      </c>
      <c r="C436" s="1" t="n">
        <v>46175</v>
      </c>
      <c r="D436" t="inlineStr">
        <is>
          <t>GOTLANDS LÄN</t>
        </is>
      </c>
      <c r="E436" t="inlineStr">
        <is>
          <t>GOTLAND</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4639-2026</t>
        </is>
      </c>
      <c r="B437" s="1" t="n">
        <v>46048.39880787037</v>
      </c>
      <c r="C437" s="1" t="n">
        <v>46175</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19322-2026</t>
        </is>
      </c>
      <c r="B438" s="1" t="n">
        <v>46129</v>
      </c>
      <c r="C438" s="1" t="n">
        <v>46175</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47762-2023</t>
        </is>
      </c>
      <c r="B439" s="1" t="n">
        <v>45203.86256944444</v>
      </c>
      <c r="C439" s="1" t="n">
        <v>46175</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5863-2026</t>
        </is>
      </c>
      <c r="B440" s="1" t="n">
        <v>46052</v>
      </c>
      <c r="C440" s="1" t="n">
        <v>46175</v>
      </c>
      <c r="D440" t="inlineStr">
        <is>
          <t>GOTLANDS LÄN</t>
        </is>
      </c>
      <c r="E440" t="inlineStr">
        <is>
          <t>GOTLAND</t>
        </is>
      </c>
      <c r="G440" t="n">
        <v>1.8</v>
      </c>
      <c r="H440" t="n">
        <v>0</v>
      </c>
      <c r="I440" t="n">
        <v>0</v>
      </c>
      <c r="J440" t="n">
        <v>0</v>
      </c>
      <c r="K440" t="n">
        <v>0</v>
      </c>
      <c r="L440" t="n">
        <v>0</v>
      </c>
      <c r="M440" t="n">
        <v>0</v>
      </c>
      <c r="N440" t="n">
        <v>0</v>
      </c>
      <c r="O440" t="n">
        <v>0</v>
      </c>
      <c r="P440" t="n">
        <v>0</v>
      </c>
      <c r="Q440" t="n">
        <v>0</v>
      </c>
      <c r="R440" s="2" t="inlineStr"/>
    </row>
    <row r="441" ht="15" customHeight="1">
      <c r="A441" t="inlineStr">
        <is>
          <t>A 18804-2026</t>
        </is>
      </c>
      <c r="B441" s="1" t="n">
        <v>46128.62366898148</v>
      </c>
      <c r="C441" s="1" t="n">
        <v>46175</v>
      </c>
      <c r="D441" t="inlineStr">
        <is>
          <t>GOTLANDS LÄN</t>
        </is>
      </c>
      <c r="E441" t="inlineStr">
        <is>
          <t>GOTLAND</t>
        </is>
      </c>
      <c r="F441" t="inlineStr">
        <is>
          <t>Kyrkan</t>
        </is>
      </c>
      <c r="G441" t="n">
        <v>2.6</v>
      </c>
      <c r="H441" t="n">
        <v>0</v>
      </c>
      <c r="I441" t="n">
        <v>0</v>
      </c>
      <c r="J441" t="n">
        <v>0</v>
      </c>
      <c r="K441" t="n">
        <v>0</v>
      </c>
      <c r="L441" t="n">
        <v>0</v>
      </c>
      <c r="M441" t="n">
        <v>0</v>
      </c>
      <c r="N441" t="n">
        <v>0</v>
      </c>
      <c r="O441" t="n">
        <v>0</v>
      </c>
      <c r="P441" t="n">
        <v>0</v>
      </c>
      <c r="Q441" t="n">
        <v>0</v>
      </c>
      <c r="R441" s="2" t="inlineStr"/>
    </row>
    <row r="442" ht="15" customHeight="1">
      <c r="A442" t="inlineStr">
        <is>
          <t>A 46545-2024</t>
        </is>
      </c>
      <c r="B442" s="1" t="n">
        <v>45582.65831018519</v>
      </c>
      <c r="C442" s="1" t="n">
        <v>46175</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17943-2026</t>
        </is>
      </c>
      <c r="B443" s="1" t="n">
        <v>46122</v>
      </c>
      <c r="C443" s="1" t="n">
        <v>46175</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24448-2026</t>
        </is>
      </c>
      <c r="B444" s="1" t="n">
        <v>46170.35354166666</v>
      </c>
      <c r="C444" s="1" t="n">
        <v>46175</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60086-2022</t>
        </is>
      </c>
      <c r="B445" s="1" t="n">
        <v>44909</v>
      </c>
      <c r="C445" s="1" t="n">
        <v>46175</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1839-2026</t>
        </is>
      </c>
      <c r="B446" s="1" t="n">
        <v>46035.3942824074</v>
      </c>
      <c r="C446" s="1" t="n">
        <v>46175</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46175</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46175</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20356-2022</t>
        </is>
      </c>
      <c r="B449" s="1" t="n">
        <v>44699</v>
      </c>
      <c r="C449" s="1" t="n">
        <v>46175</v>
      </c>
      <c r="D449" t="inlineStr">
        <is>
          <t>GOTLANDS LÄN</t>
        </is>
      </c>
      <c r="E449" t="inlineStr">
        <is>
          <t>GOTLAND</t>
        </is>
      </c>
      <c r="F449" t="inlineStr">
        <is>
          <t>Övriga Aktiebolag</t>
        </is>
      </c>
      <c r="G449" t="n">
        <v>4.4</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46175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44949-2023</t>
        </is>
      </c>
      <c r="B451" s="1" t="n">
        <v>45190.69520833333</v>
      </c>
      <c r="C451" s="1" t="n">
        <v>46175</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37222-2021</t>
        </is>
      </c>
      <c r="B452" s="1" t="n">
        <v>44396</v>
      </c>
      <c r="C452" s="1" t="n">
        <v>46175</v>
      </c>
      <c r="D452" t="inlineStr">
        <is>
          <t>GOTLANDS LÄN</t>
        </is>
      </c>
      <c r="E452" t="inlineStr">
        <is>
          <t>GOTLAND</t>
        </is>
      </c>
      <c r="G452" t="n">
        <v>3</v>
      </c>
      <c r="H452" t="n">
        <v>0</v>
      </c>
      <c r="I452" t="n">
        <v>0</v>
      </c>
      <c r="J452" t="n">
        <v>0</v>
      </c>
      <c r="K452" t="n">
        <v>0</v>
      </c>
      <c r="L452" t="n">
        <v>0</v>
      </c>
      <c r="M452" t="n">
        <v>0</v>
      </c>
      <c r="N452" t="n">
        <v>0</v>
      </c>
      <c r="O452" t="n">
        <v>0</v>
      </c>
      <c r="P452" t="n">
        <v>0</v>
      </c>
      <c r="Q452" t="n">
        <v>0</v>
      </c>
      <c r="R452" s="2" t="inlineStr"/>
    </row>
    <row r="453" ht="15" customHeight="1">
      <c r="A453" t="inlineStr">
        <is>
          <t>A 3964-2024</t>
        </is>
      </c>
      <c r="B453" s="1" t="n">
        <v>45322</v>
      </c>
      <c r="C453" s="1" t="n">
        <v>46175</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45084-2024</t>
        </is>
      </c>
      <c r="B454" s="1" t="n">
        <v>45575</v>
      </c>
      <c r="C454" s="1" t="n">
        <v>46175</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56799-2025</t>
        </is>
      </c>
      <c r="B455" s="1" t="n">
        <v>45978.43392361111</v>
      </c>
      <c r="C455" s="1" t="n">
        <v>46175</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5217-2023</t>
        </is>
      </c>
      <c r="B456" s="1" t="n">
        <v>44959.39582175926</v>
      </c>
      <c r="C456" s="1" t="n">
        <v>46175</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56688-2025</t>
        </is>
      </c>
      <c r="B457" s="1" t="n">
        <v>45975.84331018518</v>
      </c>
      <c r="C457" s="1" t="n">
        <v>46175</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1677-2023</t>
        </is>
      </c>
      <c r="B458" s="1" t="n">
        <v>44938</v>
      </c>
      <c r="C458" s="1" t="n">
        <v>46175</v>
      </c>
      <c r="D458" t="inlineStr">
        <is>
          <t>GOTLANDS LÄN</t>
        </is>
      </c>
      <c r="E458" t="inlineStr">
        <is>
          <t>GOTLAND</t>
        </is>
      </c>
      <c r="G458" t="n">
        <v>1.6</v>
      </c>
      <c r="H458" t="n">
        <v>0</v>
      </c>
      <c r="I458" t="n">
        <v>0</v>
      </c>
      <c r="J458" t="n">
        <v>0</v>
      </c>
      <c r="K458" t="n">
        <v>0</v>
      </c>
      <c r="L458" t="n">
        <v>0</v>
      </c>
      <c r="M458" t="n">
        <v>0</v>
      </c>
      <c r="N458" t="n">
        <v>0</v>
      </c>
      <c r="O458" t="n">
        <v>0</v>
      </c>
      <c r="P458" t="n">
        <v>0</v>
      </c>
      <c r="Q458" t="n">
        <v>0</v>
      </c>
      <c r="R458" s="2" t="inlineStr"/>
    </row>
    <row r="459" ht="15" customHeight="1">
      <c r="A459" t="inlineStr">
        <is>
          <t>A 45244-2024</t>
        </is>
      </c>
      <c r="B459" s="1" t="n">
        <v>45576</v>
      </c>
      <c r="C459" s="1" t="n">
        <v>46175</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8260-2023</t>
        </is>
      </c>
      <c r="B460" s="1" t="n">
        <v>44974.61608796296</v>
      </c>
      <c r="C460" s="1" t="n">
        <v>46175</v>
      </c>
      <c r="D460" t="inlineStr">
        <is>
          <t>GOTLANDS LÄN</t>
        </is>
      </c>
      <c r="E460" t="inlineStr">
        <is>
          <t>GOTLAND</t>
        </is>
      </c>
      <c r="G460" t="n">
        <v>2.9</v>
      </c>
      <c r="H460" t="n">
        <v>0</v>
      </c>
      <c r="I460" t="n">
        <v>0</v>
      </c>
      <c r="J460" t="n">
        <v>0</v>
      </c>
      <c r="K460" t="n">
        <v>0</v>
      </c>
      <c r="L460" t="n">
        <v>0</v>
      </c>
      <c r="M460" t="n">
        <v>0</v>
      </c>
      <c r="N460" t="n">
        <v>0</v>
      </c>
      <c r="O460" t="n">
        <v>0</v>
      </c>
      <c r="P460" t="n">
        <v>0</v>
      </c>
      <c r="Q460" t="n">
        <v>0</v>
      </c>
      <c r="R460" s="2" t="inlineStr"/>
    </row>
    <row r="461" ht="15" customHeight="1">
      <c r="A461" t="inlineStr">
        <is>
          <t>A 64969-2023</t>
        </is>
      </c>
      <c r="B461" s="1" t="n">
        <v>45284.54009259259</v>
      </c>
      <c r="C461" s="1" t="n">
        <v>46175</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48843-2024</t>
        </is>
      </c>
      <c r="B462" s="1" t="n">
        <v>45593</v>
      </c>
      <c r="C462" s="1" t="n">
        <v>46175</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17541-2024</t>
        </is>
      </c>
      <c r="B463" s="1" t="n">
        <v>45415</v>
      </c>
      <c r="C463" s="1" t="n">
        <v>46175</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2241-2025</t>
        </is>
      </c>
      <c r="B464" s="1" t="n">
        <v>45673.48710648148</v>
      </c>
      <c r="C464" s="1" t="n">
        <v>46175</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15434-2024</t>
        </is>
      </c>
      <c r="B465" s="1" t="n">
        <v>45401.38836805556</v>
      </c>
      <c r="C465" s="1" t="n">
        <v>46175</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59197-2025</t>
        </is>
      </c>
      <c r="B466" s="1" t="n">
        <v>45988.59846064815</v>
      </c>
      <c r="C466" s="1" t="n">
        <v>46175</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5943-2024</t>
        </is>
      </c>
      <c r="B467" s="1" t="n">
        <v>45336</v>
      </c>
      <c r="C467" s="1" t="n">
        <v>46175</v>
      </c>
      <c r="D467" t="inlineStr">
        <is>
          <t>GOTLANDS LÄN</t>
        </is>
      </c>
      <c r="E467" t="inlineStr">
        <is>
          <t>GOTLAND</t>
        </is>
      </c>
      <c r="G467" t="n">
        <v>4.3</v>
      </c>
      <c r="H467" t="n">
        <v>0</v>
      </c>
      <c r="I467" t="n">
        <v>0</v>
      </c>
      <c r="J467" t="n">
        <v>0</v>
      </c>
      <c r="K467" t="n">
        <v>0</v>
      </c>
      <c r="L467" t="n">
        <v>0</v>
      </c>
      <c r="M467" t="n">
        <v>0</v>
      </c>
      <c r="N467" t="n">
        <v>0</v>
      </c>
      <c r="O467" t="n">
        <v>0</v>
      </c>
      <c r="P467" t="n">
        <v>0</v>
      </c>
      <c r="Q467" t="n">
        <v>0</v>
      </c>
      <c r="R467" s="2" t="inlineStr"/>
    </row>
    <row r="468" ht="15" customHeight="1">
      <c r="A468" t="inlineStr">
        <is>
          <t>A 54073-2022</t>
        </is>
      </c>
      <c r="B468" s="1" t="n">
        <v>44881.50380787037</v>
      </c>
      <c r="C468" s="1" t="n">
        <v>46175</v>
      </c>
      <c r="D468" t="inlineStr">
        <is>
          <t>GOTLANDS LÄN</t>
        </is>
      </c>
      <c r="E468" t="inlineStr">
        <is>
          <t>GOTLAND</t>
        </is>
      </c>
      <c r="G468" t="n">
        <v>3.8</v>
      </c>
      <c r="H468" t="n">
        <v>0</v>
      </c>
      <c r="I468" t="n">
        <v>0</v>
      </c>
      <c r="J468" t="n">
        <v>0</v>
      </c>
      <c r="K468" t="n">
        <v>0</v>
      </c>
      <c r="L468" t="n">
        <v>0</v>
      </c>
      <c r="M468" t="n">
        <v>0</v>
      </c>
      <c r="N468" t="n">
        <v>0</v>
      </c>
      <c r="O468" t="n">
        <v>0</v>
      </c>
      <c r="P468" t="n">
        <v>0</v>
      </c>
      <c r="Q468" t="n">
        <v>0</v>
      </c>
      <c r="R468" s="2" t="inlineStr"/>
    </row>
    <row r="469" ht="15" customHeight="1">
      <c r="A469" t="inlineStr">
        <is>
          <t>A 16361-2024</t>
        </is>
      </c>
      <c r="B469" s="1" t="n">
        <v>45407</v>
      </c>
      <c r="C469" s="1" t="n">
        <v>46175</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41038-2023</t>
        </is>
      </c>
      <c r="B470" s="1" t="n">
        <v>45173.60959490741</v>
      </c>
      <c r="C470" s="1" t="n">
        <v>46175</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36319-2025</t>
        </is>
      </c>
      <c r="B471" s="1" t="n">
        <v>45868</v>
      </c>
      <c r="C471" s="1" t="n">
        <v>46175</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14427-2024</t>
        </is>
      </c>
      <c r="B472" s="1" t="n">
        <v>45394</v>
      </c>
      <c r="C472" s="1" t="n">
        <v>46175</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31802-2024</t>
        </is>
      </c>
      <c r="B473" s="1" t="n">
        <v>45509</v>
      </c>
      <c r="C473" s="1" t="n">
        <v>46175</v>
      </c>
      <c r="D473" t="inlineStr">
        <is>
          <t>GOTLANDS LÄN</t>
        </is>
      </c>
      <c r="E473" t="inlineStr">
        <is>
          <t>GOTLAND</t>
        </is>
      </c>
      <c r="G473" t="n">
        <v>2.8</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46175</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12846-2025</t>
        </is>
      </c>
      <c r="B475" s="1" t="n">
        <v>45733.65049768519</v>
      </c>
      <c r="C475" s="1" t="n">
        <v>46175</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46949-2024</t>
        </is>
      </c>
      <c r="B476" s="1" t="n">
        <v>45585</v>
      </c>
      <c r="C476" s="1" t="n">
        <v>46175</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44624.57945601852</v>
      </c>
      <c r="C477" s="1" t="n">
        <v>46175</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62066-2025</t>
        </is>
      </c>
      <c r="B478" s="1" t="n">
        <v>46006.34738425926</v>
      </c>
      <c r="C478" s="1" t="n">
        <v>46175</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62103-2025</t>
        </is>
      </c>
      <c r="B479" s="1" t="n">
        <v>46006</v>
      </c>
      <c r="C479" s="1" t="n">
        <v>46175</v>
      </c>
      <c r="D479" t="inlineStr">
        <is>
          <t>GOTLANDS LÄN</t>
        </is>
      </c>
      <c r="E479" t="inlineStr">
        <is>
          <t>GOTLAND</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11634-2024</t>
        </is>
      </c>
      <c r="B480" s="1" t="n">
        <v>45373</v>
      </c>
      <c r="C480" s="1" t="n">
        <v>46175</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1351-2025</t>
        </is>
      </c>
      <c r="B481" s="1" t="n">
        <v>45667.62246527777</v>
      </c>
      <c r="C481" s="1" t="n">
        <v>46175</v>
      </c>
      <c r="D481" t="inlineStr">
        <is>
          <t>GOTLANDS LÄN</t>
        </is>
      </c>
      <c r="E481" t="inlineStr">
        <is>
          <t>GOTLAND</t>
        </is>
      </c>
      <c r="G481" t="n">
        <v>1.3</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46175</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63002-2025</t>
        </is>
      </c>
      <c r="B483" s="1" t="n">
        <v>46009.56564814815</v>
      </c>
      <c r="C483" s="1" t="n">
        <v>46175</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49874-2024</t>
        </is>
      </c>
      <c r="B484" s="1" t="n">
        <v>45597.49274305555</v>
      </c>
      <c r="C484" s="1" t="n">
        <v>46175</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46400-2023</t>
        </is>
      </c>
      <c r="B485" s="1" t="n">
        <v>45197.49290509259</v>
      </c>
      <c r="C485" s="1" t="n">
        <v>46175</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9875-2025</t>
        </is>
      </c>
      <c r="B486" s="1" t="n">
        <v>45716</v>
      </c>
      <c r="C486" s="1" t="n">
        <v>46175</v>
      </c>
      <c r="D486" t="inlineStr">
        <is>
          <t>GOTLANDS LÄN</t>
        </is>
      </c>
      <c r="E486" t="inlineStr">
        <is>
          <t>GOTLAND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38649-2025</t>
        </is>
      </c>
      <c r="B487" s="1" t="n">
        <v>45884</v>
      </c>
      <c r="C487" s="1" t="n">
        <v>46175</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61078-2025</t>
        </is>
      </c>
      <c r="B488" s="1" t="n">
        <v>46000</v>
      </c>
      <c r="C488" s="1" t="n">
        <v>46175</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46175</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46175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36-2026</t>
        </is>
      </c>
      <c r="B491" s="1" t="n">
        <v>46024.38886574074</v>
      </c>
      <c r="C491" s="1" t="n">
        <v>46175</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22897-2023</t>
        </is>
      </c>
      <c r="B492" s="1" t="n">
        <v>45072.55239583334</v>
      </c>
      <c r="C492" s="1" t="n">
        <v>46175</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61897-2024</t>
        </is>
      </c>
      <c r="B493" s="1" t="n">
        <v>45652.75685185185</v>
      </c>
      <c r="C493" s="1" t="n">
        <v>46175</v>
      </c>
      <c r="D493" t="inlineStr">
        <is>
          <t>GOTLANDS LÄN</t>
        </is>
      </c>
      <c r="E493" t="inlineStr">
        <is>
          <t>GOTLAND</t>
        </is>
      </c>
      <c r="G493" t="n">
        <v>6.4</v>
      </c>
      <c r="H493" t="n">
        <v>0</v>
      </c>
      <c r="I493" t="n">
        <v>0</v>
      </c>
      <c r="J493" t="n">
        <v>0</v>
      </c>
      <c r="K493" t="n">
        <v>0</v>
      </c>
      <c r="L493" t="n">
        <v>0</v>
      </c>
      <c r="M493" t="n">
        <v>0</v>
      </c>
      <c r="N493" t="n">
        <v>0</v>
      </c>
      <c r="O493" t="n">
        <v>0</v>
      </c>
      <c r="P493" t="n">
        <v>0</v>
      </c>
      <c r="Q493" t="n">
        <v>0</v>
      </c>
      <c r="R493" s="2" t="inlineStr"/>
    </row>
    <row r="494" ht="15" customHeight="1">
      <c r="A494" t="inlineStr">
        <is>
          <t>A 49962-2023</t>
        </is>
      </c>
      <c r="B494" s="1" t="n">
        <v>45215.38775462963</v>
      </c>
      <c r="C494" s="1" t="n">
        <v>46175</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20165-2022</t>
        </is>
      </c>
      <c r="B495" s="1" t="n">
        <v>44698.49854166667</v>
      </c>
      <c r="C495" s="1" t="n">
        <v>46175</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1355-2026</t>
        </is>
      </c>
      <c r="B496" s="1" t="n">
        <v>46031.59909722222</v>
      </c>
      <c r="C496" s="1" t="n">
        <v>46175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46175</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12032-2025</t>
        </is>
      </c>
      <c r="B498" s="1" t="n">
        <v>45728.64472222222</v>
      </c>
      <c r="C498" s="1" t="n">
        <v>46175</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38787-2023</t>
        </is>
      </c>
      <c r="B499" s="1" t="n">
        <v>45163</v>
      </c>
      <c r="C499" s="1" t="n">
        <v>46175</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1898-2026</t>
        </is>
      </c>
      <c r="B500" s="1" t="n">
        <v>46035.52024305556</v>
      </c>
      <c r="C500" s="1" t="n">
        <v>46175</v>
      </c>
      <c r="D500" t="inlineStr">
        <is>
          <t>GOTLANDS LÄN</t>
        </is>
      </c>
      <c r="E500" t="inlineStr">
        <is>
          <t>GOTLAND</t>
        </is>
      </c>
      <c r="G500" t="n">
        <v>3.7</v>
      </c>
      <c r="H500" t="n">
        <v>0</v>
      </c>
      <c r="I500" t="n">
        <v>0</v>
      </c>
      <c r="J500" t="n">
        <v>0</v>
      </c>
      <c r="K500" t="n">
        <v>0</v>
      </c>
      <c r="L500" t="n">
        <v>0</v>
      </c>
      <c r="M500" t="n">
        <v>0</v>
      </c>
      <c r="N500" t="n">
        <v>0</v>
      </c>
      <c r="O500" t="n">
        <v>0</v>
      </c>
      <c r="P500" t="n">
        <v>0</v>
      </c>
      <c r="Q500" t="n">
        <v>0</v>
      </c>
      <c r="R500" s="2" t="inlineStr"/>
    </row>
    <row r="501" ht="15" customHeight="1">
      <c r="A501" t="inlineStr">
        <is>
          <t>A 43231-2023</t>
        </is>
      </c>
      <c r="B501" s="1" t="n">
        <v>45183.47025462963</v>
      </c>
      <c r="C501" s="1" t="n">
        <v>46175</v>
      </c>
      <c r="D501" t="inlineStr">
        <is>
          <t>GOTLANDS LÄN</t>
        </is>
      </c>
      <c r="E501" t="inlineStr">
        <is>
          <t>GOTLAND</t>
        </is>
      </c>
      <c r="G501" t="n">
        <v>3.6</v>
      </c>
      <c r="H501" t="n">
        <v>0</v>
      </c>
      <c r="I501" t="n">
        <v>0</v>
      </c>
      <c r="J501" t="n">
        <v>0</v>
      </c>
      <c r="K501" t="n">
        <v>0</v>
      </c>
      <c r="L501" t="n">
        <v>0</v>
      </c>
      <c r="M501" t="n">
        <v>0</v>
      </c>
      <c r="N501" t="n">
        <v>0</v>
      </c>
      <c r="O501" t="n">
        <v>0</v>
      </c>
      <c r="P501" t="n">
        <v>0</v>
      </c>
      <c r="Q501" t="n">
        <v>0</v>
      </c>
      <c r="R501" s="2" t="inlineStr"/>
    </row>
    <row r="502" ht="15" customHeight="1">
      <c r="A502" t="inlineStr">
        <is>
          <t>A 17532-2024</t>
        </is>
      </c>
      <c r="B502" s="1" t="n">
        <v>45415</v>
      </c>
      <c r="C502" s="1" t="n">
        <v>46175</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2415-2026</t>
        </is>
      </c>
      <c r="B503" s="1" t="n">
        <v>46036.76203703704</v>
      </c>
      <c r="C503" s="1" t="n">
        <v>46175</v>
      </c>
      <c r="D503" t="inlineStr">
        <is>
          <t>GOTLANDS LÄN</t>
        </is>
      </c>
      <c r="E503" t="inlineStr">
        <is>
          <t>GOTLAND</t>
        </is>
      </c>
      <c r="G503" t="n">
        <v>6.9</v>
      </c>
      <c r="H503" t="n">
        <v>0</v>
      </c>
      <c r="I503" t="n">
        <v>0</v>
      </c>
      <c r="J503" t="n">
        <v>0</v>
      </c>
      <c r="K503" t="n">
        <v>0</v>
      </c>
      <c r="L503" t="n">
        <v>0</v>
      </c>
      <c r="M503" t="n">
        <v>0</v>
      </c>
      <c r="N503" t="n">
        <v>0</v>
      </c>
      <c r="O503" t="n">
        <v>0</v>
      </c>
      <c r="P503" t="n">
        <v>0</v>
      </c>
      <c r="Q503" t="n">
        <v>0</v>
      </c>
      <c r="R503" s="2" t="inlineStr"/>
    </row>
    <row r="504" ht="15" customHeight="1">
      <c r="A504" t="inlineStr">
        <is>
          <t>A 3935-2025</t>
        </is>
      </c>
      <c r="B504" s="1" t="n">
        <v>45684.46070601852</v>
      </c>
      <c r="C504" s="1" t="n">
        <v>46175</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3253-2026</t>
        </is>
      </c>
      <c r="B505" s="1" t="n">
        <v>46041.58902777778</v>
      </c>
      <c r="C505" s="1" t="n">
        <v>46175</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20225-2025</t>
        </is>
      </c>
      <c r="B506" s="1" t="n">
        <v>45772.65802083333</v>
      </c>
      <c r="C506" s="1" t="n">
        <v>46175</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883-2025</t>
        </is>
      </c>
      <c r="B507" s="1" t="n">
        <v>45665</v>
      </c>
      <c r="C507" s="1" t="n">
        <v>46175</v>
      </c>
      <c r="D507" t="inlineStr">
        <is>
          <t>GOTLANDS LÄN</t>
        </is>
      </c>
      <c r="E507" t="inlineStr">
        <is>
          <t>GOTLAND</t>
        </is>
      </c>
      <c r="G507" t="n">
        <v>1.3</v>
      </c>
      <c r="H507" t="n">
        <v>0</v>
      </c>
      <c r="I507" t="n">
        <v>0</v>
      </c>
      <c r="J507" t="n">
        <v>0</v>
      </c>
      <c r="K507" t="n">
        <v>0</v>
      </c>
      <c r="L507" t="n">
        <v>0</v>
      </c>
      <c r="M507" t="n">
        <v>0</v>
      </c>
      <c r="N507" t="n">
        <v>0</v>
      </c>
      <c r="O507" t="n">
        <v>0</v>
      </c>
      <c r="P507" t="n">
        <v>0</v>
      </c>
      <c r="Q507" t="n">
        <v>0</v>
      </c>
      <c r="R507" s="2" t="inlineStr"/>
    </row>
    <row r="508" ht="15" customHeight="1">
      <c r="A508" t="inlineStr">
        <is>
          <t>A 4646-2026</t>
        </is>
      </c>
      <c r="B508" s="1" t="n">
        <v>46048.40357638889</v>
      </c>
      <c r="C508" s="1" t="n">
        <v>46175</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4634-2026</t>
        </is>
      </c>
      <c r="B509" s="1" t="n">
        <v>46048.39304398148</v>
      </c>
      <c r="C509" s="1" t="n">
        <v>46175</v>
      </c>
      <c r="D509" t="inlineStr">
        <is>
          <t>GOTLANDS LÄN</t>
        </is>
      </c>
      <c r="E509" t="inlineStr">
        <is>
          <t>GOTLAND</t>
        </is>
      </c>
      <c r="G509" t="n">
        <v>7.8</v>
      </c>
      <c r="H509" t="n">
        <v>0</v>
      </c>
      <c r="I509" t="n">
        <v>0</v>
      </c>
      <c r="J509" t="n">
        <v>0</v>
      </c>
      <c r="K509" t="n">
        <v>0</v>
      </c>
      <c r="L509" t="n">
        <v>0</v>
      </c>
      <c r="M509" t="n">
        <v>0</v>
      </c>
      <c r="N509" t="n">
        <v>0</v>
      </c>
      <c r="O509" t="n">
        <v>0</v>
      </c>
      <c r="P509" t="n">
        <v>0</v>
      </c>
      <c r="Q509" t="n">
        <v>0</v>
      </c>
      <c r="R509" s="2" t="inlineStr"/>
    </row>
    <row r="510" ht="15" customHeight="1">
      <c r="A510" t="inlineStr">
        <is>
          <t>A 1066-2024</t>
        </is>
      </c>
      <c r="B510" s="1" t="n">
        <v>45302.285</v>
      </c>
      <c r="C510" s="1" t="n">
        <v>46175</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46175</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4670-2026</t>
        </is>
      </c>
      <c r="B512" s="1" t="n">
        <v>46048.41733796296</v>
      </c>
      <c r="C512" s="1" t="n">
        <v>46175</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56009-2024</t>
        </is>
      </c>
      <c r="B513" s="1" t="n">
        <v>45623.80864583333</v>
      </c>
      <c r="C513" s="1" t="n">
        <v>46175</v>
      </c>
      <c r="D513" t="inlineStr">
        <is>
          <t>GOTLANDS LÄN</t>
        </is>
      </c>
      <c r="E513" t="inlineStr">
        <is>
          <t>GOTLAND</t>
        </is>
      </c>
      <c r="G513" t="n">
        <v>2.8</v>
      </c>
      <c r="H513" t="n">
        <v>0</v>
      </c>
      <c r="I513" t="n">
        <v>0</v>
      </c>
      <c r="J513" t="n">
        <v>0</v>
      </c>
      <c r="K513" t="n">
        <v>0</v>
      </c>
      <c r="L513" t="n">
        <v>0</v>
      </c>
      <c r="M513" t="n">
        <v>0</v>
      </c>
      <c r="N513" t="n">
        <v>0</v>
      </c>
      <c r="O513" t="n">
        <v>0</v>
      </c>
      <c r="P513" t="n">
        <v>0</v>
      </c>
      <c r="Q513" t="n">
        <v>0</v>
      </c>
      <c r="R513" s="2" t="inlineStr"/>
    </row>
    <row r="514" ht="15" customHeight="1">
      <c r="A514" t="inlineStr">
        <is>
          <t>A 42338-2023</t>
        </is>
      </c>
      <c r="B514" s="1" t="n">
        <v>45180</v>
      </c>
      <c r="C514" s="1" t="n">
        <v>46175</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6218-2026</t>
        </is>
      </c>
      <c r="B515" s="1" t="n">
        <v>46055.42859953704</v>
      </c>
      <c r="C515" s="1" t="n">
        <v>46175</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6207-2026</t>
        </is>
      </c>
      <c r="B516" s="1" t="n">
        <v>46055.42083333333</v>
      </c>
      <c r="C516" s="1" t="n">
        <v>46175</v>
      </c>
      <c r="D516" t="inlineStr">
        <is>
          <t>GOTLANDS LÄN</t>
        </is>
      </c>
      <c r="E516" t="inlineStr">
        <is>
          <t>GOTLAND</t>
        </is>
      </c>
      <c r="G516" t="n">
        <v>7.6</v>
      </c>
      <c r="H516" t="n">
        <v>0</v>
      </c>
      <c r="I516" t="n">
        <v>0</v>
      </c>
      <c r="J516" t="n">
        <v>0</v>
      </c>
      <c r="K516" t="n">
        <v>0</v>
      </c>
      <c r="L516" t="n">
        <v>0</v>
      </c>
      <c r="M516" t="n">
        <v>0</v>
      </c>
      <c r="N516" t="n">
        <v>0</v>
      </c>
      <c r="O516" t="n">
        <v>0</v>
      </c>
      <c r="P516" t="n">
        <v>0</v>
      </c>
      <c r="Q516" t="n">
        <v>0</v>
      </c>
      <c r="R516" s="2" t="inlineStr"/>
    </row>
    <row r="517" ht="15" customHeight="1">
      <c r="A517" t="inlineStr">
        <is>
          <t>A 6959-2026</t>
        </is>
      </c>
      <c r="B517" s="1" t="n">
        <v>46057.580625</v>
      </c>
      <c r="C517" s="1" t="n">
        <v>46175</v>
      </c>
      <c r="D517" t="inlineStr">
        <is>
          <t>GOTLANDS LÄN</t>
        </is>
      </c>
      <c r="E517" t="inlineStr">
        <is>
          <t>GOTLAND</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6960-2026</t>
        </is>
      </c>
      <c r="B518" s="1" t="n">
        <v>46057.58105324074</v>
      </c>
      <c r="C518" s="1" t="n">
        <v>46175</v>
      </c>
      <c r="D518" t="inlineStr">
        <is>
          <t>GOTLANDS LÄN</t>
        </is>
      </c>
      <c r="E518" t="inlineStr">
        <is>
          <t>GOTLAND</t>
        </is>
      </c>
      <c r="F518" t="inlineStr">
        <is>
          <t>Kyrkan</t>
        </is>
      </c>
      <c r="G518" t="n">
        <v>2.4</v>
      </c>
      <c r="H518" t="n">
        <v>0</v>
      </c>
      <c r="I518" t="n">
        <v>0</v>
      </c>
      <c r="J518" t="n">
        <v>0</v>
      </c>
      <c r="K518" t="n">
        <v>0</v>
      </c>
      <c r="L518" t="n">
        <v>0</v>
      </c>
      <c r="M518" t="n">
        <v>0</v>
      </c>
      <c r="N518" t="n">
        <v>0</v>
      </c>
      <c r="O518" t="n">
        <v>0</v>
      </c>
      <c r="P518" t="n">
        <v>0</v>
      </c>
      <c r="Q518" t="n">
        <v>0</v>
      </c>
      <c r="R518" s="2" t="inlineStr"/>
    </row>
    <row r="519" ht="15" customHeight="1">
      <c r="A519" t="inlineStr">
        <is>
          <t>A 581-2023</t>
        </is>
      </c>
      <c r="B519" s="1" t="n">
        <v>44930</v>
      </c>
      <c r="C519" s="1" t="n">
        <v>46175</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61386-2023</t>
        </is>
      </c>
      <c r="B520" s="1" t="n">
        <v>45264</v>
      </c>
      <c r="C520" s="1" t="n">
        <v>46175</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873-2024</t>
        </is>
      </c>
      <c r="B521" s="1" t="n">
        <v>45301</v>
      </c>
      <c r="C521" s="1" t="n">
        <v>46175</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49411-2023</t>
        </is>
      </c>
      <c r="B522" s="1" t="n">
        <v>45205</v>
      </c>
      <c r="C522" s="1" t="n">
        <v>46175</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7627-2026</t>
        </is>
      </c>
      <c r="B523" s="1" t="n">
        <v>46062.35465277778</v>
      </c>
      <c r="C523" s="1" t="n">
        <v>46175</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22275-2023</t>
        </is>
      </c>
      <c r="B524" s="1" t="n">
        <v>45070.39875</v>
      </c>
      <c r="C524" s="1" t="n">
        <v>46175</v>
      </c>
      <c r="D524" t="inlineStr">
        <is>
          <t>GOTLANDS LÄN</t>
        </is>
      </c>
      <c r="E524" t="inlineStr">
        <is>
          <t>GOTLAND</t>
        </is>
      </c>
      <c r="G524" t="n">
        <v>7.2</v>
      </c>
      <c r="H524" t="n">
        <v>0</v>
      </c>
      <c r="I524" t="n">
        <v>0</v>
      </c>
      <c r="J524" t="n">
        <v>0</v>
      </c>
      <c r="K524" t="n">
        <v>0</v>
      </c>
      <c r="L524" t="n">
        <v>0</v>
      </c>
      <c r="M524" t="n">
        <v>0</v>
      </c>
      <c r="N524" t="n">
        <v>0</v>
      </c>
      <c r="O524" t="n">
        <v>0</v>
      </c>
      <c r="P524" t="n">
        <v>0</v>
      </c>
      <c r="Q524" t="n">
        <v>0</v>
      </c>
      <c r="R524" s="2" t="inlineStr"/>
    </row>
    <row r="525" ht="15" customHeight="1">
      <c r="A525" t="inlineStr">
        <is>
          <t>A 12322-2025</t>
        </is>
      </c>
      <c r="B525" s="1" t="n">
        <v>45730</v>
      </c>
      <c r="C525" s="1" t="n">
        <v>46175</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63105-2025</t>
        </is>
      </c>
      <c r="B526" s="1" t="n">
        <v>46009</v>
      </c>
      <c r="C526" s="1" t="n">
        <v>46175</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14797-2024</t>
        </is>
      </c>
      <c r="B527" s="1" t="n">
        <v>45397.87030092593</v>
      </c>
      <c r="C527" s="1" t="n">
        <v>46175</v>
      </c>
      <c r="D527" t="inlineStr">
        <is>
          <t>GOTLANDS LÄN</t>
        </is>
      </c>
      <c r="E527" t="inlineStr">
        <is>
          <t>GOTLAND</t>
        </is>
      </c>
      <c r="G527" t="n">
        <v>8.1</v>
      </c>
      <c r="H527" t="n">
        <v>0</v>
      </c>
      <c r="I527" t="n">
        <v>0</v>
      </c>
      <c r="J527" t="n">
        <v>0</v>
      </c>
      <c r="K527" t="n">
        <v>0</v>
      </c>
      <c r="L527" t="n">
        <v>0</v>
      </c>
      <c r="M527" t="n">
        <v>0</v>
      </c>
      <c r="N527" t="n">
        <v>0</v>
      </c>
      <c r="O527" t="n">
        <v>0</v>
      </c>
      <c r="P527" t="n">
        <v>0</v>
      </c>
      <c r="Q527" t="n">
        <v>0</v>
      </c>
      <c r="R527" s="2" t="inlineStr"/>
    </row>
    <row r="528" ht="15" customHeight="1">
      <c r="A528" t="inlineStr">
        <is>
          <t>A 999-2024</t>
        </is>
      </c>
      <c r="B528" s="1" t="n">
        <v>45301</v>
      </c>
      <c r="C528" s="1" t="n">
        <v>46175</v>
      </c>
      <c r="D528" t="inlineStr">
        <is>
          <t>GOTLANDS LÄN</t>
        </is>
      </c>
      <c r="E528" t="inlineStr">
        <is>
          <t>GOTLAND</t>
        </is>
      </c>
      <c r="G528" t="n">
        <v>1</v>
      </c>
      <c r="H528" t="n">
        <v>0</v>
      </c>
      <c r="I528" t="n">
        <v>0</v>
      </c>
      <c r="J528" t="n">
        <v>0</v>
      </c>
      <c r="K528" t="n">
        <v>0</v>
      </c>
      <c r="L528" t="n">
        <v>0</v>
      </c>
      <c r="M528" t="n">
        <v>0</v>
      </c>
      <c r="N528" t="n">
        <v>0</v>
      </c>
      <c r="O528" t="n">
        <v>0</v>
      </c>
      <c r="P528" t="n">
        <v>0</v>
      </c>
      <c r="Q528" t="n">
        <v>0</v>
      </c>
      <c r="R528" s="2" t="inlineStr"/>
    </row>
    <row r="529" ht="15" customHeight="1">
      <c r="A529" t="inlineStr">
        <is>
          <t>A 2135-2026</t>
        </is>
      </c>
      <c r="B529" s="1" t="n">
        <v>46036</v>
      </c>
      <c r="C529" s="1" t="n">
        <v>46175</v>
      </c>
      <c r="D529" t="inlineStr">
        <is>
          <t>GOTLANDS LÄN</t>
        </is>
      </c>
      <c r="E529" t="inlineStr">
        <is>
          <t>GOTLAND</t>
        </is>
      </c>
      <c r="G529" t="n">
        <v>0.5</v>
      </c>
      <c r="H529" t="n">
        <v>0</v>
      </c>
      <c r="I529" t="n">
        <v>0</v>
      </c>
      <c r="J529" t="n">
        <v>0</v>
      </c>
      <c r="K529" t="n">
        <v>0</v>
      </c>
      <c r="L529" t="n">
        <v>0</v>
      </c>
      <c r="M529" t="n">
        <v>0</v>
      </c>
      <c r="N529" t="n">
        <v>0</v>
      </c>
      <c r="O529" t="n">
        <v>0</v>
      </c>
      <c r="P529" t="n">
        <v>0</v>
      </c>
      <c r="Q529" t="n">
        <v>0</v>
      </c>
      <c r="R529" s="2" t="inlineStr"/>
    </row>
    <row r="530" ht="15" customHeight="1">
      <c r="A530" t="inlineStr">
        <is>
          <t>A 61596-2023</t>
        </is>
      </c>
      <c r="B530" s="1" t="n">
        <v>45265</v>
      </c>
      <c r="C530" s="1" t="n">
        <v>46175</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14638-2025</t>
        </is>
      </c>
      <c r="B531" s="1" t="n">
        <v>45742</v>
      </c>
      <c r="C531" s="1" t="n">
        <v>46175</v>
      </c>
      <c r="D531" t="inlineStr">
        <is>
          <t>GOTLANDS LÄN</t>
        </is>
      </c>
      <c r="E531" t="inlineStr">
        <is>
          <t>GOTLAND</t>
        </is>
      </c>
      <c r="G531" t="n">
        <v>13.4</v>
      </c>
      <c r="H531" t="n">
        <v>0</v>
      </c>
      <c r="I531" t="n">
        <v>0</v>
      </c>
      <c r="J531" t="n">
        <v>0</v>
      </c>
      <c r="K531" t="n">
        <v>0</v>
      </c>
      <c r="L531" t="n">
        <v>0</v>
      </c>
      <c r="M531" t="n">
        <v>0</v>
      </c>
      <c r="N531" t="n">
        <v>0</v>
      </c>
      <c r="O531" t="n">
        <v>0</v>
      </c>
      <c r="P531" t="n">
        <v>0</v>
      </c>
      <c r="Q531" t="n">
        <v>0</v>
      </c>
      <c r="R531" s="2" t="inlineStr"/>
    </row>
    <row r="532" ht="15" customHeight="1">
      <c r="A532" t="inlineStr">
        <is>
          <t>A 60675-2021</t>
        </is>
      </c>
      <c r="B532" s="1" t="n">
        <v>44496.64855324074</v>
      </c>
      <c r="C532" s="1" t="n">
        <v>46175</v>
      </c>
      <c r="D532" t="inlineStr">
        <is>
          <t>GOTLANDS LÄN</t>
        </is>
      </c>
      <c r="E532" t="inlineStr">
        <is>
          <t>GOTLAND</t>
        </is>
      </c>
      <c r="G532" t="n">
        <v>4.6</v>
      </c>
      <c r="H532" t="n">
        <v>0</v>
      </c>
      <c r="I532" t="n">
        <v>0</v>
      </c>
      <c r="J532" t="n">
        <v>0</v>
      </c>
      <c r="K532" t="n">
        <v>0</v>
      </c>
      <c r="L532" t="n">
        <v>0</v>
      </c>
      <c r="M532" t="n">
        <v>0</v>
      </c>
      <c r="N532" t="n">
        <v>0</v>
      </c>
      <c r="O532" t="n">
        <v>0</v>
      </c>
      <c r="P532" t="n">
        <v>0</v>
      </c>
      <c r="Q532" t="n">
        <v>0</v>
      </c>
      <c r="R532" s="2" t="inlineStr"/>
    </row>
    <row r="533" ht="15" customHeight="1">
      <c r="A533" t="inlineStr">
        <is>
          <t>A 37728-2024</t>
        </is>
      </c>
      <c r="B533" s="1" t="n">
        <v>45541</v>
      </c>
      <c r="C533" s="1" t="n">
        <v>46175</v>
      </c>
      <c r="D533" t="inlineStr">
        <is>
          <t>GOTLANDS LÄN</t>
        </is>
      </c>
      <c r="E533" t="inlineStr">
        <is>
          <t>GOTLAND</t>
        </is>
      </c>
      <c r="G533" t="n">
        <v>0.4</v>
      </c>
      <c r="H533" t="n">
        <v>0</v>
      </c>
      <c r="I533" t="n">
        <v>0</v>
      </c>
      <c r="J533" t="n">
        <v>0</v>
      </c>
      <c r="K533" t="n">
        <v>0</v>
      </c>
      <c r="L533" t="n">
        <v>0</v>
      </c>
      <c r="M533" t="n">
        <v>0</v>
      </c>
      <c r="N533" t="n">
        <v>0</v>
      </c>
      <c r="O533" t="n">
        <v>0</v>
      </c>
      <c r="P533" t="n">
        <v>0</v>
      </c>
      <c r="Q533" t="n">
        <v>0</v>
      </c>
      <c r="R533" s="2" t="inlineStr"/>
    </row>
    <row r="534" ht="15" customHeight="1">
      <c r="A534" t="inlineStr">
        <is>
          <t>A 22287-2022</t>
        </is>
      </c>
      <c r="B534" s="1" t="n">
        <v>44712</v>
      </c>
      <c r="C534" s="1" t="n">
        <v>46175</v>
      </c>
      <c r="D534" t="inlineStr">
        <is>
          <t>GOTLANDS LÄN</t>
        </is>
      </c>
      <c r="E534" t="inlineStr">
        <is>
          <t>GOTLAND</t>
        </is>
      </c>
      <c r="G534" t="n">
        <v>6.1</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46175</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65249-2023</t>
        </is>
      </c>
      <c r="B536" s="1" t="n">
        <v>45290</v>
      </c>
      <c r="C536" s="1" t="n">
        <v>46175</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13910-2025</t>
        </is>
      </c>
      <c r="B537" s="1" t="n">
        <v>45737</v>
      </c>
      <c r="C537" s="1" t="n">
        <v>46175</v>
      </c>
      <c r="D537" t="inlineStr">
        <is>
          <t>GOTLANDS LÄN</t>
        </is>
      </c>
      <c r="E537" t="inlineStr">
        <is>
          <t>GOTLAND</t>
        </is>
      </c>
      <c r="F537" t="inlineStr">
        <is>
          <t>Kommuner</t>
        </is>
      </c>
      <c r="G537" t="n">
        <v>3.2</v>
      </c>
      <c r="H537" t="n">
        <v>0</v>
      </c>
      <c r="I537" t="n">
        <v>0</v>
      </c>
      <c r="J537" t="n">
        <v>0</v>
      </c>
      <c r="K537" t="n">
        <v>0</v>
      </c>
      <c r="L537" t="n">
        <v>0</v>
      </c>
      <c r="M537" t="n">
        <v>0</v>
      </c>
      <c r="N537" t="n">
        <v>0</v>
      </c>
      <c r="O537" t="n">
        <v>0</v>
      </c>
      <c r="P537" t="n">
        <v>0</v>
      </c>
      <c r="Q537" t="n">
        <v>0</v>
      </c>
      <c r="R537" s="2" t="inlineStr"/>
    </row>
    <row r="538" ht="15" customHeight="1">
      <c r="A538" t="inlineStr">
        <is>
          <t>A 17780-2022</t>
        </is>
      </c>
      <c r="B538" s="1" t="n">
        <v>44682.82622685185</v>
      </c>
      <c r="C538" s="1" t="n">
        <v>46175</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46175</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46175</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42041-2024</t>
        </is>
      </c>
      <c r="B541" s="1" t="n">
        <v>45561</v>
      </c>
      <c r="C541" s="1" t="n">
        <v>46175</v>
      </c>
      <c r="D541" t="inlineStr">
        <is>
          <t>GOTLANDS LÄN</t>
        </is>
      </c>
      <c r="E541" t="inlineStr">
        <is>
          <t>GOTLAND</t>
        </is>
      </c>
      <c r="G541" t="n">
        <v>3.2</v>
      </c>
      <c r="H541" t="n">
        <v>0</v>
      </c>
      <c r="I541" t="n">
        <v>0</v>
      </c>
      <c r="J541" t="n">
        <v>0</v>
      </c>
      <c r="K541" t="n">
        <v>0</v>
      </c>
      <c r="L541" t="n">
        <v>0</v>
      </c>
      <c r="M541" t="n">
        <v>0</v>
      </c>
      <c r="N541" t="n">
        <v>0</v>
      </c>
      <c r="O541" t="n">
        <v>0</v>
      </c>
      <c r="P541" t="n">
        <v>0</v>
      </c>
      <c r="Q541" t="n">
        <v>0</v>
      </c>
      <c r="R541" s="2" t="inlineStr"/>
    </row>
    <row r="542" ht="15" customHeight="1">
      <c r="A542" t="inlineStr">
        <is>
          <t>A 61694-2023</t>
        </is>
      </c>
      <c r="B542" s="1" t="n">
        <v>45264</v>
      </c>
      <c r="C542" s="1" t="n">
        <v>46175</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64555-2023</t>
        </is>
      </c>
      <c r="B543" s="1" t="n">
        <v>45281</v>
      </c>
      <c r="C543" s="1" t="n">
        <v>46175</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64831-2023</t>
        </is>
      </c>
      <c r="B544" s="1" t="n">
        <v>45282.44924768519</v>
      </c>
      <c r="C544" s="1" t="n">
        <v>46175</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999-2023</t>
        </is>
      </c>
      <c r="B545" s="1" t="n">
        <v>44935</v>
      </c>
      <c r="C545" s="1" t="n">
        <v>46175</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27602-2023</t>
        </is>
      </c>
      <c r="B546" s="1" t="n">
        <v>45097</v>
      </c>
      <c r="C546" s="1" t="n">
        <v>46175</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4377-2023</t>
        </is>
      </c>
      <c r="B547" s="1" t="n">
        <v>44955.5502662037</v>
      </c>
      <c r="C547" s="1" t="n">
        <v>46175</v>
      </c>
      <c r="D547" t="inlineStr">
        <is>
          <t>GOTLANDS LÄN</t>
        </is>
      </c>
      <c r="E547" t="inlineStr">
        <is>
          <t>GOTLAND</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4387-2023</t>
        </is>
      </c>
      <c r="B548" s="1" t="n">
        <v>44955.73359953704</v>
      </c>
      <c r="C548" s="1" t="n">
        <v>46175</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39479-2022</t>
        </is>
      </c>
      <c r="B549" s="1" t="n">
        <v>44818</v>
      </c>
      <c r="C549" s="1" t="n">
        <v>46175</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51963-2024</t>
        </is>
      </c>
      <c r="B550" s="1" t="n">
        <v>45607.64833333333</v>
      </c>
      <c r="C550" s="1" t="n">
        <v>46175</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46175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46389-2021</t>
        </is>
      </c>
      <c r="B552" s="1" t="n">
        <v>44443</v>
      </c>
      <c r="C552" s="1" t="n">
        <v>46175</v>
      </c>
      <c r="D552" t="inlineStr">
        <is>
          <t>GOTLANDS LÄN</t>
        </is>
      </c>
      <c r="E552" t="inlineStr">
        <is>
          <t>GOTLAND</t>
        </is>
      </c>
      <c r="F552" t="inlineStr">
        <is>
          <t>Kyrkan</t>
        </is>
      </c>
      <c r="G552" t="n">
        <v>2.1</v>
      </c>
      <c r="H552" t="n">
        <v>0</v>
      </c>
      <c r="I552" t="n">
        <v>0</v>
      </c>
      <c r="J552" t="n">
        <v>0</v>
      </c>
      <c r="K552" t="n">
        <v>0</v>
      </c>
      <c r="L552" t="n">
        <v>0</v>
      </c>
      <c r="M552" t="n">
        <v>0</v>
      </c>
      <c r="N552" t="n">
        <v>0</v>
      </c>
      <c r="O552" t="n">
        <v>0</v>
      </c>
      <c r="P552" t="n">
        <v>0</v>
      </c>
      <c r="Q552" t="n">
        <v>0</v>
      </c>
      <c r="R552" s="2" t="inlineStr"/>
    </row>
    <row r="553" ht="15" customHeight="1">
      <c r="A553" t="inlineStr">
        <is>
          <t>A 26810-2021</t>
        </is>
      </c>
      <c r="B553" s="1" t="n">
        <v>44349.55087962963</v>
      </c>
      <c r="C553" s="1" t="n">
        <v>46175</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5923-2023</t>
        </is>
      </c>
      <c r="B554" s="1" t="n">
        <v>44963.69503472222</v>
      </c>
      <c r="C554" s="1" t="n">
        <v>46175</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33853-2024</t>
        </is>
      </c>
      <c r="B555" s="1" t="n">
        <v>45520.64298611111</v>
      </c>
      <c r="C555" s="1" t="n">
        <v>46175</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18918-2025</t>
        </is>
      </c>
      <c r="B556" s="1" t="n">
        <v>45764</v>
      </c>
      <c r="C556" s="1" t="n">
        <v>46175</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46175</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10655-2023</t>
        </is>
      </c>
      <c r="B558" s="1" t="n">
        <v>44988.49543981482</v>
      </c>
      <c r="C558" s="1" t="n">
        <v>46175</v>
      </c>
      <c r="D558" t="inlineStr">
        <is>
          <t>GOTLANDS LÄN</t>
        </is>
      </c>
      <c r="E558" t="inlineStr">
        <is>
          <t>GOTLAND</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2719-2023</t>
        </is>
      </c>
      <c r="B559" s="1" t="n">
        <v>44944.55361111111</v>
      </c>
      <c r="C559" s="1" t="n">
        <v>46175</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26891-2024</t>
        </is>
      </c>
      <c r="B560" s="1" t="n">
        <v>45470.65540509259</v>
      </c>
      <c r="C560" s="1" t="n">
        <v>46175</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42007-2023</t>
        </is>
      </c>
      <c r="B561" s="1" t="n">
        <v>45177</v>
      </c>
      <c r="C561" s="1" t="n">
        <v>46175</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9887-2025</t>
        </is>
      </c>
      <c r="B562" s="1" t="n">
        <v>45716</v>
      </c>
      <c r="C562" s="1" t="n">
        <v>46175</v>
      </c>
      <c r="D562" t="inlineStr">
        <is>
          <t>GOTLANDS LÄN</t>
        </is>
      </c>
      <c r="E562" t="inlineStr">
        <is>
          <t>GOTLAND</t>
        </is>
      </c>
      <c r="G562" t="n">
        <v>7.5</v>
      </c>
      <c r="H562" t="n">
        <v>0</v>
      </c>
      <c r="I562" t="n">
        <v>0</v>
      </c>
      <c r="J562" t="n">
        <v>0</v>
      </c>
      <c r="K562" t="n">
        <v>0</v>
      </c>
      <c r="L562" t="n">
        <v>0</v>
      </c>
      <c r="M562" t="n">
        <v>0</v>
      </c>
      <c r="N562" t="n">
        <v>0</v>
      </c>
      <c r="O562" t="n">
        <v>0</v>
      </c>
      <c r="P562" t="n">
        <v>0</v>
      </c>
      <c r="Q562" t="n">
        <v>0</v>
      </c>
      <c r="R562" s="2" t="inlineStr"/>
    </row>
    <row r="563" ht="15" customHeight="1">
      <c r="A563" t="inlineStr">
        <is>
          <t>A 38165-2023</t>
        </is>
      </c>
      <c r="B563" s="1" t="n">
        <v>45161</v>
      </c>
      <c r="C563" s="1" t="n">
        <v>46175</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27596-2023</t>
        </is>
      </c>
      <c r="B564" s="1" t="n">
        <v>45097</v>
      </c>
      <c r="C564" s="1" t="n">
        <v>46175</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24825-2024</t>
        </is>
      </c>
      <c r="B565" s="1" t="n">
        <v>45461</v>
      </c>
      <c r="C565" s="1" t="n">
        <v>46175</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6696-2023</t>
        </is>
      </c>
      <c r="B566" s="1" t="n">
        <v>44966.66425925926</v>
      </c>
      <c r="C566" s="1" t="n">
        <v>46175</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21247-2022</t>
        </is>
      </c>
      <c r="B567" s="1" t="n">
        <v>44705.38832175926</v>
      </c>
      <c r="C567" s="1" t="n">
        <v>46175</v>
      </c>
      <c r="D567" t="inlineStr">
        <is>
          <t>GOTLANDS LÄN</t>
        </is>
      </c>
      <c r="E567" t="inlineStr">
        <is>
          <t>GOTLAND</t>
        </is>
      </c>
      <c r="G567" t="n">
        <v>16.2</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44929.87122685185</v>
      </c>
      <c r="C568" s="1" t="n">
        <v>46175</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44944.54896990741</v>
      </c>
      <c r="C569" s="1" t="n">
        <v>46175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4421-2024</t>
        </is>
      </c>
      <c r="B570" s="1" t="n">
        <v>45327.45173611111</v>
      </c>
      <c r="C570" s="1" t="n">
        <v>46175</v>
      </c>
      <c r="D570" t="inlineStr">
        <is>
          <t>GOTLANDS LÄN</t>
        </is>
      </c>
      <c r="E570" t="inlineStr">
        <is>
          <t>GOTLAND</t>
        </is>
      </c>
      <c r="G570" t="n">
        <v>5.1</v>
      </c>
      <c r="H570" t="n">
        <v>0</v>
      </c>
      <c r="I570" t="n">
        <v>0</v>
      </c>
      <c r="J570" t="n">
        <v>0</v>
      </c>
      <c r="K570" t="n">
        <v>0</v>
      </c>
      <c r="L570" t="n">
        <v>0</v>
      </c>
      <c r="M570" t="n">
        <v>0</v>
      </c>
      <c r="N570" t="n">
        <v>0</v>
      </c>
      <c r="O570" t="n">
        <v>0</v>
      </c>
      <c r="P570" t="n">
        <v>0</v>
      </c>
      <c r="Q570" t="n">
        <v>0</v>
      </c>
      <c r="R570" s="2" t="inlineStr"/>
    </row>
    <row r="571" ht="15" customHeight="1">
      <c r="A571" t="inlineStr">
        <is>
          <t>A 51782-2023</t>
        </is>
      </c>
      <c r="B571" s="1" t="n">
        <v>45222.80952546297</v>
      </c>
      <c r="C571" s="1" t="n">
        <v>46175</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54268-2022</t>
        </is>
      </c>
      <c r="B572" s="1" t="n">
        <v>44882</v>
      </c>
      <c r="C572" s="1" t="n">
        <v>46175</v>
      </c>
      <c r="D572" t="inlineStr">
        <is>
          <t>GOTLANDS LÄN</t>
        </is>
      </c>
      <c r="E572" t="inlineStr">
        <is>
          <t>GOTLAND</t>
        </is>
      </c>
      <c r="G572" t="n">
        <v>2.7</v>
      </c>
      <c r="H572" t="n">
        <v>0</v>
      </c>
      <c r="I572" t="n">
        <v>0</v>
      </c>
      <c r="J572" t="n">
        <v>0</v>
      </c>
      <c r="K572" t="n">
        <v>0</v>
      </c>
      <c r="L572" t="n">
        <v>0</v>
      </c>
      <c r="M572" t="n">
        <v>0</v>
      </c>
      <c r="N572" t="n">
        <v>0</v>
      </c>
      <c r="O572" t="n">
        <v>0</v>
      </c>
      <c r="P572" t="n">
        <v>0</v>
      </c>
      <c r="Q572" t="n">
        <v>0</v>
      </c>
      <c r="R572" s="2" t="inlineStr"/>
    </row>
    <row r="573" ht="15" customHeight="1">
      <c r="A573" t="inlineStr">
        <is>
          <t>A 57534-2022</t>
        </is>
      </c>
      <c r="B573" s="1" t="n">
        <v>44896</v>
      </c>
      <c r="C573" s="1" t="n">
        <v>46175</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25866-2022</t>
        </is>
      </c>
      <c r="B574" s="1" t="n">
        <v>44733</v>
      </c>
      <c r="C574" s="1" t="n">
        <v>46175</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43229-2023</t>
        </is>
      </c>
      <c r="B575" s="1" t="n">
        <v>45183.46704861111</v>
      </c>
      <c r="C575" s="1" t="n">
        <v>46175</v>
      </c>
      <c r="D575" t="inlineStr">
        <is>
          <t>GOTLANDS LÄN</t>
        </is>
      </c>
      <c r="E575" t="inlineStr">
        <is>
          <t>GOTLAND</t>
        </is>
      </c>
      <c r="G575" t="n">
        <v>7.1</v>
      </c>
      <c r="H575" t="n">
        <v>0</v>
      </c>
      <c r="I575" t="n">
        <v>0</v>
      </c>
      <c r="J575" t="n">
        <v>0</v>
      </c>
      <c r="K575" t="n">
        <v>0</v>
      </c>
      <c r="L575" t="n">
        <v>0</v>
      </c>
      <c r="M575" t="n">
        <v>0</v>
      </c>
      <c r="N575" t="n">
        <v>0</v>
      </c>
      <c r="O575" t="n">
        <v>0</v>
      </c>
      <c r="P575" t="n">
        <v>0</v>
      </c>
      <c r="Q575" t="n">
        <v>0</v>
      </c>
      <c r="R575" s="2" t="inlineStr"/>
    </row>
    <row r="576" ht="15" customHeight="1">
      <c r="A576" t="inlineStr">
        <is>
          <t>A 1175-2025</t>
        </is>
      </c>
      <c r="B576" s="1" t="n">
        <v>45667.34449074074</v>
      </c>
      <c r="C576" s="1" t="n">
        <v>46175</v>
      </c>
      <c r="D576" t="inlineStr">
        <is>
          <t>GOTLANDS LÄN</t>
        </is>
      </c>
      <c r="E576" t="inlineStr">
        <is>
          <t>GOTLAND</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27095-2022</t>
        </is>
      </c>
      <c r="B577" s="1" t="n">
        <v>44741</v>
      </c>
      <c r="C577" s="1" t="n">
        <v>46175</v>
      </c>
      <c r="D577" t="inlineStr">
        <is>
          <t>GOTLANDS LÄN</t>
        </is>
      </c>
      <c r="E577" t="inlineStr">
        <is>
          <t>GOTLAND</t>
        </is>
      </c>
      <c r="F577" t="inlineStr">
        <is>
          <t>Övriga Aktiebolag</t>
        </is>
      </c>
      <c r="G577" t="n">
        <v>2.9</v>
      </c>
      <c r="H577" t="n">
        <v>0</v>
      </c>
      <c r="I577" t="n">
        <v>0</v>
      </c>
      <c r="J577" t="n">
        <v>0</v>
      </c>
      <c r="K577" t="n">
        <v>0</v>
      </c>
      <c r="L577" t="n">
        <v>0</v>
      </c>
      <c r="M577" t="n">
        <v>0</v>
      </c>
      <c r="N577" t="n">
        <v>0</v>
      </c>
      <c r="O577" t="n">
        <v>0</v>
      </c>
      <c r="P577" t="n">
        <v>0</v>
      </c>
      <c r="Q577" t="n">
        <v>0</v>
      </c>
      <c r="R577" s="2" t="inlineStr"/>
    </row>
    <row r="578" ht="15" customHeight="1">
      <c r="A578" t="inlineStr">
        <is>
          <t>A 22899-2023</t>
        </is>
      </c>
      <c r="B578" s="1" t="n">
        <v>45072</v>
      </c>
      <c r="C578" s="1" t="n">
        <v>46175</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46175</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34407-2023</t>
        </is>
      </c>
      <c r="B580" s="1" t="n">
        <v>45132</v>
      </c>
      <c r="C580" s="1" t="n">
        <v>46175</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11013-2024</t>
        </is>
      </c>
      <c r="B581" s="1" t="n">
        <v>45370</v>
      </c>
      <c r="C581" s="1" t="n">
        <v>46175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27694-2024</t>
        </is>
      </c>
      <c r="B582" s="1" t="n">
        <v>45475</v>
      </c>
      <c r="C582" s="1" t="n">
        <v>46175</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15083-2025</t>
        </is>
      </c>
      <c r="B583" s="1" t="n">
        <v>45743</v>
      </c>
      <c r="C583" s="1" t="n">
        <v>46175</v>
      </c>
      <c r="D583" t="inlineStr">
        <is>
          <t>GOTLANDS LÄN</t>
        </is>
      </c>
      <c r="E583" t="inlineStr">
        <is>
          <t>GOTLAND</t>
        </is>
      </c>
      <c r="G583" t="n">
        <v>2.3</v>
      </c>
      <c r="H583" t="n">
        <v>0</v>
      </c>
      <c r="I583" t="n">
        <v>0</v>
      </c>
      <c r="J583" t="n">
        <v>0</v>
      </c>
      <c r="K583" t="n">
        <v>0</v>
      </c>
      <c r="L583" t="n">
        <v>0</v>
      </c>
      <c r="M583" t="n">
        <v>0</v>
      </c>
      <c r="N583" t="n">
        <v>0</v>
      </c>
      <c r="O583" t="n">
        <v>0</v>
      </c>
      <c r="P583" t="n">
        <v>0</v>
      </c>
      <c r="Q583" t="n">
        <v>0</v>
      </c>
      <c r="R583" s="2" t="inlineStr"/>
    </row>
    <row r="584" ht="15" customHeight="1">
      <c r="A584" t="inlineStr">
        <is>
          <t>A 13037-2025</t>
        </is>
      </c>
      <c r="B584" s="1" t="n">
        <v>45734</v>
      </c>
      <c r="C584" s="1" t="n">
        <v>46175</v>
      </c>
      <c r="D584" t="inlineStr">
        <is>
          <t>GOTLANDS LÄN</t>
        </is>
      </c>
      <c r="E584" t="inlineStr">
        <is>
          <t>GOTLAND</t>
        </is>
      </c>
      <c r="G584" t="n">
        <v>9.5</v>
      </c>
      <c r="H584" t="n">
        <v>0</v>
      </c>
      <c r="I584" t="n">
        <v>0</v>
      </c>
      <c r="J584" t="n">
        <v>0</v>
      </c>
      <c r="K584" t="n">
        <v>0</v>
      </c>
      <c r="L584" t="n">
        <v>0</v>
      </c>
      <c r="M584" t="n">
        <v>0</v>
      </c>
      <c r="N584" t="n">
        <v>0</v>
      </c>
      <c r="O584" t="n">
        <v>0</v>
      </c>
      <c r="P584" t="n">
        <v>0</v>
      </c>
      <c r="Q584" t="n">
        <v>0</v>
      </c>
      <c r="R584" s="2" t="inlineStr"/>
    </row>
    <row r="585" ht="15" customHeight="1">
      <c r="A585" t="inlineStr">
        <is>
          <t>A 458-2023</t>
        </is>
      </c>
      <c r="B585" s="1" t="n">
        <v>44929</v>
      </c>
      <c r="C585" s="1" t="n">
        <v>46175</v>
      </c>
      <c r="D585" t="inlineStr">
        <is>
          <t>GOTLANDS LÄN</t>
        </is>
      </c>
      <c r="E585" t="inlineStr">
        <is>
          <t>GOTLAND</t>
        </is>
      </c>
      <c r="G585" t="n">
        <v>3.6</v>
      </c>
      <c r="H585" t="n">
        <v>0</v>
      </c>
      <c r="I585" t="n">
        <v>0</v>
      </c>
      <c r="J585" t="n">
        <v>0</v>
      </c>
      <c r="K585" t="n">
        <v>0</v>
      </c>
      <c r="L585" t="n">
        <v>0</v>
      </c>
      <c r="M585" t="n">
        <v>0</v>
      </c>
      <c r="N585" t="n">
        <v>0</v>
      </c>
      <c r="O585" t="n">
        <v>0</v>
      </c>
      <c r="P585" t="n">
        <v>0</v>
      </c>
      <c r="Q585" t="n">
        <v>0</v>
      </c>
      <c r="R585" s="2" t="inlineStr"/>
    </row>
    <row r="586" ht="15" customHeight="1">
      <c r="A586" t="inlineStr">
        <is>
          <t>A 44228-2022</t>
        </is>
      </c>
      <c r="B586" s="1" t="n">
        <v>44839.51599537037</v>
      </c>
      <c r="C586" s="1" t="n">
        <v>46175</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58132-2023</t>
        </is>
      </c>
      <c r="B587" s="1" t="n">
        <v>45250</v>
      </c>
      <c r="C587" s="1" t="n">
        <v>46175</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49884-2023</t>
        </is>
      </c>
      <c r="B588" s="1" t="n">
        <v>45213</v>
      </c>
      <c r="C588" s="1" t="n">
        <v>46175</v>
      </c>
      <c r="D588" t="inlineStr">
        <is>
          <t>GOTLANDS LÄN</t>
        </is>
      </c>
      <c r="E588" t="inlineStr">
        <is>
          <t>GOTLAND</t>
        </is>
      </c>
      <c r="G588" t="n">
        <v>8.9</v>
      </c>
      <c r="H588" t="n">
        <v>0</v>
      </c>
      <c r="I588" t="n">
        <v>0</v>
      </c>
      <c r="J588" t="n">
        <v>0</v>
      </c>
      <c r="K588" t="n">
        <v>0</v>
      </c>
      <c r="L588" t="n">
        <v>0</v>
      </c>
      <c r="M588" t="n">
        <v>0</v>
      </c>
      <c r="N588" t="n">
        <v>0</v>
      </c>
      <c r="O588" t="n">
        <v>0</v>
      </c>
      <c r="P588" t="n">
        <v>0</v>
      </c>
      <c r="Q588" t="n">
        <v>0</v>
      </c>
      <c r="R588" s="2" t="inlineStr"/>
    </row>
    <row r="589" ht="15" customHeight="1">
      <c r="A589" t="inlineStr">
        <is>
          <t>A 876-2024</t>
        </is>
      </c>
      <c r="B589" s="1" t="n">
        <v>45301</v>
      </c>
      <c r="C589" s="1" t="n">
        <v>46175</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46175</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28425-2023</t>
        </is>
      </c>
      <c r="B591" s="1" t="n">
        <v>45102</v>
      </c>
      <c r="C591" s="1" t="n">
        <v>46175</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58476-2022</t>
        </is>
      </c>
      <c r="B592" s="1" t="n">
        <v>44902</v>
      </c>
      <c r="C592" s="1" t="n">
        <v>46175</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43200-2023</t>
        </is>
      </c>
      <c r="B593" s="1" t="n">
        <v>45183</v>
      </c>
      <c r="C593" s="1" t="n">
        <v>46175</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43223-2023</t>
        </is>
      </c>
      <c r="B594" s="1" t="n">
        <v>45183.45642361111</v>
      </c>
      <c r="C594" s="1" t="n">
        <v>46175</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46175</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3431-2025</t>
        </is>
      </c>
      <c r="B596" s="1" t="n">
        <v>45680.42935185185</v>
      </c>
      <c r="C596" s="1" t="n">
        <v>46175</v>
      </c>
      <c r="D596" t="inlineStr">
        <is>
          <t>GOTLANDS LÄN</t>
        </is>
      </c>
      <c r="E596" t="inlineStr">
        <is>
          <t>GOTLAND</t>
        </is>
      </c>
      <c r="G596" t="n">
        <v>4.8</v>
      </c>
      <c r="H596" t="n">
        <v>0</v>
      </c>
      <c r="I596" t="n">
        <v>0</v>
      </c>
      <c r="J596" t="n">
        <v>0</v>
      </c>
      <c r="K596" t="n">
        <v>0</v>
      </c>
      <c r="L596" t="n">
        <v>0</v>
      </c>
      <c r="M596" t="n">
        <v>0</v>
      </c>
      <c r="N596" t="n">
        <v>0</v>
      </c>
      <c r="O596" t="n">
        <v>0</v>
      </c>
      <c r="P596" t="n">
        <v>0</v>
      </c>
      <c r="Q596" t="n">
        <v>0</v>
      </c>
      <c r="R596" s="2" t="inlineStr"/>
    </row>
    <row r="597" ht="15" customHeight="1">
      <c r="A597" t="inlineStr">
        <is>
          <t>A 12209-2024</t>
        </is>
      </c>
      <c r="B597" s="1" t="n">
        <v>45378</v>
      </c>
      <c r="C597" s="1" t="n">
        <v>46175</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12210-2024</t>
        </is>
      </c>
      <c r="B598" s="1" t="n">
        <v>45378</v>
      </c>
      <c r="C598" s="1" t="n">
        <v>46175</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1364-2025</t>
        </is>
      </c>
      <c r="B599" s="1" t="n">
        <v>45667.63929398148</v>
      </c>
      <c r="C599" s="1" t="n">
        <v>46175</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15042-2025</t>
        </is>
      </c>
      <c r="B600" s="1" t="n">
        <v>45743</v>
      </c>
      <c r="C600" s="1" t="n">
        <v>46175</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2180-2025</t>
        </is>
      </c>
      <c r="B601" s="1" t="n">
        <v>45673</v>
      </c>
      <c r="C601" s="1" t="n">
        <v>46175</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15436-2025</t>
        </is>
      </c>
      <c r="B602" s="1" t="n">
        <v>45747.47462962963</v>
      </c>
      <c r="C602" s="1" t="n">
        <v>46175</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49257-2024</t>
        </is>
      </c>
      <c r="B603" s="1" t="n">
        <v>45595.47627314815</v>
      </c>
      <c r="C603" s="1" t="n">
        <v>46175</v>
      </c>
      <c r="D603" t="inlineStr">
        <is>
          <t>GOTLANDS LÄN</t>
        </is>
      </c>
      <c r="E603" t="inlineStr">
        <is>
          <t>GOTLAND</t>
        </is>
      </c>
      <c r="G603" t="n">
        <v>6.3</v>
      </c>
      <c r="H603" t="n">
        <v>0</v>
      </c>
      <c r="I603" t="n">
        <v>0</v>
      </c>
      <c r="J603" t="n">
        <v>0</v>
      </c>
      <c r="K603" t="n">
        <v>0</v>
      </c>
      <c r="L603" t="n">
        <v>0</v>
      </c>
      <c r="M603" t="n">
        <v>0</v>
      </c>
      <c r="N603" t="n">
        <v>0</v>
      </c>
      <c r="O603" t="n">
        <v>0</v>
      </c>
      <c r="P603" t="n">
        <v>0</v>
      </c>
      <c r="Q603" t="n">
        <v>0</v>
      </c>
      <c r="R603" s="2" t="inlineStr"/>
    </row>
    <row r="604" ht="15" customHeight="1">
      <c r="A604" t="inlineStr">
        <is>
          <t>A 37202-2024</t>
        </is>
      </c>
      <c r="B604" s="1" t="n">
        <v>45539.67310185185</v>
      </c>
      <c r="C604" s="1" t="n">
        <v>46175</v>
      </c>
      <c r="D604" t="inlineStr">
        <is>
          <t>GOTLANDS LÄN</t>
        </is>
      </c>
      <c r="E604" t="inlineStr">
        <is>
          <t>GOTLAND</t>
        </is>
      </c>
      <c r="G604" t="n">
        <v>0.3</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46175</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2774-2024</t>
        </is>
      </c>
      <c r="B606" s="1" t="n">
        <v>45314.62375</v>
      </c>
      <c r="C606" s="1" t="n">
        <v>46175</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60709-2023</t>
        </is>
      </c>
      <c r="B607" s="1" t="n">
        <v>45260</v>
      </c>
      <c r="C607" s="1" t="n">
        <v>46175</v>
      </c>
      <c r="D607" t="inlineStr">
        <is>
          <t>GOTLANDS LÄN</t>
        </is>
      </c>
      <c r="E607" t="inlineStr">
        <is>
          <t>GOTLAND</t>
        </is>
      </c>
      <c r="G607" t="n">
        <v>1.7</v>
      </c>
      <c r="H607" t="n">
        <v>0</v>
      </c>
      <c r="I607" t="n">
        <v>0</v>
      </c>
      <c r="J607" t="n">
        <v>0</v>
      </c>
      <c r="K607" t="n">
        <v>0</v>
      </c>
      <c r="L607" t="n">
        <v>0</v>
      </c>
      <c r="M607" t="n">
        <v>0</v>
      </c>
      <c r="N607" t="n">
        <v>0</v>
      </c>
      <c r="O607" t="n">
        <v>0</v>
      </c>
      <c r="P607" t="n">
        <v>0</v>
      </c>
      <c r="Q607" t="n">
        <v>0</v>
      </c>
      <c r="R607" s="2" t="inlineStr"/>
    </row>
    <row r="608" ht="15" customHeight="1">
      <c r="A608" t="inlineStr">
        <is>
          <t>A 64208-2021</t>
        </is>
      </c>
      <c r="B608" s="1" t="n">
        <v>44510</v>
      </c>
      <c r="C608" s="1" t="n">
        <v>46175</v>
      </c>
      <c r="D608" t="inlineStr">
        <is>
          <t>GOTLANDS LÄN</t>
        </is>
      </c>
      <c r="E608" t="inlineStr">
        <is>
          <t>GOTLAND</t>
        </is>
      </c>
      <c r="G608" t="n">
        <v>4.7</v>
      </c>
      <c r="H608" t="n">
        <v>0</v>
      </c>
      <c r="I608" t="n">
        <v>0</v>
      </c>
      <c r="J608" t="n">
        <v>0</v>
      </c>
      <c r="K608" t="n">
        <v>0</v>
      </c>
      <c r="L608" t="n">
        <v>0</v>
      </c>
      <c r="M608" t="n">
        <v>0</v>
      </c>
      <c r="N608" t="n">
        <v>0</v>
      </c>
      <c r="O608" t="n">
        <v>0</v>
      </c>
      <c r="P608" t="n">
        <v>0</v>
      </c>
      <c r="Q608" t="n">
        <v>0</v>
      </c>
      <c r="R608" s="2" t="inlineStr"/>
    </row>
    <row r="609" ht="15" customHeight="1">
      <c r="A609" t="inlineStr">
        <is>
          <t>A 39764-2022</t>
        </is>
      </c>
      <c r="B609" s="1" t="n">
        <v>44819</v>
      </c>
      <c r="C609" s="1" t="n">
        <v>46175</v>
      </c>
      <c r="D609" t="inlineStr">
        <is>
          <t>GOTLANDS LÄN</t>
        </is>
      </c>
      <c r="E609" t="inlineStr">
        <is>
          <t>GOTLAND</t>
        </is>
      </c>
      <c r="F609" t="inlineStr">
        <is>
          <t>Kyrkan</t>
        </is>
      </c>
      <c r="G609" t="n">
        <v>3.7</v>
      </c>
      <c r="H609" t="n">
        <v>0</v>
      </c>
      <c r="I609" t="n">
        <v>0</v>
      </c>
      <c r="J609" t="n">
        <v>0</v>
      </c>
      <c r="K609" t="n">
        <v>0</v>
      </c>
      <c r="L609" t="n">
        <v>0</v>
      </c>
      <c r="M609" t="n">
        <v>0</v>
      </c>
      <c r="N609" t="n">
        <v>0</v>
      </c>
      <c r="O609" t="n">
        <v>0</v>
      </c>
      <c r="P609" t="n">
        <v>0</v>
      </c>
      <c r="Q609" t="n">
        <v>0</v>
      </c>
      <c r="R609" s="2" t="inlineStr"/>
    </row>
    <row r="610" ht="15" customHeight="1">
      <c r="A610" t="inlineStr">
        <is>
          <t>A 58211-2024</t>
        </is>
      </c>
      <c r="B610" s="1" t="n">
        <v>45632.49292824074</v>
      </c>
      <c r="C610" s="1" t="n">
        <v>46175</v>
      </c>
      <c r="D610" t="inlineStr">
        <is>
          <t>GOTLANDS LÄN</t>
        </is>
      </c>
      <c r="E610" t="inlineStr">
        <is>
          <t>GOTLAND</t>
        </is>
      </c>
      <c r="G610" t="n">
        <v>5.4</v>
      </c>
      <c r="H610" t="n">
        <v>0</v>
      </c>
      <c r="I610" t="n">
        <v>0</v>
      </c>
      <c r="J610" t="n">
        <v>0</v>
      </c>
      <c r="K610" t="n">
        <v>0</v>
      </c>
      <c r="L610" t="n">
        <v>0</v>
      </c>
      <c r="M610" t="n">
        <v>0</v>
      </c>
      <c r="N610" t="n">
        <v>0</v>
      </c>
      <c r="O610" t="n">
        <v>0</v>
      </c>
      <c r="P610" t="n">
        <v>0</v>
      </c>
      <c r="Q610" t="n">
        <v>0</v>
      </c>
      <c r="R610" s="2" t="inlineStr"/>
    </row>
    <row r="611" ht="15" customHeight="1">
      <c r="A611" t="inlineStr">
        <is>
          <t>A 30956-2024</t>
        </is>
      </c>
      <c r="B611" s="1" t="n">
        <v>45499.42527777778</v>
      </c>
      <c r="C611" s="1" t="n">
        <v>46175</v>
      </c>
      <c r="D611" t="inlineStr">
        <is>
          <t>GOTLANDS LÄN</t>
        </is>
      </c>
      <c r="E611" t="inlineStr">
        <is>
          <t>GOTLAND</t>
        </is>
      </c>
      <c r="G611" t="n">
        <v>1.2</v>
      </c>
      <c r="H611" t="n">
        <v>0</v>
      </c>
      <c r="I611" t="n">
        <v>0</v>
      </c>
      <c r="J611" t="n">
        <v>0</v>
      </c>
      <c r="K611" t="n">
        <v>0</v>
      </c>
      <c r="L611" t="n">
        <v>0</v>
      </c>
      <c r="M611" t="n">
        <v>0</v>
      </c>
      <c r="N611" t="n">
        <v>0</v>
      </c>
      <c r="O611" t="n">
        <v>0</v>
      </c>
      <c r="P611" t="n">
        <v>0</v>
      </c>
      <c r="Q611" t="n">
        <v>0</v>
      </c>
      <c r="R611" s="2" t="inlineStr"/>
    </row>
    <row r="612" ht="15" customHeight="1">
      <c r="A612" t="inlineStr">
        <is>
          <t>A 30892-2024</t>
        </is>
      </c>
      <c r="B612" s="1" t="n">
        <v>45491</v>
      </c>
      <c r="C612" s="1" t="n">
        <v>46175</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45013.69365740741</v>
      </c>
      <c r="C613" s="1" t="n">
        <v>46175</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59469-2024</t>
        </is>
      </c>
      <c r="B614" s="1" t="n">
        <v>45638</v>
      </c>
      <c r="C614" s="1" t="n">
        <v>46175</v>
      </c>
      <c r="D614" t="inlineStr">
        <is>
          <t>GOTLANDS LÄN</t>
        </is>
      </c>
      <c r="E614" t="inlineStr">
        <is>
          <t>GOTLAND</t>
        </is>
      </c>
      <c r="G614" t="n">
        <v>0.4</v>
      </c>
      <c r="H614" t="n">
        <v>0</v>
      </c>
      <c r="I614" t="n">
        <v>0</v>
      </c>
      <c r="J614" t="n">
        <v>0</v>
      </c>
      <c r="K614" t="n">
        <v>0</v>
      </c>
      <c r="L614" t="n">
        <v>0</v>
      </c>
      <c r="M614" t="n">
        <v>0</v>
      </c>
      <c r="N614" t="n">
        <v>0</v>
      </c>
      <c r="O614" t="n">
        <v>0</v>
      </c>
      <c r="P614" t="n">
        <v>0</v>
      </c>
      <c r="Q614" t="n">
        <v>0</v>
      </c>
      <c r="R614" s="2" t="inlineStr"/>
    </row>
    <row r="615" ht="15" customHeight="1">
      <c r="A615" t="inlineStr">
        <is>
          <t>A 7858-2025</t>
        </is>
      </c>
      <c r="B615" s="1" t="n">
        <v>45706.68633101852</v>
      </c>
      <c r="C615" s="1" t="n">
        <v>46175</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53935-2024</t>
        </is>
      </c>
      <c r="B616" s="1" t="n">
        <v>45615</v>
      </c>
      <c r="C616" s="1" t="n">
        <v>46175</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18223-2025</t>
        </is>
      </c>
      <c r="B617" s="1" t="n">
        <v>45761</v>
      </c>
      <c r="C617" s="1" t="n">
        <v>46175</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4420-2025</t>
        </is>
      </c>
      <c r="B618" s="1" t="n">
        <v>45686.47157407407</v>
      </c>
      <c r="C618" s="1" t="n">
        <v>46175</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5891-2025</t>
        </is>
      </c>
      <c r="B619" s="1" t="n">
        <v>45695.38327546296</v>
      </c>
      <c r="C619" s="1" t="n">
        <v>46175</v>
      </c>
      <c r="D619" t="inlineStr">
        <is>
          <t>GOTLANDS LÄN</t>
        </is>
      </c>
      <c r="E619" t="inlineStr">
        <is>
          <t>GOTLAND</t>
        </is>
      </c>
      <c r="G619" t="n">
        <v>0.8</v>
      </c>
      <c r="H619" t="n">
        <v>0</v>
      </c>
      <c r="I619" t="n">
        <v>0</v>
      </c>
      <c r="J619" t="n">
        <v>0</v>
      </c>
      <c r="K619" t="n">
        <v>0</v>
      </c>
      <c r="L619" t="n">
        <v>0</v>
      </c>
      <c r="M619" t="n">
        <v>0</v>
      </c>
      <c r="N619" t="n">
        <v>0</v>
      </c>
      <c r="O619" t="n">
        <v>0</v>
      </c>
      <c r="P619" t="n">
        <v>0</v>
      </c>
      <c r="Q619" t="n">
        <v>0</v>
      </c>
      <c r="R619" s="2" t="inlineStr"/>
    </row>
    <row r="620" ht="15" customHeight="1">
      <c r="A620" t="inlineStr">
        <is>
          <t>A 7835-2024</t>
        </is>
      </c>
      <c r="B620" s="1" t="n">
        <v>45349.83138888889</v>
      </c>
      <c r="C620" s="1" t="n">
        <v>46175</v>
      </c>
      <c r="D620" t="inlineStr">
        <is>
          <t>GOTLANDS LÄN</t>
        </is>
      </c>
      <c r="E620" t="inlineStr">
        <is>
          <t>GOTLAND</t>
        </is>
      </c>
      <c r="G620" t="n">
        <v>3.8</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46175</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46175</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46175</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46175</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57356-2023</t>
        </is>
      </c>
      <c r="B625" s="1" t="n">
        <v>45240</v>
      </c>
      <c r="C625" s="1" t="n">
        <v>46175</v>
      </c>
      <c r="D625" t="inlineStr">
        <is>
          <t>GOTLANDS LÄN</t>
        </is>
      </c>
      <c r="E625" t="inlineStr">
        <is>
          <t>GOTLAND</t>
        </is>
      </c>
      <c r="G625" t="n">
        <v>6.4</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46175</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46175</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21420-2024</t>
        </is>
      </c>
      <c r="B628" s="1" t="n">
        <v>45441.38293981482</v>
      </c>
      <c r="C628" s="1" t="n">
        <v>46175</v>
      </c>
      <c r="D628" t="inlineStr">
        <is>
          <t>GOTLANDS LÄN</t>
        </is>
      </c>
      <c r="E628" t="inlineStr">
        <is>
          <t>GOTLAND</t>
        </is>
      </c>
      <c r="G628" t="n">
        <v>4.1</v>
      </c>
      <c r="H628" t="n">
        <v>0</v>
      </c>
      <c r="I628" t="n">
        <v>0</v>
      </c>
      <c r="J628" t="n">
        <v>0</v>
      </c>
      <c r="K628" t="n">
        <v>0</v>
      </c>
      <c r="L628" t="n">
        <v>0</v>
      </c>
      <c r="M628" t="n">
        <v>0</v>
      </c>
      <c r="N628" t="n">
        <v>0</v>
      </c>
      <c r="O628" t="n">
        <v>0</v>
      </c>
      <c r="P628" t="n">
        <v>0</v>
      </c>
      <c r="Q628" t="n">
        <v>0</v>
      </c>
      <c r="R628" s="2" t="inlineStr"/>
    </row>
    <row r="629" ht="15" customHeight="1">
      <c r="A629" t="inlineStr">
        <is>
          <t>A 23188-2025</t>
        </is>
      </c>
      <c r="B629" s="1" t="n">
        <v>45791</v>
      </c>
      <c r="C629" s="1" t="n">
        <v>46175</v>
      </c>
      <c r="D629" t="inlineStr">
        <is>
          <t>GOTLANDS LÄN</t>
        </is>
      </c>
      <c r="E629" t="inlineStr">
        <is>
          <t>GOTLAND</t>
        </is>
      </c>
      <c r="G629" t="n">
        <v>6.2</v>
      </c>
      <c r="H629" t="n">
        <v>0</v>
      </c>
      <c r="I629" t="n">
        <v>0</v>
      </c>
      <c r="J629" t="n">
        <v>0</v>
      </c>
      <c r="K629" t="n">
        <v>0</v>
      </c>
      <c r="L629" t="n">
        <v>0</v>
      </c>
      <c r="M629" t="n">
        <v>0</v>
      </c>
      <c r="N629" t="n">
        <v>0</v>
      </c>
      <c r="O629" t="n">
        <v>0</v>
      </c>
      <c r="P629" t="n">
        <v>0</v>
      </c>
      <c r="Q629" t="n">
        <v>0</v>
      </c>
      <c r="R629" s="2" t="inlineStr"/>
    </row>
    <row r="630" ht="15" customHeight="1">
      <c r="A630" t="inlineStr">
        <is>
          <t>A 23473-2025</t>
        </is>
      </c>
      <c r="B630" s="1" t="n">
        <v>45792</v>
      </c>
      <c r="C630" s="1" t="n">
        <v>46175</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23856-2025</t>
        </is>
      </c>
      <c r="B631" s="1" t="n">
        <v>45793</v>
      </c>
      <c r="C631" s="1" t="n">
        <v>46175</v>
      </c>
      <c r="D631" t="inlineStr">
        <is>
          <t>GOTLANDS LÄN</t>
        </is>
      </c>
      <c r="E631" t="inlineStr">
        <is>
          <t>GOTLAND</t>
        </is>
      </c>
      <c r="G631" t="n">
        <v>4.4</v>
      </c>
      <c r="H631" t="n">
        <v>0</v>
      </c>
      <c r="I631" t="n">
        <v>0</v>
      </c>
      <c r="J631" t="n">
        <v>0</v>
      </c>
      <c r="K631" t="n">
        <v>0</v>
      </c>
      <c r="L631" t="n">
        <v>0</v>
      </c>
      <c r="M631" t="n">
        <v>0</v>
      </c>
      <c r="N631" t="n">
        <v>0</v>
      </c>
      <c r="O631" t="n">
        <v>0</v>
      </c>
      <c r="P631" t="n">
        <v>0</v>
      </c>
      <c r="Q631" t="n">
        <v>0</v>
      </c>
      <c r="R631" s="2" t="inlineStr"/>
    </row>
    <row r="632" ht="15" customHeight="1">
      <c r="A632" t="inlineStr">
        <is>
          <t>A 15073-2025</t>
        </is>
      </c>
      <c r="B632" s="1" t="n">
        <v>45743</v>
      </c>
      <c r="C632" s="1" t="n">
        <v>46175</v>
      </c>
      <c r="D632" t="inlineStr">
        <is>
          <t>GOTLANDS LÄN</t>
        </is>
      </c>
      <c r="E632" t="inlineStr">
        <is>
          <t>GOTLAND</t>
        </is>
      </c>
      <c r="G632" t="n">
        <v>12.1</v>
      </c>
      <c r="H632" t="n">
        <v>0</v>
      </c>
      <c r="I632" t="n">
        <v>0</v>
      </c>
      <c r="J632" t="n">
        <v>0</v>
      </c>
      <c r="K632" t="n">
        <v>0</v>
      </c>
      <c r="L632" t="n">
        <v>0</v>
      </c>
      <c r="M632" t="n">
        <v>0</v>
      </c>
      <c r="N632" t="n">
        <v>0</v>
      </c>
      <c r="O632" t="n">
        <v>0</v>
      </c>
      <c r="P632" t="n">
        <v>0</v>
      </c>
      <c r="Q632" t="n">
        <v>0</v>
      </c>
      <c r="R632" s="2" t="inlineStr"/>
    </row>
    <row r="633" ht="15" customHeight="1">
      <c r="A633" t="inlineStr">
        <is>
          <t>A 6749-2025</t>
        </is>
      </c>
      <c r="B633" s="1" t="n">
        <v>45700</v>
      </c>
      <c r="C633" s="1" t="n">
        <v>46175</v>
      </c>
      <c r="D633" t="inlineStr">
        <is>
          <t>GOTLANDS LÄN</t>
        </is>
      </c>
      <c r="E633" t="inlineStr">
        <is>
          <t>GOTLAND</t>
        </is>
      </c>
      <c r="G633" t="n">
        <v>4.5</v>
      </c>
      <c r="H633" t="n">
        <v>0</v>
      </c>
      <c r="I633" t="n">
        <v>0</v>
      </c>
      <c r="J633" t="n">
        <v>0</v>
      </c>
      <c r="K633" t="n">
        <v>0</v>
      </c>
      <c r="L633" t="n">
        <v>0</v>
      </c>
      <c r="M633" t="n">
        <v>0</v>
      </c>
      <c r="N633" t="n">
        <v>0</v>
      </c>
      <c r="O633" t="n">
        <v>0</v>
      </c>
      <c r="P633" t="n">
        <v>0</v>
      </c>
      <c r="Q633" t="n">
        <v>0</v>
      </c>
      <c r="R633" s="2" t="inlineStr"/>
    </row>
    <row r="634" ht="15" customHeight="1">
      <c r="A634" t="inlineStr">
        <is>
          <t>A 23698-2025</t>
        </is>
      </c>
      <c r="B634" s="1" t="n">
        <v>45793</v>
      </c>
      <c r="C634" s="1" t="n">
        <v>46175</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5462-2025</t>
        </is>
      </c>
      <c r="B635" s="1" t="n">
        <v>45693.29331018519</v>
      </c>
      <c r="C635" s="1" t="n">
        <v>46175</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25796-2025</t>
        </is>
      </c>
      <c r="B636" s="1" t="n">
        <v>45804.39543981481</v>
      </c>
      <c r="C636" s="1" t="n">
        <v>46175</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26457-2025</t>
        </is>
      </c>
      <c r="B637" s="1" t="n">
        <v>45807.42773148148</v>
      </c>
      <c r="C637" s="1" t="n">
        <v>46175</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26467-2025</t>
        </is>
      </c>
      <c r="B638" s="1" t="n">
        <v>45807.44640046296</v>
      </c>
      <c r="C638" s="1" t="n">
        <v>46175</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26465-2025</t>
        </is>
      </c>
      <c r="B639" s="1" t="n">
        <v>45807.44377314814</v>
      </c>
      <c r="C639" s="1" t="n">
        <v>46175</v>
      </c>
      <c r="D639" t="inlineStr">
        <is>
          <t>GOTLANDS LÄN</t>
        </is>
      </c>
      <c r="E639" t="inlineStr">
        <is>
          <t>GOTLAND</t>
        </is>
      </c>
      <c r="G639" t="n">
        <v>4.5</v>
      </c>
      <c r="H639" t="n">
        <v>0</v>
      </c>
      <c r="I639" t="n">
        <v>0</v>
      </c>
      <c r="J639" t="n">
        <v>0</v>
      </c>
      <c r="K639" t="n">
        <v>0</v>
      </c>
      <c r="L639" t="n">
        <v>0</v>
      </c>
      <c r="M639" t="n">
        <v>0</v>
      </c>
      <c r="N639" t="n">
        <v>0</v>
      </c>
      <c r="O639" t="n">
        <v>0</v>
      </c>
      <c r="P639" t="n">
        <v>0</v>
      </c>
      <c r="Q639" t="n">
        <v>0</v>
      </c>
      <c r="R639" s="2" t="inlineStr"/>
    </row>
    <row r="640" ht="15" customHeight="1">
      <c r="A640" t="inlineStr">
        <is>
          <t>A 26660-2025</t>
        </is>
      </c>
      <c r="B640" s="1" t="n">
        <v>45810.39737268518</v>
      </c>
      <c r="C640" s="1" t="n">
        <v>46175</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27371-2025</t>
        </is>
      </c>
      <c r="B641" s="1" t="n">
        <v>45812</v>
      </c>
      <c r="C641" s="1" t="n">
        <v>46175</v>
      </c>
      <c r="D641" t="inlineStr">
        <is>
          <t>GOTLANDS LÄN</t>
        </is>
      </c>
      <c r="E641" t="inlineStr">
        <is>
          <t>GOTLAND</t>
        </is>
      </c>
      <c r="G641" t="n">
        <v>8</v>
      </c>
      <c r="H641" t="n">
        <v>0</v>
      </c>
      <c r="I641" t="n">
        <v>0</v>
      </c>
      <c r="J641" t="n">
        <v>0</v>
      </c>
      <c r="K641" t="n">
        <v>0</v>
      </c>
      <c r="L641" t="n">
        <v>0</v>
      </c>
      <c r="M641" t="n">
        <v>0</v>
      </c>
      <c r="N641" t="n">
        <v>0</v>
      </c>
      <c r="O641" t="n">
        <v>0</v>
      </c>
      <c r="P641" t="n">
        <v>0</v>
      </c>
      <c r="Q641" t="n">
        <v>0</v>
      </c>
      <c r="R641" s="2" t="inlineStr"/>
    </row>
    <row r="642" ht="15" customHeight="1">
      <c r="A642" t="inlineStr">
        <is>
          <t>A 27355-2025</t>
        </is>
      </c>
      <c r="B642" s="1" t="n">
        <v>45812</v>
      </c>
      <c r="C642" s="1" t="n">
        <v>46175</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7850-2025</t>
        </is>
      </c>
      <c r="B643" s="1" t="n">
        <v>45706</v>
      </c>
      <c r="C643" s="1" t="n">
        <v>46175</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c r="A644" t="inlineStr">
        <is>
          <t>A 8444-2025</t>
        </is>
      </c>
      <c r="B644" s="1" t="n">
        <v>45709</v>
      </c>
      <c r="C644" s="1" t="n">
        <v>46175</v>
      </c>
      <c r="D644" t="inlineStr">
        <is>
          <t>GOTLANDS LÄN</t>
        </is>
      </c>
      <c r="E644" t="inlineStr">
        <is>
          <t>GOTLAND</t>
        </is>
      </c>
      <c r="G644" t="n">
        <v>5.2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2026-06-02T10:49:53Z</dcterms:created>
  <dcterms:modified xmlns:dcterms="http://purl.org/dc/terms/" xmlns:xsi="http://www.w3.org/2001/XMLSchema-instance" xsi:type="dcterms:W3CDTF">2026-06-02T10:49:53Z</dcterms:modified>
</cp:coreProperties>
</file>