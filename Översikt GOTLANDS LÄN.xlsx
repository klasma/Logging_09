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46000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46000</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46000</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46000</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46000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46000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46000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46000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46000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46000</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46000</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46000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46000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46000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46000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46000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445-2023</t>
        </is>
      </c>
      <c r="B35" s="1" t="n">
        <v>44929</v>
      </c>
      <c r="C35" s="1" t="n">
        <v>46000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44928-2022</t>
        </is>
      </c>
      <c r="B36" s="1" t="n">
        <v>44841</v>
      </c>
      <c r="C36" s="1" t="n">
        <v>46000</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46000</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46000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46000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46000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46000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46000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46000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46000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46000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46000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46000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46000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46000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46000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1719-2025</t>
        </is>
      </c>
      <c r="B52" s="1" t="n">
        <v>45671</v>
      </c>
      <c r="C52" s="1" t="n">
        <v>46000</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33153-2024</t>
        </is>
      </c>
      <c r="B53" s="1" t="n">
        <v>45518</v>
      </c>
      <c r="C53" s="1" t="n">
        <v>46000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46000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46000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46000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46000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46000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46000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46000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46000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46000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46000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46000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46000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46000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46000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46000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46000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46000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46000</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65819-2020</t>
        </is>
      </c>
      <c r="B74" s="1" t="n">
        <v>44174</v>
      </c>
      <c r="C74" s="1" t="n">
        <v>46000</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7038-2023</t>
        </is>
      </c>
      <c r="B75" s="1" t="n">
        <v>44968</v>
      </c>
      <c r="C75" s="1" t="n">
        <v>46000</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46000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53584-2025</t>
        </is>
      </c>
      <c r="B77" s="1" t="n">
        <v>45960.43130787037</v>
      </c>
      <c r="C77" s="1" t="n">
        <v>46000</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446-2023</t>
        </is>
      </c>
      <c r="B78" s="1" t="n">
        <v>44929</v>
      </c>
      <c r="C78" s="1" t="n">
        <v>46000</v>
      </c>
      <c r="D78" t="inlineStr">
        <is>
          <t>GOTLANDS LÄN</t>
        </is>
      </c>
      <c r="E78" t="inlineStr">
        <is>
          <t>GOTLAND</t>
        </is>
      </c>
      <c r="G78" t="n">
        <v>7.1</v>
      </c>
      <c r="H78" t="n">
        <v>2</v>
      </c>
      <c r="I78" t="n">
        <v>3</v>
      </c>
      <c r="J78" t="n">
        <v>2</v>
      </c>
      <c r="K78" t="n">
        <v>1</v>
      </c>
      <c r="L78" t="n">
        <v>0</v>
      </c>
      <c r="M78" t="n">
        <v>0</v>
      </c>
      <c r="N78" t="n">
        <v>0</v>
      </c>
      <c r="O78" t="n">
        <v>3</v>
      </c>
      <c r="P78" t="n">
        <v>1</v>
      </c>
      <c r="Q78" t="n">
        <v>6</v>
      </c>
      <c r="R78" s="2" t="inlineStr">
        <is>
          <t>Svartgrön spindling
Spillkråka
Äggspindling
Kastanjefjällskivling
Skogsknipprot
Svavelriska</t>
        </is>
      </c>
      <c r="S78">
        <f>HYPERLINK("https://klasma.github.io/Logging_0980/artfynd/A 446-2023 artfynd.xlsx", "A 446-2023")</f>
        <v/>
      </c>
      <c r="T78">
        <f>HYPERLINK("https://klasma.github.io/Logging_0980/kartor/A 446-2023 karta.png", "A 446-2023")</f>
        <v/>
      </c>
      <c r="V78">
        <f>HYPERLINK("https://klasma.github.io/Logging_0980/klagomål/A 446-2023 FSC-klagomål.docx", "A 446-2023")</f>
        <v/>
      </c>
      <c r="W78">
        <f>HYPERLINK("https://klasma.github.io/Logging_0980/klagomålsmail/A 446-2023 FSC-klagomål mail.docx", "A 446-2023")</f>
        <v/>
      </c>
      <c r="X78">
        <f>HYPERLINK("https://klasma.github.io/Logging_0980/tillsyn/A 446-2023 tillsynsbegäran.docx", "A 446-2023")</f>
        <v/>
      </c>
      <c r="Y78">
        <f>HYPERLINK("https://klasma.github.io/Logging_0980/tillsynsmail/A 446-2023 tillsynsbegäran mail.docx", "A 446-2023")</f>
        <v/>
      </c>
      <c r="Z78">
        <f>HYPERLINK("https://klasma.github.io/Logging_0980/fåglar/A 446-2023 prioriterade fågelarter.docx", "A 446-2023")</f>
        <v/>
      </c>
    </row>
    <row r="79" ht="15" customHeight="1">
      <c r="A79" t="inlineStr">
        <is>
          <t>A 54527-2023</t>
        </is>
      </c>
      <c r="B79" s="1" t="n">
        <v>45233</v>
      </c>
      <c r="C79" s="1" t="n">
        <v>46000</v>
      </c>
      <c r="D79" t="inlineStr">
        <is>
          <t>GOTLANDS LÄN</t>
        </is>
      </c>
      <c r="E79" t="inlineStr">
        <is>
          <t>GOTLAND</t>
        </is>
      </c>
      <c r="G79" t="n">
        <v>28.5</v>
      </c>
      <c r="H79" t="n">
        <v>1</v>
      </c>
      <c r="I79" t="n">
        <v>0</v>
      </c>
      <c r="J79" t="n">
        <v>5</v>
      </c>
      <c r="K79" t="n">
        <v>0</v>
      </c>
      <c r="L79" t="n">
        <v>0</v>
      </c>
      <c r="M79" t="n">
        <v>0</v>
      </c>
      <c r="N79" t="n">
        <v>0</v>
      </c>
      <c r="O79" t="n">
        <v>5</v>
      </c>
      <c r="P79" t="n">
        <v>0</v>
      </c>
      <c r="Q79" t="n">
        <v>6</v>
      </c>
      <c r="R79" s="2" t="inlineStr">
        <is>
          <t>Backstarr
Backtimjan
Jordtistel
Sexfläckig bastardsvärmare
Solvända
Brudsporre</t>
        </is>
      </c>
      <c r="S79">
        <f>HYPERLINK("https://klasma.github.io/Logging_0980/artfynd/A 54527-2023 artfynd.xlsx", "A 54527-2023")</f>
        <v/>
      </c>
      <c r="T79">
        <f>HYPERLINK("https://klasma.github.io/Logging_0980/kartor/A 54527-2023 karta.png", "A 54527-2023")</f>
        <v/>
      </c>
      <c r="V79">
        <f>HYPERLINK("https://klasma.github.io/Logging_0980/klagomål/A 54527-2023 FSC-klagomål.docx", "A 54527-2023")</f>
        <v/>
      </c>
      <c r="W79">
        <f>HYPERLINK("https://klasma.github.io/Logging_0980/klagomålsmail/A 54527-2023 FSC-klagomål mail.docx", "A 54527-2023")</f>
        <v/>
      </c>
      <c r="X79">
        <f>HYPERLINK("https://klasma.github.io/Logging_0980/tillsyn/A 54527-2023 tillsynsbegäran.docx", "A 54527-2023")</f>
        <v/>
      </c>
      <c r="Y79">
        <f>HYPERLINK("https://klasma.github.io/Logging_0980/tillsynsmail/A 54527-2023 tillsynsbegäran mail.docx", "A 54527-2023")</f>
        <v/>
      </c>
    </row>
    <row r="80" ht="15" customHeight="1">
      <c r="A80" t="inlineStr">
        <is>
          <t>A 66091-2021</t>
        </is>
      </c>
      <c r="B80" s="1" t="n">
        <v>44517</v>
      </c>
      <c r="C80" s="1" t="n">
        <v>46000</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16375-2025</t>
        </is>
      </c>
      <c r="B81" s="1" t="n">
        <v>45751.41064814815</v>
      </c>
      <c r="C81" s="1" t="n">
        <v>46000</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46000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32326-2024</t>
        </is>
      </c>
      <c r="B83" s="1" t="n">
        <v>45512</v>
      </c>
      <c r="C83" s="1" t="n">
        <v>46000</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52245-2025</t>
        </is>
      </c>
      <c r="B84" s="1" t="n">
        <v>45953.47115740741</v>
      </c>
      <c r="C84" s="1" t="n">
        <v>46000</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46000</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46000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46000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46000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46000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46000</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46000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56717-2024</t>
        </is>
      </c>
      <c r="B92" s="1" t="n">
        <v>45628.3166550926</v>
      </c>
      <c r="C92" s="1" t="n">
        <v>46000</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46000</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20833-2024</t>
        </is>
      </c>
      <c r="B94" s="1" t="n">
        <v>45439</v>
      </c>
      <c r="C94" s="1" t="n">
        <v>46000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46000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46000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46000</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46000</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52309-2025</t>
        </is>
      </c>
      <c r="B99" s="1" t="n">
        <v>45953.64381944444</v>
      </c>
      <c r="C99" s="1" t="n">
        <v>46000</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52250-2025</t>
        </is>
      </c>
      <c r="B100" s="1" t="n">
        <v>45953.48998842593</v>
      </c>
      <c r="C100" s="1" t="n">
        <v>46000</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1971-2023</t>
        </is>
      </c>
      <c r="B101" s="1" t="n">
        <v>44939</v>
      </c>
      <c r="C101" s="1" t="n">
        <v>46000</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46000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46000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46000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46000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46000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46000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46000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2332-2021</t>
        </is>
      </c>
      <c r="B109" s="1" t="n">
        <v>44214</v>
      </c>
      <c r="C109" s="1" t="n">
        <v>46000</v>
      </c>
      <c r="D109" t="inlineStr">
        <is>
          <t>GOTLANDS LÄN</t>
        </is>
      </c>
      <c r="E109" t="inlineStr">
        <is>
          <t>GOTLAND</t>
        </is>
      </c>
      <c r="G109" t="n">
        <v>2.3</v>
      </c>
      <c r="H109" t="n">
        <v>2</v>
      </c>
      <c r="I109" t="n">
        <v>0</v>
      </c>
      <c r="J109" t="n">
        <v>1</v>
      </c>
      <c r="K109" t="n">
        <v>0</v>
      </c>
      <c r="L109" t="n">
        <v>0</v>
      </c>
      <c r="M109" t="n">
        <v>0</v>
      </c>
      <c r="N109" t="n">
        <v>0</v>
      </c>
      <c r="O109" t="n">
        <v>1</v>
      </c>
      <c r="P109" t="n">
        <v>0</v>
      </c>
      <c r="Q109" t="n">
        <v>3</v>
      </c>
      <c r="R109" s="2" t="inlineStr">
        <is>
          <t>Korpnopping
Sankt pers nycklar
Blåsippa</t>
        </is>
      </c>
      <c r="S109">
        <f>HYPERLINK("https://klasma.github.io/Logging_0980/artfynd/A 2332-2021 artfynd.xlsx", "A 2332-2021")</f>
        <v/>
      </c>
      <c r="T109">
        <f>HYPERLINK("https://klasma.github.io/Logging_0980/kartor/A 2332-2021 karta.png", "A 2332-2021")</f>
        <v/>
      </c>
      <c r="V109">
        <f>HYPERLINK("https://klasma.github.io/Logging_0980/klagomål/A 2332-2021 FSC-klagomål.docx", "A 2332-2021")</f>
        <v/>
      </c>
      <c r="W109">
        <f>HYPERLINK("https://klasma.github.io/Logging_0980/klagomålsmail/A 2332-2021 FSC-klagomål mail.docx", "A 2332-2021")</f>
        <v/>
      </c>
      <c r="X109">
        <f>HYPERLINK("https://klasma.github.io/Logging_0980/tillsyn/A 2332-2021 tillsynsbegäran.docx", "A 2332-2021")</f>
        <v/>
      </c>
      <c r="Y109">
        <f>HYPERLINK("https://klasma.github.io/Logging_0980/tillsynsmail/A 2332-2021 tillsynsbegäran mail.docx", "A 2332-2021")</f>
        <v/>
      </c>
    </row>
    <row r="110" ht="15" customHeight="1">
      <c r="A110" t="inlineStr">
        <is>
          <t>A 43013-2022</t>
        </is>
      </c>
      <c r="B110" s="1" t="n">
        <v>44833</v>
      </c>
      <c r="C110" s="1" t="n">
        <v>46000</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73144-2021</t>
        </is>
      </c>
      <c r="B111" s="1" t="n">
        <v>44550</v>
      </c>
      <c r="C111" s="1" t="n">
        <v>46000</v>
      </c>
      <c r="D111" t="inlineStr">
        <is>
          <t>GOTLANDS LÄN</t>
        </is>
      </c>
      <c r="E111" t="inlineStr">
        <is>
          <t>GOTLAND</t>
        </is>
      </c>
      <c r="G111" t="n">
        <v>1.9</v>
      </c>
      <c r="H111" t="n">
        <v>0</v>
      </c>
      <c r="I111" t="n">
        <v>1</v>
      </c>
      <c r="J111" t="n">
        <v>1</v>
      </c>
      <c r="K111" t="n">
        <v>1</v>
      </c>
      <c r="L111" t="n">
        <v>0</v>
      </c>
      <c r="M111" t="n">
        <v>0</v>
      </c>
      <c r="N111" t="n">
        <v>0</v>
      </c>
      <c r="O111" t="n">
        <v>2</v>
      </c>
      <c r="P111" t="n">
        <v>1</v>
      </c>
      <c r="Q111" t="n">
        <v>3</v>
      </c>
      <c r="R111" s="2" t="inlineStr">
        <is>
          <t>Skogskorn
Igelkott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13499-2022</t>
        </is>
      </c>
      <c r="B112" s="1" t="n">
        <v>44647.79203703703</v>
      </c>
      <c r="C112" s="1" t="n">
        <v>46000</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45692.26797453704</v>
      </c>
      <c r="C113" s="1" t="n">
        <v>46000</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30490-2025</t>
        </is>
      </c>
      <c r="B114" s="1" t="n">
        <v>45830</v>
      </c>
      <c r="C114" s="1" t="n">
        <v>46000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48126-2022</t>
        </is>
      </c>
      <c r="B115" s="1" t="n">
        <v>44857</v>
      </c>
      <c r="C115" s="1" t="n">
        <v>46000</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55334-2024</t>
        </is>
      </c>
      <c r="B116" s="1" t="n">
        <v>45621</v>
      </c>
      <c r="C116" s="1" t="n">
        <v>46000</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20831-2024</t>
        </is>
      </c>
      <c r="B117" s="1" t="n">
        <v>45439</v>
      </c>
      <c r="C117" s="1" t="n">
        <v>46000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49709-2025</t>
        </is>
      </c>
      <c r="B118" s="1" t="n">
        <v>45939.68228009259</v>
      </c>
      <c r="C118" s="1" t="n">
        <v>46000</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17975-2024</t>
        </is>
      </c>
      <c r="B119" s="1" t="n">
        <v>45419.85546296297</v>
      </c>
      <c r="C119" s="1" t="n">
        <v>46000</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17982-2023</t>
        </is>
      </c>
      <c r="B120" s="1" t="n">
        <v>45040</v>
      </c>
      <c r="C120" s="1" t="n">
        <v>46000</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46000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46000</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46000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46000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46000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46000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46000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46000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46000</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46000</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46000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46000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46000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46000</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26077-2024</t>
        </is>
      </c>
      <c r="B135" s="1" t="n">
        <v>45467</v>
      </c>
      <c r="C135" s="1" t="n">
        <v>46000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46000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46000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46000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24-2021</t>
        </is>
      </c>
      <c r="B139" s="1" t="n">
        <v>44197</v>
      </c>
      <c r="C139" s="1" t="n">
        <v>46000</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46000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46000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46000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46000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46000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46000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46000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46000</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46000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46527-2023</t>
        </is>
      </c>
      <c r="B149" s="1" t="n">
        <v>45197</v>
      </c>
      <c r="C149" s="1" t="n">
        <v>46000</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35467-2021</t>
        </is>
      </c>
      <c r="B150" s="1" t="n">
        <v>44385</v>
      </c>
      <c r="C150" s="1" t="n">
        <v>46000</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17723-2021</t>
        </is>
      </c>
      <c r="B151" s="1" t="n">
        <v>44300</v>
      </c>
      <c r="C151" s="1" t="n">
        <v>46000</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44619-2025</t>
        </is>
      </c>
      <c r="B152" s="1" t="n">
        <v>45917</v>
      </c>
      <c r="C152" s="1" t="n">
        <v>46000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46000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46000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46000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46000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46000</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46000</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46000</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46000</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12924-2025</t>
        </is>
      </c>
      <c r="B161" s="1" t="n">
        <v>45734</v>
      </c>
      <c r="C161" s="1" t="n">
        <v>46000</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20429-2025</t>
        </is>
      </c>
      <c r="B162" s="1" t="n">
        <v>45775.47728009259</v>
      </c>
      <c r="C162" s="1" t="n">
        <v>46000</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49726-2025</t>
        </is>
      </c>
      <c r="B163" s="1" t="n">
        <v>45939.84466435185</v>
      </c>
      <c r="C163" s="1" t="n">
        <v>46000</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61561-2023</t>
        </is>
      </c>
      <c r="B164" s="1" t="n">
        <v>45265</v>
      </c>
      <c r="C164" s="1" t="n">
        <v>46000</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46000</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46000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2476-2025</t>
        </is>
      </c>
      <c r="B167" s="1" t="n">
        <v>45673</v>
      </c>
      <c r="C167" s="1" t="n">
        <v>46000</v>
      </c>
      <c r="D167" t="inlineStr">
        <is>
          <t>GOTLANDS LÄN</t>
        </is>
      </c>
      <c r="E167" t="inlineStr">
        <is>
          <t>GOTLAND</t>
        </is>
      </c>
      <c r="G167" t="n">
        <v>3.1</v>
      </c>
      <c r="H167" t="n">
        <v>0</v>
      </c>
      <c r="I167" t="n">
        <v>1</v>
      </c>
      <c r="J167" t="n">
        <v>0</v>
      </c>
      <c r="K167" t="n">
        <v>0</v>
      </c>
      <c r="L167" t="n">
        <v>0</v>
      </c>
      <c r="M167" t="n">
        <v>0</v>
      </c>
      <c r="N167" t="n">
        <v>0</v>
      </c>
      <c r="O167" t="n">
        <v>0</v>
      </c>
      <c r="P167" t="n">
        <v>0</v>
      </c>
      <c r="Q167" t="n">
        <v>1</v>
      </c>
      <c r="R167" s="2" t="inlineStr">
        <is>
          <t>Kryddspindling</t>
        </is>
      </c>
      <c r="S167">
        <f>HYPERLINK("https://klasma.github.io/Logging_0980/artfynd/A 2476-2025 artfynd.xlsx", "A 2476-2025")</f>
        <v/>
      </c>
      <c r="T167">
        <f>HYPERLINK("https://klasma.github.io/Logging_0980/kartor/A 2476-2025 karta.png", "A 2476-2025")</f>
        <v/>
      </c>
      <c r="V167">
        <f>HYPERLINK("https://klasma.github.io/Logging_0980/klagomål/A 2476-2025 FSC-klagomål.docx", "A 2476-2025")</f>
        <v/>
      </c>
      <c r="W167">
        <f>HYPERLINK("https://klasma.github.io/Logging_0980/klagomålsmail/A 2476-2025 FSC-klagomål mail.docx", "A 2476-2025")</f>
        <v/>
      </c>
      <c r="X167">
        <f>HYPERLINK("https://klasma.github.io/Logging_0980/tillsyn/A 2476-2025 tillsynsbegäran.docx", "A 2476-2025")</f>
        <v/>
      </c>
      <c r="Y167">
        <f>HYPERLINK("https://klasma.github.io/Logging_0980/tillsynsmail/A 2476-2025 tillsynsbegäran mail.docx", "A 2476-2025")</f>
        <v/>
      </c>
    </row>
    <row r="168" ht="15" customHeight="1">
      <c r="A168" t="inlineStr">
        <is>
          <t>A 44304-2021</t>
        </is>
      </c>
      <c r="B168" s="1" t="n">
        <v>44434</v>
      </c>
      <c r="C168" s="1" t="n">
        <v>46000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46000</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46000</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46000</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46000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46000</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46000</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46000</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46000</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46000</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46000</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46000</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46000</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46000</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46000</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46000</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46000</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46000</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46000</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46000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46000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46000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46000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46000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46000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46000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46000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46000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46000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46000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46000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46000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46000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46000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46000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46000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46000</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46000</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46000</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46000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46000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46000</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46000</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46000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46000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46000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46000</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46000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46000</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46000</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46000</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46000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46000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46000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46000</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46000</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46000</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46000</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46000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46000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46000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1229-2021</t>
        </is>
      </c>
      <c r="B230" s="1" t="n">
        <v>44208</v>
      </c>
      <c r="C230" s="1" t="n">
        <v>46000</v>
      </c>
      <c r="D230" t="inlineStr">
        <is>
          <t>GOTLANDS LÄN</t>
        </is>
      </c>
      <c r="E230" t="inlineStr">
        <is>
          <t>GOTLAND</t>
        </is>
      </c>
      <c r="G230" t="n">
        <v>5.3</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46000</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46000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46000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46000</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46000</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46000</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46000</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46000</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46000</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58476-2022</t>
        </is>
      </c>
      <c r="B240" s="1" t="n">
        <v>44902</v>
      </c>
      <c r="C240" s="1" t="n">
        <v>46000</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46000</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46000</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46000</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46000</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46000</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27593-2023</t>
        </is>
      </c>
      <c r="B246" s="1" t="n">
        <v>45097</v>
      </c>
      <c r="C246" s="1" t="n">
        <v>46000</v>
      </c>
      <c r="D246" t="inlineStr">
        <is>
          <t>GOTLANDS LÄN</t>
        </is>
      </c>
      <c r="E246" t="inlineStr">
        <is>
          <t>GOTLAND</t>
        </is>
      </c>
      <c r="G246" t="n">
        <v>3.1</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46000</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46000</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46000</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46000</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46000</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46000</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46000</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21420-2024</t>
        </is>
      </c>
      <c r="B254" s="1" t="n">
        <v>45441.38293981482</v>
      </c>
      <c r="C254" s="1" t="n">
        <v>46000</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10656-2024</t>
        </is>
      </c>
      <c r="B255" s="1" t="n">
        <v>45368</v>
      </c>
      <c r="C255" s="1" t="n">
        <v>46000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46000</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28506-2023</t>
        </is>
      </c>
      <c r="B257" s="1" t="n">
        <v>45103</v>
      </c>
      <c r="C257" s="1" t="n">
        <v>46000</v>
      </c>
      <c r="D257" t="inlineStr">
        <is>
          <t>GOTLANDS LÄN</t>
        </is>
      </c>
      <c r="E257" t="inlineStr">
        <is>
          <t>GOTLAND</t>
        </is>
      </c>
      <c r="G257" t="n">
        <v>3.2</v>
      </c>
      <c r="H257" t="n">
        <v>0</v>
      </c>
      <c r="I257" t="n">
        <v>0</v>
      </c>
      <c r="J257" t="n">
        <v>0</v>
      </c>
      <c r="K257" t="n">
        <v>0</v>
      </c>
      <c r="L257" t="n">
        <v>0</v>
      </c>
      <c r="M257" t="n">
        <v>0</v>
      </c>
      <c r="N257" t="n">
        <v>0</v>
      </c>
      <c r="O257" t="n">
        <v>0</v>
      </c>
      <c r="P257" t="n">
        <v>0</v>
      </c>
      <c r="Q257" t="n">
        <v>0</v>
      </c>
      <c r="R257" s="2" t="inlineStr"/>
    </row>
    <row r="258" ht="15" customHeight="1">
      <c r="A258" t="inlineStr">
        <is>
          <t>A 7026-2023</t>
        </is>
      </c>
      <c r="B258" s="1" t="n">
        <v>44968.30340277778</v>
      </c>
      <c r="C258" s="1" t="n">
        <v>46000</v>
      </c>
      <c r="D258" t="inlineStr">
        <is>
          <t>GOTLANDS LÄN</t>
        </is>
      </c>
      <c r="E258" t="inlineStr">
        <is>
          <t>GOTLAND</t>
        </is>
      </c>
      <c r="G258" t="n">
        <v>2.9</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46000</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52892-2021</t>
        </is>
      </c>
      <c r="B260" s="1" t="n">
        <v>44467.49048611111</v>
      </c>
      <c r="C260" s="1" t="n">
        <v>46000</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1351-2025</t>
        </is>
      </c>
      <c r="B261" s="1" t="n">
        <v>45667.62246527777</v>
      </c>
      <c r="C261" s="1" t="n">
        <v>46000</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2292-2021</t>
        </is>
      </c>
      <c r="B262" s="1" t="n">
        <v>44212</v>
      </c>
      <c r="C262" s="1" t="n">
        <v>46000</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35142-2025</t>
        </is>
      </c>
      <c r="B263" s="1" t="n">
        <v>45852.65532407408</v>
      </c>
      <c r="C263" s="1" t="n">
        <v>46000</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49874-2024</t>
        </is>
      </c>
      <c r="B264" s="1" t="n">
        <v>45597.49274305555</v>
      </c>
      <c r="C264" s="1" t="n">
        <v>46000</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35141-2025</t>
        </is>
      </c>
      <c r="B265" s="1" t="n">
        <v>45852.65206018519</v>
      </c>
      <c r="C265" s="1" t="n">
        <v>46000</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23856-2025</t>
        </is>
      </c>
      <c r="B266" s="1" t="n">
        <v>45793</v>
      </c>
      <c r="C266" s="1" t="n">
        <v>46000</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23473-2025</t>
        </is>
      </c>
      <c r="B267" s="1" t="n">
        <v>45792</v>
      </c>
      <c r="C267" s="1" t="n">
        <v>46000</v>
      </c>
      <c r="D267" t="inlineStr">
        <is>
          <t>GOTLANDS LÄN</t>
        </is>
      </c>
      <c r="E267" t="inlineStr">
        <is>
          <t>GOTLAND</t>
        </is>
      </c>
      <c r="G267" t="n">
        <v>3.6</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46000</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46000</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46000</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6749-2025</t>
        </is>
      </c>
      <c r="B271" s="1" t="n">
        <v>45700</v>
      </c>
      <c r="C271" s="1" t="n">
        <v>46000</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51782-2023</t>
        </is>
      </c>
      <c r="B272" s="1" t="n">
        <v>45222.80952546297</v>
      </c>
      <c r="C272" s="1" t="n">
        <v>46000</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60675-2021</t>
        </is>
      </c>
      <c r="B273" s="1" t="n">
        <v>44496.64855324074</v>
      </c>
      <c r="C273" s="1" t="n">
        <v>46000</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39814-2025</t>
        </is>
      </c>
      <c r="B274" s="1" t="n">
        <v>45891.52694444444</v>
      </c>
      <c r="C274" s="1" t="n">
        <v>46000</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39819-2025</t>
        </is>
      </c>
      <c r="B275" s="1" t="n">
        <v>45891.53418981482</v>
      </c>
      <c r="C275" s="1" t="n">
        <v>46000</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46000</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14638-2025</t>
        </is>
      </c>
      <c r="B277" s="1" t="n">
        <v>45742</v>
      </c>
      <c r="C277" s="1" t="n">
        <v>46000</v>
      </c>
      <c r="D277" t="inlineStr">
        <is>
          <t>GOTLANDS LÄN</t>
        </is>
      </c>
      <c r="E277" t="inlineStr">
        <is>
          <t>GOTLAND</t>
        </is>
      </c>
      <c r="G277" t="n">
        <v>13.4</v>
      </c>
      <c r="H277" t="n">
        <v>0</v>
      </c>
      <c r="I277" t="n">
        <v>0</v>
      </c>
      <c r="J277" t="n">
        <v>0</v>
      </c>
      <c r="K277" t="n">
        <v>0</v>
      </c>
      <c r="L277" t="n">
        <v>0</v>
      </c>
      <c r="M277" t="n">
        <v>0</v>
      </c>
      <c r="N277" t="n">
        <v>0</v>
      </c>
      <c r="O277" t="n">
        <v>0</v>
      </c>
      <c r="P277" t="n">
        <v>0</v>
      </c>
      <c r="Q277" t="n">
        <v>0</v>
      </c>
      <c r="R277" s="2" t="inlineStr"/>
    </row>
    <row r="278" ht="15" customHeight="1">
      <c r="A278" t="inlineStr">
        <is>
          <t>A 39752-2025</t>
        </is>
      </c>
      <c r="B278" s="1" t="n">
        <v>45891</v>
      </c>
      <c r="C278" s="1" t="n">
        <v>46000</v>
      </c>
      <c r="D278" t="inlineStr">
        <is>
          <t>GOTLANDS LÄN</t>
        </is>
      </c>
      <c r="E278" t="inlineStr">
        <is>
          <t>GOTLAND</t>
        </is>
      </c>
      <c r="G278" t="n">
        <v>5.3</v>
      </c>
      <c r="H278" t="n">
        <v>0</v>
      </c>
      <c r="I278" t="n">
        <v>0</v>
      </c>
      <c r="J278" t="n">
        <v>0</v>
      </c>
      <c r="K278" t="n">
        <v>0</v>
      </c>
      <c r="L278" t="n">
        <v>0</v>
      </c>
      <c r="M278" t="n">
        <v>0</v>
      </c>
      <c r="N278" t="n">
        <v>0</v>
      </c>
      <c r="O278" t="n">
        <v>0</v>
      </c>
      <c r="P278" t="n">
        <v>0</v>
      </c>
      <c r="Q278" t="n">
        <v>0</v>
      </c>
      <c r="R278" s="2" t="inlineStr"/>
    </row>
    <row r="279" ht="15" customHeight="1">
      <c r="A279" t="inlineStr">
        <is>
          <t>A 39816-2025</t>
        </is>
      </c>
      <c r="B279" s="1" t="n">
        <v>45891</v>
      </c>
      <c r="C279" s="1" t="n">
        <v>46000</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46000</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46000</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46000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4421-2024</t>
        </is>
      </c>
      <c r="B283" s="1" t="n">
        <v>45327.45173611111</v>
      </c>
      <c r="C283" s="1" t="n">
        <v>46000</v>
      </c>
      <c r="D283" t="inlineStr">
        <is>
          <t>GOTLANDS LÄN</t>
        </is>
      </c>
      <c r="E283" t="inlineStr">
        <is>
          <t>GOTLAND</t>
        </is>
      </c>
      <c r="G283" t="n">
        <v>5.1</v>
      </c>
      <c r="H283" t="n">
        <v>0</v>
      </c>
      <c r="I283" t="n">
        <v>0</v>
      </c>
      <c r="J283" t="n">
        <v>0</v>
      </c>
      <c r="K283" t="n">
        <v>0</v>
      </c>
      <c r="L283" t="n">
        <v>0</v>
      </c>
      <c r="M283" t="n">
        <v>0</v>
      </c>
      <c r="N283" t="n">
        <v>0</v>
      </c>
      <c r="O283" t="n">
        <v>0</v>
      </c>
      <c r="P283" t="n">
        <v>0</v>
      </c>
      <c r="Q283" t="n">
        <v>0</v>
      </c>
      <c r="R283" s="2" t="inlineStr"/>
    </row>
    <row r="284" ht="15" customHeight="1">
      <c r="A284" t="inlineStr">
        <is>
          <t>A 20165-2022</t>
        </is>
      </c>
      <c r="B284" s="1" t="n">
        <v>44698.49854166667</v>
      </c>
      <c r="C284" s="1" t="n">
        <v>46000</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40103-2025</t>
        </is>
      </c>
      <c r="B285" s="1" t="n">
        <v>45894.4880324074</v>
      </c>
      <c r="C285" s="1" t="n">
        <v>46000</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38649-2025</t>
        </is>
      </c>
      <c r="B286" s="1" t="n">
        <v>45884</v>
      </c>
      <c r="C286" s="1" t="n">
        <v>46000</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31264-2021</t>
        </is>
      </c>
      <c r="B287" s="1" t="n">
        <v>44368</v>
      </c>
      <c r="C287" s="1" t="n">
        <v>46000</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46000</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45521.87988425926</v>
      </c>
      <c r="C289" s="1" t="n">
        <v>46000</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43223-2023</t>
        </is>
      </c>
      <c r="B290" s="1" t="n">
        <v>45183.45642361111</v>
      </c>
      <c r="C290" s="1" t="n">
        <v>46000</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41551-2025</t>
        </is>
      </c>
      <c r="B291" s="1" t="n">
        <v>45901.58854166666</v>
      </c>
      <c r="C291" s="1" t="n">
        <v>46000</v>
      </c>
      <c r="D291" t="inlineStr">
        <is>
          <t>GOTLANDS LÄN</t>
        </is>
      </c>
      <c r="E291" t="inlineStr">
        <is>
          <t>GOTLAND</t>
        </is>
      </c>
      <c r="G291" t="n">
        <v>5.6</v>
      </c>
      <c r="H291" t="n">
        <v>0</v>
      </c>
      <c r="I291" t="n">
        <v>0</v>
      </c>
      <c r="J291" t="n">
        <v>0</v>
      </c>
      <c r="K291" t="n">
        <v>0</v>
      </c>
      <c r="L291" t="n">
        <v>0</v>
      </c>
      <c r="M291" t="n">
        <v>0</v>
      </c>
      <c r="N291" t="n">
        <v>0</v>
      </c>
      <c r="O291" t="n">
        <v>0</v>
      </c>
      <c r="P291" t="n">
        <v>0</v>
      </c>
      <c r="Q291" t="n">
        <v>0</v>
      </c>
      <c r="R291" s="2" t="inlineStr"/>
    </row>
    <row r="292" ht="15" customHeight="1">
      <c r="A292" t="inlineStr">
        <is>
          <t>A 61962-2024</t>
        </is>
      </c>
      <c r="B292" s="1" t="n">
        <v>45653.54340277778</v>
      </c>
      <c r="C292" s="1" t="n">
        <v>46000</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27930-2021</t>
        </is>
      </c>
      <c r="B293" s="1" t="n">
        <v>44354</v>
      </c>
      <c r="C293" s="1" t="n">
        <v>46000</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25796-2025</t>
        </is>
      </c>
      <c r="B294" s="1" t="n">
        <v>45804.39543981481</v>
      </c>
      <c r="C294" s="1" t="n">
        <v>46000</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59469-2024</t>
        </is>
      </c>
      <c r="B295" s="1" t="n">
        <v>45638</v>
      </c>
      <c r="C295" s="1" t="n">
        <v>46000</v>
      </c>
      <c r="D295" t="inlineStr">
        <is>
          <t>GOTLANDS LÄN</t>
        </is>
      </c>
      <c r="E295" t="inlineStr">
        <is>
          <t>GOTLAND</t>
        </is>
      </c>
      <c r="G295" t="n">
        <v>0.4</v>
      </c>
      <c r="H295" t="n">
        <v>0</v>
      </c>
      <c r="I295" t="n">
        <v>0</v>
      </c>
      <c r="J295" t="n">
        <v>0</v>
      </c>
      <c r="K295" t="n">
        <v>0</v>
      </c>
      <c r="L295" t="n">
        <v>0</v>
      </c>
      <c r="M295" t="n">
        <v>0</v>
      </c>
      <c r="N295" t="n">
        <v>0</v>
      </c>
      <c r="O295" t="n">
        <v>0</v>
      </c>
      <c r="P295" t="n">
        <v>0</v>
      </c>
      <c r="Q295" t="n">
        <v>0</v>
      </c>
      <c r="R295" s="2" t="inlineStr"/>
    </row>
    <row r="296" ht="15" customHeight="1">
      <c r="A296" t="inlineStr">
        <is>
          <t>A 39278-2025</t>
        </is>
      </c>
      <c r="B296" s="1" t="n">
        <v>45889</v>
      </c>
      <c r="C296" s="1" t="n">
        <v>46000</v>
      </c>
      <c r="D296" t="inlineStr">
        <is>
          <t>GOTLANDS LÄN</t>
        </is>
      </c>
      <c r="E296" t="inlineStr">
        <is>
          <t>GOTLAND</t>
        </is>
      </c>
      <c r="G296" t="n">
        <v>3.7</v>
      </c>
      <c r="H296" t="n">
        <v>0</v>
      </c>
      <c r="I296" t="n">
        <v>0</v>
      </c>
      <c r="J296" t="n">
        <v>0</v>
      </c>
      <c r="K296" t="n">
        <v>0</v>
      </c>
      <c r="L296" t="n">
        <v>0</v>
      </c>
      <c r="M296" t="n">
        <v>0</v>
      </c>
      <c r="N296" t="n">
        <v>0</v>
      </c>
      <c r="O296" t="n">
        <v>0</v>
      </c>
      <c r="P296" t="n">
        <v>0</v>
      </c>
      <c r="Q296" t="n">
        <v>0</v>
      </c>
      <c r="R296" s="2" t="inlineStr"/>
    </row>
    <row r="297" ht="15" customHeight="1">
      <c r="A297" t="inlineStr">
        <is>
          <t>A 41435-2025</t>
        </is>
      </c>
      <c r="B297" s="1" t="n">
        <v>45901.39974537037</v>
      </c>
      <c r="C297" s="1" t="n">
        <v>46000</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5751-2024</t>
        </is>
      </c>
      <c r="B298" s="1" t="n">
        <v>45335.32702546296</v>
      </c>
      <c r="C298" s="1" t="n">
        <v>46000</v>
      </c>
      <c r="D298" t="inlineStr">
        <is>
          <t>GOTLANDS LÄN</t>
        </is>
      </c>
      <c r="E298" t="inlineStr">
        <is>
          <t>GOTLAND</t>
        </is>
      </c>
      <c r="G298" t="n">
        <v>4.2</v>
      </c>
      <c r="H298" t="n">
        <v>0</v>
      </c>
      <c r="I298" t="n">
        <v>0</v>
      </c>
      <c r="J298" t="n">
        <v>0</v>
      </c>
      <c r="K298" t="n">
        <v>0</v>
      </c>
      <c r="L298" t="n">
        <v>0</v>
      </c>
      <c r="M298" t="n">
        <v>0</v>
      </c>
      <c r="N298" t="n">
        <v>0</v>
      </c>
      <c r="O298" t="n">
        <v>0</v>
      </c>
      <c r="P298" t="n">
        <v>0</v>
      </c>
      <c r="Q298" t="n">
        <v>0</v>
      </c>
      <c r="R298" s="2" t="inlineStr"/>
    </row>
    <row r="299" ht="15" customHeight="1">
      <c r="A299" t="inlineStr">
        <is>
          <t>A 26465-2025</t>
        </is>
      </c>
      <c r="B299" s="1" t="n">
        <v>45807.44377314814</v>
      </c>
      <c r="C299" s="1" t="n">
        <v>46000</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6696-2023</t>
        </is>
      </c>
      <c r="B300" s="1" t="n">
        <v>44966.66425925926</v>
      </c>
      <c r="C300" s="1" t="n">
        <v>46000</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26457-2025</t>
        </is>
      </c>
      <c r="B301" s="1" t="n">
        <v>45807.42773148148</v>
      </c>
      <c r="C301" s="1" t="n">
        <v>46000</v>
      </c>
      <c r="D301" t="inlineStr">
        <is>
          <t>GOTLANDS LÄN</t>
        </is>
      </c>
      <c r="E301" t="inlineStr">
        <is>
          <t>GOTLAND</t>
        </is>
      </c>
      <c r="G301" t="n">
        <v>5.7</v>
      </c>
      <c r="H301" t="n">
        <v>0</v>
      </c>
      <c r="I301" t="n">
        <v>0</v>
      </c>
      <c r="J301" t="n">
        <v>0</v>
      </c>
      <c r="K301" t="n">
        <v>0</v>
      </c>
      <c r="L301" t="n">
        <v>0</v>
      </c>
      <c r="M301" t="n">
        <v>0</v>
      </c>
      <c r="N301" t="n">
        <v>0</v>
      </c>
      <c r="O301" t="n">
        <v>0</v>
      </c>
      <c r="P301" t="n">
        <v>0</v>
      </c>
      <c r="Q301" t="n">
        <v>0</v>
      </c>
      <c r="R301" s="2" t="inlineStr"/>
    </row>
    <row r="302" ht="15" customHeight="1">
      <c r="A302" t="inlineStr">
        <is>
          <t>A 26467-2025</t>
        </is>
      </c>
      <c r="B302" s="1" t="n">
        <v>45807.44640046296</v>
      </c>
      <c r="C302" s="1" t="n">
        <v>46000</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28480-2023</t>
        </is>
      </c>
      <c r="B303" s="1" t="n">
        <v>45103</v>
      </c>
      <c r="C303" s="1" t="n">
        <v>46000</v>
      </c>
      <c r="D303" t="inlineStr">
        <is>
          <t>GOTLANDS LÄN</t>
        </is>
      </c>
      <c r="E303" t="inlineStr">
        <is>
          <t>GOTLAND</t>
        </is>
      </c>
      <c r="G303" t="n">
        <v>5.7</v>
      </c>
      <c r="H303" t="n">
        <v>0</v>
      </c>
      <c r="I303" t="n">
        <v>0</v>
      </c>
      <c r="J303" t="n">
        <v>0</v>
      </c>
      <c r="K303" t="n">
        <v>0</v>
      </c>
      <c r="L303" t="n">
        <v>0</v>
      </c>
      <c r="M303" t="n">
        <v>0</v>
      </c>
      <c r="N303" t="n">
        <v>0</v>
      </c>
      <c r="O303" t="n">
        <v>0</v>
      </c>
      <c r="P303" t="n">
        <v>0</v>
      </c>
      <c r="Q303" t="n">
        <v>0</v>
      </c>
      <c r="R303" s="2" t="inlineStr"/>
    </row>
    <row r="304" ht="15" customHeight="1">
      <c r="A304" t="inlineStr">
        <is>
          <t>A 28485-2023</t>
        </is>
      </c>
      <c r="B304" s="1" t="n">
        <v>45103.43731481482</v>
      </c>
      <c r="C304" s="1" t="n">
        <v>46000</v>
      </c>
      <c r="D304" t="inlineStr">
        <is>
          <t>GOTLANDS LÄN</t>
        </is>
      </c>
      <c r="E304" t="inlineStr">
        <is>
          <t>GOTLAND</t>
        </is>
      </c>
      <c r="G304" t="n">
        <v>2.3</v>
      </c>
      <c r="H304" t="n">
        <v>0</v>
      </c>
      <c r="I304" t="n">
        <v>0</v>
      </c>
      <c r="J304" t="n">
        <v>0</v>
      </c>
      <c r="K304" t="n">
        <v>0</v>
      </c>
      <c r="L304" t="n">
        <v>0</v>
      </c>
      <c r="M304" t="n">
        <v>0</v>
      </c>
      <c r="N304" t="n">
        <v>0</v>
      </c>
      <c r="O304" t="n">
        <v>0</v>
      </c>
      <c r="P304" t="n">
        <v>0</v>
      </c>
      <c r="Q304" t="n">
        <v>0</v>
      </c>
      <c r="R304" s="2" t="inlineStr"/>
    </row>
    <row r="305" ht="15" customHeight="1">
      <c r="A305" t="inlineStr">
        <is>
          <t>A 4990-2025</t>
        </is>
      </c>
      <c r="B305" s="1" t="n">
        <v>45691</v>
      </c>
      <c r="C305" s="1" t="n">
        <v>46000</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26660-2025</t>
        </is>
      </c>
      <c r="B306" s="1" t="n">
        <v>45810.39737268518</v>
      </c>
      <c r="C306" s="1" t="n">
        <v>46000</v>
      </c>
      <c r="D306" t="inlineStr">
        <is>
          <t>GOTLANDS LÄN</t>
        </is>
      </c>
      <c r="E306" t="inlineStr">
        <is>
          <t>GOTLAND</t>
        </is>
      </c>
      <c r="G306" t="n">
        <v>1.8</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46000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38165-2023</t>
        </is>
      </c>
      <c r="B308" s="1" t="n">
        <v>45161</v>
      </c>
      <c r="C308" s="1" t="n">
        <v>46000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27355-2025</t>
        </is>
      </c>
      <c r="B309" s="1" t="n">
        <v>45812</v>
      </c>
      <c r="C309" s="1" t="n">
        <v>46000</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46000</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27371-2025</t>
        </is>
      </c>
      <c r="B311" s="1" t="n">
        <v>45812</v>
      </c>
      <c r="C311" s="1" t="n">
        <v>46000</v>
      </c>
      <c r="D311" t="inlineStr">
        <is>
          <t>GOTLANDS LÄN</t>
        </is>
      </c>
      <c r="E311" t="inlineStr">
        <is>
          <t>GOTLAND</t>
        </is>
      </c>
      <c r="G311" t="n">
        <v>8</v>
      </c>
      <c r="H311" t="n">
        <v>0</v>
      </c>
      <c r="I311" t="n">
        <v>0</v>
      </c>
      <c r="J311" t="n">
        <v>0</v>
      </c>
      <c r="K311" t="n">
        <v>0</v>
      </c>
      <c r="L311" t="n">
        <v>0</v>
      </c>
      <c r="M311" t="n">
        <v>0</v>
      </c>
      <c r="N311" t="n">
        <v>0</v>
      </c>
      <c r="O311" t="n">
        <v>0</v>
      </c>
      <c r="P311" t="n">
        <v>0</v>
      </c>
      <c r="Q311" t="n">
        <v>0</v>
      </c>
      <c r="R311" s="2" t="inlineStr"/>
    </row>
    <row r="312" ht="15" customHeight="1">
      <c r="A312" t="inlineStr">
        <is>
          <t>A 49693-2023</t>
        </is>
      </c>
      <c r="B312" s="1" t="n">
        <v>45212.38138888889</v>
      </c>
      <c r="C312" s="1" t="n">
        <v>46000</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49697-2023</t>
        </is>
      </c>
      <c r="B313" s="1" t="n">
        <v>45212.38909722222</v>
      </c>
      <c r="C313" s="1" t="n">
        <v>46000</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7850-2025</t>
        </is>
      </c>
      <c r="B314" s="1" t="n">
        <v>45706</v>
      </c>
      <c r="C314" s="1" t="n">
        <v>46000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34312-2024</t>
        </is>
      </c>
      <c r="B315" s="1" t="n">
        <v>45524.69703703704</v>
      </c>
      <c r="C315" s="1" t="n">
        <v>46000</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46000</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10158-2025</t>
        </is>
      </c>
      <c r="B317" s="1" t="n">
        <v>45719</v>
      </c>
      <c r="C317" s="1" t="n">
        <v>46000</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8444-2025</t>
        </is>
      </c>
      <c r="B318" s="1" t="n">
        <v>45709</v>
      </c>
      <c r="C318" s="1" t="n">
        <v>46000</v>
      </c>
      <c r="D318" t="inlineStr">
        <is>
          <t>GOTLANDS LÄN</t>
        </is>
      </c>
      <c r="E318" t="inlineStr">
        <is>
          <t>GOTLAND</t>
        </is>
      </c>
      <c r="G318" t="n">
        <v>5.2</v>
      </c>
      <c r="H318" t="n">
        <v>0</v>
      </c>
      <c r="I318" t="n">
        <v>0</v>
      </c>
      <c r="J318" t="n">
        <v>0</v>
      </c>
      <c r="K318" t="n">
        <v>0</v>
      </c>
      <c r="L318" t="n">
        <v>0</v>
      </c>
      <c r="M318" t="n">
        <v>0</v>
      </c>
      <c r="N318" t="n">
        <v>0</v>
      </c>
      <c r="O318" t="n">
        <v>0</v>
      </c>
      <c r="P318" t="n">
        <v>0</v>
      </c>
      <c r="Q318" t="n">
        <v>0</v>
      </c>
      <c r="R318" s="2" t="inlineStr"/>
    </row>
    <row r="319" ht="15" customHeight="1">
      <c r="A319" t="inlineStr">
        <is>
          <t>A 48503-2023</t>
        </is>
      </c>
      <c r="B319" s="1" t="n">
        <v>45207</v>
      </c>
      <c r="C319" s="1" t="n">
        <v>46000</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19905-2025</t>
        </is>
      </c>
      <c r="B320" s="1" t="n">
        <v>45771</v>
      </c>
      <c r="C320" s="1" t="n">
        <v>46000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46000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24825-2024</t>
        </is>
      </c>
      <c r="B322" s="1" t="n">
        <v>45461</v>
      </c>
      <c r="C322" s="1" t="n">
        <v>46000</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46000</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44410-2025</t>
        </is>
      </c>
      <c r="B324" s="1" t="n">
        <v>45916.53699074074</v>
      </c>
      <c r="C324" s="1" t="n">
        <v>46000</v>
      </c>
      <c r="D324" t="inlineStr">
        <is>
          <t>GOTLANDS LÄN</t>
        </is>
      </c>
      <c r="E324" t="inlineStr">
        <is>
          <t>GOTLAND</t>
        </is>
      </c>
      <c r="G324" t="n">
        <v>2.3</v>
      </c>
      <c r="H324" t="n">
        <v>0</v>
      </c>
      <c r="I324" t="n">
        <v>0</v>
      </c>
      <c r="J324" t="n">
        <v>0</v>
      </c>
      <c r="K324" t="n">
        <v>0</v>
      </c>
      <c r="L324" t="n">
        <v>0</v>
      </c>
      <c r="M324" t="n">
        <v>0</v>
      </c>
      <c r="N324" t="n">
        <v>0</v>
      </c>
      <c r="O324" t="n">
        <v>0</v>
      </c>
      <c r="P324" t="n">
        <v>0</v>
      </c>
      <c r="Q324" t="n">
        <v>0</v>
      </c>
      <c r="R324" s="2" t="inlineStr"/>
    </row>
    <row r="325" ht="15" customHeight="1">
      <c r="A325" t="inlineStr">
        <is>
          <t>A 22031-2024</t>
        </is>
      </c>
      <c r="B325" s="1" t="n">
        <v>45443.60075231481</v>
      </c>
      <c r="C325" s="1" t="n">
        <v>46000</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17688-2024</t>
        </is>
      </c>
      <c r="B326" s="1" t="n">
        <v>45418.43575231481</v>
      </c>
      <c r="C326" s="1" t="n">
        <v>46000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29207-2025</t>
        </is>
      </c>
      <c r="B327" s="1" t="n">
        <v>45823</v>
      </c>
      <c r="C327" s="1" t="n">
        <v>46000</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29196-2025</t>
        </is>
      </c>
      <c r="B328" s="1" t="n">
        <v>45822</v>
      </c>
      <c r="C328" s="1" t="n">
        <v>46000</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44405-2025</t>
        </is>
      </c>
      <c r="B329" s="1" t="n">
        <v>45916.52405092592</v>
      </c>
      <c r="C329" s="1" t="n">
        <v>46000</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27694-2024</t>
        </is>
      </c>
      <c r="B330" s="1" t="n">
        <v>45475</v>
      </c>
      <c r="C330" s="1" t="n">
        <v>46000</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53587-2025</t>
        </is>
      </c>
      <c r="B331" s="1" t="n">
        <v>45960.43681712963</v>
      </c>
      <c r="C331" s="1" t="n">
        <v>46000</v>
      </c>
      <c r="D331" t="inlineStr">
        <is>
          <t>GOTLANDS LÄN</t>
        </is>
      </c>
      <c r="E331" t="inlineStr">
        <is>
          <t>GOTLAND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46000</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39764-2022</t>
        </is>
      </c>
      <c r="B333" s="1" t="n">
        <v>44819</v>
      </c>
      <c r="C333" s="1" t="n">
        <v>46000</v>
      </c>
      <c r="D333" t="inlineStr">
        <is>
          <t>GOTLANDS LÄN</t>
        </is>
      </c>
      <c r="E333" t="inlineStr">
        <is>
          <t>GOTLAND</t>
        </is>
      </c>
      <c r="F333" t="inlineStr">
        <is>
          <t>Kyrkan</t>
        </is>
      </c>
      <c r="G333" t="n">
        <v>3.7</v>
      </c>
      <c r="H333" t="n">
        <v>0</v>
      </c>
      <c r="I333" t="n">
        <v>0</v>
      </c>
      <c r="J333" t="n">
        <v>0</v>
      </c>
      <c r="K333" t="n">
        <v>0</v>
      </c>
      <c r="L333" t="n">
        <v>0</v>
      </c>
      <c r="M333" t="n">
        <v>0</v>
      </c>
      <c r="N333" t="n">
        <v>0</v>
      </c>
      <c r="O333" t="n">
        <v>0</v>
      </c>
      <c r="P333" t="n">
        <v>0</v>
      </c>
      <c r="Q333" t="n">
        <v>0</v>
      </c>
      <c r="R333" s="2" t="inlineStr"/>
    </row>
    <row r="334" ht="15" customHeight="1">
      <c r="A334" t="inlineStr">
        <is>
          <t>A 6099-2024</t>
        </is>
      </c>
      <c r="B334" s="1" t="n">
        <v>45337</v>
      </c>
      <c r="C334" s="1" t="n">
        <v>46000</v>
      </c>
      <c r="D334" t="inlineStr">
        <is>
          <t>GOTLANDS LÄN</t>
        </is>
      </c>
      <c r="E334" t="inlineStr">
        <is>
          <t>GOTLAND</t>
        </is>
      </c>
      <c r="G334" t="n">
        <v>12.6</v>
      </c>
      <c r="H334" t="n">
        <v>0</v>
      </c>
      <c r="I334" t="n">
        <v>0</v>
      </c>
      <c r="J334" t="n">
        <v>0</v>
      </c>
      <c r="K334" t="n">
        <v>0</v>
      </c>
      <c r="L334" t="n">
        <v>0</v>
      </c>
      <c r="M334" t="n">
        <v>0</v>
      </c>
      <c r="N334" t="n">
        <v>0</v>
      </c>
      <c r="O334" t="n">
        <v>0</v>
      </c>
      <c r="P334" t="n">
        <v>0</v>
      </c>
      <c r="Q334" t="n">
        <v>0</v>
      </c>
      <c r="R334" s="2" t="inlineStr"/>
    </row>
    <row r="335" ht="15" customHeight="1">
      <c r="A335" t="inlineStr">
        <is>
          <t>A 8260-2023</t>
        </is>
      </c>
      <c r="B335" s="1" t="n">
        <v>44974.61608796296</v>
      </c>
      <c r="C335" s="1" t="n">
        <v>46000</v>
      </c>
      <c r="D335" t="inlineStr">
        <is>
          <t>GOTLANDS LÄN</t>
        </is>
      </c>
      <c r="E335" t="inlineStr">
        <is>
          <t>GOTLAND</t>
        </is>
      </c>
      <c r="G335" t="n">
        <v>2.9</v>
      </c>
      <c r="H335" t="n">
        <v>0</v>
      </c>
      <c r="I335" t="n">
        <v>0</v>
      </c>
      <c r="J335" t="n">
        <v>0</v>
      </c>
      <c r="K335" t="n">
        <v>0</v>
      </c>
      <c r="L335" t="n">
        <v>0</v>
      </c>
      <c r="M335" t="n">
        <v>0</v>
      </c>
      <c r="N335" t="n">
        <v>0</v>
      </c>
      <c r="O335" t="n">
        <v>0</v>
      </c>
      <c r="P335" t="n">
        <v>0</v>
      </c>
      <c r="Q335" t="n">
        <v>0</v>
      </c>
      <c r="R335" s="2" t="inlineStr"/>
    </row>
    <row r="336" ht="15" customHeight="1">
      <c r="A336" t="inlineStr">
        <is>
          <t>A 53561-2025</t>
        </is>
      </c>
      <c r="B336" s="1" t="n">
        <v>45960.4059375</v>
      </c>
      <c r="C336" s="1" t="n">
        <v>46000</v>
      </c>
      <c r="D336" t="inlineStr">
        <is>
          <t>GOTLANDS LÄN</t>
        </is>
      </c>
      <c r="E336" t="inlineStr">
        <is>
          <t>GOTLAND</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58160-2024</t>
        </is>
      </c>
      <c r="B337" s="1" t="n">
        <v>45632.44927083333</v>
      </c>
      <c r="C337" s="1" t="n">
        <v>46000</v>
      </c>
      <c r="D337" t="inlineStr">
        <is>
          <t>GOTLANDS LÄN</t>
        </is>
      </c>
      <c r="E337" t="inlineStr">
        <is>
          <t>GOTLAND</t>
        </is>
      </c>
      <c r="G337" t="n">
        <v>5.6</v>
      </c>
      <c r="H337" t="n">
        <v>0</v>
      </c>
      <c r="I337" t="n">
        <v>0</v>
      </c>
      <c r="J337" t="n">
        <v>0</v>
      </c>
      <c r="K337" t="n">
        <v>0</v>
      </c>
      <c r="L337" t="n">
        <v>0</v>
      </c>
      <c r="M337" t="n">
        <v>0</v>
      </c>
      <c r="N337" t="n">
        <v>0</v>
      </c>
      <c r="O337" t="n">
        <v>0</v>
      </c>
      <c r="P337" t="n">
        <v>0</v>
      </c>
      <c r="Q337" t="n">
        <v>0</v>
      </c>
      <c r="R337" s="2" t="inlineStr"/>
    </row>
    <row r="338" ht="15" customHeight="1">
      <c r="A338" t="inlineStr">
        <is>
          <t>A 22287-2022</t>
        </is>
      </c>
      <c r="B338" s="1" t="n">
        <v>44712</v>
      </c>
      <c r="C338" s="1" t="n">
        <v>46000</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57534-2022</t>
        </is>
      </c>
      <c r="B339" s="1" t="n">
        <v>44896</v>
      </c>
      <c r="C339" s="1" t="n">
        <v>46000</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54584-2025</t>
        </is>
      </c>
      <c r="B340" s="1" t="n">
        <v>45965.71788194445</v>
      </c>
      <c r="C340" s="1" t="n">
        <v>46000</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16109-2025</t>
        </is>
      </c>
      <c r="B341" s="1" t="n">
        <v>45750</v>
      </c>
      <c r="C341" s="1" t="n">
        <v>46000</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64660-2023</t>
        </is>
      </c>
      <c r="B342" s="1" t="n">
        <v>45281.60122685185</v>
      </c>
      <c r="C342" s="1" t="n">
        <v>46000</v>
      </c>
      <c r="D342" t="inlineStr">
        <is>
          <t>GOTLANDS LÄN</t>
        </is>
      </c>
      <c r="E342" t="inlineStr">
        <is>
          <t>GOTLAND</t>
        </is>
      </c>
      <c r="G342" t="n">
        <v>6.3</v>
      </c>
      <c r="H342" t="n">
        <v>0</v>
      </c>
      <c r="I342" t="n">
        <v>0</v>
      </c>
      <c r="J342" t="n">
        <v>0</v>
      </c>
      <c r="K342" t="n">
        <v>0</v>
      </c>
      <c r="L342" t="n">
        <v>0</v>
      </c>
      <c r="M342" t="n">
        <v>0</v>
      </c>
      <c r="N342" t="n">
        <v>0</v>
      </c>
      <c r="O342" t="n">
        <v>0</v>
      </c>
      <c r="P342" t="n">
        <v>0</v>
      </c>
      <c r="Q342" t="n">
        <v>0</v>
      </c>
      <c r="R342" s="2" t="inlineStr"/>
    </row>
    <row r="343" ht="15" customHeight="1">
      <c r="A343" t="inlineStr">
        <is>
          <t>A 32467-2025</t>
        </is>
      </c>
      <c r="B343" s="1" t="n">
        <v>45838.42111111111</v>
      </c>
      <c r="C343" s="1" t="n">
        <v>46000</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46000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33007-2025</t>
        </is>
      </c>
      <c r="B345" s="1" t="n">
        <v>45840</v>
      </c>
      <c r="C345" s="1" t="n">
        <v>46000</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20855-2023</t>
        </is>
      </c>
      <c r="B346" s="1" t="n">
        <v>45058.82172453704</v>
      </c>
      <c r="C346" s="1" t="n">
        <v>46000</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46000</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60709-2023</t>
        </is>
      </c>
      <c r="B348" s="1" t="n">
        <v>45260</v>
      </c>
      <c r="C348" s="1" t="n">
        <v>46000</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1000-2024</t>
        </is>
      </c>
      <c r="B349" s="1" t="n">
        <v>45301.63371527778</v>
      </c>
      <c r="C349" s="1" t="n">
        <v>46000</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1010-2024</t>
        </is>
      </c>
      <c r="B350" s="1" t="n">
        <v>45301</v>
      </c>
      <c r="C350" s="1" t="n">
        <v>46000</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65249-2023</t>
        </is>
      </c>
      <c r="B351" s="1" t="n">
        <v>45290</v>
      </c>
      <c r="C351" s="1" t="n">
        <v>46000</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46000</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46000</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46000</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8045-2022</t>
        </is>
      </c>
      <c r="B355" s="1" t="n">
        <v>44609</v>
      </c>
      <c r="C355" s="1" t="n">
        <v>46000</v>
      </c>
      <c r="D355" t="inlineStr">
        <is>
          <t>GOTLANDS LÄN</t>
        </is>
      </c>
      <c r="E355" t="inlineStr">
        <is>
          <t>GOTLAND</t>
        </is>
      </c>
      <c r="G355" t="n">
        <v>7</v>
      </c>
      <c r="H355" t="n">
        <v>0</v>
      </c>
      <c r="I355" t="n">
        <v>0</v>
      </c>
      <c r="J355" t="n">
        <v>0</v>
      </c>
      <c r="K355" t="n">
        <v>0</v>
      </c>
      <c r="L355" t="n">
        <v>0</v>
      </c>
      <c r="M355" t="n">
        <v>0</v>
      </c>
      <c r="N355" t="n">
        <v>0</v>
      </c>
      <c r="O355" t="n">
        <v>0</v>
      </c>
      <c r="P355" t="n">
        <v>0</v>
      </c>
      <c r="Q355" t="n">
        <v>0</v>
      </c>
      <c r="R355" s="2" t="inlineStr"/>
    </row>
    <row r="356" ht="15" customHeight="1">
      <c r="A356" t="inlineStr">
        <is>
          <t>A 15413-2025</t>
        </is>
      </c>
      <c r="B356" s="1" t="n">
        <v>45747.451875</v>
      </c>
      <c r="C356" s="1" t="n">
        <v>46000</v>
      </c>
      <c r="D356" t="inlineStr">
        <is>
          <t>GOTLANDS LÄN</t>
        </is>
      </c>
      <c r="E356" t="inlineStr">
        <is>
          <t>GOTLAND</t>
        </is>
      </c>
      <c r="G356" t="n">
        <v>0.6</v>
      </c>
      <c r="H356" t="n">
        <v>0</v>
      </c>
      <c r="I356" t="n">
        <v>0</v>
      </c>
      <c r="J356" t="n">
        <v>0</v>
      </c>
      <c r="K356" t="n">
        <v>0</v>
      </c>
      <c r="L356" t="n">
        <v>0</v>
      </c>
      <c r="M356" t="n">
        <v>0</v>
      </c>
      <c r="N356" t="n">
        <v>0</v>
      </c>
      <c r="O356" t="n">
        <v>0</v>
      </c>
      <c r="P356" t="n">
        <v>0</v>
      </c>
      <c r="Q356" t="n">
        <v>0</v>
      </c>
      <c r="R356" s="2" t="inlineStr"/>
    </row>
    <row r="357" ht="15" customHeight="1">
      <c r="A357" t="inlineStr">
        <is>
          <t>A 35096-2025</t>
        </is>
      </c>
      <c r="B357" s="1" t="n">
        <v>45852.54356481481</v>
      </c>
      <c r="C357" s="1" t="n">
        <v>46000</v>
      </c>
      <c r="D357" t="inlineStr">
        <is>
          <t>GOTLANDS LÄN</t>
        </is>
      </c>
      <c r="E357" t="inlineStr">
        <is>
          <t>GOTLAND</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46000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35123-2025</t>
        </is>
      </c>
      <c r="B359" s="1" t="n">
        <v>45852.614375</v>
      </c>
      <c r="C359" s="1" t="n">
        <v>46000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35290-2025</t>
        </is>
      </c>
      <c r="B360" s="1" t="n">
        <v>45854.38502314815</v>
      </c>
      <c r="C360" s="1" t="n">
        <v>46000</v>
      </c>
      <c r="D360" t="inlineStr">
        <is>
          <t>GOTLANDS LÄN</t>
        </is>
      </c>
      <c r="E360" t="inlineStr">
        <is>
          <t>GOTLAND</t>
        </is>
      </c>
      <c r="G360" t="n">
        <v>5.4</v>
      </c>
      <c r="H360" t="n">
        <v>0</v>
      </c>
      <c r="I360" t="n">
        <v>0</v>
      </c>
      <c r="J360" t="n">
        <v>0</v>
      </c>
      <c r="K360" t="n">
        <v>0</v>
      </c>
      <c r="L360" t="n">
        <v>0</v>
      </c>
      <c r="M360" t="n">
        <v>0</v>
      </c>
      <c r="N360" t="n">
        <v>0</v>
      </c>
      <c r="O360" t="n">
        <v>0</v>
      </c>
      <c r="P360" t="n">
        <v>0</v>
      </c>
      <c r="Q360" t="n">
        <v>0</v>
      </c>
      <c r="R360" s="2" t="inlineStr"/>
    </row>
    <row r="361" ht="15" customHeight="1">
      <c r="A361" t="inlineStr">
        <is>
          <t>A 999-2024</t>
        </is>
      </c>
      <c r="B361" s="1" t="n">
        <v>45301</v>
      </c>
      <c r="C361" s="1" t="n">
        <v>46000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65901-2021</t>
        </is>
      </c>
      <c r="B362" s="1" t="n">
        <v>44516</v>
      </c>
      <c r="C362" s="1" t="n">
        <v>46000</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30104-2025</t>
        </is>
      </c>
      <c r="B363" s="1" t="n">
        <v>45826.68806712963</v>
      </c>
      <c r="C363" s="1" t="n">
        <v>46000</v>
      </c>
      <c r="D363" t="inlineStr">
        <is>
          <t>GOTLANDS LÄN</t>
        </is>
      </c>
      <c r="E363" t="inlineStr">
        <is>
          <t>GOTLAND</t>
        </is>
      </c>
      <c r="G363" t="n">
        <v>15.4</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46000</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32669-2024</t>
        </is>
      </c>
      <c r="B365" s="1" t="n">
        <v>45514</v>
      </c>
      <c r="C365" s="1" t="n">
        <v>46000</v>
      </c>
      <c r="D365" t="inlineStr">
        <is>
          <t>GOTLANDS LÄN</t>
        </is>
      </c>
      <c r="E365" t="inlineStr">
        <is>
          <t>GOTLAND</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35537-2025</t>
        </is>
      </c>
      <c r="B366" s="1" t="n">
        <v>45856</v>
      </c>
      <c r="C366" s="1" t="n">
        <v>46000</v>
      </c>
      <c r="D366" t="inlineStr">
        <is>
          <t>GOTLANDS LÄN</t>
        </is>
      </c>
      <c r="E366" t="inlineStr">
        <is>
          <t>GOTLAND</t>
        </is>
      </c>
      <c r="G366" t="n">
        <v>16.8</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46000</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27602-2023</t>
        </is>
      </c>
      <c r="B368" s="1" t="n">
        <v>45097</v>
      </c>
      <c r="C368" s="1" t="n">
        <v>46000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58780-2024</t>
        </is>
      </c>
      <c r="B369" s="1" t="n">
        <v>45635.84113425926</v>
      </c>
      <c r="C369" s="1" t="n">
        <v>46000</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12322-2025</t>
        </is>
      </c>
      <c r="B370" s="1" t="n">
        <v>45730</v>
      </c>
      <c r="C370" s="1" t="n">
        <v>46000</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32378-2025</t>
        </is>
      </c>
      <c r="B371" s="1" t="n">
        <v>45837</v>
      </c>
      <c r="C371" s="1" t="n">
        <v>46000</v>
      </c>
      <c r="D371" t="inlineStr">
        <is>
          <t>GOTLANDS LÄN</t>
        </is>
      </c>
      <c r="E371" t="inlineStr">
        <is>
          <t>GOTLAND</t>
        </is>
      </c>
      <c r="G371" t="n">
        <v>4.1</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46000</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46000</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30488-2025</t>
        </is>
      </c>
      <c r="B374" s="1" t="n">
        <v>45830</v>
      </c>
      <c r="C374" s="1" t="n">
        <v>46000</v>
      </c>
      <c r="D374" t="inlineStr">
        <is>
          <t>GOTLANDS LÄN</t>
        </is>
      </c>
      <c r="E374" t="inlineStr">
        <is>
          <t>GOTLAND</t>
        </is>
      </c>
      <c r="F374" t="inlineStr">
        <is>
          <t>Kyrkan</t>
        </is>
      </c>
      <c r="G374" t="n">
        <v>3.9</v>
      </c>
      <c r="H374" t="n">
        <v>0</v>
      </c>
      <c r="I374" t="n">
        <v>0</v>
      </c>
      <c r="J374" t="n">
        <v>0</v>
      </c>
      <c r="K374" t="n">
        <v>0</v>
      </c>
      <c r="L374" t="n">
        <v>0</v>
      </c>
      <c r="M374" t="n">
        <v>0</v>
      </c>
      <c r="N374" t="n">
        <v>0</v>
      </c>
      <c r="O374" t="n">
        <v>0</v>
      </c>
      <c r="P374" t="n">
        <v>0</v>
      </c>
      <c r="Q374" t="n">
        <v>0</v>
      </c>
      <c r="R374" s="2" t="inlineStr"/>
    </row>
    <row r="375" ht="15" customHeight="1">
      <c r="A375" t="inlineStr">
        <is>
          <t>A 15216-2025</t>
        </is>
      </c>
      <c r="B375" s="1" t="n">
        <v>45744</v>
      </c>
      <c r="C375" s="1" t="n">
        <v>46000</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56799-2025</t>
        </is>
      </c>
      <c r="B376" s="1" t="n">
        <v>45978.43392361111</v>
      </c>
      <c r="C376" s="1" t="n">
        <v>46000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7835-2024</t>
        </is>
      </c>
      <c r="B377" s="1" t="n">
        <v>45349.83138888889</v>
      </c>
      <c r="C377" s="1" t="n">
        <v>46000</v>
      </c>
      <c r="D377" t="inlineStr">
        <is>
          <t>GOTLANDS LÄN</t>
        </is>
      </c>
      <c r="E377" t="inlineStr">
        <is>
          <t>GOTLAND</t>
        </is>
      </c>
      <c r="G377" t="n">
        <v>3.8</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46000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46000</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46000</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10650-2022</t>
        </is>
      </c>
      <c r="B381" s="1" t="n">
        <v>44624.57945601852</v>
      </c>
      <c r="C381" s="1" t="n">
        <v>46000</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46000</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18742-2025</t>
        </is>
      </c>
      <c r="B383" s="1" t="n">
        <v>45763</v>
      </c>
      <c r="C383" s="1" t="n">
        <v>46000</v>
      </c>
      <c r="D383" t="inlineStr">
        <is>
          <t>GOTLANDS LÄN</t>
        </is>
      </c>
      <c r="E383" t="inlineStr">
        <is>
          <t>GOTLAND</t>
        </is>
      </c>
      <c r="G383" t="n">
        <v>3.4</v>
      </c>
      <c r="H383" t="n">
        <v>0</v>
      </c>
      <c r="I383" t="n">
        <v>0</v>
      </c>
      <c r="J383" t="n">
        <v>0</v>
      </c>
      <c r="K383" t="n">
        <v>0</v>
      </c>
      <c r="L383" t="n">
        <v>0</v>
      </c>
      <c r="M383" t="n">
        <v>0</v>
      </c>
      <c r="N383" t="n">
        <v>0</v>
      </c>
      <c r="O383" t="n">
        <v>0</v>
      </c>
      <c r="P383" t="n">
        <v>0</v>
      </c>
      <c r="Q383" t="n">
        <v>0</v>
      </c>
      <c r="R383" s="2" t="inlineStr"/>
    </row>
    <row r="384" ht="15" customHeight="1">
      <c r="A384" t="inlineStr">
        <is>
          <t>A 56688-2025</t>
        </is>
      </c>
      <c r="B384" s="1" t="n">
        <v>45975.84331018518</v>
      </c>
      <c r="C384" s="1" t="n">
        <v>46000</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35129-2025</t>
        </is>
      </c>
      <c r="B385" s="1" t="n">
        <v>45852.63224537037</v>
      </c>
      <c r="C385" s="1" t="n">
        <v>46000</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47147-2025</t>
        </is>
      </c>
      <c r="B386" s="1" t="n">
        <v>45929</v>
      </c>
      <c r="C386" s="1" t="n">
        <v>46000</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44349.55087962963</v>
      </c>
      <c r="C387" s="1" t="n">
        <v>46000</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46000</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28425-2023</t>
        </is>
      </c>
      <c r="B389" s="1" t="n">
        <v>45102</v>
      </c>
      <c r="C389" s="1" t="n">
        <v>46000</v>
      </c>
      <c r="D389" t="inlineStr">
        <is>
          <t>GOTLANDS LÄN</t>
        </is>
      </c>
      <c r="E389" t="inlineStr">
        <is>
          <t>GOTLAND</t>
        </is>
      </c>
      <c r="G389" t="n">
        <v>0.5</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46000</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13037-2025</t>
        </is>
      </c>
      <c r="B391" s="1" t="n">
        <v>45734</v>
      </c>
      <c r="C391" s="1" t="n">
        <v>46000</v>
      </c>
      <c r="D391" t="inlineStr">
        <is>
          <t>GOTLANDS LÄN</t>
        </is>
      </c>
      <c r="E391" t="inlineStr">
        <is>
          <t>GOTLAND</t>
        </is>
      </c>
      <c r="G391" t="n">
        <v>9.5</v>
      </c>
      <c r="H391" t="n">
        <v>0</v>
      </c>
      <c r="I391" t="n">
        <v>0</v>
      </c>
      <c r="J391" t="n">
        <v>0</v>
      </c>
      <c r="K391" t="n">
        <v>0</v>
      </c>
      <c r="L391" t="n">
        <v>0</v>
      </c>
      <c r="M391" t="n">
        <v>0</v>
      </c>
      <c r="N391" t="n">
        <v>0</v>
      </c>
      <c r="O391" t="n">
        <v>0</v>
      </c>
      <c r="P391" t="n">
        <v>0</v>
      </c>
      <c r="Q391" t="n">
        <v>0</v>
      </c>
      <c r="R391" s="2" t="inlineStr"/>
    </row>
    <row r="392" ht="15" customHeight="1">
      <c r="A392" t="inlineStr">
        <is>
          <t>A 33011-2025</t>
        </is>
      </c>
      <c r="B392" s="1" t="n">
        <v>45840</v>
      </c>
      <c r="C392" s="1" t="n">
        <v>46000</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49690-2025</t>
        </is>
      </c>
      <c r="B393" s="1" t="n">
        <v>45939.66730324074</v>
      </c>
      <c r="C393" s="1" t="n">
        <v>46000</v>
      </c>
      <c r="D393" t="inlineStr">
        <is>
          <t>GOTLANDS LÄN</t>
        </is>
      </c>
      <c r="E393" t="inlineStr">
        <is>
          <t>GOTLAND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46000</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46000</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6108-2025</t>
        </is>
      </c>
      <c r="B396" s="1" t="n">
        <v>45698.29880787037</v>
      </c>
      <c r="C396" s="1" t="n">
        <v>46000</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17343-2025</t>
        </is>
      </c>
      <c r="B397" s="1" t="n">
        <v>45756.6687037037</v>
      </c>
      <c r="C397" s="1" t="n">
        <v>46000</v>
      </c>
      <c r="D397" t="inlineStr">
        <is>
          <t>GOTLANDS LÄN</t>
        </is>
      </c>
      <c r="E397" t="inlineStr">
        <is>
          <t>GOTLAND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10746-2025</t>
        </is>
      </c>
      <c r="B398" s="1" t="n">
        <v>45722.42766203704</v>
      </c>
      <c r="C398" s="1" t="n">
        <v>46000</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46000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20307-2025</t>
        </is>
      </c>
      <c r="B400" s="1" t="n">
        <v>45774.95546296296</v>
      </c>
      <c r="C400" s="1" t="n">
        <v>46000</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18993-2025</t>
        </is>
      </c>
      <c r="B401" s="1" t="n">
        <v>45764</v>
      </c>
      <c r="C401" s="1" t="n">
        <v>46000</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30135-2025</t>
        </is>
      </c>
      <c r="B402" s="1" t="n">
        <v>45826</v>
      </c>
      <c r="C402" s="1" t="n">
        <v>46000</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49724-2025</t>
        </is>
      </c>
      <c r="B403" s="1" t="n">
        <v>45939.83730324074</v>
      </c>
      <c r="C403" s="1" t="n">
        <v>46000</v>
      </c>
      <c r="D403" t="inlineStr">
        <is>
          <t>GOTLANDS LÄN</t>
        </is>
      </c>
      <c r="E403" t="inlineStr">
        <is>
          <t>GOTLAND</t>
        </is>
      </c>
      <c r="F403" t="inlineStr">
        <is>
          <t>Kyrkan</t>
        </is>
      </c>
      <c r="G403" t="n">
        <v>3.1</v>
      </c>
      <c r="H403" t="n">
        <v>0</v>
      </c>
      <c r="I403" t="n">
        <v>0</v>
      </c>
      <c r="J403" t="n">
        <v>0</v>
      </c>
      <c r="K403" t="n">
        <v>0</v>
      </c>
      <c r="L403" t="n">
        <v>0</v>
      </c>
      <c r="M403" t="n">
        <v>0</v>
      </c>
      <c r="N403" t="n">
        <v>0</v>
      </c>
      <c r="O403" t="n">
        <v>0</v>
      </c>
      <c r="P403" t="n">
        <v>0</v>
      </c>
      <c r="Q403" t="n">
        <v>0</v>
      </c>
      <c r="R403" s="2" t="inlineStr"/>
    </row>
    <row r="404" ht="15" customHeight="1">
      <c r="A404" t="inlineStr">
        <is>
          <t>A 49730-2025</t>
        </is>
      </c>
      <c r="B404" s="1" t="n">
        <v>45939.87613425926</v>
      </c>
      <c r="C404" s="1" t="n">
        <v>46000</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43229-2023</t>
        </is>
      </c>
      <c r="B405" s="1" t="n">
        <v>45183.46704861111</v>
      </c>
      <c r="C405" s="1" t="n">
        <v>46000</v>
      </c>
      <c r="D405" t="inlineStr">
        <is>
          <t>GOTLANDS LÄN</t>
        </is>
      </c>
      <c r="E405" t="inlineStr">
        <is>
          <t>GOTLAND</t>
        </is>
      </c>
      <c r="G405" t="n">
        <v>7.1</v>
      </c>
      <c r="H405" t="n">
        <v>0</v>
      </c>
      <c r="I405" t="n">
        <v>0</v>
      </c>
      <c r="J405" t="n">
        <v>0</v>
      </c>
      <c r="K405" t="n">
        <v>0</v>
      </c>
      <c r="L405" t="n">
        <v>0</v>
      </c>
      <c r="M405" t="n">
        <v>0</v>
      </c>
      <c r="N405" t="n">
        <v>0</v>
      </c>
      <c r="O405" t="n">
        <v>0</v>
      </c>
      <c r="P405" t="n">
        <v>0</v>
      </c>
      <c r="Q405" t="n">
        <v>0</v>
      </c>
      <c r="R405" s="2" t="inlineStr"/>
    </row>
    <row r="406" ht="15" customHeight="1">
      <c r="A406" t="inlineStr">
        <is>
          <t>A 41038-2023</t>
        </is>
      </c>
      <c r="B406" s="1" t="n">
        <v>45173.60959490741</v>
      </c>
      <c r="C406" s="1" t="n">
        <v>46000</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50421-2025</t>
        </is>
      </c>
      <c r="B407" s="1" t="n">
        <v>45944.66049768519</v>
      </c>
      <c r="C407" s="1" t="n">
        <v>46000</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50431-2025</t>
        </is>
      </c>
      <c r="B408" s="1" t="n">
        <v>45944.68453703704</v>
      </c>
      <c r="C408" s="1" t="n">
        <v>46000</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46000</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24966-2023</t>
        </is>
      </c>
      <c r="B410" s="1" t="n">
        <v>45085</v>
      </c>
      <c r="C410" s="1" t="n">
        <v>46000</v>
      </c>
      <c r="D410" t="inlineStr">
        <is>
          <t>GOTLANDS LÄN</t>
        </is>
      </c>
      <c r="E410" t="inlineStr">
        <is>
          <t>GOTLAND</t>
        </is>
      </c>
      <c r="G410" t="n">
        <v>7</v>
      </c>
      <c r="H410" t="n">
        <v>0</v>
      </c>
      <c r="I410" t="n">
        <v>0</v>
      </c>
      <c r="J410" t="n">
        <v>0</v>
      </c>
      <c r="K410" t="n">
        <v>0</v>
      </c>
      <c r="L410" t="n">
        <v>0</v>
      </c>
      <c r="M410" t="n">
        <v>0</v>
      </c>
      <c r="N410" t="n">
        <v>0</v>
      </c>
      <c r="O410" t="n">
        <v>0</v>
      </c>
      <c r="P410" t="n">
        <v>0</v>
      </c>
      <c r="Q410" t="n">
        <v>0</v>
      </c>
      <c r="R410" s="2" t="inlineStr"/>
    </row>
    <row r="411" ht="15" customHeight="1">
      <c r="A411" t="inlineStr">
        <is>
          <t>A 57652-2023</t>
        </is>
      </c>
      <c r="B411" s="1" t="n">
        <v>45246</v>
      </c>
      <c r="C411" s="1" t="n">
        <v>46000</v>
      </c>
      <c r="D411" t="inlineStr">
        <is>
          <t>GOTLANDS LÄN</t>
        </is>
      </c>
      <c r="E411" t="inlineStr">
        <is>
          <t>GOTLAND</t>
        </is>
      </c>
      <c r="G411" t="n">
        <v>7.2</v>
      </c>
      <c r="H411" t="n">
        <v>0</v>
      </c>
      <c r="I411" t="n">
        <v>0</v>
      </c>
      <c r="J411" t="n">
        <v>0</v>
      </c>
      <c r="K411" t="n">
        <v>0</v>
      </c>
      <c r="L411" t="n">
        <v>0</v>
      </c>
      <c r="M411" t="n">
        <v>0</v>
      </c>
      <c r="N411" t="n">
        <v>0</v>
      </c>
      <c r="O411" t="n">
        <v>0</v>
      </c>
      <c r="P411" t="n">
        <v>0</v>
      </c>
      <c r="Q411" t="n">
        <v>0</v>
      </c>
      <c r="R411" s="2" t="inlineStr"/>
    </row>
    <row r="412" ht="15" customHeight="1">
      <c r="A412" t="inlineStr">
        <is>
          <t>A 46189-2022</t>
        </is>
      </c>
      <c r="B412" s="1" t="n">
        <v>44847</v>
      </c>
      <c r="C412" s="1" t="n">
        <v>46000</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57522-2022</t>
        </is>
      </c>
      <c r="B413" s="1" t="n">
        <v>44896</v>
      </c>
      <c r="C413" s="1" t="n">
        <v>46000</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14797-2024</t>
        </is>
      </c>
      <c r="B414" s="1" t="n">
        <v>45397.87030092593</v>
      </c>
      <c r="C414" s="1" t="n">
        <v>46000</v>
      </c>
      <c r="D414" t="inlineStr">
        <is>
          <t>GOTLANDS LÄN</t>
        </is>
      </c>
      <c r="E414" t="inlineStr">
        <is>
          <t>GOTLAND</t>
        </is>
      </c>
      <c r="G414" t="n">
        <v>8.1</v>
      </c>
      <c r="H414" t="n">
        <v>0</v>
      </c>
      <c r="I414" t="n">
        <v>0</v>
      </c>
      <c r="J414" t="n">
        <v>0</v>
      </c>
      <c r="K414" t="n">
        <v>0</v>
      </c>
      <c r="L414" t="n">
        <v>0</v>
      </c>
      <c r="M414" t="n">
        <v>0</v>
      </c>
      <c r="N414" t="n">
        <v>0</v>
      </c>
      <c r="O414" t="n">
        <v>0</v>
      </c>
      <c r="P414" t="n">
        <v>0</v>
      </c>
      <c r="Q414" t="n">
        <v>0</v>
      </c>
      <c r="R414" s="2" t="inlineStr"/>
    </row>
    <row r="415" ht="15" customHeight="1">
      <c r="A415" t="inlineStr">
        <is>
          <t>A 7837-2024</t>
        </is>
      </c>
      <c r="B415" s="1" t="n">
        <v>45349.83787037037</v>
      </c>
      <c r="C415" s="1" t="n">
        <v>46000</v>
      </c>
      <c r="D415" t="inlineStr">
        <is>
          <t>GOTLANDS LÄN</t>
        </is>
      </c>
      <c r="E415" t="inlineStr">
        <is>
          <t>GOTLAND</t>
        </is>
      </c>
      <c r="G415" t="n">
        <v>5</v>
      </c>
      <c r="H415" t="n">
        <v>0</v>
      </c>
      <c r="I415" t="n">
        <v>0</v>
      </c>
      <c r="J415" t="n">
        <v>0</v>
      </c>
      <c r="K415" t="n">
        <v>0</v>
      </c>
      <c r="L415" t="n">
        <v>0</v>
      </c>
      <c r="M415" t="n">
        <v>0</v>
      </c>
      <c r="N415" t="n">
        <v>0</v>
      </c>
      <c r="O415" t="n">
        <v>0</v>
      </c>
      <c r="P415" t="n">
        <v>0</v>
      </c>
      <c r="Q415" t="n">
        <v>0</v>
      </c>
      <c r="R415" s="2" t="inlineStr"/>
    </row>
    <row r="416" ht="15" customHeight="1">
      <c r="A416" t="inlineStr">
        <is>
          <t>A 59197-2025</t>
        </is>
      </c>
      <c r="B416" s="1" t="n">
        <v>45988.59846064815</v>
      </c>
      <c r="C416" s="1" t="n">
        <v>46000</v>
      </c>
      <c r="D416" t="inlineStr">
        <is>
          <t>GOTLANDS LÄN</t>
        </is>
      </c>
      <c r="E416" t="inlineStr">
        <is>
          <t>GOTLAND</t>
        </is>
      </c>
      <c r="G416" t="n">
        <v>2.3</v>
      </c>
      <c r="H416" t="n">
        <v>0</v>
      </c>
      <c r="I416" t="n">
        <v>0</v>
      </c>
      <c r="J416" t="n">
        <v>0</v>
      </c>
      <c r="K416" t="n">
        <v>0</v>
      </c>
      <c r="L416" t="n">
        <v>0</v>
      </c>
      <c r="M416" t="n">
        <v>0</v>
      </c>
      <c r="N416" t="n">
        <v>0</v>
      </c>
      <c r="O416" t="n">
        <v>0</v>
      </c>
      <c r="P416" t="n">
        <v>0</v>
      </c>
      <c r="Q416" t="n">
        <v>0</v>
      </c>
      <c r="R416" s="2" t="inlineStr"/>
    </row>
    <row r="417" ht="15" customHeight="1">
      <c r="A417" t="inlineStr">
        <is>
          <t>A 50928-2025</t>
        </is>
      </c>
      <c r="B417" s="1" t="n">
        <v>45946.67896990741</v>
      </c>
      <c r="C417" s="1" t="n">
        <v>46000</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1394-2023</t>
        </is>
      </c>
      <c r="B418" s="1" t="n">
        <v>44936.72997685185</v>
      </c>
      <c r="C418" s="1" t="n">
        <v>46000</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51262-2025</t>
        </is>
      </c>
      <c r="B419" s="1" t="n">
        <v>45949.49872685185</v>
      </c>
      <c r="C419" s="1" t="n">
        <v>46000</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2676-2023</t>
        </is>
      </c>
      <c r="B420" s="1" t="n">
        <v>44944</v>
      </c>
      <c r="C420" s="1" t="n">
        <v>46000</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4387-2023</t>
        </is>
      </c>
      <c r="B421" s="1" t="n">
        <v>44955.73359953704</v>
      </c>
      <c r="C421" s="1" t="n">
        <v>46000</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49411-2023</t>
        </is>
      </c>
      <c r="B422" s="1" t="n">
        <v>45205</v>
      </c>
      <c r="C422" s="1" t="n">
        <v>46000</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37728-2024</t>
        </is>
      </c>
      <c r="B423" s="1" t="n">
        <v>45541</v>
      </c>
      <c r="C423" s="1" t="n">
        <v>46000</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46000</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53577-2025</t>
        </is>
      </c>
      <c r="B425" s="1" t="n">
        <v>45960.42224537037</v>
      </c>
      <c r="C425" s="1" t="n">
        <v>46000</v>
      </c>
      <c r="D425" t="inlineStr">
        <is>
          <t>GOTLANDS LÄN</t>
        </is>
      </c>
      <c r="E425" t="inlineStr">
        <is>
          <t>GOTLAND</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2241-2025</t>
        </is>
      </c>
      <c r="B426" s="1" t="n">
        <v>45673.48710648148</v>
      </c>
      <c r="C426" s="1" t="n">
        <v>46000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22275-2023</t>
        </is>
      </c>
      <c r="B427" s="1" t="n">
        <v>45070.39875</v>
      </c>
      <c r="C427" s="1" t="n">
        <v>46000</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14635-2023</t>
        </is>
      </c>
      <c r="B428" s="1" t="n">
        <v>45013.69365740741</v>
      </c>
      <c r="C428" s="1" t="n">
        <v>46000</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63763-2023</t>
        </is>
      </c>
      <c r="B429" s="1" t="n">
        <v>45278.33944444444</v>
      </c>
      <c r="C429" s="1" t="n">
        <v>46000</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46000</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46000</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46000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46000</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46000</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60384-2025</t>
        </is>
      </c>
      <c r="B435" s="1" t="n">
        <v>45995.37947916667</v>
      </c>
      <c r="C435" s="1" t="n">
        <v>46000</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7034-2023</t>
        </is>
      </c>
      <c r="B436" s="1" t="n">
        <v>44968.32108796296</v>
      </c>
      <c r="C436" s="1" t="n">
        <v>46000</v>
      </c>
      <c r="D436" t="inlineStr">
        <is>
          <t>GOTLANDS LÄN</t>
        </is>
      </c>
      <c r="E436" t="inlineStr">
        <is>
          <t>GOTLAND</t>
        </is>
      </c>
      <c r="G436" t="n">
        <v>1.6</v>
      </c>
      <c r="H436" t="n">
        <v>0</v>
      </c>
      <c r="I436" t="n">
        <v>0</v>
      </c>
      <c r="J436" t="n">
        <v>0</v>
      </c>
      <c r="K436" t="n">
        <v>0</v>
      </c>
      <c r="L436" t="n">
        <v>0</v>
      </c>
      <c r="M436" t="n">
        <v>0</v>
      </c>
      <c r="N436" t="n">
        <v>0</v>
      </c>
      <c r="O436" t="n">
        <v>0</v>
      </c>
      <c r="P436" t="n">
        <v>0</v>
      </c>
      <c r="Q436" t="n">
        <v>0</v>
      </c>
      <c r="R436" s="2" t="inlineStr"/>
    </row>
    <row r="437" ht="15" customHeight="1">
      <c r="A437" t="inlineStr">
        <is>
          <t>A 7042-2023</t>
        </is>
      </c>
      <c r="B437" s="1" t="n">
        <v>44968</v>
      </c>
      <c r="C437" s="1" t="n">
        <v>46000</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2180-2025</t>
        </is>
      </c>
      <c r="B438" s="1" t="n">
        <v>45673</v>
      </c>
      <c r="C438" s="1" t="n">
        <v>46000</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52249-2025</t>
        </is>
      </c>
      <c r="B439" s="1" t="n">
        <v>45953.48637731482</v>
      </c>
      <c r="C439" s="1" t="n">
        <v>46000</v>
      </c>
      <c r="D439" t="inlineStr">
        <is>
          <t>GOTLANDS LÄN</t>
        </is>
      </c>
      <c r="E439" t="inlineStr">
        <is>
          <t>GOTLAND</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54074-2022</t>
        </is>
      </c>
      <c r="B440" s="1" t="n">
        <v>44881</v>
      </c>
      <c r="C440" s="1" t="n">
        <v>46000</v>
      </c>
      <c r="D440" t="inlineStr">
        <is>
          <t>GOTLANDS LÄN</t>
        </is>
      </c>
      <c r="E440" t="inlineStr">
        <is>
          <t>GOTLAND</t>
        </is>
      </c>
      <c r="G440" t="n">
        <v>0.9</v>
      </c>
      <c r="H440" t="n">
        <v>0</v>
      </c>
      <c r="I440" t="n">
        <v>0</v>
      </c>
      <c r="J440" t="n">
        <v>0</v>
      </c>
      <c r="K440" t="n">
        <v>0</v>
      </c>
      <c r="L440" t="n">
        <v>0</v>
      </c>
      <c r="M440" t="n">
        <v>0</v>
      </c>
      <c r="N440" t="n">
        <v>0</v>
      </c>
      <c r="O440" t="n">
        <v>0</v>
      </c>
      <c r="P440" t="n">
        <v>0</v>
      </c>
      <c r="Q440" t="n">
        <v>0</v>
      </c>
      <c r="R440" s="2" t="inlineStr"/>
    </row>
    <row r="441" ht="15" customHeight="1">
      <c r="A441" t="inlineStr">
        <is>
          <t>A 61694-2023</t>
        </is>
      </c>
      <c r="B441" s="1" t="n">
        <v>45264</v>
      </c>
      <c r="C441" s="1" t="n">
        <v>46000</v>
      </c>
      <c r="D441" t="inlineStr">
        <is>
          <t>GOTLANDS LÄN</t>
        </is>
      </c>
      <c r="E441" t="inlineStr">
        <is>
          <t>GOTLAND</t>
        </is>
      </c>
      <c r="G441" t="n">
        <v>4.6</v>
      </c>
      <c r="H441" t="n">
        <v>0</v>
      </c>
      <c r="I441" t="n">
        <v>0</v>
      </c>
      <c r="J441" t="n">
        <v>0</v>
      </c>
      <c r="K441" t="n">
        <v>0</v>
      </c>
      <c r="L441" t="n">
        <v>0</v>
      </c>
      <c r="M441" t="n">
        <v>0</v>
      </c>
      <c r="N441" t="n">
        <v>0</v>
      </c>
      <c r="O441" t="n">
        <v>0</v>
      </c>
      <c r="P441" t="n">
        <v>0</v>
      </c>
      <c r="Q441" t="n">
        <v>0</v>
      </c>
      <c r="R441" s="2" t="inlineStr"/>
    </row>
    <row r="442" ht="15" customHeight="1">
      <c r="A442" t="inlineStr">
        <is>
          <t>A 64208-2021</t>
        </is>
      </c>
      <c r="B442" s="1" t="n">
        <v>44510</v>
      </c>
      <c r="C442" s="1" t="n">
        <v>46000</v>
      </c>
      <c r="D442" t="inlineStr">
        <is>
          <t>GOTLANDS LÄN</t>
        </is>
      </c>
      <c r="E442" t="inlineStr">
        <is>
          <t>GOTLAND</t>
        </is>
      </c>
      <c r="G442" t="n">
        <v>4.7</v>
      </c>
      <c r="H442" t="n">
        <v>0</v>
      </c>
      <c r="I442" t="n">
        <v>0</v>
      </c>
      <c r="J442" t="n">
        <v>0</v>
      </c>
      <c r="K442" t="n">
        <v>0</v>
      </c>
      <c r="L442" t="n">
        <v>0</v>
      </c>
      <c r="M442" t="n">
        <v>0</v>
      </c>
      <c r="N442" t="n">
        <v>0</v>
      </c>
      <c r="O442" t="n">
        <v>0</v>
      </c>
      <c r="P442" t="n">
        <v>0</v>
      </c>
      <c r="Q442" t="n">
        <v>0</v>
      </c>
      <c r="R442" s="2" t="inlineStr"/>
    </row>
    <row r="443" ht="15" customHeight="1">
      <c r="A443" t="inlineStr">
        <is>
          <t>A 54268-2022</t>
        </is>
      </c>
      <c r="B443" s="1" t="n">
        <v>44882</v>
      </c>
      <c r="C443" s="1" t="n">
        <v>46000</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52637-2025</t>
        </is>
      </c>
      <c r="B444" s="1" t="n">
        <v>45954.75099537037</v>
      </c>
      <c r="C444" s="1" t="n">
        <v>46000</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1446-2025</t>
        </is>
      </c>
      <c r="B445" s="1" t="n">
        <v>45669.86035879629</v>
      </c>
      <c r="C445" s="1" t="n">
        <v>46000</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1462-2025</t>
        </is>
      </c>
      <c r="B446" s="1" t="n">
        <v>45670.36319444444</v>
      </c>
      <c r="C446" s="1" t="n">
        <v>46000</v>
      </c>
      <c r="D446" t="inlineStr">
        <is>
          <t>GOTLANDS LÄN</t>
        </is>
      </c>
      <c r="E446" t="inlineStr">
        <is>
          <t>GOTLAND</t>
        </is>
      </c>
      <c r="G446" t="n">
        <v>2.8</v>
      </c>
      <c r="H446" t="n">
        <v>0</v>
      </c>
      <c r="I446" t="n">
        <v>0</v>
      </c>
      <c r="J446" t="n">
        <v>0</v>
      </c>
      <c r="K446" t="n">
        <v>0</v>
      </c>
      <c r="L446" t="n">
        <v>0</v>
      </c>
      <c r="M446" t="n">
        <v>0</v>
      </c>
      <c r="N446" t="n">
        <v>0</v>
      </c>
      <c r="O446" t="n">
        <v>0</v>
      </c>
      <c r="P446" t="n">
        <v>0</v>
      </c>
      <c r="Q446" t="n">
        <v>0</v>
      </c>
      <c r="R446" s="2" t="inlineStr"/>
    </row>
    <row r="447" ht="15" customHeight="1">
      <c r="A447" t="inlineStr">
        <is>
          <t>A 57685-2022</t>
        </is>
      </c>
      <c r="B447" s="1" t="n">
        <v>44897.4777662037</v>
      </c>
      <c r="C447" s="1" t="n">
        <v>46000</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811-2023</t>
        </is>
      </c>
      <c r="B448" s="1" t="n">
        <v>44931</v>
      </c>
      <c r="C448" s="1" t="n">
        <v>46000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5905-2024</t>
        </is>
      </c>
      <c r="B449" s="1" t="n">
        <v>45335.88993055555</v>
      </c>
      <c r="C449" s="1" t="n">
        <v>46000</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3431-2025</t>
        </is>
      </c>
      <c r="B450" s="1" t="n">
        <v>45680.42935185185</v>
      </c>
      <c r="C450" s="1" t="n">
        <v>46000</v>
      </c>
      <c r="D450" t="inlineStr">
        <is>
          <t>GOTLANDS LÄN</t>
        </is>
      </c>
      <c r="E450" t="inlineStr">
        <is>
          <t>GOTLAND</t>
        </is>
      </c>
      <c r="G450" t="n">
        <v>4.8</v>
      </c>
      <c r="H450" t="n">
        <v>0</v>
      </c>
      <c r="I450" t="n">
        <v>0</v>
      </c>
      <c r="J450" t="n">
        <v>0</v>
      </c>
      <c r="K450" t="n">
        <v>0</v>
      </c>
      <c r="L450" t="n">
        <v>0</v>
      </c>
      <c r="M450" t="n">
        <v>0</v>
      </c>
      <c r="N450" t="n">
        <v>0</v>
      </c>
      <c r="O450" t="n">
        <v>0</v>
      </c>
      <c r="P450" t="n">
        <v>0</v>
      </c>
      <c r="Q450" t="n">
        <v>0</v>
      </c>
      <c r="R450" s="2" t="inlineStr"/>
    </row>
    <row r="451" ht="15" customHeight="1">
      <c r="A451" t="inlineStr">
        <is>
          <t>A 34407-2023</t>
        </is>
      </c>
      <c r="B451" s="1" t="n">
        <v>45132</v>
      </c>
      <c r="C451" s="1" t="n">
        <v>46000</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30892-2024</t>
        </is>
      </c>
      <c r="B452" s="1" t="n">
        <v>45491</v>
      </c>
      <c r="C452" s="1" t="n">
        <v>46000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46000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7858-2025</t>
        </is>
      </c>
      <c r="B454" s="1" t="n">
        <v>45706.68633101852</v>
      </c>
      <c r="C454" s="1" t="n">
        <v>46000</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46000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999-2023</t>
        </is>
      </c>
      <c r="B456" s="1" t="n">
        <v>44935</v>
      </c>
      <c r="C456" s="1" t="n">
        <v>46000</v>
      </c>
      <c r="D456" t="inlineStr">
        <is>
          <t>GOTLANDS LÄN</t>
        </is>
      </c>
      <c r="E456" t="inlineStr">
        <is>
          <t>GOTLAND</t>
        </is>
      </c>
      <c r="G456" t="n">
        <v>4.7</v>
      </c>
      <c r="H456" t="n">
        <v>0</v>
      </c>
      <c r="I456" t="n">
        <v>0</v>
      </c>
      <c r="J456" t="n">
        <v>0</v>
      </c>
      <c r="K456" t="n">
        <v>0</v>
      </c>
      <c r="L456" t="n">
        <v>0</v>
      </c>
      <c r="M456" t="n">
        <v>0</v>
      </c>
      <c r="N456" t="n">
        <v>0</v>
      </c>
      <c r="O456" t="n">
        <v>0</v>
      </c>
      <c r="P456" t="n">
        <v>0</v>
      </c>
      <c r="Q456" t="n">
        <v>0</v>
      </c>
      <c r="R456" s="2" t="inlineStr"/>
    </row>
    <row r="457" ht="15" customHeight="1">
      <c r="A457" t="inlineStr">
        <is>
          <t>A 1364-2025</t>
        </is>
      </c>
      <c r="B457" s="1" t="n">
        <v>45667.63929398148</v>
      </c>
      <c r="C457" s="1" t="n">
        <v>46000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2125-2025</t>
        </is>
      </c>
      <c r="B458" s="1" t="n">
        <v>45672.64940972222</v>
      </c>
      <c r="C458" s="1" t="n">
        <v>46000</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14141-2024</t>
        </is>
      </c>
      <c r="B459" s="1" t="n">
        <v>45392.85193287037</v>
      </c>
      <c r="C459" s="1" t="n">
        <v>46000</v>
      </c>
      <c r="D459" t="inlineStr">
        <is>
          <t>GOTLANDS LÄN</t>
        </is>
      </c>
      <c r="E459" t="inlineStr">
        <is>
          <t>GOTLAND</t>
        </is>
      </c>
      <c r="G459" t="n">
        <v>5.3</v>
      </c>
      <c r="H459" t="n">
        <v>0</v>
      </c>
      <c r="I459" t="n">
        <v>0</v>
      </c>
      <c r="J459" t="n">
        <v>0</v>
      </c>
      <c r="K459" t="n">
        <v>0</v>
      </c>
      <c r="L459" t="n">
        <v>0</v>
      </c>
      <c r="M459" t="n">
        <v>0</v>
      </c>
      <c r="N459" t="n">
        <v>0</v>
      </c>
      <c r="O459" t="n">
        <v>0</v>
      </c>
      <c r="P459" t="n">
        <v>0</v>
      </c>
      <c r="Q459" t="n">
        <v>0</v>
      </c>
      <c r="R459" s="2" t="inlineStr"/>
    </row>
    <row r="460" ht="15" customHeight="1">
      <c r="A460" t="inlineStr">
        <is>
          <t>A 12155-2023</t>
        </is>
      </c>
      <c r="B460" s="1" t="n">
        <v>44998.49106481481</v>
      </c>
      <c r="C460" s="1" t="n">
        <v>46000</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46000</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9947-2024</t>
        </is>
      </c>
      <c r="B462" s="1" t="n">
        <v>45363</v>
      </c>
      <c r="C462" s="1" t="n">
        <v>46000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42007-2023</t>
        </is>
      </c>
      <c r="B463" s="1" t="n">
        <v>45177</v>
      </c>
      <c r="C463" s="1" t="n">
        <v>46000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15083-2025</t>
        </is>
      </c>
      <c r="B464" s="1" t="n">
        <v>45743</v>
      </c>
      <c r="C464" s="1" t="n">
        <v>46000</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46000</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46000</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30815-2023</t>
        </is>
      </c>
      <c r="B467" s="1" t="n">
        <v>45112</v>
      </c>
      <c r="C467" s="1" t="n">
        <v>46000</v>
      </c>
      <c r="D467" t="inlineStr">
        <is>
          <t>GOTLANDS LÄN</t>
        </is>
      </c>
      <c r="E467" t="inlineStr">
        <is>
          <t>GOTLAND</t>
        </is>
      </c>
      <c r="G467" t="n">
        <v>6</v>
      </c>
      <c r="H467" t="n">
        <v>0</v>
      </c>
      <c r="I467" t="n">
        <v>0</v>
      </c>
      <c r="J467" t="n">
        <v>0</v>
      </c>
      <c r="K467" t="n">
        <v>0</v>
      </c>
      <c r="L467" t="n">
        <v>0</v>
      </c>
      <c r="M467" t="n">
        <v>0</v>
      </c>
      <c r="N467" t="n">
        <v>0</v>
      </c>
      <c r="O467" t="n">
        <v>0</v>
      </c>
      <c r="P467" t="n">
        <v>0</v>
      </c>
      <c r="Q467" t="n">
        <v>0</v>
      </c>
      <c r="R467" s="2" t="inlineStr"/>
    </row>
    <row r="468" ht="15" customHeight="1">
      <c r="A468" t="inlineStr">
        <is>
          <t>A 46400-2023</t>
        </is>
      </c>
      <c r="B468" s="1" t="n">
        <v>45197.49290509259</v>
      </c>
      <c r="C468" s="1" t="n">
        <v>46000</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10492-2023</t>
        </is>
      </c>
      <c r="B469" s="1" t="n">
        <v>44987</v>
      </c>
      <c r="C469" s="1" t="n">
        <v>46000</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44919-2022</t>
        </is>
      </c>
      <c r="B470" s="1" t="n">
        <v>44841</v>
      </c>
      <c r="C470" s="1" t="n">
        <v>46000</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16501-2023</t>
        </is>
      </c>
      <c r="B471" s="1" t="n">
        <v>45029</v>
      </c>
      <c r="C471" s="1" t="n">
        <v>46000</v>
      </c>
      <c r="D471" t="inlineStr">
        <is>
          <t>GOTLANDS LÄN</t>
        </is>
      </c>
      <c r="E471" t="inlineStr">
        <is>
          <t>GOTLAND</t>
        </is>
      </c>
      <c r="G471" t="n">
        <v>3.1</v>
      </c>
      <c r="H471" t="n">
        <v>0</v>
      </c>
      <c r="I471" t="n">
        <v>0</v>
      </c>
      <c r="J471" t="n">
        <v>0</v>
      </c>
      <c r="K471" t="n">
        <v>0</v>
      </c>
      <c r="L471" t="n">
        <v>0</v>
      </c>
      <c r="M471" t="n">
        <v>0</v>
      </c>
      <c r="N471" t="n">
        <v>0</v>
      </c>
      <c r="O471" t="n">
        <v>0</v>
      </c>
      <c r="P471" t="n">
        <v>0</v>
      </c>
      <c r="Q471" t="n">
        <v>0</v>
      </c>
      <c r="R471" s="2" t="inlineStr"/>
    </row>
    <row r="472" ht="15" customHeight="1">
      <c r="A472" t="inlineStr">
        <is>
          <t>A 27095-2022</t>
        </is>
      </c>
      <c r="B472" s="1" t="n">
        <v>44741</v>
      </c>
      <c r="C472" s="1" t="n">
        <v>46000</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458-2023</t>
        </is>
      </c>
      <c r="B473" s="1" t="n">
        <v>44929</v>
      </c>
      <c r="C473" s="1" t="n">
        <v>46000</v>
      </c>
      <c r="D473" t="inlineStr">
        <is>
          <t>GOTLANDS LÄN</t>
        </is>
      </c>
      <c r="E473" t="inlineStr">
        <is>
          <t>GOTLAND</t>
        </is>
      </c>
      <c r="G473" t="n">
        <v>3.6</v>
      </c>
      <c r="H473" t="n">
        <v>0</v>
      </c>
      <c r="I473" t="n">
        <v>0</v>
      </c>
      <c r="J473" t="n">
        <v>0</v>
      </c>
      <c r="K473" t="n">
        <v>0</v>
      </c>
      <c r="L473" t="n">
        <v>0</v>
      </c>
      <c r="M473" t="n">
        <v>0</v>
      </c>
      <c r="N473" t="n">
        <v>0</v>
      </c>
      <c r="O473" t="n">
        <v>0</v>
      </c>
      <c r="P473" t="n">
        <v>0</v>
      </c>
      <c r="Q473" t="n">
        <v>0</v>
      </c>
      <c r="R473" s="2" t="inlineStr"/>
    </row>
    <row r="474" ht="15" customHeight="1">
      <c r="A474" t="inlineStr">
        <is>
          <t>A 1291-2023</t>
        </is>
      </c>
      <c r="B474" s="1" t="n">
        <v>44936.47561342592</v>
      </c>
      <c r="C474" s="1" t="n">
        <v>46000</v>
      </c>
      <c r="D474" t="inlineStr">
        <is>
          <t>GOTLANDS LÄN</t>
        </is>
      </c>
      <c r="E474" t="inlineStr">
        <is>
          <t>GOTLAND</t>
        </is>
      </c>
      <c r="G474" t="n">
        <v>7.4</v>
      </c>
      <c r="H474" t="n">
        <v>0</v>
      </c>
      <c r="I474" t="n">
        <v>0</v>
      </c>
      <c r="J474" t="n">
        <v>0</v>
      </c>
      <c r="K474" t="n">
        <v>0</v>
      </c>
      <c r="L474" t="n">
        <v>0</v>
      </c>
      <c r="M474" t="n">
        <v>0</v>
      </c>
      <c r="N474" t="n">
        <v>0</v>
      </c>
      <c r="O474" t="n">
        <v>0</v>
      </c>
      <c r="P474" t="n">
        <v>0</v>
      </c>
      <c r="Q474" t="n">
        <v>0</v>
      </c>
      <c r="R474" s="2" t="inlineStr"/>
    </row>
    <row r="475" ht="15" customHeight="1">
      <c r="A475" t="inlineStr">
        <is>
          <t>A 32330-2024</t>
        </is>
      </c>
      <c r="B475" s="1" t="n">
        <v>45512</v>
      </c>
      <c r="C475" s="1" t="n">
        <v>46000</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5891-2025</t>
        </is>
      </c>
      <c r="B476" s="1" t="n">
        <v>45695.38327546296</v>
      </c>
      <c r="C476" s="1" t="n">
        <v>46000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14804-2021</t>
        </is>
      </c>
      <c r="B477" s="1" t="n">
        <v>44280</v>
      </c>
      <c r="C477" s="1" t="n">
        <v>46000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2719-2023</t>
        </is>
      </c>
      <c r="B478" s="1" t="n">
        <v>44944.55361111111</v>
      </c>
      <c r="C478" s="1" t="n">
        <v>46000</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17144-2025</t>
        </is>
      </c>
      <c r="B479" s="1" t="n">
        <v>45755.9499537037</v>
      </c>
      <c r="C479" s="1" t="n">
        <v>46000</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49314-2024</t>
        </is>
      </c>
      <c r="B480" s="1" t="n">
        <v>45595.55893518519</v>
      </c>
      <c r="C480" s="1" t="n">
        <v>46000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9875-2025</t>
        </is>
      </c>
      <c r="B481" s="1" t="n">
        <v>45716</v>
      </c>
      <c r="C481" s="1" t="n">
        <v>46000</v>
      </c>
      <c r="D481" t="inlineStr">
        <is>
          <t>GOTLANDS LÄN</t>
        </is>
      </c>
      <c r="E481" t="inlineStr">
        <is>
          <t>GOTLAND</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29809-2022</t>
        </is>
      </c>
      <c r="B482" s="1" t="n">
        <v>44755.8713425926</v>
      </c>
      <c r="C482" s="1" t="n">
        <v>46000</v>
      </c>
      <c r="D482" t="inlineStr">
        <is>
          <t>GOTLANDS LÄN</t>
        </is>
      </c>
      <c r="E482" t="inlineStr">
        <is>
          <t>GOTLAND</t>
        </is>
      </c>
      <c r="G482" t="n">
        <v>11.5</v>
      </c>
      <c r="H482" t="n">
        <v>0</v>
      </c>
      <c r="I482" t="n">
        <v>0</v>
      </c>
      <c r="J482" t="n">
        <v>0</v>
      </c>
      <c r="K482" t="n">
        <v>0</v>
      </c>
      <c r="L482" t="n">
        <v>0</v>
      </c>
      <c r="M482" t="n">
        <v>0</v>
      </c>
      <c r="N482" t="n">
        <v>0</v>
      </c>
      <c r="O482" t="n">
        <v>0</v>
      </c>
      <c r="P482" t="n">
        <v>0</v>
      </c>
      <c r="Q482" t="n">
        <v>0</v>
      </c>
      <c r="R482" s="2" t="inlineStr"/>
    </row>
    <row r="483" ht="15" customHeight="1">
      <c r="A483" t="inlineStr">
        <is>
          <t>A 16361-2024</t>
        </is>
      </c>
      <c r="B483" s="1" t="n">
        <v>45407</v>
      </c>
      <c r="C483" s="1" t="n">
        <v>46000</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46000</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1175-2025</t>
        </is>
      </c>
      <c r="B485" s="1" t="n">
        <v>45667.34449074074</v>
      </c>
      <c r="C485" s="1" t="n">
        <v>46000</v>
      </c>
      <c r="D485" t="inlineStr">
        <is>
          <t>GOTLANDS LÄN</t>
        </is>
      </c>
      <c r="E485" t="inlineStr">
        <is>
          <t>GOTLAND</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46000</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3150-2025</t>
        </is>
      </c>
      <c r="B487" s="1" t="n">
        <v>45679.28974537037</v>
      </c>
      <c r="C487" s="1" t="n">
        <v>46000</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42041-2024</t>
        </is>
      </c>
      <c r="B488" s="1" t="n">
        <v>45561</v>
      </c>
      <c r="C488" s="1" t="n">
        <v>46000</v>
      </c>
      <c r="D488" t="inlineStr">
        <is>
          <t>GOTLANDS LÄN</t>
        </is>
      </c>
      <c r="E488" t="inlineStr">
        <is>
          <t>GOTLAND</t>
        </is>
      </c>
      <c r="G488" t="n">
        <v>3.2</v>
      </c>
      <c r="H488" t="n">
        <v>0</v>
      </c>
      <c r="I488" t="n">
        <v>0</v>
      </c>
      <c r="J488" t="n">
        <v>0</v>
      </c>
      <c r="K488" t="n">
        <v>0</v>
      </c>
      <c r="L488" t="n">
        <v>0</v>
      </c>
      <c r="M488" t="n">
        <v>0</v>
      </c>
      <c r="N488" t="n">
        <v>0</v>
      </c>
      <c r="O488" t="n">
        <v>0</v>
      </c>
      <c r="P488" t="n">
        <v>0</v>
      </c>
      <c r="Q488" t="n">
        <v>0</v>
      </c>
      <c r="R488" s="2" t="inlineStr"/>
    </row>
    <row r="489" ht="15" customHeight="1">
      <c r="A489" t="inlineStr">
        <is>
          <t>A 15436-2025</t>
        </is>
      </c>
      <c r="B489" s="1" t="n">
        <v>45747.47462962963</v>
      </c>
      <c r="C489" s="1" t="n">
        <v>46000</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44705.38832175926</v>
      </c>
      <c r="C490" s="1" t="n">
        <v>46000</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44682.82622685185</v>
      </c>
      <c r="C491" s="1" t="n">
        <v>46000</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63516-2023</t>
        </is>
      </c>
      <c r="B492" s="1" t="n">
        <v>45274</v>
      </c>
      <c r="C492" s="1" t="n">
        <v>46000</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53935-2024</t>
        </is>
      </c>
      <c r="B493" s="1" t="n">
        <v>45615</v>
      </c>
      <c r="C493" s="1" t="n">
        <v>46000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46000</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46000</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23516-2023</t>
        </is>
      </c>
      <c r="B496" s="1" t="n">
        <v>45076.93391203704</v>
      </c>
      <c r="C496" s="1" t="n">
        <v>46000</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43231-2023</t>
        </is>
      </c>
      <c r="B497" s="1" t="n">
        <v>45183.47025462963</v>
      </c>
      <c r="C497" s="1" t="n">
        <v>46000</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58230-2024</t>
        </is>
      </c>
      <c r="B498" s="1" t="n">
        <v>45632.51625</v>
      </c>
      <c r="C498" s="1" t="n">
        <v>46000</v>
      </c>
      <c r="D498" t="inlineStr">
        <is>
          <t>GOTLANDS LÄN</t>
        </is>
      </c>
      <c r="E498" t="inlineStr">
        <is>
          <t>GOTLAND</t>
        </is>
      </c>
      <c r="G498" t="n">
        <v>7.3</v>
      </c>
      <c r="H498" t="n">
        <v>0</v>
      </c>
      <c r="I498" t="n">
        <v>0</v>
      </c>
      <c r="J498" t="n">
        <v>0</v>
      </c>
      <c r="K498" t="n">
        <v>0</v>
      </c>
      <c r="L498" t="n">
        <v>0</v>
      </c>
      <c r="M498" t="n">
        <v>0</v>
      </c>
      <c r="N498" t="n">
        <v>0</v>
      </c>
      <c r="O498" t="n">
        <v>0</v>
      </c>
      <c r="P498" t="n">
        <v>0</v>
      </c>
      <c r="Q498" t="n">
        <v>0</v>
      </c>
      <c r="R498" s="2" t="inlineStr"/>
    </row>
    <row r="499" ht="15" customHeight="1">
      <c r="A499" t="inlineStr">
        <is>
          <t>A 64555-2023</t>
        </is>
      </c>
      <c r="B499" s="1" t="n">
        <v>45281</v>
      </c>
      <c r="C499" s="1" t="n">
        <v>46000</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457-2023</t>
        </is>
      </c>
      <c r="B500" s="1" t="n">
        <v>44929.87238425926</v>
      </c>
      <c r="C500" s="1" t="n">
        <v>46000</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459-2023</t>
        </is>
      </c>
      <c r="B501" s="1" t="n">
        <v>44929.87423611111</v>
      </c>
      <c r="C501" s="1" t="n">
        <v>46000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876-2024</t>
        </is>
      </c>
      <c r="B502" s="1" t="n">
        <v>45301</v>
      </c>
      <c r="C502" s="1" t="n">
        <v>46000</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26891-2024</t>
        </is>
      </c>
      <c r="B503" s="1" t="n">
        <v>45470.65540509259</v>
      </c>
      <c r="C503" s="1" t="n">
        <v>46000</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14536-2021</t>
        </is>
      </c>
      <c r="B504" s="1" t="n">
        <v>44279.66168981481</v>
      </c>
      <c r="C504" s="1" t="n">
        <v>46000</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5923-2023</t>
        </is>
      </c>
      <c r="B505" s="1" t="n">
        <v>44963.69503472222</v>
      </c>
      <c r="C505" s="1" t="n">
        <v>46000</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50482-2024</t>
        </is>
      </c>
      <c r="B506" s="1" t="n">
        <v>45601.48114583334</v>
      </c>
      <c r="C506" s="1" t="n">
        <v>46000</v>
      </c>
      <c r="D506" t="inlineStr">
        <is>
          <t>GOTLANDS LÄN</t>
        </is>
      </c>
      <c r="E506" t="inlineStr">
        <is>
          <t>GOTLAND</t>
        </is>
      </c>
      <c r="G506" t="n">
        <v>2.3</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46000</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38234-2023</t>
        </is>
      </c>
      <c r="B508" s="1" t="n">
        <v>45161.56663194444</v>
      </c>
      <c r="C508" s="1" t="n">
        <v>46000</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1273-2023</t>
        </is>
      </c>
      <c r="B509" s="1" t="n">
        <v>44936</v>
      </c>
      <c r="C509" s="1" t="n">
        <v>46000</v>
      </c>
      <c r="D509" t="inlineStr">
        <is>
          <t>GOTLANDS LÄN</t>
        </is>
      </c>
      <c r="E509" t="inlineStr">
        <is>
          <t>GOTLAND</t>
        </is>
      </c>
      <c r="G509" t="n">
        <v>4.5</v>
      </c>
      <c r="H509" t="n">
        <v>0</v>
      </c>
      <c r="I509" t="n">
        <v>0</v>
      </c>
      <c r="J509" t="n">
        <v>0</v>
      </c>
      <c r="K509" t="n">
        <v>0</v>
      </c>
      <c r="L509" t="n">
        <v>0</v>
      </c>
      <c r="M509" t="n">
        <v>0</v>
      </c>
      <c r="N509" t="n">
        <v>0</v>
      </c>
      <c r="O509" t="n">
        <v>0</v>
      </c>
      <c r="P509" t="n">
        <v>0</v>
      </c>
      <c r="Q509" t="n">
        <v>0</v>
      </c>
      <c r="R509" s="2" t="inlineStr"/>
    </row>
    <row r="510" ht="15" customHeight="1">
      <c r="A510" t="inlineStr">
        <is>
          <t>A 17724-2024</t>
        </is>
      </c>
      <c r="B510" s="1" t="n">
        <v>45418.55096064815</v>
      </c>
      <c r="C510" s="1" t="n">
        <v>46000</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23978-2023</t>
        </is>
      </c>
      <c r="B511" s="1" t="n">
        <v>45078</v>
      </c>
      <c r="C511" s="1" t="n">
        <v>46000</v>
      </c>
      <c r="D511" t="inlineStr">
        <is>
          <t>GOTLANDS LÄN</t>
        </is>
      </c>
      <c r="E511" t="inlineStr">
        <is>
          <t>GOTLAND</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49884-2023</t>
        </is>
      </c>
      <c r="B512" s="1" t="n">
        <v>45213</v>
      </c>
      <c r="C512" s="1" t="n">
        <v>46000</v>
      </c>
      <c r="D512" t="inlineStr">
        <is>
          <t>GOTLANDS LÄN</t>
        </is>
      </c>
      <c r="E512" t="inlineStr">
        <is>
          <t>GOTLAND</t>
        </is>
      </c>
      <c r="G512" t="n">
        <v>8.9</v>
      </c>
      <c r="H512" t="n">
        <v>0</v>
      </c>
      <c r="I512" t="n">
        <v>0</v>
      </c>
      <c r="J512" t="n">
        <v>0</v>
      </c>
      <c r="K512" t="n">
        <v>0</v>
      </c>
      <c r="L512" t="n">
        <v>0</v>
      </c>
      <c r="M512" t="n">
        <v>0</v>
      </c>
      <c r="N512" t="n">
        <v>0</v>
      </c>
      <c r="O512" t="n">
        <v>0</v>
      </c>
      <c r="P512" t="n">
        <v>0</v>
      </c>
      <c r="Q512" t="n">
        <v>0</v>
      </c>
      <c r="R512" s="2" t="inlineStr"/>
    </row>
    <row r="513" ht="15" customHeight="1">
      <c r="A513" t="inlineStr">
        <is>
          <t>A 12846-2025</t>
        </is>
      </c>
      <c r="B513" s="1" t="n">
        <v>45733.65049768519</v>
      </c>
      <c r="C513" s="1" t="n">
        <v>46000</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43200-2023</t>
        </is>
      </c>
      <c r="B514" s="1" t="n">
        <v>45183</v>
      </c>
      <c r="C514" s="1" t="n">
        <v>46000</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3935-2025</t>
        </is>
      </c>
      <c r="B515" s="1" t="n">
        <v>45684.46070601852</v>
      </c>
      <c r="C515" s="1" t="n">
        <v>46000</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21792-2024</t>
        </is>
      </c>
      <c r="B516" s="1" t="n">
        <v>45442.64326388889</v>
      </c>
      <c r="C516" s="1" t="n">
        <v>46000</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48843-2024</t>
        </is>
      </c>
      <c r="B517" s="1" t="n">
        <v>45593</v>
      </c>
      <c r="C517" s="1" t="n">
        <v>46000</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10653-2023</t>
        </is>
      </c>
      <c r="B518" s="1" t="n">
        <v>44988.48859953704</v>
      </c>
      <c r="C518" s="1" t="n">
        <v>46000</v>
      </c>
      <c r="D518" t="inlineStr">
        <is>
          <t>GOTLANDS LÄN</t>
        </is>
      </c>
      <c r="E518" t="inlineStr">
        <is>
          <t>GOTLAND</t>
        </is>
      </c>
      <c r="F518" t="inlineStr">
        <is>
          <t>Kyrkan</t>
        </is>
      </c>
      <c r="G518" t="n">
        <v>3</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46000</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46000</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46000</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46000</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64831-2023</t>
        </is>
      </c>
      <c r="B523" s="1" t="n">
        <v>45282.44924768519</v>
      </c>
      <c r="C523" s="1" t="n">
        <v>46000</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8036-2022</t>
        </is>
      </c>
      <c r="B524" s="1" t="n">
        <v>44609.44362268518</v>
      </c>
      <c r="C524" s="1" t="n">
        <v>46000</v>
      </c>
      <c r="D524" t="inlineStr">
        <is>
          <t>GOTLANDS LÄN</t>
        </is>
      </c>
      <c r="E524" t="inlineStr">
        <is>
          <t>GOTLAND</t>
        </is>
      </c>
      <c r="G524" t="n">
        <v>6.1</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46000</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62915-2021</t>
        </is>
      </c>
      <c r="B526" s="1" t="n">
        <v>44504</v>
      </c>
      <c r="C526" s="1" t="n">
        <v>46000</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7638-2025</t>
        </is>
      </c>
      <c r="B527" s="1" t="n">
        <v>45705.77306712963</v>
      </c>
      <c r="C527" s="1" t="n">
        <v>46000</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4377-2023</t>
        </is>
      </c>
      <c r="B528" s="1" t="n">
        <v>44955.5502662037</v>
      </c>
      <c r="C528" s="1" t="n">
        <v>46000</v>
      </c>
      <c r="D528" t="inlineStr">
        <is>
          <t>GOTLANDS LÄN</t>
        </is>
      </c>
      <c r="E528" t="inlineStr">
        <is>
          <t>GOTLAND</t>
        </is>
      </c>
      <c r="F528" t="inlineStr">
        <is>
          <t>Kyrkan</t>
        </is>
      </c>
      <c r="G528" t="n">
        <v>0.6</v>
      </c>
      <c r="H528" t="n">
        <v>0</v>
      </c>
      <c r="I528" t="n">
        <v>0</v>
      </c>
      <c r="J528" t="n">
        <v>0</v>
      </c>
      <c r="K528" t="n">
        <v>0</v>
      </c>
      <c r="L528" t="n">
        <v>0</v>
      </c>
      <c r="M528" t="n">
        <v>0</v>
      </c>
      <c r="N528" t="n">
        <v>0</v>
      </c>
      <c r="O528" t="n">
        <v>0</v>
      </c>
      <c r="P528" t="n">
        <v>0</v>
      </c>
      <c r="Q528" t="n">
        <v>0</v>
      </c>
      <c r="R528" s="2" t="inlineStr"/>
    </row>
    <row r="529" ht="15" customHeight="1">
      <c r="A529" t="inlineStr">
        <is>
          <t>A 43901-2023</t>
        </is>
      </c>
      <c r="B529" s="1" t="n">
        <v>45187</v>
      </c>
      <c r="C529" s="1" t="n">
        <v>46000</v>
      </c>
      <c r="D529" t="inlineStr">
        <is>
          <t>GOTLANDS LÄN</t>
        </is>
      </c>
      <c r="E529" t="inlineStr">
        <is>
          <t>GOTLAND</t>
        </is>
      </c>
      <c r="G529" t="n">
        <v>5.4</v>
      </c>
      <c r="H529" t="n">
        <v>0</v>
      </c>
      <c r="I529" t="n">
        <v>0</v>
      </c>
      <c r="J529" t="n">
        <v>0</v>
      </c>
      <c r="K529" t="n">
        <v>0</v>
      </c>
      <c r="L529" t="n">
        <v>0</v>
      </c>
      <c r="M529" t="n">
        <v>0</v>
      </c>
      <c r="N529" t="n">
        <v>0</v>
      </c>
      <c r="O529" t="n">
        <v>0</v>
      </c>
      <c r="P529" t="n">
        <v>0</v>
      </c>
      <c r="Q529" t="n">
        <v>0</v>
      </c>
      <c r="R529" s="2" t="inlineStr"/>
    </row>
    <row r="530" ht="15" customHeight="1">
      <c r="A530" t="inlineStr">
        <is>
          <t>A 17532-2024</t>
        </is>
      </c>
      <c r="B530" s="1" t="n">
        <v>45415</v>
      </c>
      <c r="C530" s="1" t="n">
        <v>46000</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45692-2023</t>
        </is>
      </c>
      <c r="B531" s="1" t="n">
        <v>45195</v>
      </c>
      <c r="C531" s="1" t="n">
        <v>46000</v>
      </c>
      <c r="D531" t="inlineStr">
        <is>
          <t>GOTLANDS LÄN</t>
        </is>
      </c>
      <c r="E531" t="inlineStr">
        <is>
          <t>GOTLAND</t>
        </is>
      </c>
      <c r="G531" t="n">
        <v>5.3</v>
      </c>
      <c r="H531" t="n">
        <v>0</v>
      </c>
      <c r="I531" t="n">
        <v>0</v>
      </c>
      <c r="J531" t="n">
        <v>0</v>
      </c>
      <c r="K531" t="n">
        <v>0</v>
      </c>
      <c r="L531" t="n">
        <v>0</v>
      </c>
      <c r="M531" t="n">
        <v>0</v>
      </c>
      <c r="N531" t="n">
        <v>0</v>
      </c>
      <c r="O531" t="n">
        <v>0</v>
      </c>
      <c r="P531" t="n">
        <v>0</v>
      </c>
      <c r="Q531" t="n">
        <v>0</v>
      </c>
      <c r="R531" s="2" t="inlineStr"/>
    </row>
    <row r="532" ht="15" customHeight="1">
      <c r="A532" t="inlineStr">
        <is>
          <t>A 37222-2021</t>
        </is>
      </c>
      <c r="B532" s="1" t="n">
        <v>44396</v>
      </c>
      <c r="C532" s="1" t="n">
        <v>46000</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46396-2023</t>
        </is>
      </c>
      <c r="B533" s="1" t="n">
        <v>45197</v>
      </c>
      <c r="C533" s="1" t="n">
        <v>46000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46000</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53934-2024</t>
        </is>
      </c>
      <c r="B535" s="1" t="n">
        <v>45615</v>
      </c>
      <c r="C535" s="1" t="n">
        <v>46000</v>
      </c>
      <c r="D535" t="inlineStr">
        <is>
          <t>GOTLANDS LÄN</t>
        </is>
      </c>
      <c r="E535" t="inlineStr">
        <is>
          <t>GOTLAND</t>
        </is>
      </c>
      <c r="G535" t="n">
        <v>5</v>
      </c>
      <c r="H535" t="n">
        <v>0</v>
      </c>
      <c r="I535" t="n">
        <v>0</v>
      </c>
      <c r="J535" t="n">
        <v>0</v>
      </c>
      <c r="K535" t="n">
        <v>0</v>
      </c>
      <c r="L535" t="n">
        <v>0</v>
      </c>
      <c r="M535" t="n">
        <v>0</v>
      </c>
      <c r="N535" t="n">
        <v>0</v>
      </c>
      <c r="O535" t="n">
        <v>0</v>
      </c>
      <c r="P535" t="n">
        <v>0</v>
      </c>
      <c r="Q535" t="n">
        <v>0</v>
      </c>
      <c r="R535" s="2" t="inlineStr"/>
    </row>
    <row r="536" ht="15" customHeight="1">
      <c r="A536" t="inlineStr">
        <is>
          <t>A 58132-2023</t>
        </is>
      </c>
      <c r="B536" s="1" t="n">
        <v>45250</v>
      </c>
      <c r="C536" s="1" t="n">
        <v>46000</v>
      </c>
      <c r="D536" t="inlineStr">
        <is>
          <t>GOTLANDS LÄN</t>
        </is>
      </c>
      <c r="E536" t="inlineStr">
        <is>
          <t>GOTLAND</t>
        </is>
      </c>
      <c r="G536" t="n">
        <v>3.1</v>
      </c>
      <c r="H536" t="n">
        <v>0</v>
      </c>
      <c r="I536" t="n">
        <v>0</v>
      </c>
      <c r="J536" t="n">
        <v>0</v>
      </c>
      <c r="K536" t="n">
        <v>0</v>
      </c>
      <c r="L536" t="n">
        <v>0</v>
      </c>
      <c r="M536" t="n">
        <v>0</v>
      </c>
      <c r="N536" t="n">
        <v>0</v>
      </c>
      <c r="O536" t="n">
        <v>0</v>
      </c>
      <c r="P536" t="n">
        <v>0</v>
      </c>
      <c r="Q536" t="n">
        <v>0</v>
      </c>
      <c r="R536" s="2" t="inlineStr"/>
    </row>
    <row r="537" ht="15" customHeight="1">
      <c r="A537" t="inlineStr">
        <is>
          <t>A 22899-2023</t>
        </is>
      </c>
      <c r="B537" s="1" t="n">
        <v>45072</v>
      </c>
      <c r="C537" s="1" t="n">
        <v>46000</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28285-2024</t>
        </is>
      </c>
      <c r="B538" s="1" t="n">
        <v>45477</v>
      </c>
      <c r="C538" s="1" t="n">
        <v>46000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46000</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1734-2025</t>
        </is>
      </c>
      <c r="B540" s="1" t="n">
        <v>45671.3840625</v>
      </c>
      <c r="C540" s="1" t="n">
        <v>46000</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30365-2024</t>
        </is>
      </c>
      <c r="B541" s="1" t="n">
        <v>45491.3716087963</v>
      </c>
      <c r="C541" s="1" t="n">
        <v>46000</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2674-2023</t>
        </is>
      </c>
      <c r="B542" s="1" t="n">
        <v>44944</v>
      </c>
      <c r="C542" s="1" t="n">
        <v>46000</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46000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581-2023</t>
        </is>
      </c>
      <c r="B544" s="1" t="n">
        <v>44930</v>
      </c>
      <c r="C544" s="1" t="n">
        <v>46000</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46000</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44649-2021</t>
        </is>
      </c>
      <c r="B546" s="1" t="n">
        <v>44437</v>
      </c>
      <c r="C546" s="1" t="n">
        <v>46000</v>
      </c>
      <c r="D546" t="inlineStr">
        <is>
          <t>GOTLANDS LÄN</t>
        </is>
      </c>
      <c r="E546" t="inlineStr">
        <is>
          <t>GOTLAND</t>
        </is>
      </c>
      <c r="G546" t="n">
        <v>8.1</v>
      </c>
      <c r="H546" t="n">
        <v>0</v>
      </c>
      <c r="I546" t="n">
        <v>0</v>
      </c>
      <c r="J546" t="n">
        <v>0</v>
      </c>
      <c r="K546" t="n">
        <v>0</v>
      </c>
      <c r="L546" t="n">
        <v>0</v>
      </c>
      <c r="M546" t="n">
        <v>0</v>
      </c>
      <c r="N546" t="n">
        <v>0</v>
      </c>
      <c r="O546" t="n">
        <v>0</v>
      </c>
      <c r="P546" t="n">
        <v>0</v>
      </c>
      <c r="Q546" t="n">
        <v>0</v>
      </c>
      <c r="R546" s="2" t="inlineStr"/>
    </row>
    <row r="547" ht="15" customHeight="1">
      <c r="A547" t="inlineStr">
        <is>
          <t>A 8484-2025</t>
        </is>
      </c>
      <c r="B547" s="1" t="n">
        <v>45709</v>
      </c>
      <c r="C547" s="1" t="n">
        <v>46000</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49962-2023</t>
        </is>
      </c>
      <c r="B548" s="1" t="n">
        <v>45215.38775462963</v>
      </c>
      <c r="C548" s="1" t="n">
        <v>46000</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50744-2024</t>
        </is>
      </c>
      <c r="B549" s="1" t="n">
        <v>45602.4187037037</v>
      </c>
      <c r="C549" s="1" t="n">
        <v>46000</v>
      </c>
      <c r="D549" t="inlineStr">
        <is>
          <t>GOTLANDS LÄN</t>
        </is>
      </c>
      <c r="E549" t="inlineStr">
        <is>
          <t>GOTLAND</t>
        </is>
      </c>
      <c r="G549" t="n">
        <v>3.2</v>
      </c>
      <c r="H549" t="n">
        <v>0</v>
      </c>
      <c r="I549" t="n">
        <v>0</v>
      </c>
      <c r="J549" t="n">
        <v>0</v>
      </c>
      <c r="K549" t="n">
        <v>0</v>
      </c>
      <c r="L549" t="n">
        <v>0</v>
      </c>
      <c r="M549" t="n">
        <v>0</v>
      </c>
      <c r="N549" t="n">
        <v>0</v>
      </c>
      <c r="O549" t="n">
        <v>0</v>
      </c>
      <c r="P549" t="n">
        <v>0</v>
      </c>
      <c r="Q549" t="n">
        <v>0</v>
      </c>
      <c r="R549" s="2" t="inlineStr"/>
    </row>
    <row r="550" ht="15" customHeight="1">
      <c r="A550" t="inlineStr">
        <is>
          <t>A 45244-2024</t>
        </is>
      </c>
      <c r="B550" s="1" t="n">
        <v>45576</v>
      </c>
      <c r="C550" s="1" t="n">
        <v>46000</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38787-2023</t>
        </is>
      </c>
      <c r="B551" s="1" t="n">
        <v>45163</v>
      </c>
      <c r="C551" s="1" t="n">
        <v>46000</v>
      </c>
      <c r="D551" t="inlineStr">
        <is>
          <t>GOTLANDS LÄN</t>
        </is>
      </c>
      <c r="E551" t="inlineStr">
        <is>
          <t>GOTLAND</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2714-2023</t>
        </is>
      </c>
      <c r="B552" s="1" t="n">
        <v>44944.54896990741</v>
      </c>
      <c r="C552" s="1" t="n">
        <v>46000</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22897-2023</t>
        </is>
      </c>
      <c r="B553" s="1" t="n">
        <v>45072.55239583334</v>
      </c>
      <c r="C553" s="1" t="n">
        <v>46000</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4568-2025</t>
        </is>
      </c>
      <c r="B554" s="1" t="n">
        <v>45687</v>
      </c>
      <c r="C554" s="1" t="n">
        <v>46000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44938.39715277778</v>
      </c>
      <c r="C555" s="1" t="n">
        <v>46000</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42338-2023</t>
        </is>
      </c>
      <c r="B556" s="1" t="n">
        <v>45180</v>
      </c>
      <c r="C556" s="1" t="n">
        <v>46000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18918-2025</t>
        </is>
      </c>
      <c r="B557" s="1" t="n">
        <v>45764</v>
      </c>
      <c r="C557" s="1" t="n">
        <v>46000</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11013-2024</t>
        </is>
      </c>
      <c r="B558" s="1" t="n">
        <v>45370</v>
      </c>
      <c r="C558" s="1" t="n">
        <v>46000</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45084-2024</t>
        </is>
      </c>
      <c r="B559" s="1" t="n">
        <v>45575</v>
      </c>
      <c r="C559" s="1" t="n">
        <v>46000</v>
      </c>
      <c r="D559" t="inlineStr">
        <is>
          <t>GOTLANDS LÄN</t>
        </is>
      </c>
      <c r="E559" t="inlineStr">
        <is>
          <t>GOTLAND</t>
        </is>
      </c>
      <c r="G559" t="n">
        <v>6.8</v>
      </c>
      <c r="H559" t="n">
        <v>0</v>
      </c>
      <c r="I559" t="n">
        <v>0</v>
      </c>
      <c r="J559" t="n">
        <v>0</v>
      </c>
      <c r="K559" t="n">
        <v>0</v>
      </c>
      <c r="L559" t="n">
        <v>0</v>
      </c>
      <c r="M559" t="n">
        <v>0</v>
      </c>
      <c r="N559" t="n">
        <v>0</v>
      </c>
      <c r="O559" t="n">
        <v>0</v>
      </c>
      <c r="P559" t="n">
        <v>0</v>
      </c>
      <c r="Q559" t="n">
        <v>0</v>
      </c>
      <c r="R559" s="2" t="inlineStr"/>
    </row>
    <row r="560" ht="15" customHeight="1">
      <c r="A560" t="inlineStr">
        <is>
          <t>A 20356-2022</t>
        </is>
      </c>
      <c r="B560" s="1" t="n">
        <v>44699</v>
      </c>
      <c r="C560" s="1" t="n">
        <v>46000</v>
      </c>
      <c r="D560" t="inlineStr">
        <is>
          <t>GOTLANDS LÄN</t>
        </is>
      </c>
      <c r="E560" t="inlineStr">
        <is>
          <t>GOTLAND</t>
        </is>
      </c>
      <c r="F560" t="inlineStr">
        <is>
          <t>Övriga Aktiebolag</t>
        </is>
      </c>
      <c r="G560" t="n">
        <v>4.4</v>
      </c>
      <c r="H560" t="n">
        <v>0</v>
      </c>
      <c r="I560" t="n">
        <v>0</v>
      </c>
      <c r="J560" t="n">
        <v>0</v>
      </c>
      <c r="K560" t="n">
        <v>0</v>
      </c>
      <c r="L560" t="n">
        <v>0</v>
      </c>
      <c r="M560" t="n">
        <v>0</v>
      </c>
      <c r="N560" t="n">
        <v>0</v>
      </c>
      <c r="O560" t="n">
        <v>0</v>
      </c>
      <c r="P560" t="n">
        <v>0</v>
      </c>
      <c r="Q560" t="n">
        <v>0</v>
      </c>
      <c r="R560" s="2" t="inlineStr"/>
    </row>
    <row r="561" ht="15" customHeight="1">
      <c r="A561" t="inlineStr">
        <is>
          <t>A 4868-2024</t>
        </is>
      </c>
      <c r="B561" s="1" t="n">
        <v>45329</v>
      </c>
      <c r="C561" s="1" t="n">
        <v>46000</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9613-2025</t>
        </is>
      </c>
      <c r="B562" s="1" t="n">
        <v>45715</v>
      </c>
      <c r="C562" s="1" t="n">
        <v>46000</v>
      </c>
      <c r="D562" t="inlineStr">
        <is>
          <t>GOTLANDS LÄN</t>
        </is>
      </c>
      <c r="E562" t="inlineStr">
        <is>
          <t>GOTLAND</t>
        </is>
      </c>
      <c r="G562" t="n">
        <v>3.5</v>
      </c>
      <c r="H562" t="n">
        <v>0</v>
      </c>
      <c r="I562" t="n">
        <v>0</v>
      </c>
      <c r="J562" t="n">
        <v>0</v>
      </c>
      <c r="K562" t="n">
        <v>0</v>
      </c>
      <c r="L562" t="n">
        <v>0</v>
      </c>
      <c r="M562" t="n">
        <v>0</v>
      </c>
      <c r="N562" t="n">
        <v>0</v>
      </c>
      <c r="O562" t="n">
        <v>0</v>
      </c>
      <c r="P562" t="n">
        <v>0</v>
      </c>
      <c r="Q562" t="n">
        <v>0</v>
      </c>
      <c r="R562" s="2" t="inlineStr"/>
    </row>
    <row r="563" ht="15" customHeight="1">
      <c r="A563" t="inlineStr">
        <is>
          <t>A 5386-2023</t>
        </is>
      </c>
      <c r="B563" s="1" t="n">
        <v>44959</v>
      </c>
      <c r="C563" s="1" t="n">
        <v>46000</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58211-2024</t>
        </is>
      </c>
      <c r="B564" s="1" t="n">
        <v>45632.49292824074</v>
      </c>
      <c r="C564" s="1" t="n">
        <v>46000</v>
      </c>
      <c r="D564" t="inlineStr">
        <is>
          <t>GOTLANDS LÄN</t>
        </is>
      </c>
      <c r="E564" t="inlineStr">
        <is>
          <t>GOTLAND</t>
        </is>
      </c>
      <c r="G564" t="n">
        <v>5.4</v>
      </c>
      <c r="H564" t="n">
        <v>0</v>
      </c>
      <c r="I564" t="n">
        <v>0</v>
      </c>
      <c r="J564" t="n">
        <v>0</v>
      </c>
      <c r="K564" t="n">
        <v>0</v>
      </c>
      <c r="L564" t="n">
        <v>0</v>
      </c>
      <c r="M564" t="n">
        <v>0</v>
      </c>
      <c r="N564" t="n">
        <v>0</v>
      </c>
      <c r="O564" t="n">
        <v>0</v>
      </c>
      <c r="P564" t="n">
        <v>0</v>
      </c>
      <c r="Q564" t="n">
        <v>0</v>
      </c>
      <c r="R564" s="2" t="inlineStr"/>
    </row>
    <row r="565" ht="15" customHeight="1">
      <c r="A565" t="inlineStr">
        <is>
          <t>A 11634-2024</t>
        </is>
      </c>
      <c r="B565" s="1" t="n">
        <v>45373</v>
      </c>
      <c r="C565" s="1" t="n">
        <v>46000</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5884-2025</t>
        </is>
      </c>
      <c r="B566" s="1" t="n">
        <v>45695.37482638889</v>
      </c>
      <c r="C566" s="1" t="n">
        <v>46000</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5897-2025</t>
        </is>
      </c>
      <c r="B567" s="1" t="n">
        <v>45695.39273148148</v>
      </c>
      <c r="C567" s="1" t="n">
        <v>46000</v>
      </c>
      <c r="D567" t="inlineStr">
        <is>
          <t>GOTLANDS LÄN</t>
        </is>
      </c>
      <c r="E567" t="inlineStr">
        <is>
          <t>GOTLAND</t>
        </is>
      </c>
      <c r="G567" t="n">
        <v>3.7</v>
      </c>
      <c r="H567" t="n">
        <v>0</v>
      </c>
      <c r="I567" t="n">
        <v>0</v>
      </c>
      <c r="J567" t="n">
        <v>0</v>
      </c>
      <c r="K567" t="n">
        <v>0</v>
      </c>
      <c r="L567" t="n">
        <v>0</v>
      </c>
      <c r="M567" t="n">
        <v>0</v>
      </c>
      <c r="N567" t="n">
        <v>0</v>
      </c>
      <c r="O567" t="n">
        <v>0</v>
      </c>
      <c r="P567" t="n">
        <v>0</v>
      </c>
      <c r="Q567" t="n">
        <v>0</v>
      </c>
      <c r="R567" s="2" t="inlineStr"/>
    </row>
    <row r="568" ht="15" customHeight="1">
      <c r="A568" t="inlineStr">
        <is>
          <t>A 5909-2025</t>
        </is>
      </c>
      <c r="B568" s="1" t="n">
        <v>45695.40634259259</v>
      </c>
      <c r="C568" s="1" t="n">
        <v>46000</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60086-2022</t>
        </is>
      </c>
      <c r="B569" s="1" t="n">
        <v>44909</v>
      </c>
      <c r="C569" s="1" t="n">
        <v>46000</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22704-2023</t>
        </is>
      </c>
      <c r="B570" s="1" t="n">
        <v>45071</v>
      </c>
      <c r="C570" s="1" t="n">
        <v>46000</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25866-2022</t>
        </is>
      </c>
      <c r="B571" s="1" t="n">
        <v>44733</v>
      </c>
      <c r="C571" s="1" t="n">
        <v>46000</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9887-2025</t>
        </is>
      </c>
      <c r="B572" s="1" t="n">
        <v>45716</v>
      </c>
      <c r="C572" s="1" t="n">
        <v>46000</v>
      </c>
      <c r="D572" t="inlineStr">
        <is>
          <t>GOTLANDS LÄN</t>
        </is>
      </c>
      <c r="E572" t="inlineStr">
        <is>
          <t>GOTLAND</t>
        </is>
      </c>
      <c r="G572" t="n">
        <v>7.5</v>
      </c>
      <c r="H572" t="n">
        <v>0</v>
      </c>
      <c r="I572" t="n">
        <v>0</v>
      </c>
      <c r="J572" t="n">
        <v>0</v>
      </c>
      <c r="K572" t="n">
        <v>0</v>
      </c>
      <c r="L572" t="n">
        <v>0</v>
      </c>
      <c r="M572" t="n">
        <v>0</v>
      </c>
      <c r="N572" t="n">
        <v>0</v>
      </c>
      <c r="O572" t="n">
        <v>0</v>
      </c>
      <c r="P572" t="n">
        <v>0</v>
      </c>
      <c r="Q572" t="n">
        <v>0</v>
      </c>
      <c r="R572" s="2" t="inlineStr"/>
    </row>
    <row r="573" ht="15" customHeight="1">
      <c r="A573" t="inlineStr">
        <is>
          <t>A 12209-2024</t>
        </is>
      </c>
      <c r="B573" s="1" t="n">
        <v>45378</v>
      </c>
      <c r="C573" s="1" t="n">
        <v>46000</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12210-2024</t>
        </is>
      </c>
      <c r="B574" s="1" t="n">
        <v>45378</v>
      </c>
      <c r="C574" s="1" t="n">
        <v>46000</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59986-2022</t>
        </is>
      </c>
      <c r="B575" s="1" t="n">
        <v>44909</v>
      </c>
      <c r="C575" s="1" t="n">
        <v>46000</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31802-2024</t>
        </is>
      </c>
      <c r="B576" s="1" t="n">
        <v>45509</v>
      </c>
      <c r="C576" s="1" t="n">
        <v>46000</v>
      </c>
      <c r="D576" t="inlineStr">
        <is>
          <t>GOTLANDS LÄN</t>
        </is>
      </c>
      <c r="E576" t="inlineStr">
        <is>
          <t>GOTLAND</t>
        </is>
      </c>
      <c r="G576" t="n">
        <v>2.8</v>
      </c>
      <c r="H576" t="n">
        <v>0</v>
      </c>
      <c r="I576" t="n">
        <v>0</v>
      </c>
      <c r="J576" t="n">
        <v>0</v>
      </c>
      <c r="K576" t="n">
        <v>0</v>
      </c>
      <c r="L576" t="n">
        <v>0</v>
      </c>
      <c r="M576" t="n">
        <v>0</v>
      </c>
      <c r="N576" t="n">
        <v>0</v>
      </c>
      <c r="O576" t="n">
        <v>0</v>
      </c>
      <c r="P576" t="n">
        <v>0</v>
      </c>
      <c r="Q576" t="n">
        <v>0</v>
      </c>
      <c r="R576" s="2" t="inlineStr"/>
    </row>
    <row r="577" ht="15" customHeight="1">
      <c r="A577" t="inlineStr">
        <is>
          <t>A 20993-2023</t>
        </is>
      </c>
      <c r="B577" s="1" t="n">
        <v>45056</v>
      </c>
      <c r="C577" s="1" t="n">
        <v>46000</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15042-2025</t>
        </is>
      </c>
      <c r="B578" s="1" t="n">
        <v>45743</v>
      </c>
      <c r="C578" s="1" t="n">
        <v>46000</v>
      </c>
      <c r="D578" t="inlineStr">
        <is>
          <t>GOTLANDS LÄN</t>
        </is>
      </c>
      <c r="E578" t="inlineStr">
        <is>
          <t>GOTLAND</t>
        </is>
      </c>
      <c r="G578" t="n">
        <v>8.5</v>
      </c>
      <c r="H578" t="n">
        <v>0</v>
      </c>
      <c r="I578" t="n">
        <v>0</v>
      </c>
      <c r="J578" t="n">
        <v>0</v>
      </c>
      <c r="K578" t="n">
        <v>0</v>
      </c>
      <c r="L578" t="n">
        <v>0</v>
      </c>
      <c r="M578" t="n">
        <v>0</v>
      </c>
      <c r="N578" t="n">
        <v>0</v>
      </c>
      <c r="O578" t="n">
        <v>0</v>
      </c>
      <c r="P578" t="n">
        <v>0</v>
      </c>
      <c r="Q578" t="n">
        <v>0</v>
      </c>
      <c r="R578" s="2" t="inlineStr"/>
    </row>
    <row r="579" ht="15" customHeight="1">
      <c r="A579" t="inlineStr">
        <is>
          <t>A 12327-2025</t>
        </is>
      </c>
      <c r="B579" s="1" t="n">
        <v>45730</v>
      </c>
      <c r="C579" s="1" t="n">
        <v>46000</v>
      </c>
      <c r="D579" t="inlineStr">
        <is>
          <t>GOTLANDS LÄN</t>
        </is>
      </c>
      <c r="E579" t="inlineStr">
        <is>
          <t>GOTLAND</t>
        </is>
      </c>
      <c r="G579" t="n">
        <v>1.8</v>
      </c>
      <c r="H579" t="n">
        <v>0</v>
      </c>
      <c r="I579" t="n">
        <v>0</v>
      </c>
      <c r="J579" t="n">
        <v>0</v>
      </c>
      <c r="K579" t="n">
        <v>0</v>
      </c>
      <c r="L579" t="n">
        <v>0</v>
      </c>
      <c r="M579" t="n">
        <v>0</v>
      </c>
      <c r="N579" t="n">
        <v>0</v>
      </c>
      <c r="O579" t="n">
        <v>0</v>
      </c>
      <c r="P579" t="n">
        <v>0</v>
      </c>
      <c r="Q579" t="n">
        <v>0</v>
      </c>
      <c r="R579" s="2" t="inlineStr"/>
    </row>
    <row r="580" ht="15" customHeight="1">
      <c r="A580" t="inlineStr">
        <is>
          <t>A 4420-2025</t>
        </is>
      </c>
      <c r="B580" s="1" t="n">
        <v>45686.47157407407</v>
      </c>
      <c r="C580" s="1" t="n">
        <v>46000</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14427-2024</t>
        </is>
      </c>
      <c r="B581" s="1" t="n">
        <v>45394</v>
      </c>
      <c r="C581" s="1" t="n">
        <v>46000</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46000</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49315-2024</t>
        </is>
      </c>
      <c r="B583" s="1" t="n">
        <v>45595</v>
      </c>
      <c r="C583" s="1" t="n">
        <v>46000</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46000</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56115-2023</t>
        </is>
      </c>
      <c r="B585" s="1" t="n">
        <v>45236</v>
      </c>
      <c r="C585" s="1" t="n">
        <v>46000</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64969-2023</t>
        </is>
      </c>
      <c r="B586" s="1" t="n">
        <v>45284.54009259259</v>
      </c>
      <c r="C586" s="1" t="n">
        <v>46000</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33853-2024</t>
        </is>
      </c>
      <c r="B587" s="1" t="n">
        <v>45520.64298611111</v>
      </c>
      <c r="C587" s="1" t="n">
        <v>46000</v>
      </c>
      <c r="D587" t="inlineStr">
        <is>
          <t>GOTLANDS LÄN</t>
        </is>
      </c>
      <c r="E587" t="inlineStr">
        <is>
          <t>GOTLAND</t>
        </is>
      </c>
      <c r="G587" t="n">
        <v>3.9</v>
      </c>
      <c r="H587" t="n">
        <v>0</v>
      </c>
      <c r="I587" t="n">
        <v>0</v>
      </c>
      <c r="J587" t="n">
        <v>0</v>
      </c>
      <c r="K587" t="n">
        <v>0</v>
      </c>
      <c r="L587" t="n">
        <v>0</v>
      </c>
      <c r="M587" t="n">
        <v>0</v>
      </c>
      <c r="N587" t="n">
        <v>0</v>
      </c>
      <c r="O587" t="n">
        <v>0</v>
      </c>
      <c r="P587" t="n">
        <v>0</v>
      </c>
      <c r="Q587" t="n">
        <v>0</v>
      </c>
      <c r="R587" s="2" t="inlineStr"/>
    </row>
    <row r="588" ht="15" customHeight="1">
      <c r="A588" t="inlineStr">
        <is>
          <t>A 18223-2025</t>
        </is>
      </c>
      <c r="B588" s="1" t="n">
        <v>45761</v>
      </c>
      <c r="C588" s="1" t="n">
        <v>46000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46949-2024</t>
        </is>
      </c>
      <c r="B589" s="1" t="n">
        <v>45585</v>
      </c>
      <c r="C589" s="1" t="n">
        <v>46000</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24001-2021</t>
        </is>
      </c>
      <c r="B590" s="1" t="n">
        <v>44335</v>
      </c>
      <c r="C590" s="1" t="n">
        <v>46000</v>
      </c>
      <c r="D590" t="inlineStr">
        <is>
          <t>GOTLANDS LÄN</t>
        </is>
      </c>
      <c r="E590" t="inlineStr">
        <is>
          <t>GOTLAND</t>
        </is>
      </c>
      <c r="G590" t="n">
        <v>3.4</v>
      </c>
      <c r="H590" t="n">
        <v>0</v>
      </c>
      <c r="I590" t="n">
        <v>0</v>
      </c>
      <c r="J590" t="n">
        <v>0</v>
      </c>
      <c r="K590" t="n">
        <v>0</v>
      </c>
      <c r="L590" t="n">
        <v>0</v>
      </c>
      <c r="M590" t="n">
        <v>0</v>
      </c>
      <c r="N590" t="n">
        <v>0</v>
      </c>
      <c r="O590" t="n">
        <v>0</v>
      </c>
      <c r="P590" t="n">
        <v>0</v>
      </c>
      <c r="Q590" t="n">
        <v>0</v>
      </c>
      <c r="R590" s="2" t="inlineStr"/>
    </row>
    <row r="591" ht="15" customHeight="1">
      <c r="A591" t="inlineStr">
        <is>
          <t>A 39479-2022</t>
        </is>
      </c>
      <c r="B591" s="1" t="n">
        <v>44818</v>
      </c>
      <c r="C591" s="1" t="n">
        <v>46000</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39496-2022</t>
        </is>
      </c>
      <c r="B592" s="1" t="n">
        <v>44818</v>
      </c>
      <c r="C592" s="1" t="n">
        <v>46000</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46389-2021</t>
        </is>
      </c>
      <c r="B593" s="1" t="n">
        <v>44443</v>
      </c>
      <c r="C593" s="1" t="n">
        <v>46000</v>
      </c>
      <c r="D593" t="inlineStr">
        <is>
          <t>GOTLANDS LÄN</t>
        </is>
      </c>
      <c r="E593" t="inlineStr">
        <is>
          <t>GOTLAND</t>
        </is>
      </c>
      <c r="F593" t="inlineStr">
        <is>
          <t>Kyrkan</t>
        </is>
      </c>
      <c r="G593" t="n">
        <v>2.1</v>
      </c>
      <c r="H593" t="n">
        <v>0</v>
      </c>
      <c r="I593" t="n">
        <v>0</v>
      </c>
      <c r="J593" t="n">
        <v>0</v>
      </c>
      <c r="K593" t="n">
        <v>0</v>
      </c>
      <c r="L593" t="n">
        <v>0</v>
      </c>
      <c r="M593" t="n">
        <v>0</v>
      </c>
      <c r="N593" t="n">
        <v>0</v>
      </c>
      <c r="O593" t="n">
        <v>0</v>
      </c>
      <c r="P593" t="n">
        <v>0</v>
      </c>
      <c r="Q593" t="n">
        <v>0</v>
      </c>
      <c r="R593" s="2" t="inlineStr"/>
    </row>
    <row r="594" ht="15" customHeight="1">
      <c r="A594" t="inlineStr">
        <is>
          <t>A 44949-2023</t>
        </is>
      </c>
      <c r="B594" s="1" t="n">
        <v>45190.69520833333</v>
      </c>
      <c r="C594" s="1" t="n">
        <v>46000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17682-2024</t>
        </is>
      </c>
      <c r="B595" s="1" t="n">
        <v>45418.42966435185</v>
      </c>
      <c r="C595" s="1" t="n">
        <v>46000</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61897-2024</t>
        </is>
      </c>
      <c r="B596" s="1" t="n">
        <v>45652.75685185185</v>
      </c>
      <c r="C596" s="1" t="n">
        <v>46000</v>
      </c>
      <c r="D596" t="inlineStr">
        <is>
          <t>GOTLANDS LÄN</t>
        </is>
      </c>
      <c r="E596" t="inlineStr">
        <is>
          <t>GOTLAND</t>
        </is>
      </c>
      <c r="G596" t="n">
        <v>6.4</v>
      </c>
      <c r="H596" t="n">
        <v>0</v>
      </c>
      <c r="I596" t="n">
        <v>0</v>
      </c>
      <c r="J596" t="n">
        <v>0</v>
      </c>
      <c r="K596" t="n">
        <v>0</v>
      </c>
      <c r="L596" t="n">
        <v>0</v>
      </c>
      <c r="M596" t="n">
        <v>0</v>
      </c>
      <c r="N596" t="n">
        <v>0</v>
      </c>
      <c r="O596" t="n">
        <v>0</v>
      </c>
      <c r="P596" t="n">
        <v>0</v>
      </c>
      <c r="Q596" t="n">
        <v>0</v>
      </c>
      <c r="R596" s="2" t="inlineStr"/>
    </row>
    <row r="597" ht="15" customHeight="1">
      <c r="A597" t="inlineStr">
        <is>
          <t>A 12032-2025</t>
        </is>
      </c>
      <c r="B597" s="1" t="n">
        <v>45728.64472222222</v>
      </c>
      <c r="C597" s="1" t="n">
        <v>46000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15595-2024</t>
        </is>
      </c>
      <c r="B598" s="1" t="n">
        <v>45401.81480324074</v>
      </c>
      <c r="C598" s="1" t="n">
        <v>46000</v>
      </c>
      <c r="D598" t="inlineStr">
        <is>
          <t>GOTLANDS LÄN</t>
        </is>
      </c>
      <c r="E598" t="inlineStr">
        <is>
          <t>GOTLAND</t>
        </is>
      </c>
      <c r="G598" t="n">
        <v>6.4</v>
      </c>
      <c r="H598" t="n">
        <v>0</v>
      </c>
      <c r="I598" t="n">
        <v>0</v>
      </c>
      <c r="J598" t="n">
        <v>0</v>
      </c>
      <c r="K598" t="n">
        <v>0</v>
      </c>
      <c r="L598" t="n">
        <v>0</v>
      </c>
      <c r="M598" t="n">
        <v>0</v>
      </c>
      <c r="N598" t="n">
        <v>0</v>
      </c>
      <c r="O598" t="n">
        <v>0</v>
      </c>
      <c r="P598" t="n">
        <v>0</v>
      </c>
      <c r="Q598" t="n">
        <v>0</v>
      </c>
      <c r="R598" s="2" t="inlineStr"/>
    </row>
    <row r="599" ht="15" customHeight="1">
      <c r="A599" t="inlineStr">
        <is>
          <t>A 21164-2024</t>
        </is>
      </c>
      <c r="B599" s="1" t="n">
        <v>45440</v>
      </c>
      <c r="C599" s="1" t="n">
        <v>46000</v>
      </c>
      <c r="D599" t="inlineStr">
        <is>
          <t>GOTLANDS LÄN</t>
        </is>
      </c>
      <c r="E599" t="inlineStr">
        <is>
          <t>GOTLAND</t>
        </is>
      </c>
      <c r="G599" t="n">
        <v>6.3</v>
      </c>
      <c r="H599" t="n">
        <v>0</v>
      </c>
      <c r="I599" t="n">
        <v>0</v>
      </c>
      <c r="J599" t="n">
        <v>0</v>
      </c>
      <c r="K599" t="n">
        <v>0</v>
      </c>
      <c r="L599" t="n">
        <v>0</v>
      </c>
      <c r="M599" t="n">
        <v>0</v>
      </c>
      <c r="N599" t="n">
        <v>0</v>
      </c>
      <c r="O599" t="n">
        <v>0</v>
      </c>
      <c r="P599" t="n">
        <v>0</v>
      </c>
      <c r="Q599" t="n">
        <v>0</v>
      </c>
      <c r="R599" s="2" t="inlineStr"/>
    </row>
    <row r="600" ht="15" customHeight="1">
      <c r="A600" t="inlineStr">
        <is>
          <t>A 17541-2024</t>
        </is>
      </c>
      <c r="B600" s="1" t="n">
        <v>45415</v>
      </c>
      <c r="C600" s="1" t="n">
        <v>46000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883-2025</t>
        </is>
      </c>
      <c r="B601" s="1" t="n">
        <v>45665</v>
      </c>
      <c r="C601" s="1" t="n">
        <v>46000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13910-2025</t>
        </is>
      </c>
      <c r="B602" s="1" t="n">
        <v>45737</v>
      </c>
      <c r="C602" s="1" t="n">
        <v>46000</v>
      </c>
      <c r="D602" t="inlineStr">
        <is>
          <t>GOTLANDS LÄN</t>
        </is>
      </c>
      <c r="E602" t="inlineStr">
        <is>
          <t>GOTLAND</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20794-2025</t>
        </is>
      </c>
      <c r="B603" s="1" t="n">
        <v>45776</v>
      </c>
      <c r="C603" s="1" t="n">
        <v>46000</v>
      </c>
      <c r="D603" t="inlineStr">
        <is>
          <t>GOTLANDS LÄN</t>
        </is>
      </c>
      <c r="E603" t="inlineStr">
        <is>
          <t>GOTLAND</t>
        </is>
      </c>
      <c r="G603" t="n">
        <v>6</v>
      </c>
      <c r="H603" t="n">
        <v>0</v>
      </c>
      <c r="I603" t="n">
        <v>0</v>
      </c>
      <c r="J603" t="n">
        <v>0</v>
      </c>
      <c r="K603" t="n">
        <v>0</v>
      </c>
      <c r="L603" t="n">
        <v>0</v>
      </c>
      <c r="M603" t="n">
        <v>0</v>
      </c>
      <c r="N603" t="n">
        <v>0</v>
      </c>
      <c r="O603" t="n">
        <v>0</v>
      </c>
      <c r="P603" t="n">
        <v>0</v>
      </c>
      <c r="Q603" t="n">
        <v>0</v>
      </c>
      <c r="R603" s="2" t="inlineStr"/>
    </row>
    <row r="604" ht="15" customHeight="1">
      <c r="A604" t="inlineStr">
        <is>
          <t>A 20805-2025</t>
        </is>
      </c>
      <c r="B604" s="1" t="n">
        <v>45776</v>
      </c>
      <c r="C604" s="1" t="n">
        <v>46000</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21389-2025</t>
        </is>
      </c>
      <c r="B605" s="1" t="n">
        <v>45782</v>
      </c>
      <c r="C605" s="1" t="n">
        <v>46000</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c r="A606" t="inlineStr">
        <is>
          <t>A 21651-2025</t>
        </is>
      </c>
      <c r="B606" s="1" t="n">
        <v>45783</v>
      </c>
      <c r="C606" s="1" t="n">
        <v>46000</v>
      </c>
      <c r="D606" t="inlineStr">
        <is>
          <t>GOTLANDS LÄN</t>
        </is>
      </c>
      <c r="E606" t="inlineStr">
        <is>
          <t>GOTLAND</t>
        </is>
      </c>
      <c r="G606" t="n">
        <v>4.2</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2025-12-09T10:24:17Z</dcterms:created>
  <dcterms:modified xmlns:dcterms="http://purl.org/dc/terms/" xmlns:xsi="http://www.w3.org/2001/XMLSchema-instance" xsi:type="dcterms:W3CDTF">2025-12-09T10:24:18Z</dcterms:modified>
</cp:coreProperties>
</file>