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46117</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46117</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46117</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46117</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46117</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46117</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46117</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46117</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46117</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46117</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46117</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46117</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46117</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46117</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46117</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46117</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46117</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46117</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46117</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46117</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46117</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46117</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46117</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46117</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46117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46117</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46117</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46117</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46117</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46117</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46117</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46117</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46117</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46117</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46117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46117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46117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46117</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46117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46117</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46117</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46117</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46117</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46117</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46117</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46117</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46117</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46117</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20833-2024</t>
        </is>
      </c>
      <c r="B90" s="1" t="n">
        <v>45439</v>
      </c>
      <c r="C90" s="1" t="n">
        <v>46117</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40099-2025</t>
        </is>
      </c>
      <c r="B91" s="1" t="n">
        <v>45894.48462962963</v>
      </c>
      <c r="C91" s="1" t="n">
        <v>46117</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5904-2024</t>
        </is>
      </c>
      <c r="B92" s="1" t="n">
        <v>45335</v>
      </c>
      <c r="C92" s="1" t="n">
        <v>46117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46117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46117</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46117</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46117</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46117</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46117</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46117</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46117</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46117</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46117</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46117</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46117</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46117</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46117</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46117</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46117</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46117</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46117</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46117</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46117</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46117</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46117</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46117</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46117</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46117</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46117</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46117</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46117</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46117</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46117</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46117</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46117</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46117</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16997-2026</t>
        </is>
      </c>
      <c r="B139" s="1" t="n">
        <v>46114.42539351852</v>
      </c>
      <c r="C139" s="1" t="n">
        <v>46117</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21879-2025</t>
        </is>
      </c>
      <c r="B140" s="1" t="n">
        <v>45784.40533564815</v>
      </c>
      <c r="C140" s="1" t="n">
        <v>46117</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46117</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46117</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46117</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46117</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46117</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46117</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46117</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46117</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46117</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46117</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39812-2025</t>
        </is>
      </c>
      <c r="B151" s="1" t="n">
        <v>45891</v>
      </c>
      <c r="C151" s="1" t="n">
        <v>46117</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65927-2021</t>
        </is>
      </c>
      <c r="B152" s="1" t="n">
        <v>44516</v>
      </c>
      <c r="C152" s="1" t="n">
        <v>46117</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12924-2025</t>
        </is>
      </c>
      <c r="B153" s="1" t="n">
        <v>45734</v>
      </c>
      <c r="C153" s="1" t="n">
        <v>46117</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947-2023</t>
        </is>
      </c>
      <c r="B154" s="1" t="n">
        <v>44934</v>
      </c>
      <c r="C154" s="1" t="n">
        <v>46117</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61561-2023</t>
        </is>
      </c>
      <c r="B155" s="1" t="n">
        <v>45265</v>
      </c>
      <c r="C155" s="1" t="n">
        <v>46117</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35467-2021</t>
        </is>
      </c>
      <c r="B156" s="1" t="n">
        <v>44385</v>
      </c>
      <c r="C156" s="1" t="n">
        <v>46117</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46117</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12324-2025</t>
        </is>
      </c>
      <c r="B158" s="1" t="n">
        <v>45730</v>
      </c>
      <c r="C158" s="1" t="n">
        <v>46117</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49726-2025</t>
        </is>
      </c>
      <c r="B159" s="1" t="n">
        <v>45939.84466435185</v>
      </c>
      <c r="C159" s="1" t="n">
        <v>46117</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2476-2025</t>
        </is>
      </c>
      <c r="B160" s="1" t="n">
        <v>45673</v>
      </c>
      <c r="C160" s="1" t="n">
        <v>46117</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46117</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46117</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34809-2024</t>
        </is>
      </c>
      <c r="B163" s="1" t="n">
        <v>45526</v>
      </c>
      <c r="C163" s="1" t="n">
        <v>46117</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49304-2024</t>
        </is>
      </c>
      <c r="B164" s="1" t="n">
        <v>45595.54996527778</v>
      </c>
      <c r="C164" s="1" t="n">
        <v>46117</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22782-2023</t>
        </is>
      </c>
      <c r="B165" s="1" t="n">
        <v>45072</v>
      </c>
      <c r="C165" s="1" t="n">
        <v>46117</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44088-2022</t>
        </is>
      </c>
      <c r="B166" s="1" t="n">
        <v>44839</v>
      </c>
      <c r="C166" s="1" t="n">
        <v>46117</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1477-2024</t>
        </is>
      </c>
      <c r="B167" s="1" t="n">
        <v>45305.37987268518</v>
      </c>
      <c r="C167" s="1" t="n">
        <v>46117</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63149-2025</t>
        </is>
      </c>
      <c r="B168" s="1" t="n">
        <v>46010</v>
      </c>
      <c r="C168" s="1" t="n">
        <v>46117</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11708-2026</t>
        </is>
      </c>
      <c r="B169" s="1" t="n">
        <v>46084</v>
      </c>
      <c r="C169" s="1" t="n">
        <v>46117</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7637-2025</t>
        </is>
      </c>
      <c r="B170" s="1" t="n">
        <v>45705.77181712963</v>
      </c>
      <c r="C170" s="1" t="n">
        <v>46117</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61796-2022</t>
        </is>
      </c>
      <c r="B171" s="1" t="n">
        <v>44917</v>
      </c>
      <c r="C171" s="1" t="n">
        <v>46117</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10218-2025</t>
        </is>
      </c>
      <c r="B172" s="1" t="n">
        <v>45720</v>
      </c>
      <c r="C172" s="1" t="n">
        <v>46117</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12379-2024</t>
        </is>
      </c>
      <c r="B173" s="1" t="n">
        <v>45379.28155092592</v>
      </c>
      <c r="C173" s="1" t="n">
        <v>46117</v>
      </c>
      <c r="D173" t="inlineStr">
        <is>
          <t>GOTLANDS LÄN</t>
        </is>
      </c>
      <c r="E173" t="inlineStr">
        <is>
          <t>GOTLAND</t>
        </is>
      </c>
      <c r="G173" t="n">
        <v>4.4</v>
      </c>
      <c r="H173" t="n">
        <v>0</v>
      </c>
      <c r="I173" t="n">
        <v>0</v>
      </c>
      <c r="J173" t="n">
        <v>1</v>
      </c>
      <c r="K173" t="n">
        <v>0</v>
      </c>
      <c r="L173" t="n">
        <v>0</v>
      </c>
      <c r="M173" t="n">
        <v>0</v>
      </c>
      <c r="N173" t="n">
        <v>0</v>
      </c>
      <c r="O173" t="n">
        <v>1</v>
      </c>
      <c r="P173" t="n">
        <v>0</v>
      </c>
      <c r="Q173" t="n">
        <v>1</v>
      </c>
      <c r="R173" s="2" t="inlineStr">
        <is>
          <t>Svinrot</t>
        </is>
      </c>
      <c r="S173">
        <f>HYPERLINK("https://klasma.github.io/Logging_0980/artfynd/A 12379-2024 artfynd.xlsx", "A 12379-2024")</f>
        <v/>
      </c>
      <c r="T173">
        <f>HYPERLINK("https://klasma.github.io/Logging_0980/kartor/A 12379-2024 karta.png", "A 12379-2024")</f>
        <v/>
      </c>
      <c r="V173">
        <f>HYPERLINK("https://klasma.github.io/Logging_0980/klagomål/A 12379-2024 FSC-klagomål.docx", "A 12379-2024")</f>
        <v/>
      </c>
      <c r="W173">
        <f>HYPERLINK("https://klasma.github.io/Logging_0980/klagomålsmail/A 12379-2024 FSC-klagomål mail.docx", "A 12379-2024")</f>
        <v/>
      </c>
      <c r="X173">
        <f>HYPERLINK("https://klasma.github.io/Logging_0980/tillsyn/A 12379-2024 tillsynsbegäran.docx", "A 12379-2024")</f>
        <v/>
      </c>
      <c r="Y173">
        <f>HYPERLINK("https://klasma.github.io/Logging_0980/tillsynsmail/A 12379-2024 tillsynsbegäran mail.docx", "A 12379-2024")</f>
        <v/>
      </c>
    </row>
    <row r="174" ht="15" customHeight="1">
      <c r="A174" t="inlineStr">
        <is>
          <t>A 64700-2021</t>
        </is>
      </c>
      <c r="B174" s="1" t="n">
        <v>44511</v>
      </c>
      <c r="C174" s="1" t="n">
        <v>46117</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35574-2024</t>
        </is>
      </c>
      <c r="B175" s="1" t="n">
        <v>45531</v>
      </c>
      <c r="C175" s="1" t="n">
        <v>46117</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37591-2023</t>
        </is>
      </c>
      <c r="B176" s="1" t="n">
        <v>45159</v>
      </c>
      <c r="C176" s="1" t="n">
        <v>46117</v>
      </c>
      <c r="D176" t="inlineStr">
        <is>
          <t>GOTLANDS LÄN</t>
        </is>
      </c>
      <c r="E176" t="inlineStr">
        <is>
          <t>GOTLAND</t>
        </is>
      </c>
      <c r="G176" t="n">
        <v>8.300000000000001</v>
      </c>
      <c r="H176" t="n">
        <v>0</v>
      </c>
      <c r="I176" t="n">
        <v>0</v>
      </c>
      <c r="J176" t="n">
        <v>1</v>
      </c>
      <c r="K176" t="n">
        <v>0</v>
      </c>
      <c r="L176" t="n">
        <v>0</v>
      </c>
      <c r="M176" t="n">
        <v>0</v>
      </c>
      <c r="N176" t="n">
        <v>0</v>
      </c>
      <c r="O176" t="n">
        <v>1</v>
      </c>
      <c r="P176" t="n">
        <v>0</v>
      </c>
      <c r="Q176" t="n">
        <v>1</v>
      </c>
      <c r="R176" s="2" t="inlineStr">
        <is>
          <t>Ängsstarr</t>
        </is>
      </c>
      <c r="S176">
        <f>HYPERLINK("https://klasma.github.io/Logging_0980/artfynd/A 37591-2023 artfynd.xlsx", "A 37591-2023")</f>
        <v/>
      </c>
      <c r="T176">
        <f>HYPERLINK("https://klasma.github.io/Logging_0980/kartor/A 37591-2023 karta.png", "A 37591-2023")</f>
        <v/>
      </c>
      <c r="V176">
        <f>HYPERLINK("https://klasma.github.io/Logging_0980/klagomål/A 37591-2023 FSC-klagomål.docx", "A 37591-2023")</f>
        <v/>
      </c>
      <c r="W176">
        <f>HYPERLINK("https://klasma.github.io/Logging_0980/klagomålsmail/A 37591-2023 FSC-klagomål mail.docx", "A 37591-2023")</f>
        <v/>
      </c>
      <c r="X176">
        <f>HYPERLINK("https://klasma.github.io/Logging_0980/tillsyn/A 37591-2023 tillsynsbegäran.docx", "A 37591-2023")</f>
        <v/>
      </c>
      <c r="Y176">
        <f>HYPERLINK("https://klasma.github.io/Logging_0980/tillsynsmail/A 37591-2023 tillsynsbegäran mail.docx", "A 37591-2023")</f>
        <v/>
      </c>
    </row>
    <row r="177" ht="15" customHeight="1">
      <c r="A177" t="inlineStr">
        <is>
          <t>A 15637-2024</t>
        </is>
      </c>
      <c r="B177" s="1" t="n">
        <v>45403.6684837963</v>
      </c>
      <c r="C177" s="1" t="n">
        <v>46117</v>
      </c>
      <c r="D177" t="inlineStr">
        <is>
          <t>GOTLANDS LÄN</t>
        </is>
      </c>
      <c r="E177" t="inlineStr">
        <is>
          <t>GOTLAND</t>
        </is>
      </c>
      <c r="G177" t="n">
        <v>4.1</v>
      </c>
      <c r="H177" t="n">
        <v>1</v>
      </c>
      <c r="I177" t="n">
        <v>0</v>
      </c>
      <c r="J177" t="n">
        <v>0</v>
      </c>
      <c r="K177" t="n">
        <v>0</v>
      </c>
      <c r="L177" t="n">
        <v>0</v>
      </c>
      <c r="M177" t="n">
        <v>0</v>
      </c>
      <c r="N177" t="n">
        <v>0</v>
      </c>
      <c r="O177" t="n">
        <v>0</v>
      </c>
      <c r="P177" t="n">
        <v>0</v>
      </c>
      <c r="Q177" t="n">
        <v>1</v>
      </c>
      <c r="R177" s="2" t="inlineStr">
        <is>
          <t>Blåsippa</t>
        </is>
      </c>
      <c r="S177">
        <f>HYPERLINK("https://klasma.github.io/Logging_0980/artfynd/A 15637-2024 artfynd.xlsx", "A 15637-2024")</f>
        <v/>
      </c>
      <c r="T177">
        <f>HYPERLINK("https://klasma.github.io/Logging_0980/kartor/A 15637-2024 karta.png", "A 15637-2024")</f>
        <v/>
      </c>
      <c r="V177">
        <f>HYPERLINK("https://klasma.github.io/Logging_0980/klagomål/A 15637-2024 FSC-klagomål.docx", "A 15637-2024")</f>
        <v/>
      </c>
      <c r="W177">
        <f>HYPERLINK("https://klasma.github.io/Logging_0980/klagomålsmail/A 15637-2024 FSC-klagomål mail.docx", "A 15637-2024")</f>
        <v/>
      </c>
      <c r="X177">
        <f>HYPERLINK("https://klasma.github.io/Logging_0980/tillsyn/A 15637-2024 tillsynsbegäran.docx", "A 15637-2024")</f>
        <v/>
      </c>
      <c r="Y177">
        <f>HYPERLINK("https://klasma.github.io/Logging_0980/tillsynsmail/A 15637-2024 tillsynsbegäran mail.docx", "A 15637-2024")</f>
        <v/>
      </c>
    </row>
    <row r="178" ht="15" customHeight="1">
      <c r="A178" t="inlineStr">
        <is>
          <t>A 10013-2026</t>
        </is>
      </c>
      <c r="B178" s="1" t="n">
        <v>46073</v>
      </c>
      <c r="C178" s="1" t="n">
        <v>46117</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49847-2023</t>
        </is>
      </c>
      <c r="B179" s="1" t="n">
        <v>45212</v>
      </c>
      <c r="C179" s="1" t="n">
        <v>46117</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10995-2023</t>
        </is>
      </c>
      <c r="B180" s="1" t="n">
        <v>44986</v>
      </c>
      <c r="C180" s="1" t="n">
        <v>46117</v>
      </c>
      <c r="D180" t="inlineStr">
        <is>
          <t>GOTLANDS LÄN</t>
        </is>
      </c>
      <c r="E180" t="inlineStr">
        <is>
          <t>GOTLAND</t>
        </is>
      </c>
      <c r="G180" t="n">
        <v>2.8</v>
      </c>
      <c r="H180" t="n">
        <v>0</v>
      </c>
      <c r="I180" t="n">
        <v>0</v>
      </c>
      <c r="J180" t="n">
        <v>0</v>
      </c>
      <c r="K180" t="n">
        <v>1</v>
      </c>
      <c r="L180" t="n">
        <v>0</v>
      </c>
      <c r="M180" t="n">
        <v>0</v>
      </c>
      <c r="N180" t="n">
        <v>0</v>
      </c>
      <c r="O180" t="n">
        <v>1</v>
      </c>
      <c r="P180" t="n">
        <v>1</v>
      </c>
      <c r="Q180" t="n">
        <v>1</v>
      </c>
      <c r="R180" s="2" t="inlineStr">
        <is>
          <t>Violettfläckig spindling</t>
        </is>
      </c>
      <c r="S180">
        <f>HYPERLINK("https://klasma.github.io/Logging_0980/artfynd/A 10995-2023 artfynd.xlsx", "A 10995-2023")</f>
        <v/>
      </c>
      <c r="T180">
        <f>HYPERLINK("https://klasma.github.io/Logging_0980/kartor/A 10995-2023 karta.png", "A 10995-2023")</f>
        <v/>
      </c>
      <c r="V180">
        <f>HYPERLINK("https://klasma.github.io/Logging_0980/klagomål/A 10995-2023 FSC-klagomål.docx", "A 10995-2023")</f>
        <v/>
      </c>
      <c r="W180">
        <f>HYPERLINK("https://klasma.github.io/Logging_0980/klagomålsmail/A 10995-2023 FSC-klagomål mail.docx", "A 10995-2023")</f>
        <v/>
      </c>
      <c r="X180">
        <f>HYPERLINK("https://klasma.github.io/Logging_0980/tillsyn/A 10995-2023 tillsynsbegäran.docx", "A 10995-2023")</f>
        <v/>
      </c>
      <c r="Y180">
        <f>HYPERLINK("https://klasma.github.io/Logging_0980/tillsynsmail/A 10995-2023 tillsynsbegäran mail.docx", "A 10995-2023")</f>
        <v/>
      </c>
    </row>
    <row r="181" ht="15" customHeight="1">
      <c r="A181" t="inlineStr">
        <is>
          <t>A 63576-2021</t>
        </is>
      </c>
      <c r="B181" s="1" t="n">
        <v>44508</v>
      </c>
      <c r="C181" s="1" t="n">
        <v>46117</v>
      </c>
      <c r="D181" t="inlineStr">
        <is>
          <t>GOTLANDS LÄN</t>
        </is>
      </c>
      <c r="E181" t="inlineStr">
        <is>
          <t>GOTLAND</t>
        </is>
      </c>
      <c r="F181" t="inlineStr">
        <is>
          <t>Kyrkan</t>
        </is>
      </c>
      <c r="G181" t="n">
        <v>4.1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63576-2021 artfynd.xlsx", "A 63576-2021")</f>
        <v/>
      </c>
      <c r="T181">
        <f>HYPERLINK("https://klasma.github.io/Logging_0980/kartor/A 63576-2021 karta.png", "A 63576-2021")</f>
        <v/>
      </c>
      <c r="V181">
        <f>HYPERLINK("https://klasma.github.io/Logging_0980/klagomål/A 63576-2021 FSC-klagomål.docx", "A 63576-2021")</f>
        <v/>
      </c>
      <c r="W181">
        <f>HYPERLINK("https://klasma.github.io/Logging_0980/klagomålsmail/A 63576-2021 FSC-klagomål mail.docx", "A 63576-2021")</f>
        <v/>
      </c>
      <c r="X181">
        <f>HYPERLINK("https://klasma.github.io/Logging_0980/tillsyn/A 63576-2021 tillsynsbegäran.docx", "A 63576-2021")</f>
        <v/>
      </c>
      <c r="Y181">
        <f>HYPERLINK("https://klasma.github.io/Logging_0980/tillsynsmail/A 63576-2021 tillsynsbegäran mail.docx", "A 63576-2021")</f>
        <v/>
      </c>
    </row>
    <row r="182" ht="15" customHeight="1">
      <c r="A182" t="inlineStr">
        <is>
          <t>A 21466-2025</t>
        </is>
      </c>
      <c r="B182" s="1" t="n">
        <v>45782</v>
      </c>
      <c r="C182" s="1" t="n">
        <v>46117</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46117</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46117</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9862-2024</t>
        </is>
      </c>
      <c r="B185" s="1" t="n">
        <v>45363</v>
      </c>
      <c r="C185" s="1" t="n">
        <v>46117</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46117</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19901-2021</t>
        </is>
      </c>
      <c r="B187" s="1" t="n">
        <v>44312</v>
      </c>
      <c r="C187" s="1" t="n">
        <v>46117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46117</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46117</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46117</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46117</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46117</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46117</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46117</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46117</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46117</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46117</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46117</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46117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46117</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46117</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46117</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46117</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46117</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46117</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46117</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46117</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46117</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46117</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46117</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46117</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46117</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46117</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46117</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46117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46117</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46117</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46117</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46117</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46117</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46117</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46117</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46117</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46117</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46117</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46117</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58476-2022</t>
        </is>
      </c>
      <c r="B231" s="1" t="n">
        <v>44902</v>
      </c>
      <c r="C231" s="1" t="n">
        <v>46117</v>
      </c>
      <c r="D231" t="inlineStr">
        <is>
          <t>GOTLANDS LÄN</t>
        </is>
      </c>
      <c r="E231" t="inlineStr">
        <is>
          <t>GOTLAND</t>
        </is>
      </c>
      <c r="G231" t="n">
        <v>0.9</v>
      </c>
      <c r="H231" t="n">
        <v>0</v>
      </c>
      <c r="I231" t="n">
        <v>0</v>
      </c>
      <c r="J231" t="n">
        <v>0</v>
      </c>
      <c r="K231" t="n">
        <v>0</v>
      </c>
      <c r="L231" t="n">
        <v>0</v>
      </c>
      <c r="M231" t="n">
        <v>0</v>
      </c>
      <c r="N231" t="n">
        <v>0</v>
      </c>
      <c r="O231" t="n">
        <v>0</v>
      </c>
      <c r="P231" t="n">
        <v>0</v>
      </c>
      <c r="Q231" t="n">
        <v>0</v>
      </c>
      <c r="R231" s="2" t="inlineStr"/>
    </row>
    <row r="232" ht="15" customHeight="1">
      <c r="A232" t="inlineStr">
        <is>
          <t>A 61596-2023</t>
        </is>
      </c>
      <c r="B232" s="1" t="n">
        <v>45265</v>
      </c>
      <c r="C232" s="1" t="n">
        <v>46117</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46117</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46117</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46117</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46117</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46117</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46117</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46117</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46117</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46117</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7026-2023</t>
        </is>
      </c>
      <c r="B242" s="1" t="n">
        <v>44968.30340277778</v>
      </c>
      <c r="C242" s="1" t="n">
        <v>46117</v>
      </c>
      <c r="D242" t="inlineStr">
        <is>
          <t>GOTLANDS LÄN</t>
        </is>
      </c>
      <c r="E242" t="inlineStr">
        <is>
          <t>GOTLAND</t>
        </is>
      </c>
      <c r="G242" t="n">
        <v>2.9</v>
      </c>
      <c r="H242" t="n">
        <v>0</v>
      </c>
      <c r="I242" t="n">
        <v>0</v>
      </c>
      <c r="J242" t="n">
        <v>0</v>
      </c>
      <c r="K242" t="n">
        <v>0</v>
      </c>
      <c r="L242" t="n">
        <v>0</v>
      </c>
      <c r="M242" t="n">
        <v>0</v>
      </c>
      <c r="N242" t="n">
        <v>0</v>
      </c>
      <c r="O242" t="n">
        <v>0</v>
      </c>
      <c r="P242" t="n">
        <v>0</v>
      </c>
      <c r="Q242" t="n">
        <v>0</v>
      </c>
      <c r="R242" s="2" t="inlineStr"/>
    </row>
    <row r="243" ht="15" customHeight="1">
      <c r="A243" t="inlineStr">
        <is>
          <t>A 49874-2024</t>
        </is>
      </c>
      <c r="B243" s="1" t="n">
        <v>45597.49274305555</v>
      </c>
      <c r="C243" s="1" t="n">
        <v>46117</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46117</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46117</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60675-2021</t>
        </is>
      </c>
      <c r="B246" s="1" t="n">
        <v>44496.64855324074</v>
      </c>
      <c r="C246" s="1" t="n">
        <v>46117</v>
      </c>
      <c r="D246" t="inlineStr">
        <is>
          <t>GOTLANDS LÄN</t>
        </is>
      </c>
      <c r="E246" t="inlineStr">
        <is>
          <t>GOTLAND</t>
        </is>
      </c>
      <c r="G246" t="n">
        <v>4.6</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46117</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51782-2023</t>
        </is>
      </c>
      <c r="B248" s="1" t="n">
        <v>45222.80952546297</v>
      </c>
      <c r="C248" s="1" t="n">
        <v>46117</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46117</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4421-2024</t>
        </is>
      </c>
      <c r="B250" s="1" t="n">
        <v>45327.45173611111</v>
      </c>
      <c r="C250" s="1" t="n">
        <v>46117</v>
      </c>
      <c r="D250" t="inlineStr">
        <is>
          <t>GOTLANDS LÄN</t>
        </is>
      </c>
      <c r="E250" t="inlineStr">
        <is>
          <t>GOTLAND</t>
        </is>
      </c>
      <c r="G250" t="n">
        <v>5.1</v>
      </c>
      <c r="H250" t="n">
        <v>0</v>
      </c>
      <c r="I250" t="n">
        <v>0</v>
      </c>
      <c r="J250" t="n">
        <v>0</v>
      </c>
      <c r="K250" t="n">
        <v>0</v>
      </c>
      <c r="L250" t="n">
        <v>0</v>
      </c>
      <c r="M250" t="n">
        <v>0</v>
      </c>
      <c r="N250" t="n">
        <v>0</v>
      </c>
      <c r="O250" t="n">
        <v>0</v>
      </c>
      <c r="P250" t="n">
        <v>0</v>
      </c>
      <c r="Q250" t="n">
        <v>0</v>
      </c>
      <c r="R250" s="2" t="inlineStr"/>
    </row>
    <row r="251" ht="15" customHeight="1">
      <c r="A251" t="inlineStr">
        <is>
          <t>A 31264-2021</t>
        </is>
      </c>
      <c r="B251" s="1" t="n">
        <v>44368</v>
      </c>
      <c r="C251" s="1" t="n">
        <v>46117</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20165-2022</t>
        </is>
      </c>
      <c r="B252" s="1" t="n">
        <v>44698.49854166667</v>
      </c>
      <c r="C252" s="1" t="n">
        <v>46117</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56009-2024</t>
        </is>
      </c>
      <c r="B253" s="1" t="n">
        <v>45623.80864583333</v>
      </c>
      <c r="C253" s="1" t="n">
        <v>46117</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33876-2024</t>
        </is>
      </c>
      <c r="B254" s="1" t="n">
        <v>45521.87988425926</v>
      </c>
      <c r="C254" s="1" t="n">
        <v>46117</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54073-2022</t>
        </is>
      </c>
      <c r="B255" s="1" t="n">
        <v>44881.50380787037</v>
      </c>
      <c r="C255" s="1" t="n">
        <v>46117</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61962-2024</t>
        </is>
      </c>
      <c r="B256" s="1" t="n">
        <v>45653.54340277778</v>
      </c>
      <c r="C256" s="1" t="n">
        <v>46117</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5751-2024</t>
        </is>
      </c>
      <c r="B257" s="1" t="n">
        <v>45335.32702546296</v>
      </c>
      <c r="C257" s="1" t="n">
        <v>46117</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46117</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46117</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44966.66425925926</v>
      </c>
      <c r="C260" s="1" t="n">
        <v>46117</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27930-2021</t>
        </is>
      </c>
      <c r="B261" s="1" t="n">
        <v>44354</v>
      </c>
      <c r="C261" s="1" t="n">
        <v>46117</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28480-2023</t>
        </is>
      </c>
      <c r="B262" s="1" t="n">
        <v>45103</v>
      </c>
      <c r="C262" s="1" t="n">
        <v>46117</v>
      </c>
      <c r="D262" t="inlineStr">
        <is>
          <t>GOTLANDS LÄN</t>
        </is>
      </c>
      <c r="E262" t="inlineStr">
        <is>
          <t>GOTLAND</t>
        </is>
      </c>
      <c r="G262" t="n">
        <v>5.7</v>
      </c>
      <c r="H262" t="n">
        <v>0</v>
      </c>
      <c r="I262" t="n">
        <v>0</v>
      </c>
      <c r="J262" t="n">
        <v>0</v>
      </c>
      <c r="K262" t="n">
        <v>0</v>
      </c>
      <c r="L262" t="n">
        <v>0</v>
      </c>
      <c r="M262" t="n">
        <v>0</v>
      </c>
      <c r="N262" t="n">
        <v>0</v>
      </c>
      <c r="O262" t="n">
        <v>0</v>
      </c>
      <c r="P262" t="n">
        <v>0</v>
      </c>
      <c r="Q262" t="n">
        <v>0</v>
      </c>
      <c r="R262" s="2" t="inlineStr"/>
    </row>
    <row r="263" ht="15" customHeight="1">
      <c r="A263" t="inlineStr">
        <is>
          <t>A 28485-2023</t>
        </is>
      </c>
      <c r="B263" s="1" t="n">
        <v>45103.43731481482</v>
      </c>
      <c r="C263" s="1" t="n">
        <v>46117</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46117</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38165-2023</t>
        </is>
      </c>
      <c r="B265" s="1" t="n">
        <v>45161</v>
      </c>
      <c r="C265" s="1" t="n">
        <v>46117</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49693-2023</t>
        </is>
      </c>
      <c r="B266" s="1" t="n">
        <v>45212.38138888889</v>
      </c>
      <c r="C266" s="1" t="n">
        <v>46117</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49697-2023</t>
        </is>
      </c>
      <c r="B267" s="1" t="n">
        <v>45212.38909722222</v>
      </c>
      <c r="C267" s="1" t="n">
        <v>46117</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34312-2024</t>
        </is>
      </c>
      <c r="B268" s="1" t="n">
        <v>45524.69703703704</v>
      </c>
      <c r="C268" s="1" t="n">
        <v>46117</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48503-2023</t>
        </is>
      </c>
      <c r="B269" s="1" t="n">
        <v>45207</v>
      </c>
      <c r="C269" s="1" t="n">
        <v>46117</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46117</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46117</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46117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27694-2024</t>
        </is>
      </c>
      <c r="B273" s="1" t="n">
        <v>45475</v>
      </c>
      <c r="C273" s="1" t="n">
        <v>46117</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22287-2022</t>
        </is>
      </c>
      <c r="B274" s="1" t="n">
        <v>44712</v>
      </c>
      <c r="C274" s="1" t="n">
        <v>46117</v>
      </c>
      <c r="D274" t="inlineStr">
        <is>
          <t>GOTLANDS LÄN</t>
        </is>
      </c>
      <c r="E274" t="inlineStr">
        <is>
          <t>GOTLAND</t>
        </is>
      </c>
      <c r="G274" t="n">
        <v>6.1</v>
      </c>
      <c r="H274" t="n">
        <v>0</v>
      </c>
      <c r="I274" t="n">
        <v>0</v>
      </c>
      <c r="J274" t="n">
        <v>0</v>
      </c>
      <c r="K274" t="n">
        <v>0</v>
      </c>
      <c r="L274" t="n">
        <v>0</v>
      </c>
      <c r="M274" t="n">
        <v>0</v>
      </c>
      <c r="N274" t="n">
        <v>0</v>
      </c>
      <c r="O274" t="n">
        <v>0</v>
      </c>
      <c r="P274" t="n">
        <v>0</v>
      </c>
      <c r="Q274" t="n">
        <v>0</v>
      </c>
      <c r="R274" s="2" t="inlineStr"/>
    </row>
    <row r="275" ht="15" customHeight="1">
      <c r="A275" t="inlineStr">
        <is>
          <t>A 39764-2022</t>
        </is>
      </c>
      <c r="B275" s="1" t="n">
        <v>44819</v>
      </c>
      <c r="C275" s="1" t="n">
        <v>46117</v>
      </c>
      <c r="D275" t="inlineStr">
        <is>
          <t>GOTLANDS LÄN</t>
        </is>
      </c>
      <c r="E275" t="inlineStr">
        <is>
          <t>GOTLAND</t>
        </is>
      </c>
      <c r="F275" t="inlineStr">
        <is>
          <t>Kyrkan</t>
        </is>
      </c>
      <c r="G275" t="n">
        <v>3.7</v>
      </c>
      <c r="H275" t="n">
        <v>0</v>
      </c>
      <c r="I275" t="n">
        <v>0</v>
      </c>
      <c r="J275" t="n">
        <v>0</v>
      </c>
      <c r="K275" t="n">
        <v>0</v>
      </c>
      <c r="L275" t="n">
        <v>0</v>
      </c>
      <c r="M275" t="n">
        <v>0</v>
      </c>
      <c r="N275" t="n">
        <v>0</v>
      </c>
      <c r="O275" t="n">
        <v>0</v>
      </c>
      <c r="P275" t="n">
        <v>0</v>
      </c>
      <c r="Q275" t="n">
        <v>0</v>
      </c>
      <c r="R275" s="2" t="inlineStr"/>
    </row>
    <row r="276" ht="15" customHeight="1">
      <c r="A276" t="inlineStr">
        <is>
          <t>A 8260-2023</t>
        </is>
      </c>
      <c r="B276" s="1" t="n">
        <v>44974.61608796296</v>
      </c>
      <c r="C276" s="1" t="n">
        <v>46117</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46117</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57534-2022</t>
        </is>
      </c>
      <c r="B278" s="1" t="n">
        <v>44896</v>
      </c>
      <c r="C278" s="1" t="n">
        <v>46117</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46117</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20855-2023</t>
        </is>
      </c>
      <c r="B280" s="1" t="n">
        <v>45058.82172453704</v>
      </c>
      <c r="C280" s="1" t="n">
        <v>46117</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46117</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15413-2025</t>
        </is>
      </c>
      <c r="B282" s="1" t="n">
        <v>45747.451875</v>
      </c>
      <c r="C282" s="1" t="n">
        <v>46117</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60709-2023</t>
        </is>
      </c>
      <c r="B283" s="1" t="n">
        <v>45260</v>
      </c>
      <c r="C283" s="1" t="n">
        <v>46117</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35096-2025</t>
        </is>
      </c>
      <c r="B284" s="1" t="n">
        <v>45852.54356481481</v>
      </c>
      <c r="C284" s="1" t="n">
        <v>46117</v>
      </c>
      <c r="D284" t="inlineStr">
        <is>
          <t>GOTLANDS LÄN</t>
        </is>
      </c>
      <c r="E284" t="inlineStr">
        <is>
          <t>GOTLAND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1000-2024</t>
        </is>
      </c>
      <c r="B285" s="1" t="n">
        <v>45301.63371527778</v>
      </c>
      <c r="C285" s="1" t="n">
        <v>46117</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1010-2024</t>
        </is>
      </c>
      <c r="B286" s="1" t="n">
        <v>45301</v>
      </c>
      <c r="C286" s="1" t="n">
        <v>46117</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65249-2023</t>
        </is>
      </c>
      <c r="B287" s="1" t="n">
        <v>45290</v>
      </c>
      <c r="C287" s="1" t="n">
        <v>46117</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35123-2025</t>
        </is>
      </c>
      <c r="B288" s="1" t="n">
        <v>45852.614375</v>
      </c>
      <c r="C288" s="1" t="n">
        <v>46117</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46117</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35290-2025</t>
        </is>
      </c>
      <c r="B290" s="1" t="n">
        <v>45854.38502314815</v>
      </c>
      <c r="C290" s="1" t="n">
        <v>46117</v>
      </c>
      <c r="D290" t="inlineStr">
        <is>
          <t>GOTLANDS LÄN</t>
        </is>
      </c>
      <c r="E290" t="inlineStr">
        <is>
          <t>GOTLAND</t>
        </is>
      </c>
      <c r="G290" t="n">
        <v>5.4</v>
      </c>
      <c r="H290" t="n">
        <v>0</v>
      </c>
      <c r="I290" t="n">
        <v>0</v>
      </c>
      <c r="J290" t="n">
        <v>0</v>
      </c>
      <c r="K290" t="n">
        <v>0</v>
      </c>
      <c r="L290" t="n">
        <v>0</v>
      </c>
      <c r="M290" t="n">
        <v>0</v>
      </c>
      <c r="N290" t="n">
        <v>0</v>
      </c>
      <c r="O290" t="n">
        <v>0</v>
      </c>
      <c r="P290" t="n">
        <v>0</v>
      </c>
      <c r="Q290" t="n">
        <v>0</v>
      </c>
      <c r="R290" s="2" t="inlineStr"/>
    </row>
    <row r="291" ht="15" customHeight="1">
      <c r="A291" t="inlineStr">
        <is>
          <t>A 30104-2025</t>
        </is>
      </c>
      <c r="B291" s="1" t="n">
        <v>45826.68806712963</v>
      </c>
      <c r="C291" s="1" t="n">
        <v>46117</v>
      </c>
      <c r="D291" t="inlineStr">
        <is>
          <t>GOTLANDS LÄN</t>
        </is>
      </c>
      <c r="E291" t="inlineStr">
        <is>
          <t>GOTLAND</t>
        </is>
      </c>
      <c r="G291" t="n">
        <v>15.4</v>
      </c>
      <c r="H291" t="n">
        <v>0</v>
      </c>
      <c r="I291" t="n">
        <v>0</v>
      </c>
      <c r="J291" t="n">
        <v>0</v>
      </c>
      <c r="K291" t="n">
        <v>0</v>
      </c>
      <c r="L291" t="n">
        <v>0</v>
      </c>
      <c r="M291" t="n">
        <v>0</v>
      </c>
      <c r="N291" t="n">
        <v>0</v>
      </c>
      <c r="O291" t="n">
        <v>0</v>
      </c>
      <c r="P291" t="n">
        <v>0</v>
      </c>
      <c r="Q291" t="n">
        <v>0</v>
      </c>
      <c r="R291" s="2" t="inlineStr"/>
    </row>
    <row r="292" ht="15" customHeight="1">
      <c r="A292" t="inlineStr">
        <is>
          <t>A 12596-2023</t>
        </is>
      </c>
      <c r="B292" s="1" t="n">
        <v>45000.43310185185</v>
      </c>
      <c r="C292" s="1" t="n">
        <v>46117</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32669-2024</t>
        </is>
      </c>
      <c r="B293" s="1" t="n">
        <v>45514</v>
      </c>
      <c r="C293" s="1" t="n">
        <v>46117</v>
      </c>
      <c r="D293" t="inlineStr">
        <is>
          <t>GOTLANDS LÄN</t>
        </is>
      </c>
      <c r="E293" t="inlineStr">
        <is>
          <t>GOTLAND</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8045-2022</t>
        </is>
      </c>
      <c r="B294" s="1" t="n">
        <v>44609</v>
      </c>
      <c r="C294" s="1" t="n">
        <v>46117</v>
      </c>
      <c r="D294" t="inlineStr">
        <is>
          <t>GOTLANDS LÄN</t>
        </is>
      </c>
      <c r="E294" t="inlineStr">
        <is>
          <t>GOTLAND</t>
        </is>
      </c>
      <c r="G294" t="n">
        <v>7</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46117</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35537-2025</t>
        </is>
      </c>
      <c r="B296" s="1" t="n">
        <v>45856</v>
      </c>
      <c r="C296" s="1" t="n">
        <v>46117</v>
      </c>
      <c r="D296" t="inlineStr">
        <is>
          <t>GOTLANDS LÄN</t>
        </is>
      </c>
      <c r="E296" t="inlineStr">
        <is>
          <t>GOTLAND</t>
        </is>
      </c>
      <c r="G296" t="n">
        <v>16.8</v>
      </c>
      <c r="H296" t="n">
        <v>0</v>
      </c>
      <c r="I296" t="n">
        <v>0</v>
      </c>
      <c r="J296" t="n">
        <v>0</v>
      </c>
      <c r="K296" t="n">
        <v>0</v>
      </c>
      <c r="L296" t="n">
        <v>0</v>
      </c>
      <c r="M296" t="n">
        <v>0</v>
      </c>
      <c r="N296" t="n">
        <v>0</v>
      </c>
      <c r="O296" t="n">
        <v>0</v>
      </c>
      <c r="P296" t="n">
        <v>0</v>
      </c>
      <c r="Q296" t="n">
        <v>0</v>
      </c>
      <c r="R296" s="2" t="inlineStr"/>
    </row>
    <row r="297" ht="15" customHeight="1">
      <c r="A297" t="inlineStr">
        <is>
          <t>A 35141-2025</t>
        </is>
      </c>
      <c r="B297" s="1" t="n">
        <v>45852.65206018519</v>
      </c>
      <c r="C297" s="1" t="n">
        <v>46117</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46117</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46117</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30488-2025</t>
        </is>
      </c>
      <c r="B300" s="1" t="n">
        <v>45830</v>
      </c>
      <c r="C300" s="1" t="n">
        <v>46117</v>
      </c>
      <c r="D300" t="inlineStr">
        <is>
          <t>GOTLANDS LÄN</t>
        </is>
      </c>
      <c r="E300" t="inlineStr">
        <is>
          <t>GOTLAND</t>
        </is>
      </c>
      <c r="F300" t="inlineStr">
        <is>
          <t>Kyrkan</t>
        </is>
      </c>
      <c r="G300" t="n">
        <v>3.9</v>
      </c>
      <c r="H300" t="n">
        <v>0</v>
      </c>
      <c r="I300" t="n">
        <v>0</v>
      </c>
      <c r="J300" t="n">
        <v>0</v>
      </c>
      <c r="K300" t="n">
        <v>0</v>
      </c>
      <c r="L300" t="n">
        <v>0</v>
      </c>
      <c r="M300" t="n">
        <v>0</v>
      </c>
      <c r="N300" t="n">
        <v>0</v>
      </c>
      <c r="O300" t="n">
        <v>0</v>
      </c>
      <c r="P300" t="n">
        <v>0</v>
      </c>
      <c r="Q300" t="n">
        <v>0</v>
      </c>
      <c r="R300" s="2" t="inlineStr"/>
    </row>
    <row r="301" ht="15" customHeight="1">
      <c r="A301" t="inlineStr">
        <is>
          <t>A 15216-2025</t>
        </is>
      </c>
      <c r="B301" s="1" t="n">
        <v>45744</v>
      </c>
      <c r="C301" s="1" t="n">
        <v>46117</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47762-2023</t>
        </is>
      </c>
      <c r="B302" s="1" t="n">
        <v>45203.86256944444</v>
      </c>
      <c r="C302" s="1" t="n">
        <v>46117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15001-2025</t>
        </is>
      </c>
      <c r="B303" s="1" t="n">
        <v>45743</v>
      </c>
      <c r="C303" s="1" t="n">
        <v>46117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46117</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17847-2025</t>
        </is>
      </c>
      <c r="B305" s="1" t="n">
        <v>45758</v>
      </c>
      <c r="C305" s="1" t="n">
        <v>46117</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40294-2022</t>
        </is>
      </c>
      <c r="B306" s="1" t="n">
        <v>44821</v>
      </c>
      <c r="C306" s="1" t="n">
        <v>46117</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18742-2025</t>
        </is>
      </c>
      <c r="B307" s="1" t="n">
        <v>45763</v>
      </c>
      <c r="C307" s="1" t="n">
        <v>46117</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27602-2023</t>
        </is>
      </c>
      <c r="B308" s="1" t="n">
        <v>45097</v>
      </c>
      <c r="C308" s="1" t="n">
        <v>46117</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35129-2025</t>
        </is>
      </c>
      <c r="B309" s="1" t="n">
        <v>45852.63224537037</v>
      </c>
      <c r="C309" s="1" t="n">
        <v>46117</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46117</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46117</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39849-2025</t>
        </is>
      </c>
      <c r="B312" s="1" t="n">
        <v>45891.58502314815</v>
      </c>
      <c r="C312" s="1" t="n">
        <v>46117</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39814-2025</t>
        </is>
      </c>
      <c r="B313" s="1" t="n">
        <v>45891.52694444444</v>
      </c>
      <c r="C313" s="1" t="n">
        <v>46117</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39819-2025</t>
        </is>
      </c>
      <c r="B314" s="1" t="n">
        <v>45891.53418981482</v>
      </c>
      <c r="C314" s="1" t="n">
        <v>46117</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24192-2023</t>
        </is>
      </c>
      <c r="B315" s="1" t="n">
        <v>45079</v>
      </c>
      <c r="C315" s="1" t="n">
        <v>46117</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30282-2022</t>
        </is>
      </c>
      <c r="B316" s="1" t="n">
        <v>44760</v>
      </c>
      <c r="C316" s="1" t="n">
        <v>46117</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7835-2024</t>
        </is>
      </c>
      <c r="B317" s="1" t="n">
        <v>45349.83138888889</v>
      </c>
      <c r="C317" s="1" t="n">
        <v>46117</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39752-2025</t>
        </is>
      </c>
      <c r="B318" s="1" t="n">
        <v>45891</v>
      </c>
      <c r="C318" s="1" t="n">
        <v>46117</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39816-2025</t>
        </is>
      </c>
      <c r="B319" s="1" t="n">
        <v>45891</v>
      </c>
      <c r="C319" s="1" t="n">
        <v>46117</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40372-2025</t>
        </is>
      </c>
      <c r="B320" s="1" t="n">
        <v>45895.5162037037</v>
      </c>
      <c r="C320" s="1" t="n">
        <v>46117</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10650-2022</t>
        </is>
      </c>
      <c r="B321" s="1" t="n">
        <v>44624.57945601852</v>
      </c>
      <c r="C321" s="1" t="n">
        <v>46117</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40373-2025</t>
        </is>
      </c>
      <c r="B322" s="1" t="n">
        <v>45895.51821759259</v>
      </c>
      <c r="C322" s="1" t="n">
        <v>46117</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26810-2021</t>
        </is>
      </c>
      <c r="B323" s="1" t="n">
        <v>44349.55087962963</v>
      </c>
      <c r="C323" s="1" t="n">
        <v>46117</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40103-2025</t>
        </is>
      </c>
      <c r="B324" s="1" t="n">
        <v>45894.4880324074</v>
      </c>
      <c r="C324" s="1" t="n">
        <v>46117</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30489-2025</t>
        </is>
      </c>
      <c r="B325" s="1" t="n">
        <v>45830</v>
      </c>
      <c r="C325" s="1" t="n">
        <v>46117</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46117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40499-2025</t>
        </is>
      </c>
      <c r="B327" s="1" t="n">
        <v>45896.32517361111</v>
      </c>
      <c r="C327" s="1" t="n">
        <v>46117</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6108-2025</t>
        </is>
      </c>
      <c r="B328" s="1" t="n">
        <v>45698.29880787037</v>
      </c>
      <c r="C328" s="1" t="n">
        <v>46117</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28425-2023</t>
        </is>
      </c>
      <c r="B329" s="1" t="n">
        <v>45102</v>
      </c>
      <c r="C329" s="1" t="n">
        <v>46117</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17343-2025</t>
        </is>
      </c>
      <c r="B330" s="1" t="n">
        <v>45756.6687037037</v>
      </c>
      <c r="C330" s="1" t="n">
        <v>46117</v>
      </c>
      <c r="D330" t="inlineStr">
        <is>
          <t>GOTLANDS LÄN</t>
        </is>
      </c>
      <c r="E330" t="inlineStr">
        <is>
          <t>GOTLAND</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18938-2025</t>
        </is>
      </c>
      <c r="B331" s="1" t="n">
        <v>45764.49172453704</v>
      </c>
      <c r="C331" s="1" t="n">
        <v>46117</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20307-2025</t>
        </is>
      </c>
      <c r="B332" s="1" t="n">
        <v>45774.95546296296</v>
      </c>
      <c r="C332" s="1" t="n">
        <v>46117</v>
      </c>
      <c r="D332" t="inlineStr">
        <is>
          <t>GOTLANDS LÄN</t>
        </is>
      </c>
      <c r="E332" t="inlineStr">
        <is>
          <t>GOTLAND</t>
        </is>
      </c>
      <c r="G332" t="n">
        <v>6.8</v>
      </c>
      <c r="H332" t="n">
        <v>0</v>
      </c>
      <c r="I332" t="n">
        <v>0</v>
      </c>
      <c r="J332" t="n">
        <v>0</v>
      </c>
      <c r="K332" t="n">
        <v>0</v>
      </c>
      <c r="L332" t="n">
        <v>0</v>
      </c>
      <c r="M332" t="n">
        <v>0</v>
      </c>
      <c r="N332" t="n">
        <v>0</v>
      </c>
      <c r="O332" t="n">
        <v>0</v>
      </c>
      <c r="P332" t="n">
        <v>0</v>
      </c>
      <c r="Q332" t="n">
        <v>0</v>
      </c>
      <c r="R332" s="2" t="inlineStr"/>
    </row>
    <row r="333" ht="15" customHeight="1">
      <c r="A333" t="inlineStr">
        <is>
          <t>A 13037-2025</t>
        </is>
      </c>
      <c r="B333" s="1" t="n">
        <v>45734</v>
      </c>
      <c r="C333" s="1" t="n">
        <v>46117</v>
      </c>
      <c r="D333" t="inlineStr">
        <is>
          <t>GOTLANDS LÄN</t>
        </is>
      </c>
      <c r="E333" t="inlineStr">
        <is>
          <t>GOTLAND</t>
        </is>
      </c>
      <c r="G333" t="n">
        <v>9.5</v>
      </c>
      <c r="H333" t="n">
        <v>0</v>
      </c>
      <c r="I333" t="n">
        <v>0</v>
      </c>
      <c r="J333" t="n">
        <v>0</v>
      </c>
      <c r="K333" t="n">
        <v>0</v>
      </c>
      <c r="L333" t="n">
        <v>0</v>
      </c>
      <c r="M333" t="n">
        <v>0</v>
      </c>
      <c r="N333" t="n">
        <v>0</v>
      </c>
      <c r="O333" t="n">
        <v>0</v>
      </c>
      <c r="P333" t="n">
        <v>0</v>
      </c>
      <c r="Q333" t="n">
        <v>0</v>
      </c>
      <c r="R333" s="2" t="inlineStr"/>
    </row>
    <row r="334" ht="15" customHeight="1">
      <c r="A334" t="inlineStr">
        <is>
          <t>A 41551-2025</t>
        </is>
      </c>
      <c r="B334" s="1" t="n">
        <v>45901.58854166666</v>
      </c>
      <c r="C334" s="1" t="n">
        <v>46117</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39278-2025</t>
        </is>
      </c>
      <c r="B335" s="1" t="n">
        <v>45889</v>
      </c>
      <c r="C335" s="1" t="n">
        <v>46117</v>
      </c>
      <c r="D335" t="inlineStr">
        <is>
          <t>GOTLANDS LÄN</t>
        </is>
      </c>
      <c r="E335" t="inlineStr">
        <is>
          <t>GOTLAND</t>
        </is>
      </c>
      <c r="G335" t="n">
        <v>3.7</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46117</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10746-2025</t>
        </is>
      </c>
      <c r="B337" s="1" t="n">
        <v>45722.42766203704</v>
      </c>
      <c r="C337" s="1" t="n">
        <v>46117</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18993-2025</t>
        </is>
      </c>
      <c r="B338" s="1" t="n">
        <v>45764</v>
      </c>
      <c r="C338" s="1" t="n">
        <v>46117</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30135-2025</t>
        </is>
      </c>
      <c r="B339" s="1" t="n">
        <v>45826</v>
      </c>
      <c r="C339" s="1" t="n">
        <v>46117</v>
      </c>
      <c r="D339" t="inlineStr">
        <is>
          <t>GOTLANDS LÄN</t>
        </is>
      </c>
      <c r="E339" t="inlineStr">
        <is>
          <t>GOTLAND</t>
        </is>
      </c>
      <c r="G339" t="n">
        <v>2.7</v>
      </c>
      <c r="H339" t="n">
        <v>0</v>
      </c>
      <c r="I339" t="n">
        <v>0</v>
      </c>
      <c r="J339" t="n">
        <v>0</v>
      </c>
      <c r="K339" t="n">
        <v>0</v>
      </c>
      <c r="L339" t="n">
        <v>0</v>
      </c>
      <c r="M339" t="n">
        <v>0</v>
      </c>
      <c r="N339" t="n">
        <v>0</v>
      </c>
      <c r="O339" t="n">
        <v>0</v>
      </c>
      <c r="P339" t="n">
        <v>0</v>
      </c>
      <c r="Q339" t="n">
        <v>0</v>
      </c>
      <c r="R339" s="2" t="inlineStr"/>
    </row>
    <row r="340" ht="15" customHeight="1">
      <c r="A340" t="inlineStr">
        <is>
          <t>A 42608-2025</t>
        </is>
      </c>
      <c r="B340" s="1" t="n">
        <v>45905</v>
      </c>
      <c r="C340" s="1" t="n">
        <v>46117</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46117</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43229-2023</t>
        </is>
      </c>
      <c r="B342" s="1" t="n">
        <v>45183.46704861111</v>
      </c>
      <c r="C342" s="1" t="n">
        <v>46117</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12599-2025</t>
        </is>
      </c>
      <c r="B343" s="1" t="n">
        <v>45733.29546296296</v>
      </c>
      <c r="C343" s="1" t="n">
        <v>46117</v>
      </c>
      <c r="D343" t="inlineStr">
        <is>
          <t>GOTLANDS LÄN</t>
        </is>
      </c>
      <c r="E343" t="inlineStr">
        <is>
          <t>GOTLAND</t>
        </is>
      </c>
      <c r="G343" t="n">
        <v>4.7</v>
      </c>
      <c r="H343" t="n">
        <v>0</v>
      </c>
      <c r="I343" t="n">
        <v>0</v>
      </c>
      <c r="J343" t="n">
        <v>0</v>
      </c>
      <c r="K343" t="n">
        <v>0</v>
      </c>
      <c r="L343" t="n">
        <v>0</v>
      </c>
      <c r="M343" t="n">
        <v>0</v>
      </c>
      <c r="N343" t="n">
        <v>0</v>
      </c>
      <c r="O343" t="n">
        <v>0</v>
      </c>
      <c r="P343" t="n">
        <v>0</v>
      </c>
      <c r="Q343" t="n">
        <v>0</v>
      </c>
      <c r="R343" s="2" t="inlineStr"/>
    </row>
    <row r="344" ht="15" customHeight="1">
      <c r="A344" t="inlineStr">
        <is>
          <t>A 41038-2023</t>
        </is>
      </c>
      <c r="B344" s="1" t="n">
        <v>45173.60959490741</v>
      </c>
      <c r="C344" s="1" t="n">
        <v>46117</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46117</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46117</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24966-2023</t>
        </is>
      </c>
      <c r="B347" s="1" t="n">
        <v>45085</v>
      </c>
      <c r="C347" s="1" t="n">
        <v>46117</v>
      </c>
      <c r="D347" t="inlineStr">
        <is>
          <t>GOTLANDS LÄN</t>
        </is>
      </c>
      <c r="E347" t="inlineStr">
        <is>
          <t>GOTLAND</t>
        </is>
      </c>
      <c r="G347" t="n">
        <v>7</v>
      </c>
      <c r="H347" t="n">
        <v>0</v>
      </c>
      <c r="I347" t="n">
        <v>0</v>
      </c>
      <c r="J347" t="n">
        <v>0</v>
      </c>
      <c r="K347" t="n">
        <v>0</v>
      </c>
      <c r="L347" t="n">
        <v>0</v>
      </c>
      <c r="M347" t="n">
        <v>0</v>
      </c>
      <c r="N347" t="n">
        <v>0</v>
      </c>
      <c r="O347" t="n">
        <v>0</v>
      </c>
      <c r="P347" t="n">
        <v>0</v>
      </c>
      <c r="Q347" t="n">
        <v>0</v>
      </c>
      <c r="R347" s="2" t="inlineStr"/>
    </row>
    <row r="348" ht="15" customHeight="1">
      <c r="A348" t="inlineStr">
        <is>
          <t>A 57652-2023</t>
        </is>
      </c>
      <c r="B348" s="1" t="n">
        <v>45246</v>
      </c>
      <c r="C348" s="1" t="n">
        <v>46117</v>
      </c>
      <c r="D348" t="inlineStr">
        <is>
          <t>GOTLANDS LÄN</t>
        </is>
      </c>
      <c r="E348" t="inlineStr">
        <is>
          <t>GOTLAND</t>
        </is>
      </c>
      <c r="G348" t="n">
        <v>7.2</v>
      </c>
      <c r="H348" t="n">
        <v>0</v>
      </c>
      <c r="I348" t="n">
        <v>0</v>
      </c>
      <c r="J348" t="n">
        <v>0</v>
      </c>
      <c r="K348" t="n">
        <v>0</v>
      </c>
      <c r="L348" t="n">
        <v>0</v>
      </c>
      <c r="M348" t="n">
        <v>0</v>
      </c>
      <c r="N348" t="n">
        <v>0</v>
      </c>
      <c r="O348" t="n">
        <v>0</v>
      </c>
      <c r="P348" t="n">
        <v>0</v>
      </c>
      <c r="Q348" t="n">
        <v>0</v>
      </c>
      <c r="R348" s="2" t="inlineStr"/>
    </row>
    <row r="349" ht="15" customHeight="1">
      <c r="A349" t="inlineStr">
        <is>
          <t>A 46189-2022</t>
        </is>
      </c>
      <c r="B349" s="1" t="n">
        <v>44847</v>
      </c>
      <c r="C349" s="1" t="n">
        <v>46117</v>
      </c>
      <c r="D349" t="inlineStr">
        <is>
          <t>GOTLANDS LÄN</t>
        </is>
      </c>
      <c r="E349" t="inlineStr">
        <is>
          <t>GOTLAND</t>
        </is>
      </c>
      <c r="G349" t="n">
        <v>0.4</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46117</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46117</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46117</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14797-2024</t>
        </is>
      </c>
      <c r="B353" s="1" t="n">
        <v>45397.87030092593</v>
      </c>
      <c r="C353" s="1" t="n">
        <v>46117</v>
      </c>
      <c r="D353" t="inlineStr">
        <is>
          <t>GOTLANDS LÄN</t>
        </is>
      </c>
      <c r="E353" t="inlineStr">
        <is>
          <t>GOTLAND</t>
        </is>
      </c>
      <c r="G353" t="n">
        <v>8.1</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46117</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46117</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1394-2023</t>
        </is>
      </c>
      <c r="B356" s="1" t="n">
        <v>44936.72997685185</v>
      </c>
      <c r="C356" s="1" t="n">
        <v>46117</v>
      </c>
      <c r="D356" t="inlineStr">
        <is>
          <t>GOTLANDS LÄN</t>
        </is>
      </c>
      <c r="E356" t="inlineStr">
        <is>
          <t>GOTLAND</t>
        </is>
      </c>
      <c r="G356" t="n">
        <v>2.1</v>
      </c>
      <c r="H356" t="n">
        <v>0</v>
      </c>
      <c r="I356" t="n">
        <v>0</v>
      </c>
      <c r="J356" t="n">
        <v>0</v>
      </c>
      <c r="K356" t="n">
        <v>0</v>
      </c>
      <c r="L356" t="n">
        <v>0</v>
      </c>
      <c r="M356" t="n">
        <v>0</v>
      </c>
      <c r="N356" t="n">
        <v>0</v>
      </c>
      <c r="O356" t="n">
        <v>0</v>
      </c>
      <c r="P356" t="n">
        <v>0</v>
      </c>
      <c r="Q356" t="n">
        <v>0</v>
      </c>
      <c r="R356" s="2" t="inlineStr"/>
    </row>
    <row r="357" ht="15" customHeight="1">
      <c r="A357" t="inlineStr">
        <is>
          <t>A 2676-2023</t>
        </is>
      </c>
      <c r="B357" s="1" t="n">
        <v>44944</v>
      </c>
      <c r="C357" s="1" t="n">
        <v>46117</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4387-2023</t>
        </is>
      </c>
      <c r="B358" s="1" t="n">
        <v>44955.73359953704</v>
      </c>
      <c r="C358" s="1" t="n">
        <v>46117</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49411-2023</t>
        </is>
      </c>
      <c r="B359" s="1" t="n">
        <v>45205</v>
      </c>
      <c r="C359" s="1" t="n">
        <v>46117</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37728-2024</t>
        </is>
      </c>
      <c r="B360" s="1" t="n">
        <v>45541</v>
      </c>
      <c r="C360" s="1" t="n">
        <v>46117</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46117</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22275-2023</t>
        </is>
      </c>
      <c r="B362" s="1" t="n">
        <v>45070.39875</v>
      </c>
      <c r="C362" s="1" t="n">
        <v>46117</v>
      </c>
      <c r="D362" t="inlineStr">
        <is>
          <t>GOTLANDS LÄN</t>
        </is>
      </c>
      <c r="E362" t="inlineStr">
        <is>
          <t>GOTLAND</t>
        </is>
      </c>
      <c r="G362" t="n">
        <v>7.2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46117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14635-2023</t>
        </is>
      </c>
      <c r="B364" s="1" t="n">
        <v>45013.69365740741</v>
      </c>
      <c r="C364" s="1" t="n">
        <v>46117</v>
      </c>
      <c r="D364" t="inlineStr">
        <is>
          <t>GOTLANDS LÄN</t>
        </is>
      </c>
      <c r="E364" t="inlineStr">
        <is>
          <t>GOTLAND</t>
        </is>
      </c>
      <c r="G364" t="n">
        <v>3.1</v>
      </c>
      <c r="H364" t="n">
        <v>0</v>
      </c>
      <c r="I364" t="n">
        <v>0</v>
      </c>
      <c r="J364" t="n">
        <v>0</v>
      </c>
      <c r="K364" t="n">
        <v>0</v>
      </c>
      <c r="L364" t="n">
        <v>0</v>
      </c>
      <c r="M364" t="n">
        <v>0</v>
      </c>
      <c r="N364" t="n">
        <v>0</v>
      </c>
      <c r="O364" t="n">
        <v>0</v>
      </c>
      <c r="P364" t="n">
        <v>0</v>
      </c>
      <c r="Q364" t="n">
        <v>0</v>
      </c>
      <c r="R364" s="2" t="inlineStr"/>
    </row>
    <row r="365" ht="15" customHeight="1">
      <c r="A365" t="inlineStr">
        <is>
          <t>A 63763-2023</t>
        </is>
      </c>
      <c r="B365" s="1" t="n">
        <v>45278.33944444444</v>
      </c>
      <c r="C365" s="1" t="n">
        <v>46117</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7635-2025</t>
        </is>
      </c>
      <c r="B366" s="1" t="n">
        <v>45705</v>
      </c>
      <c r="C366" s="1" t="n">
        <v>46117</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7636-2025</t>
        </is>
      </c>
      <c r="B367" s="1" t="n">
        <v>45705.7687962963</v>
      </c>
      <c r="C367" s="1" t="n">
        <v>46117</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7639-2025</t>
        </is>
      </c>
      <c r="B368" s="1" t="n">
        <v>45705.77465277778</v>
      </c>
      <c r="C368" s="1" t="n">
        <v>46117</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61682-2024</t>
        </is>
      </c>
      <c r="B369" s="1" t="n">
        <v>45647.48824074074</v>
      </c>
      <c r="C369" s="1" t="n">
        <v>46117</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15434-2024</t>
        </is>
      </c>
      <c r="B370" s="1" t="n">
        <v>45401.38836805556</v>
      </c>
      <c r="C370" s="1" t="n">
        <v>46117</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46836-2025</t>
        </is>
      </c>
      <c r="B371" s="1" t="n">
        <v>45928.31511574074</v>
      </c>
      <c r="C371" s="1" t="n">
        <v>46117</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46117</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7034-2023</t>
        </is>
      </c>
      <c r="B373" s="1" t="n">
        <v>44968.32108796296</v>
      </c>
      <c r="C373" s="1" t="n">
        <v>46117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7042-2023</t>
        </is>
      </c>
      <c r="B374" s="1" t="n">
        <v>44968</v>
      </c>
      <c r="C374" s="1" t="n">
        <v>46117</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46117</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46117</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54074-2022</t>
        </is>
      </c>
      <c r="B377" s="1" t="n">
        <v>44881</v>
      </c>
      <c r="C377" s="1" t="n">
        <v>46117</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46117</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64208-2021</t>
        </is>
      </c>
      <c r="B379" s="1" t="n">
        <v>44510</v>
      </c>
      <c r="C379" s="1" t="n">
        <v>46117</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54268-2022</t>
        </is>
      </c>
      <c r="B380" s="1" t="n">
        <v>44882</v>
      </c>
      <c r="C380" s="1" t="n">
        <v>46117</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1446-2025</t>
        </is>
      </c>
      <c r="B381" s="1" t="n">
        <v>45669.86035879629</v>
      </c>
      <c r="C381" s="1" t="n">
        <v>46117</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1462-2025</t>
        </is>
      </c>
      <c r="B382" s="1" t="n">
        <v>45670.36319444444</v>
      </c>
      <c r="C382" s="1" t="n">
        <v>46117</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46117</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57685-2022</t>
        </is>
      </c>
      <c r="B384" s="1" t="n">
        <v>44897.4777662037</v>
      </c>
      <c r="C384" s="1" t="n">
        <v>46117</v>
      </c>
      <c r="D384" t="inlineStr">
        <is>
          <t>GOTLANDS LÄN</t>
        </is>
      </c>
      <c r="E384" t="inlineStr">
        <is>
          <t>GOTLAND</t>
        </is>
      </c>
      <c r="G384" t="n">
        <v>3.7</v>
      </c>
      <c r="H384" t="n">
        <v>0</v>
      </c>
      <c r="I384" t="n">
        <v>0</v>
      </c>
      <c r="J384" t="n">
        <v>0</v>
      </c>
      <c r="K384" t="n">
        <v>0</v>
      </c>
      <c r="L384" t="n">
        <v>0</v>
      </c>
      <c r="M384" t="n">
        <v>0</v>
      </c>
      <c r="N384" t="n">
        <v>0</v>
      </c>
      <c r="O384" t="n">
        <v>0</v>
      </c>
      <c r="P384" t="n">
        <v>0</v>
      </c>
      <c r="Q384" t="n">
        <v>0</v>
      </c>
      <c r="R384" s="2" t="inlineStr"/>
    </row>
    <row r="385" ht="15" customHeight="1">
      <c r="A385" t="inlineStr">
        <is>
          <t>A 811-2023</t>
        </is>
      </c>
      <c r="B385" s="1" t="n">
        <v>44931</v>
      </c>
      <c r="C385" s="1" t="n">
        <v>46117</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46117</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46117</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46117</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46117</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3431-2025</t>
        </is>
      </c>
      <c r="B390" s="1" t="n">
        <v>45680.42935185185</v>
      </c>
      <c r="C390" s="1" t="n">
        <v>46117</v>
      </c>
      <c r="D390" t="inlineStr">
        <is>
          <t>GOTLANDS LÄN</t>
        </is>
      </c>
      <c r="E390" t="inlineStr">
        <is>
          <t>GOTLAND</t>
        </is>
      </c>
      <c r="G390" t="n">
        <v>4.8</v>
      </c>
      <c r="H390" t="n">
        <v>0</v>
      </c>
      <c r="I390" t="n">
        <v>0</v>
      </c>
      <c r="J390" t="n">
        <v>0</v>
      </c>
      <c r="K390" t="n">
        <v>0</v>
      </c>
      <c r="L390" t="n">
        <v>0</v>
      </c>
      <c r="M390" t="n">
        <v>0</v>
      </c>
      <c r="N390" t="n">
        <v>0</v>
      </c>
      <c r="O390" t="n">
        <v>0</v>
      </c>
      <c r="P390" t="n">
        <v>0</v>
      </c>
      <c r="Q390" t="n">
        <v>0</v>
      </c>
      <c r="R390" s="2" t="inlineStr"/>
    </row>
    <row r="391" ht="15" customHeight="1">
      <c r="A391" t="inlineStr">
        <is>
          <t>A 34407-2023</t>
        </is>
      </c>
      <c r="B391" s="1" t="n">
        <v>45132</v>
      </c>
      <c r="C391" s="1" t="n">
        <v>46117</v>
      </c>
      <c r="D391" t="inlineStr">
        <is>
          <t>GOTLANDS LÄN</t>
        </is>
      </c>
      <c r="E391" t="inlineStr">
        <is>
          <t>GOTLAND</t>
        </is>
      </c>
      <c r="G391" t="n">
        <v>4.4</v>
      </c>
      <c r="H391" t="n">
        <v>0</v>
      </c>
      <c r="I391" t="n">
        <v>0</v>
      </c>
      <c r="J391" t="n">
        <v>0</v>
      </c>
      <c r="K391" t="n">
        <v>0</v>
      </c>
      <c r="L391" t="n">
        <v>0</v>
      </c>
      <c r="M391" t="n">
        <v>0</v>
      </c>
      <c r="N391" t="n">
        <v>0</v>
      </c>
      <c r="O391" t="n">
        <v>0</v>
      </c>
      <c r="P391" t="n">
        <v>0</v>
      </c>
      <c r="Q391" t="n">
        <v>0</v>
      </c>
      <c r="R391" s="2" t="inlineStr"/>
    </row>
    <row r="392" ht="15" customHeight="1">
      <c r="A392" t="inlineStr">
        <is>
          <t>A 30892-2024</t>
        </is>
      </c>
      <c r="B392" s="1" t="n">
        <v>45491</v>
      </c>
      <c r="C392" s="1" t="n">
        <v>46117</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46117</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46117</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46117</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7858-2025</t>
        </is>
      </c>
      <c r="B396" s="1" t="n">
        <v>45706.68633101852</v>
      </c>
      <c r="C396" s="1" t="n">
        <v>46117</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46545-2024</t>
        </is>
      </c>
      <c r="B397" s="1" t="n">
        <v>45582.65831018519</v>
      </c>
      <c r="C397" s="1" t="n">
        <v>46117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999-2023</t>
        </is>
      </c>
      <c r="B398" s="1" t="n">
        <v>44935</v>
      </c>
      <c r="C398" s="1" t="n">
        <v>46117</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1364-2025</t>
        </is>
      </c>
      <c r="B399" s="1" t="n">
        <v>45667.63929398148</v>
      </c>
      <c r="C399" s="1" t="n">
        <v>46117</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2125-2025</t>
        </is>
      </c>
      <c r="B400" s="1" t="n">
        <v>45672.64940972222</v>
      </c>
      <c r="C400" s="1" t="n">
        <v>46117</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46117</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46117</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14141-2024</t>
        </is>
      </c>
      <c r="B403" s="1" t="n">
        <v>45392.85193287037</v>
      </c>
      <c r="C403" s="1" t="n">
        <v>46117</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12155-2023</t>
        </is>
      </c>
      <c r="B404" s="1" t="n">
        <v>44998.49106481481</v>
      </c>
      <c r="C404" s="1" t="n">
        <v>46117</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50928-2025</t>
        </is>
      </c>
      <c r="B405" s="1" t="n">
        <v>45946.67896990741</v>
      </c>
      <c r="C405" s="1" t="n">
        <v>46117</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46117</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2774-2024</t>
        </is>
      </c>
      <c r="B407" s="1" t="n">
        <v>45314.62375</v>
      </c>
      <c r="C407" s="1" t="n">
        <v>46117</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9947-2024</t>
        </is>
      </c>
      <c r="B408" s="1" t="n">
        <v>45363</v>
      </c>
      <c r="C408" s="1" t="n">
        <v>46117</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42007-2023</t>
        </is>
      </c>
      <c r="B409" s="1" t="n">
        <v>45177</v>
      </c>
      <c r="C409" s="1" t="n">
        <v>46117</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46117</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46117</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15083-2025</t>
        </is>
      </c>
      <c r="B412" s="1" t="n">
        <v>45743</v>
      </c>
      <c r="C412" s="1" t="n">
        <v>46117</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46117</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46117</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1066-2024</t>
        </is>
      </c>
      <c r="B415" s="1" t="n">
        <v>45302.285</v>
      </c>
      <c r="C415" s="1" t="n">
        <v>46117</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37202-2024</t>
        </is>
      </c>
      <c r="B416" s="1" t="n">
        <v>45539.67310185185</v>
      </c>
      <c r="C416" s="1" t="n">
        <v>46117</v>
      </c>
      <c r="D416" t="inlineStr">
        <is>
          <t>GOTLANDS LÄN</t>
        </is>
      </c>
      <c r="E416" t="inlineStr">
        <is>
          <t>GOTLAND</t>
        </is>
      </c>
      <c r="G416" t="n">
        <v>0.3</v>
      </c>
      <c r="H416" t="n">
        <v>0</v>
      </c>
      <c r="I416" t="n">
        <v>0</v>
      </c>
      <c r="J416" t="n">
        <v>0</v>
      </c>
      <c r="K416" t="n">
        <v>0</v>
      </c>
      <c r="L416" t="n">
        <v>0</v>
      </c>
      <c r="M416" t="n">
        <v>0</v>
      </c>
      <c r="N416" t="n">
        <v>0</v>
      </c>
      <c r="O416" t="n">
        <v>0</v>
      </c>
      <c r="P416" t="n">
        <v>0</v>
      </c>
      <c r="Q416" t="n">
        <v>0</v>
      </c>
      <c r="R416" s="2" t="inlineStr"/>
    </row>
    <row r="417" ht="15" customHeight="1">
      <c r="A417" t="inlineStr">
        <is>
          <t>A 30815-2023</t>
        </is>
      </c>
      <c r="B417" s="1" t="n">
        <v>45112</v>
      </c>
      <c r="C417" s="1" t="n">
        <v>46117</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46117</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46117</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44919-2022</t>
        </is>
      </c>
      <c r="B420" s="1" t="n">
        <v>44841</v>
      </c>
      <c r="C420" s="1" t="n">
        <v>46117</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46117</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27095-2022</t>
        </is>
      </c>
      <c r="B422" s="1" t="n">
        <v>44741</v>
      </c>
      <c r="C422" s="1" t="n">
        <v>46117</v>
      </c>
      <c r="D422" t="inlineStr">
        <is>
          <t>GOTLANDS LÄN</t>
        </is>
      </c>
      <c r="E422" t="inlineStr">
        <is>
          <t>GOTLAND</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458-2023</t>
        </is>
      </c>
      <c r="B423" s="1" t="n">
        <v>44929</v>
      </c>
      <c r="C423" s="1" t="n">
        <v>46117</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1291-2023</t>
        </is>
      </c>
      <c r="B424" s="1" t="n">
        <v>44936.47561342592</v>
      </c>
      <c r="C424" s="1" t="n">
        <v>46117</v>
      </c>
      <c r="D424" t="inlineStr">
        <is>
          <t>GOTLANDS LÄN</t>
        </is>
      </c>
      <c r="E424" t="inlineStr">
        <is>
          <t>GOTLAND</t>
        </is>
      </c>
      <c r="G424" t="n">
        <v>7.4</v>
      </c>
      <c r="H424" t="n">
        <v>0</v>
      </c>
      <c r="I424" t="n">
        <v>0</v>
      </c>
      <c r="J424" t="n">
        <v>0</v>
      </c>
      <c r="K424" t="n">
        <v>0</v>
      </c>
      <c r="L424" t="n">
        <v>0</v>
      </c>
      <c r="M424" t="n">
        <v>0</v>
      </c>
      <c r="N424" t="n">
        <v>0</v>
      </c>
      <c r="O424" t="n">
        <v>0</v>
      </c>
      <c r="P424" t="n">
        <v>0</v>
      </c>
      <c r="Q424" t="n">
        <v>0</v>
      </c>
      <c r="R424" s="2" t="inlineStr"/>
    </row>
    <row r="425" ht="15" customHeight="1">
      <c r="A425" t="inlineStr">
        <is>
          <t>A 32330-2024</t>
        </is>
      </c>
      <c r="B425" s="1" t="n">
        <v>45512</v>
      </c>
      <c r="C425" s="1" t="n">
        <v>46117</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5891-2025</t>
        </is>
      </c>
      <c r="B426" s="1" t="n">
        <v>45695.38327546296</v>
      </c>
      <c r="C426" s="1" t="n">
        <v>46117</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46117</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46117</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2719-2023</t>
        </is>
      </c>
      <c r="B429" s="1" t="n">
        <v>44944.55361111111</v>
      </c>
      <c r="C429" s="1" t="n">
        <v>46117</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17144-2025</t>
        </is>
      </c>
      <c r="B430" s="1" t="n">
        <v>45755.9499537037</v>
      </c>
      <c r="C430" s="1" t="n">
        <v>46117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49314-2024</t>
        </is>
      </c>
      <c r="B431" s="1" t="n">
        <v>45595.55893518519</v>
      </c>
      <c r="C431" s="1" t="n">
        <v>46117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9875-2025</t>
        </is>
      </c>
      <c r="B432" s="1" t="n">
        <v>45716</v>
      </c>
      <c r="C432" s="1" t="n">
        <v>46117</v>
      </c>
      <c r="D432" t="inlineStr">
        <is>
          <t>GOTLANDS LÄN</t>
        </is>
      </c>
      <c r="E432" t="inlineStr">
        <is>
          <t>GOTLAND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29809-2022</t>
        </is>
      </c>
      <c r="B433" s="1" t="n">
        <v>44755.8713425926</v>
      </c>
      <c r="C433" s="1" t="n">
        <v>46117</v>
      </c>
      <c r="D433" t="inlineStr">
        <is>
          <t>GOTLANDS LÄN</t>
        </is>
      </c>
      <c r="E433" t="inlineStr">
        <is>
          <t>GOTLAND</t>
        </is>
      </c>
      <c r="G433" t="n">
        <v>11.5</v>
      </c>
      <c r="H433" t="n">
        <v>0</v>
      </c>
      <c r="I433" t="n">
        <v>0</v>
      </c>
      <c r="J433" t="n">
        <v>0</v>
      </c>
      <c r="K433" t="n">
        <v>0</v>
      </c>
      <c r="L433" t="n">
        <v>0</v>
      </c>
      <c r="M433" t="n">
        <v>0</v>
      </c>
      <c r="N433" t="n">
        <v>0</v>
      </c>
      <c r="O433" t="n">
        <v>0</v>
      </c>
      <c r="P433" t="n">
        <v>0</v>
      </c>
      <c r="Q433" t="n">
        <v>0</v>
      </c>
      <c r="R433" s="2" t="inlineStr"/>
    </row>
    <row r="434" ht="15" customHeight="1">
      <c r="A434" t="inlineStr">
        <is>
          <t>A 16361-2024</t>
        </is>
      </c>
      <c r="B434" s="1" t="n">
        <v>45407</v>
      </c>
      <c r="C434" s="1" t="n">
        <v>46117</v>
      </c>
      <c r="D434" t="inlineStr">
        <is>
          <t>GOTLANDS LÄN</t>
        </is>
      </c>
      <c r="E434" t="inlineStr">
        <is>
          <t>GOTLAND</t>
        </is>
      </c>
      <c r="G434" t="n">
        <v>6</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46117</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1175-2025</t>
        </is>
      </c>
      <c r="B436" s="1" t="n">
        <v>45667.34449074074</v>
      </c>
      <c r="C436" s="1" t="n">
        <v>46117</v>
      </c>
      <c r="D436" t="inlineStr">
        <is>
          <t>GOTLANDS LÄN</t>
        </is>
      </c>
      <c r="E436" t="inlineStr">
        <is>
          <t>GOTLAND</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42201-2023</t>
        </is>
      </c>
      <c r="B437" s="1" t="n">
        <v>45179</v>
      </c>
      <c r="C437" s="1" t="n">
        <v>46117</v>
      </c>
      <c r="D437" t="inlineStr">
        <is>
          <t>GOTLANDS LÄN</t>
        </is>
      </c>
      <c r="E437" t="inlineStr">
        <is>
          <t>GOTLAND</t>
        </is>
      </c>
      <c r="G437" t="n">
        <v>11.9</v>
      </c>
      <c r="H437" t="n">
        <v>0</v>
      </c>
      <c r="I437" t="n">
        <v>0</v>
      </c>
      <c r="J437" t="n">
        <v>0</v>
      </c>
      <c r="K437" t="n">
        <v>0</v>
      </c>
      <c r="L437" t="n">
        <v>0</v>
      </c>
      <c r="M437" t="n">
        <v>0</v>
      </c>
      <c r="N437" t="n">
        <v>0</v>
      </c>
      <c r="O437" t="n">
        <v>0</v>
      </c>
      <c r="P437" t="n">
        <v>0</v>
      </c>
      <c r="Q437" t="n">
        <v>0</v>
      </c>
      <c r="R437" s="2" t="inlineStr"/>
    </row>
    <row r="438" ht="15" customHeight="1">
      <c r="A438" t="inlineStr">
        <is>
          <t>A 3150-2025</t>
        </is>
      </c>
      <c r="B438" s="1" t="n">
        <v>45679.28974537037</v>
      </c>
      <c r="C438" s="1" t="n">
        <v>46117</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46117</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42041-2024</t>
        </is>
      </c>
      <c r="B440" s="1" t="n">
        <v>45561</v>
      </c>
      <c r="C440" s="1" t="n">
        <v>46117</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46117</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15436-2025</t>
        </is>
      </c>
      <c r="B442" s="1" t="n">
        <v>45747.47462962963</v>
      </c>
      <c r="C442" s="1" t="n">
        <v>46117</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21247-2022</t>
        </is>
      </c>
      <c r="B443" s="1" t="n">
        <v>44705.38832175926</v>
      </c>
      <c r="C443" s="1" t="n">
        <v>46117</v>
      </c>
      <c r="D443" t="inlineStr">
        <is>
          <t>GOTLANDS LÄN</t>
        </is>
      </c>
      <c r="E443" t="inlineStr">
        <is>
          <t>GOTLAND</t>
        </is>
      </c>
      <c r="G443" t="n">
        <v>16.2</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44682.82622685185</v>
      </c>
      <c r="C444" s="1" t="n">
        <v>46117</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63516-2023</t>
        </is>
      </c>
      <c r="B445" s="1" t="n">
        <v>45274</v>
      </c>
      <c r="C445" s="1" t="n">
        <v>46117</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53935-2024</t>
        </is>
      </c>
      <c r="B446" s="1" t="n">
        <v>45615</v>
      </c>
      <c r="C446" s="1" t="n">
        <v>46117</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69112-2021</t>
        </is>
      </c>
      <c r="B447" s="1" t="n">
        <v>44530</v>
      </c>
      <c r="C447" s="1" t="n">
        <v>46117</v>
      </c>
      <c r="D447" t="inlineStr">
        <is>
          <t>GOTLANDS LÄN</t>
        </is>
      </c>
      <c r="E447" t="inlineStr">
        <is>
          <t>GOTLAND</t>
        </is>
      </c>
      <c r="G447" t="n">
        <v>4.2</v>
      </c>
      <c r="H447" t="n">
        <v>0</v>
      </c>
      <c r="I447" t="n">
        <v>0</v>
      </c>
      <c r="J447" t="n">
        <v>0</v>
      </c>
      <c r="K447" t="n">
        <v>0</v>
      </c>
      <c r="L447" t="n">
        <v>0</v>
      </c>
      <c r="M447" t="n">
        <v>0</v>
      </c>
      <c r="N447" t="n">
        <v>0</v>
      </c>
      <c r="O447" t="n">
        <v>0</v>
      </c>
      <c r="P447" t="n">
        <v>0</v>
      </c>
      <c r="Q447" t="n">
        <v>0</v>
      </c>
      <c r="R447" s="2" t="inlineStr"/>
    </row>
    <row r="448" ht="15" customHeight="1">
      <c r="A448" t="inlineStr">
        <is>
          <t>A 48734-2022</t>
        </is>
      </c>
      <c r="B448" s="1" t="n">
        <v>44855</v>
      </c>
      <c r="C448" s="1" t="n">
        <v>46117</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23516-2023</t>
        </is>
      </c>
      <c r="B449" s="1" t="n">
        <v>45076.93391203704</v>
      </c>
      <c r="C449" s="1" t="n">
        <v>46117</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43231-2023</t>
        </is>
      </c>
      <c r="B450" s="1" t="n">
        <v>45183.47025462963</v>
      </c>
      <c r="C450" s="1" t="n">
        <v>46117</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58230-2024</t>
        </is>
      </c>
      <c r="B451" s="1" t="n">
        <v>45632.51625</v>
      </c>
      <c r="C451" s="1" t="n">
        <v>46117</v>
      </c>
      <c r="D451" t="inlineStr">
        <is>
          <t>GOTLANDS LÄN</t>
        </is>
      </c>
      <c r="E451" t="inlineStr">
        <is>
          <t>GOTLAND</t>
        </is>
      </c>
      <c r="G451" t="n">
        <v>7.3</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46117</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457-2023</t>
        </is>
      </c>
      <c r="B453" s="1" t="n">
        <v>44929.87238425926</v>
      </c>
      <c r="C453" s="1" t="n">
        <v>46117</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459-2023</t>
        </is>
      </c>
      <c r="B454" s="1" t="n">
        <v>44929.87423611111</v>
      </c>
      <c r="C454" s="1" t="n">
        <v>46117</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62066-2025</t>
        </is>
      </c>
      <c r="B455" s="1" t="n">
        <v>46006.34738425926</v>
      </c>
      <c r="C455" s="1" t="n">
        <v>46117</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62103-2025</t>
        </is>
      </c>
      <c r="B456" s="1" t="n">
        <v>46006</v>
      </c>
      <c r="C456" s="1" t="n">
        <v>46117</v>
      </c>
      <c r="D456" t="inlineStr">
        <is>
          <t>GOTLANDS LÄN</t>
        </is>
      </c>
      <c r="E456" t="inlineStr">
        <is>
          <t>GOTLAND</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876-2024</t>
        </is>
      </c>
      <c r="B457" s="1" t="n">
        <v>45301</v>
      </c>
      <c r="C457" s="1" t="n">
        <v>46117</v>
      </c>
      <c r="D457" t="inlineStr">
        <is>
          <t>GOTLANDS LÄN</t>
        </is>
      </c>
      <c r="E457" t="inlineStr">
        <is>
          <t>GOTLAND</t>
        </is>
      </c>
      <c r="G457" t="n">
        <v>5.3</v>
      </c>
      <c r="H457" t="n">
        <v>0</v>
      </c>
      <c r="I457" t="n">
        <v>0</v>
      </c>
      <c r="J457" t="n">
        <v>0</v>
      </c>
      <c r="K457" t="n">
        <v>0</v>
      </c>
      <c r="L457" t="n">
        <v>0</v>
      </c>
      <c r="M457" t="n">
        <v>0</v>
      </c>
      <c r="N457" t="n">
        <v>0</v>
      </c>
      <c r="O457" t="n">
        <v>0</v>
      </c>
      <c r="P457" t="n">
        <v>0</v>
      </c>
      <c r="Q457" t="n">
        <v>0</v>
      </c>
      <c r="R457" s="2" t="inlineStr"/>
    </row>
    <row r="458" ht="15" customHeight="1">
      <c r="A458" t="inlineStr">
        <is>
          <t>A 26891-2024</t>
        </is>
      </c>
      <c r="B458" s="1" t="n">
        <v>45470.65540509259</v>
      </c>
      <c r="C458" s="1" t="n">
        <v>46117</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5923-2023</t>
        </is>
      </c>
      <c r="B459" s="1" t="n">
        <v>44963.69503472222</v>
      </c>
      <c r="C459" s="1" t="n">
        <v>46117</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46117</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50482-2024</t>
        </is>
      </c>
      <c r="B461" s="1" t="n">
        <v>45601.48114583334</v>
      </c>
      <c r="C461" s="1" t="n">
        <v>46117</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5943-2024</t>
        </is>
      </c>
      <c r="B462" s="1" t="n">
        <v>45336</v>
      </c>
      <c r="C462" s="1" t="n">
        <v>46117</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38234-2023</t>
        </is>
      </c>
      <c r="B463" s="1" t="n">
        <v>45161.56663194444</v>
      </c>
      <c r="C463" s="1" t="n">
        <v>46117</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1273-2023</t>
        </is>
      </c>
      <c r="B464" s="1" t="n">
        <v>44936</v>
      </c>
      <c r="C464" s="1" t="n">
        <v>46117</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54584-2025</t>
        </is>
      </c>
      <c r="B465" s="1" t="n">
        <v>45965.71788194445</v>
      </c>
      <c r="C465" s="1" t="n">
        <v>46117</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38649-2025</t>
        </is>
      </c>
      <c r="B466" s="1" t="n">
        <v>45884</v>
      </c>
      <c r="C466" s="1" t="n">
        <v>46117</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46117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23978-2023</t>
        </is>
      </c>
      <c r="B468" s="1" t="n">
        <v>45078</v>
      </c>
      <c r="C468" s="1" t="n">
        <v>46117</v>
      </c>
      <c r="D468" t="inlineStr">
        <is>
          <t>GOTLANDS LÄN</t>
        </is>
      </c>
      <c r="E468" t="inlineStr">
        <is>
          <t>GOTLAND</t>
        </is>
      </c>
      <c r="F468" t="inlineStr">
        <is>
          <t>Naturvårdsverket</t>
        </is>
      </c>
      <c r="G468" t="n">
        <v>1.7</v>
      </c>
      <c r="H468" t="n">
        <v>0</v>
      </c>
      <c r="I468" t="n">
        <v>0</v>
      </c>
      <c r="J468" t="n">
        <v>0</v>
      </c>
      <c r="K468" t="n">
        <v>0</v>
      </c>
      <c r="L468" t="n">
        <v>0</v>
      </c>
      <c r="M468" t="n">
        <v>0</v>
      </c>
      <c r="N468" t="n">
        <v>0</v>
      </c>
      <c r="O468" t="n">
        <v>0</v>
      </c>
      <c r="P468" t="n">
        <v>0</v>
      </c>
      <c r="Q468" t="n">
        <v>0</v>
      </c>
      <c r="R468" s="2" t="inlineStr"/>
    </row>
    <row r="469" ht="15" customHeight="1">
      <c r="A469" t="inlineStr">
        <is>
          <t>A 49884-2023</t>
        </is>
      </c>
      <c r="B469" s="1" t="n">
        <v>45213</v>
      </c>
      <c r="C469" s="1" t="n">
        <v>46117</v>
      </c>
      <c r="D469" t="inlineStr">
        <is>
          <t>GOTLANDS LÄN</t>
        </is>
      </c>
      <c r="E469" t="inlineStr">
        <is>
          <t>GOTLAND</t>
        </is>
      </c>
      <c r="G469" t="n">
        <v>8.9</v>
      </c>
      <c r="H469" t="n">
        <v>0</v>
      </c>
      <c r="I469" t="n">
        <v>0</v>
      </c>
      <c r="J469" t="n">
        <v>0</v>
      </c>
      <c r="K469" t="n">
        <v>0</v>
      </c>
      <c r="L469" t="n">
        <v>0</v>
      </c>
      <c r="M469" t="n">
        <v>0</v>
      </c>
      <c r="N469" t="n">
        <v>0</v>
      </c>
      <c r="O469" t="n">
        <v>0</v>
      </c>
      <c r="P469" t="n">
        <v>0</v>
      </c>
      <c r="Q469" t="n">
        <v>0</v>
      </c>
      <c r="R469" s="2" t="inlineStr"/>
    </row>
    <row r="470" ht="15" customHeight="1">
      <c r="A470" t="inlineStr">
        <is>
          <t>A 61078-2025</t>
        </is>
      </c>
      <c r="B470" s="1" t="n">
        <v>46000</v>
      </c>
      <c r="C470" s="1" t="n">
        <v>46117</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46117</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46117</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43200-2023</t>
        </is>
      </c>
      <c r="B473" s="1" t="n">
        <v>45183</v>
      </c>
      <c r="C473" s="1" t="n">
        <v>46117</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62674-2025</t>
        </is>
      </c>
      <c r="B474" s="1" t="n">
        <v>46008</v>
      </c>
      <c r="C474" s="1" t="n">
        <v>46117</v>
      </c>
      <c r="D474" t="inlineStr">
        <is>
          <t>GOTLANDS LÄN</t>
        </is>
      </c>
      <c r="E474" t="inlineStr">
        <is>
          <t>GOTLAND</t>
        </is>
      </c>
      <c r="G474" t="n">
        <v>5</v>
      </c>
      <c r="H474" t="n">
        <v>0</v>
      </c>
      <c r="I474" t="n">
        <v>0</v>
      </c>
      <c r="J474" t="n">
        <v>0</v>
      </c>
      <c r="K474" t="n">
        <v>0</v>
      </c>
      <c r="L474" t="n">
        <v>0</v>
      </c>
      <c r="M474" t="n">
        <v>0</v>
      </c>
      <c r="N474" t="n">
        <v>0</v>
      </c>
      <c r="O474" t="n">
        <v>0</v>
      </c>
      <c r="P474" t="n">
        <v>0</v>
      </c>
      <c r="Q474" t="n">
        <v>0</v>
      </c>
      <c r="R474" s="2" t="inlineStr"/>
    </row>
    <row r="475" ht="15" customHeight="1">
      <c r="A475" t="inlineStr">
        <is>
          <t>A 63152-2025</t>
        </is>
      </c>
      <c r="B475" s="1" t="n">
        <v>46010</v>
      </c>
      <c r="C475" s="1" t="n">
        <v>46117</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46117</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1355-2026</t>
        </is>
      </c>
      <c r="B477" s="1" t="n">
        <v>46031.59909722222</v>
      </c>
      <c r="C477" s="1" t="n">
        <v>46117</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21792-2024</t>
        </is>
      </c>
      <c r="B478" s="1" t="n">
        <v>45442.64326388889</v>
      </c>
      <c r="C478" s="1" t="n">
        <v>46117</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10486-2026</t>
        </is>
      </c>
      <c r="B479" s="1" t="n">
        <v>46077.51425925926</v>
      </c>
      <c r="C479" s="1" t="n">
        <v>46117</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48843-2024</t>
        </is>
      </c>
      <c r="B480" s="1" t="n">
        <v>45593</v>
      </c>
      <c r="C480" s="1" t="n">
        <v>46117</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1898-2026</t>
        </is>
      </c>
      <c r="B481" s="1" t="n">
        <v>46035.52024305556</v>
      </c>
      <c r="C481" s="1" t="n">
        <v>46117</v>
      </c>
      <c r="D481" t="inlineStr">
        <is>
          <t>GOTLANDS LÄN</t>
        </is>
      </c>
      <c r="E481" t="inlineStr">
        <is>
          <t>GOTLAND</t>
        </is>
      </c>
      <c r="G481" t="n">
        <v>3.7</v>
      </c>
      <c r="H481" t="n">
        <v>0</v>
      </c>
      <c r="I481" t="n">
        <v>0</v>
      </c>
      <c r="J481" t="n">
        <v>0</v>
      </c>
      <c r="K481" t="n">
        <v>0</v>
      </c>
      <c r="L481" t="n">
        <v>0</v>
      </c>
      <c r="M481" t="n">
        <v>0</v>
      </c>
      <c r="N481" t="n">
        <v>0</v>
      </c>
      <c r="O481" t="n">
        <v>0</v>
      </c>
      <c r="P481" t="n">
        <v>0</v>
      </c>
      <c r="Q481" t="n">
        <v>0</v>
      </c>
      <c r="R481" s="2" t="inlineStr"/>
    </row>
    <row r="482" ht="15" customHeight="1">
      <c r="A482" t="inlineStr">
        <is>
          <t>A 10653-2023</t>
        </is>
      </c>
      <c r="B482" s="1" t="n">
        <v>44988.48859953704</v>
      </c>
      <c r="C482" s="1" t="n">
        <v>46117</v>
      </c>
      <c r="D482" t="inlineStr">
        <is>
          <t>GOTLANDS LÄN</t>
        </is>
      </c>
      <c r="E482" t="inlineStr">
        <is>
          <t>GOTLAND</t>
        </is>
      </c>
      <c r="F482" t="inlineStr">
        <is>
          <t>Kyrkan</t>
        </is>
      </c>
      <c r="G482" t="n">
        <v>3</v>
      </c>
      <c r="H482" t="n">
        <v>0</v>
      </c>
      <c r="I482" t="n">
        <v>0</v>
      </c>
      <c r="J482" t="n">
        <v>0</v>
      </c>
      <c r="K482" t="n">
        <v>0</v>
      </c>
      <c r="L482" t="n">
        <v>0</v>
      </c>
      <c r="M482" t="n">
        <v>0</v>
      </c>
      <c r="N482" t="n">
        <v>0</v>
      </c>
      <c r="O482" t="n">
        <v>0</v>
      </c>
      <c r="P482" t="n">
        <v>0</v>
      </c>
      <c r="Q482" t="n">
        <v>0</v>
      </c>
      <c r="R482" s="2" t="inlineStr"/>
    </row>
    <row r="483" ht="15" customHeight="1">
      <c r="A483" t="inlineStr">
        <is>
          <t>A 10284-2026</t>
        </is>
      </c>
      <c r="B483" s="1" t="n">
        <v>46076</v>
      </c>
      <c r="C483" s="1" t="n">
        <v>46117</v>
      </c>
      <c r="D483" t="inlineStr">
        <is>
          <t>GOTLANDS LÄN</t>
        </is>
      </c>
      <c r="E483" t="inlineStr">
        <is>
          <t>GOTLAND</t>
        </is>
      </c>
      <c r="G483" t="n">
        <v>5.2</v>
      </c>
      <c r="H483" t="n">
        <v>0</v>
      </c>
      <c r="I483" t="n">
        <v>0</v>
      </c>
      <c r="J483" t="n">
        <v>0</v>
      </c>
      <c r="K483" t="n">
        <v>0</v>
      </c>
      <c r="L483" t="n">
        <v>0</v>
      </c>
      <c r="M483" t="n">
        <v>0</v>
      </c>
      <c r="N483" t="n">
        <v>0</v>
      </c>
      <c r="O483" t="n">
        <v>0</v>
      </c>
      <c r="P483" t="n">
        <v>0</v>
      </c>
      <c r="Q483" t="n">
        <v>0</v>
      </c>
      <c r="R483" s="2" t="inlineStr"/>
    </row>
    <row r="484" ht="15" customHeight="1">
      <c r="A484" t="inlineStr">
        <is>
          <t>A 35512-2023</t>
        </is>
      </c>
      <c r="B484" s="1" t="n">
        <v>45147.25623842593</v>
      </c>
      <c r="C484" s="1" t="n">
        <v>46117</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11874-2024</t>
        </is>
      </c>
      <c r="B485" s="1" t="n">
        <v>45376.46956018519</v>
      </c>
      <c r="C485" s="1" t="n">
        <v>46117</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46117</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20225-2025</t>
        </is>
      </c>
      <c r="B487" s="1" t="n">
        <v>45772.65802083333</v>
      </c>
      <c r="C487" s="1" t="n">
        <v>46117</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1677-2023</t>
        </is>
      </c>
      <c r="B488" s="1" t="n">
        <v>44938</v>
      </c>
      <c r="C488" s="1" t="n">
        <v>46117</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46117</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3253-2026</t>
        </is>
      </c>
      <c r="B490" s="1" t="n">
        <v>46041.58902777778</v>
      </c>
      <c r="C490" s="1" t="n">
        <v>46117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11414-2026</t>
        </is>
      </c>
      <c r="B491" s="1" t="n">
        <v>46083.46336805556</v>
      </c>
      <c r="C491" s="1" t="n">
        <v>46117</v>
      </c>
      <c r="D491" t="inlineStr">
        <is>
          <t>GOTLANDS LÄN</t>
        </is>
      </c>
      <c r="E491" t="inlineStr">
        <is>
          <t>GOTLAND</t>
        </is>
      </c>
      <c r="G491" t="n">
        <v>4.9</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46083.48068287037</v>
      </c>
      <c r="C492" s="1" t="n">
        <v>46117</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44609.44362268518</v>
      </c>
      <c r="C493" s="1" t="n">
        <v>46117</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46375-2024</t>
        </is>
      </c>
      <c r="B494" s="1" t="n">
        <v>45582</v>
      </c>
      <c r="C494" s="1" t="n">
        <v>46117</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62915-2021</t>
        </is>
      </c>
      <c r="B495" s="1" t="n">
        <v>44504</v>
      </c>
      <c r="C495" s="1" t="n">
        <v>46117</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7638-2025</t>
        </is>
      </c>
      <c r="B496" s="1" t="n">
        <v>45705.77306712963</v>
      </c>
      <c r="C496" s="1" t="n">
        <v>46117</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4377-2023</t>
        </is>
      </c>
      <c r="B497" s="1" t="n">
        <v>44955.5502662037</v>
      </c>
      <c r="C497" s="1" t="n">
        <v>46117</v>
      </c>
      <c r="D497" t="inlineStr">
        <is>
          <t>GOTLANDS LÄN</t>
        </is>
      </c>
      <c r="E497" t="inlineStr">
        <is>
          <t>GOTLAND</t>
        </is>
      </c>
      <c r="F497" t="inlineStr">
        <is>
          <t>Kyrkan</t>
        </is>
      </c>
      <c r="G497" t="n">
        <v>0.6</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46117</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12135-2026</t>
        </is>
      </c>
      <c r="B499" s="1" t="n">
        <v>46086</v>
      </c>
      <c r="C499" s="1" t="n">
        <v>46117</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43901-2023</t>
        </is>
      </c>
      <c r="B500" s="1" t="n">
        <v>45187</v>
      </c>
      <c r="C500" s="1" t="n">
        <v>46117</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46117</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45692-2023</t>
        </is>
      </c>
      <c r="B502" s="1" t="n">
        <v>45195</v>
      </c>
      <c r="C502" s="1" t="n">
        <v>46117</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60384-2025</t>
        </is>
      </c>
      <c r="B503" s="1" t="n">
        <v>45995</v>
      </c>
      <c r="C503" s="1" t="n">
        <v>46117</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46117</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1839-2026</t>
        </is>
      </c>
      <c r="B505" s="1" t="n">
        <v>46035.3942824074</v>
      </c>
      <c r="C505" s="1" t="n">
        <v>46117</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46117</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46117</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46396-2023</t>
        </is>
      </c>
      <c r="B508" s="1" t="n">
        <v>45197</v>
      </c>
      <c r="C508" s="1" t="n">
        <v>46117</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46117</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4646-2026</t>
        </is>
      </c>
      <c r="B510" s="1" t="n">
        <v>46048.40357638889</v>
      </c>
      <c r="C510" s="1" t="n">
        <v>46117</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4634-2026</t>
        </is>
      </c>
      <c r="B511" s="1" t="n">
        <v>46048.39304398148</v>
      </c>
      <c r="C511" s="1" t="n">
        <v>46117</v>
      </c>
      <c r="D511" t="inlineStr">
        <is>
          <t>GOTLANDS LÄN</t>
        </is>
      </c>
      <c r="E511" t="inlineStr">
        <is>
          <t>GOTLAND</t>
        </is>
      </c>
      <c r="G511" t="n">
        <v>7.8</v>
      </c>
      <c r="H511" t="n">
        <v>0</v>
      </c>
      <c r="I511" t="n">
        <v>0</v>
      </c>
      <c r="J511" t="n">
        <v>0</v>
      </c>
      <c r="K511" t="n">
        <v>0</v>
      </c>
      <c r="L511" t="n">
        <v>0</v>
      </c>
      <c r="M511" t="n">
        <v>0</v>
      </c>
      <c r="N511" t="n">
        <v>0</v>
      </c>
      <c r="O511" t="n">
        <v>0</v>
      </c>
      <c r="P511" t="n">
        <v>0</v>
      </c>
      <c r="Q511" t="n">
        <v>0</v>
      </c>
      <c r="R511" s="2" t="inlineStr"/>
    </row>
    <row r="512" ht="15" customHeight="1">
      <c r="A512" t="inlineStr">
        <is>
          <t>A 4670-2026</t>
        </is>
      </c>
      <c r="B512" s="1" t="n">
        <v>46048.41733796296</v>
      </c>
      <c r="C512" s="1" t="n">
        <v>46117</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53934-2024</t>
        </is>
      </c>
      <c r="B513" s="1" t="n">
        <v>45615</v>
      </c>
      <c r="C513" s="1" t="n">
        <v>46117</v>
      </c>
      <c r="D513" t="inlineStr">
        <is>
          <t>GOTLANDS LÄN</t>
        </is>
      </c>
      <c r="E513" t="inlineStr">
        <is>
          <t>GOTLAND</t>
        </is>
      </c>
      <c r="G513" t="n">
        <v>5</v>
      </c>
      <c r="H513" t="n">
        <v>0</v>
      </c>
      <c r="I513" t="n">
        <v>0</v>
      </c>
      <c r="J513" t="n">
        <v>0</v>
      </c>
      <c r="K513" t="n">
        <v>0</v>
      </c>
      <c r="L513" t="n">
        <v>0</v>
      </c>
      <c r="M513" t="n">
        <v>0</v>
      </c>
      <c r="N513" t="n">
        <v>0</v>
      </c>
      <c r="O513" t="n">
        <v>0</v>
      </c>
      <c r="P513" t="n">
        <v>0</v>
      </c>
      <c r="Q513" t="n">
        <v>0</v>
      </c>
      <c r="R513" s="2" t="inlineStr"/>
    </row>
    <row r="514" ht="15" customHeight="1">
      <c r="A514" t="inlineStr">
        <is>
          <t>A 58132-2023</t>
        </is>
      </c>
      <c r="B514" s="1" t="n">
        <v>45250</v>
      </c>
      <c r="C514" s="1" t="n">
        <v>46117</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46117</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28285-2024</t>
        </is>
      </c>
      <c r="B516" s="1" t="n">
        <v>45477</v>
      </c>
      <c r="C516" s="1" t="n">
        <v>46117</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46117</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1854-2026</t>
        </is>
      </c>
      <c r="B518" s="1" t="n">
        <v>46035.4171875</v>
      </c>
      <c r="C518" s="1" t="n">
        <v>46117</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13482-2026</t>
        </is>
      </c>
      <c r="B519" s="1" t="n">
        <v>46094</v>
      </c>
      <c r="C519" s="1" t="n">
        <v>46117</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13486-2026</t>
        </is>
      </c>
      <c r="B520" s="1" t="n">
        <v>46094</v>
      </c>
      <c r="C520" s="1" t="n">
        <v>46117</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1734-2025</t>
        </is>
      </c>
      <c r="B521" s="1" t="n">
        <v>45671.3840625</v>
      </c>
      <c r="C521" s="1" t="n">
        <v>46117</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30365-2024</t>
        </is>
      </c>
      <c r="B522" s="1" t="n">
        <v>45491.3716087963</v>
      </c>
      <c r="C522" s="1" t="n">
        <v>46117</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2674-2023</t>
        </is>
      </c>
      <c r="B523" s="1" t="n">
        <v>44944</v>
      </c>
      <c r="C523" s="1" t="n">
        <v>46117</v>
      </c>
      <c r="D523" t="inlineStr">
        <is>
          <t>GOTLANDS LÄN</t>
        </is>
      </c>
      <c r="E523" t="inlineStr">
        <is>
          <t>GOTLAND</t>
        </is>
      </c>
      <c r="G523" t="n">
        <v>2.5</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46117</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46117</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6207-2026</t>
        </is>
      </c>
      <c r="B526" s="1" t="n">
        <v>46055.42083333333</v>
      </c>
      <c r="C526" s="1" t="n">
        <v>46117</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46117</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46117</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46057.580625</v>
      </c>
      <c r="C529" s="1" t="n">
        <v>46117</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3067-2026</t>
        </is>
      </c>
      <c r="B530" s="1" t="n">
        <v>46040.59025462963</v>
      </c>
      <c r="C530" s="1" t="n">
        <v>46117</v>
      </c>
      <c r="D530" t="inlineStr">
        <is>
          <t>GOTLANDS LÄN</t>
        </is>
      </c>
      <c r="E530" t="inlineStr">
        <is>
          <t>GOTLAND</t>
        </is>
      </c>
      <c r="G530" t="n">
        <v>7.8</v>
      </c>
      <c r="H530" t="n">
        <v>0</v>
      </c>
      <c r="I530" t="n">
        <v>0</v>
      </c>
      <c r="J530" t="n">
        <v>0</v>
      </c>
      <c r="K530" t="n">
        <v>0</v>
      </c>
      <c r="L530" t="n">
        <v>0</v>
      </c>
      <c r="M530" t="n">
        <v>0</v>
      </c>
      <c r="N530" t="n">
        <v>0</v>
      </c>
      <c r="O530" t="n">
        <v>0</v>
      </c>
      <c r="P530" t="n">
        <v>0</v>
      </c>
      <c r="Q530" t="n">
        <v>0</v>
      </c>
      <c r="R530" s="2" t="inlineStr"/>
    </row>
    <row r="531" ht="15" customHeight="1">
      <c r="A531" t="inlineStr">
        <is>
          <t>A 44649-2021</t>
        </is>
      </c>
      <c r="B531" s="1" t="n">
        <v>44437</v>
      </c>
      <c r="C531" s="1" t="n">
        <v>46117</v>
      </c>
      <c r="D531" t="inlineStr">
        <is>
          <t>GOTLANDS LÄN</t>
        </is>
      </c>
      <c r="E531" t="inlineStr">
        <is>
          <t>GOTLAND</t>
        </is>
      </c>
      <c r="G531" t="n">
        <v>8.1</v>
      </c>
      <c r="H531" t="n">
        <v>0</v>
      </c>
      <c r="I531" t="n">
        <v>0</v>
      </c>
      <c r="J531" t="n">
        <v>0</v>
      </c>
      <c r="K531" t="n">
        <v>0</v>
      </c>
      <c r="L531" t="n">
        <v>0</v>
      </c>
      <c r="M531" t="n">
        <v>0</v>
      </c>
      <c r="N531" t="n">
        <v>0</v>
      </c>
      <c r="O531" t="n">
        <v>0</v>
      </c>
      <c r="P531" t="n">
        <v>0</v>
      </c>
      <c r="Q531" t="n">
        <v>0</v>
      </c>
      <c r="R531" s="2" t="inlineStr"/>
    </row>
    <row r="532" ht="15" customHeight="1">
      <c r="A532" t="inlineStr">
        <is>
          <t>A 6960-2026</t>
        </is>
      </c>
      <c r="B532" s="1" t="n">
        <v>46057.58105324074</v>
      </c>
      <c r="C532" s="1" t="n">
        <v>46117</v>
      </c>
      <c r="D532" t="inlineStr">
        <is>
          <t>GOTLANDS LÄN</t>
        </is>
      </c>
      <c r="E532" t="inlineStr">
        <is>
          <t>GOTLAND</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8484-2025</t>
        </is>
      </c>
      <c r="B533" s="1" t="n">
        <v>45709</v>
      </c>
      <c r="C533" s="1" t="n">
        <v>46117</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49962-2023</t>
        </is>
      </c>
      <c r="B534" s="1" t="n">
        <v>45215.38775462963</v>
      </c>
      <c r="C534" s="1" t="n">
        <v>46117</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50744-2024</t>
        </is>
      </c>
      <c r="B535" s="1" t="n">
        <v>45602.4187037037</v>
      </c>
      <c r="C535" s="1" t="n">
        <v>46117</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45244-2024</t>
        </is>
      </c>
      <c r="B536" s="1" t="n">
        <v>45576</v>
      </c>
      <c r="C536" s="1" t="n">
        <v>46117</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46117</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5863-2026</t>
        </is>
      </c>
      <c r="B538" s="1" t="n">
        <v>46052.36697916667</v>
      </c>
      <c r="C538" s="1" t="n">
        <v>46117</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7627-2026</t>
        </is>
      </c>
      <c r="B539" s="1" t="n">
        <v>46062.35465277778</v>
      </c>
      <c r="C539" s="1" t="n">
        <v>46117</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63105-2025</t>
        </is>
      </c>
      <c r="B540" s="1" t="n">
        <v>46009</v>
      </c>
      <c r="C540" s="1" t="n">
        <v>46117</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14840-2026</t>
        </is>
      </c>
      <c r="B541" s="1" t="n">
        <v>46104.39498842593</v>
      </c>
      <c r="C541" s="1" t="n">
        <v>46117</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2714-2023</t>
        </is>
      </c>
      <c r="B542" s="1" t="n">
        <v>44944.54896990741</v>
      </c>
      <c r="C542" s="1" t="n">
        <v>46117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22897-2023</t>
        </is>
      </c>
      <c r="B543" s="1" t="n">
        <v>45072.55239583334</v>
      </c>
      <c r="C543" s="1" t="n">
        <v>46117</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7625-2026</t>
        </is>
      </c>
      <c r="B544" s="1" t="n">
        <v>46062.35135416667</v>
      </c>
      <c r="C544" s="1" t="n">
        <v>46117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4568-2025</t>
        </is>
      </c>
      <c r="B545" s="1" t="n">
        <v>45687</v>
      </c>
      <c r="C545" s="1" t="n">
        <v>46117</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2135-2026</t>
        </is>
      </c>
      <c r="B546" s="1" t="n">
        <v>46036</v>
      </c>
      <c r="C546" s="1" t="n">
        <v>46117</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44938.39715277778</v>
      </c>
      <c r="C547" s="1" t="n">
        <v>46117</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42338-2023</t>
        </is>
      </c>
      <c r="B548" s="1" t="n">
        <v>45180</v>
      </c>
      <c r="C548" s="1" t="n">
        <v>46117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46117</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11013-2024</t>
        </is>
      </c>
      <c r="B550" s="1" t="n">
        <v>45370</v>
      </c>
      <c r="C550" s="1" t="n">
        <v>46117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46117</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46117</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46117</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20356-2022</t>
        </is>
      </c>
      <c r="B554" s="1" t="n">
        <v>44699</v>
      </c>
      <c r="C554" s="1" t="n">
        <v>46117</v>
      </c>
      <c r="D554" t="inlineStr">
        <is>
          <t>GOTLANDS LÄN</t>
        </is>
      </c>
      <c r="E554" t="inlineStr">
        <is>
          <t>GOTLAND</t>
        </is>
      </c>
      <c r="F554" t="inlineStr">
        <is>
          <t>Övriga Aktiebolag</t>
        </is>
      </c>
      <c r="G554" t="n">
        <v>4.4</v>
      </c>
      <c r="H554" t="n">
        <v>0</v>
      </c>
      <c r="I554" t="n">
        <v>0</v>
      </c>
      <c r="J554" t="n">
        <v>0</v>
      </c>
      <c r="K554" t="n">
        <v>0</v>
      </c>
      <c r="L554" t="n">
        <v>0</v>
      </c>
      <c r="M554" t="n">
        <v>0</v>
      </c>
      <c r="N554" t="n">
        <v>0</v>
      </c>
      <c r="O554" t="n">
        <v>0</v>
      </c>
      <c r="P554" t="n">
        <v>0</v>
      </c>
      <c r="Q554" t="n">
        <v>0</v>
      </c>
      <c r="R554" s="2" t="inlineStr"/>
    </row>
    <row r="555" ht="15" customHeight="1">
      <c r="A555" t="inlineStr">
        <is>
          <t>A 4868-2024</t>
        </is>
      </c>
      <c r="B555" s="1" t="n">
        <v>45329</v>
      </c>
      <c r="C555" s="1" t="n">
        <v>46117</v>
      </c>
      <c r="D555" t="inlineStr">
        <is>
          <t>GOTLANDS LÄN</t>
        </is>
      </c>
      <c r="E555" t="inlineStr">
        <is>
          <t>GOTLAND</t>
        </is>
      </c>
      <c r="G555" t="n">
        <v>7.1</v>
      </c>
      <c r="H555" t="n">
        <v>0</v>
      </c>
      <c r="I555" t="n">
        <v>0</v>
      </c>
      <c r="J555" t="n">
        <v>0</v>
      </c>
      <c r="K555" t="n">
        <v>0</v>
      </c>
      <c r="L555" t="n">
        <v>0</v>
      </c>
      <c r="M555" t="n">
        <v>0</v>
      </c>
      <c r="N555" t="n">
        <v>0</v>
      </c>
      <c r="O555" t="n">
        <v>0</v>
      </c>
      <c r="P555" t="n">
        <v>0</v>
      </c>
      <c r="Q555" t="n">
        <v>0</v>
      </c>
      <c r="R555" s="2" t="inlineStr"/>
    </row>
    <row r="556" ht="15" customHeight="1">
      <c r="A556" t="inlineStr">
        <is>
          <t>A 9613-2025</t>
        </is>
      </c>
      <c r="B556" s="1" t="n">
        <v>45715</v>
      </c>
      <c r="C556" s="1" t="n">
        <v>46117</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46117</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58211-2024</t>
        </is>
      </c>
      <c r="B558" s="1" t="n">
        <v>45632.49292824074</v>
      </c>
      <c r="C558" s="1" t="n">
        <v>46117</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11634-2024</t>
        </is>
      </c>
      <c r="B559" s="1" t="n">
        <v>45373</v>
      </c>
      <c r="C559" s="1" t="n">
        <v>46117</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5884-2025</t>
        </is>
      </c>
      <c r="B560" s="1" t="n">
        <v>45695.37482638889</v>
      </c>
      <c r="C560" s="1" t="n">
        <v>46117</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5897-2025</t>
        </is>
      </c>
      <c r="B561" s="1" t="n">
        <v>45695.39273148148</v>
      </c>
      <c r="C561" s="1" t="n">
        <v>46117</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5909-2025</t>
        </is>
      </c>
      <c r="B562" s="1" t="n">
        <v>45695.40634259259</v>
      </c>
      <c r="C562" s="1" t="n">
        <v>46117</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60086-2022</t>
        </is>
      </c>
      <c r="B563" s="1" t="n">
        <v>44909</v>
      </c>
      <c r="C563" s="1" t="n">
        <v>46117</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46117</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25866-2022</t>
        </is>
      </c>
      <c r="B565" s="1" t="n">
        <v>44733</v>
      </c>
      <c r="C565" s="1" t="n">
        <v>46117</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53561-2025</t>
        </is>
      </c>
      <c r="B566" s="1" t="n">
        <v>45960.4059375</v>
      </c>
      <c r="C566" s="1" t="n">
        <v>46117</v>
      </c>
      <c r="D566" t="inlineStr">
        <is>
          <t>GOTLANDS LÄN</t>
        </is>
      </c>
      <c r="E566" t="inlineStr">
        <is>
          <t>GOTLAND</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53587-2025</t>
        </is>
      </c>
      <c r="B567" s="1" t="n">
        <v>45960.43681712963</v>
      </c>
      <c r="C567" s="1" t="n">
        <v>46117</v>
      </c>
      <c r="D567" t="inlineStr">
        <is>
          <t>GOTLANDS LÄN</t>
        </is>
      </c>
      <c r="E567" t="inlineStr">
        <is>
          <t>GOTLAND</t>
        </is>
      </c>
      <c r="F567" t="inlineStr">
        <is>
          <t>Övriga Aktiebolag</t>
        </is>
      </c>
      <c r="G567" t="n">
        <v>1.7</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46117</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46117</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46117</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9521-2026</t>
        </is>
      </c>
      <c r="B571" s="1" t="n">
        <v>46071.59969907408</v>
      </c>
      <c r="C571" s="1" t="n">
        <v>46117</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9524-2026</t>
        </is>
      </c>
      <c r="B572" s="1" t="n">
        <v>46071.60108796296</v>
      </c>
      <c r="C572" s="1" t="n">
        <v>46117</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9543-2026</t>
        </is>
      </c>
      <c r="B573" s="1" t="n">
        <v>46071.62486111111</v>
      </c>
      <c r="C573" s="1" t="n">
        <v>46117</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46117</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46117</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46117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46117</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9504-2026</t>
        </is>
      </c>
      <c r="B578" s="1" t="n">
        <v>46071.57730324074</v>
      </c>
      <c r="C578" s="1" t="n">
        <v>46117</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9518-2026</t>
        </is>
      </c>
      <c r="B579" s="1" t="n">
        <v>46071.59653935185</v>
      </c>
      <c r="C579" s="1" t="n">
        <v>46117</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9519-2026</t>
        </is>
      </c>
      <c r="B580" s="1" t="n">
        <v>46071.59820601852</v>
      </c>
      <c r="C580" s="1" t="n">
        <v>46117</v>
      </c>
      <c r="D580" t="inlineStr">
        <is>
          <t>GOTLANDS LÄN</t>
        </is>
      </c>
      <c r="E580" t="inlineStr">
        <is>
          <t>GOTLAND</t>
        </is>
      </c>
      <c r="G580" t="n">
        <v>4</v>
      </c>
      <c r="H580" t="n">
        <v>0</v>
      </c>
      <c r="I580" t="n">
        <v>0</v>
      </c>
      <c r="J580" t="n">
        <v>0</v>
      </c>
      <c r="K580" t="n">
        <v>0</v>
      </c>
      <c r="L580" t="n">
        <v>0</v>
      </c>
      <c r="M580" t="n">
        <v>0</v>
      </c>
      <c r="N580" t="n">
        <v>0</v>
      </c>
      <c r="O580" t="n">
        <v>0</v>
      </c>
      <c r="P580" t="n">
        <v>0</v>
      </c>
      <c r="Q580" t="n">
        <v>0</v>
      </c>
      <c r="R580" s="2" t="inlineStr"/>
    </row>
    <row r="581" ht="15" customHeight="1">
      <c r="A581" t="inlineStr">
        <is>
          <t>A 62754-2025</t>
        </is>
      </c>
      <c r="B581" s="1" t="n">
        <v>46008</v>
      </c>
      <c r="C581" s="1" t="n">
        <v>46117</v>
      </c>
      <c r="D581" t="inlineStr">
        <is>
          <t>GOTLANDS LÄN</t>
        </is>
      </c>
      <c r="E581" t="inlineStr">
        <is>
          <t>GOTLAND</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9901-2026</t>
        </is>
      </c>
      <c r="B582" s="1" t="n">
        <v>46073.40391203704</v>
      </c>
      <c r="C582" s="1" t="n">
        <v>46117</v>
      </c>
      <c r="D582" t="inlineStr">
        <is>
          <t>GOTLANDS LÄN</t>
        </is>
      </c>
      <c r="E582" t="inlineStr">
        <is>
          <t>GOTLAND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46117</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31802-2024</t>
        </is>
      </c>
      <c r="B584" s="1" t="n">
        <v>45509</v>
      </c>
      <c r="C584" s="1" t="n">
        <v>46117</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46117</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46117</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16993-2026</t>
        </is>
      </c>
      <c r="B587" s="1" t="n">
        <v>46114.41918981481</v>
      </c>
      <c r="C587" s="1" t="n">
        <v>46117</v>
      </c>
      <c r="D587" t="inlineStr">
        <is>
          <t>GOTLANDS LÄN</t>
        </is>
      </c>
      <c r="E587" t="inlineStr">
        <is>
          <t>GOTLAND</t>
        </is>
      </c>
      <c r="G587" t="n">
        <v>3</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46117</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4420-2025</t>
        </is>
      </c>
      <c r="B589" s="1" t="n">
        <v>45686.47157407407</v>
      </c>
      <c r="C589" s="1" t="n">
        <v>46117</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14427-2024</t>
        </is>
      </c>
      <c r="B590" s="1" t="n">
        <v>45394</v>
      </c>
      <c r="C590" s="1" t="n">
        <v>46117</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46117</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49315-2024</t>
        </is>
      </c>
      <c r="B592" s="1" t="n">
        <v>45595</v>
      </c>
      <c r="C592" s="1" t="n">
        <v>46117</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46117</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46117</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64969-2023</t>
        </is>
      </c>
      <c r="B595" s="1" t="n">
        <v>45284.54009259259</v>
      </c>
      <c r="C595" s="1" t="n">
        <v>46117</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33853-2024</t>
        </is>
      </c>
      <c r="B596" s="1" t="n">
        <v>45520.64298611111</v>
      </c>
      <c r="C596" s="1" t="n">
        <v>46117</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18223-2025</t>
        </is>
      </c>
      <c r="B597" s="1" t="n">
        <v>45761</v>
      </c>
      <c r="C597" s="1" t="n">
        <v>46117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46949-2024</t>
        </is>
      </c>
      <c r="B598" s="1" t="n">
        <v>45585</v>
      </c>
      <c r="C598" s="1" t="n">
        <v>46117</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24001-2021</t>
        </is>
      </c>
      <c r="B599" s="1" t="n">
        <v>44335</v>
      </c>
      <c r="C599" s="1" t="n">
        <v>46117</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39479-2022</t>
        </is>
      </c>
      <c r="B600" s="1" t="n">
        <v>44818</v>
      </c>
      <c r="C600" s="1" t="n">
        <v>46117</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39496-2022</t>
        </is>
      </c>
      <c r="B601" s="1" t="n">
        <v>44818</v>
      </c>
      <c r="C601" s="1" t="n">
        <v>46117</v>
      </c>
      <c r="D601" t="inlineStr">
        <is>
          <t>GOTLANDS LÄN</t>
        </is>
      </c>
      <c r="E601" t="inlineStr">
        <is>
          <t>GOTLAND</t>
        </is>
      </c>
      <c r="G601" t="n">
        <v>2.4</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46117</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44949-2023</t>
        </is>
      </c>
      <c r="B603" s="1" t="n">
        <v>45190.69520833333</v>
      </c>
      <c r="C603" s="1" t="n">
        <v>46117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17682-2024</t>
        </is>
      </c>
      <c r="B604" s="1" t="n">
        <v>45418.42966435185</v>
      </c>
      <c r="C604" s="1" t="n">
        <v>46117</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61897-2024</t>
        </is>
      </c>
      <c r="B605" s="1" t="n">
        <v>45652.75685185185</v>
      </c>
      <c r="C605" s="1" t="n">
        <v>46117</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12032-2025</t>
        </is>
      </c>
      <c r="B606" s="1" t="n">
        <v>45728.64472222222</v>
      </c>
      <c r="C606" s="1" t="n">
        <v>46117</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15595-2024</t>
        </is>
      </c>
      <c r="B607" s="1" t="n">
        <v>45401.81480324074</v>
      </c>
      <c r="C607" s="1" t="n">
        <v>46117</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21164-2024</t>
        </is>
      </c>
      <c r="B608" s="1" t="n">
        <v>45440</v>
      </c>
      <c r="C608" s="1" t="n">
        <v>46117</v>
      </c>
      <c r="D608" t="inlineStr">
        <is>
          <t>GOTLANDS LÄN</t>
        </is>
      </c>
      <c r="E608" t="inlineStr">
        <is>
          <t>GOTLAND</t>
        </is>
      </c>
      <c r="G608" t="n">
        <v>6.3</v>
      </c>
      <c r="H608" t="n">
        <v>0</v>
      </c>
      <c r="I608" t="n">
        <v>0</v>
      </c>
      <c r="J608" t="n">
        <v>0</v>
      </c>
      <c r="K608" t="n">
        <v>0</v>
      </c>
      <c r="L608" t="n">
        <v>0</v>
      </c>
      <c r="M608" t="n">
        <v>0</v>
      </c>
      <c r="N608" t="n">
        <v>0</v>
      </c>
      <c r="O608" t="n">
        <v>0</v>
      </c>
      <c r="P608" t="n">
        <v>0</v>
      </c>
      <c r="Q608" t="n">
        <v>0</v>
      </c>
      <c r="R608" s="2" t="inlineStr"/>
    </row>
    <row r="609" ht="15" customHeight="1">
      <c r="A609" t="inlineStr">
        <is>
          <t>A 17541-2024</t>
        </is>
      </c>
      <c r="B609" s="1" t="n">
        <v>45415</v>
      </c>
      <c r="C609" s="1" t="n">
        <v>46117</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883-2025</t>
        </is>
      </c>
      <c r="B610" s="1" t="n">
        <v>45665</v>
      </c>
      <c r="C610" s="1" t="n">
        <v>46117</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46117</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20794-2025</t>
        </is>
      </c>
      <c r="B612" s="1" t="n">
        <v>45776</v>
      </c>
      <c r="C612" s="1" t="n">
        <v>46117</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20805-2025</t>
        </is>
      </c>
      <c r="B613" s="1" t="n">
        <v>45776</v>
      </c>
      <c r="C613" s="1" t="n">
        <v>46117</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21389-2025</t>
        </is>
      </c>
      <c r="B614" s="1" t="n">
        <v>45782</v>
      </c>
      <c r="C614" s="1" t="n">
        <v>46117</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21651-2025</t>
        </is>
      </c>
      <c r="B615" s="1" t="n">
        <v>45783</v>
      </c>
      <c r="C615" s="1" t="n">
        <v>46117</v>
      </c>
      <c r="D615" t="inlineStr">
        <is>
          <t>GOTLANDS LÄN</t>
        </is>
      </c>
      <c r="E615" t="inlineStr">
        <is>
          <t>GOTLAND</t>
        </is>
      </c>
      <c r="G615" t="n">
        <v>4.2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46117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10656-2024</t>
        </is>
      </c>
      <c r="B617" s="1" t="n">
        <v>45368</v>
      </c>
      <c r="C617" s="1" t="n">
        <v>46117</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46117</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28506-2023</t>
        </is>
      </c>
      <c r="B619" s="1" t="n">
        <v>45103</v>
      </c>
      <c r="C619" s="1" t="n">
        <v>46117</v>
      </c>
      <c r="D619" t="inlineStr">
        <is>
          <t>GOTLANDS LÄN</t>
        </is>
      </c>
      <c r="E619" t="inlineStr">
        <is>
          <t>GOTLAND</t>
        </is>
      </c>
      <c r="G619" t="n">
        <v>3.2</v>
      </c>
      <c r="H619" t="n">
        <v>0</v>
      </c>
      <c r="I619" t="n">
        <v>0</v>
      </c>
      <c r="J619" t="n">
        <v>0</v>
      </c>
      <c r="K619" t="n">
        <v>0</v>
      </c>
      <c r="L619" t="n">
        <v>0</v>
      </c>
      <c r="M619" t="n">
        <v>0</v>
      </c>
      <c r="N619" t="n">
        <v>0</v>
      </c>
      <c r="O619" t="n">
        <v>0</v>
      </c>
      <c r="P619" t="n">
        <v>0</v>
      </c>
      <c r="Q619" t="n">
        <v>0</v>
      </c>
      <c r="R619" s="2" t="inlineStr"/>
    </row>
    <row r="620" ht="15" customHeight="1">
      <c r="A620" t="inlineStr">
        <is>
          <t>A 23188-2025</t>
        </is>
      </c>
      <c r="B620" s="1" t="n">
        <v>45791</v>
      </c>
      <c r="C620" s="1" t="n">
        <v>46117</v>
      </c>
      <c r="D620" t="inlineStr">
        <is>
          <t>GOTLANDS LÄN</t>
        </is>
      </c>
      <c r="E620" t="inlineStr">
        <is>
          <t>GOTLAND</t>
        </is>
      </c>
      <c r="G620" t="n">
        <v>6.2</v>
      </c>
      <c r="H620" t="n">
        <v>0</v>
      </c>
      <c r="I620" t="n">
        <v>0</v>
      </c>
      <c r="J620" t="n">
        <v>0</v>
      </c>
      <c r="K620" t="n">
        <v>0</v>
      </c>
      <c r="L620" t="n">
        <v>0</v>
      </c>
      <c r="M620" t="n">
        <v>0</v>
      </c>
      <c r="N620" t="n">
        <v>0</v>
      </c>
      <c r="O620" t="n">
        <v>0</v>
      </c>
      <c r="P620" t="n">
        <v>0</v>
      </c>
      <c r="Q620" t="n">
        <v>0</v>
      </c>
      <c r="R620" s="2" t="inlineStr"/>
    </row>
    <row r="621" ht="15" customHeight="1">
      <c r="A621" t="inlineStr">
        <is>
          <t>A 23856-2025</t>
        </is>
      </c>
      <c r="B621" s="1" t="n">
        <v>45793</v>
      </c>
      <c r="C621" s="1" t="n">
        <v>46117</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23473-2025</t>
        </is>
      </c>
      <c r="B622" s="1" t="n">
        <v>45792</v>
      </c>
      <c r="C622" s="1" t="n">
        <v>46117</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23698-2025</t>
        </is>
      </c>
      <c r="B623" s="1" t="n">
        <v>45793</v>
      </c>
      <c r="C623" s="1" t="n">
        <v>46117</v>
      </c>
      <c r="D623" t="inlineStr">
        <is>
          <t>GOTLANDS LÄN</t>
        </is>
      </c>
      <c r="E623" t="inlineStr">
        <is>
          <t>GOTLAND</t>
        </is>
      </c>
      <c r="G623" t="n">
        <v>0.8</v>
      </c>
      <c r="H623" t="n">
        <v>0</v>
      </c>
      <c r="I623" t="n">
        <v>0</v>
      </c>
      <c r="J623" t="n">
        <v>0</v>
      </c>
      <c r="K623" t="n">
        <v>0</v>
      </c>
      <c r="L623" t="n">
        <v>0</v>
      </c>
      <c r="M623" t="n">
        <v>0</v>
      </c>
      <c r="N623" t="n">
        <v>0</v>
      </c>
      <c r="O623" t="n">
        <v>0</v>
      </c>
      <c r="P623" t="n">
        <v>0</v>
      </c>
      <c r="Q623" t="n">
        <v>0</v>
      </c>
      <c r="R623" s="2" t="inlineStr"/>
    </row>
    <row r="624" ht="15" customHeight="1">
      <c r="A624" t="inlineStr">
        <is>
          <t>A 15073-2025</t>
        </is>
      </c>
      <c r="B624" s="1" t="n">
        <v>45743</v>
      </c>
      <c r="C624" s="1" t="n">
        <v>46117</v>
      </c>
      <c r="D624" t="inlineStr">
        <is>
          <t>GOTLANDS LÄN</t>
        </is>
      </c>
      <c r="E624" t="inlineStr">
        <is>
          <t>GOTLAND</t>
        </is>
      </c>
      <c r="G624" t="n">
        <v>12.1</v>
      </c>
      <c r="H624" t="n">
        <v>0</v>
      </c>
      <c r="I624" t="n">
        <v>0</v>
      </c>
      <c r="J624" t="n">
        <v>0</v>
      </c>
      <c r="K624" t="n">
        <v>0</v>
      </c>
      <c r="L624" t="n">
        <v>0</v>
      </c>
      <c r="M624" t="n">
        <v>0</v>
      </c>
      <c r="N624" t="n">
        <v>0</v>
      </c>
      <c r="O624" t="n">
        <v>0</v>
      </c>
      <c r="P624" t="n">
        <v>0</v>
      </c>
      <c r="Q624" t="n">
        <v>0</v>
      </c>
      <c r="R624" s="2" t="inlineStr"/>
    </row>
    <row r="625" ht="15" customHeight="1">
      <c r="A625" t="inlineStr">
        <is>
          <t>A 6749-2025</t>
        </is>
      </c>
      <c r="B625" s="1" t="n">
        <v>45700</v>
      </c>
      <c r="C625" s="1" t="n">
        <v>46117</v>
      </c>
      <c r="D625" t="inlineStr">
        <is>
          <t>GOTLANDS LÄN</t>
        </is>
      </c>
      <c r="E625" t="inlineStr">
        <is>
          <t>GOTLAND</t>
        </is>
      </c>
      <c r="G625" t="n">
        <v>4.5</v>
      </c>
      <c r="H625" t="n">
        <v>0</v>
      </c>
      <c r="I625" t="n">
        <v>0</v>
      </c>
      <c r="J625" t="n">
        <v>0</v>
      </c>
      <c r="K625" t="n">
        <v>0</v>
      </c>
      <c r="L625" t="n">
        <v>0</v>
      </c>
      <c r="M625" t="n">
        <v>0</v>
      </c>
      <c r="N625" t="n">
        <v>0</v>
      </c>
      <c r="O625" t="n">
        <v>0</v>
      </c>
      <c r="P625" t="n">
        <v>0</v>
      </c>
      <c r="Q625" t="n">
        <v>0</v>
      </c>
      <c r="R625" s="2" t="inlineStr"/>
    </row>
    <row r="626" ht="15" customHeight="1">
      <c r="A626" t="inlineStr">
        <is>
          <t>A 5462-2025</t>
        </is>
      </c>
      <c r="B626" s="1" t="n">
        <v>45693.29331018519</v>
      </c>
      <c r="C626" s="1" t="n">
        <v>46117</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25796-2025</t>
        </is>
      </c>
      <c r="B627" s="1" t="n">
        <v>45804.39543981481</v>
      </c>
      <c r="C627" s="1" t="n">
        <v>46117</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26465-2025</t>
        </is>
      </c>
      <c r="B628" s="1" t="n">
        <v>45807.44377314814</v>
      </c>
      <c r="C628" s="1" t="n">
        <v>46117</v>
      </c>
      <c r="D628" t="inlineStr">
        <is>
          <t>GOTLANDS LÄN</t>
        </is>
      </c>
      <c r="E628" t="inlineStr">
        <is>
          <t>GOTLAND</t>
        </is>
      </c>
      <c r="G628" t="n">
        <v>4.5</v>
      </c>
      <c r="H628" t="n">
        <v>0</v>
      </c>
      <c r="I628" t="n">
        <v>0</v>
      </c>
      <c r="J628" t="n">
        <v>0</v>
      </c>
      <c r="K628" t="n">
        <v>0</v>
      </c>
      <c r="L628" t="n">
        <v>0</v>
      </c>
      <c r="M628" t="n">
        <v>0</v>
      </c>
      <c r="N628" t="n">
        <v>0</v>
      </c>
      <c r="O628" t="n">
        <v>0</v>
      </c>
      <c r="P628" t="n">
        <v>0</v>
      </c>
      <c r="Q628" t="n">
        <v>0</v>
      </c>
      <c r="R628" s="2" t="inlineStr"/>
    </row>
    <row r="629" ht="15" customHeight="1">
      <c r="A629" t="inlineStr">
        <is>
          <t>A 26457-2025</t>
        </is>
      </c>
      <c r="B629" s="1" t="n">
        <v>45807.42773148148</v>
      </c>
      <c r="C629" s="1" t="n">
        <v>46117</v>
      </c>
      <c r="D629" t="inlineStr">
        <is>
          <t>GOTLANDS LÄN</t>
        </is>
      </c>
      <c r="E629" t="inlineStr">
        <is>
          <t>GOTLAND</t>
        </is>
      </c>
      <c r="G629" t="n">
        <v>5.7</v>
      </c>
      <c r="H629" t="n">
        <v>0</v>
      </c>
      <c r="I629" t="n">
        <v>0</v>
      </c>
      <c r="J629" t="n">
        <v>0</v>
      </c>
      <c r="K629" t="n">
        <v>0</v>
      </c>
      <c r="L629" t="n">
        <v>0</v>
      </c>
      <c r="M629" t="n">
        <v>0</v>
      </c>
      <c r="N629" t="n">
        <v>0</v>
      </c>
      <c r="O629" t="n">
        <v>0</v>
      </c>
      <c r="P629" t="n">
        <v>0</v>
      </c>
      <c r="Q629" t="n">
        <v>0</v>
      </c>
      <c r="R629" s="2" t="inlineStr"/>
    </row>
    <row r="630" ht="15" customHeight="1">
      <c r="A630" t="inlineStr">
        <is>
          <t>A 26467-2025</t>
        </is>
      </c>
      <c r="B630" s="1" t="n">
        <v>45807.44640046296</v>
      </c>
      <c r="C630" s="1" t="n">
        <v>46117</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26660-2025</t>
        </is>
      </c>
      <c r="B631" s="1" t="n">
        <v>45810.39737268518</v>
      </c>
      <c r="C631" s="1" t="n">
        <v>46117</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27355-2025</t>
        </is>
      </c>
      <c r="B632" s="1" t="n">
        <v>45812</v>
      </c>
      <c r="C632" s="1" t="n">
        <v>46117</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27371-2025</t>
        </is>
      </c>
      <c r="B633" s="1" t="n">
        <v>45812</v>
      </c>
      <c r="C633" s="1" t="n">
        <v>46117</v>
      </c>
      <c r="D633" t="inlineStr">
        <is>
          <t>GOTLANDS LÄN</t>
        </is>
      </c>
      <c r="E633" t="inlineStr">
        <is>
          <t>GOTLAND</t>
        </is>
      </c>
      <c r="G633" t="n">
        <v>8</v>
      </c>
      <c r="H633" t="n">
        <v>0</v>
      </c>
      <c r="I633" t="n">
        <v>0</v>
      </c>
      <c r="J633" t="n">
        <v>0</v>
      </c>
      <c r="K633" t="n">
        <v>0</v>
      </c>
      <c r="L633" t="n">
        <v>0</v>
      </c>
      <c r="M633" t="n">
        <v>0</v>
      </c>
      <c r="N633" t="n">
        <v>0</v>
      </c>
      <c r="O633" t="n">
        <v>0</v>
      </c>
      <c r="P633" t="n">
        <v>0</v>
      </c>
      <c r="Q633" t="n">
        <v>0</v>
      </c>
      <c r="R633" s="2" t="inlineStr"/>
    </row>
    <row r="634" ht="15" customHeight="1">
      <c r="A634" t="inlineStr">
        <is>
          <t>A 7850-2025</t>
        </is>
      </c>
      <c r="B634" s="1" t="n">
        <v>45706</v>
      </c>
      <c r="C634" s="1" t="n">
        <v>46117</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6739-2025</t>
        </is>
      </c>
      <c r="B635" s="1" t="n">
        <v>45700</v>
      </c>
      <c r="C635" s="1" t="n">
        <v>46117</v>
      </c>
      <c r="D635" t="inlineStr">
        <is>
          <t>GOTLANDS LÄN</t>
        </is>
      </c>
      <c r="E635" t="inlineStr">
        <is>
          <t>GOTLAND</t>
        </is>
      </c>
      <c r="G635" t="n">
        <v>4.5</v>
      </c>
      <c r="H635" t="n">
        <v>0</v>
      </c>
      <c r="I635" t="n">
        <v>0</v>
      </c>
      <c r="J635" t="n">
        <v>0</v>
      </c>
      <c r="K635" t="n">
        <v>0</v>
      </c>
      <c r="L635" t="n">
        <v>0</v>
      </c>
      <c r="M635" t="n">
        <v>0</v>
      </c>
      <c r="N635" t="n">
        <v>0</v>
      </c>
      <c r="O635" t="n">
        <v>0</v>
      </c>
      <c r="P635" t="n">
        <v>0</v>
      </c>
      <c r="Q635" t="n">
        <v>0</v>
      </c>
      <c r="R635" s="2" t="inlineStr"/>
    </row>
    <row r="636" ht="15" customHeight="1">
      <c r="A636" t="inlineStr">
        <is>
          <t>A 8444-2025</t>
        </is>
      </c>
      <c r="B636" s="1" t="n">
        <v>45709</v>
      </c>
      <c r="C636" s="1" t="n">
        <v>46117</v>
      </c>
      <c r="D636" t="inlineStr">
        <is>
          <t>GOTLANDS LÄN</t>
        </is>
      </c>
      <c r="E636" t="inlineStr">
        <is>
          <t>GOTLAND</t>
        </is>
      </c>
      <c r="G636" t="n">
        <v>5.2</v>
      </c>
      <c r="H636" t="n">
        <v>0</v>
      </c>
      <c r="I636" t="n">
        <v>0</v>
      </c>
      <c r="J636" t="n">
        <v>0</v>
      </c>
      <c r="K636" t="n">
        <v>0</v>
      </c>
      <c r="L636" t="n">
        <v>0</v>
      </c>
      <c r="M636" t="n">
        <v>0</v>
      </c>
      <c r="N636" t="n">
        <v>0</v>
      </c>
      <c r="O636" t="n">
        <v>0</v>
      </c>
      <c r="P636" t="n">
        <v>0</v>
      </c>
      <c r="Q636" t="n">
        <v>0</v>
      </c>
      <c r="R636" s="2" t="inlineStr"/>
    </row>
    <row r="637" ht="15" customHeight="1">
      <c r="A637" t="inlineStr">
        <is>
          <t>A 19905-2025</t>
        </is>
      </c>
      <c r="B637" s="1" t="n">
        <v>45771</v>
      </c>
      <c r="C637" s="1" t="n">
        <v>46117</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29207-2025</t>
        </is>
      </c>
      <c r="B638" s="1" t="n">
        <v>45823</v>
      </c>
      <c r="C638" s="1" t="n">
        <v>46117</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29196-2025</t>
        </is>
      </c>
      <c r="B639" s="1" t="n">
        <v>45822</v>
      </c>
      <c r="C639" s="1" t="n">
        <v>46117</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30061-2025</t>
        </is>
      </c>
      <c r="B640" s="1" t="n">
        <v>45826.61488425926</v>
      </c>
      <c r="C640" s="1" t="n">
        <v>46117</v>
      </c>
      <c r="D640" t="inlineStr">
        <is>
          <t>GOTLANDS LÄN</t>
        </is>
      </c>
      <c r="E640" t="inlineStr">
        <is>
          <t>GOTLAND</t>
        </is>
      </c>
      <c r="G640" t="n">
        <v>4.1</v>
      </c>
      <c r="H640" t="n">
        <v>0</v>
      </c>
      <c r="I640" t="n">
        <v>0</v>
      </c>
      <c r="J640" t="n">
        <v>0</v>
      </c>
      <c r="K640" t="n">
        <v>0</v>
      </c>
      <c r="L640" t="n">
        <v>0</v>
      </c>
      <c r="M640" t="n">
        <v>0</v>
      </c>
      <c r="N640" t="n">
        <v>0</v>
      </c>
      <c r="O640" t="n">
        <v>0</v>
      </c>
      <c r="P640" t="n">
        <v>0</v>
      </c>
      <c r="Q640" t="n">
        <v>0</v>
      </c>
      <c r="R640" s="2" t="inlineStr"/>
    </row>
    <row r="641" ht="15" customHeight="1">
      <c r="A641" t="inlineStr">
        <is>
          <t>A 58160-2024</t>
        </is>
      </c>
      <c r="B641" s="1" t="n">
        <v>45632.44927083333</v>
      </c>
      <c r="C641" s="1" t="n">
        <v>46117</v>
      </c>
      <c r="D641" t="inlineStr">
        <is>
          <t>GOTLANDS LÄN</t>
        </is>
      </c>
      <c r="E641" t="inlineStr">
        <is>
          <t>GOTLAND</t>
        </is>
      </c>
      <c r="G641" t="n">
        <v>5.6</v>
      </c>
      <c r="H641" t="n">
        <v>0</v>
      </c>
      <c r="I641" t="n">
        <v>0</v>
      </c>
      <c r="J641" t="n">
        <v>0</v>
      </c>
      <c r="K641" t="n">
        <v>0</v>
      </c>
      <c r="L641" t="n">
        <v>0</v>
      </c>
      <c r="M641" t="n">
        <v>0</v>
      </c>
      <c r="N641" t="n">
        <v>0</v>
      </c>
      <c r="O641" t="n">
        <v>0</v>
      </c>
      <c r="P641" t="n">
        <v>0</v>
      </c>
      <c r="Q641" t="n">
        <v>0</v>
      </c>
      <c r="R641" s="2" t="inlineStr"/>
    </row>
    <row r="642" ht="15" customHeight="1">
      <c r="A642" t="inlineStr">
        <is>
          <t>A 16109-2025</t>
        </is>
      </c>
      <c r="B642" s="1" t="n">
        <v>45750</v>
      </c>
      <c r="C642" s="1" t="n">
        <v>46117</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32467-2025</t>
        </is>
      </c>
      <c r="B643" s="1" t="n">
        <v>45838.42111111111</v>
      </c>
      <c r="C643" s="1" t="n">
        <v>46117</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32379-2025</t>
        </is>
      </c>
      <c r="B644" s="1" t="n">
        <v>45837</v>
      </c>
      <c r="C644" s="1" t="n">
        <v>46117</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c r="A645" t="inlineStr">
        <is>
          <t>A 33007-2025</t>
        </is>
      </c>
      <c r="B645" s="1" t="n">
        <v>45840</v>
      </c>
      <c r="C645" s="1" t="n">
        <v>46117</v>
      </c>
      <c r="D645" t="inlineStr">
        <is>
          <t>GOTLANDS LÄN</t>
        </is>
      </c>
      <c r="E645" t="inlineStr">
        <is>
          <t>GOTLAND</t>
        </is>
      </c>
      <c r="G645" t="n">
        <v>4.9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2026-04-05T10:42:49Z</dcterms:created>
  <dcterms:modified xmlns:dcterms="http://purl.org/dc/terms/" xmlns:xsi="http://www.w3.org/2001/XMLSchema-instance" xsi:type="dcterms:W3CDTF">2026-04-05T10:42:49Z</dcterms:modified>
</cp:coreProperties>
</file>