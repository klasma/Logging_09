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46120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46120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46120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46120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46120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46120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46120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46120</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46120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46120</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46120</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46120</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46120</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46120</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46120</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46120</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15068-2025</t>
        </is>
      </c>
      <c r="B18" s="1" t="n">
        <v>45743</v>
      </c>
      <c r="C18" s="1" t="n">
        <v>46120</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530-2024</t>
        </is>
      </c>
      <c r="B19" s="1" t="n">
        <v>45299</v>
      </c>
      <c r="C19" s="1" t="n">
        <v>46120</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8645-2025</t>
        </is>
      </c>
      <c r="B20" s="1" t="n">
        <v>45712</v>
      </c>
      <c r="C20" s="1" t="n">
        <v>46120</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62551-2022</t>
        </is>
      </c>
      <c r="B21" s="1" t="n">
        <v>44924</v>
      </c>
      <c r="C21" s="1" t="n">
        <v>46120</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6153-2024</t>
        </is>
      </c>
      <c r="B22" s="1" t="n">
        <v>45337</v>
      </c>
      <c r="C22" s="1" t="n">
        <v>46120</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24575-2025</t>
        </is>
      </c>
      <c r="B23" s="1" t="n">
        <v>45798</v>
      </c>
      <c r="C23" s="1" t="n">
        <v>46120</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34100-2024</t>
        </is>
      </c>
      <c r="B24" s="1" t="n">
        <v>45523</v>
      </c>
      <c r="C24" s="1" t="n">
        <v>46120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46120</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15629-2024</t>
        </is>
      </c>
      <c r="B26" s="1" t="n">
        <v>45402.78372685185</v>
      </c>
      <c r="C26" s="1" t="n">
        <v>46120</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61697-2023</t>
        </is>
      </c>
      <c r="B27" s="1" t="n">
        <v>45265</v>
      </c>
      <c r="C27" s="1" t="n">
        <v>46120</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17762-2024</t>
        </is>
      </c>
      <c r="B28" s="1" t="n">
        <v>45418</v>
      </c>
      <c r="C28" s="1" t="n">
        <v>46120</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62132-2023</t>
        </is>
      </c>
      <c r="B29" s="1" t="n">
        <v>45267</v>
      </c>
      <c r="C29" s="1" t="n">
        <v>46120</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2222-2024</t>
        </is>
      </c>
      <c r="B30" s="1" t="n">
        <v>45309</v>
      </c>
      <c r="C30" s="1" t="n">
        <v>46120</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25779-2022</t>
        </is>
      </c>
      <c r="B31" s="1" t="n">
        <v>44733</v>
      </c>
      <c r="C31" s="1" t="n">
        <v>46120</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44204-2022</t>
        </is>
      </c>
      <c r="B32" s="1" t="n">
        <v>44839</v>
      </c>
      <c r="C32" s="1" t="n">
        <v>46120</v>
      </c>
      <c r="D32" t="inlineStr">
        <is>
          <t>GOTLANDS LÄN</t>
        </is>
      </c>
      <c r="E32" t="inlineStr">
        <is>
          <t>GOTLAND</t>
        </is>
      </c>
      <c r="G32" t="n">
        <v>2.3</v>
      </c>
      <c r="H32" t="n">
        <v>2</v>
      </c>
      <c r="I32" t="n">
        <v>5</v>
      </c>
      <c r="J32" t="n">
        <v>3</v>
      </c>
      <c r="K32" t="n">
        <v>4</v>
      </c>
      <c r="L32" t="n">
        <v>1</v>
      </c>
      <c r="M32" t="n">
        <v>0</v>
      </c>
      <c r="N32" t="n">
        <v>0</v>
      </c>
      <c r="O32" t="n">
        <v>8</v>
      </c>
      <c r="P32" t="n">
        <v>5</v>
      </c>
      <c r="Q32" t="n">
        <v>13</v>
      </c>
      <c r="R32" s="2" t="inlineStr">
        <is>
          <t>Sienamusseron
Bitter taggsvamp
Fläckfingersvamp
Granrotspindling
Violettfläckig spindling
Duvhök
Odörspindling
Spillkråka
Anisspindling
Blomkålssvamp
Blå slemspindling
Olivspindling
Tjockfotad fingersvamp</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44928-2022</t>
        </is>
      </c>
      <c r="B33" s="1" t="n">
        <v>44841</v>
      </c>
      <c r="C33" s="1" t="n">
        <v>46120</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46120</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46120</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46120</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61664-2023</t>
        </is>
      </c>
      <c r="B37" s="1" t="n">
        <v>45265</v>
      </c>
      <c r="C37" s="1" t="n">
        <v>46120</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46120</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63872-2021</t>
        </is>
      </c>
      <c r="B39" s="1" t="n">
        <v>44509</v>
      </c>
      <c r="C39" s="1" t="n">
        <v>46120</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46120</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37037-2021</t>
        </is>
      </c>
      <c r="B41" s="1" t="n">
        <v>44393.84688657407</v>
      </c>
      <c r="C41" s="1" t="n">
        <v>46120</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46120</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52223-2025</t>
        </is>
      </c>
      <c r="B43" s="1" t="n">
        <v>45953.44509259259</v>
      </c>
      <c r="C43" s="1" t="n">
        <v>46120</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11176-2024</t>
        </is>
      </c>
      <c r="B44" s="1" t="n">
        <v>45371</v>
      </c>
      <c r="C44" s="1" t="n">
        <v>46120</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43201-2023</t>
        </is>
      </c>
      <c r="B45" s="1" t="n">
        <v>45183</v>
      </c>
      <c r="C45" s="1" t="n">
        <v>46120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14354-2024</t>
        </is>
      </c>
      <c r="B46" s="1" t="n">
        <v>45393</v>
      </c>
      <c r="C46" s="1" t="n">
        <v>46120</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1719-2025</t>
        </is>
      </c>
      <c r="B47" s="1" t="n">
        <v>45671</v>
      </c>
      <c r="C47" s="1" t="n">
        <v>46120</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45248-2024</t>
        </is>
      </c>
      <c r="B48" s="1" t="n">
        <v>45576</v>
      </c>
      <c r="C48" s="1" t="n">
        <v>46120</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17766-2024</t>
        </is>
      </c>
      <c r="B49" s="1" t="n">
        <v>45418</v>
      </c>
      <c r="C49" s="1" t="n">
        <v>46120</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46120</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584-2023</t>
        </is>
      </c>
      <c r="B51" s="1" t="n">
        <v>44930</v>
      </c>
      <c r="C51" s="1" t="n">
        <v>46120</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46120</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46120</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46120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46120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46120</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46120</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46120</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46120</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46120</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46120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46120</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46120</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46120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46120</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46120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46120</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46120</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46120</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57773-2025</t>
        </is>
      </c>
      <c r="B70" s="1" t="n">
        <v>45981.56349537037</v>
      </c>
      <c r="C70" s="1" t="n">
        <v>46120</v>
      </c>
      <c r="D70" t="inlineStr">
        <is>
          <t>GOTLANDS LÄN</t>
        </is>
      </c>
      <c r="E70" t="inlineStr">
        <is>
          <t>GOTLAND</t>
        </is>
      </c>
      <c r="G70" t="n">
        <v>4.4</v>
      </c>
      <c r="H70" t="n">
        <v>0</v>
      </c>
      <c r="I70" t="n">
        <v>4</v>
      </c>
      <c r="J70" t="n">
        <v>0</v>
      </c>
      <c r="K70" t="n">
        <v>2</v>
      </c>
      <c r="L70" t="n">
        <v>0</v>
      </c>
      <c r="M70" t="n">
        <v>0</v>
      </c>
      <c r="N70" t="n">
        <v>0</v>
      </c>
      <c r="O70" t="n">
        <v>2</v>
      </c>
      <c r="P70" t="n">
        <v>2</v>
      </c>
      <c r="Q70" t="n">
        <v>6</v>
      </c>
      <c r="R70" s="2" t="inlineStr">
        <is>
          <t>Duvspindling
Mörkfjällig olivspindling
Besk kastanjemusseron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446-2023</t>
        </is>
      </c>
      <c r="B71" s="1" t="n">
        <v>44929</v>
      </c>
      <c r="C71" s="1" t="n">
        <v>46120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46120</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46120</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16823-2024</t>
        </is>
      </c>
      <c r="B74" s="1" t="n">
        <v>45411</v>
      </c>
      <c r="C74" s="1" t="n">
        <v>46120</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54527-2023</t>
        </is>
      </c>
      <c r="B75" s="1" t="n">
        <v>45233</v>
      </c>
      <c r="C75" s="1" t="n">
        <v>46120</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7038-2023</t>
        </is>
      </c>
      <c r="B76" s="1" t="n">
        <v>44968</v>
      </c>
      <c r="C76" s="1" t="n">
        <v>46120</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46120</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46120</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46120</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46120</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52245-2025</t>
        </is>
      </c>
      <c r="B81" s="1" t="n">
        <v>45953.47115740741</v>
      </c>
      <c r="C81" s="1" t="n">
        <v>46120</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46120</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10274-2026</t>
        </is>
      </c>
      <c r="B83" s="1" t="n">
        <v>46076.58261574074</v>
      </c>
      <c r="C83" s="1" t="n">
        <v>46120</v>
      </c>
      <c r="D83" t="inlineStr">
        <is>
          <t>GOTLANDS LÄN</t>
        </is>
      </c>
      <c r="E83" t="inlineStr">
        <is>
          <t>GOTLAND</t>
        </is>
      </c>
      <c r="G83" t="n">
        <v>9.800000000000001</v>
      </c>
      <c r="H83" t="n">
        <v>2</v>
      </c>
      <c r="I83" t="n">
        <v>2</v>
      </c>
      <c r="J83" t="n">
        <v>1</v>
      </c>
      <c r="K83" t="n">
        <v>1</v>
      </c>
      <c r="L83" t="n">
        <v>0</v>
      </c>
      <c r="M83" t="n">
        <v>0</v>
      </c>
      <c r="N83" t="n">
        <v>0</v>
      </c>
      <c r="O83" t="n">
        <v>2</v>
      </c>
      <c r="P83" t="n">
        <v>1</v>
      </c>
      <c r="Q83" t="n">
        <v>5</v>
      </c>
      <c r="R83" s="2" t="inlineStr">
        <is>
          <t>Gråfingerört
Spillkråka
Axag
Grönpyrola
Alvarstånds</t>
        </is>
      </c>
      <c r="S83">
        <f>HYPERLINK("https://klasma.github.io/Logging_0980/artfynd/A 10274-2026 artfynd.xlsx", "A 10274-2026")</f>
        <v/>
      </c>
      <c r="T83">
        <f>HYPERLINK("https://klasma.github.io/Logging_0980/kartor/A 10274-2026 karta.png", "A 10274-2026")</f>
        <v/>
      </c>
      <c r="V83">
        <f>HYPERLINK("https://klasma.github.io/Logging_0980/klagomål/A 10274-2026 FSC-klagomål.docx", "A 10274-2026")</f>
        <v/>
      </c>
      <c r="W83">
        <f>HYPERLINK("https://klasma.github.io/Logging_0980/klagomålsmail/A 10274-2026 FSC-klagomål mail.docx", "A 10274-2026")</f>
        <v/>
      </c>
      <c r="X83">
        <f>HYPERLINK("https://klasma.github.io/Logging_0980/tillsyn/A 10274-2026 tillsynsbegäran.docx", "A 10274-2026")</f>
        <v/>
      </c>
      <c r="Y83">
        <f>HYPERLINK("https://klasma.github.io/Logging_0980/tillsynsmail/A 10274-2026 tillsynsbegäran mail.docx", "A 10274-2026")</f>
        <v/>
      </c>
      <c r="Z83">
        <f>HYPERLINK("https://klasma.github.io/Logging_0980/fåglar/A 10274-2026 prioriterade fågelarter.docx", "A 10274-2026")</f>
        <v/>
      </c>
    </row>
    <row r="84" ht="15" customHeight="1">
      <c r="A84" t="inlineStr">
        <is>
          <t>A 39425-2023</t>
        </is>
      </c>
      <c r="B84" s="1" t="n">
        <v>45166</v>
      </c>
      <c r="C84" s="1" t="n">
        <v>46120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35293-2025</t>
        </is>
      </c>
      <c r="B85" s="1" t="n">
        <v>45854.39438657407</v>
      </c>
      <c r="C85" s="1" t="n">
        <v>46120</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2213-2023</t>
        </is>
      </c>
      <c r="B86" s="1" t="n">
        <v>44942</v>
      </c>
      <c r="C86" s="1" t="n">
        <v>46120</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46120</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46120</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46120</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57463-2025</t>
        </is>
      </c>
      <c r="B90" s="1" t="n">
        <v>45980.54174768519</v>
      </c>
      <c r="C90" s="1" t="n">
        <v>46120</v>
      </c>
      <c r="D90" t="inlineStr">
        <is>
          <t>GOTLANDS LÄN</t>
        </is>
      </c>
      <c r="E90" t="inlineStr">
        <is>
          <t>GOTLAND</t>
        </is>
      </c>
      <c r="G90" t="n">
        <v>3.8</v>
      </c>
      <c r="H90" t="n">
        <v>0</v>
      </c>
      <c r="I90" t="n">
        <v>1</v>
      </c>
      <c r="J90" t="n">
        <v>1</v>
      </c>
      <c r="K90" t="n">
        <v>2</v>
      </c>
      <c r="L90" t="n">
        <v>0</v>
      </c>
      <c r="M90" t="n">
        <v>0</v>
      </c>
      <c r="N90" t="n">
        <v>0</v>
      </c>
      <c r="O90" t="n">
        <v>3</v>
      </c>
      <c r="P90" t="n">
        <v>2</v>
      </c>
      <c r="Q90" t="n">
        <v>4</v>
      </c>
      <c r="R90" s="2" t="inlineStr">
        <is>
          <t>Gulsträngad fagerspindling
Tvillingspindling
Odörspindling
Blå slemspindling</t>
        </is>
      </c>
      <c r="S90">
        <f>HYPERLINK("https://klasma.github.io/Logging_0980/artfynd/A 57463-2025 artfynd.xlsx", "A 57463-2025")</f>
        <v/>
      </c>
      <c r="T90">
        <f>HYPERLINK("https://klasma.github.io/Logging_0980/kartor/A 57463-2025 karta.png", "A 57463-2025")</f>
        <v/>
      </c>
      <c r="V90">
        <f>HYPERLINK("https://klasma.github.io/Logging_0980/klagomål/A 57463-2025 FSC-klagomål.docx", "A 57463-2025")</f>
        <v/>
      </c>
      <c r="W90">
        <f>HYPERLINK("https://klasma.github.io/Logging_0980/klagomålsmail/A 57463-2025 FSC-klagomål mail.docx", "A 57463-2025")</f>
        <v/>
      </c>
      <c r="X90">
        <f>HYPERLINK("https://klasma.github.io/Logging_0980/tillsyn/A 57463-2025 tillsynsbegäran.docx", "A 57463-2025")</f>
        <v/>
      </c>
      <c r="Y90">
        <f>HYPERLINK("https://klasma.github.io/Logging_0980/tillsynsmail/A 57463-2025 tillsynsbegäran mail.docx", "A 57463-2025")</f>
        <v/>
      </c>
    </row>
    <row r="91" ht="15" customHeight="1">
      <c r="A91" t="inlineStr">
        <is>
          <t>A 43197-2023</t>
        </is>
      </c>
      <c r="B91" s="1" t="n">
        <v>45183</v>
      </c>
      <c r="C91" s="1" t="n">
        <v>46120</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5904-2024</t>
        </is>
      </c>
      <c r="B92" s="1" t="n">
        <v>45335</v>
      </c>
      <c r="C92" s="1" t="n">
        <v>46120</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52250-2025</t>
        </is>
      </c>
      <c r="B93" s="1" t="n">
        <v>45953.48998842593</v>
      </c>
      <c r="C93" s="1" t="n">
        <v>46120</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1971-2023</t>
        </is>
      </c>
      <c r="B94" s="1" t="n">
        <v>44939</v>
      </c>
      <c r="C94" s="1" t="n">
        <v>46120</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40099-2025</t>
        </is>
      </c>
      <c r="B95" s="1" t="n">
        <v>45894.48462962963</v>
      </c>
      <c r="C95" s="1" t="n">
        <v>46120</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13203-2026</t>
        </is>
      </c>
      <c r="B96" s="1" t="n">
        <v>46093</v>
      </c>
      <c r="C96" s="1" t="n">
        <v>46120</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6836-2026</t>
        </is>
      </c>
      <c r="B97" s="1" t="n">
        <v>46057.40902777778</v>
      </c>
      <c r="C97" s="1" t="n">
        <v>46120</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54523-2023</t>
        </is>
      </c>
      <c r="B98" s="1" t="n">
        <v>45233</v>
      </c>
      <c r="C98" s="1" t="n">
        <v>46120</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44933-2022</t>
        </is>
      </c>
      <c r="B99" s="1" t="n">
        <v>44841</v>
      </c>
      <c r="C99" s="1" t="n">
        <v>46120</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2485-2025</t>
        </is>
      </c>
      <c r="B100" s="1" t="n">
        <v>45673</v>
      </c>
      <c r="C100" s="1" t="n">
        <v>46120</v>
      </c>
      <c r="D100" t="inlineStr">
        <is>
          <t>GOTLANDS LÄN</t>
        </is>
      </c>
      <c r="E100" t="inlineStr">
        <is>
          <t>GOTLAND</t>
        </is>
      </c>
      <c r="G100" t="n">
        <v>5</v>
      </c>
      <c r="H100" t="n">
        <v>2</v>
      </c>
      <c r="I100" t="n">
        <v>2</v>
      </c>
      <c r="J100" t="n">
        <v>0</v>
      </c>
      <c r="K100" t="n">
        <v>2</v>
      </c>
      <c r="L100" t="n">
        <v>0</v>
      </c>
      <c r="M100" t="n">
        <v>0</v>
      </c>
      <c r="N100" t="n">
        <v>0</v>
      </c>
      <c r="O100" t="n">
        <v>2</v>
      </c>
      <c r="P100" t="n">
        <v>2</v>
      </c>
      <c r="Q100" t="n">
        <v>4</v>
      </c>
      <c r="R100" s="2" t="inlineStr">
        <is>
          <t>Gotlandsmåra
Skogskorn
Nästrot
Skogsknipprot</t>
        </is>
      </c>
      <c r="S100">
        <f>HYPERLINK("https://klasma.github.io/Logging_0980/artfynd/A 2485-2025 artfynd.xlsx", "A 2485-2025")</f>
        <v/>
      </c>
      <c r="T100">
        <f>HYPERLINK("https://klasma.github.io/Logging_0980/kartor/A 2485-2025 karta.png", "A 2485-2025")</f>
        <v/>
      </c>
      <c r="V100">
        <f>HYPERLINK("https://klasma.github.io/Logging_0980/klagomål/A 2485-2025 FSC-klagomål.docx", "A 2485-2025")</f>
        <v/>
      </c>
      <c r="W100">
        <f>HYPERLINK("https://klasma.github.io/Logging_0980/klagomålsmail/A 2485-2025 FSC-klagomål mail.docx", "A 2485-2025")</f>
        <v/>
      </c>
      <c r="X100">
        <f>HYPERLINK("https://klasma.github.io/Logging_0980/tillsyn/A 2485-2025 tillsynsbegäran.docx", "A 2485-2025")</f>
        <v/>
      </c>
      <c r="Y100">
        <f>HYPERLINK("https://klasma.github.io/Logging_0980/tillsynsmail/A 2485-2025 tillsynsbegäran mail.docx", "A 2485-2025")</f>
        <v/>
      </c>
    </row>
    <row r="101" ht="15" customHeight="1">
      <c r="A101" t="inlineStr">
        <is>
          <t>A 20833-2024</t>
        </is>
      </c>
      <c r="B101" s="1" t="n">
        <v>45439</v>
      </c>
      <c r="C101" s="1" t="n">
        <v>46120</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8265-2023</t>
        </is>
      </c>
      <c r="B102" s="1" t="n">
        <v>44974</v>
      </c>
      <c r="C102" s="1" t="n">
        <v>46120</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46120</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46120</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46120</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46120</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46120</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48126-2022</t>
        </is>
      </c>
      <c r="B108" s="1" t="n">
        <v>44857</v>
      </c>
      <c r="C108" s="1" t="n">
        <v>46120</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1520-2026</t>
        </is>
      </c>
      <c r="B109" s="1" t="n">
        <v>46034.35891203704</v>
      </c>
      <c r="C109" s="1" t="n">
        <v>46120</v>
      </c>
      <c r="D109" t="inlineStr">
        <is>
          <t>GOTLANDS LÄN</t>
        </is>
      </c>
      <c r="E109" t="inlineStr">
        <is>
          <t>GOTLAND</t>
        </is>
      </c>
      <c r="G109" t="n">
        <v>7.4</v>
      </c>
      <c r="H109" t="n">
        <v>0</v>
      </c>
      <c r="I109" t="n">
        <v>1</v>
      </c>
      <c r="J109" t="n">
        <v>0</v>
      </c>
      <c r="K109" t="n">
        <v>2</v>
      </c>
      <c r="L109" t="n">
        <v>0</v>
      </c>
      <c r="M109" t="n">
        <v>0</v>
      </c>
      <c r="N109" t="n">
        <v>0</v>
      </c>
      <c r="O109" t="n">
        <v>2</v>
      </c>
      <c r="P109" t="n">
        <v>2</v>
      </c>
      <c r="Q109" t="n">
        <v>3</v>
      </c>
      <c r="R109" s="2" t="inlineStr">
        <is>
          <t>Granrotspindling
Gulsträngad fagerspindling
Brandmusseron</t>
        </is>
      </c>
      <c r="S109">
        <f>HYPERLINK("https://klasma.github.io/Logging_0980/artfynd/A 1520-2026 artfynd.xlsx", "A 1520-2026")</f>
        <v/>
      </c>
      <c r="T109">
        <f>HYPERLINK("https://klasma.github.io/Logging_0980/kartor/A 1520-2026 karta.png", "A 1520-2026")</f>
        <v/>
      </c>
      <c r="V109">
        <f>HYPERLINK("https://klasma.github.io/Logging_0980/klagomål/A 1520-2026 FSC-klagomål.docx", "A 1520-2026")</f>
        <v/>
      </c>
      <c r="W109">
        <f>HYPERLINK("https://klasma.github.io/Logging_0980/klagomålsmail/A 1520-2026 FSC-klagomål mail.docx", "A 1520-2026")</f>
        <v/>
      </c>
      <c r="X109">
        <f>HYPERLINK("https://klasma.github.io/Logging_0980/tillsyn/A 1520-2026 tillsynsbegäran.docx", "A 1520-2026")</f>
        <v/>
      </c>
      <c r="Y109">
        <f>HYPERLINK("https://klasma.github.io/Logging_0980/tillsynsmail/A 1520-2026 tillsynsbegäran mail.docx", "A 1520-2026")</f>
        <v/>
      </c>
    </row>
    <row r="110" ht="15" customHeight="1">
      <c r="A110" t="inlineStr">
        <is>
          <t>A 55334-2024</t>
        </is>
      </c>
      <c r="B110" s="1" t="n">
        <v>45621</v>
      </c>
      <c r="C110" s="1" t="n">
        <v>46120</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49709-2025</t>
        </is>
      </c>
      <c r="B111" s="1" t="n">
        <v>45939.68228009259</v>
      </c>
      <c r="C111" s="1" t="n">
        <v>46120</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46120</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46120</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46120</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30490-2025</t>
        </is>
      </c>
      <c r="B115" s="1" t="n">
        <v>45830</v>
      </c>
      <c r="C115" s="1" t="n">
        <v>46120</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17982-2023</t>
        </is>
      </c>
      <c r="B116" s="1" t="n">
        <v>45040</v>
      </c>
      <c r="C116" s="1" t="n">
        <v>46120</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46120</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46120</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20831-2024</t>
        </is>
      </c>
      <c r="B119" s="1" t="n">
        <v>45439</v>
      </c>
      <c r="C119" s="1" t="n">
        <v>46120</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12315-2024</t>
        </is>
      </c>
      <c r="B120" s="1" t="n">
        <v>45378.6434837963</v>
      </c>
      <c r="C120" s="1" t="n">
        <v>46120</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46120</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46120</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46120</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46120</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46120</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26077-2024</t>
        </is>
      </c>
      <c r="B126" s="1" t="n">
        <v>45467</v>
      </c>
      <c r="C126" s="1" t="n">
        <v>46120</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20429-2025</t>
        </is>
      </c>
      <c r="B127" s="1" t="n">
        <v>45775.47728009259</v>
      </c>
      <c r="C127" s="1" t="n">
        <v>46120</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62760-2025</t>
        </is>
      </c>
      <c r="B128" s="1" t="n">
        <v>46008</v>
      </c>
      <c r="C128" s="1" t="n">
        <v>46120</v>
      </c>
      <c r="D128" t="inlineStr">
        <is>
          <t>GOTLANDS LÄN</t>
        </is>
      </c>
      <c r="E128" t="inlineStr">
        <is>
          <t>GOTLAND</t>
        </is>
      </c>
      <c r="F128" t="inlineStr">
        <is>
          <t>Övriga Aktiebolag</t>
        </is>
      </c>
      <c r="G128" t="n">
        <v>4.6</v>
      </c>
      <c r="H128" t="n">
        <v>1</v>
      </c>
      <c r="I128" t="n">
        <v>2</v>
      </c>
      <c r="J128" t="n">
        <v>0</v>
      </c>
      <c r="K128" t="n">
        <v>0</v>
      </c>
      <c r="L128" t="n">
        <v>0</v>
      </c>
      <c r="M128" t="n">
        <v>0</v>
      </c>
      <c r="N128" t="n">
        <v>0</v>
      </c>
      <c r="O128" t="n">
        <v>0</v>
      </c>
      <c r="P128" t="n">
        <v>0</v>
      </c>
      <c r="Q128" t="n">
        <v>2</v>
      </c>
      <c r="R128" s="2" t="inlineStr">
        <is>
          <t>Nästrot
Vårärt</t>
        </is>
      </c>
      <c r="S128">
        <f>HYPERLINK("https://klasma.github.io/Logging_0980/artfynd/A 62760-2025 artfynd.xlsx", "A 62760-2025")</f>
        <v/>
      </c>
      <c r="T128">
        <f>HYPERLINK("https://klasma.github.io/Logging_0980/kartor/A 62760-2025 karta.png", "A 62760-2025")</f>
        <v/>
      </c>
      <c r="V128">
        <f>HYPERLINK("https://klasma.github.io/Logging_0980/klagomål/A 62760-2025 FSC-klagomål.docx", "A 62760-2025")</f>
        <v/>
      </c>
      <c r="W128">
        <f>HYPERLINK("https://klasma.github.io/Logging_0980/klagomålsmail/A 62760-2025 FSC-klagomål mail.docx", "A 62760-2025")</f>
        <v/>
      </c>
      <c r="X128">
        <f>HYPERLINK("https://klasma.github.io/Logging_0980/tillsyn/A 62760-2025 tillsynsbegäran.docx", "A 62760-2025")</f>
        <v/>
      </c>
      <c r="Y128">
        <f>HYPERLINK("https://klasma.github.io/Logging_0980/tillsynsmail/A 62760-2025 tillsynsbegäran mail.docx", "A 62760-2025")</f>
        <v/>
      </c>
    </row>
    <row r="129" ht="15" customHeight="1">
      <c r="A129" t="inlineStr">
        <is>
          <t>A 63162-2025</t>
        </is>
      </c>
      <c r="B129" s="1" t="n">
        <v>46010.37629629629</v>
      </c>
      <c r="C129" s="1" t="n">
        <v>46120</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16997-2026</t>
        </is>
      </c>
      <c r="B130" s="1" t="n">
        <v>46114.42539351852</v>
      </c>
      <c r="C130" s="1" t="n">
        <v>46120</v>
      </c>
      <c r="D130" t="inlineStr">
        <is>
          <t>GOTLANDS LÄN</t>
        </is>
      </c>
      <c r="E130" t="inlineStr">
        <is>
          <t>GOTLAND</t>
        </is>
      </c>
      <c r="G130" t="n">
        <v>0.7</v>
      </c>
      <c r="H130" t="n">
        <v>0</v>
      </c>
      <c r="I130" t="n">
        <v>1</v>
      </c>
      <c r="J130" t="n">
        <v>0</v>
      </c>
      <c r="K130" t="n">
        <v>0</v>
      </c>
      <c r="L130" t="n">
        <v>1</v>
      </c>
      <c r="M130" t="n">
        <v>0</v>
      </c>
      <c r="N130" t="n">
        <v>0</v>
      </c>
      <c r="O130" t="n">
        <v>1</v>
      </c>
      <c r="P130" t="n">
        <v>1</v>
      </c>
      <c r="Q130" t="n">
        <v>2</v>
      </c>
      <c r="R130" s="2" t="inlineStr">
        <is>
          <t>Ask
Hasselticka</t>
        </is>
      </c>
      <c r="S130">
        <f>HYPERLINK("https://klasma.github.io/Logging_0980/artfynd/A 16997-2026 artfynd.xlsx", "A 16997-2026")</f>
        <v/>
      </c>
      <c r="T130">
        <f>HYPERLINK("https://klasma.github.io/Logging_0980/kartor/A 16997-2026 karta.png", "A 16997-2026")</f>
        <v/>
      </c>
      <c r="V130">
        <f>HYPERLINK("https://klasma.github.io/Logging_0980/klagomål/A 16997-2026 FSC-klagomål.docx", "A 16997-2026")</f>
        <v/>
      </c>
      <c r="W130">
        <f>HYPERLINK("https://klasma.github.io/Logging_0980/klagomålsmail/A 16997-2026 FSC-klagomål mail.docx", "A 16997-2026")</f>
        <v/>
      </c>
      <c r="X130">
        <f>HYPERLINK("https://klasma.github.io/Logging_0980/tillsyn/A 16997-2026 tillsynsbegäran.docx", "A 16997-2026")</f>
        <v/>
      </c>
      <c r="Y130">
        <f>HYPERLINK("https://klasma.github.io/Logging_0980/tillsynsmail/A 16997-2026 tillsynsbegäran mail.docx", "A 16997-2026")</f>
        <v/>
      </c>
    </row>
    <row r="131" ht="15" customHeight="1">
      <c r="A131" t="inlineStr">
        <is>
          <t>A 20838-2024</t>
        </is>
      </c>
      <c r="B131" s="1" t="n">
        <v>45439</v>
      </c>
      <c r="C131" s="1" t="n">
        <v>46120</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54357-2024</t>
        </is>
      </c>
      <c r="B132" s="1" t="n">
        <v>45617.40662037037</v>
      </c>
      <c r="C132" s="1" t="n">
        <v>46120</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46120</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46120</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46120</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46120</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46120</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46120</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46120</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46120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46120</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46120</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17723-2021</t>
        </is>
      </c>
      <c r="B143" s="1" t="n">
        <v>44300</v>
      </c>
      <c r="C143" s="1" t="n">
        <v>46120</v>
      </c>
      <c r="D143" t="inlineStr">
        <is>
          <t>GOTLANDS LÄN</t>
        </is>
      </c>
      <c r="E143" t="inlineStr">
        <is>
          <t>GOTLAND</t>
        </is>
      </c>
      <c r="G143" t="n">
        <v>1.5</v>
      </c>
      <c r="H143" t="n">
        <v>1</v>
      </c>
      <c r="I143" t="n">
        <v>1</v>
      </c>
      <c r="J143" t="n">
        <v>0</v>
      </c>
      <c r="K143" t="n">
        <v>0</v>
      </c>
      <c r="L143" t="n">
        <v>0</v>
      </c>
      <c r="M143" t="n">
        <v>0</v>
      </c>
      <c r="N143" t="n">
        <v>0</v>
      </c>
      <c r="O143" t="n">
        <v>0</v>
      </c>
      <c r="P143" t="n">
        <v>0</v>
      </c>
      <c r="Q143" t="n">
        <v>1</v>
      </c>
      <c r="R143" s="2" t="inlineStr">
        <is>
          <t>Vit skogslilja</t>
        </is>
      </c>
      <c r="S143">
        <f>HYPERLINK("https://klasma.github.io/Logging_0980/artfynd/A 17723-2021 artfynd.xlsx", "A 17723-2021")</f>
        <v/>
      </c>
      <c r="T143">
        <f>HYPERLINK("https://klasma.github.io/Logging_0980/kartor/A 17723-2021 karta.png", "A 17723-2021")</f>
        <v/>
      </c>
      <c r="V143">
        <f>HYPERLINK("https://klasma.github.io/Logging_0980/klagomål/A 17723-2021 FSC-klagomål.docx", "A 17723-2021")</f>
        <v/>
      </c>
      <c r="W143">
        <f>HYPERLINK("https://klasma.github.io/Logging_0980/klagomålsmail/A 17723-2021 FSC-klagomål mail.docx", "A 17723-2021")</f>
        <v/>
      </c>
      <c r="X143">
        <f>HYPERLINK("https://klasma.github.io/Logging_0980/tillsyn/A 17723-2021 tillsynsbegäran.docx", "A 17723-2021")</f>
        <v/>
      </c>
      <c r="Y143">
        <f>HYPERLINK("https://klasma.github.io/Logging_0980/tillsynsmail/A 17723-2021 tillsynsbegäran mail.docx", "A 17723-2021")</f>
        <v/>
      </c>
    </row>
    <row r="144" ht="15" customHeight="1">
      <c r="A144" t="inlineStr">
        <is>
          <t>A 44304-2021</t>
        </is>
      </c>
      <c r="B144" s="1" t="n">
        <v>44434</v>
      </c>
      <c r="C144" s="1" t="n">
        <v>46120</v>
      </c>
      <c r="D144" t="inlineStr">
        <is>
          <t>GOTLANDS LÄN</t>
        </is>
      </c>
      <c r="E144" t="inlineStr">
        <is>
          <t>GOTLAND</t>
        </is>
      </c>
      <c r="G144" t="n">
        <v>5.8</v>
      </c>
      <c r="H144" t="n">
        <v>0</v>
      </c>
      <c r="I144" t="n">
        <v>0</v>
      </c>
      <c r="J144" t="n">
        <v>1</v>
      </c>
      <c r="K144" t="n">
        <v>0</v>
      </c>
      <c r="L144" t="n">
        <v>0</v>
      </c>
      <c r="M144" t="n">
        <v>0</v>
      </c>
      <c r="N144" t="n">
        <v>0</v>
      </c>
      <c r="O144" t="n">
        <v>1</v>
      </c>
      <c r="P144" t="n">
        <v>0</v>
      </c>
      <c r="Q144" t="n">
        <v>1</v>
      </c>
      <c r="R144" s="2" t="inlineStr">
        <is>
          <t>Svinrot</t>
        </is>
      </c>
      <c r="S144">
        <f>HYPERLINK("https://klasma.github.io/Logging_0980/artfynd/A 44304-2021 artfynd.xlsx", "A 44304-2021")</f>
        <v/>
      </c>
      <c r="T144">
        <f>HYPERLINK("https://klasma.github.io/Logging_0980/kartor/A 44304-2021 karta.png", "A 44304-2021")</f>
        <v/>
      </c>
      <c r="V144">
        <f>HYPERLINK("https://klasma.github.io/Logging_0980/klagomål/A 44304-2021 FSC-klagomål.docx", "A 44304-2021")</f>
        <v/>
      </c>
      <c r="W144">
        <f>HYPERLINK("https://klasma.github.io/Logging_0980/klagomålsmail/A 44304-2021 FSC-klagomål mail.docx", "A 44304-2021")</f>
        <v/>
      </c>
      <c r="X144">
        <f>HYPERLINK("https://klasma.github.io/Logging_0980/tillsyn/A 44304-2021 tillsynsbegäran.docx", "A 44304-2021")</f>
        <v/>
      </c>
      <c r="Y144">
        <f>HYPERLINK("https://klasma.github.io/Logging_0980/tillsynsmail/A 44304-2021 tillsynsbegäran mail.docx", "A 44304-2021")</f>
        <v/>
      </c>
    </row>
    <row r="145" ht="15" customHeight="1">
      <c r="A145" t="inlineStr">
        <is>
          <t>A 25977-2024</t>
        </is>
      </c>
      <c r="B145" s="1" t="n">
        <v>45467.69356481481</v>
      </c>
      <c r="C145" s="1" t="n">
        <v>46120</v>
      </c>
      <c r="D145" t="inlineStr">
        <is>
          <t>GOTLANDS LÄN</t>
        </is>
      </c>
      <c r="E145" t="inlineStr">
        <is>
          <t>GOTLAND</t>
        </is>
      </c>
      <c r="G145" t="n">
        <v>3</v>
      </c>
      <c r="H145" t="n">
        <v>1</v>
      </c>
      <c r="I145" t="n">
        <v>0</v>
      </c>
      <c r="J145" t="n">
        <v>0</v>
      </c>
      <c r="K145" t="n">
        <v>0</v>
      </c>
      <c r="L145" t="n">
        <v>0</v>
      </c>
      <c r="M145" t="n">
        <v>0</v>
      </c>
      <c r="N145" t="n">
        <v>0</v>
      </c>
      <c r="O145" t="n">
        <v>0</v>
      </c>
      <c r="P145" t="n">
        <v>0</v>
      </c>
      <c r="Q145" t="n">
        <v>1</v>
      </c>
      <c r="R145" s="2" t="inlineStr">
        <is>
          <t>Nattviol</t>
        </is>
      </c>
      <c r="S145">
        <f>HYPERLINK("https://klasma.github.io/Logging_0980/artfynd/A 25977-2024 artfynd.xlsx", "A 25977-2024")</f>
        <v/>
      </c>
      <c r="T145">
        <f>HYPERLINK("https://klasma.github.io/Logging_0980/kartor/A 25977-2024 karta.png", "A 25977-2024")</f>
        <v/>
      </c>
      <c r="V145">
        <f>HYPERLINK("https://klasma.github.io/Logging_0980/klagomål/A 25977-2024 FSC-klagomål.docx", "A 25977-2024")</f>
        <v/>
      </c>
      <c r="W145">
        <f>HYPERLINK("https://klasma.github.io/Logging_0980/klagomålsmail/A 25977-2024 FSC-klagomål mail.docx", "A 25977-2024")</f>
        <v/>
      </c>
      <c r="X145">
        <f>HYPERLINK("https://klasma.github.io/Logging_0980/tillsyn/A 25977-2024 tillsynsbegäran.docx", "A 25977-2024")</f>
        <v/>
      </c>
      <c r="Y145">
        <f>HYPERLINK("https://klasma.github.io/Logging_0980/tillsynsmail/A 25977-2024 tillsynsbegäran mail.docx", "A 25977-2024")</f>
        <v/>
      </c>
    </row>
    <row r="146" ht="15" customHeight="1">
      <c r="A146" t="inlineStr">
        <is>
          <t>A 65927-2021</t>
        </is>
      </c>
      <c r="B146" s="1" t="n">
        <v>44516</v>
      </c>
      <c r="C146" s="1" t="n">
        <v>46120</v>
      </c>
      <c r="D146" t="inlineStr">
        <is>
          <t>GOTLANDS LÄN</t>
        </is>
      </c>
      <c r="E146" t="inlineStr">
        <is>
          <t>GOTLAND</t>
        </is>
      </c>
      <c r="G146" t="n">
        <v>3.1</v>
      </c>
      <c r="H146" t="n">
        <v>1</v>
      </c>
      <c r="I146" t="n">
        <v>0</v>
      </c>
      <c r="J146" t="n">
        <v>0</v>
      </c>
      <c r="K146" t="n">
        <v>1</v>
      </c>
      <c r="L146" t="n">
        <v>0</v>
      </c>
      <c r="M146" t="n">
        <v>0</v>
      </c>
      <c r="N146" t="n">
        <v>0</v>
      </c>
      <c r="O146" t="n">
        <v>1</v>
      </c>
      <c r="P146" t="n">
        <v>1</v>
      </c>
      <c r="Q146" t="n">
        <v>1</v>
      </c>
      <c r="R146" s="2" t="inlineStr">
        <is>
          <t>Grenigt kungsljus</t>
        </is>
      </c>
      <c r="S146">
        <f>HYPERLINK("https://klasma.github.io/Logging_0980/artfynd/A 65927-2021 artfynd.xlsx", "A 65927-2021")</f>
        <v/>
      </c>
      <c r="T146">
        <f>HYPERLINK("https://klasma.github.io/Logging_0980/kartor/A 65927-2021 karta.png", "A 65927-2021")</f>
        <v/>
      </c>
      <c r="V146">
        <f>HYPERLINK("https://klasma.github.io/Logging_0980/klagomål/A 65927-2021 FSC-klagomål.docx", "A 65927-2021")</f>
        <v/>
      </c>
      <c r="W146">
        <f>HYPERLINK("https://klasma.github.io/Logging_0980/klagomålsmail/A 65927-2021 FSC-klagomål mail.docx", "A 65927-2021")</f>
        <v/>
      </c>
      <c r="X146">
        <f>HYPERLINK("https://klasma.github.io/Logging_0980/tillsyn/A 65927-2021 tillsynsbegäran.docx", "A 65927-2021")</f>
        <v/>
      </c>
      <c r="Y146">
        <f>HYPERLINK("https://klasma.github.io/Logging_0980/tillsynsmail/A 65927-2021 tillsynsbegäran mail.docx", "A 65927-2021")</f>
        <v/>
      </c>
    </row>
    <row r="147" ht="15" customHeight="1">
      <c r="A147" t="inlineStr">
        <is>
          <t>A 39812-2025</t>
        </is>
      </c>
      <c r="B147" s="1" t="n">
        <v>45891</v>
      </c>
      <c r="C147" s="1" t="n">
        <v>46120</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61796-2022</t>
        </is>
      </c>
      <c r="B148" s="1" t="n">
        <v>44917</v>
      </c>
      <c r="C148" s="1" t="n">
        <v>46120</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11708-2026</t>
        </is>
      </c>
      <c r="B149" s="1" t="n">
        <v>46084</v>
      </c>
      <c r="C149" s="1" t="n">
        <v>46120</v>
      </c>
      <c r="D149" t="inlineStr">
        <is>
          <t>GOTLANDS LÄN</t>
        </is>
      </c>
      <c r="E149" t="inlineStr">
        <is>
          <t>GOTLAND</t>
        </is>
      </c>
      <c r="G149" t="n">
        <v>8.4</v>
      </c>
      <c r="H149" t="n">
        <v>1</v>
      </c>
      <c r="I149" t="n">
        <v>0</v>
      </c>
      <c r="J149" t="n">
        <v>1</v>
      </c>
      <c r="K149" t="n">
        <v>0</v>
      </c>
      <c r="L149" t="n">
        <v>0</v>
      </c>
      <c r="M149" t="n">
        <v>0</v>
      </c>
      <c r="N149" t="n">
        <v>0</v>
      </c>
      <c r="O149" t="n">
        <v>1</v>
      </c>
      <c r="P149" t="n">
        <v>0</v>
      </c>
      <c r="Q149" t="n">
        <v>1</v>
      </c>
      <c r="R149" s="2" t="inlineStr">
        <is>
          <t>Bredarun</t>
        </is>
      </c>
      <c r="S149">
        <f>HYPERLINK("https://klasma.github.io/Logging_0980/artfynd/A 11708-2026 artfynd.xlsx", "A 11708-2026")</f>
        <v/>
      </c>
      <c r="T149">
        <f>HYPERLINK("https://klasma.github.io/Logging_0980/kartor/A 11708-2026 karta.png", "A 11708-2026")</f>
        <v/>
      </c>
      <c r="V149">
        <f>HYPERLINK("https://klasma.github.io/Logging_0980/klagomål/A 11708-2026 FSC-klagomål.docx", "A 11708-2026")</f>
        <v/>
      </c>
      <c r="W149">
        <f>HYPERLINK("https://klasma.github.io/Logging_0980/klagomålsmail/A 11708-2026 FSC-klagomål mail.docx", "A 11708-2026")</f>
        <v/>
      </c>
      <c r="X149">
        <f>HYPERLINK("https://klasma.github.io/Logging_0980/tillsyn/A 11708-2026 tillsynsbegäran.docx", "A 11708-2026")</f>
        <v/>
      </c>
      <c r="Y149">
        <f>HYPERLINK("https://klasma.github.io/Logging_0980/tillsynsmail/A 11708-2026 tillsynsbegäran mail.docx", "A 11708-2026")</f>
        <v/>
      </c>
    </row>
    <row r="150" ht="15" customHeight="1">
      <c r="A150" t="inlineStr">
        <is>
          <t>A 26461-2025</t>
        </is>
      </c>
      <c r="B150" s="1" t="n">
        <v>45807.43337962963</v>
      </c>
      <c r="C150" s="1" t="n">
        <v>46120</v>
      </c>
      <c r="D150" t="inlineStr">
        <is>
          <t>GOTLANDS LÄN</t>
        </is>
      </c>
      <c r="E150" t="inlineStr">
        <is>
          <t>GOTLAND</t>
        </is>
      </c>
      <c r="G150" t="n">
        <v>4.1</v>
      </c>
      <c r="H150" t="n">
        <v>0</v>
      </c>
      <c r="I150" t="n">
        <v>0</v>
      </c>
      <c r="J150" t="n">
        <v>0</v>
      </c>
      <c r="K150" t="n">
        <v>1</v>
      </c>
      <c r="L150" t="n">
        <v>0</v>
      </c>
      <c r="M150" t="n">
        <v>0</v>
      </c>
      <c r="N150" t="n">
        <v>0</v>
      </c>
      <c r="O150" t="n">
        <v>1</v>
      </c>
      <c r="P150" t="n">
        <v>1</v>
      </c>
      <c r="Q150" t="n">
        <v>1</v>
      </c>
      <c r="R150" s="2" t="inlineStr">
        <is>
          <t>Gotlandsmåra</t>
        </is>
      </c>
      <c r="S150">
        <f>HYPERLINK("https://klasma.github.io/Logging_0980/artfynd/A 26461-2025 artfynd.xlsx", "A 26461-2025")</f>
        <v/>
      </c>
      <c r="T150">
        <f>HYPERLINK("https://klasma.github.io/Logging_0980/kartor/A 26461-2025 karta.png", "A 26461-2025")</f>
        <v/>
      </c>
      <c r="V150">
        <f>HYPERLINK("https://klasma.github.io/Logging_0980/klagomål/A 26461-2025 FSC-klagomål.docx", "A 26461-2025")</f>
        <v/>
      </c>
      <c r="W150">
        <f>HYPERLINK("https://klasma.github.io/Logging_0980/klagomålsmail/A 26461-2025 FSC-klagomål mail.docx", "A 26461-2025")</f>
        <v/>
      </c>
      <c r="X150">
        <f>HYPERLINK("https://klasma.github.io/Logging_0980/tillsyn/A 26461-2025 tillsynsbegäran.docx", "A 26461-2025")</f>
        <v/>
      </c>
      <c r="Y150">
        <f>HYPERLINK("https://klasma.github.io/Logging_0980/tillsynsmail/A 26461-2025 tillsynsbegäran mail.docx", "A 26461-2025")</f>
        <v/>
      </c>
    </row>
    <row r="151" ht="15" customHeight="1">
      <c r="A151" t="inlineStr">
        <is>
          <t>A 15637-2024</t>
        </is>
      </c>
      <c r="B151" s="1" t="n">
        <v>45403.6684837963</v>
      </c>
      <c r="C151" s="1" t="n">
        <v>46120</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35467-2021</t>
        </is>
      </c>
      <c r="B152" s="1" t="n">
        <v>44385</v>
      </c>
      <c r="C152" s="1" t="n">
        <v>46120</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13482-2026</t>
        </is>
      </c>
      <c r="B153" s="1" t="n">
        <v>46094</v>
      </c>
      <c r="C153" s="1" t="n">
        <v>46120</v>
      </c>
      <c r="D153" t="inlineStr">
        <is>
          <t>GOTLANDS LÄN</t>
        </is>
      </c>
      <c r="E153" t="inlineStr">
        <is>
          <t>GOTLAND</t>
        </is>
      </c>
      <c r="G153" t="n">
        <v>1.7</v>
      </c>
      <c r="H153" t="n">
        <v>1</v>
      </c>
      <c r="I153" t="n">
        <v>0</v>
      </c>
      <c r="J153" t="n">
        <v>1</v>
      </c>
      <c r="K153" t="n">
        <v>0</v>
      </c>
      <c r="L153" t="n">
        <v>0</v>
      </c>
      <c r="M153" t="n">
        <v>0</v>
      </c>
      <c r="N153" t="n">
        <v>0</v>
      </c>
      <c r="O153" t="n">
        <v>1</v>
      </c>
      <c r="P153" t="n">
        <v>0</v>
      </c>
      <c r="Q153" t="n">
        <v>1</v>
      </c>
      <c r="R153" s="2" t="inlineStr">
        <is>
          <t>Spillkråka</t>
        </is>
      </c>
      <c r="S153">
        <f>HYPERLINK("https://klasma.github.io/Logging_0980/artfynd/A 13482-2026 artfynd.xlsx", "A 13482-2026")</f>
        <v/>
      </c>
      <c r="T153">
        <f>HYPERLINK("https://klasma.github.io/Logging_0980/kartor/A 13482-2026 karta.png", "A 13482-2026")</f>
        <v/>
      </c>
      <c r="V153">
        <f>HYPERLINK("https://klasma.github.io/Logging_0980/klagomål/A 13482-2026 FSC-klagomål.docx", "A 13482-2026")</f>
        <v/>
      </c>
      <c r="W153">
        <f>HYPERLINK("https://klasma.github.io/Logging_0980/klagomålsmail/A 13482-2026 FSC-klagomål mail.docx", "A 13482-2026")</f>
        <v/>
      </c>
      <c r="X153">
        <f>HYPERLINK("https://klasma.github.io/Logging_0980/tillsyn/A 13482-2026 tillsynsbegäran.docx", "A 13482-2026")</f>
        <v/>
      </c>
      <c r="Y153">
        <f>HYPERLINK("https://klasma.github.io/Logging_0980/tillsynsmail/A 13482-2026 tillsynsbegäran mail.docx", "A 13482-2026")</f>
        <v/>
      </c>
      <c r="Z153">
        <f>HYPERLINK("https://klasma.github.io/Logging_0980/fåglar/A 13482-2026 prioriterade fågelarter.docx", "A 13482-2026")</f>
        <v/>
      </c>
    </row>
    <row r="154" ht="15" customHeight="1">
      <c r="A154" t="inlineStr">
        <is>
          <t>A 44619-2025</t>
        </is>
      </c>
      <c r="B154" s="1" t="n">
        <v>45917</v>
      </c>
      <c r="C154" s="1" t="n">
        <v>46120</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2476-2025</t>
        </is>
      </c>
      <c r="B155" s="1" t="n">
        <v>45673</v>
      </c>
      <c r="C155" s="1" t="n">
        <v>46120</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10995-2023</t>
        </is>
      </c>
      <c r="B156" s="1" t="n">
        <v>44986</v>
      </c>
      <c r="C156" s="1" t="n">
        <v>46120</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49726-2025</t>
        </is>
      </c>
      <c r="B157" s="1" t="n">
        <v>45939.84466435185</v>
      </c>
      <c r="C157" s="1" t="n">
        <v>46120</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62552-2022</t>
        </is>
      </c>
      <c r="B158" s="1" t="n">
        <v>44924</v>
      </c>
      <c r="C158" s="1" t="n">
        <v>46120</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46120</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63149-2025</t>
        </is>
      </c>
      <c r="B160" s="1" t="n">
        <v>46010</v>
      </c>
      <c r="C160" s="1" t="n">
        <v>46120</v>
      </c>
      <c r="D160" t="inlineStr">
        <is>
          <t>GOTLANDS LÄN</t>
        </is>
      </c>
      <c r="E160" t="inlineStr">
        <is>
          <t>GOTLAND</t>
        </is>
      </c>
      <c r="G160" t="n">
        <v>4.3</v>
      </c>
      <c r="H160" t="n">
        <v>0</v>
      </c>
      <c r="I160" t="n">
        <v>1</v>
      </c>
      <c r="J160" t="n">
        <v>0</v>
      </c>
      <c r="K160" t="n">
        <v>0</v>
      </c>
      <c r="L160" t="n">
        <v>0</v>
      </c>
      <c r="M160" t="n">
        <v>0</v>
      </c>
      <c r="N160" t="n">
        <v>0</v>
      </c>
      <c r="O160" t="n">
        <v>0</v>
      </c>
      <c r="P160" t="n">
        <v>0</v>
      </c>
      <c r="Q160" t="n">
        <v>1</v>
      </c>
      <c r="R160" s="2" t="inlineStr">
        <is>
          <t>Anisspindling</t>
        </is>
      </c>
      <c r="S160">
        <f>HYPERLINK("https://klasma.github.io/Logging_0980/artfynd/A 63149-2025 artfynd.xlsx", "A 63149-2025")</f>
        <v/>
      </c>
      <c r="T160">
        <f>HYPERLINK("https://klasma.github.io/Logging_0980/kartor/A 63149-2025 karta.png", "A 63149-2025")</f>
        <v/>
      </c>
      <c r="V160">
        <f>HYPERLINK("https://klasma.github.io/Logging_0980/klagomål/A 63149-2025 FSC-klagomål.docx", "A 63149-2025")</f>
        <v/>
      </c>
      <c r="W160">
        <f>HYPERLINK("https://klasma.github.io/Logging_0980/klagomålsmail/A 63149-2025 FSC-klagomål mail.docx", "A 63149-2025")</f>
        <v/>
      </c>
      <c r="X160">
        <f>HYPERLINK("https://klasma.github.io/Logging_0980/tillsyn/A 63149-2025 tillsynsbegäran.docx", "A 63149-2025")</f>
        <v/>
      </c>
      <c r="Y160">
        <f>HYPERLINK("https://klasma.github.io/Logging_0980/tillsynsmail/A 63149-2025 tillsynsbegäran mail.docx", "A 63149-2025")</f>
        <v/>
      </c>
    </row>
    <row r="161" ht="15" customHeight="1">
      <c r="A161" t="inlineStr">
        <is>
          <t>A 10013-2026</t>
        </is>
      </c>
      <c r="B161" s="1" t="n">
        <v>46073</v>
      </c>
      <c r="C161" s="1" t="n">
        <v>46120</v>
      </c>
      <c r="D161" t="inlineStr">
        <is>
          <t>GOTLANDS LÄN</t>
        </is>
      </c>
      <c r="E161" t="inlineStr">
        <is>
          <t>GOTLAND</t>
        </is>
      </c>
      <c r="G161" t="n">
        <v>10.5</v>
      </c>
      <c r="H161" t="n">
        <v>0</v>
      </c>
      <c r="I161" t="n">
        <v>0</v>
      </c>
      <c r="J161" t="n">
        <v>0</v>
      </c>
      <c r="K161" t="n">
        <v>1</v>
      </c>
      <c r="L161" t="n">
        <v>0</v>
      </c>
      <c r="M161" t="n">
        <v>0</v>
      </c>
      <c r="N161" t="n">
        <v>0</v>
      </c>
      <c r="O161" t="n">
        <v>1</v>
      </c>
      <c r="P161" t="n">
        <v>1</v>
      </c>
      <c r="Q161" t="n">
        <v>1</v>
      </c>
      <c r="R161" s="2" t="inlineStr">
        <is>
          <t>Skogskorn</t>
        </is>
      </c>
      <c r="S161">
        <f>HYPERLINK("https://klasma.github.io/Logging_0980/artfynd/A 10013-2026 artfynd.xlsx", "A 10013-2026")</f>
        <v/>
      </c>
      <c r="T161">
        <f>HYPERLINK("https://klasma.github.io/Logging_0980/kartor/A 10013-2026 karta.png", "A 10013-2026")</f>
        <v/>
      </c>
      <c r="V161">
        <f>HYPERLINK("https://klasma.github.io/Logging_0980/klagomål/A 10013-2026 FSC-klagomål.docx", "A 10013-2026")</f>
        <v/>
      </c>
      <c r="W161">
        <f>HYPERLINK("https://klasma.github.io/Logging_0980/klagomålsmail/A 10013-2026 FSC-klagomål mail.docx", "A 10013-2026")</f>
        <v/>
      </c>
      <c r="X161">
        <f>HYPERLINK("https://klasma.github.io/Logging_0980/tillsyn/A 10013-2026 tillsynsbegäran.docx", "A 10013-2026")</f>
        <v/>
      </c>
      <c r="Y161">
        <f>HYPERLINK("https://klasma.github.io/Logging_0980/tillsynsmail/A 10013-2026 tillsynsbegäran mail.docx", "A 10013-2026")</f>
        <v/>
      </c>
    </row>
    <row r="162" ht="15" customHeight="1">
      <c r="A162" t="inlineStr">
        <is>
          <t>A 44308-2021</t>
        </is>
      </c>
      <c r="B162" s="1" t="n">
        <v>44434</v>
      </c>
      <c r="C162" s="1" t="n">
        <v>46120</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447-2023</t>
        </is>
      </c>
      <c r="B163" s="1" t="n">
        <v>44929</v>
      </c>
      <c r="C163" s="1" t="n">
        <v>46120</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947-2023</t>
        </is>
      </c>
      <c r="B164" s="1" t="n">
        <v>44934</v>
      </c>
      <c r="C164" s="1" t="n">
        <v>46120</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49304-2024</t>
        </is>
      </c>
      <c r="B165" s="1" t="n">
        <v>45595.54996527778</v>
      </c>
      <c r="C165" s="1" t="n">
        <v>46120</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63576-2021</t>
        </is>
      </c>
      <c r="B166" s="1" t="n">
        <v>44508</v>
      </c>
      <c r="C166" s="1" t="n">
        <v>46120</v>
      </c>
      <c r="D166" t="inlineStr">
        <is>
          <t>GOTLANDS LÄN</t>
        </is>
      </c>
      <c r="E166" t="inlineStr">
        <is>
          <t>GOTLAND</t>
        </is>
      </c>
      <c r="F166" t="inlineStr">
        <is>
          <t>Kyrkan</t>
        </is>
      </c>
      <c r="G166" t="n">
        <v>4.1</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63576-2021 artfynd.xlsx", "A 63576-2021")</f>
        <v/>
      </c>
      <c r="T166">
        <f>HYPERLINK("https://klasma.github.io/Logging_0980/kartor/A 63576-2021 karta.png", "A 63576-2021")</f>
        <v/>
      </c>
      <c r="V166">
        <f>HYPERLINK("https://klasma.github.io/Logging_0980/klagomål/A 63576-2021 FSC-klagomål.docx", "A 63576-2021")</f>
        <v/>
      </c>
      <c r="W166">
        <f>HYPERLINK("https://klasma.github.io/Logging_0980/klagomålsmail/A 63576-2021 FSC-klagomål mail.docx", "A 63576-2021")</f>
        <v/>
      </c>
      <c r="X166">
        <f>HYPERLINK("https://klasma.github.io/Logging_0980/tillsyn/A 63576-2021 tillsynsbegäran.docx", "A 63576-2021")</f>
        <v/>
      </c>
      <c r="Y166">
        <f>HYPERLINK("https://klasma.github.io/Logging_0980/tillsynsmail/A 63576-2021 tillsynsbegäran mail.docx", "A 63576-2021")</f>
        <v/>
      </c>
    </row>
    <row r="167" ht="15" customHeight="1">
      <c r="A167" t="inlineStr">
        <is>
          <t>A 64700-2021</t>
        </is>
      </c>
      <c r="B167" s="1" t="n">
        <v>44511</v>
      </c>
      <c r="C167" s="1" t="n">
        <v>46120</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27589-2023</t>
        </is>
      </c>
      <c r="B168" s="1" t="n">
        <v>45097</v>
      </c>
      <c r="C168" s="1" t="n">
        <v>46120</v>
      </c>
      <c r="D168" t="inlineStr">
        <is>
          <t>GOTLANDS LÄN</t>
        </is>
      </c>
      <c r="E168" t="inlineStr">
        <is>
          <t>GOTLAND</t>
        </is>
      </c>
      <c r="G168" t="n">
        <v>5.4</v>
      </c>
      <c r="H168" t="n">
        <v>0</v>
      </c>
      <c r="I168" t="n">
        <v>0</v>
      </c>
      <c r="J168" t="n">
        <v>0</v>
      </c>
      <c r="K168" t="n">
        <v>0</v>
      </c>
      <c r="L168" t="n">
        <v>0</v>
      </c>
      <c r="M168" t="n">
        <v>1</v>
      </c>
      <c r="N168" t="n">
        <v>0</v>
      </c>
      <c r="O168" t="n">
        <v>1</v>
      </c>
      <c r="P168" t="n">
        <v>1</v>
      </c>
      <c r="Q168" t="n">
        <v>1</v>
      </c>
      <c r="R168" s="2" t="inlineStr">
        <is>
          <t>Skogsalm</t>
        </is>
      </c>
      <c r="S168">
        <f>HYPERLINK("https://klasma.github.io/Logging_0980/artfynd/A 27589-2023 artfynd.xlsx", "A 27589-2023")</f>
        <v/>
      </c>
      <c r="T168">
        <f>HYPERLINK("https://klasma.github.io/Logging_0980/kartor/A 27589-2023 karta.png", "A 27589-2023")</f>
        <v/>
      </c>
      <c r="V168">
        <f>HYPERLINK("https://klasma.github.io/Logging_0980/klagomål/A 27589-2023 FSC-klagomål.docx", "A 27589-2023")</f>
        <v/>
      </c>
      <c r="W168">
        <f>HYPERLINK("https://klasma.github.io/Logging_0980/klagomålsmail/A 27589-2023 FSC-klagomål mail.docx", "A 27589-2023")</f>
        <v/>
      </c>
      <c r="X168">
        <f>HYPERLINK("https://klasma.github.io/Logging_0980/tillsyn/A 27589-2023 tillsynsbegäran.docx", "A 27589-2023")</f>
        <v/>
      </c>
      <c r="Y168">
        <f>HYPERLINK("https://klasma.github.io/Logging_0980/tillsynsmail/A 27589-2023 tillsynsbegäran mail.docx", "A 27589-2023")</f>
        <v/>
      </c>
    </row>
    <row r="169" ht="15" customHeight="1">
      <c r="A169" t="inlineStr">
        <is>
          <t>A 1477-2024</t>
        </is>
      </c>
      <c r="B169" s="1" t="n">
        <v>45305.37987268518</v>
      </c>
      <c r="C169" s="1" t="n">
        <v>46120</v>
      </c>
      <c r="D169" t="inlineStr">
        <is>
          <t>GOTLANDS LÄN</t>
        </is>
      </c>
      <c r="E169" t="inlineStr">
        <is>
          <t>GOTLAND</t>
        </is>
      </c>
      <c r="G169" t="n">
        <v>6.9</v>
      </c>
      <c r="H169" t="n">
        <v>0</v>
      </c>
      <c r="I169" t="n">
        <v>0</v>
      </c>
      <c r="J169" t="n">
        <v>1</v>
      </c>
      <c r="K169" t="n">
        <v>0</v>
      </c>
      <c r="L169" t="n">
        <v>0</v>
      </c>
      <c r="M169" t="n">
        <v>0</v>
      </c>
      <c r="N169" t="n">
        <v>0</v>
      </c>
      <c r="O169" t="n">
        <v>1</v>
      </c>
      <c r="P169" t="n">
        <v>0</v>
      </c>
      <c r="Q169" t="n">
        <v>1</v>
      </c>
      <c r="R169" s="2" t="inlineStr">
        <is>
          <t>Igelkott</t>
        </is>
      </c>
      <c r="S169">
        <f>HYPERLINK("https://klasma.github.io/Logging_0980/artfynd/A 1477-2024 artfynd.xlsx", "A 1477-2024")</f>
        <v/>
      </c>
      <c r="T169">
        <f>HYPERLINK("https://klasma.github.io/Logging_0980/kartor/A 1477-2024 karta.png", "A 1477-2024")</f>
        <v/>
      </c>
      <c r="V169">
        <f>HYPERLINK("https://klasma.github.io/Logging_0980/klagomål/A 1477-2024 FSC-klagomål.docx", "A 1477-2024")</f>
        <v/>
      </c>
      <c r="W169">
        <f>HYPERLINK("https://klasma.github.io/Logging_0980/klagomålsmail/A 1477-2024 FSC-klagomål mail.docx", "A 1477-2024")</f>
        <v/>
      </c>
      <c r="X169">
        <f>HYPERLINK("https://klasma.github.io/Logging_0980/tillsyn/A 1477-2024 tillsynsbegäran.docx", "A 1477-2024")</f>
        <v/>
      </c>
      <c r="Y169">
        <f>HYPERLINK("https://klasma.github.io/Logging_0980/tillsynsmail/A 1477-2024 tillsynsbegäran mail.docx", "A 1477-2024")</f>
        <v/>
      </c>
    </row>
    <row r="170" ht="15" customHeight="1">
      <c r="A170" t="inlineStr">
        <is>
          <t>A 35574-2024</t>
        </is>
      </c>
      <c r="B170" s="1" t="n">
        <v>45531</v>
      </c>
      <c r="C170" s="1" t="n">
        <v>46120</v>
      </c>
      <c r="D170" t="inlineStr">
        <is>
          <t>GOTLANDS LÄN</t>
        </is>
      </c>
      <c r="E170" t="inlineStr">
        <is>
          <t>GOTLAND</t>
        </is>
      </c>
      <c r="G170" t="n">
        <v>5.7</v>
      </c>
      <c r="H170" t="n">
        <v>0</v>
      </c>
      <c r="I170" t="n">
        <v>1</v>
      </c>
      <c r="J170" t="n">
        <v>0</v>
      </c>
      <c r="K170" t="n">
        <v>0</v>
      </c>
      <c r="L170" t="n">
        <v>0</v>
      </c>
      <c r="M170" t="n">
        <v>0</v>
      </c>
      <c r="N170" t="n">
        <v>0</v>
      </c>
      <c r="O170" t="n">
        <v>0</v>
      </c>
      <c r="P170" t="n">
        <v>0</v>
      </c>
      <c r="Q170" t="n">
        <v>1</v>
      </c>
      <c r="R170" s="2" t="inlineStr">
        <is>
          <t>Murgröna</t>
        </is>
      </c>
      <c r="S170">
        <f>HYPERLINK("https://klasma.github.io/Logging_0980/artfynd/A 35574-2024 artfynd.xlsx", "A 35574-2024")</f>
        <v/>
      </c>
      <c r="T170">
        <f>HYPERLINK("https://klasma.github.io/Logging_0980/kartor/A 35574-2024 karta.png", "A 35574-2024")</f>
        <v/>
      </c>
      <c r="V170">
        <f>HYPERLINK("https://klasma.github.io/Logging_0980/klagomål/A 35574-2024 FSC-klagomål.docx", "A 35574-2024")</f>
        <v/>
      </c>
      <c r="W170">
        <f>HYPERLINK("https://klasma.github.io/Logging_0980/klagomålsmail/A 35574-2024 FSC-klagomål mail.docx", "A 35574-2024")</f>
        <v/>
      </c>
      <c r="X170">
        <f>HYPERLINK("https://klasma.github.io/Logging_0980/tillsyn/A 35574-2024 tillsynsbegäran.docx", "A 35574-2024")</f>
        <v/>
      </c>
      <c r="Y170">
        <f>HYPERLINK("https://klasma.github.io/Logging_0980/tillsynsmail/A 35574-2024 tillsynsbegäran mail.docx", "A 35574-2024")</f>
        <v/>
      </c>
    </row>
    <row r="171" ht="15" customHeight="1">
      <c r="A171" t="inlineStr">
        <is>
          <t>A 7637-2025</t>
        </is>
      </c>
      <c r="B171" s="1" t="n">
        <v>45705.77181712963</v>
      </c>
      <c r="C171" s="1" t="n">
        <v>46120</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34141-2024</t>
        </is>
      </c>
      <c r="B172" s="1" t="n">
        <v>45524.36229166666</v>
      </c>
      <c r="C172" s="1" t="n">
        <v>46120</v>
      </c>
      <c r="D172" t="inlineStr">
        <is>
          <t>GOTLANDS LÄN</t>
        </is>
      </c>
      <c r="E172" t="inlineStr">
        <is>
          <t>GOTLAND</t>
        </is>
      </c>
      <c r="G172" t="n">
        <v>0.9</v>
      </c>
      <c r="H172" t="n">
        <v>0</v>
      </c>
      <c r="I172" t="n">
        <v>1</v>
      </c>
      <c r="J172" t="n">
        <v>0</v>
      </c>
      <c r="K172" t="n">
        <v>0</v>
      </c>
      <c r="L172" t="n">
        <v>0</v>
      </c>
      <c r="M172" t="n">
        <v>0</v>
      </c>
      <c r="N172" t="n">
        <v>0</v>
      </c>
      <c r="O172" t="n">
        <v>0</v>
      </c>
      <c r="P172" t="n">
        <v>0</v>
      </c>
      <c r="Q172" t="n">
        <v>1</v>
      </c>
      <c r="R172" s="2" t="inlineStr">
        <is>
          <t>Strävlosta</t>
        </is>
      </c>
      <c r="S172">
        <f>HYPERLINK("https://klasma.github.io/Logging_0980/artfynd/A 34141-2024 artfynd.xlsx", "A 34141-2024")</f>
        <v/>
      </c>
      <c r="T172">
        <f>HYPERLINK("https://klasma.github.io/Logging_0980/kartor/A 34141-2024 karta.png", "A 34141-2024")</f>
        <v/>
      </c>
      <c r="V172">
        <f>HYPERLINK("https://klasma.github.io/Logging_0980/klagomål/A 34141-2024 FSC-klagomål.docx", "A 34141-2024")</f>
        <v/>
      </c>
      <c r="W172">
        <f>HYPERLINK("https://klasma.github.io/Logging_0980/klagomålsmail/A 34141-2024 FSC-klagomål mail.docx", "A 34141-2024")</f>
        <v/>
      </c>
      <c r="X172">
        <f>HYPERLINK("https://klasma.github.io/Logging_0980/tillsyn/A 34141-2024 tillsynsbegäran.docx", "A 34141-2024")</f>
        <v/>
      </c>
      <c r="Y172">
        <f>HYPERLINK("https://klasma.github.io/Logging_0980/tillsynsmail/A 34141-2024 tillsynsbegäran mail.docx", "A 34141-2024")</f>
        <v/>
      </c>
    </row>
    <row r="173" ht="15" customHeight="1">
      <c r="A173" t="inlineStr">
        <is>
          <t>A 9862-2024</t>
        </is>
      </c>
      <c r="B173" s="1" t="n">
        <v>45363</v>
      </c>
      <c r="C173" s="1" t="n">
        <v>46120</v>
      </c>
      <c r="D173" t="inlineStr">
        <is>
          <t>GOTLANDS LÄN</t>
        </is>
      </c>
      <c r="E173" t="inlineStr">
        <is>
          <t>GOTLAND</t>
        </is>
      </c>
      <c r="G173" t="n">
        <v>3.5</v>
      </c>
      <c r="H173" t="n">
        <v>1</v>
      </c>
      <c r="I173" t="n">
        <v>0</v>
      </c>
      <c r="J173" t="n">
        <v>0</v>
      </c>
      <c r="K173" t="n">
        <v>0</v>
      </c>
      <c r="L173" t="n">
        <v>0</v>
      </c>
      <c r="M173" t="n">
        <v>0</v>
      </c>
      <c r="N173" t="n">
        <v>0</v>
      </c>
      <c r="O173" t="n">
        <v>0</v>
      </c>
      <c r="P173" t="n">
        <v>0</v>
      </c>
      <c r="Q173" t="n">
        <v>1</v>
      </c>
      <c r="R173" s="2" t="inlineStr">
        <is>
          <t>Nattviol</t>
        </is>
      </c>
      <c r="S173">
        <f>HYPERLINK("https://klasma.github.io/Logging_0980/artfynd/A 9862-2024 artfynd.xlsx", "A 9862-2024")</f>
        <v/>
      </c>
      <c r="T173">
        <f>HYPERLINK("https://klasma.github.io/Logging_0980/kartor/A 9862-2024 karta.png", "A 9862-2024")</f>
        <v/>
      </c>
      <c r="V173">
        <f>HYPERLINK("https://klasma.github.io/Logging_0980/klagomål/A 9862-2024 FSC-klagomål.docx", "A 9862-2024")</f>
        <v/>
      </c>
      <c r="W173">
        <f>HYPERLINK("https://klasma.github.io/Logging_0980/klagomålsmail/A 9862-2024 FSC-klagomål mail.docx", "A 9862-2024")</f>
        <v/>
      </c>
      <c r="X173">
        <f>HYPERLINK("https://klasma.github.io/Logging_0980/tillsyn/A 9862-2024 tillsynsbegäran.docx", "A 9862-2024")</f>
        <v/>
      </c>
      <c r="Y173">
        <f>HYPERLINK("https://klasma.github.io/Logging_0980/tillsynsmail/A 9862-2024 tillsynsbegäran mail.docx", "A 9862-2024")</f>
        <v/>
      </c>
    </row>
    <row r="174" ht="15" customHeight="1">
      <c r="A174" t="inlineStr">
        <is>
          <t>A 6303-2024</t>
        </is>
      </c>
      <c r="B174" s="1" t="n">
        <v>45338.35376157407</v>
      </c>
      <c r="C174" s="1" t="n">
        <v>46120</v>
      </c>
      <c r="D174" t="inlineStr">
        <is>
          <t>GOTLANDS LÄN</t>
        </is>
      </c>
      <c r="E174" t="inlineStr">
        <is>
          <t>GOTLAND</t>
        </is>
      </c>
      <c r="G174" t="n">
        <v>0.6</v>
      </c>
      <c r="H174" t="n">
        <v>0</v>
      </c>
      <c r="I174" t="n">
        <v>1</v>
      </c>
      <c r="J174" t="n">
        <v>0</v>
      </c>
      <c r="K174" t="n">
        <v>0</v>
      </c>
      <c r="L174" t="n">
        <v>0</v>
      </c>
      <c r="M174" t="n">
        <v>0</v>
      </c>
      <c r="N174" t="n">
        <v>0</v>
      </c>
      <c r="O174" t="n">
        <v>0</v>
      </c>
      <c r="P174" t="n">
        <v>0</v>
      </c>
      <c r="Q174" t="n">
        <v>1</v>
      </c>
      <c r="R174" s="2" t="inlineStr">
        <is>
          <t>Strävlosta</t>
        </is>
      </c>
      <c r="S174">
        <f>HYPERLINK("https://klasma.github.io/Logging_0980/artfynd/A 6303-2024 artfynd.xlsx", "A 6303-2024")</f>
        <v/>
      </c>
      <c r="T174">
        <f>HYPERLINK("https://klasma.github.io/Logging_0980/kartor/A 6303-2024 karta.png", "A 6303-2024")</f>
        <v/>
      </c>
      <c r="V174">
        <f>HYPERLINK("https://klasma.github.io/Logging_0980/klagomål/A 6303-2024 FSC-klagomål.docx", "A 6303-2024")</f>
        <v/>
      </c>
      <c r="W174">
        <f>HYPERLINK("https://klasma.github.io/Logging_0980/klagomålsmail/A 6303-2024 FSC-klagomål mail.docx", "A 6303-2024")</f>
        <v/>
      </c>
      <c r="X174">
        <f>HYPERLINK("https://klasma.github.io/Logging_0980/tillsyn/A 6303-2024 tillsynsbegäran.docx", "A 6303-2024")</f>
        <v/>
      </c>
      <c r="Y174">
        <f>HYPERLINK("https://klasma.github.io/Logging_0980/tillsynsmail/A 6303-2024 tillsynsbegäran mail.docx", "A 6303-2024")</f>
        <v/>
      </c>
    </row>
    <row r="175" ht="15" customHeight="1">
      <c r="A175" t="inlineStr">
        <is>
          <t>A 12924-2025</t>
        </is>
      </c>
      <c r="B175" s="1" t="n">
        <v>45734</v>
      </c>
      <c r="C175" s="1" t="n">
        <v>46120</v>
      </c>
      <c r="D175" t="inlineStr">
        <is>
          <t>GOTLANDS LÄN</t>
        </is>
      </c>
      <c r="E175" t="inlineStr">
        <is>
          <t>GOTLAND</t>
        </is>
      </c>
      <c r="G175" t="n">
        <v>11.7</v>
      </c>
      <c r="H175" t="n">
        <v>0</v>
      </c>
      <c r="I175" t="n">
        <v>0</v>
      </c>
      <c r="J175" t="n">
        <v>0</v>
      </c>
      <c r="K175" t="n">
        <v>1</v>
      </c>
      <c r="L175" t="n">
        <v>0</v>
      </c>
      <c r="M175" t="n">
        <v>0</v>
      </c>
      <c r="N175" t="n">
        <v>0</v>
      </c>
      <c r="O175" t="n">
        <v>1</v>
      </c>
      <c r="P175" t="n">
        <v>1</v>
      </c>
      <c r="Q175" t="n">
        <v>1</v>
      </c>
      <c r="R175" s="2" t="inlineStr">
        <is>
          <t>Gotlandsmåra</t>
        </is>
      </c>
      <c r="S175">
        <f>HYPERLINK("https://klasma.github.io/Logging_0980/artfynd/A 12924-2025 artfynd.xlsx", "A 12924-2025")</f>
        <v/>
      </c>
      <c r="T175">
        <f>HYPERLINK("https://klasma.github.io/Logging_0980/kartor/A 12924-2025 karta.png", "A 12924-2025")</f>
        <v/>
      </c>
      <c r="V175">
        <f>HYPERLINK("https://klasma.github.io/Logging_0980/klagomål/A 12924-2025 FSC-klagomål.docx", "A 12924-2025")</f>
        <v/>
      </c>
      <c r="W175">
        <f>HYPERLINK("https://klasma.github.io/Logging_0980/klagomålsmail/A 12924-2025 FSC-klagomål mail.docx", "A 12924-2025")</f>
        <v/>
      </c>
      <c r="X175">
        <f>HYPERLINK("https://klasma.github.io/Logging_0980/tillsyn/A 12924-2025 tillsynsbegäran.docx", "A 12924-2025")</f>
        <v/>
      </c>
      <c r="Y175">
        <f>HYPERLINK("https://klasma.github.io/Logging_0980/tillsynsmail/A 12924-2025 tillsynsbegäran mail.docx", "A 12924-2025")</f>
        <v/>
      </c>
    </row>
    <row r="176" ht="15" customHeight="1">
      <c r="A176" t="inlineStr">
        <is>
          <t>A 34809-2024</t>
        </is>
      </c>
      <c r="B176" s="1" t="n">
        <v>45526</v>
      </c>
      <c r="C176" s="1" t="n">
        <v>46120</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46120</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46120</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46120</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46120</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46120</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46120</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46120</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46120</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46120</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46120</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46120</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46120</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46120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46120</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46120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46120</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46120</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46120</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46120</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46120</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46120</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46120</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46120</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46120</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46120</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46120</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46120</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46120</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46120</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46120</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46120</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46120</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46120</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46120</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46120</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46120</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46120</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46120</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46120</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46120</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46120</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46120</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46120</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46120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46120</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46120</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46120</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46120</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46120</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46120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46120</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46120</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30282-2022</t>
        </is>
      </c>
      <c r="B229" s="1" t="n">
        <v>44760</v>
      </c>
      <c r="C229" s="1" t="n">
        <v>46120</v>
      </c>
      <c r="D229" t="inlineStr">
        <is>
          <t>GOTLANDS LÄN</t>
        </is>
      </c>
      <c r="E229" t="inlineStr">
        <is>
          <t>GOTLAND</t>
        </is>
      </c>
      <c r="G229" t="n">
        <v>2.6</v>
      </c>
      <c r="H229" t="n">
        <v>0</v>
      </c>
      <c r="I229" t="n">
        <v>0</v>
      </c>
      <c r="J229" t="n">
        <v>0</v>
      </c>
      <c r="K229" t="n">
        <v>0</v>
      </c>
      <c r="L229" t="n">
        <v>0</v>
      </c>
      <c r="M229" t="n">
        <v>0</v>
      </c>
      <c r="N229" t="n">
        <v>0</v>
      </c>
      <c r="O229" t="n">
        <v>0</v>
      </c>
      <c r="P229" t="n">
        <v>0</v>
      </c>
      <c r="Q229" t="n">
        <v>0</v>
      </c>
      <c r="R229" s="2" t="inlineStr"/>
    </row>
    <row r="230" ht="15" customHeight="1">
      <c r="A230" t="inlineStr">
        <is>
          <t>A 4868-2024</t>
        </is>
      </c>
      <c r="B230" s="1" t="n">
        <v>45329</v>
      </c>
      <c r="C230" s="1" t="n">
        <v>46120</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9613-2025</t>
        </is>
      </c>
      <c r="B231" s="1" t="n">
        <v>45715</v>
      </c>
      <c r="C231" s="1" t="n">
        <v>46120</v>
      </c>
      <c r="D231" t="inlineStr">
        <is>
          <t>GOTLANDS LÄN</t>
        </is>
      </c>
      <c r="E231" t="inlineStr">
        <is>
          <t>GOTLAND</t>
        </is>
      </c>
      <c r="G231" t="n">
        <v>3.5</v>
      </c>
      <c r="H231" t="n">
        <v>0</v>
      </c>
      <c r="I231" t="n">
        <v>0</v>
      </c>
      <c r="J231" t="n">
        <v>0</v>
      </c>
      <c r="K231" t="n">
        <v>0</v>
      </c>
      <c r="L231" t="n">
        <v>0</v>
      </c>
      <c r="M231" t="n">
        <v>0</v>
      </c>
      <c r="N231" t="n">
        <v>0</v>
      </c>
      <c r="O231" t="n">
        <v>0</v>
      </c>
      <c r="P231" t="n">
        <v>0</v>
      </c>
      <c r="Q231" t="n">
        <v>0</v>
      </c>
      <c r="R231" s="2" t="inlineStr"/>
    </row>
    <row r="232" ht="15" customHeight="1">
      <c r="A232" t="inlineStr">
        <is>
          <t>A 32330-2024</t>
        </is>
      </c>
      <c r="B232" s="1" t="n">
        <v>45512</v>
      </c>
      <c r="C232" s="1" t="n">
        <v>46120</v>
      </c>
      <c r="D232" t="inlineStr">
        <is>
          <t>GOTLANDS LÄN</t>
        </is>
      </c>
      <c r="E232" t="inlineStr">
        <is>
          <t>GOTLAND</t>
        </is>
      </c>
      <c r="G232" t="n">
        <v>2.6</v>
      </c>
      <c r="H232" t="n">
        <v>0</v>
      </c>
      <c r="I232" t="n">
        <v>0</v>
      </c>
      <c r="J232" t="n">
        <v>0</v>
      </c>
      <c r="K232" t="n">
        <v>0</v>
      </c>
      <c r="L232" t="n">
        <v>0</v>
      </c>
      <c r="M232" t="n">
        <v>0</v>
      </c>
      <c r="N232" t="n">
        <v>0</v>
      </c>
      <c r="O232" t="n">
        <v>0</v>
      </c>
      <c r="P232" t="n">
        <v>0</v>
      </c>
      <c r="Q232" t="n">
        <v>0</v>
      </c>
      <c r="R232" s="2" t="inlineStr"/>
    </row>
    <row r="233" ht="15" customHeight="1">
      <c r="A233" t="inlineStr">
        <is>
          <t>A 5751-2024</t>
        </is>
      </c>
      <c r="B233" s="1" t="n">
        <v>45335.32702546296</v>
      </c>
      <c r="C233" s="1" t="n">
        <v>46120</v>
      </c>
      <c r="D233" t="inlineStr">
        <is>
          <t>GOTLANDS LÄN</t>
        </is>
      </c>
      <c r="E233" t="inlineStr">
        <is>
          <t>GOTLAND</t>
        </is>
      </c>
      <c r="G233" t="n">
        <v>4.2</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45401.81480324074</v>
      </c>
      <c r="C234" s="1" t="n">
        <v>46120</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24966-2023</t>
        </is>
      </c>
      <c r="B235" s="1" t="n">
        <v>45085</v>
      </c>
      <c r="C235" s="1" t="n">
        <v>46120</v>
      </c>
      <c r="D235" t="inlineStr">
        <is>
          <t>GOTLANDS LÄN</t>
        </is>
      </c>
      <c r="E235" t="inlineStr">
        <is>
          <t>GOTLAND</t>
        </is>
      </c>
      <c r="G235" t="n">
        <v>7</v>
      </c>
      <c r="H235" t="n">
        <v>0</v>
      </c>
      <c r="I235" t="n">
        <v>0</v>
      </c>
      <c r="J235" t="n">
        <v>0</v>
      </c>
      <c r="K235" t="n">
        <v>0</v>
      </c>
      <c r="L235" t="n">
        <v>0</v>
      </c>
      <c r="M235" t="n">
        <v>0</v>
      </c>
      <c r="N235" t="n">
        <v>0</v>
      </c>
      <c r="O235" t="n">
        <v>0</v>
      </c>
      <c r="P235" t="n">
        <v>0</v>
      </c>
      <c r="Q235" t="n">
        <v>0</v>
      </c>
      <c r="R235" s="2" t="inlineStr"/>
    </row>
    <row r="236" ht="15" customHeight="1">
      <c r="A236" t="inlineStr">
        <is>
          <t>A 46189-2022</t>
        </is>
      </c>
      <c r="B236" s="1" t="n">
        <v>44847</v>
      </c>
      <c r="C236" s="1" t="n">
        <v>46120</v>
      </c>
      <c r="D236" t="inlineStr">
        <is>
          <t>GOTLANDS LÄN</t>
        </is>
      </c>
      <c r="E236" t="inlineStr">
        <is>
          <t>GOTLAND</t>
        </is>
      </c>
      <c r="G236" t="n">
        <v>0.4</v>
      </c>
      <c r="H236" t="n">
        <v>0</v>
      </c>
      <c r="I236" t="n">
        <v>0</v>
      </c>
      <c r="J236" t="n">
        <v>0</v>
      </c>
      <c r="K236" t="n">
        <v>0</v>
      </c>
      <c r="L236" t="n">
        <v>0</v>
      </c>
      <c r="M236" t="n">
        <v>0</v>
      </c>
      <c r="N236" t="n">
        <v>0</v>
      </c>
      <c r="O236" t="n">
        <v>0</v>
      </c>
      <c r="P236" t="n">
        <v>0</v>
      </c>
      <c r="Q236" t="n">
        <v>0</v>
      </c>
      <c r="R236" s="2" t="inlineStr"/>
    </row>
    <row r="237" ht="15" customHeight="1">
      <c r="A237" t="inlineStr">
        <is>
          <t>A 22031-2024</t>
        </is>
      </c>
      <c r="B237" s="1" t="n">
        <v>45443.60075231481</v>
      </c>
      <c r="C237" s="1" t="n">
        <v>46120</v>
      </c>
      <c r="D237" t="inlineStr">
        <is>
          <t>GOTLANDS LÄN</t>
        </is>
      </c>
      <c r="E237" t="inlineStr">
        <is>
          <t>GOTLAND</t>
        </is>
      </c>
      <c r="G237" t="n">
        <v>2.3</v>
      </c>
      <c r="H237" t="n">
        <v>0</v>
      </c>
      <c r="I237" t="n">
        <v>0</v>
      </c>
      <c r="J237" t="n">
        <v>0</v>
      </c>
      <c r="K237" t="n">
        <v>0</v>
      </c>
      <c r="L237" t="n">
        <v>0</v>
      </c>
      <c r="M237" t="n">
        <v>0</v>
      </c>
      <c r="N237" t="n">
        <v>0</v>
      </c>
      <c r="O237" t="n">
        <v>0</v>
      </c>
      <c r="P237" t="n">
        <v>0</v>
      </c>
      <c r="Q237" t="n">
        <v>0</v>
      </c>
      <c r="R237" s="2" t="inlineStr"/>
    </row>
    <row r="238" ht="15" customHeight="1">
      <c r="A238" t="inlineStr">
        <is>
          <t>A 49314-2024</t>
        </is>
      </c>
      <c r="B238" s="1" t="n">
        <v>45595.55893518519</v>
      </c>
      <c r="C238" s="1" t="n">
        <v>46120</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44919-2022</t>
        </is>
      </c>
      <c r="B239" s="1" t="n">
        <v>44841</v>
      </c>
      <c r="C239" s="1" t="n">
        <v>46120</v>
      </c>
      <c r="D239" t="inlineStr">
        <is>
          <t>GOTLANDS LÄN</t>
        </is>
      </c>
      <c r="E239" t="inlineStr">
        <is>
          <t>GOTLAND</t>
        </is>
      </c>
      <c r="G239" t="n">
        <v>2.2</v>
      </c>
      <c r="H239" t="n">
        <v>0</v>
      </c>
      <c r="I239" t="n">
        <v>0</v>
      </c>
      <c r="J239" t="n">
        <v>0</v>
      </c>
      <c r="K239" t="n">
        <v>0</v>
      </c>
      <c r="L239" t="n">
        <v>0</v>
      </c>
      <c r="M239" t="n">
        <v>0</v>
      </c>
      <c r="N239" t="n">
        <v>0</v>
      </c>
      <c r="O239" t="n">
        <v>0</v>
      </c>
      <c r="P239" t="n">
        <v>0</v>
      </c>
      <c r="Q239" t="n">
        <v>0</v>
      </c>
      <c r="R239" s="2" t="inlineStr"/>
    </row>
    <row r="240" ht="15" customHeight="1">
      <c r="A240" t="inlineStr">
        <is>
          <t>A 48503-2023</t>
        </is>
      </c>
      <c r="B240" s="1" t="n">
        <v>45207</v>
      </c>
      <c r="C240" s="1" t="n">
        <v>46120</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65901-2021</t>
        </is>
      </c>
      <c r="B241" s="1" t="n">
        <v>44516</v>
      </c>
      <c r="C241" s="1" t="n">
        <v>46120</v>
      </c>
      <c r="D241" t="inlineStr">
        <is>
          <t>GOTLANDS LÄN</t>
        </is>
      </c>
      <c r="E241" t="inlineStr">
        <is>
          <t>GOTLAND</t>
        </is>
      </c>
      <c r="G241" t="n">
        <v>4.9</v>
      </c>
      <c r="H241" t="n">
        <v>0</v>
      </c>
      <c r="I241" t="n">
        <v>0</v>
      </c>
      <c r="J241" t="n">
        <v>0</v>
      </c>
      <c r="K241" t="n">
        <v>0</v>
      </c>
      <c r="L241" t="n">
        <v>0</v>
      </c>
      <c r="M241" t="n">
        <v>0</v>
      </c>
      <c r="N241" t="n">
        <v>0</v>
      </c>
      <c r="O241" t="n">
        <v>0</v>
      </c>
      <c r="P241" t="n">
        <v>0</v>
      </c>
      <c r="Q241" t="n">
        <v>0</v>
      </c>
      <c r="R241" s="2" t="inlineStr"/>
    </row>
    <row r="242" ht="15" customHeight="1">
      <c r="A242" t="inlineStr">
        <is>
          <t>A 44649-2021</t>
        </is>
      </c>
      <c r="B242" s="1" t="n">
        <v>44437</v>
      </c>
      <c r="C242" s="1" t="n">
        <v>46120</v>
      </c>
      <c r="D242" t="inlineStr">
        <is>
          <t>GOTLANDS LÄN</t>
        </is>
      </c>
      <c r="E242" t="inlineStr">
        <is>
          <t>GOTLAND</t>
        </is>
      </c>
      <c r="G242" t="n">
        <v>8.1</v>
      </c>
      <c r="H242" t="n">
        <v>0</v>
      </c>
      <c r="I242" t="n">
        <v>0</v>
      </c>
      <c r="J242" t="n">
        <v>0</v>
      </c>
      <c r="K242" t="n">
        <v>0</v>
      </c>
      <c r="L242" t="n">
        <v>0</v>
      </c>
      <c r="M242" t="n">
        <v>0</v>
      </c>
      <c r="N242" t="n">
        <v>0</v>
      </c>
      <c r="O242" t="n">
        <v>0</v>
      </c>
      <c r="P242" t="n">
        <v>0</v>
      </c>
      <c r="Q242" t="n">
        <v>0</v>
      </c>
      <c r="R242" s="2" t="inlineStr"/>
    </row>
    <row r="243" ht="15" customHeight="1">
      <c r="A243" t="inlineStr">
        <is>
          <t>A 9947-2024</t>
        </is>
      </c>
      <c r="B243" s="1" t="n">
        <v>45363</v>
      </c>
      <c r="C243" s="1" t="n">
        <v>46120</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17682-2024</t>
        </is>
      </c>
      <c r="B244" s="1" t="n">
        <v>45418.42966435185</v>
      </c>
      <c r="C244" s="1" t="n">
        <v>46120</v>
      </c>
      <c r="D244" t="inlineStr">
        <is>
          <t>GOTLANDS LÄN</t>
        </is>
      </c>
      <c r="E244" t="inlineStr">
        <is>
          <t>GOTLAND</t>
        </is>
      </c>
      <c r="G244" t="n">
        <v>2.9</v>
      </c>
      <c r="H244" t="n">
        <v>0</v>
      </c>
      <c r="I244" t="n">
        <v>0</v>
      </c>
      <c r="J244" t="n">
        <v>0</v>
      </c>
      <c r="K244" t="n">
        <v>0</v>
      </c>
      <c r="L244" t="n">
        <v>0</v>
      </c>
      <c r="M244" t="n">
        <v>0</v>
      </c>
      <c r="N244" t="n">
        <v>0</v>
      </c>
      <c r="O244" t="n">
        <v>0</v>
      </c>
      <c r="P244" t="n">
        <v>0</v>
      </c>
      <c r="Q244" t="n">
        <v>0</v>
      </c>
      <c r="R244" s="2" t="inlineStr"/>
    </row>
    <row r="245" ht="15" customHeight="1">
      <c r="A245" t="inlineStr">
        <is>
          <t>A 57522-2022</t>
        </is>
      </c>
      <c r="B245" s="1" t="n">
        <v>44896</v>
      </c>
      <c r="C245" s="1" t="n">
        <v>46120</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63516-2023</t>
        </is>
      </c>
      <c r="B246" s="1" t="n">
        <v>45274</v>
      </c>
      <c r="C246" s="1" t="n">
        <v>46120</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24001-2021</t>
        </is>
      </c>
      <c r="B247" s="1" t="n">
        <v>44335</v>
      </c>
      <c r="C247" s="1" t="n">
        <v>46120</v>
      </c>
      <c r="D247" t="inlineStr">
        <is>
          <t>GOTLANDS LÄN</t>
        </is>
      </c>
      <c r="E247" t="inlineStr">
        <is>
          <t>GOTLAND</t>
        </is>
      </c>
      <c r="G247" t="n">
        <v>3.4</v>
      </c>
      <c r="H247" t="n">
        <v>0</v>
      </c>
      <c r="I247" t="n">
        <v>0</v>
      </c>
      <c r="J247" t="n">
        <v>0</v>
      </c>
      <c r="K247" t="n">
        <v>0</v>
      </c>
      <c r="L247" t="n">
        <v>0</v>
      </c>
      <c r="M247" t="n">
        <v>0</v>
      </c>
      <c r="N247" t="n">
        <v>0</v>
      </c>
      <c r="O247" t="n">
        <v>0</v>
      </c>
      <c r="P247" t="n">
        <v>0</v>
      </c>
      <c r="Q247" t="n">
        <v>0</v>
      </c>
      <c r="R247" s="2" t="inlineStr"/>
    </row>
    <row r="248" ht="15" customHeight="1">
      <c r="A248" t="inlineStr">
        <is>
          <t>A 27593-2023</t>
        </is>
      </c>
      <c r="B248" s="1" t="n">
        <v>45097</v>
      </c>
      <c r="C248" s="1" t="n">
        <v>46120</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1681-2023</t>
        </is>
      </c>
      <c r="B249" s="1" t="n">
        <v>44938.39715277778</v>
      </c>
      <c r="C249" s="1" t="n">
        <v>46120</v>
      </c>
      <c r="D249" t="inlineStr">
        <is>
          <t>GOTLANDS LÄN</t>
        </is>
      </c>
      <c r="E249" t="inlineStr">
        <is>
          <t>GOTLAND</t>
        </is>
      </c>
      <c r="G249" t="n">
        <v>2.4</v>
      </c>
      <c r="H249" t="n">
        <v>0</v>
      </c>
      <c r="I249" t="n">
        <v>0</v>
      </c>
      <c r="J249" t="n">
        <v>0</v>
      </c>
      <c r="K249" t="n">
        <v>0</v>
      </c>
      <c r="L249" t="n">
        <v>0</v>
      </c>
      <c r="M249" t="n">
        <v>0</v>
      </c>
      <c r="N249" t="n">
        <v>0</v>
      </c>
      <c r="O249" t="n">
        <v>0</v>
      </c>
      <c r="P249" t="n">
        <v>0</v>
      </c>
      <c r="Q249" t="n">
        <v>0</v>
      </c>
      <c r="R249" s="2" t="inlineStr"/>
    </row>
    <row r="250" ht="15" customHeight="1">
      <c r="A250" t="inlineStr">
        <is>
          <t>A 30365-2024</t>
        </is>
      </c>
      <c r="B250" s="1" t="n">
        <v>45491.3716087963</v>
      </c>
      <c r="C250" s="1" t="n">
        <v>46120</v>
      </c>
      <c r="D250" t="inlineStr">
        <is>
          <t>GOTLANDS LÄN</t>
        </is>
      </c>
      <c r="E250" t="inlineStr">
        <is>
          <t>GOTLAND</t>
        </is>
      </c>
      <c r="G250" t="n">
        <v>0.5</v>
      </c>
      <c r="H250" t="n">
        <v>0</v>
      </c>
      <c r="I250" t="n">
        <v>0</v>
      </c>
      <c r="J250" t="n">
        <v>0</v>
      </c>
      <c r="K250" t="n">
        <v>0</v>
      </c>
      <c r="L250" t="n">
        <v>0</v>
      </c>
      <c r="M250" t="n">
        <v>0</v>
      </c>
      <c r="N250" t="n">
        <v>0</v>
      </c>
      <c r="O250" t="n">
        <v>0</v>
      </c>
      <c r="P250" t="n">
        <v>0</v>
      </c>
      <c r="Q250" t="n">
        <v>0</v>
      </c>
      <c r="R250" s="2" t="inlineStr"/>
    </row>
    <row r="251" ht="15" customHeight="1">
      <c r="A251" t="inlineStr">
        <is>
          <t>A 6099-2024</t>
        </is>
      </c>
      <c r="B251" s="1" t="n">
        <v>45337</v>
      </c>
      <c r="C251" s="1" t="n">
        <v>46120</v>
      </c>
      <c r="D251" t="inlineStr">
        <is>
          <t>GOTLANDS LÄN</t>
        </is>
      </c>
      <c r="E251" t="inlineStr">
        <is>
          <t>GOTLAND</t>
        </is>
      </c>
      <c r="G251" t="n">
        <v>12.6</v>
      </c>
      <c r="H251" t="n">
        <v>0</v>
      </c>
      <c r="I251" t="n">
        <v>0</v>
      </c>
      <c r="J251" t="n">
        <v>0</v>
      </c>
      <c r="K251" t="n">
        <v>0</v>
      </c>
      <c r="L251" t="n">
        <v>0</v>
      </c>
      <c r="M251" t="n">
        <v>0</v>
      </c>
      <c r="N251" t="n">
        <v>0</v>
      </c>
      <c r="O251" t="n">
        <v>0</v>
      </c>
      <c r="P251" t="n">
        <v>0</v>
      </c>
      <c r="Q251" t="n">
        <v>0</v>
      </c>
      <c r="R251" s="2" t="inlineStr"/>
    </row>
    <row r="252" ht="15" customHeight="1">
      <c r="A252" t="inlineStr">
        <is>
          <t>A 20356-2022</t>
        </is>
      </c>
      <c r="B252" s="1" t="n">
        <v>44699</v>
      </c>
      <c r="C252" s="1" t="n">
        <v>46120</v>
      </c>
      <c r="D252" t="inlineStr">
        <is>
          <t>GOTLANDS LÄN</t>
        </is>
      </c>
      <c r="E252" t="inlineStr">
        <is>
          <t>GOTLAND</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36-2026</t>
        </is>
      </c>
      <c r="B253" s="1" t="n">
        <v>46024.38886574074</v>
      </c>
      <c r="C253" s="1" t="n">
        <v>46120</v>
      </c>
      <c r="D253" t="inlineStr">
        <is>
          <t>GOTLANDS LÄN</t>
        </is>
      </c>
      <c r="E253" t="inlineStr">
        <is>
          <t>GOTLAND</t>
        </is>
      </c>
      <c r="G253" t="n">
        <v>1</v>
      </c>
      <c r="H253" t="n">
        <v>0</v>
      </c>
      <c r="I253" t="n">
        <v>0</v>
      </c>
      <c r="J253" t="n">
        <v>0</v>
      </c>
      <c r="K253" t="n">
        <v>0</v>
      </c>
      <c r="L253" t="n">
        <v>0</v>
      </c>
      <c r="M253" t="n">
        <v>0</v>
      </c>
      <c r="N253" t="n">
        <v>0</v>
      </c>
      <c r="O253" t="n">
        <v>0</v>
      </c>
      <c r="P253" t="n">
        <v>0</v>
      </c>
      <c r="Q253" t="n">
        <v>0</v>
      </c>
      <c r="R253" s="2" t="inlineStr"/>
    </row>
    <row r="254" ht="15" customHeight="1">
      <c r="A254" t="inlineStr">
        <is>
          <t>A 62674-2025</t>
        </is>
      </c>
      <c r="B254" s="1" t="n">
        <v>46008</v>
      </c>
      <c r="C254" s="1" t="n">
        <v>46120</v>
      </c>
      <c r="D254" t="inlineStr">
        <is>
          <t>GOTLANDS LÄN</t>
        </is>
      </c>
      <c r="E254" t="inlineStr">
        <is>
          <t>GOTLAND</t>
        </is>
      </c>
      <c r="G254" t="n">
        <v>5</v>
      </c>
      <c r="H254" t="n">
        <v>0</v>
      </c>
      <c r="I254" t="n">
        <v>0</v>
      </c>
      <c r="J254" t="n">
        <v>0</v>
      </c>
      <c r="K254" t="n">
        <v>0</v>
      </c>
      <c r="L254" t="n">
        <v>0</v>
      </c>
      <c r="M254" t="n">
        <v>0</v>
      </c>
      <c r="N254" t="n">
        <v>0</v>
      </c>
      <c r="O254" t="n">
        <v>0</v>
      </c>
      <c r="P254" t="n">
        <v>0</v>
      </c>
      <c r="Q254" t="n">
        <v>0</v>
      </c>
      <c r="R254" s="2" t="inlineStr"/>
    </row>
    <row r="255" ht="15" customHeight="1">
      <c r="A255" t="inlineStr">
        <is>
          <t>A 1273-2023</t>
        </is>
      </c>
      <c r="B255" s="1" t="n">
        <v>44936</v>
      </c>
      <c r="C255" s="1" t="n">
        <v>46120</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5462-2025</t>
        </is>
      </c>
      <c r="B256" s="1" t="n">
        <v>45693.29331018519</v>
      </c>
      <c r="C256" s="1" t="n">
        <v>46120</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58780-2024</t>
        </is>
      </c>
      <c r="B257" s="1" t="n">
        <v>45635.84113425926</v>
      </c>
      <c r="C257" s="1" t="n">
        <v>46120</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45692-2023</t>
        </is>
      </c>
      <c r="B258" s="1" t="n">
        <v>45195</v>
      </c>
      <c r="C258" s="1" t="n">
        <v>46120</v>
      </c>
      <c r="D258" t="inlineStr">
        <is>
          <t>GOTLANDS LÄN</t>
        </is>
      </c>
      <c r="E258" t="inlineStr">
        <is>
          <t>GOTLAND</t>
        </is>
      </c>
      <c r="G258" t="n">
        <v>5.3</v>
      </c>
      <c r="H258" t="n">
        <v>0</v>
      </c>
      <c r="I258" t="n">
        <v>0</v>
      </c>
      <c r="J258" t="n">
        <v>0</v>
      </c>
      <c r="K258" t="n">
        <v>0</v>
      </c>
      <c r="L258" t="n">
        <v>0</v>
      </c>
      <c r="M258" t="n">
        <v>0</v>
      </c>
      <c r="N258" t="n">
        <v>0</v>
      </c>
      <c r="O258" t="n">
        <v>0</v>
      </c>
      <c r="P258" t="n">
        <v>0</v>
      </c>
      <c r="Q258" t="n">
        <v>0</v>
      </c>
      <c r="R258" s="2" t="inlineStr"/>
    </row>
    <row r="259" ht="15" customHeight="1">
      <c r="A259" t="inlineStr">
        <is>
          <t>A 33876-2024</t>
        </is>
      </c>
      <c r="B259" s="1" t="n">
        <v>45521.87988425926</v>
      </c>
      <c r="C259" s="1" t="n">
        <v>46120</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28285-2024</t>
        </is>
      </c>
      <c r="B260" s="1" t="n">
        <v>45477</v>
      </c>
      <c r="C260" s="1" t="n">
        <v>46120</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61100-2022</t>
        </is>
      </c>
      <c r="B261" s="1" t="n">
        <v>44915</v>
      </c>
      <c r="C261" s="1" t="n">
        <v>46120</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61682-2024</t>
        </is>
      </c>
      <c r="B262" s="1" t="n">
        <v>45647.48824074074</v>
      </c>
      <c r="C262" s="1" t="n">
        <v>46120</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25796-2025</t>
        </is>
      </c>
      <c r="B263" s="1" t="n">
        <v>45804.39543981481</v>
      </c>
      <c r="C263" s="1" t="n">
        <v>46120</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1355-2026</t>
        </is>
      </c>
      <c r="B264" s="1" t="n">
        <v>46031.59909722222</v>
      </c>
      <c r="C264" s="1" t="n">
        <v>46120</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18993-2025</t>
        </is>
      </c>
      <c r="B265" s="1" t="n">
        <v>45764</v>
      </c>
      <c r="C265" s="1" t="n">
        <v>46120</v>
      </c>
      <c r="D265" t="inlineStr">
        <is>
          <t>GOTLANDS LÄN</t>
        </is>
      </c>
      <c r="E265" t="inlineStr">
        <is>
          <t>GOTLAND</t>
        </is>
      </c>
      <c r="G265" t="n">
        <v>3</v>
      </c>
      <c r="H265" t="n">
        <v>0</v>
      </c>
      <c r="I265" t="n">
        <v>0</v>
      </c>
      <c r="J265" t="n">
        <v>0</v>
      </c>
      <c r="K265" t="n">
        <v>0</v>
      </c>
      <c r="L265" t="n">
        <v>0</v>
      </c>
      <c r="M265" t="n">
        <v>0</v>
      </c>
      <c r="N265" t="n">
        <v>0</v>
      </c>
      <c r="O265" t="n">
        <v>0</v>
      </c>
      <c r="P265" t="n">
        <v>0</v>
      </c>
      <c r="Q265" t="n">
        <v>0</v>
      </c>
      <c r="R265" s="2" t="inlineStr"/>
    </row>
    <row r="266" ht="15" customHeight="1">
      <c r="A266" t="inlineStr">
        <is>
          <t>A 58388-2022</t>
        </is>
      </c>
      <c r="B266" s="1" t="n">
        <v>44894</v>
      </c>
      <c r="C266" s="1" t="n">
        <v>46120</v>
      </c>
      <c r="D266" t="inlineStr">
        <is>
          <t>GOTLANDS LÄN</t>
        </is>
      </c>
      <c r="E266" t="inlineStr">
        <is>
          <t>GOTLAND</t>
        </is>
      </c>
      <c r="F266" t="inlineStr">
        <is>
          <t>Övriga statliga verk och myndigheter</t>
        </is>
      </c>
      <c r="G266" t="n">
        <v>3.1</v>
      </c>
      <c r="H266" t="n">
        <v>0</v>
      </c>
      <c r="I266" t="n">
        <v>0</v>
      </c>
      <c r="J266" t="n">
        <v>0</v>
      </c>
      <c r="K266" t="n">
        <v>0</v>
      </c>
      <c r="L266" t="n">
        <v>0</v>
      </c>
      <c r="M266" t="n">
        <v>0</v>
      </c>
      <c r="N266" t="n">
        <v>0</v>
      </c>
      <c r="O266" t="n">
        <v>0</v>
      </c>
      <c r="P266" t="n">
        <v>0</v>
      </c>
      <c r="Q266" t="n">
        <v>0</v>
      </c>
      <c r="R266" s="2" t="inlineStr"/>
    </row>
    <row r="267" ht="15" customHeight="1">
      <c r="A267" t="inlineStr">
        <is>
          <t>A 30135-2025</t>
        </is>
      </c>
      <c r="B267" s="1" t="n">
        <v>45826</v>
      </c>
      <c r="C267" s="1" t="n">
        <v>46120</v>
      </c>
      <c r="D267" t="inlineStr">
        <is>
          <t>GOTLANDS LÄN</t>
        </is>
      </c>
      <c r="E267" t="inlineStr">
        <is>
          <t>GOTLAND</t>
        </is>
      </c>
      <c r="G267" t="n">
        <v>2.7</v>
      </c>
      <c r="H267" t="n">
        <v>0</v>
      </c>
      <c r="I267" t="n">
        <v>0</v>
      </c>
      <c r="J267" t="n">
        <v>0</v>
      </c>
      <c r="K267" t="n">
        <v>0</v>
      </c>
      <c r="L267" t="n">
        <v>0</v>
      </c>
      <c r="M267" t="n">
        <v>0</v>
      </c>
      <c r="N267" t="n">
        <v>0</v>
      </c>
      <c r="O267" t="n">
        <v>0</v>
      </c>
      <c r="P267" t="n">
        <v>0</v>
      </c>
      <c r="Q267" t="n">
        <v>0</v>
      </c>
      <c r="R267" s="2" t="inlineStr"/>
    </row>
    <row r="268" ht="15" customHeight="1">
      <c r="A268" t="inlineStr">
        <is>
          <t>A 12599-2025</t>
        </is>
      </c>
      <c r="B268" s="1" t="n">
        <v>45733.29546296296</v>
      </c>
      <c r="C268" s="1" t="n">
        <v>46120</v>
      </c>
      <c r="D268" t="inlineStr">
        <is>
          <t>GOTLANDS LÄN</t>
        </is>
      </c>
      <c r="E268" t="inlineStr">
        <is>
          <t>GOTLAND</t>
        </is>
      </c>
      <c r="G268" t="n">
        <v>4.7</v>
      </c>
      <c r="H268" t="n">
        <v>0</v>
      </c>
      <c r="I268" t="n">
        <v>0</v>
      </c>
      <c r="J268" t="n">
        <v>0</v>
      </c>
      <c r="K268" t="n">
        <v>0</v>
      </c>
      <c r="L268" t="n">
        <v>0</v>
      </c>
      <c r="M268" t="n">
        <v>0</v>
      </c>
      <c r="N268" t="n">
        <v>0</v>
      </c>
      <c r="O268" t="n">
        <v>0</v>
      </c>
      <c r="P268" t="n">
        <v>0</v>
      </c>
      <c r="Q268" t="n">
        <v>0</v>
      </c>
      <c r="R268" s="2" t="inlineStr"/>
    </row>
    <row r="269" ht="15" customHeight="1">
      <c r="A269" t="inlineStr">
        <is>
          <t>A 35141-2025</t>
        </is>
      </c>
      <c r="B269" s="1" t="n">
        <v>45852.65206018519</v>
      </c>
      <c r="C269" s="1" t="n">
        <v>46120</v>
      </c>
      <c r="D269" t="inlineStr">
        <is>
          <t>GOTLANDS LÄN</t>
        </is>
      </c>
      <c r="E269" t="inlineStr">
        <is>
          <t>GOTLAND</t>
        </is>
      </c>
      <c r="G269" t="n">
        <v>1</v>
      </c>
      <c r="H269" t="n">
        <v>0</v>
      </c>
      <c r="I269" t="n">
        <v>0</v>
      </c>
      <c r="J269" t="n">
        <v>0</v>
      </c>
      <c r="K269" t="n">
        <v>0</v>
      </c>
      <c r="L269" t="n">
        <v>0</v>
      </c>
      <c r="M269" t="n">
        <v>0</v>
      </c>
      <c r="N269" t="n">
        <v>0</v>
      </c>
      <c r="O269" t="n">
        <v>0</v>
      </c>
      <c r="P269" t="n">
        <v>0</v>
      </c>
      <c r="Q269" t="n">
        <v>0</v>
      </c>
      <c r="R269" s="2" t="inlineStr"/>
    </row>
    <row r="270" ht="15" customHeight="1">
      <c r="A270" t="inlineStr">
        <is>
          <t>A 21792-2024</t>
        </is>
      </c>
      <c r="B270" s="1" t="n">
        <v>45442.64326388889</v>
      </c>
      <c r="C270" s="1" t="n">
        <v>46120</v>
      </c>
      <c r="D270" t="inlineStr">
        <is>
          <t>GOTLANDS LÄN</t>
        </is>
      </c>
      <c r="E270" t="inlineStr">
        <is>
          <t>GOTLAND</t>
        </is>
      </c>
      <c r="G270" t="n">
        <v>1</v>
      </c>
      <c r="H270" t="n">
        <v>0</v>
      </c>
      <c r="I270" t="n">
        <v>0</v>
      </c>
      <c r="J270" t="n">
        <v>0</v>
      </c>
      <c r="K270" t="n">
        <v>0</v>
      </c>
      <c r="L270" t="n">
        <v>0</v>
      </c>
      <c r="M270" t="n">
        <v>0</v>
      </c>
      <c r="N270" t="n">
        <v>0</v>
      </c>
      <c r="O270" t="n">
        <v>0</v>
      </c>
      <c r="P270" t="n">
        <v>0</v>
      </c>
      <c r="Q270" t="n">
        <v>0</v>
      </c>
      <c r="R270" s="2" t="inlineStr"/>
    </row>
    <row r="271" ht="15" customHeight="1">
      <c r="A271" t="inlineStr">
        <is>
          <t>A 1898-2026</t>
        </is>
      </c>
      <c r="B271" s="1" t="n">
        <v>46035.52024305556</v>
      </c>
      <c r="C271" s="1" t="n">
        <v>46120</v>
      </c>
      <c r="D271" t="inlineStr">
        <is>
          <t>GOTLANDS LÄN</t>
        </is>
      </c>
      <c r="E271" t="inlineStr">
        <is>
          <t>GOTLAND</t>
        </is>
      </c>
      <c r="G271" t="n">
        <v>3.7</v>
      </c>
      <c r="H271" t="n">
        <v>0</v>
      </c>
      <c r="I271" t="n">
        <v>0</v>
      </c>
      <c r="J271" t="n">
        <v>0</v>
      </c>
      <c r="K271" t="n">
        <v>0</v>
      </c>
      <c r="L271" t="n">
        <v>0</v>
      </c>
      <c r="M271" t="n">
        <v>0</v>
      </c>
      <c r="N271" t="n">
        <v>0</v>
      </c>
      <c r="O271" t="n">
        <v>0</v>
      </c>
      <c r="P271" t="n">
        <v>0</v>
      </c>
      <c r="Q271" t="n">
        <v>0</v>
      </c>
      <c r="R271" s="2" t="inlineStr"/>
    </row>
    <row r="272" ht="15" customHeight="1">
      <c r="A272" t="inlineStr">
        <is>
          <t>A 35142-2025</t>
        </is>
      </c>
      <c r="B272" s="1" t="n">
        <v>45852.65532407408</v>
      </c>
      <c r="C272" s="1" t="n">
        <v>46120</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17688-2024</t>
        </is>
      </c>
      <c r="B273" s="1" t="n">
        <v>45418.43575231481</v>
      </c>
      <c r="C273" s="1" t="n">
        <v>46120</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39819-2025</t>
        </is>
      </c>
      <c r="B274" s="1" t="n">
        <v>45891.53418981482</v>
      </c>
      <c r="C274" s="1" t="n">
        <v>46120</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7837-2024</t>
        </is>
      </c>
      <c r="B275" s="1" t="n">
        <v>45349.83787037037</v>
      </c>
      <c r="C275" s="1" t="n">
        <v>46120</v>
      </c>
      <c r="D275" t="inlineStr">
        <is>
          <t>GOTLANDS LÄN</t>
        </is>
      </c>
      <c r="E275" t="inlineStr">
        <is>
          <t>GOTLAND</t>
        </is>
      </c>
      <c r="G275" t="n">
        <v>5</v>
      </c>
      <c r="H275" t="n">
        <v>0</v>
      </c>
      <c r="I275" t="n">
        <v>0</v>
      </c>
      <c r="J275" t="n">
        <v>0</v>
      </c>
      <c r="K275" t="n">
        <v>0</v>
      </c>
      <c r="L275" t="n">
        <v>0</v>
      </c>
      <c r="M275" t="n">
        <v>0</v>
      </c>
      <c r="N275" t="n">
        <v>0</v>
      </c>
      <c r="O275" t="n">
        <v>0</v>
      </c>
      <c r="P275" t="n">
        <v>0</v>
      </c>
      <c r="Q275" t="n">
        <v>0</v>
      </c>
      <c r="R275" s="2" t="inlineStr"/>
    </row>
    <row r="276" ht="15" customHeight="1">
      <c r="A276" t="inlineStr">
        <is>
          <t>A 2415-2026</t>
        </is>
      </c>
      <c r="B276" s="1" t="n">
        <v>46036.76203703704</v>
      </c>
      <c r="C276" s="1" t="n">
        <v>46120</v>
      </c>
      <c r="D276" t="inlineStr">
        <is>
          <t>GOTLANDS LÄN</t>
        </is>
      </c>
      <c r="E276" t="inlineStr">
        <is>
          <t>GOTLAND</t>
        </is>
      </c>
      <c r="G276" t="n">
        <v>6.9</v>
      </c>
      <c r="H276" t="n">
        <v>0</v>
      </c>
      <c r="I276" t="n">
        <v>0</v>
      </c>
      <c r="J276" t="n">
        <v>0</v>
      </c>
      <c r="K276" t="n">
        <v>0</v>
      </c>
      <c r="L276" t="n">
        <v>0</v>
      </c>
      <c r="M276" t="n">
        <v>0</v>
      </c>
      <c r="N276" t="n">
        <v>0</v>
      </c>
      <c r="O276" t="n">
        <v>0</v>
      </c>
      <c r="P276" t="n">
        <v>0</v>
      </c>
      <c r="Q276" t="n">
        <v>0</v>
      </c>
      <c r="R276" s="2" t="inlineStr"/>
    </row>
    <row r="277" ht="15" customHeight="1">
      <c r="A277" t="inlineStr">
        <is>
          <t>A 39814-2025</t>
        </is>
      </c>
      <c r="B277" s="1" t="n">
        <v>45891.52694444444</v>
      </c>
      <c r="C277" s="1" t="n">
        <v>46120</v>
      </c>
      <c r="D277" t="inlineStr">
        <is>
          <t>GOTLANDS LÄN</t>
        </is>
      </c>
      <c r="E277" t="inlineStr">
        <is>
          <t>GOTLAND</t>
        </is>
      </c>
      <c r="G277" t="n">
        <v>4.5</v>
      </c>
      <c r="H277" t="n">
        <v>0</v>
      </c>
      <c r="I277" t="n">
        <v>0</v>
      </c>
      <c r="J277" t="n">
        <v>0</v>
      </c>
      <c r="K277" t="n">
        <v>0</v>
      </c>
      <c r="L277" t="n">
        <v>0</v>
      </c>
      <c r="M277" t="n">
        <v>0</v>
      </c>
      <c r="N277" t="n">
        <v>0</v>
      </c>
      <c r="O277" t="n">
        <v>0</v>
      </c>
      <c r="P277" t="n">
        <v>0</v>
      </c>
      <c r="Q277" t="n">
        <v>0</v>
      </c>
      <c r="R277" s="2" t="inlineStr"/>
    </row>
    <row r="278" ht="15" customHeight="1">
      <c r="A278" t="inlineStr">
        <is>
          <t>A 39849-2025</t>
        </is>
      </c>
      <c r="B278" s="1" t="n">
        <v>45891.58502314815</v>
      </c>
      <c r="C278" s="1" t="n">
        <v>46120</v>
      </c>
      <c r="D278" t="inlineStr">
        <is>
          <t>GOTLANDS LÄN</t>
        </is>
      </c>
      <c r="E278" t="inlineStr">
        <is>
          <t>GOTLAND</t>
        </is>
      </c>
      <c r="G278" t="n">
        <v>6.1</v>
      </c>
      <c r="H278" t="n">
        <v>0</v>
      </c>
      <c r="I278" t="n">
        <v>0</v>
      </c>
      <c r="J278" t="n">
        <v>0</v>
      </c>
      <c r="K278" t="n">
        <v>0</v>
      </c>
      <c r="L278" t="n">
        <v>0</v>
      </c>
      <c r="M278" t="n">
        <v>0</v>
      </c>
      <c r="N278" t="n">
        <v>0</v>
      </c>
      <c r="O278" t="n">
        <v>0</v>
      </c>
      <c r="P278" t="n">
        <v>0</v>
      </c>
      <c r="Q278" t="n">
        <v>0</v>
      </c>
      <c r="R278" s="2" t="inlineStr"/>
    </row>
    <row r="279" ht="15" customHeight="1">
      <c r="A279" t="inlineStr">
        <is>
          <t>A 39752-2025</t>
        </is>
      </c>
      <c r="B279" s="1" t="n">
        <v>45891</v>
      </c>
      <c r="C279" s="1" t="n">
        <v>46120</v>
      </c>
      <c r="D279" t="inlineStr">
        <is>
          <t>GOTLANDS LÄN</t>
        </is>
      </c>
      <c r="E279" t="inlineStr">
        <is>
          <t>GOTLAND</t>
        </is>
      </c>
      <c r="G279" t="n">
        <v>5.3</v>
      </c>
      <c r="H279" t="n">
        <v>0</v>
      </c>
      <c r="I279" t="n">
        <v>0</v>
      </c>
      <c r="J279" t="n">
        <v>0</v>
      </c>
      <c r="K279" t="n">
        <v>0</v>
      </c>
      <c r="L279" t="n">
        <v>0</v>
      </c>
      <c r="M279" t="n">
        <v>0</v>
      </c>
      <c r="N279" t="n">
        <v>0</v>
      </c>
      <c r="O279" t="n">
        <v>0</v>
      </c>
      <c r="P279" t="n">
        <v>0</v>
      </c>
      <c r="Q279" t="n">
        <v>0</v>
      </c>
      <c r="R279" s="2" t="inlineStr"/>
    </row>
    <row r="280" ht="15" customHeight="1">
      <c r="A280" t="inlineStr">
        <is>
          <t>A 39816-2025</t>
        </is>
      </c>
      <c r="B280" s="1" t="n">
        <v>45891</v>
      </c>
      <c r="C280" s="1" t="n">
        <v>46120</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40103-2025</t>
        </is>
      </c>
      <c r="B281" s="1" t="n">
        <v>45894.4880324074</v>
      </c>
      <c r="C281" s="1" t="n">
        <v>46120</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40373-2025</t>
        </is>
      </c>
      <c r="B282" s="1" t="n">
        <v>45895.51821759259</v>
      </c>
      <c r="C282" s="1" t="n">
        <v>46120</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40499-2025</t>
        </is>
      </c>
      <c r="B283" s="1" t="n">
        <v>45896.32517361111</v>
      </c>
      <c r="C283" s="1" t="n">
        <v>46120</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4568-2025</t>
        </is>
      </c>
      <c r="B284" s="1" t="n">
        <v>45687</v>
      </c>
      <c r="C284" s="1" t="n">
        <v>46120</v>
      </c>
      <c r="D284" t="inlineStr">
        <is>
          <t>GOTLANDS LÄN</t>
        </is>
      </c>
      <c r="E284" t="inlineStr">
        <is>
          <t>GOTLAND</t>
        </is>
      </c>
      <c r="G284" t="n">
        <v>1.9</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46120</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11414-2026</t>
        </is>
      </c>
      <c r="B286" s="1" t="n">
        <v>46083.46336805556</v>
      </c>
      <c r="C286" s="1" t="n">
        <v>46120</v>
      </c>
      <c r="D286" t="inlineStr">
        <is>
          <t>GOTLANDS LÄN</t>
        </is>
      </c>
      <c r="E286" t="inlineStr">
        <is>
          <t>GOTLAND</t>
        </is>
      </c>
      <c r="G286" t="n">
        <v>4.9</v>
      </c>
      <c r="H286" t="n">
        <v>0</v>
      </c>
      <c r="I286" t="n">
        <v>0</v>
      </c>
      <c r="J286" t="n">
        <v>0</v>
      </c>
      <c r="K286" t="n">
        <v>0</v>
      </c>
      <c r="L286" t="n">
        <v>0</v>
      </c>
      <c r="M286" t="n">
        <v>0</v>
      </c>
      <c r="N286" t="n">
        <v>0</v>
      </c>
      <c r="O286" t="n">
        <v>0</v>
      </c>
      <c r="P286" t="n">
        <v>0</v>
      </c>
      <c r="Q286" t="n">
        <v>0</v>
      </c>
      <c r="R286" s="2" t="inlineStr"/>
    </row>
    <row r="287" ht="15" customHeight="1">
      <c r="A287" t="inlineStr">
        <is>
          <t>A 39278-2025</t>
        </is>
      </c>
      <c r="B287" s="1" t="n">
        <v>45889</v>
      </c>
      <c r="C287" s="1" t="n">
        <v>46120</v>
      </c>
      <c r="D287" t="inlineStr">
        <is>
          <t>GOTLANDS LÄN</t>
        </is>
      </c>
      <c r="E287" t="inlineStr">
        <is>
          <t>GOTLAND</t>
        </is>
      </c>
      <c r="G287" t="n">
        <v>3.7</v>
      </c>
      <c r="H287" t="n">
        <v>0</v>
      </c>
      <c r="I287" t="n">
        <v>0</v>
      </c>
      <c r="J287" t="n">
        <v>0</v>
      </c>
      <c r="K287" t="n">
        <v>0</v>
      </c>
      <c r="L287" t="n">
        <v>0</v>
      </c>
      <c r="M287" t="n">
        <v>0</v>
      </c>
      <c r="N287" t="n">
        <v>0</v>
      </c>
      <c r="O287" t="n">
        <v>0</v>
      </c>
      <c r="P287" t="n">
        <v>0</v>
      </c>
      <c r="Q287" t="n">
        <v>0</v>
      </c>
      <c r="R287" s="2" t="inlineStr"/>
    </row>
    <row r="288" ht="15" customHeight="1">
      <c r="A288" t="inlineStr">
        <is>
          <t>A 11424-2026</t>
        </is>
      </c>
      <c r="B288" s="1" t="n">
        <v>46083.48068287037</v>
      </c>
      <c r="C288" s="1" t="n">
        <v>46120</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35512-2023</t>
        </is>
      </c>
      <c r="B289" s="1" t="n">
        <v>45147.25623842593</v>
      </c>
      <c r="C289" s="1" t="n">
        <v>46120</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5905-2024</t>
        </is>
      </c>
      <c r="B290" s="1" t="n">
        <v>45335.88993055555</v>
      </c>
      <c r="C290" s="1" t="n">
        <v>46120</v>
      </c>
      <c r="D290" t="inlineStr">
        <is>
          <t>GOTLANDS LÄN</t>
        </is>
      </c>
      <c r="E290" t="inlineStr">
        <is>
          <t>GOTLAND</t>
        </is>
      </c>
      <c r="G290" t="n">
        <v>3</v>
      </c>
      <c r="H290" t="n">
        <v>0</v>
      </c>
      <c r="I290" t="n">
        <v>0</v>
      </c>
      <c r="J290" t="n">
        <v>0</v>
      </c>
      <c r="K290" t="n">
        <v>0</v>
      </c>
      <c r="L290" t="n">
        <v>0</v>
      </c>
      <c r="M290" t="n">
        <v>0</v>
      </c>
      <c r="N290" t="n">
        <v>0</v>
      </c>
      <c r="O290" t="n">
        <v>0</v>
      </c>
      <c r="P290" t="n">
        <v>0</v>
      </c>
      <c r="Q290" t="n">
        <v>0</v>
      </c>
      <c r="R290" s="2" t="inlineStr"/>
    </row>
    <row r="291" ht="15" customHeight="1">
      <c r="A291" t="inlineStr">
        <is>
          <t>A 1291-2023</t>
        </is>
      </c>
      <c r="B291" s="1" t="n">
        <v>44936.47561342592</v>
      </c>
      <c r="C291" s="1" t="n">
        <v>46120</v>
      </c>
      <c r="D291" t="inlineStr">
        <is>
          <t>GOTLANDS LÄN</t>
        </is>
      </c>
      <c r="E291" t="inlineStr">
        <is>
          <t>GOTLAND</t>
        </is>
      </c>
      <c r="G291" t="n">
        <v>7.4</v>
      </c>
      <c r="H291" t="n">
        <v>0</v>
      </c>
      <c r="I291" t="n">
        <v>0</v>
      </c>
      <c r="J291" t="n">
        <v>0</v>
      </c>
      <c r="K291" t="n">
        <v>0</v>
      </c>
      <c r="L291" t="n">
        <v>0</v>
      </c>
      <c r="M291" t="n">
        <v>0</v>
      </c>
      <c r="N291" t="n">
        <v>0</v>
      </c>
      <c r="O291" t="n">
        <v>0</v>
      </c>
      <c r="P291" t="n">
        <v>0</v>
      </c>
      <c r="Q291" t="n">
        <v>0</v>
      </c>
      <c r="R291" s="2" t="inlineStr"/>
    </row>
    <row r="292" ht="15" customHeight="1">
      <c r="A292" t="inlineStr">
        <is>
          <t>A 3253-2026</t>
        </is>
      </c>
      <c r="B292" s="1" t="n">
        <v>46041.58902777778</v>
      </c>
      <c r="C292" s="1" t="n">
        <v>46120</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57652-2023</t>
        </is>
      </c>
      <c r="B293" s="1" t="n">
        <v>45246</v>
      </c>
      <c r="C293" s="1" t="n">
        <v>46120</v>
      </c>
      <c r="D293" t="inlineStr">
        <is>
          <t>GOTLANDS LÄN</t>
        </is>
      </c>
      <c r="E293" t="inlineStr">
        <is>
          <t>GOTLAND</t>
        </is>
      </c>
      <c r="G293" t="n">
        <v>7.2</v>
      </c>
      <c r="H293" t="n">
        <v>0</v>
      </c>
      <c r="I293" t="n">
        <v>0</v>
      </c>
      <c r="J293" t="n">
        <v>0</v>
      </c>
      <c r="K293" t="n">
        <v>0</v>
      </c>
      <c r="L293" t="n">
        <v>0</v>
      </c>
      <c r="M293" t="n">
        <v>0</v>
      </c>
      <c r="N293" t="n">
        <v>0</v>
      </c>
      <c r="O293" t="n">
        <v>0</v>
      </c>
      <c r="P293" t="n">
        <v>0</v>
      </c>
      <c r="Q293" t="n">
        <v>0</v>
      </c>
      <c r="R293" s="2" t="inlineStr"/>
    </row>
    <row r="294" ht="15" customHeight="1">
      <c r="A294" t="inlineStr">
        <is>
          <t>A 41435-2025</t>
        </is>
      </c>
      <c r="B294" s="1" t="n">
        <v>45901.39974537037</v>
      </c>
      <c r="C294" s="1" t="n">
        <v>46120</v>
      </c>
      <c r="D294" t="inlineStr">
        <is>
          <t>GOTLANDS LÄN</t>
        </is>
      </c>
      <c r="E294" t="inlineStr">
        <is>
          <t>GOTLAND</t>
        </is>
      </c>
      <c r="G294" t="n">
        <v>4.9</v>
      </c>
      <c r="H294" t="n">
        <v>0</v>
      </c>
      <c r="I294" t="n">
        <v>0</v>
      </c>
      <c r="J294" t="n">
        <v>0</v>
      </c>
      <c r="K294" t="n">
        <v>0</v>
      </c>
      <c r="L294" t="n">
        <v>0</v>
      </c>
      <c r="M294" t="n">
        <v>0</v>
      </c>
      <c r="N294" t="n">
        <v>0</v>
      </c>
      <c r="O294" t="n">
        <v>0</v>
      </c>
      <c r="P294" t="n">
        <v>0</v>
      </c>
      <c r="Q294" t="n">
        <v>0</v>
      </c>
      <c r="R294" s="2" t="inlineStr"/>
    </row>
    <row r="295" ht="15" customHeight="1">
      <c r="A295" t="inlineStr">
        <is>
          <t>A 11982-2026</t>
        </is>
      </c>
      <c r="B295" s="1" t="n">
        <v>46085.6434375</v>
      </c>
      <c r="C295" s="1" t="n">
        <v>46120</v>
      </c>
      <c r="D295" t="inlineStr">
        <is>
          <t>GOTLANDS LÄN</t>
        </is>
      </c>
      <c r="E295" t="inlineStr">
        <is>
          <t>GOTLAND</t>
        </is>
      </c>
      <c r="G295" t="n">
        <v>2.2</v>
      </c>
      <c r="H295" t="n">
        <v>0</v>
      </c>
      <c r="I295" t="n">
        <v>0</v>
      </c>
      <c r="J295" t="n">
        <v>0</v>
      </c>
      <c r="K295" t="n">
        <v>0</v>
      </c>
      <c r="L295" t="n">
        <v>0</v>
      </c>
      <c r="M295" t="n">
        <v>0</v>
      </c>
      <c r="N295" t="n">
        <v>0</v>
      </c>
      <c r="O295" t="n">
        <v>0</v>
      </c>
      <c r="P295" t="n">
        <v>0</v>
      </c>
      <c r="Q295" t="n">
        <v>0</v>
      </c>
      <c r="R295" s="2" t="inlineStr"/>
    </row>
    <row r="296" ht="15" customHeight="1">
      <c r="A296" t="inlineStr">
        <is>
          <t>A 49315-2024</t>
        </is>
      </c>
      <c r="B296" s="1" t="n">
        <v>45595</v>
      </c>
      <c r="C296" s="1" t="n">
        <v>46120</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41551-2025</t>
        </is>
      </c>
      <c r="B297" s="1" t="n">
        <v>45901.58854166666</v>
      </c>
      <c r="C297" s="1" t="n">
        <v>46120</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45106-2024</t>
        </is>
      </c>
      <c r="B298" s="1" t="n">
        <v>45575</v>
      </c>
      <c r="C298" s="1" t="n">
        <v>46120</v>
      </c>
      <c r="D298" t="inlineStr">
        <is>
          <t>GOTLANDS LÄN</t>
        </is>
      </c>
      <c r="E298" t="inlineStr">
        <is>
          <t>GOTLAND</t>
        </is>
      </c>
      <c r="G298" t="n">
        <v>10</v>
      </c>
      <c r="H298" t="n">
        <v>0</v>
      </c>
      <c r="I298" t="n">
        <v>0</v>
      </c>
      <c r="J298" t="n">
        <v>0</v>
      </c>
      <c r="K298" t="n">
        <v>0</v>
      </c>
      <c r="L298" t="n">
        <v>0</v>
      </c>
      <c r="M298" t="n">
        <v>0</v>
      </c>
      <c r="N298" t="n">
        <v>0</v>
      </c>
      <c r="O298" t="n">
        <v>0</v>
      </c>
      <c r="P298" t="n">
        <v>0</v>
      </c>
      <c r="Q298" t="n">
        <v>0</v>
      </c>
      <c r="R298" s="2" t="inlineStr"/>
    </row>
    <row r="299" ht="15" customHeight="1">
      <c r="A299" t="inlineStr">
        <is>
          <t>A 45112-2024</t>
        </is>
      </c>
      <c r="B299" s="1" t="n">
        <v>45575</v>
      </c>
      <c r="C299" s="1" t="n">
        <v>46120</v>
      </c>
      <c r="D299" t="inlineStr">
        <is>
          <t>GOTLANDS LÄN</t>
        </is>
      </c>
      <c r="E299" t="inlineStr">
        <is>
          <t>GOTLAND</t>
        </is>
      </c>
      <c r="G299" t="n">
        <v>5.1</v>
      </c>
      <c r="H299" t="n">
        <v>0</v>
      </c>
      <c r="I299" t="n">
        <v>0</v>
      </c>
      <c r="J299" t="n">
        <v>0</v>
      </c>
      <c r="K299" t="n">
        <v>0</v>
      </c>
      <c r="L299" t="n">
        <v>0</v>
      </c>
      <c r="M299" t="n">
        <v>0</v>
      </c>
      <c r="N299" t="n">
        <v>0</v>
      </c>
      <c r="O299" t="n">
        <v>0</v>
      </c>
      <c r="P299" t="n">
        <v>0</v>
      </c>
      <c r="Q299" t="n">
        <v>0</v>
      </c>
      <c r="R299" s="2" t="inlineStr"/>
    </row>
    <row r="300" ht="15" customHeight="1">
      <c r="A300" t="inlineStr">
        <is>
          <t>A 2676-2023</t>
        </is>
      </c>
      <c r="B300" s="1" t="n">
        <v>44944</v>
      </c>
      <c r="C300" s="1" t="n">
        <v>46120</v>
      </c>
      <c r="D300" t="inlineStr">
        <is>
          <t>GOTLANDS LÄN</t>
        </is>
      </c>
      <c r="E300" t="inlineStr">
        <is>
          <t>GOTLAND</t>
        </is>
      </c>
      <c r="G300" t="n">
        <v>0.7</v>
      </c>
      <c r="H300" t="n">
        <v>0</v>
      </c>
      <c r="I300" t="n">
        <v>0</v>
      </c>
      <c r="J300" t="n">
        <v>0</v>
      </c>
      <c r="K300" t="n">
        <v>0</v>
      </c>
      <c r="L300" t="n">
        <v>0</v>
      </c>
      <c r="M300" t="n">
        <v>0</v>
      </c>
      <c r="N300" t="n">
        <v>0</v>
      </c>
      <c r="O300" t="n">
        <v>0</v>
      </c>
      <c r="P300" t="n">
        <v>0</v>
      </c>
      <c r="Q300" t="n">
        <v>0</v>
      </c>
      <c r="R300" s="2" t="inlineStr"/>
    </row>
    <row r="301" ht="15" customHeight="1">
      <c r="A301" t="inlineStr">
        <is>
          <t>A 12135-2026</t>
        </is>
      </c>
      <c r="B301" s="1" t="n">
        <v>46086</v>
      </c>
      <c r="C301" s="1" t="n">
        <v>46120</v>
      </c>
      <c r="D301" t="inlineStr">
        <is>
          <t>GOTLANDS LÄN</t>
        </is>
      </c>
      <c r="E301" t="inlineStr">
        <is>
          <t>GOTLAND</t>
        </is>
      </c>
      <c r="G301" t="n">
        <v>3</v>
      </c>
      <c r="H301" t="n">
        <v>0</v>
      </c>
      <c r="I301" t="n">
        <v>0</v>
      </c>
      <c r="J301" t="n">
        <v>0</v>
      </c>
      <c r="K301" t="n">
        <v>0</v>
      </c>
      <c r="L301" t="n">
        <v>0</v>
      </c>
      <c r="M301" t="n">
        <v>0</v>
      </c>
      <c r="N301" t="n">
        <v>0</v>
      </c>
      <c r="O301" t="n">
        <v>0</v>
      </c>
      <c r="P301" t="n">
        <v>0</v>
      </c>
      <c r="Q301" t="n">
        <v>0</v>
      </c>
      <c r="R301" s="2" t="inlineStr"/>
    </row>
    <row r="302" ht="15" customHeight="1">
      <c r="A302" t="inlineStr">
        <is>
          <t>A 3150-2025</t>
        </is>
      </c>
      <c r="B302" s="1" t="n">
        <v>45679.28974537037</v>
      </c>
      <c r="C302" s="1" t="n">
        <v>46120</v>
      </c>
      <c r="D302" t="inlineStr">
        <is>
          <t>GOTLANDS LÄN</t>
        </is>
      </c>
      <c r="E302" t="inlineStr">
        <is>
          <t>GOTLAND</t>
        </is>
      </c>
      <c r="G302" t="n">
        <v>2.5</v>
      </c>
      <c r="H302" t="n">
        <v>0</v>
      </c>
      <c r="I302" t="n">
        <v>0</v>
      </c>
      <c r="J302" t="n">
        <v>0</v>
      </c>
      <c r="K302" t="n">
        <v>0</v>
      </c>
      <c r="L302" t="n">
        <v>0</v>
      </c>
      <c r="M302" t="n">
        <v>0</v>
      </c>
      <c r="N302" t="n">
        <v>0</v>
      </c>
      <c r="O302" t="n">
        <v>0</v>
      </c>
      <c r="P302" t="n">
        <v>0</v>
      </c>
      <c r="Q302" t="n">
        <v>0</v>
      </c>
      <c r="R302" s="2" t="inlineStr"/>
    </row>
    <row r="303" ht="15" customHeight="1">
      <c r="A303" t="inlineStr">
        <is>
          <t>A 8484-2025</t>
        </is>
      </c>
      <c r="B303" s="1" t="n">
        <v>45709</v>
      </c>
      <c r="C303" s="1" t="n">
        <v>46120</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4646-2026</t>
        </is>
      </c>
      <c r="B304" s="1" t="n">
        <v>46048.40357638889</v>
      </c>
      <c r="C304" s="1" t="n">
        <v>46120</v>
      </c>
      <c r="D304" t="inlineStr">
        <is>
          <t>GOTLANDS LÄN</t>
        </is>
      </c>
      <c r="E304" t="inlineStr">
        <is>
          <t>GOTLAND</t>
        </is>
      </c>
      <c r="G304" t="n">
        <v>2.7</v>
      </c>
      <c r="H304" t="n">
        <v>0</v>
      </c>
      <c r="I304" t="n">
        <v>0</v>
      </c>
      <c r="J304" t="n">
        <v>0</v>
      </c>
      <c r="K304" t="n">
        <v>0</v>
      </c>
      <c r="L304" t="n">
        <v>0</v>
      </c>
      <c r="M304" t="n">
        <v>0</v>
      </c>
      <c r="N304" t="n">
        <v>0</v>
      </c>
      <c r="O304" t="n">
        <v>0</v>
      </c>
      <c r="P304" t="n">
        <v>0</v>
      </c>
      <c r="Q304" t="n">
        <v>0</v>
      </c>
      <c r="R304" s="2" t="inlineStr"/>
    </row>
    <row r="305" ht="15" customHeight="1">
      <c r="A305" t="inlineStr">
        <is>
          <t>A 7635-2025</t>
        </is>
      </c>
      <c r="B305" s="1" t="n">
        <v>45705</v>
      </c>
      <c r="C305" s="1" t="n">
        <v>46120</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7636-2025</t>
        </is>
      </c>
      <c r="B306" s="1" t="n">
        <v>45705.7687962963</v>
      </c>
      <c r="C306" s="1" t="n">
        <v>46120</v>
      </c>
      <c r="D306" t="inlineStr">
        <is>
          <t>GOTLANDS LÄN</t>
        </is>
      </c>
      <c r="E306" t="inlineStr">
        <is>
          <t>GOTLAND</t>
        </is>
      </c>
      <c r="G306" t="n">
        <v>0.6</v>
      </c>
      <c r="H306" t="n">
        <v>0</v>
      </c>
      <c r="I306" t="n">
        <v>0</v>
      </c>
      <c r="J306" t="n">
        <v>0</v>
      </c>
      <c r="K306" t="n">
        <v>0</v>
      </c>
      <c r="L306" t="n">
        <v>0</v>
      </c>
      <c r="M306" t="n">
        <v>0</v>
      </c>
      <c r="N306" t="n">
        <v>0</v>
      </c>
      <c r="O306" t="n">
        <v>0</v>
      </c>
      <c r="P306" t="n">
        <v>0</v>
      </c>
      <c r="Q306" t="n">
        <v>0</v>
      </c>
      <c r="R306" s="2" t="inlineStr"/>
    </row>
    <row r="307" ht="15" customHeight="1">
      <c r="A307" t="inlineStr">
        <is>
          <t>A 7639-2025</t>
        </is>
      </c>
      <c r="B307" s="1" t="n">
        <v>45705.77465277778</v>
      </c>
      <c r="C307" s="1" t="n">
        <v>46120</v>
      </c>
      <c r="D307" t="inlineStr">
        <is>
          <t>GOTLANDS LÄN</t>
        </is>
      </c>
      <c r="E307" t="inlineStr">
        <is>
          <t>GOTLAND</t>
        </is>
      </c>
      <c r="G307" t="n">
        <v>1</v>
      </c>
      <c r="H307" t="n">
        <v>0</v>
      </c>
      <c r="I307" t="n">
        <v>0</v>
      </c>
      <c r="J307" t="n">
        <v>0</v>
      </c>
      <c r="K307" t="n">
        <v>0</v>
      </c>
      <c r="L307" t="n">
        <v>0</v>
      </c>
      <c r="M307" t="n">
        <v>0</v>
      </c>
      <c r="N307" t="n">
        <v>0</v>
      </c>
      <c r="O307" t="n">
        <v>0</v>
      </c>
      <c r="P307" t="n">
        <v>0</v>
      </c>
      <c r="Q307" t="n">
        <v>0</v>
      </c>
      <c r="R307" s="2" t="inlineStr"/>
    </row>
    <row r="308" ht="15" customHeight="1">
      <c r="A308" t="inlineStr">
        <is>
          <t>A 4662-2026</t>
        </is>
      </c>
      <c r="B308" s="1" t="n">
        <v>46048.40949074074</v>
      </c>
      <c r="C308" s="1" t="n">
        <v>46120</v>
      </c>
      <c r="D308" t="inlineStr">
        <is>
          <t>GOTLANDS LÄN</t>
        </is>
      </c>
      <c r="E308" t="inlineStr">
        <is>
          <t>GOTLAND</t>
        </is>
      </c>
      <c r="G308" t="n">
        <v>7.6</v>
      </c>
      <c r="H308" t="n">
        <v>0</v>
      </c>
      <c r="I308" t="n">
        <v>0</v>
      </c>
      <c r="J308" t="n">
        <v>0</v>
      </c>
      <c r="K308" t="n">
        <v>0</v>
      </c>
      <c r="L308" t="n">
        <v>0</v>
      </c>
      <c r="M308" t="n">
        <v>0</v>
      </c>
      <c r="N308" t="n">
        <v>0</v>
      </c>
      <c r="O308" t="n">
        <v>0</v>
      </c>
      <c r="P308" t="n">
        <v>0</v>
      </c>
      <c r="Q308" t="n">
        <v>0</v>
      </c>
      <c r="R308" s="2" t="inlineStr"/>
    </row>
    <row r="309" ht="15" customHeight="1">
      <c r="A309" t="inlineStr">
        <is>
          <t>A 26457-2025</t>
        </is>
      </c>
      <c r="B309" s="1" t="n">
        <v>45807.42773148148</v>
      </c>
      <c r="C309" s="1" t="n">
        <v>46120</v>
      </c>
      <c r="D309" t="inlineStr">
        <is>
          <t>GOTLANDS LÄN</t>
        </is>
      </c>
      <c r="E309" t="inlineStr">
        <is>
          <t>GOTLAND</t>
        </is>
      </c>
      <c r="G309" t="n">
        <v>5.7</v>
      </c>
      <c r="H309" t="n">
        <v>0</v>
      </c>
      <c r="I309" t="n">
        <v>0</v>
      </c>
      <c r="J309" t="n">
        <v>0</v>
      </c>
      <c r="K309" t="n">
        <v>0</v>
      </c>
      <c r="L309" t="n">
        <v>0</v>
      </c>
      <c r="M309" t="n">
        <v>0</v>
      </c>
      <c r="N309" t="n">
        <v>0</v>
      </c>
      <c r="O309" t="n">
        <v>0</v>
      </c>
      <c r="P309" t="n">
        <v>0</v>
      </c>
      <c r="Q309" t="n">
        <v>0</v>
      </c>
      <c r="R309" s="2" t="inlineStr"/>
    </row>
    <row r="310" ht="15" customHeight="1">
      <c r="A310" t="inlineStr">
        <is>
          <t>A 26467-2025</t>
        </is>
      </c>
      <c r="B310" s="1" t="n">
        <v>45807.44640046296</v>
      </c>
      <c r="C310" s="1" t="n">
        <v>46120</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4639-2026</t>
        </is>
      </c>
      <c r="B311" s="1" t="n">
        <v>46048.39880787037</v>
      </c>
      <c r="C311" s="1" t="n">
        <v>46120</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1839-2026</t>
        </is>
      </c>
      <c r="B312" s="1" t="n">
        <v>46035.3942824074</v>
      </c>
      <c r="C312" s="1" t="n">
        <v>46120</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26465-2025</t>
        </is>
      </c>
      <c r="B313" s="1" t="n">
        <v>45807.44377314814</v>
      </c>
      <c r="C313" s="1" t="n">
        <v>46120</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20356-2022</t>
        </is>
      </c>
      <c r="B314" s="1" t="n">
        <v>44699</v>
      </c>
      <c r="C314" s="1" t="n">
        <v>46120</v>
      </c>
      <c r="D314" t="inlineStr">
        <is>
          <t>GOTLANDS LÄN</t>
        </is>
      </c>
      <c r="E314" t="inlineStr">
        <is>
          <t>GOTLAND</t>
        </is>
      </c>
      <c r="F314" t="inlineStr">
        <is>
          <t>Övriga Aktiebolag</t>
        </is>
      </c>
      <c r="G314" t="n">
        <v>4.4</v>
      </c>
      <c r="H314" t="n">
        <v>0</v>
      </c>
      <c r="I314" t="n">
        <v>0</v>
      </c>
      <c r="J314" t="n">
        <v>0</v>
      </c>
      <c r="K314" t="n">
        <v>0</v>
      </c>
      <c r="L314" t="n">
        <v>0</v>
      </c>
      <c r="M314" t="n">
        <v>0</v>
      </c>
      <c r="N314" t="n">
        <v>0</v>
      </c>
      <c r="O314" t="n">
        <v>0</v>
      </c>
      <c r="P314" t="n">
        <v>0</v>
      </c>
      <c r="Q314" t="n">
        <v>0</v>
      </c>
      <c r="R314" s="2" t="inlineStr"/>
    </row>
    <row r="315" ht="15" customHeight="1">
      <c r="A315" t="inlineStr">
        <is>
          <t>A 48734-2022</t>
        </is>
      </c>
      <c r="B315" s="1" t="n">
        <v>44855</v>
      </c>
      <c r="C315" s="1" t="n">
        <v>46120</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14141-2024</t>
        </is>
      </c>
      <c r="B316" s="1" t="n">
        <v>45392.85193287037</v>
      </c>
      <c r="C316" s="1" t="n">
        <v>46120</v>
      </c>
      <c r="D316" t="inlineStr">
        <is>
          <t>GOTLANDS LÄN</t>
        </is>
      </c>
      <c r="E316" t="inlineStr">
        <is>
          <t>GOTLAND</t>
        </is>
      </c>
      <c r="G316" t="n">
        <v>5.3</v>
      </c>
      <c r="H316" t="n">
        <v>0</v>
      </c>
      <c r="I316" t="n">
        <v>0</v>
      </c>
      <c r="J316" t="n">
        <v>0</v>
      </c>
      <c r="K316" t="n">
        <v>0</v>
      </c>
      <c r="L316" t="n">
        <v>0</v>
      </c>
      <c r="M316" t="n">
        <v>0</v>
      </c>
      <c r="N316" t="n">
        <v>0</v>
      </c>
      <c r="O316" t="n">
        <v>0</v>
      </c>
      <c r="P316" t="n">
        <v>0</v>
      </c>
      <c r="Q316" t="n">
        <v>0</v>
      </c>
      <c r="R316" s="2" t="inlineStr"/>
    </row>
    <row r="317" ht="15" customHeight="1">
      <c r="A317" t="inlineStr">
        <is>
          <t>A 29809-2022</t>
        </is>
      </c>
      <c r="B317" s="1" t="n">
        <v>44755.8713425926</v>
      </c>
      <c r="C317" s="1" t="n">
        <v>46120</v>
      </c>
      <c r="D317" t="inlineStr">
        <is>
          <t>GOTLANDS LÄN</t>
        </is>
      </c>
      <c r="E317" t="inlineStr">
        <is>
          <t>GOTLAND</t>
        </is>
      </c>
      <c r="G317" t="n">
        <v>11.5</v>
      </c>
      <c r="H317" t="n">
        <v>0</v>
      </c>
      <c r="I317" t="n">
        <v>0</v>
      </c>
      <c r="J317" t="n">
        <v>0</v>
      </c>
      <c r="K317" t="n">
        <v>0</v>
      </c>
      <c r="L317" t="n">
        <v>0</v>
      </c>
      <c r="M317" t="n">
        <v>0</v>
      </c>
      <c r="N317" t="n">
        <v>0</v>
      </c>
      <c r="O317" t="n">
        <v>0</v>
      </c>
      <c r="P317" t="n">
        <v>0</v>
      </c>
      <c r="Q317" t="n">
        <v>0</v>
      </c>
      <c r="R317" s="2" t="inlineStr"/>
    </row>
    <row r="318" ht="15" customHeight="1">
      <c r="A318" t="inlineStr">
        <is>
          <t>A 26660-2025</t>
        </is>
      </c>
      <c r="B318" s="1" t="n">
        <v>45810.39737268518</v>
      </c>
      <c r="C318" s="1" t="n">
        <v>46120</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42608-2025</t>
        </is>
      </c>
      <c r="B319" s="1" t="n">
        <v>45905</v>
      </c>
      <c r="C319" s="1" t="n">
        <v>46120</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60384-2025</t>
        </is>
      </c>
      <c r="B320" s="1" t="n">
        <v>45995</v>
      </c>
      <c r="C320" s="1" t="n">
        <v>46120</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4634-2026</t>
        </is>
      </c>
      <c r="B321" s="1" t="n">
        <v>46048.39304398148</v>
      </c>
      <c r="C321" s="1" t="n">
        <v>46120</v>
      </c>
      <c r="D321" t="inlineStr">
        <is>
          <t>GOTLANDS LÄN</t>
        </is>
      </c>
      <c r="E321" t="inlineStr">
        <is>
          <t>GOTLAND</t>
        </is>
      </c>
      <c r="G321" t="n">
        <v>7.8</v>
      </c>
      <c r="H321" t="n">
        <v>0</v>
      </c>
      <c r="I321" t="n">
        <v>0</v>
      </c>
      <c r="J321" t="n">
        <v>0</v>
      </c>
      <c r="K321" t="n">
        <v>0</v>
      </c>
      <c r="L321" t="n">
        <v>0</v>
      </c>
      <c r="M321" t="n">
        <v>0</v>
      </c>
      <c r="N321" t="n">
        <v>0</v>
      </c>
      <c r="O321" t="n">
        <v>0</v>
      </c>
      <c r="P321" t="n">
        <v>0</v>
      </c>
      <c r="Q321" t="n">
        <v>0</v>
      </c>
      <c r="R321" s="2" t="inlineStr"/>
    </row>
    <row r="322" ht="15" customHeight="1">
      <c r="A322" t="inlineStr">
        <is>
          <t>A 4670-2026</t>
        </is>
      </c>
      <c r="B322" s="1" t="n">
        <v>46048.41733796296</v>
      </c>
      <c r="C322" s="1" t="n">
        <v>46120</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16373-2025</t>
        </is>
      </c>
      <c r="B323" s="1" t="n">
        <v>45751</v>
      </c>
      <c r="C323" s="1" t="n">
        <v>46120</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57685-2022</t>
        </is>
      </c>
      <c r="B324" s="1" t="n">
        <v>44897.4777662037</v>
      </c>
      <c r="C324" s="1" t="n">
        <v>46120</v>
      </c>
      <c r="D324" t="inlineStr">
        <is>
          <t>GOTLANDS LÄN</t>
        </is>
      </c>
      <c r="E324" t="inlineStr">
        <is>
          <t>GOTLAND</t>
        </is>
      </c>
      <c r="G324" t="n">
        <v>3.7</v>
      </c>
      <c r="H324" t="n">
        <v>0</v>
      </c>
      <c r="I324" t="n">
        <v>0</v>
      </c>
      <c r="J324" t="n">
        <v>0</v>
      </c>
      <c r="K324" t="n">
        <v>0</v>
      </c>
      <c r="L324" t="n">
        <v>0</v>
      </c>
      <c r="M324" t="n">
        <v>0</v>
      </c>
      <c r="N324" t="n">
        <v>0</v>
      </c>
      <c r="O324" t="n">
        <v>0</v>
      </c>
      <c r="P324" t="n">
        <v>0</v>
      </c>
      <c r="Q324" t="n">
        <v>0</v>
      </c>
      <c r="R324" s="2" t="inlineStr"/>
    </row>
    <row r="325" ht="15" customHeight="1">
      <c r="A325" t="inlineStr">
        <is>
          <t>A 30815-2023</t>
        </is>
      </c>
      <c r="B325" s="1" t="n">
        <v>45112</v>
      </c>
      <c r="C325" s="1" t="n">
        <v>46120</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10158-2025</t>
        </is>
      </c>
      <c r="B326" s="1" t="n">
        <v>45719</v>
      </c>
      <c r="C326" s="1" t="n">
        <v>46120</v>
      </c>
      <c r="D326" t="inlineStr">
        <is>
          <t>GOTLANDS LÄN</t>
        </is>
      </c>
      <c r="E326" t="inlineStr">
        <is>
          <t>GOTLAND</t>
        </is>
      </c>
      <c r="G326" t="n">
        <v>3.5</v>
      </c>
      <c r="H326" t="n">
        <v>0</v>
      </c>
      <c r="I326" t="n">
        <v>0</v>
      </c>
      <c r="J326" t="n">
        <v>0</v>
      </c>
      <c r="K326" t="n">
        <v>0</v>
      </c>
      <c r="L326" t="n">
        <v>0</v>
      </c>
      <c r="M326" t="n">
        <v>0</v>
      </c>
      <c r="N326" t="n">
        <v>0</v>
      </c>
      <c r="O326" t="n">
        <v>0</v>
      </c>
      <c r="P326" t="n">
        <v>0</v>
      </c>
      <c r="Q326" t="n">
        <v>0</v>
      </c>
      <c r="R326" s="2" t="inlineStr"/>
    </row>
    <row r="327" ht="15" customHeight="1">
      <c r="A327" t="inlineStr">
        <is>
          <t>A 43911-2025</t>
        </is>
      </c>
      <c r="B327" s="1" t="n">
        <v>45914.3881712963</v>
      </c>
      <c r="C327" s="1" t="n">
        <v>46120</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7034-2023</t>
        </is>
      </c>
      <c r="B328" s="1" t="n">
        <v>44968.32108796296</v>
      </c>
      <c r="C328" s="1" t="n">
        <v>46120</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7042-2023</t>
        </is>
      </c>
      <c r="B329" s="1" t="n">
        <v>44968</v>
      </c>
      <c r="C329" s="1" t="n">
        <v>46120</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44410-2025</t>
        </is>
      </c>
      <c r="B330" s="1" t="n">
        <v>45916.53699074074</v>
      </c>
      <c r="C330" s="1" t="n">
        <v>46120</v>
      </c>
      <c r="D330" t="inlineStr">
        <is>
          <t>GOTLANDS LÄN</t>
        </is>
      </c>
      <c r="E330" t="inlineStr">
        <is>
          <t>GOTLAND</t>
        </is>
      </c>
      <c r="G330" t="n">
        <v>2.3</v>
      </c>
      <c r="H330" t="n">
        <v>0</v>
      </c>
      <c r="I330" t="n">
        <v>0</v>
      </c>
      <c r="J330" t="n">
        <v>0</v>
      </c>
      <c r="K330" t="n">
        <v>0</v>
      </c>
      <c r="L330" t="n">
        <v>0</v>
      </c>
      <c r="M330" t="n">
        <v>0</v>
      </c>
      <c r="N330" t="n">
        <v>0</v>
      </c>
      <c r="O330" t="n">
        <v>0</v>
      </c>
      <c r="P330" t="n">
        <v>0</v>
      </c>
      <c r="Q330" t="n">
        <v>0</v>
      </c>
      <c r="R330" s="2" t="inlineStr"/>
    </row>
    <row r="331" ht="15" customHeight="1">
      <c r="A331" t="inlineStr">
        <is>
          <t>A 23516-2023</t>
        </is>
      </c>
      <c r="B331" s="1" t="n">
        <v>45076.93391203704</v>
      </c>
      <c r="C331" s="1" t="n">
        <v>46120</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43951-2025</t>
        </is>
      </c>
      <c r="B332" s="1" t="n">
        <v>45915.38119212963</v>
      </c>
      <c r="C332" s="1" t="n">
        <v>46120</v>
      </c>
      <c r="D332" t="inlineStr">
        <is>
          <t>GOTLANDS LÄN</t>
        </is>
      </c>
      <c r="E332" t="inlineStr">
        <is>
          <t>GOTLAND</t>
        </is>
      </c>
      <c r="G332" t="n">
        <v>4.4</v>
      </c>
      <c r="H332" t="n">
        <v>0</v>
      </c>
      <c r="I332" t="n">
        <v>0</v>
      </c>
      <c r="J332" t="n">
        <v>0</v>
      </c>
      <c r="K332" t="n">
        <v>0</v>
      </c>
      <c r="L332" t="n">
        <v>0</v>
      </c>
      <c r="M332" t="n">
        <v>0</v>
      </c>
      <c r="N332" t="n">
        <v>0</v>
      </c>
      <c r="O332" t="n">
        <v>0</v>
      </c>
      <c r="P332" t="n">
        <v>0</v>
      </c>
      <c r="Q332" t="n">
        <v>0</v>
      </c>
      <c r="R332" s="2" t="inlineStr"/>
    </row>
    <row r="333" ht="15" customHeight="1">
      <c r="A333" t="inlineStr">
        <is>
          <t>A 64660-2023</t>
        </is>
      </c>
      <c r="B333" s="1" t="n">
        <v>45281.60122685185</v>
      </c>
      <c r="C333" s="1" t="n">
        <v>46120</v>
      </c>
      <c r="D333" t="inlineStr">
        <is>
          <t>GOTLANDS LÄN</t>
        </is>
      </c>
      <c r="E333" t="inlineStr">
        <is>
          <t>GOTLAND</t>
        </is>
      </c>
      <c r="G333" t="n">
        <v>6.3</v>
      </c>
      <c r="H333" t="n">
        <v>0</v>
      </c>
      <c r="I333" t="n">
        <v>0</v>
      </c>
      <c r="J333" t="n">
        <v>0</v>
      </c>
      <c r="K333" t="n">
        <v>0</v>
      </c>
      <c r="L333" t="n">
        <v>0</v>
      </c>
      <c r="M333" t="n">
        <v>0</v>
      </c>
      <c r="N333" t="n">
        <v>0</v>
      </c>
      <c r="O333" t="n">
        <v>0</v>
      </c>
      <c r="P333" t="n">
        <v>0</v>
      </c>
      <c r="Q333" t="n">
        <v>0</v>
      </c>
      <c r="R333" s="2" t="inlineStr"/>
    </row>
    <row r="334" ht="15" customHeight="1">
      <c r="A334" t="inlineStr">
        <is>
          <t>A 44405-2025</t>
        </is>
      </c>
      <c r="B334" s="1" t="n">
        <v>45916.52405092592</v>
      </c>
      <c r="C334" s="1" t="n">
        <v>46120</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1854-2026</t>
        </is>
      </c>
      <c r="B335" s="1" t="n">
        <v>46035.4171875</v>
      </c>
      <c r="C335" s="1" t="n">
        <v>46120</v>
      </c>
      <c r="D335" t="inlineStr">
        <is>
          <t>GOTLANDS LÄN</t>
        </is>
      </c>
      <c r="E335" t="inlineStr">
        <is>
          <t>GOTLAND</t>
        </is>
      </c>
      <c r="G335" t="n">
        <v>3</v>
      </c>
      <c r="H335" t="n">
        <v>0</v>
      </c>
      <c r="I335" t="n">
        <v>0</v>
      </c>
      <c r="J335" t="n">
        <v>0</v>
      </c>
      <c r="K335" t="n">
        <v>0</v>
      </c>
      <c r="L335" t="n">
        <v>0</v>
      </c>
      <c r="M335" t="n">
        <v>0</v>
      </c>
      <c r="N335" t="n">
        <v>0</v>
      </c>
      <c r="O335" t="n">
        <v>0</v>
      </c>
      <c r="P335" t="n">
        <v>0</v>
      </c>
      <c r="Q335" t="n">
        <v>0</v>
      </c>
      <c r="R335" s="2" t="inlineStr"/>
    </row>
    <row r="336" ht="15" customHeight="1">
      <c r="A336" t="inlineStr">
        <is>
          <t>A 63763-2023</t>
        </is>
      </c>
      <c r="B336" s="1" t="n">
        <v>45278.33944444444</v>
      </c>
      <c r="C336" s="1" t="n">
        <v>46120</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63229-2021</t>
        </is>
      </c>
      <c r="B337" s="1" t="n">
        <v>44508.34518518519</v>
      </c>
      <c r="C337" s="1" t="n">
        <v>46120</v>
      </c>
      <c r="D337" t="inlineStr">
        <is>
          <t>GOTLANDS LÄN</t>
        </is>
      </c>
      <c r="E337" t="inlineStr">
        <is>
          <t>GOTLAND</t>
        </is>
      </c>
      <c r="F337" t="inlineStr">
        <is>
          <t>Kyrkan</t>
        </is>
      </c>
      <c r="G337" t="n">
        <v>3.8</v>
      </c>
      <c r="H337" t="n">
        <v>0</v>
      </c>
      <c r="I337" t="n">
        <v>0</v>
      </c>
      <c r="J337" t="n">
        <v>0</v>
      </c>
      <c r="K337" t="n">
        <v>0</v>
      </c>
      <c r="L337" t="n">
        <v>0</v>
      </c>
      <c r="M337" t="n">
        <v>0</v>
      </c>
      <c r="N337" t="n">
        <v>0</v>
      </c>
      <c r="O337" t="n">
        <v>0</v>
      </c>
      <c r="P337" t="n">
        <v>0</v>
      </c>
      <c r="Q337" t="n">
        <v>0</v>
      </c>
      <c r="R337" s="2" t="inlineStr"/>
    </row>
    <row r="338" ht="15" customHeight="1">
      <c r="A338" t="inlineStr">
        <is>
          <t>A 13486-2026</t>
        </is>
      </c>
      <c r="B338" s="1" t="n">
        <v>46094</v>
      </c>
      <c r="C338" s="1" t="n">
        <v>46120</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46375-2024</t>
        </is>
      </c>
      <c r="B339" s="1" t="n">
        <v>45582</v>
      </c>
      <c r="C339" s="1" t="n">
        <v>46120</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3067-2026</t>
        </is>
      </c>
      <c r="B340" s="1" t="n">
        <v>46040.59025462963</v>
      </c>
      <c r="C340" s="1" t="n">
        <v>46120</v>
      </c>
      <c r="D340" t="inlineStr">
        <is>
          <t>GOTLANDS LÄN</t>
        </is>
      </c>
      <c r="E340" t="inlineStr">
        <is>
          <t>GOTLAND</t>
        </is>
      </c>
      <c r="G340" t="n">
        <v>7.8</v>
      </c>
      <c r="H340" t="n">
        <v>0</v>
      </c>
      <c r="I340" t="n">
        <v>0</v>
      </c>
      <c r="J340" t="n">
        <v>0</v>
      </c>
      <c r="K340" t="n">
        <v>0</v>
      </c>
      <c r="L340" t="n">
        <v>0</v>
      </c>
      <c r="M340" t="n">
        <v>0</v>
      </c>
      <c r="N340" t="n">
        <v>0</v>
      </c>
      <c r="O340" t="n">
        <v>0</v>
      </c>
      <c r="P340" t="n">
        <v>0</v>
      </c>
      <c r="Q340" t="n">
        <v>0</v>
      </c>
      <c r="R340" s="2" t="inlineStr"/>
    </row>
    <row r="341" ht="15" customHeight="1">
      <c r="A341" t="inlineStr">
        <is>
          <t>A 6218-2026</t>
        </is>
      </c>
      <c r="B341" s="1" t="n">
        <v>46055.42859953704</v>
      </c>
      <c r="C341" s="1" t="n">
        <v>46120</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6207-2026</t>
        </is>
      </c>
      <c r="B342" s="1" t="n">
        <v>46055.42083333333</v>
      </c>
      <c r="C342" s="1" t="n">
        <v>46120</v>
      </c>
      <c r="D342" t="inlineStr">
        <is>
          <t>GOTLANDS LÄN</t>
        </is>
      </c>
      <c r="E342" t="inlineStr">
        <is>
          <t>GOTLAND</t>
        </is>
      </c>
      <c r="G342" t="n">
        <v>7.6</v>
      </c>
      <c r="H342" t="n">
        <v>0</v>
      </c>
      <c r="I342" t="n">
        <v>0</v>
      </c>
      <c r="J342" t="n">
        <v>0</v>
      </c>
      <c r="K342" t="n">
        <v>0</v>
      </c>
      <c r="L342" t="n">
        <v>0</v>
      </c>
      <c r="M342" t="n">
        <v>0</v>
      </c>
      <c r="N342" t="n">
        <v>0</v>
      </c>
      <c r="O342" t="n">
        <v>0</v>
      </c>
      <c r="P342" t="n">
        <v>0</v>
      </c>
      <c r="Q342" t="n">
        <v>0</v>
      </c>
      <c r="R342" s="2" t="inlineStr"/>
    </row>
    <row r="343" ht="15" customHeight="1">
      <c r="A343" t="inlineStr">
        <is>
          <t>A 6959-2026</t>
        </is>
      </c>
      <c r="B343" s="1" t="n">
        <v>46057.580625</v>
      </c>
      <c r="C343" s="1" t="n">
        <v>46120</v>
      </c>
      <c r="D343" t="inlineStr">
        <is>
          <t>GOTLANDS LÄN</t>
        </is>
      </c>
      <c r="E343" t="inlineStr">
        <is>
          <t>GOTLAND</t>
        </is>
      </c>
      <c r="F343" t="inlineStr">
        <is>
          <t>Kyrkan</t>
        </is>
      </c>
      <c r="G343" t="n">
        <v>1.2</v>
      </c>
      <c r="H343" t="n">
        <v>0</v>
      </c>
      <c r="I343" t="n">
        <v>0</v>
      </c>
      <c r="J343" t="n">
        <v>0</v>
      </c>
      <c r="K343" t="n">
        <v>0</v>
      </c>
      <c r="L343" t="n">
        <v>0</v>
      </c>
      <c r="M343" t="n">
        <v>0</v>
      </c>
      <c r="N343" t="n">
        <v>0</v>
      </c>
      <c r="O343" t="n">
        <v>0</v>
      </c>
      <c r="P343" t="n">
        <v>0</v>
      </c>
      <c r="Q343" t="n">
        <v>0</v>
      </c>
      <c r="R343" s="2" t="inlineStr"/>
    </row>
    <row r="344" ht="15" customHeight="1">
      <c r="A344" t="inlineStr">
        <is>
          <t>A 1734-2025</t>
        </is>
      </c>
      <c r="B344" s="1" t="n">
        <v>45671.3840625</v>
      </c>
      <c r="C344" s="1" t="n">
        <v>46120</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20993-2023</t>
        </is>
      </c>
      <c r="B345" s="1" t="n">
        <v>45056</v>
      </c>
      <c r="C345" s="1" t="n">
        <v>46120</v>
      </c>
      <c r="D345" t="inlineStr">
        <is>
          <t>GOTLANDS LÄN</t>
        </is>
      </c>
      <c r="E345" t="inlineStr">
        <is>
          <t>GOTLAND</t>
        </is>
      </c>
      <c r="G345" t="n">
        <v>7.1</v>
      </c>
      <c r="H345" t="n">
        <v>0</v>
      </c>
      <c r="I345" t="n">
        <v>0</v>
      </c>
      <c r="J345" t="n">
        <v>0</v>
      </c>
      <c r="K345" t="n">
        <v>0</v>
      </c>
      <c r="L345" t="n">
        <v>0</v>
      </c>
      <c r="M345" t="n">
        <v>0</v>
      </c>
      <c r="N345" t="n">
        <v>0</v>
      </c>
      <c r="O345" t="n">
        <v>0</v>
      </c>
      <c r="P345" t="n">
        <v>0</v>
      </c>
      <c r="Q345" t="n">
        <v>0</v>
      </c>
      <c r="R345" s="2" t="inlineStr"/>
    </row>
    <row r="346" ht="15" customHeight="1">
      <c r="A346" t="inlineStr">
        <is>
          <t>A 26391-2025</t>
        </is>
      </c>
      <c r="B346" s="1" t="n">
        <v>45806</v>
      </c>
      <c r="C346" s="1" t="n">
        <v>46120</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27371-2025</t>
        </is>
      </c>
      <c r="B347" s="1" t="n">
        <v>45812</v>
      </c>
      <c r="C347" s="1" t="n">
        <v>46120</v>
      </c>
      <c r="D347" t="inlineStr">
        <is>
          <t>GOTLANDS LÄN</t>
        </is>
      </c>
      <c r="E347" t="inlineStr">
        <is>
          <t>GOTLAND</t>
        </is>
      </c>
      <c r="G347" t="n">
        <v>8</v>
      </c>
      <c r="H347" t="n">
        <v>0</v>
      </c>
      <c r="I347" t="n">
        <v>0</v>
      </c>
      <c r="J347" t="n">
        <v>0</v>
      </c>
      <c r="K347" t="n">
        <v>0</v>
      </c>
      <c r="L347" t="n">
        <v>0</v>
      </c>
      <c r="M347" t="n">
        <v>0</v>
      </c>
      <c r="N347" t="n">
        <v>0</v>
      </c>
      <c r="O347" t="n">
        <v>0</v>
      </c>
      <c r="P347" t="n">
        <v>0</v>
      </c>
      <c r="Q347" t="n">
        <v>0</v>
      </c>
      <c r="R347" s="2" t="inlineStr"/>
    </row>
    <row r="348" ht="15" customHeight="1">
      <c r="A348" t="inlineStr">
        <is>
          <t>A 12596-2023</t>
        </is>
      </c>
      <c r="B348" s="1" t="n">
        <v>45000.43310185185</v>
      </c>
      <c r="C348" s="1" t="n">
        <v>46120</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6960-2026</t>
        </is>
      </c>
      <c r="B349" s="1" t="n">
        <v>46057.58105324074</v>
      </c>
      <c r="C349" s="1" t="n">
        <v>46120</v>
      </c>
      <c r="D349" t="inlineStr">
        <is>
          <t>GOTLANDS LÄN</t>
        </is>
      </c>
      <c r="E349" t="inlineStr">
        <is>
          <t>GOTLAND</t>
        </is>
      </c>
      <c r="F349" t="inlineStr">
        <is>
          <t>Kyrkan</t>
        </is>
      </c>
      <c r="G349" t="n">
        <v>2.4</v>
      </c>
      <c r="H349" t="n">
        <v>0</v>
      </c>
      <c r="I349" t="n">
        <v>0</v>
      </c>
      <c r="J349" t="n">
        <v>0</v>
      </c>
      <c r="K349" t="n">
        <v>0</v>
      </c>
      <c r="L349" t="n">
        <v>0</v>
      </c>
      <c r="M349" t="n">
        <v>0</v>
      </c>
      <c r="N349" t="n">
        <v>0</v>
      </c>
      <c r="O349" t="n">
        <v>0</v>
      </c>
      <c r="P349" t="n">
        <v>0</v>
      </c>
      <c r="Q349" t="n">
        <v>0</v>
      </c>
      <c r="R349" s="2" t="inlineStr"/>
    </row>
    <row r="350" ht="15" customHeight="1">
      <c r="A350" t="inlineStr">
        <is>
          <t>A 2125-2025</t>
        </is>
      </c>
      <c r="B350" s="1" t="n">
        <v>45672.64940972222</v>
      </c>
      <c r="C350" s="1" t="n">
        <v>46120</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46836-2025</t>
        </is>
      </c>
      <c r="B351" s="1" t="n">
        <v>45928.31511574074</v>
      </c>
      <c r="C351" s="1" t="n">
        <v>46120</v>
      </c>
      <c r="D351" t="inlineStr">
        <is>
          <t>GOTLANDS LÄN</t>
        </is>
      </c>
      <c r="E351" t="inlineStr">
        <is>
          <t>GOTLAND</t>
        </is>
      </c>
      <c r="G351" t="n">
        <v>2.8</v>
      </c>
      <c r="H351" t="n">
        <v>0</v>
      </c>
      <c r="I351" t="n">
        <v>0</v>
      </c>
      <c r="J351" t="n">
        <v>0</v>
      </c>
      <c r="K351" t="n">
        <v>0</v>
      </c>
      <c r="L351" t="n">
        <v>0</v>
      </c>
      <c r="M351" t="n">
        <v>0</v>
      </c>
      <c r="N351" t="n">
        <v>0</v>
      </c>
      <c r="O351" t="n">
        <v>0</v>
      </c>
      <c r="P351" t="n">
        <v>0</v>
      </c>
      <c r="Q351" t="n">
        <v>0</v>
      </c>
      <c r="R351" s="2" t="inlineStr"/>
    </row>
    <row r="352" ht="15" customHeight="1">
      <c r="A352" t="inlineStr">
        <is>
          <t>A 12155-2023</t>
        </is>
      </c>
      <c r="B352" s="1" t="n">
        <v>44998.49106481481</v>
      </c>
      <c r="C352" s="1" t="n">
        <v>46120</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457-2023</t>
        </is>
      </c>
      <c r="B353" s="1" t="n">
        <v>44929.87238425926</v>
      </c>
      <c r="C353" s="1" t="n">
        <v>46120</v>
      </c>
      <c r="D353" t="inlineStr">
        <is>
          <t>GOTLANDS LÄN</t>
        </is>
      </c>
      <c r="E353" t="inlineStr">
        <is>
          <t>GOTLAND</t>
        </is>
      </c>
      <c r="G353" t="n">
        <v>2.4</v>
      </c>
      <c r="H353" t="n">
        <v>0</v>
      </c>
      <c r="I353" t="n">
        <v>0</v>
      </c>
      <c r="J353" t="n">
        <v>0</v>
      </c>
      <c r="K353" t="n">
        <v>0</v>
      </c>
      <c r="L353" t="n">
        <v>0</v>
      </c>
      <c r="M353" t="n">
        <v>0</v>
      </c>
      <c r="N353" t="n">
        <v>0</v>
      </c>
      <c r="O353" t="n">
        <v>0</v>
      </c>
      <c r="P353" t="n">
        <v>0</v>
      </c>
      <c r="Q353" t="n">
        <v>0</v>
      </c>
      <c r="R353" s="2" t="inlineStr"/>
    </row>
    <row r="354" ht="15" customHeight="1">
      <c r="A354" t="inlineStr">
        <is>
          <t>A 459-2023</t>
        </is>
      </c>
      <c r="B354" s="1" t="n">
        <v>44929.87423611111</v>
      </c>
      <c r="C354" s="1" t="n">
        <v>46120</v>
      </c>
      <c r="D354" t="inlineStr">
        <is>
          <t>GOTLANDS LÄN</t>
        </is>
      </c>
      <c r="E354" t="inlineStr">
        <is>
          <t>GOTLAND</t>
        </is>
      </c>
      <c r="G354" t="n">
        <v>4.2</v>
      </c>
      <c r="H354" t="n">
        <v>0</v>
      </c>
      <c r="I354" t="n">
        <v>0</v>
      </c>
      <c r="J354" t="n">
        <v>0</v>
      </c>
      <c r="K354" t="n">
        <v>0</v>
      </c>
      <c r="L354" t="n">
        <v>0</v>
      </c>
      <c r="M354" t="n">
        <v>0</v>
      </c>
      <c r="N354" t="n">
        <v>0</v>
      </c>
      <c r="O354" t="n">
        <v>0</v>
      </c>
      <c r="P354" t="n">
        <v>0</v>
      </c>
      <c r="Q354" t="n">
        <v>0</v>
      </c>
      <c r="R354" s="2" t="inlineStr"/>
    </row>
    <row r="355" ht="15" customHeight="1">
      <c r="A355" t="inlineStr">
        <is>
          <t>A 38234-2023</t>
        </is>
      </c>
      <c r="B355" s="1" t="n">
        <v>45161.56663194444</v>
      </c>
      <c r="C355" s="1" t="n">
        <v>46120</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27355-2025</t>
        </is>
      </c>
      <c r="B356" s="1" t="n">
        <v>45812</v>
      </c>
      <c r="C356" s="1" t="n">
        <v>46120</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50744-2024</t>
        </is>
      </c>
      <c r="B357" s="1" t="n">
        <v>45602.4187037037</v>
      </c>
      <c r="C357" s="1" t="n">
        <v>46120</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14840-2026</t>
        </is>
      </c>
      <c r="B358" s="1" t="n">
        <v>46104.39498842593</v>
      </c>
      <c r="C358" s="1" t="n">
        <v>46120</v>
      </c>
      <c r="D358" t="inlineStr">
        <is>
          <t>GOTLANDS LÄN</t>
        </is>
      </c>
      <c r="E358" t="inlineStr">
        <is>
          <t>GOTLAND</t>
        </is>
      </c>
      <c r="G358" t="n">
        <v>2.5</v>
      </c>
      <c r="H358" t="n">
        <v>0</v>
      </c>
      <c r="I358" t="n">
        <v>0</v>
      </c>
      <c r="J358" t="n">
        <v>0</v>
      </c>
      <c r="K358" t="n">
        <v>0</v>
      </c>
      <c r="L358" t="n">
        <v>0</v>
      </c>
      <c r="M358" t="n">
        <v>0</v>
      </c>
      <c r="N358" t="n">
        <v>0</v>
      </c>
      <c r="O358" t="n">
        <v>0</v>
      </c>
      <c r="P358" t="n">
        <v>0</v>
      </c>
      <c r="Q358" t="n">
        <v>0</v>
      </c>
      <c r="R358" s="2" t="inlineStr"/>
    </row>
    <row r="359" ht="15" customHeight="1">
      <c r="A359" t="inlineStr">
        <is>
          <t>A 7625-2026</t>
        </is>
      </c>
      <c r="B359" s="1" t="n">
        <v>46062.35135416667</v>
      </c>
      <c r="C359" s="1" t="n">
        <v>46120</v>
      </c>
      <c r="D359" t="inlineStr">
        <is>
          <t>GOTLANDS LÄN</t>
        </is>
      </c>
      <c r="E359" t="inlineStr">
        <is>
          <t>GOTLAND</t>
        </is>
      </c>
      <c r="G359" t="n">
        <v>2.1</v>
      </c>
      <c r="H359" t="n">
        <v>0</v>
      </c>
      <c r="I359" t="n">
        <v>0</v>
      </c>
      <c r="J359" t="n">
        <v>0</v>
      </c>
      <c r="K359" t="n">
        <v>0</v>
      </c>
      <c r="L359" t="n">
        <v>0</v>
      </c>
      <c r="M359" t="n">
        <v>0</v>
      </c>
      <c r="N359" t="n">
        <v>0</v>
      </c>
      <c r="O359" t="n">
        <v>0</v>
      </c>
      <c r="P359" t="n">
        <v>0</v>
      </c>
      <c r="Q359" t="n">
        <v>0</v>
      </c>
      <c r="R359" s="2" t="inlineStr"/>
    </row>
    <row r="360" ht="15" customHeight="1">
      <c r="A360" t="inlineStr">
        <is>
          <t>A 53934-2024</t>
        </is>
      </c>
      <c r="B360" s="1" t="n">
        <v>45615</v>
      </c>
      <c r="C360" s="1" t="n">
        <v>46120</v>
      </c>
      <c r="D360" t="inlineStr">
        <is>
          <t>GOTLANDS LÄN</t>
        </is>
      </c>
      <c r="E360" t="inlineStr">
        <is>
          <t>GOTLAND</t>
        </is>
      </c>
      <c r="G360" t="n">
        <v>5</v>
      </c>
      <c r="H360" t="n">
        <v>0</v>
      </c>
      <c r="I360" t="n">
        <v>0</v>
      </c>
      <c r="J360" t="n">
        <v>0</v>
      </c>
      <c r="K360" t="n">
        <v>0</v>
      </c>
      <c r="L360" t="n">
        <v>0</v>
      </c>
      <c r="M360" t="n">
        <v>0</v>
      </c>
      <c r="N360" t="n">
        <v>0</v>
      </c>
      <c r="O360" t="n">
        <v>0</v>
      </c>
      <c r="P360" t="n">
        <v>0</v>
      </c>
      <c r="Q360" t="n">
        <v>0</v>
      </c>
      <c r="R360" s="2" t="inlineStr"/>
    </row>
    <row r="361" ht="15" customHeight="1">
      <c r="A361" t="inlineStr">
        <is>
          <t>A 7627-2026</t>
        </is>
      </c>
      <c r="B361" s="1" t="n">
        <v>46062.35465277778</v>
      </c>
      <c r="C361" s="1" t="n">
        <v>46120</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62836-2025</t>
        </is>
      </c>
      <c r="B362" s="1" t="n">
        <v>46008</v>
      </c>
      <c r="C362" s="1" t="n">
        <v>46120</v>
      </c>
      <c r="D362" t="inlineStr">
        <is>
          <t>GOTLANDS LÄN</t>
        </is>
      </c>
      <c r="E362" t="inlineStr">
        <is>
          <t>GOTLAND</t>
        </is>
      </c>
      <c r="G362" t="n">
        <v>6.5</v>
      </c>
      <c r="H362" t="n">
        <v>0</v>
      </c>
      <c r="I362" t="n">
        <v>0</v>
      </c>
      <c r="J362" t="n">
        <v>0</v>
      </c>
      <c r="K362" t="n">
        <v>0</v>
      </c>
      <c r="L362" t="n">
        <v>0</v>
      </c>
      <c r="M362" t="n">
        <v>0</v>
      </c>
      <c r="N362" t="n">
        <v>0</v>
      </c>
      <c r="O362" t="n">
        <v>0</v>
      </c>
      <c r="P362" t="n">
        <v>0</v>
      </c>
      <c r="Q362" t="n">
        <v>0</v>
      </c>
      <c r="R362" s="2" t="inlineStr"/>
    </row>
    <row r="363" ht="15" customHeight="1">
      <c r="A363" t="inlineStr">
        <is>
          <t>A 47637-2025</t>
        </is>
      </c>
      <c r="B363" s="1" t="n">
        <v>45931.49753472222</v>
      </c>
      <c r="C363" s="1" t="n">
        <v>46120</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63105-2025</t>
        </is>
      </c>
      <c r="B364" s="1" t="n">
        <v>46009</v>
      </c>
      <c r="C364" s="1" t="n">
        <v>46120</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6739-2025</t>
        </is>
      </c>
      <c r="B365" s="1" t="n">
        <v>45700</v>
      </c>
      <c r="C365" s="1" t="n">
        <v>46120</v>
      </c>
      <c r="D365" t="inlineStr">
        <is>
          <t>GOTLANDS LÄN</t>
        </is>
      </c>
      <c r="E365" t="inlineStr">
        <is>
          <t>GOTLAND</t>
        </is>
      </c>
      <c r="G365" t="n">
        <v>4.5</v>
      </c>
      <c r="H365" t="n">
        <v>0</v>
      </c>
      <c r="I365" t="n">
        <v>0</v>
      </c>
      <c r="J365" t="n">
        <v>0</v>
      </c>
      <c r="K365" t="n">
        <v>0</v>
      </c>
      <c r="L365" t="n">
        <v>0</v>
      </c>
      <c r="M365" t="n">
        <v>0</v>
      </c>
      <c r="N365" t="n">
        <v>0</v>
      </c>
      <c r="O365" t="n">
        <v>0</v>
      </c>
      <c r="P365" t="n">
        <v>0</v>
      </c>
      <c r="Q365" t="n">
        <v>0</v>
      </c>
      <c r="R365" s="2" t="inlineStr"/>
    </row>
    <row r="366" ht="15" customHeight="1">
      <c r="A366" t="inlineStr">
        <is>
          <t>A 7850-2025</t>
        </is>
      </c>
      <c r="B366" s="1" t="n">
        <v>45706</v>
      </c>
      <c r="C366" s="1" t="n">
        <v>46120</v>
      </c>
      <c r="D366" t="inlineStr">
        <is>
          <t>GOTLANDS LÄN</t>
        </is>
      </c>
      <c r="E366" t="inlineStr">
        <is>
          <t>GOTLAND</t>
        </is>
      </c>
      <c r="G366" t="n">
        <v>0.5</v>
      </c>
      <c r="H366" t="n">
        <v>0</v>
      </c>
      <c r="I366" t="n">
        <v>0</v>
      </c>
      <c r="J366" t="n">
        <v>0</v>
      </c>
      <c r="K366" t="n">
        <v>0</v>
      </c>
      <c r="L366" t="n">
        <v>0</v>
      </c>
      <c r="M366" t="n">
        <v>0</v>
      </c>
      <c r="N366" t="n">
        <v>0</v>
      </c>
      <c r="O366" t="n">
        <v>0</v>
      </c>
      <c r="P366" t="n">
        <v>0</v>
      </c>
      <c r="Q366" t="n">
        <v>0</v>
      </c>
      <c r="R366" s="2" t="inlineStr"/>
    </row>
    <row r="367" ht="15" customHeight="1">
      <c r="A367" t="inlineStr">
        <is>
          <t>A 32378-2025</t>
        </is>
      </c>
      <c r="B367" s="1" t="n">
        <v>45837</v>
      </c>
      <c r="C367" s="1" t="n">
        <v>46120</v>
      </c>
      <c r="D367" t="inlineStr">
        <is>
          <t>GOTLANDS LÄN</t>
        </is>
      </c>
      <c r="E367" t="inlineStr">
        <is>
          <t>GOTLAND</t>
        </is>
      </c>
      <c r="G367" t="n">
        <v>4.1</v>
      </c>
      <c r="H367" t="n">
        <v>0</v>
      </c>
      <c r="I367" t="n">
        <v>0</v>
      </c>
      <c r="J367" t="n">
        <v>0</v>
      </c>
      <c r="K367" t="n">
        <v>0</v>
      </c>
      <c r="L367" t="n">
        <v>0</v>
      </c>
      <c r="M367" t="n">
        <v>0</v>
      </c>
      <c r="N367" t="n">
        <v>0</v>
      </c>
      <c r="O367" t="n">
        <v>0</v>
      </c>
      <c r="P367" t="n">
        <v>0</v>
      </c>
      <c r="Q367" t="n">
        <v>0</v>
      </c>
      <c r="R367" s="2" t="inlineStr"/>
    </row>
    <row r="368" ht="15" customHeight="1">
      <c r="A368" t="inlineStr">
        <is>
          <t>A 5863-2026</t>
        </is>
      </c>
      <c r="B368" s="1" t="n">
        <v>46052.36697916667</v>
      </c>
      <c r="C368" s="1" t="n">
        <v>46120</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2135-2026</t>
        </is>
      </c>
      <c r="B369" s="1" t="n">
        <v>46036</v>
      </c>
      <c r="C369" s="1" t="n">
        <v>46120</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35550-2025</t>
        </is>
      </c>
      <c r="B370" s="1" t="n">
        <v>45856.49324074074</v>
      </c>
      <c r="C370" s="1" t="n">
        <v>46120</v>
      </c>
      <c r="D370" t="inlineStr">
        <is>
          <t>GOTLANDS LÄN</t>
        </is>
      </c>
      <c r="E370" t="inlineStr">
        <is>
          <t>GOTLAND</t>
        </is>
      </c>
      <c r="G370" t="n">
        <v>3.2</v>
      </c>
      <c r="H370" t="n">
        <v>0</v>
      </c>
      <c r="I370" t="n">
        <v>0</v>
      </c>
      <c r="J370" t="n">
        <v>0</v>
      </c>
      <c r="K370" t="n">
        <v>0</v>
      </c>
      <c r="L370" t="n">
        <v>0</v>
      </c>
      <c r="M370" t="n">
        <v>0</v>
      </c>
      <c r="N370" t="n">
        <v>0</v>
      </c>
      <c r="O370" t="n">
        <v>0</v>
      </c>
      <c r="P370" t="n">
        <v>0</v>
      </c>
      <c r="Q370" t="n">
        <v>0</v>
      </c>
      <c r="R370" s="2" t="inlineStr"/>
    </row>
    <row r="371" ht="15" customHeight="1">
      <c r="A371" t="inlineStr">
        <is>
          <t>A 2134-2026</t>
        </is>
      </c>
      <c r="B371" s="1" t="n">
        <v>46036</v>
      </c>
      <c r="C371" s="1" t="n">
        <v>46120</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1446-2025</t>
        </is>
      </c>
      <c r="B372" s="1" t="n">
        <v>45669.86035879629</v>
      </c>
      <c r="C372" s="1" t="n">
        <v>46120</v>
      </c>
      <c r="D372" t="inlineStr">
        <is>
          <t>GOTLANDS LÄN</t>
        </is>
      </c>
      <c r="E372" t="inlineStr">
        <is>
          <t>GOTLAND</t>
        </is>
      </c>
      <c r="G372" t="n">
        <v>3.1</v>
      </c>
      <c r="H372" t="n">
        <v>0</v>
      </c>
      <c r="I372" t="n">
        <v>0</v>
      </c>
      <c r="J372" t="n">
        <v>0</v>
      </c>
      <c r="K372" t="n">
        <v>0</v>
      </c>
      <c r="L372" t="n">
        <v>0</v>
      </c>
      <c r="M372" t="n">
        <v>0</v>
      </c>
      <c r="N372" t="n">
        <v>0</v>
      </c>
      <c r="O372" t="n">
        <v>0</v>
      </c>
      <c r="P372" t="n">
        <v>0</v>
      </c>
      <c r="Q372" t="n">
        <v>0</v>
      </c>
      <c r="R372" s="2" t="inlineStr"/>
    </row>
    <row r="373" ht="15" customHeight="1">
      <c r="A373" t="inlineStr">
        <is>
          <t>A 47578-2025</t>
        </is>
      </c>
      <c r="B373" s="1" t="n">
        <v>45931</v>
      </c>
      <c r="C373" s="1" t="n">
        <v>46120</v>
      </c>
      <c r="D373" t="inlineStr">
        <is>
          <t>GOTLANDS LÄN</t>
        </is>
      </c>
      <c r="E373" t="inlineStr">
        <is>
          <t>GOTLAND</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31264-2021</t>
        </is>
      </c>
      <c r="B374" s="1" t="n">
        <v>44368</v>
      </c>
      <c r="C374" s="1" t="n">
        <v>46120</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49724-2025</t>
        </is>
      </c>
      <c r="B375" s="1" t="n">
        <v>45939.83730324074</v>
      </c>
      <c r="C375" s="1" t="n">
        <v>46120</v>
      </c>
      <c r="D375" t="inlineStr">
        <is>
          <t>GOTLANDS LÄN</t>
        </is>
      </c>
      <c r="E375" t="inlineStr">
        <is>
          <t>GOTLAND</t>
        </is>
      </c>
      <c r="F375" t="inlineStr">
        <is>
          <t>Kyrkan</t>
        </is>
      </c>
      <c r="G375" t="n">
        <v>3.1</v>
      </c>
      <c r="H375" t="n">
        <v>0</v>
      </c>
      <c r="I375" t="n">
        <v>0</v>
      </c>
      <c r="J375" t="n">
        <v>0</v>
      </c>
      <c r="K375" t="n">
        <v>0</v>
      </c>
      <c r="L375" t="n">
        <v>0</v>
      </c>
      <c r="M375" t="n">
        <v>0</v>
      </c>
      <c r="N375" t="n">
        <v>0</v>
      </c>
      <c r="O375" t="n">
        <v>0</v>
      </c>
      <c r="P375" t="n">
        <v>0</v>
      </c>
      <c r="Q375" t="n">
        <v>0</v>
      </c>
      <c r="R375" s="2" t="inlineStr"/>
    </row>
    <row r="376" ht="15" customHeight="1">
      <c r="A376" t="inlineStr">
        <is>
          <t>A 49730-2025</t>
        </is>
      </c>
      <c r="B376" s="1" t="n">
        <v>45939.87613425926</v>
      </c>
      <c r="C376" s="1" t="n">
        <v>46120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43901-2023</t>
        </is>
      </c>
      <c r="B377" s="1" t="n">
        <v>45187</v>
      </c>
      <c r="C377" s="1" t="n">
        <v>46120</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10746-2025</t>
        </is>
      </c>
      <c r="B378" s="1" t="n">
        <v>45722.42766203704</v>
      </c>
      <c r="C378" s="1" t="n">
        <v>46120</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49690-2025</t>
        </is>
      </c>
      <c r="B379" s="1" t="n">
        <v>45939.66730324074</v>
      </c>
      <c r="C379" s="1" t="n">
        <v>46120</v>
      </c>
      <c r="D379" t="inlineStr">
        <is>
          <t>GOTLANDS LÄN</t>
        </is>
      </c>
      <c r="E379" t="inlineStr">
        <is>
          <t>GOTLAND</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33011-2025</t>
        </is>
      </c>
      <c r="B380" s="1" t="n">
        <v>45840</v>
      </c>
      <c r="C380" s="1" t="n">
        <v>46120</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16501-2023</t>
        </is>
      </c>
      <c r="B381" s="1" t="n">
        <v>45029</v>
      </c>
      <c r="C381" s="1" t="n">
        <v>46120</v>
      </c>
      <c r="D381" t="inlineStr">
        <is>
          <t>GOTLANDS LÄN</t>
        </is>
      </c>
      <c r="E381" t="inlineStr">
        <is>
          <t>GOTLAND</t>
        </is>
      </c>
      <c r="G381" t="n">
        <v>3.1</v>
      </c>
      <c r="H381" t="n">
        <v>0</v>
      </c>
      <c r="I381" t="n">
        <v>0</v>
      </c>
      <c r="J381" t="n">
        <v>0</v>
      </c>
      <c r="K381" t="n">
        <v>0</v>
      </c>
      <c r="L381" t="n">
        <v>0</v>
      </c>
      <c r="M381" t="n">
        <v>0</v>
      </c>
      <c r="N381" t="n">
        <v>0</v>
      </c>
      <c r="O381" t="n">
        <v>0</v>
      </c>
      <c r="P381" t="n">
        <v>0</v>
      </c>
      <c r="Q381" t="n">
        <v>0</v>
      </c>
      <c r="R381" s="2" t="inlineStr"/>
    </row>
    <row r="382" ht="15" customHeight="1">
      <c r="A382" t="inlineStr">
        <is>
          <t>A 50421-2025</t>
        </is>
      </c>
      <c r="B382" s="1" t="n">
        <v>45944.66049768519</v>
      </c>
      <c r="C382" s="1" t="n">
        <v>46120</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27930-2021</t>
        </is>
      </c>
      <c r="B383" s="1" t="n">
        <v>44354</v>
      </c>
      <c r="C383" s="1" t="n">
        <v>46120</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63000-2025</t>
        </is>
      </c>
      <c r="B384" s="1" t="n">
        <v>46009</v>
      </c>
      <c r="C384" s="1" t="n">
        <v>46120</v>
      </c>
      <c r="D384" t="inlineStr">
        <is>
          <t>GOTLANDS LÄN</t>
        </is>
      </c>
      <c r="E384" t="inlineStr">
        <is>
          <t>GOTLAND</t>
        </is>
      </c>
      <c r="F384" t="inlineStr">
        <is>
          <t>Övriga Aktiebolag</t>
        </is>
      </c>
      <c r="G384" t="n">
        <v>1.7</v>
      </c>
      <c r="H384" t="n">
        <v>0</v>
      </c>
      <c r="I384" t="n">
        <v>0</v>
      </c>
      <c r="J384" t="n">
        <v>0</v>
      </c>
      <c r="K384" t="n">
        <v>0</v>
      </c>
      <c r="L384" t="n">
        <v>0</v>
      </c>
      <c r="M384" t="n">
        <v>0</v>
      </c>
      <c r="N384" t="n">
        <v>0</v>
      </c>
      <c r="O384" t="n">
        <v>0</v>
      </c>
      <c r="P384" t="n">
        <v>0</v>
      </c>
      <c r="Q384" t="n">
        <v>0</v>
      </c>
      <c r="R384" s="2" t="inlineStr"/>
    </row>
    <row r="385" ht="15" customHeight="1">
      <c r="A385" t="inlineStr">
        <is>
          <t>A 50431-2025</t>
        </is>
      </c>
      <c r="B385" s="1" t="n">
        <v>45944.68453703704</v>
      </c>
      <c r="C385" s="1" t="n">
        <v>46120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61962-2024</t>
        </is>
      </c>
      <c r="B386" s="1" t="n">
        <v>45653.54340277778</v>
      </c>
      <c r="C386" s="1" t="n">
        <v>46120</v>
      </c>
      <c r="D386" t="inlineStr">
        <is>
          <t>GOTLANDS LÄN</t>
        </is>
      </c>
      <c r="E386" t="inlineStr">
        <is>
          <t>GOTLAND</t>
        </is>
      </c>
      <c r="G386" t="n">
        <v>0.7</v>
      </c>
      <c r="H386" t="n">
        <v>0</v>
      </c>
      <c r="I386" t="n">
        <v>0</v>
      </c>
      <c r="J386" t="n">
        <v>0</v>
      </c>
      <c r="K386" t="n">
        <v>0</v>
      </c>
      <c r="L386" t="n">
        <v>0</v>
      </c>
      <c r="M386" t="n">
        <v>0</v>
      </c>
      <c r="N386" t="n">
        <v>0</v>
      </c>
      <c r="O386" t="n">
        <v>0</v>
      </c>
      <c r="P386" t="n">
        <v>0</v>
      </c>
      <c r="Q386" t="n">
        <v>0</v>
      </c>
      <c r="R386" s="2" t="inlineStr"/>
    </row>
    <row r="387" ht="15" customHeight="1">
      <c r="A387" t="inlineStr">
        <is>
          <t>A 50928-2025</t>
        </is>
      </c>
      <c r="B387" s="1" t="n">
        <v>45946.67896990741</v>
      </c>
      <c r="C387" s="1" t="n">
        <v>46120</v>
      </c>
      <c r="D387" t="inlineStr">
        <is>
          <t>GOTLANDS LÄN</t>
        </is>
      </c>
      <c r="E387" t="inlineStr">
        <is>
          <t>GOTLAND</t>
        </is>
      </c>
      <c r="G387" t="n">
        <v>1.3</v>
      </c>
      <c r="H387" t="n">
        <v>0</v>
      </c>
      <c r="I387" t="n">
        <v>0</v>
      </c>
      <c r="J387" t="n">
        <v>0</v>
      </c>
      <c r="K387" t="n">
        <v>0</v>
      </c>
      <c r="L387" t="n">
        <v>0</v>
      </c>
      <c r="M387" t="n">
        <v>0</v>
      </c>
      <c r="N387" t="n">
        <v>0</v>
      </c>
      <c r="O387" t="n">
        <v>0</v>
      </c>
      <c r="P387" t="n">
        <v>0</v>
      </c>
      <c r="Q387" t="n">
        <v>0</v>
      </c>
      <c r="R387" s="2" t="inlineStr"/>
    </row>
    <row r="388" ht="15" customHeight="1">
      <c r="A388" t="inlineStr">
        <is>
          <t>A 10492-2023</t>
        </is>
      </c>
      <c r="B388" s="1" t="n">
        <v>44987</v>
      </c>
      <c r="C388" s="1" t="n">
        <v>46120</v>
      </c>
      <c r="D388" t="inlineStr">
        <is>
          <t>GOTLANDS LÄN</t>
        </is>
      </c>
      <c r="E388" t="inlineStr">
        <is>
          <t>GOTLAND</t>
        </is>
      </c>
      <c r="G388" t="n">
        <v>1</v>
      </c>
      <c r="H388" t="n">
        <v>0</v>
      </c>
      <c r="I388" t="n">
        <v>0</v>
      </c>
      <c r="J388" t="n">
        <v>0</v>
      </c>
      <c r="K388" t="n">
        <v>0</v>
      </c>
      <c r="L388" t="n">
        <v>0</v>
      </c>
      <c r="M388" t="n">
        <v>0</v>
      </c>
      <c r="N388" t="n">
        <v>0</v>
      </c>
      <c r="O388" t="n">
        <v>0</v>
      </c>
      <c r="P388" t="n">
        <v>0</v>
      </c>
      <c r="Q388" t="n">
        <v>0</v>
      </c>
      <c r="R388" s="2" t="inlineStr"/>
    </row>
    <row r="389" ht="15" customHeight="1">
      <c r="A389" t="inlineStr">
        <is>
          <t>A 53561-2025</t>
        </is>
      </c>
      <c r="B389" s="1" t="n">
        <v>45960.4059375</v>
      </c>
      <c r="C389" s="1" t="n">
        <v>46120</v>
      </c>
      <c r="D389" t="inlineStr">
        <is>
          <t>GOTLANDS LÄN</t>
        </is>
      </c>
      <c r="E389" t="inlineStr">
        <is>
          <t>GOTLAND</t>
        </is>
      </c>
      <c r="F389" t="inlineStr">
        <is>
          <t>Övriga Aktiebolag</t>
        </is>
      </c>
      <c r="G389" t="n">
        <v>2.4</v>
      </c>
      <c r="H389" t="n">
        <v>0</v>
      </c>
      <c r="I389" t="n">
        <v>0</v>
      </c>
      <c r="J389" t="n">
        <v>0</v>
      </c>
      <c r="K389" t="n">
        <v>0</v>
      </c>
      <c r="L389" t="n">
        <v>0</v>
      </c>
      <c r="M389" t="n">
        <v>0</v>
      </c>
      <c r="N389" t="n">
        <v>0</v>
      </c>
      <c r="O389" t="n">
        <v>0</v>
      </c>
      <c r="P389" t="n">
        <v>0</v>
      </c>
      <c r="Q389" t="n">
        <v>0</v>
      </c>
      <c r="R389" s="2" t="inlineStr"/>
    </row>
    <row r="390" ht="15" customHeight="1">
      <c r="A390" t="inlineStr">
        <is>
          <t>A 8444-2025</t>
        </is>
      </c>
      <c r="B390" s="1" t="n">
        <v>45709</v>
      </c>
      <c r="C390" s="1" t="n">
        <v>46120</v>
      </c>
      <c r="D390" t="inlineStr">
        <is>
          <t>GOTLANDS LÄN</t>
        </is>
      </c>
      <c r="E390" t="inlineStr">
        <is>
          <t>GOTLAND</t>
        </is>
      </c>
      <c r="G390" t="n">
        <v>5.2</v>
      </c>
      <c r="H390" t="n">
        <v>0</v>
      </c>
      <c r="I390" t="n">
        <v>0</v>
      </c>
      <c r="J390" t="n">
        <v>0</v>
      </c>
      <c r="K390" t="n">
        <v>0</v>
      </c>
      <c r="L390" t="n">
        <v>0</v>
      </c>
      <c r="M390" t="n">
        <v>0</v>
      </c>
      <c r="N390" t="n">
        <v>0</v>
      </c>
      <c r="O390" t="n">
        <v>0</v>
      </c>
      <c r="P390" t="n">
        <v>0</v>
      </c>
      <c r="Q390" t="n">
        <v>0</v>
      </c>
      <c r="R390" s="2" t="inlineStr"/>
    </row>
    <row r="391" ht="15" customHeight="1">
      <c r="A391" t="inlineStr">
        <is>
          <t>A 5909-2025</t>
        </is>
      </c>
      <c r="B391" s="1" t="n">
        <v>45695.40634259259</v>
      </c>
      <c r="C391" s="1" t="n">
        <v>46120</v>
      </c>
      <c r="D391" t="inlineStr">
        <is>
          <t>GOTLANDS LÄN</t>
        </is>
      </c>
      <c r="E391" t="inlineStr">
        <is>
          <t>GOTLAND</t>
        </is>
      </c>
      <c r="G391" t="n">
        <v>2.9</v>
      </c>
      <c r="H391" t="n">
        <v>0</v>
      </c>
      <c r="I391" t="n">
        <v>0</v>
      </c>
      <c r="J391" t="n">
        <v>0</v>
      </c>
      <c r="K391" t="n">
        <v>0</v>
      </c>
      <c r="L391" t="n">
        <v>0</v>
      </c>
      <c r="M391" t="n">
        <v>0</v>
      </c>
      <c r="N391" t="n">
        <v>0</v>
      </c>
      <c r="O391" t="n">
        <v>0</v>
      </c>
      <c r="P391" t="n">
        <v>0</v>
      </c>
      <c r="Q391" t="n">
        <v>0</v>
      </c>
      <c r="R391" s="2" t="inlineStr"/>
    </row>
    <row r="392" ht="15" customHeight="1">
      <c r="A392" t="inlineStr">
        <is>
          <t>A 10653-2023</t>
        </is>
      </c>
      <c r="B392" s="1" t="n">
        <v>44988.48859953704</v>
      </c>
      <c r="C392" s="1" t="n">
        <v>46120</v>
      </c>
      <c r="D392" t="inlineStr">
        <is>
          <t>GOTLANDS LÄN</t>
        </is>
      </c>
      <c r="E392" t="inlineStr">
        <is>
          <t>GOTLAND</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51262-2025</t>
        </is>
      </c>
      <c r="B393" s="1" t="n">
        <v>45949.49872685185</v>
      </c>
      <c r="C393" s="1" t="n">
        <v>46120</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4990-2025</t>
        </is>
      </c>
      <c r="B394" s="1" t="n">
        <v>45691</v>
      </c>
      <c r="C394" s="1" t="n">
        <v>46120</v>
      </c>
      <c r="D394" t="inlineStr">
        <is>
          <t>GOTLANDS LÄN</t>
        </is>
      </c>
      <c r="E394" t="inlineStr">
        <is>
          <t>GOTLAND</t>
        </is>
      </c>
      <c r="G394" t="n">
        <v>7.7</v>
      </c>
      <c r="H394" t="n">
        <v>0</v>
      </c>
      <c r="I394" t="n">
        <v>0</v>
      </c>
      <c r="J394" t="n">
        <v>0</v>
      </c>
      <c r="K394" t="n">
        <v>0</v>
      </c>
      <c r="L394" t="n">
        <v>0</v>
      </c>
      <c r="M394" t="n">
        <v>0</v>
      </c>
      <c r="N394" t="n">
        <v>0</v>
      </c>
      <c r="O394" t="n">
        <v>0</v>
      </c>
      <c r="P394" t="n">
        <v>0</v>
      </c>
      <c r="Q394" t="n">
        <v>0</v>
      </c>
      <c r="R394" s="2" t="inlineStr"/>
    </row>
    <row r="395" ht="15" customHeight="1">
      <c r="A395" t="inlineStr">
        <is>
          <t>A 62751-2025</t>
        </is>
      </c>
      <c r="B395" s="1" t="n">
        <v>46008</v>
      </c>
      <c r="C395" s="1" t="n">
        <v>46120</v>
      </c>
      <c r="D395" t="inlineStr">
        <is>
          <t>GOTLANDS LÄN</t>
        </is>
      </c>
      <c r="E395" t="inlineStr">
        <is>
          <t>GOTLAND</t>
        </is>
      </c>
      <c r="F395" t="inlineStr">
        <is>
          <t>Övriga Aktiebolag</t>
        </is>
      </c>
      <c r="G395" t="n">
        <v>7.8</v>
      </c>
      <c r="H395" t="n">
        <v>0</v>
      </c>
      <c r="I395" t="n">
        <v>0</v>
      </c>
      <c r="J395" t="n">
        <v>0</v>
      </c>
      <c r="K395" t="n">
        <v>0</v>
      </c>
      <c r="L395" t="n">
        <v>0</v>
      </c>
      <c r="M395" t="n">
        <v>0</v>
      </c>
      <c r="N395" t="n">
        <v>0</v>
      </c>
      <c r="O395" t="n">
        <v>0</v>
      </c>
      <c r="P395" t="n">
        <v>0</v>
      </c>
      <c r="Q395" t="n">
        <v>0</v>
      </c>
      <c r="R395" s="2" t="inlineStr"/>
    </row>
    <row r="396" ht="15" customHeight="1">
      <c r="A396" t="inlineStr">
        <is>
          <t>A 62754-2025</t>
        </is>
      </c>
      <c r="B396" s="1" t="n">
        <v>46008</v>
      </c>
      <c r="C396" s="1" t="n">
        <v>46120</v>
      </c>
      <c r="D396" t="inlineStr">
        <is>
          <t>GOTLANDS LÄN</t>
        </is>
      </c>
      <c r="E396" t="inlineStr">
        <is>
          <t>GOTLAND</t>
        </is>
      </c>
      <c r="F396" t="inlineStr">
        <is>
          <t>Övriga Aktiebolag</t>
        </is>
      </c>
      <c r="G396" t="n">
        <v>2.9</v>
      </c>
      <c r="H396" t="n">
        <v>0</v>
      </c>
      <c r="I396" t="n">
        <v>0</v>
      </c>
      <c r="J396" t="n">
        <v>0</v>
      </c>
      <c r="K396" t="n">
        <v>0</v>
      </c>
      <c r="L396" t="n">
        <v>0</v>
      </c>
      <c r="M396" t="n">
        <v>0</v>
      </c>
      <c r="N396" t="n">
        <v>0</v>
      </c>
      <c r="O396" t="n">
        <v>0</v>
      </c>
      <c r="P396" t="n">
        <v>0</v>
      </c>
      <c r="Q396" t="n">
        <v>0</v>
      </c>
      <c r="R396" s="2" t="inlineStr"/>
    </row>
    <row r="397" ht="15" customHeight="1">
      <c r="A397" t="inlineStr">
        <is>
          <t>A 53587-2025</t>
        </is>
      </c>
      <c r="B397" s="1" t="n">
        <v>45960.43681712963</v>
      </c>
      <c r="C397" s="1" t="n">
        <v>46120</v>
      </c>
      <c r="D397" t="inlineStr">
        <is>
          <t>GOTLANDS LÄN</t>
        </is>
      </c>
      <c r="E397" t="inlineStr">
        <is>
          <t>GOTLAND</t>
        </is>
      </c>
      <c r="F397" t="inlineStr">
        <is>
          <t>Övriga Aktiebolag</t>
        </is>
      </c>
      <c r="G397" t="n">
        <v>1.7</v>
      </c>
      <c r="H397" t="n">
        <v>0</v>
      </c>
      <c r="I397" t="n">
        <v>0</v>
      </c>
      <c r="J397" t="n">
        <v>0</v>
      </c>
      <c r="K397" t="n">
        <v>0</v>
      </c>
      <c r="L397" t="n">
        <v>0</v>
      </c>
      <c r="M397" t="n">
        <v>0</v>
      </c>
      <c r="N397" t="n">
        <v>0</v>
      </c>
      <c r="O397" t="n">
        <v>0</v>
      </c>
      <c r="P397" t="n">
        <v>0</v>
      </c>
      <c r="Q397" t="n">
        <v>0</v>
      </c>
      <c r="R397" s="2" t="inlineStr"/>
    </row>
    <row r="398" ht="15" customHeight="1">
      <c r="A398" t="inlineStr">
        <is>
          <t>A 43081-2022</t>
        </is>
      </c>
      <c r="B398" s="1" t="n">
        <v>44833</v>
      </c>
      <c r="C398" s="1" t="n">
        <v>46120</v>
      </c>
      <c r="D398" t="inlineStr">
        <is>
          <t>GOTLANDS LÄN</t>
        </is>
      </c>
      <c r="E398" t="inlineStr">
        <is>
          <t>GOTLAND</t>
        </is>
      </c>
      <c r="G398" t="n">
        <v>6.8</v>
      </c>
      <c r="H398" t="n">
        <v>0</v>
      </c>
      <c r="I398" t="n">
        <v>0</v>
      </c>
      <c r="J398" t="n">
        <v>0</v>
      </c>
      <c r="K398" t="n">
        <v>0</v>
      </c>
      <c r="L398" t="n">
        <v>0</v>
      </c>
      <c r="M398" t="n">
        <v>0</v>
      </c>
      <c r="N398" t="n">
        <v>0</v>
      </c>
      <c r="O398" t="n">
        <v>0</v>
      </c>
      <c r="P398" t="n">
        <v>0</v>
      </c>
      <c r="Q398" t="n">
        <v>0</v>
      </c>
      <c r="R398" s="2" t="inlineStr"/>
    </row>
    <row r="399" ht="15" customHeight="1">
      <c r="A399" t="inlineStr">
        <is>
          <t>A 9504-2026</t>
        </is>
      </c>
      <c r="B399" s="1" t="n">
        <v>46071.57730324074</v>
      </c>
      <c r="C399" s="1" t="n">
        <v>46120</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9518-2026</t>
        </is>
      </c>
      <c r="B400" s="1" t="n">
        <v>46071.59653935185</v>
      </c>
      <c r="C400" s="1" t="n">
        <v>46120</v>
      </c>
      <c r="D400" t="inlineStr">
        <is>
          <t>GOTLANDS LÄN</t>
        </is>
      </c>
      <c r="E400" t="inlineStr">
        <is>
          <t>GOTLAND</t>
        </is>
      </c>
      <c r="G400" t="n">
        <v>6.2</v>
      </c>
      <c r="H400" t="n">
        <v>0</v>
      </c>
      <c r="I400" t="n">
        <v>0</v>
      </c>
      <c r="J400" t="n">
        <v>0</v>
      </c>
      <c r="K400" t="n">
        <v>0</v>
      </c>
      <c r="L400" t="n">
        <v>0</v>
      </c>
      <c r="M400" t="n">
        <v>0</v>
      </c>
      <c r="N400" t="n">
        <v>0</v>
      </c>
      <c r="O400" t="n">
        <v>0</v>
      </c>
      <c r="P400" t="n">
        <v>0</v>
      </c>
      <c r="Q400" t="n">
        <v>0</v>
      </c>
      <c r="R400" s="2" t="inlineStr"/>
    </row>
    <row r="401" ht="15" customHeight="1">
      <c r="A401" t="inlineStr">
        <is>
          <t>A 9519-2026</t>
        </is>
      </c>
      <c r="B401" s="1" t="n">
        <v>46071.59820601852</v>
      </c>
      <c r="C401" s="1" t="n">
        <v>46120</v>
      </c>
      <c r="D401" t="inlineStr">
        <is>
          <t>GOTLANDS LÄN</t>
        </is>
      </c>
      <c r="E401" t="inlineStr">
        <is>
          <t>GOTLAND</t>
        </is>
      </c>
      <c r="G401" t="n">
        <v>4</v>
      </c>
      <c r="H401" t="n">
        <v>0</v>
      </c>
      <c r="I401" t="n">
        <v>0</v>
      </c>
      <c r="J401" t="n">
        <v>0</v>
      </c>
      <c r="K401" t="n">
        <v>0</v>
      </c>
      <c r="L401" t="n">
        <v>0</v>
      </c>
      <c r="M401" t="n">
        <v>0</v>
      </c>
      <c r="N401" t="n">
        <v>0</v>
      </c>
      <c r="O401" t="n">
        <v>0</v>
      </c>
      <c r="P401" t="n">
        <v>0</v>
      </c>
      <c r="Q401" t="n">
        <v>0</v>
      </c>
      <c r="R401" s="2" t="inlineStr"/>
    </row>
    <row r="402" ht="15" customHeight="1">
      <c r="A402" t="inlineStr">
        <is>
          <t>A 52249-2025</t>
        </is>
      </c>
      <c r="B402" s="1" t="n">
        <v>45953.48637731482</v>
      </c>
      <c r="C402" s="1" t="n">
        <v>46120</v>
      </c>
      <c r="D402" t="inlineStr">
        <is>
          <t>GOTLANDS LÄN</t>
        </is>
      </c>
      <c r="E402" t="inlineStr">
        <is>
          <t>GOTLAND</t>
        </is>
      </c>
      <c r="F402" t="inlineStr">
        <is>
          <t>Övriga Aktiebolag</t>
        </is>
      </c>
      <c r="G402" t="n">
        <v>1</v>
      </c>
      <c r="H402" t="n">
        <v>0</v>
      </c>
      <c r="I402" t="n">
        <v>0</v>
      </c>
      <c r="J402" t="n">
        <v>0</v>
      </c>
      <c r="K402" t="n">
        <v>0</v>
      </c>
      <c r="L402" t="n">
        <v>0</v>
      </c>
      <c r="M402" t="n">
        <v>0</v>
      </c>
      <c r="N402" t="n">
        <v>0</v>
      </c>
      <c r="O402" t="n">
        <v>0</v>
      </c>
      <c r="P402" t="n">
        <v>0</v>
      </c>
      <c r="Q402" t="n">
        <v>0</v>
      </c>
      <c r="R402" s="2" t="inlineStr"/>
    </row>
    <row r="403" ht="15" customHeight="1">
      <c r="A403" t="inlineStr">
        <is>
          <t>A 32958-2021</t>
        </is>
      </c>
      <c r="B403" s="1" t="n">
        <v>44376</v>
      </c>
      <c r="C403" s="1" t="n">
        <v>46120</v>
      </c>
      <c r="D403" t="inlineStr">
        <is>
          <t>GOTLANDS LÄN</t>
        </is>
      </c>
      <c r="E403" t="inlineStr">
        <is>
          <t>GOTLAND</t>
        </is>
      </c>
      <c r="G403" t="n">
        <v>2.2</v>
      </c>
      <c r="H403" t="n">
        <v>0</v>
      </c>
      <c r="I403" t="n">
        <v>0</v>
      </c>
      <c r="J403" t="n">
        <v>0</v>
      </c>
      <c r="K403" t="n">
        <v>0</v>
      </c>
      <c r="L403" t="n">
        <v>0</v>
      </c>
      <c r="M403" t="n">
        <v>0</v>
      </c>
      <c r="N403" t="n">
        <v>0</v>
      </c>
      <c r="O403" t="n">
        <v>0</v>
      </c>
      <c r="P403" t="n">
        <v>0</v>
      </c>
      <c r="Q403" t="n">
        <v>0</v>
      </c>
      <c r="R403" s="2" t="inlineStr"/>
    </row>
    <row r="404" ht="15" customHeight="1">
      <c r="A404" t="inlineStr">
        <is>
          <t>A 9540-2026</t>
        </is>
      </c>
      <c r="B404" s="1" t="n">
        <v>46071.61961805556</v>
      </c>
      <c r="C404" s="1" t="n">
        <v>46120</v>
      </c>
      <c r="D404" t="inlineStr">
        <is>
          <t>GOTLANDS LÄN</t>
        </is>
      </c>
      <c r="E404" t="inlineStr">
        <is>
          <t>GOTLAND</t>
        </is>
      </c>
      <c r="G404" t="n">
        <v>2.8</v>
      </c>
      <c r="H404" t="n">
        <v>0</v>
      </c>
      <c r="I404" t="n">
        <v>0</v>
      </c>
      <c r="J404" t="n">
        <v>0</v>
      </c>
      <c r="K404" t="n">
        <v>0</v>
      </c>
      <c r="L404" t="n">
        <v>0</v>
      </c>
      <c r="M404" t="n">
        <v>0</v>
      </c>
      <c r="N404" t="n">
        <v>0</v>
      </c>
      <c r="O404" t="n">
        <v>0</v>
      </c>
      <c r="P404" t="n">
        <v>0</v>
      </c>
      <c r="Q404" t="n">
        <v>0</v>
      </c>
      <c r="R404" s="2" t="inlineStr"/>
    </row>
    <row r="405" ht="15" customHeight="1">
      <c r="A405" t="inlineStr">
        <is>
          <t>A 5884-2025</t>
        </is>
      </c>
      <c r="B405" s="1" t="n">
        <v>45695.37482638889</v>
      </c>
      <c r="C405" s="1" t="n">
        <v>46120</v>
      </c>
      <c r="D405" t="inlineStr">
        <is>
          <t>GOTLANDS LÄN</t>
        </is>
      </c>
      <c r="E405" t="inlineStr">
        <is>
          <t>GOTLAND</t>
        </is>
      </c>
      <c r="G405" t="n">
        <v>2.1</v>
      </c>
      <c r="H405" t="n">
        <v>0</v>
      </c>
      <c r="I405" t="n">
        <v>0</v>
      </c>
      <c r="J405" t="n">
        <v>0</v>
      </c>
      <c r="K405" t="n">
        <v>0</v>
      </c>
      <c r="L405" t="n">
        <v>0</v>
      </c>
      <c r="M405" t="n">
        <v>0</v>
      </c>
      <c r="N405" t="n">
        <v>0</v>
      </c>
      <c r="O405" t="n">
        <v>0</v>
      </c>
      <c r="P405" t="n">
        <v>0</v>
      </c>
      <c r="Q405" t="n">
        <v>0</v>
      </c>
      <c r="R405" s="2" t="inlineStr"/>
    </row>
    <row r="406" ht="15" customHeight="1">
      <c r="A406" t="inlineStr">
        <is>
          <t>A 5897-2025</t>
        </is>
      </c>
      <c r="B406" s="1" t="n">
        <v>45695.39273148148</v>
      </c>
      <c r="C406" s="1" t="n">
        <v>46120</v>
      </c>
      <c r="D406" t="inlineStr">
        <is>
          <t>GOTLANDS LÄN</t>
        </is>
      </c>
      <c r="E406" t="inlineStr">
        <is>
          <t>GOTLAND</t>
        </is>
      </c>
      <c r="G406" t="n">
        <v>3.7</v>
      </c>
      <c r="H406" t="n">
        <v>0</v>
      </c>
      <c r="I406" t="n">
        <v>0</v>
      </c>
      <c r="J406" t="n">
        <v>0</v>
      </c>
      <c r="K406" t="n">
        <v>0</v>
      </c>
      <c r="L406" t="n">
        <v>0</v>
      </c>
      <c r="M406" t="n">
        <v>0</v>
      </c>
      <c r="N406" t="n">
        <v>0</v>
      </c>
      <c r="O406" t="n">
        <v>0</v>
      </c>
      <c r="P406" t="n">
        <v>0</v>
      </c>
      <c r="Q406" t="n">
        <v>0</v>
      </c>
      <c r="R406" s="2" t="inlineStr"/>
    </row>
    <row r="407" ht="15" customHeight="1">
      <c r="A407" t="inlineStr">
        <is>
          <t>A 9521-2026</t>
        </is>
      </c>
      <c r="B407" s="1" t="n">
        <v>46071.59969907408</v>
      </c>
      <c r="C407" s="1" t="n">
        <v>46120</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9524-2026</t>
        </is>
      </c>
      <c r="B408" s="1" t="n">
        <v>46071.60108796296</v>
      </c>
      <c r="C408" s="1" t="n">
        <v>46120</v>
      </c>
      <c r="D408" t="inlineStr">
        <is>
          <t>GOTLANDS LÄN</t>
        </is>
      </c>
      <c r="E408" t="inlineStr">
        <is>
          <t>GOTLAND</t>
        </is>
      </c>
      <c r="G408" t="n">
        <v>2.5</v>
      </c>
      <c r="H408" t="n">
        <v>0</v>
      </c>
      <c r="I408" t="n">
        <v>0</v>
      </c>
      <c r="J408" t="n">
        <v>0</v>
      </c>
      <c r="K408" t="n">
        <v>0</v>
      </c>
      <c r="L408" t="n">
        <v>0</v>
      </c>
      <c r="M408" t="n">
        <v>0</v>
      </c>
      <c r="N408" t="n">
        <v>0</v>
      </c>
      <c r="O408" t="n">
        <v>0</v>
      </c>
      <c r="P408" t="n">
        <v>0</v>
      </c>
      <c r="Q408" t="n">
        <v>0</v>
      </c>
      <c r="R408" s="2" t="inlineStr"/>
    </row>
    <row r="409" ht="15" customHeight="1">
      <c r="A409" t="inlineStr">
        <is>
          <t>A 9543-2026</t>
        </is>
      </c>
      <c r="B409" s="1" t="n">
        <v>46071.62486111111</v>
      </c>
      <c r="C409" s="1" t="n">
        <v>46120</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49693-2023</t>
        </is>
      </c>
      <c r="B410" s="1" t="n">
        <v>45212.38138888889</v>
      </c>
      <c r="C410" s="1" t="n">
        <v>46120</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49697-2023</t>
        </is>
      </c>
      <c r="B411" s="1" t="n">
        <v>45212.38909722222</v>
      </c>
      <c r="C411" s="1" t="n">
        <v>46120</v>
      </c>
      <c r="D411" t="inlineStr">
        <is>
          <t>GOTLANDS LÄN</t>
        </is>
      </c>
      <c r="E411" t="inlineStr">
        <is>
          <t>GOTLAND</t>
        </is>
      </c>
      <c r="G411" t="n">
        <v>4.4</v>
      </c>
      <c r="H411" t="n">
        <v>0</v>
      </c>
      <c r="I411" t="n">
        <v>0</v>
      </c>
      <c r="J411" t="n">
        <v>0</v>
      </c>
      <c r="K411" t="n">
        <v>0</v>
      </c>
      <c r="L411" t="n">
        <v>0</v>
      </c>
      <c r="M411" t="n">
        <v>0</v>
      </c>
      <c r="N411" t="n">
        <v>0</v>
      </c>
      <c r="O411" t="n">
        <v>0</v>
      </c>
      <c r="P411" t="n">
        <v>0</v>
      </c>
      <c r="Q411" t="n">
        <v>0</v>
      </c>
      <c r="R411" s="2" t="inlineStr"/>
    </row>
    <row r="412" ht="15" customHeight="1">
      <c r="A412" t="inlineStr">
        <is>
          <t>A 16993-2026</t>
        </is>
      </c>
      <c r="B412" s="1" t="n">
        <v>46114.41918981481</v>
      </c>
      <c r="C412" s="1" t="n">
        <v>46120</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17000-2026</t>
        </is>
      </c>
      <c r="B413" s="1" t="n">
        <v>46114.42690972222</v>
      </c>
      <c r="C413" s="1" t="n">
        <v>46120</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52637-2025</t>
        </is>
      </c>
      <c r="B414" s="1" t="n">
        <v>45954.75099537037</v>
      </c>
      <c r="C414" s="1" t="n">
        <v>46120</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17901-2023</t>
        </is>
      </c>
      <c r="B415" s="1" t="n">
        <v>45039</v>
      </c>
      <c r="C415" s="1" t="n">
        <v>46120</v>
      </c>
      <c r="D415" t="inlineStr">
        <is>
          <t>GOTLANDS LÄN</t>
        </is>
      </c>
      <c r="E415" t="inlineStr">
        <is>
          <t>GOTLAND</t>
        </is>
      </c>
      <c r="F415" t="inlineStr">
        <is>
          <t>Kyrkan</t>
        </is>
      </c>
      <c r="G415" t="n">
        <v>0.6</v>
      </c>
      <c r="H415" t="n">
        <v>0</v>
      </c>
      <c r="I415" t="n">
        <v>0</v>
      </c>
      <c r="J415" t="n">
        <v>0</v>
      </c>
      <c r="K415" t="n">
        <v>0</v>
      </c>
      <c r="L415" t="n">
        <v>0</v>
      </c>
      <c r="M415" t="n">
        <v>0</v>
      </c>
      <c r="N415" t="n">
        <v>0</v>
      </c>
      <c r="O415" t="n">
        <v>0</v>
      </c>
      <c r="P415" t="n">
        <v>0</v>
      </c>
      <c r="Q415" t="n">
        <v>0</v>
      </c>
      <c r="R415" s="2" t="inlineStr"/>
    </row>
    <row r="416" ht="15" customHeight="1">
      <c r="A416" t="inlineStr">
        <is>
          <t>A 63152-2025</t>
        </is>
      </c>
      <c r="B416" s="1" t="n">
        <v>46010</v>
      </c>
      <c r="C416" s="1" t="n">
        <v>46120</v>
      </c>
      <c r="D416" t="inlineStr">
        <is>
          <t>GOTLANDS LÄN</t>
        </is>
      </c>
      <c r="E416" t="inlineStr">
        <is>
          <t>GOTLAND</t>
        </is>
      </c>
      <c r="G416" t="n">
        <v>1.5</v>
      </c>
      <c r="H416" t="n">
        <v>0</v>
      </c>
      <c r="I416" t="n">
        <v>0</v>
      </c>
      <c r="J416" t="n">
        <v>0</v>
      </c>
      <c r="K416" t="n">
        <v>0</v>
      </c>
      <c r="L416" t="n">
        <v>0</v>
      </c>
      <c r="M416" t="n">
        <v>0</v>
      </c>
      <c r="N416" t="n">
        <v>0</v>
      </c>
      <c r="O416" t="n">
        <v>0</v>
      </c>
      <c r="P416" t="n">
        <v>0</v>
      </c>
      <c r="Q416" t="n">
        <v>0</v>
      </c>
      <c r="R416" s="2" t="inlineStr"/>
    </row>
    <row r="417" ht="15" customHeight="1">
      <c r="A417" t="inlineStr">
        <is>
          <t>A 52892-2021</t>
        </is>
      </c>
      <c r="B417" s="1" t="n">
        <v>44467.49048611111</v>
      </c>
      <c r="C417" s="1" t="n">
        <v>46120</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10486-2026</t>
        </is>
      </c>
      <c r="B418" s="1" t="n">
        <v>46077.51425925926</v>
      </c>
      <c r="C418" s="1" t="n">
        <v>46120</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53569-2025</t>
        </is>
      </c>
      <c r="B419" s="1" t="n">
        <v>45960.41155092593</v>
      </c>
      <c r="C419" s="1" t="n">
        <v>46120</v>
      </c>
      <c r="D419" t="inlineStr">
        <is>
          <t>GOTLANDS LÄN</t>
        </is>
      </c>
      <c r="E419" t="inlineStr">
        <is>
          <t>GOTLAND</t>
        </is>
      </c>
      <c r="F419" t="inlineStr">
        <is>
          <t>Övriga Aktiebolag</t>
        </is>
      </c>
      <c r="G419" t="n">
        <v>11.3</v>
      </c>
      <c r="H419" t="n">
        <v>0</v>
      </c>
      <c r="I419" t="n">
        <v>0</v>
      </c>
      <c r="J419" t="n">
        <v>0</v>
      </c>
      <c r="K419" t="n">
        <v>0</v>
      </c>
      <c r="L419" t="n">
        <v>0</v>
      </c>
      <c r="M419" t="n">
        <v>0</v>
      </c>
      <c r="N419" t="n">
        <v>0</v>
      </c>
      <c r="O419" t="n">
        <v>0</v>
      </c>
      <c r="P419" t="n">
        <v>0</v>
      </c>
      <c r="Q419" t="n">
        <v>0</v>
      </c>
      <c r="R419" s="2" t="inlineStr"/>
    </row>
    <row r="420" ht="15" customHeight="1">
      <c r="A420" t="inlineStr">
        <is>
          <t>A 9901-2026</t>
        </is>
      </c>
      <c r="B420" s="1" t="n">
        <v>46073.40391203704</v>
      </c>
      <c r="C420" s="1" t="n">
        <v>46120</v>
      </c>
      <c r="D420" t="inlineStr">
        <is>
          <t>GOTLANDS LÄN</t>
        </is>
      </c>
      <c r="E420" t="inlineStr">
        <is>
          <t>GOTLAND</t>
        </is>
      </c>
      <c r="F420" t="inlineStr">
        <is>
          <t>Kyrkan</t>
        </is>
      </c>
      <c r="G420" t="n">
        <v>0.9</v>
      </c>
      <c r="H420" t="n">
        <v>0</v>
      </c>
      <c r="I420" t="n">
        <v>0</v>
      </c>
      <c r="J420" t="n">
        <v>0</v>
      </c>
      <c r="K420" t="n">
        <v>0</v>
      </c>
      <c r="L420" t="n">
        <v>0</v>
      </c>
      <c r="M420" t="n">
        <v>0</v>
      </c>
      <c r="N420" t="n">
        <v>0</v>
      </c>
      <c r="O420" t="n">
        <v>0</v>
      </c>
      <c r="P420" t="n">
        <v>0</v>
      </c>
      <c r="Q420" t="n">
        <v>0</v>
      </c>
      <c r="R420" s="2" t="inlineStr"/>
    </row>
    <row r="421" ht="15" customHeight="1">
      <c r="A421" t="inlineStr">
        <is>
          <t>A 53577-2025</t>
        </is>
      </c>
      <c r="B421" s="1" t="n">
        <v>45960.42224537037</v>
      </c>
      <c r="C421" s="1" t="n">
        <v>46120</v>
      </c>
      <c r="D421" t="inlineStr">
        <is>
          <t>GOTLANDS LÄN</t>
        </is>
      </c>
      <c r="E421" t="inlineStr">
        <is>
          <t>GOTLAND</t>
        </is>
      </c>
      <c r="F421" t="inlineStr">
        <is>
          <t>Övriga Aktiebolag</t>
        </is>
      </c>
      <c r="G421" t="n">
        <v>3.3</v>
      </c>
      <c r="H421" t="n">
        <v>0</v>
      </c>
      <c r="I421" t="n">
        <v>0</v>
      </c>
      <c r="J421" t="n">
        <v>0</v>
      </c>
      <c r="K421" t="n">
        <v>0</v>
      </c>
      <c r="L421" t="n">
        <v>0</v>
      </c>
      <c r="M421" t="n">
        <v>0</v>
      </c>
      <c r="N421" t="n">
        <v>0</v>
      </c>
      <c r="O421" t="n">
        <v>0</v>
      </c>
      <c r="P421" t="n">
        <v>0</v>
      </c>
      <c r="Q421" t="n">
        <v>0</v>
      </c>
      <c r="R421" s="2" t="inlineStr"/>
    </row>
    <row r="422" ht="15" customHeight="1">
      <c r="A422" t="inlineStr">
        <is>
          <t>A 17328-2026</t>
        </is>
      </c>
      <c r="B422" s="1" t="n">
        <v>46119.61216435185</v>
      </c>
      <c r="C422" s="1" t="n">
        <v>46120</v>
      </c>
      <c r="D422" t="inlineStr">
        <is>
          <t>GOTLANDS LÄN</t>
        </is>
      </c>
      <c r="E422" t="inlineStr">
        <is>
          <t>GOTLAND</t>
        </is>
      </c>
      <c r="F422" t="inlineStr">
        <is>
          <t>Kyrkan</t>
        </is>
      </c>
      <c r="G422" t="n">
        <v>4</v>
      </c>
      <c r="H422" t="n">
        <v>0</v>
      </c>
      <c r="I422" t="n">
        <v>0</v>
      </c>
      <c r="J422" t="n">
        <v>0</v>
      </c>
      <c r="K422" t="n">
        <v>0</v>
      </c>
      <c r="L422" t="n">
        <v>0</v>
      </c>
      <c r="M422" t="n">
        <v>0</v>
      </c>
      <c r="N422" t="n">
        <v>0</v>
      </c>
      <c r="O422" t="n">
        <v>0</v>
      </c>
      <c r="P422" t="n">
        <v>0</v>
      </c>
      <c r="Q422" t="n">
        <v>0</v>
      </c>
      <c r="R422" s="2" t="inlineStr"/>
    </row>
    <row r="423" ht="15" customHeight="1">
      <c r="A423" t="inlineStr">
        <is>
          <t>A 46396-2023</t>
        </is>
      </c>
      <c r="B423" s="1" t="n">
        <v>45197</v>
      </c>
      <c r="C423" s="1" t="n">
        <v>46120</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10284-2026</t>
        </is>
      </c>
      <c r="B424" s="1" t="n">
        <v>46076</v>
      </c>
      <c r="C424" s="1" t="n">
        <v>46120</v>
      </c>
      <c r="D424" t="inlineStr">
        <is>
          <t>GOTLANDS LÄN</t>
        </is>
      </c>
      <c r="E424" t="inlineStr">
        <is>
          <t>GOTLAND</t>
        </is>
      </c>
      <c r="G424" t="n">
        <v>5.2</v>
      </c>
      <c r="H424" t="n">
        <v>0</v>
      </c>
      <c r="I424" t="n">
        <v>0</v>
      </c>
      <c r="J424" t="n">
        <v>0</v>
      </c>
      <c r="K424" t="n">
        <v>0</v>
      </c>
      <c r="L424" t="n">
        <v>0</v>
      </c>
      <c r="M424" t="n">
        <v>0</v>
      </c>
      <c r="N424" t="n">
        <v>0</v>
      </c>
      <c r="O424" t="n">
        <v>0</v>
      </c>
      <c r="P424" t="n">
        <v>0</v>
      </c>
      <c r="Q424" t="n">
        <v>0</v>
      </c>
      <c r="R424" s="2" t="inlineStr"/>
    </row>
    <row r="425" ht="15" customHeight="1">
      <c r="A425" t="inlineStr">
        <is>
          <t>A 17724-2024</t>
        </is>
      </c>
      <c r="B425" s="1" t="n">
        <v>45418.55096064815</v>
      </c>
      <c r="C425" s="1" t="n">
        <v>46120</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34312-2024</t>
        </is>
      </c>
      <c r="B426" s="1" t="n">
        <v>45524.69703703704</v>
      </c>
      <c r="C426" s="1" t="n">
        <v>46120</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19905-2025</t>
        </is>
      </c>
      <c r="B427" s="1" t="n">
        <v>45771</v>
      </c>
      <c r="C427" s="1" t="n">
        <v>46120</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29196-2025</t>
        </is>
      </c>
      <c r="B428" s="1" t="n">
        <v>45822</v>
      </c>
      <c r="C428" s="1" t="n">
        <v>46120</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69112-2021</t>
        </is>
      </c>
      <c r="B429" s="1" t="n">
        <v>44530</v>
      </c>
      <c r="C429" s="1" t="n">
        <v>46120</v>
      </c>
      <c r="D429" t="inlineStr">
        <is>
          <t>GOTLANDS LÄN</t>
        </is>
      </c>
      <c r="E429" t="inlineStr">
        <is>
          <t>GOTLAND</t>
        </is>
      </c>
      <c r="G429" t="n">
        <v>4.2</v>
      </c>
      <c r="H429" t="n">
        <v>0</v>
      </c>
      <c r="I429" t="n">
        <v>0</v>
      </c>
      <c r="J429" t="n">
        <v>0</v>
      </c>
      <c r="K429" t="n">
        <v>0</v>
      </c>
      <c r="L429" t="n">
        <v>0</v>
      </c>
      <c r="M429" t="n">
        <v>0</v>
      </c>
      <c r="N429" t="n">
        <v>0</v>
      </c>
      <c r="O429" t="n">
        <v>0</v>
      </c>
      <c r="P429" t="n">
        <v>0</v>
      </c>
      <c r="Q429" t="n">
        <v>0</v>
      </c>
      <c r="R429" s="2" t="inlineStr"/>
    </row>
    <row r="430" ht="15" customHeight="1">
      <c r="A430" t="inlineStr">
        <is>
          <t>A 7638-2025</t>
        </is>
      </c>
      <c r="B430" s="1" t="n">
        <v>45705.77306712963</v>
      </c>
      <c r="C430" s="1" t="n">
        <v>46120</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50482-2024</t>
        </is>
      </c>
      <c r="B431" s="1" t="n">
        <v>45601.48114583334</v>
      </c>
      <c r="C431" s="1" t="n">
        <v>46120</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1394-2023</t>
        </is>
      </c>
      <c r="B432" s="1" t="n">
        <v>44936.72997685185</v>
      </c>
      <c r="C432" s="1" t="n">
        <v>46120</v>
      </c>
      <c r="D432" t="inlineStr">
        <is>
          <t>GOTLANDS LÄN</t>
        </is>
      </c>
      <c r="E432" t="inlineStr">
        <is>
          <t>GOTLAND</t>
        </is>
      </c>
      <c r="G432" t="n">
        <v>2.1</v>
      </c>
      <c r="H432" t="n">
        <v>0</v>
      </c>
      <c r="I432" t="n">
        <v>0</v>
      </c>
      <c r="J432" t="n">
        <v>0</v>
      </c>
      <c r="K432" t="n">
        <v>0</v>
      </c>
      <c r="L432" t="n">
        <v>0</v>
      </c>
      <c r="M432" t="n">
        <v>0</v>
      </c>
      <c r="N432" t="n">
        <v>0</v>
      </c>
      <c r="O432" t="n">
        <v>0</v>
      </c>
      <c r="P432" t="n">
        <v>0</v>
      </c>
      <c r="Q432" t="n">
        <v>0</v>
      </c>
      <c r="R432" s="2" t="inlineStr"/>
    </row>
    <row r="433" ht="15" customHeight="1">
      <c r="A433" t="inlineStr">
        <is>
          <t>A 29207-2025</t>
        </is>
      </c>
      <c r="B433" s="1" t="n">
        <v>45823</v>
      </c>
      <c r="C433" s="1" t="n">
        <v>46120</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58230-2024</t>
        </is>
      </c>
      <c r="B434" s="1" t="n">
        <v>45632.51625</v>
      </c>
      <c r="C434" s="1" t="n">
        <v>46120</v>
      </c>
      <c r="D434" t="inlineStr">
        <is>
          <t>GOTLANDS LÄN</t>
        </is>
      </c>
      <c r="E434" t="inlineStr">
        <is>
          <t>GOTLAND</t>
        </is>
      </c>
      <c r="G434" t="n">
        <v>7.3</v>
      </c>
      <c r="H434" t="n">
        <v>0</v>
      </c>
      <c r="I434" t="n">
        <v>0</v>
      </c>
      <c r="J434" t="n">
        <v>0</v>
      </c>
      <c r="K434" t="n">
        <v>0</v>
      </c>
      <c r="L434" t="n">
        <v>0</v>
      </c>
      <c r="M434" t="n">
        <v>0</v>
      </c>
      <c r="N434" t="n">
        <v>0</v>
      </c>
      <c r="O434" t="n">
        <v>0</v>
      </c>
      <c r="P434" t="n">
        <v>0</v>
      </c>
      <c r="Q434" t="n">
        <v>0</v>
      </c>
      <c r="R434" s="2" t="inlineStr"/>
    </row>
    <row r="435" ht="15" customHeight="1">
      <c r="A435" t="inlineStr">
        <is>
          <t>A 1462-2025</t>
        </is>
      </c>
      <c r="B435" s="1" t="n">
        <v>45670.36319444444</v>
      </c>
      <c r="C435" s="1" t="n">
        <v>46120</v>
      </c>
      <c r="D435" t="inlineStr">
        <is>
          <t>GOTLANDS LÄN</t>
        </is>
      </c>
      <c r="E435" t="inlineStr">
        <is>
          <t>GOTLAND</t>
        </is>
      </c>
      <c r="G435" t="n">
        <v>2.8</v>
      </c>
      <c r="H435" t="n">
        <v>0</v>
      </c>
      <c r="I435" t="n">
        <v>0</v>
      </c>
      <c r="J435" t="n">
        <v>0</v>
      </c>
      <c r="K435" t="n">
        <v>0</v>
      </c>
      <c r="L435" t="n">
        <v>0</v>
      </c>
      <c r="M435" t="n">
        <v>0</v>
      </c>
      <c r="N435" t="n">
        <v>0</v>
      </c>
      <c r="O435" t="n">
        <v>0</v>
      </c>
      <c r="P435" t="n">
        <v>0</v>
      </c>
      <c r="Q435" t="n">
        <v>0</v>
      </c>
      <c r="R435" s="2" t="inlineStr"/>
    </row>
    <row r="436" ht="15" customHeight="1">
      <c r="A436" t="inlineStr">
        <is>
          <t>A 25129-2023</t>
        </is>
      </c>
      <c r="B436" s="1" t="n">
        <v>45086.44261574074</v>
      </c>
      <c r="C436" s="1" t="n">
        <v>46120</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24192-2023</t>
        </is>
      </c>
      <c r="B437" s="1" t="n">
        <v>45079</v>
      </c>
      <c r="C437" s="1" t="n">
        <v>46120</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56799-2025</t>
        </is>
      </c>
      <c r="B438" s="1" t="n">
        <v>45978.43392361111</v>
      </c>
      <c r="C438" s="1" t="n">
        <v>46120</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30061-2025</t>
        </is>
      </c>
      <c r="B439" s="1" t="n">
        <v>45826.61488425926</v>
      </c>
      <c r="C439" s="1" t="n">
        <v>46120</v>
      </c>
      <c r="D439" t="inlineStr">
        <is>
          <t>GOTLANDS LÄN</t>
        </is>
      </c>
      <c r="E439" t="inlineStr">
        <is>
          <t>GOTLAND</t>
        </is>
      </c>
      <c r="G439" t="n">
        <v>4.1</v>
      </c>
      <c r="H439" t="n">
        <v>0</v>
      </c>
      <c r="I439" t="n">
        <v>0</v>
      </c>
      <c r="J439" t="n">
        <v>0</v>
      </c>
      <c r="K439" t="n">
        <v>0</v>
      </c>
      <c r="L439" t="n">
        <v>0</v>
      </c>
      <c r="M439" t="n">
        <v>0</v>
      </c>
      <c r="N439" t="n">
        <v>0</v>
      </c>
      <c r="O439" t="n">
        <v>0</v>
      </c>
      <c r="P439" t="n">
        <v>0</v>
      </c>
      <c r="Q439" t="n">
        <v>0</v>
      </c>
      <c r="R439" s="2" t="inlineStr"/>
    </row>
    <row r="440" ht="15" customHeight="1">
      <c r="A440" t="inlineStr">
        <is>
          <t>A 56688-2025</t>
        </is>
      </c>
      <c r="B440" s="1" t="n">
        <v>45975.84331018518</v>
      </c>
      <c r="C440" s="1" t="n">
        <v>46120</v>
      </c>
      <c r="D440" t="inlineStr">
        <is>
          <t>GOTLANDS LÄN</t>
        </is>
      </c>
      <c r="E440" t="inlineStr">
        <is>
          <t>GOTLAND</t>
        </is>
      </c>
      <c r="G440" t="n">
        <v>1.3</v>
      </c>
      <c r="H440" t="n">
        <v>0</v>
      </c>
      <c r="I440" t="n">
        <v>0</v>
      </c>
      <c r="J440" t="n">
        <v>0</v>
      </c>
      <c r="K440" t="n">
        <v>0</v>
      </c>
      <c r="L440" t="n">
        <v>0</v>
      </c>
      <c r="M440" t="n">
        <v>0</v>
      </c>
      <c r="N440" t="n">
        <v>0</v>
      </c>
      <c r="O440" t="n">
        <v>0</v>
      </c>
      <c r="P440" t="n">
        <v>0</v>
      </c>
      <c r="Q440" t="n">
        <v>0</v>
      </c>
      <c r="R440" s="2" t="inlineStr"/>
    </row>
    <row r="441" ht="15" customHeight="1">
      <c r="A441" t="inlineStr">
        <is>
          <t>A 5386-2023</t>
        </is>
      </c>
      <c r="B441" s="1" t="n">
        <v>44959</v>
      </c>
      <c r="C441" s="1" t="n">
        <v>46120</v>
      </c>
      <c r="D441" t="inlineStr">
        <is>
          <t>GOTLANDS LÄN</t>
        </is>
      </c>
      <c r="E441" t="inlineStr">
        <is>
          <t>GOTLAND</t>
        </is>
      </c>
      <c r="G441" t="n">
        <v>5.4</v>
      </c>
      <c r="H441" t="n">
        <v>0</v>
      </c>
      <c r="I441" t="n">
        <v>0</v>
      </c>
      <c r="J441" t="n">
        <v>0</v>
      </c>
      <c r="K441" t="n">
        <v>0</v>
      </c>
      <c r="L441" t="n">
        <v>0</v>
      </c>
      <c r="M441" t="n">
        <v>0</v>
      </c>
      <c r="N441" t="n">
        <v>0</v>
      </c>
      <c r="O441" t="n">
        <v>0</v>
      </c>
      <c r="P441" t="n">
        <v>0</v>
      </c>
      <c r="Q441" t="n">
        <v>0</v>
      </c>
      <c r="R441" s="2" t="inlineStr"/>
    </row>
    <row r="442" ht="15" customHeight="1">
      <c r="A442" t="inlineStr">
        <is>
          <t>A 7026-2023</t>
        </is>
      </c>
      <c r="B442" s="1" t="n">
        <v>44968.30340277778</v>
      </c>
      <c r="C442" s="1" t="n">
        <v>46120</v>
      </c>
      <c r="D442" t="inlineStr">
        <is>
          <t>GOTLANDS LÄN</t>
        </is>
      </c>
      <c r="E442" t="inlineStr">
        <is>
          <t>GOTLAND</t>
        </is>
      </c>
      <c r="G442" t="n">
        <v>2.9</v>
      </c>
      <c r="H442" t="n">
        <v>0</v>
      </c>
      <c r="I442" t="n">
        <v>0</v>
      </c>
      <c r="J442" t="n">
        <v>0</v>
      </c>
      <c r="K442" t="n">
        <v>0</v>
      </c>
      <c r="L442" t="n">
        <v>0</v>
      </c>
      <c r="M442" t="n">
        <v>0</v>
      </c>
      <c r="N442" t="n">
        <v>0</v>
      </c>
      <c r="O442" t="n">
        <v>0</v>
      </c>
      <c r="P442" t="n">
        <v>0</v>
      </c>
      <c r="Q442" t="n">
        <v>0</v>
      </c>
      <c r="R442" s="2" t="inlineStr"/>
    </row>
    <row r="443" ht="15" customHeight="1">
      <c r="A443" t="inlineStr">
        <is>
          <t>A 20855-2023</t>
        </is>
      </c>
      <c r="B443" s="1" t="n">
        <v>45058.82172453704</v>
      </c>
      <c r="C443" s="1" t="n">
        <v>46120</v>
      </c>
      <c r="D443" t="inlineStr">
        <is>
          <t>GOTLANDS LÄN</t>
        </is>
      </c>
      <c r="E443" t="inlineStr">
        <is>
          <t>GOTLAND</t>
        </is>
      </c>
      <c r="G443" t="n">
        <v>1.7</v>
      </c>
      <c r="H443" t="n">
        <v>0</v>
      </c>
      <c r="I443" t="n">
        <v>0</v>
      </c>
      <c r="J443" t="n">
        <v>0</v>
      </c>
      <c r="K443" t="n">
        <v>0</v>
      </c>
      <c r="L443" t="n">
        <v>0</v>
      </c>
      <c r="M443" t="n">
        <v>0</v>
      </c>
      <c r="N443" t="n">
        <v>0</v>
      </c>
      <c r="O443" t="n">
        <v>0</v>
      </c>
      <c r="P443" t="n">
        <v>0</v>
      </c>
      <c r="Q443" t="n">
        <v>0</v>
      </c>
      <c r="R443" s="2" t="inlineStr"/>
    </row>
    <row r="444" ht="15" customHeight="1">
      <c r="A444" t="inlineStr">
        <is>
          <t>A 1000-2024</t>
        </is>
      </c>
      <c r="B444" s="1" t="n">
        <v>45301.63371527778</v>
      </c>
      <c r="C444" s="1" t="n">
        <v>46120</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1010-2024</t>
        </is>
      </c>
      <c r="B445" s="1" t="n">
        <v>45301</v>
      </c>
      <c r="C445" s="1" t="n">
        <v>46120</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58160-2024</t>
        </is>
      </c>
      <c r="B446" s="1" t="n">
        <v>45632.44927083333</v>
      </c>
      <c r="C446" s="1" t="n">
        <v>46120</v>
      </c>
      <c r="D446" t="inlineStr">
        <is>
          <t>GOTLANDS LÄN</t>
        </is>
      </c>
      <c r="E446" t="inlineStr">
        <is>
          <t>GOTLAND</t>
        </is>
      </c>
      <c r="G446" t="n">
        <v>5.6</v>
      </c>
      <c r="H446" t="n">
        <v>0</v>
      </c>
      <c r="I446" t="n">
        <v>0</v>
      </c>
      <c r="J446" t="n">
        <v>0</v>
      </c>
      <c r="K446" t="n">
        <v>0</v>
      </c>
      <c r="L446" t="n">
        <v>0</v>
      </c>
      <c r="M446" t="n">
        <v>0</v>
      </c>
      <c r="N446" t="n">
        <v>0</v>
      </c>
      <c r="O446" t="n">
        <v>0</v>
      </c>
      <c r="P446" t="n">
        <v>0</v>
      </c>
      <c r="Q446" t="n">
        <v>0</v>
      </c>
      <c r="R446" s="2" t="inlineStr"/>
    </row>
    <row r="447" ht="15" customHeight="1">
      <c r="A447" t="inlineStr">
        <is>
          <t>A 47762-2023</t>
        </is>
      </c>
      <c r="B447" s="1" t="n">
        <v>45203.86256944444</v>
      </c>
      <c r="C447" s="1" t="n">
        <v>46120</v>
      </c>
      <c r="D447" t="inlineStr">
        <is>
          <t>GOTLANDS LÄN</t>
        </is>
      </c>
      <c r="E447" t="inlineStr">
        <is>
          <t>GOTLAND</t>
        </is>
      </c>
      <c r="G447" t="n">
        <v>1.3</v>
      </c>
      <c r="H447" t="n">
        <v>0</v>
      </c>
      <c r="I447" t="n">
        <v>0</v>
      </c>
      <c r="J447" t="n">
        <v>0</v>
      </c>
      <c r="K447" t="n">
        <v>0</v>
      </c>
      <c r="L447" t="n">
        <v>0</v>
      </c>
      <c r="M447" t="n">
        <v>0</v>
      </c>
      <c r="N447" t="n">
        <v>0</v>
      </c>
      <c r="O447" t="n">
        <v>0</v>
      </c>
      <c r="P447" t="n">
        <v>0</v>
      </c>
      <c r="Q447" t="n">
        <v>0</v>
      </c>
      <c r="R447" s="2" t="inlineStr"/>
    </row>
    <row r="448" ht="15" customHeight="1">
      <c r="A448" t="inlineStr">
        <is>
          <t>A 46545-2024</t>
        </is>
      </c>
      <c r="B448" s="1" t="n">
        <v>45582.65831018519</v>
      </c>
      <c r="C448" s="1" t="n">
        <v>46120</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60086-2022</t>
        </is>
      </c>
      <c r="B449" s="1" t="n">
        <v>44909</v>
      </c>
      <c r="C449" s="1" t="n">
        <v>46120</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28480-2023</t>
        </is>
      </c>
      <c r="B450" s="1" t="n">
        <v>45103</v>
      </c>
      <c r="C450" s="1" t="n">
        <v>46120</v>
      </c>
      <c r="D450" t="inlineStr">
        <is>
          <t>GOTLANDS LÄN</t>
        </is>
      </c>
      <c r="E450" t="inlineStr">
        <is>
          <t>GOTLAND</t>
        </is>
      </c>
      <c r="G450" t="n">
        <v>5.7</v>
      </c>
      <c r="H450" t="n">
        <v>0</v>
      </c>
      <c r="I450" t="n">
        <v>0</v>
      </c>
      <c r="J450" t="n">
        <v>0</v>
      </c>
      <c r="K450" t="n">
        <v>0</v>
      </c>
      <c r="L450" t="n">
        <v>0</v>
      </c>
      <c r="M450" t="n">
        <v>0</v>
      </c>
      <c r="N450" t="n">
        <v>0</v>
      </c>
      <c r="O450" t="n">
        <v>0</v>
      </c>
      <c r="P450" t="n">
        <v>0</v>
      </c>
      <c r="Q450" t="n">
        <v>0</v>
      </c>
      <c r="R450" s="2" t="inlineStr"/>
    </row>
    <row r="451" ht="15" customHeight="1">
      <c r="A451" t="inlineStr">
        <is>
          <t>A 28485-2023</t>
        </is>
      </c>
      <c r="B451" s="1" t="n">
        <v>45103.43731481482</v>
      </c>
      <c r="C451" s="1" t="n">
        <v>46120</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62915-2021</t>
        </is>
      </c>
      <c r="B452" s="1" t="n">
        <v>44504</v>
      </c>
      <c r="C452" s="1" t="n">
        <v>46120</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59197-2025</t>
        </is>
      </c>
      <c r="B453" s="1" t="n">
        <v>45988.59846064815</v>
      </c>
      <c r="C453" s="1" t="n">
        <v>46120</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44949-2023</t>
        </is>
      </c>
      <c r="B454" s="1" t="n">
        <v>45190.69520833333</v>
      </c>
      <c r="C454" s="1" t="n">
        <v>46120</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46120</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36319-2025</t>
        </is>
      </c>
      <c r="B456" s="1" t="n">
        <v>45868</v>
      </c>
      <c r="C456" s="1" t="n">
        <v>46120</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3964-2024</t>
        </is>
      </c>
      <c r="B457" s="1" t="n">
        <v>45322</v>
      </c>
      <c r="C457" s="1" t="n">
        <v>46120</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45084-2024</t>
        </is>
      </c>
      <c r="B458" s="1" t="n">
        <v>45575</v>
      </c>
      <c r="C458" s="1" t="n">
        <v>46120</v>
      </c>
      <c r="D458" t="inlineStr">
        <is>
          <t>GOTLANDS LÄN</t>
        </is>
      </c>
      <c r="E458" t="inlineStr">
        <is>
          <t>GOTLAND</t>
        </is>
      </c>
      <c r="G458" t="n">
        <v>6.8</v>
      </c>
      <c r="H458" t="n">
        <v>0</v>
      </c>
      <c r="I458" t="n">
        <v>0</v>
      </c>
      <c r="J458" t="n">
        <v>0</v>
      </c>
      <c r="K458" t="n">
        <v>0</v>
      </c>
      <c r="L458" t="n">
        <v>0</v>
      </c>
      <c r="M458" t="n">
        <v>0</v>
      </c>
      <c r="N458" t="n">
        <v>0</v>
      </c>
      <c r="O458" t="n">
        <v>0</v>
      </c>
      <c r="P458" t="n">
        <v>0</v>
      </c>
      <c r="Q458" t="n">
        <v>0</v>
      </c>
      <c r="R458" s="2" t="inlineStr"/>
    </row>
    <row r="459" ht="15" customHeight="1">
      <c r="A459" t="inlineStr">
        <is>
          <t>A 32379-2025</t>
        </is>
      </c>
      <c r="B459" s="1" t="n">
        <v>45837</v>
      </c>
      <c r="C459" s="1" t="n">
        <v>46120</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5217-2023</t>
        </is>
      </c>
      <c r="B460" s="1" t="n">
        <v>44959.39582175926</v>
      </c>
      <c r="C460" s="1" t="n">
        <v>46120</v>
      </c>
      <c r="D460" t="inlineStr">
        <is>
          <t>GOTLANDS LÄN</t>
        </is>
      </c>
      <c r="E460" t="inlineStr">
        <is>
          <t>GOTLAND</t>
        </is>
      </c>
      <c r="G460" t="n">
        <v>1.9</v>
      </c>
      <c r="H460" t="n">
        <v>0</v>
      </c>
      <c r="I460" t="n">
        <v>0</v>
      </c>
      <c r="J460" t="n">
        <v>0</v>
      </c>
      <c r="K460" t="n">
        <v>0</v>
      </c>
      <c r="L460" t="n">
        <v>0</v>
      </c>
      <c r="M460" t="n">
        <v>0</v>
      </c>
      <c r="N460" t="n">
        <v>0</v>
      </c>
      <c r="O460" t="n">
        <v>0</v>
      </c>
      <c r="P460" t="n">
        <v>0</v>
      </c>
      <c r="Q460" t="n">
        <v>0</v>
      </c>
      <c r="R460" s="2" t="inlineStr"/>
    </row>
    <row r="461" ht="15" customHeight="1">
      <c r="A461" t="inlineStr">
        <is>
          <t>A 32467-2025</t>
        </is>
      </c>
      <c r="B461" s="1" t="n">
        <v>45838.42111111111</v>
      </c>
      <c r="C461" s="1" t="n">
        <v>46120</v>
      </c>
      <c r="D461" t="inlineStr">
        <is>
          <t>GOTLANDS LÄN</t>
        </is>
      </c>
      <c r="E461" t="inlineStr">
        <is>
          <t>GOTLAND</t>
        </is>
      </c>
      <c r="G461" t="n">
        <v>4.3</v>
      </c>
      <c r="H461" t="n">
        <v>0</v>
      </c>
      <c r="I461" t="n">
        <v>0</v>
      </c>
      <c r="J461" t="n">
        <v>0</v>
      </c>
      <c r="K461" t="n">
        <v>0</v>
      </c>
      <c r="L461" t="n">
        <v>0</v>
      </c>
      <c r="M461" t="n">
        <v>0</v>
      </c>
      <c r="N461" t="n">
        <v>0</v>
      </c>
      <c r="O461" t="n">
        <v>0</v>
      </c>
      <c r="P461" t="n">
        <v>0</v>
      </c>
      <c r="Q461" t="n">
        <v>0</v>
      </c>
      <c r="R461" s="2" t="inlineStr"/>
    </row>
    <row r="462" ht="15" customHeight="1">
      <c r="A462" t="inlineStr">
        <is>
          <t>A 16109-2025</t>
        </is>
      </c>
      <c r="B462" s="1" t="n">
        <v>45750</v>
      </c>
      <c r="C462" s="1" t="n">
        <v>46120</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1677-2023</t>
        </is>
      </c>
      <c r="B463" s="1" t="n">
        <v>44938</v>
      </c>
      <c r="C463" s="1" t="n">
        <v>46120</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45244-2024</t>
        </is>
      </c>
      <c r="B464" s="1" t="n">
        <v>45576</v>
      </c>
      <c r="C464" s="1" t="n">
        <v>46120</v>
      </c>
      <c r="D464" t="inlineStr">
        <is>
          <t>GOTLANDS LÄN</t>
        </is>
      </c>
      <c r="E464" t="inlineStr">
        <is>
          <t>GOTLAND</t>
        </is>
      </c>
      <c r="G464" t="n">
        <v>2.4</v>
      </c>
      <c r="H464" t="n">
        <v>0</v>
      </c>
      <c r="I464" t="n">
        <v>0</v>
      </c>
      <c r="J464" t="n">
        <v>0</v>
      </c>
      <c r="K464" t="n">
        <v>0</v>
      </c>
      <c r="L464" t="n">
        <v>0</v>
      </c>
      <c r="M464" t="n">
        <v>0</v>
      </c>
      <c r="N464" t="n">
        <v>0</v>
      </c>
      <c r="O464" t="n">
        <v>0</v>
      </c>
      <c r="P464" t="n">
        <v>0</v>
      </c>
      <c r="Q464" t="n">
        <v>0</v>
      </c>
      <c r="R464" s="2" t="inlineStr"/>
    </row>
    <row r="465" ht="15" customHeight="1">
      <c r="A465" t="inlineStr">
        <is>
          <t>A 62066-2025</t>
        </is>
      </c>
      <c r="B465" s="1" t="n">
        <v>46006.34738425926</v>
      </c>
      <c r="C465" s="1" t="n">
        <v>46120</v>
      </c>
      <c r="D465" t="inlineStr">
        <is>
          <t>GOTLANDS LÄN</t>
        </is>
      </c>
      <c r="E465" t="inlineStr">
        <is>
          <t>GOTLAND</t>
        </is>
      </c>
      <c r="G465" t="n">
        <v>1.7</v>
      </c>
      <c r="H465" t="n">
        <v>0</v>
      </c>
      <c r="I465" t="n">
        <v>0</v>
      </c>
      <c r="J465" t="n">
        <v>0</v>
      </c>
      <c r="K465" t="n">
        <v>0</v>
      </c>
      <c r="L465" t="n">
        <v>0</v>
      </c>
      <c r="M465" t="n">
        <v>0</v>
      </c>
      <c r="N465" t="n">
        <v>0</v>
      </c>
      <c r="O465" t="n">
        <v>0</v>
      </c>
      <c r="P465" t="n">
        <v>0</v>
      </c>
      <c r="Q465" t="n">
        <v>0</v>
      </c>
      <c r="R465" s="2" t="inlineStr"/>
    </row>
    <row r="466" ht="15" customHeight="1">
      <c r="A466" t="inlineStr">
        <is>
          <t>A 62103-2025</t>
        </is>
      </c>
      <c r="B466" s="1" t="n">
        <v>46006</v>
      </c>
      <c r="C466" s="1" t="n">
        <v>46120</v>
      </c>
      <c r="D466" t="inlineStr">
        <is>
          <t>GOTLANDS LÄN</t>
        </is>
      </c>
      <c r="E466" t="inlineStr">
        <is>
          <t>GOTLAND</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8260-2023</t>
        </is>
      </c>
      <c r="B467" s="1" t="n">
        <v>44974.61608796296</v>
      </c>
      <c r="C467" s="1" t="n">
        <v>46120</v>
      </c>
      <c r="D467" t="inlineStr">
        <is>
          <t>GOTLANDS LÄN</t>
        </is>
      </c>
      <c r="E467" t="inlineStr">
        <is>
          <t>GOTLAND</t>
        </is>
      </c>
      <c r="G467" t="n">
        <v>2.9</v>
      </c>
      <c r="H467" t="n">
        <v>0</v>
      </c>
      <c r="I467" t="n">
        <v>0</v>
      </c>
      <c r="J467" t="n">
        <v>0</v>
      </c>
      <c r="K467" t="n">
        <v>0</v>
      </c>
      <c r="L467" t="n">
        <v>0</v>
      </c>
      <c r="M467" t="n">
        <v>0</v>
      </c>
      <c r="N467" t="n">
        <v>0</v>
      </c>
      <c r="O467" t="n">
        <v>0</v>
      </c>
      <c r="P467" t="n">
        <v>0</v>
      </c>
      <c r="Q467" t="n">
        <v>0</v>
      </c>
      <c r="R467" s="2" t="inlineStr"/>
    </row>
    <row r="468" ht="15" customHeight="1">
      <c r="A468" t="inlineStr">
        <is>
          <t>A 64969-2023</t>
        </is>
      </c>
      <c r="B468" s="1" t="n">
        <v>45284.54009259259</v>
      </c>
      <c r="C468" s="1" t="n">
        <v>46120</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46120</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33007-2025</t>
        </is>
      </c>
      <c r="B470" s="1" t="n">
        <v>45840</v>
      </c>
      <c r="C470" s="1" t="n">
        <v>46120</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17541-2024</t>
        </is>
      </c>
      <c r="B471" s="1" t="n">
        <v>45415</v>
      </c>
      <c r="C471" s="1" t="n">
        <v>46120</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46120</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63002-2025</t>
        </is>
      </c>
      <c r="B473" s="1" t="n">
        <v>46009.56564814815</v>
      </c>
      <c r="C473" s="1" t="n">
        <v>46120</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15434-2024</t>
        </is>
      </c>
      <c r="B474" s="1" t="n">
        <v>45401.38836805556</v>
      </c>
      <c r="C474" s="1" t="n">
        <v>46120</v>
      </c>
      <c r="D474" t="inlineStr">
        <is>
          <t>GOTLANDS LÄN</t>
        </is>
      </c>
      <c r="E474" t="inlineStr">
        <is>
          <t>GOTLAND</t>
        </is>
      </c>
      <c r="G474" t="n">
        <v>2.5</v>
      </c>
      <c r="H474" t="n">
        <v>0</v>
      </c>
      <c r="I474" t="n">
        <v>0</v>
      </c>
      <c r="J474" t="n">
        <v>0</v>
      </c>
      <c r="K474" t="n">
        <v>0</v>
      </c>
      <c r="L474" t="n">
        <v>0</v>
      </c>
      <c r="M474" t="n">
        <v>0</v>
      </c>
      <c r="N474" t="n">
        <v>0</v>
      </c>
      <c r="O474" t="n">
        <v>0</v>
      </c>
      <c r="P474" t="n">
        <v>0</v>
      </c>
      <c r="Q474" t="n">
        <v>0</v>
      </c>
      <c r="R474" s="2" t="inlineStr"/>
    </row>
    <row r="475" ht="15" customHeight="1">
      <c r="A475" t="inlineStr">
        <is>
          <t>A 54584-2025</t>
        </is>
      </c>
      <c r="B475" s="1" t="n">
        <v>45965.71788194445</v>
      </c>
      <c r="C475" s="1" t="n">
        <v>46120</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5943-2024</t>
        </is>
      </c>
      <c r="B476" s="1" t="n">
        <v>45336</v>
      </c>
      <c r="C476" s="1" t="n">
        <v>46120</v>
      </c>
      <c r="D476" t="inlineStr">
        <is>
          <t>GOTLANDS LÄN</t>
        </is>
      </c>
      <c r="E476" t="inlineStr">
        <is>
          <t>GOTLAND</t>
        </is>
      </c>
      <c r="G476" t="n">
        <v>4.3</v>
      </c>
      <c r="H476" t="n">
        <v>0</v>
      </c>
      <c r="I476" t="n">
        <v>0</v>
      </c>
      <c r="J476" t="n">
        <v>0</v>
      </c>
      <c r="K476" t="n">
        <v>0</v>
      </c>
      <c r="L476" t="n">
        <v>0</v>
      </c>
      <c r="M476" t="n">
        <v>0</v>
      </c>
      <c r="N476" t="n">
        <v>0</v>
      </c>
      <c r="O476" t="n">
        <v>0</v>
      </c>
      <c r="P476" t="n">
        <v>0</v>
      </c>
      <c r="Q476" t="n">
        <v>0</v>
      </c>
      <c r="R476" s="2" t="inlineStr"/>
    </row>
    <row r="477" ht="15" customHeight="1">
      <c r="A477" t="inlineStr">
        <is>
          <t>A 54073-2022</t>
        </is>
      </c>
      <c r="B477" s="1" t="n">
        <v>44881.50380787037</v>
      </c>
      <c r="C477" s="1" t="n">
        <v>46120</v>
      </c>
      <c r="D477" t="inlineStr">
        <is>
          <t>GOTLANDS LÄN</t>
        </is>
      </c>
      <c r="E477" t="inlineStr">
        <is>
          <t>GOTLAND</t>
        </is>
      </c>
      <c r="G477" t="n">
        <v>3.8</v>
      </c>
      <c r="H477" t="n">
        <v>0</v>
      </c>
      <c r="I477" t="n">
        <v>0</v>
      </c>
      <c r="J477" t="n">
        <v>0</v>
      </c>
      <c r="K477" t="n">
        <v>0</v>
      </c>
      <c r="L477" t="n">
        <v>0</v>
      </c>
      <c r="M477" t="n">
        <v>0</v>
      </c>
      <c r="N477" t="n">
        <v>0</v>
      </c>
      <c r="O477" t="n">
        <v>0</v>
      </c>
      <c r="P477" t="n">
        <v>0</v>
      </c>
      <c r="Q477" t="n">
        <v>0</v>
      </c>
      <c r="R477" s="2" t="inlineStr"/>
    </row>
    <row r="478" ht="15" customHeight="1">
      <c r="A478" t="inlineStr">
        <is>
          <t>A 16361-2024</t>
        </is>
      </c>
      <c r="B478" s="1" t="n">
        <v>45407</v>
      </c>
      <c r="C478" s="1" t="n">
        <v>46120</v>
      </c>
      <c r="D478" t="inlineStr">
        <is>
          <t>GOTLANDS LÄN</t>
        </is>
      </c>
      <c r="E478" t="inlineStr">
        <is>
          <t>GOTLAND</t>
        </is>
      </c>
      <c r="G478" t="n">
        <v>6</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46120</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41038-2023</t>
        </is>
      </c>
      <c r="B480" s="1" t="n">
        <v>45173.60959490741</v>
      </c>
      <c r="C480" s="1" t="n">
        <v>46120</v>
      </c>
      <c r="D480" t="inlineStr">
        <is>
          <t>GOTLANDS LÄN</t>
        </is>
      </c>
      <c r="E480" t="inlineStr">
        <is>
          <t>GOTLAND</t>
        </is>
      </c>
      <c r="G480" t="n">
        <v>2.7</v>
      </c>
      <c r="H480" t="n">
        <v>0</v>
      </c>
      <c r="I480" t="n">
        <v>0</v>
      </c>
      <c r="J480" t="n">
        <v>0</v>
      </c>
      <c r="K480" t="n">
        <v>0</v>
      </c>
      <c r="L480" t="n">
        <v>0</v>
      </c>
      <c r="M480" t="n">
        <v>0</v>
      </c>
      <c r="N480" t="n">
        <v>0</v>
      </c>
      <c r="O480" t="n">
        <v>0</v>
      </c>
      <c r="P480" t="n">
        <v>0</v>
      </c>
      <c r="Q480" t="n">
        <v>0</v>
      </c>
      <c r="R480" s="2" t="inlineStr"/>
    </row>
    <row r="481" ht="15" customHeight="1">
      <c r="A481" t="inlineStr">
        <is>
          <t>A 61078-2025</t>
        </is>
      </c>
      <c r="B481" s="1" t="n">
        <v>46000</v>
      </c>
      <c r="C481" s="1" t="n">
        <v>46120</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14427-2024</t>
        </is>
      </c>
      <c r="B482" s="1" t="n">
        <v>45394</v>
      </c>
      <c r="C482" s="1" t="n">
        <v>46120</v>
      </c>
      <c r="D482" t="inlineStr">
        <is>
          <t>GOTLANDS LÄN</t>
        </is>
      </c>
      <c r="E482" t="inlineStr">
        <is>
          <t>GOTLAND</t>
        </is>
      </c>
      <c r="G482" t="n">
        <v>1.3</v>
      </c>
      <c r="H482" t="n">
        <v>0</v>
      </c>
      <c r="I482" t="n">
        <v>0</v>
      </c>
      <c r="J482" t="n">
        <v>0</v>
      </c>
      <c r="K482" t="n">
        <v>0</v>
      </c>
      <c r="L482" t="n">
        <v>0</v>
      </c>
      <c r="M482" t="n">
        <v>0</v>
      </c>
      <c r="N482" t="n">
        <v>0</v>
      </c>
      <c r="O482" t="n">
        <v>0</v>
      </c>
      <c r="P482" t="n">
        <v>0</v>
      </c>
      <c r="Q482" t="n">
        <v>0</v>
      </c>
      <c r="R482" s="2" t="inlineStr"/>
    </row>
    <row r="483" ht="15" customHeight="1">
      <c r="A483" t="inlineStr">
        <is>
          <t>A 31802-2024</t>
        </is>
      </c>
      <c r="B483" s="1" t="n">
        <v>45509</v>
      </c>
      <c r="C483" s="1" t="n">
        <v>46120</v>
      </c>
      <c r="D483" t="inlineStr">
        <is>
          <t>GOTLANDS LÄN</t>
        </is>
      </c>
      <c r="E483" t="inlineStr">
        <is>
          <t>GOTLAND</t>
        </is>
      </c>
      <c r="G483" t="n">
        <v>2.8</v>
      </c>
      <c r="H483" t="n">
        <v>0</v>
      </c>
      <c r="I483" t="n">
        <v>0</v>
      </c>
      <c r="J483" t="n">
        <v>0</v>
      </c>
      <c r="K483" t="n">
        <v>0</v>
      </c>
      <c r="L483" t="n">
        <v>0</v>
      </c>
      <c r="M483" t="n">
        <v>0</v>
      </c>
      <c r="N483" t="n">
        <v>0</v>
      </c>
      <c r="O483" t="n">
        <v>0</v>
      </c>
      <c r="P483" t="n">
        <v>0</v>
      </c>
      <c r="Q483" t="n">
        <v>0</v>
      </c>
      <c r="R483" s="2" t="inlineStr"/>
    </row>
    <row r="484" ht="15" customHeight="1">
      <c r="A484" t="inlineStr">
        <is>
          <t>A 15413-2025</t>
        </is>
      </c>
      <c r="B484" s="1" t="n">
        <v>45747.451875</v>
      </c>
      <c r="C484" s="1" t="n">
        <v>46120</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35123-2025</t>
        </is>
      </c>
      <c r="B485" s="1" t="n">
        <v>45852.614375</v>
      </c>
      <c r="C485" s="1" t="n">
        <v>46120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35096-2025</t>
        </is>
      </c>
      <c r="B486" s="1" t="n">
        <v>45852.54356481481</v>
      </c>
      <c r="C486" s="1" t="n">
        <v>46120</v>
      </c>
      <c r="D486" t="inlineStr">
        <is>
          <t>GOTLANDS LÄN</t>
        </is>
      </c>
      <c r="E486" t="inlineStr">
        <is>
          <t>GOTLAND</t>
        </is>
      </c>
      <c r="F486" t="inlineStr">
        <is>
          <t>Kyrkan</t>
        </is>
      </c>
      <c r="G486" t="n">
        <v>1</v>
      </c>
      <c r="H486" t="n">
        <v>0</v>
      </c>
      <c r="I486" t="n">
        <v>0</v>
      </c>
      <c r="J486" t="n">
        <v>0</v>
      </c>
      <c r="K486" t="n">
        <v>0</v>
      </c>
      <c r="L486" t="n">
        <v>0</v>
      </c>
      <c r="M486" t="n">
        <v>0</v>
      </c>
      <c r="N486" t="n">
        <v>0</v>
      </c>
      <c r="O486" t="n">
        <v>0</v>
      </c>
      <c r="P486" t="n">
        <v>0</v>
      </c>
      <c r="Q486" t="n">
        <v>0</v>
      </c>
      <c r="R486" s="2" t="inlineStr"/>
    </row>
    <row r="487" ht="15" customHeight="1">
      <c r="A487" t="inlineStr">
        <is>
          <t>A 8036-2022</t>
        </is>
      </c>
      <c r="B487" s="1" t="n">
        <v>44609.44362268518</v>
      </c>
      <c r="C487" s="1" t="n">
        <v>46120</v>
      </c>
      <c r="D487" t="inlineStr">
        <is>
          <t>GOTLANDS LÄN</t>
        </is>
      </c>
      <c r="E487" t="inlineStr">
        <is>
          <t>GOTLAND</t>
        </is>
      </c>
      <c r="G487" t="n">
        <v>6.1</v>
      </c>
      <c r="H487" t="n">
        <v>0</v>
      </c>
      <c r="I487" t="n">
        <v>0</v>
      </c>
      <c r="J487" t="n">
        <v>0</v>
      </c>
      <c r="K487" t="n">
        <v>0</v>
      </c>
      <c r="L487" t="n">
        <v>0</v>
      </c>
      <c r="M487" t="n">
        <v>0</v>
      </c>
      <c r="N487" t="n">
        <v>0</v>
      </c>
      <c r="O487" t="n">
        <v>0</v>
      </c>
      <c r="P487" t="n">
        <v>0</v>
      </c>
      <c r="Q487" t="n">
        <v>0</v>
      </c>
      <c r="R487" s="2" t="inlineStr"/>
    </row>
    <row r="488" ht="15" customHeight="1">
      <c r="A488" t="inlineStr">
        <is>
          <t>A 12846-2025</t>
        </is>
      </c>
      <c r="B488" s="1" t="n">
        <v>45733.65049768519</v>
      </c>
      <c r="C488" s="1" t="n">
        <v>46120</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30104-2025</t>
        </is>
      </c>
      <c r="B489" s="1" t="n">
        <v>45826.68806712963</v>
      </c>
      <c r="C489" s="1" t="n">
        <v>46120</v>
      </c>
      <c r="D489" t="inlineStr">
        <is>
          <t>GOTLANDS LÄN</t>
        </is>
      </c>
      <c r="E489" t="inlineStr">
        <is>
          <t>GOTLAND</t>
        </is>
      </c>
      <c r="G489" t="n">
        <v>15.4</v>
      </c>
      <c r="H489" t="n">
        <v>0</v>
      </c>
      <c r="I489" t="n">
        <v>0</v>
      </c>
      <c r="J489" t="n">
        <v>0</v>
      </c>
      <c r="K489" t="n">
        <v>0</v>
      </c>
      <c r="L489" t="n">
        <v>0</v>
      </c>
      <c r="M489" t="n">
        <v>0</v>
      </c>
      <c r="N489" t="n">
        <v>0</v>
      </c>
      <c r="O489" t="n">
        <v>0</v>
      </c>
      <c r="P489" t="n">
        <v>0</v>
      </c>
      <c r="Q489" t="n">
        <v>0</v>
      </c>
      <c r="R489" s="2" t="inlineStr"/>
    </row>
    <row r="490" ht="15" customHeight="1">
      <c r="A490" t="inlineStr">
        <is>
          <t>A 35290-2025</t>
        </is>
      </c>
      <c r="B490" s="1" t="n">
        <v>45854.38502314815</v>
      </c>
      <c r="C490" s="1" t="n">
        <v>46120</v>
      </c>
      <c r="D490" t="inlineStr">
        <is>
          <t>GOTLANDS LÄN</t>
        </is>
      </c>
      <c r="E490" t="inlineStr">
        <is>
          <t>GOTLAND</t>
        </is>
      </c>
      <c r="G490" t="n">
        <v>5.4</v>
      </c>
      <c r="H490" t="n">
        <v>0</v>
      </c>
      <c r="I490" t="n">
        <v>0</v>
      </c>
      <c r="J490" t="n">
        <v>0</v>
      </c>
      <c r="K490" t="n">
        <v>0</v>
      </c>
      <c r="L490" t="n">
        <v>0</v>
      </c>
      <c r="M490" t="n">
        <v>0</v>
      </c>
      <c r="N490" t="n">
        <v>0</v>
      </c>
      <c r="O490" t="n">
        <v>0</v>
      </c>
      <c r="P490" t="n">
        <v>0</v>
      </c>
      <c r="Q490" t="n">
        <v>0</v>
      </c>
      <c r="R490" s="2" t="inlineStr"/>
    </row>
    <row r="491" ht="15" customHeight="1">
      <c r="A491" t="inlineStr">
        <is>
          <t>A 32669-2024</t>
        </is>
      </c>
      <c r="B491" s="1" t="n">
        <v>45514</v>
      </c>
      <c r="C491" s="1" t="n">
        <v>46120</v>
      </c>
      <c r="D491" t="inlineStr">
        <is>
          <t>GOTLANDS LÄN</t>
        </is>
      </c>
      <c r="E491" t="inlineStr">
        <is>
          <t>GOTLAND</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35537-2025</t>
        </is>
      </c>
      <c r="B492" s="1" t="n">
        <v>45856</v>
      </c>
      <c r="C492" s="1" t="n">
        <v>46120</v>
      </c>
      <c r="D492" t="inlineStr">
        <is>
          <t>GOTLANDS LÄN</t>
        </is>
      </c>
      <c r="E492" t="inlineStr">
        <is>
          <t>GOTLAND</t>
        </is>
      </c>
      <c r="G492" t="n">
        <v>16.8</v>
      </c>
      <c r="H492" t="n">
        <v>0</v>
      </c>
      <c r="I492" t="n">
        <v>0</v>
      </c>
      <c r="J492" t="n">
        <v>0</v>
      </c>
      <c r="K492" t="n">
        <v>0</v>
      </c>
      <c r="L492" t="n">
        <v>0</v>
      </c>
      <c r="M492" t="n">
        <v>0</v>
      </c>
      <c r="N492" t="n">
        <v>0</v>
      </c>
      <c r="O492" t="n">
        <v>0</v>
      </c>
      <c r="P492" t="n">
        <v>0</v>
      </c>
      <c r="Q492" t="n">
        <v>0</v>
      </c>
      <c r="R492" s="2" t="inlineStr"/>
    </row>
    <row r="493" ht="15" customHeight="1">
      <c r="A493" t="inlineStr">
        <is>
          <t>A 46949-2024</t>
        </is>
      </c>
      <c r="B493" s="1" t="n">
        <v>45585</v>
      </c>
      <c r="C493" s="1" t="n">
        <v>46120</v>
      </c>
      <c r="D493" t="inlineStr">
        <is>
          <t>GOTLANDS LÄN</t>
        </is>
      </c>
      <c r="E493" t="inlineStr">
        <is>
          <t>GOTLAND</t>
        </is>
      </c>
      <c r="G493" t="n">
        <v>0.6</v>
      </c>
      <c r="H493" t="n">
        <v>0</v>
      </c>
      <c r="I493" t="n">
        <v>0</v>
      </c>
      <c r="J493" t="n">
        <v>0</v>
      </c>
      <c r="K493" t="n">
        <v>0</v>
      </c>
      <c r="L493" t="n">
        <v>0</v>
      </c>
      <c r="M493" t="n">
        <v>0</v>
      </c>
      <c r="N493" t="n">
        <v>0</v>
      </c>
      <c r="O493" t="n">
        <v>0</v>
      </c>
      <c r="P493" t="n">
        <v>0</v>
      </c>
      <c r="Q493" t="n">
        <v>0</v>
      </c>
      <c r="R493" s="2" t="inlineStr"/>
    </row>
    <row r="494" ht="15" customHeight="1">
      <c r="A494" t="inlineStr">
        <is>
          <t>A 10650-2022</t>
        </is>
      </c>
      <c r="B494" s="1" t="n">
        <v>44624.57945601852</v>
      </c>
      <c r="C494" s="1" t="n">
        <v>46120</v>
      </c>
      <c r="D494" t="inlineStr">
        <is>
          <t>GOTLANDS LÄN</t>
        </is>
      </c>
      <c r="E494" t="inlineStr">
        <is>
          <t>GOTLAND</t>
        </is>
      </c>
      <c r="G494" t="n">
        <v>1.1</v>
      </c>
      <c r="H494" t="n">
        <v>0</v>
      </c>
      <c r="I494" t="n">
        <v>0</v>
      </c>
      <c r="J494" t="n">
        <v>0</v>
      </c>
      <c r="K494" t="n">
        <v>0</v>
      </c>
      <c r="L494" t="n">
        <v>0</v>
      </c>
      <c r="M494" t="n">
        <v>0</v>
      </c>
      <c r="N494" t="n">
        <v>0</v>
      </c>
      <c r="O494" t="n">
        <v>0</v>
      </c>
      <c r="P494" t="n">
        <v>0</v>
      </c>
      <c r="Q494" t="n">
        <v>0</v>
      </c>
      <c r="R494" s="2" t="inlineStr"/>
    </row>
    <row r="495" ht="15" customHeight="1">
      <c r="A495" t="inlineStr">
        <is>
          <t>A 15216-2025</t>
        </is>
      </c>
      <c r="B495" s="1" t="n">
        <v>45744</v>
      </c>
      <c r="C495" s="1" t="n">
        <v>46120</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43790-2024</t>
        </is>
      </c>
      <c r="B496" s="1" t="n">
        <v>45571</v>
      </c>
      <c r="C496" s="1" t="n">
        <v>46120</v>
      </c>
      <c r="D496" t="inlineStr">
        <is>
          <t>GOTLANDS LÄN</t>
        </is>
      </c>
      <c r="E496" t="inlineStr">
        <is>
          <t>GOTLAND</t>
        </is>
      </c>
      <c r="G496" t="n">
        <v>3.5</v>
      </c>
      <c r="H496" t="n">
        <v>0</v>
      </c>
      <c r="I496" t="n">
        <v>0</v>
      </c>
      <c r="J496" t="n">
        <v>0</v>
      </c>
      <c r="K496" t="n">
        <v>0</v>
      </c>
      <c r="L496" t="n">
        <v>0</v>
      </c>
      <c r="M496" t="n">
        <v>0</v>
      </c>
      <c r="N496" t="n">
        <v>0</v>
      </c>
      <c r="O496" t="n">
        <v>0</v>
      </c>
      <c r="P496" t="n">
        <v>0</v>
      </c>
      <c r="Q496" t="n">
        <v>0</v>
      </c>
      <c r="R496" s="2" t="inlineStr"/>
    </row>
    <row r="497" ht="15" customHeight="1">
      <c r="A497" t="inlineStr">
        <is>
          <t>A 15001-2025</t>
        </is>
      </c>
      <c r="B497" s="1" t="n">
        <v>45743</v>
      </c>
      <c r="C497" s="1" t="n">
        <v>46120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30488-2025</t>
        </is>
      </c>
      <c r="B498" s="1" t="n">
        <v>45830</v>
      </c>
      <c r="C498" s="1" t="n">
        <v>46120</v>
      </c>
      <c r="D498" t="inlineStr">
        <is>
          <t>GOTLANDS LÄN</t>
        </is>
      </c>
      <c r="E498" t="inlineStr">
        <is>
          <t>GOTLAND</t>
        </is>
      </c>
      <c r="F498" t="inlineStr">
        <is>
          <t>Kyrkan</t>
        </is>
      </c>
      <c r="G498" t="n">
        <v>3.9</v>
      </c>
      <c r="H498" t="n">
        <v>0</v>
      </c>
      <c r="I498" t="n">
        <v>0</v>
      </c>
      <c r="J498" t="n">
        <v>0</v>
      </c>
      <c r="K498" t="n">
        <v>0</v>
      </c>
      <c r="L498" t="n">
        <v>0</v>
      </c>
      <c r="M498" t="n">
        <v>0</v>
      </c>
      <c r="N498" t="n">
        <v>0</v>
      </c>
      <c r="O498" t="n">
        <v>0</v>
      </c>
      <c r="P498" t="n">
        <v>0</v>
      </c>
      <c r="Q498" t="n">
        <v>0</v>
      </c>
      <c r="R498" s="2" t="inlineStr"/>
    </row>
    <row r="499" ht="15" customHeight="1">
      <c r="A499" t="inlineStr">
        <is>
          <t>A 17847-2025</t>
        </is>
      </c>
      <c r="B499" s="1" t="n">
        <v>45758</v>
      </c>
      <c r="C499" s="1" t="n">
        <v>46120</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18742-2025</t>
        </is>
      </c>
      <c r="B500" s="1" t="n">
        <v>45763</v>
      </c>
      <c r="C500" s="1" t="n">
        <v>46120</v>
      </c>
      <c r="D500" t="inlineStr">
        <is>
          <t>GOTLANDS LÄN</t>
        </is>
      </c>
      <c r="E500" t="inlineStr">
        <is>
          <t>GOTLAND</t>
        </is>
      </c>
      <c r="G500" t="n">
        <v>3.4</v>
      </c>
      <c r="H500" t="n">
        <v>0</v>
      </c>
      <c r="I500" t="n">
        <v>0</v>
      </c>
      <c r="J500" t="n">
        <v>0</v>
      </c>
      <c r="K500" t="n">
        <v>0</v>
      </c>
      <c r="L500" t="n">
        <v>0</v>
      </c>
      <c r="M500" t="n">
        <v>0</v>
      </c>
      <c r="N500" t="n">
        <v>0</v>
      </c>
      <c r="O500" t="n">
        <v>0</v>
      </c>
      <c r="P500" t="n">
        <v>0</v>
      </c>
      <c r="Q500" t="n">
        <v>0</v>
      </c>
      <c r="R500" s="2" t="inlineStr"/>
    </row>
    <row r="501" ht="15" customHeight="1">
      <c r="A501" t="inlineStr">
        <is>
          <t>A 35129-2025</t>
        </is>
      </c>
      <c r="B501" s="1" t="n">
        <v>45852.63224537037</v>
      </c>
      <c r="C501" s="1" t="n">
        <v>46120</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11634-2024</t>
        </is>
      </c>
      <c r="B502" s="1" t="n">
        <v>45373</v>
      </c>
      <c r="C502" s="1" t="n">
        <v>46120</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1351-2025</t>
        </is>
      </c>
      <c r="B503" s="1" t="n">
        <v>45667.62246527777</v>
      </c>
      <c r="C503" s="1" t="n">
        <v>46120</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46120</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49874-2024</t>
        </is>
      </c>
      <c r="B505" s="1" t="n">
        <v>45597.49274305555</v>
      </c>
      <c r="C505" s="1" t="n">
        <v>46120</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42201-2023</t>
        </is>
      </c>
      <c r="B506" s="1" t="n">
        <v>45179</v>
      </c>
      <c r="C506" s="1" t="n">
        <v>46120</v>
      </c>
      <c r="D506" t="inlineStr">
        <is>
          <t>GOTLANDS LÄN</t>
        </is>
      </c>
      <c r="E506" t="inlineStr">
        <is>
          <t>GOTLAND</t>
        </is>
      </c>
      <c r="G506" t="n">
        <v>11.9</v>
      </c>
      <c r="H506" t="n">
        <v>0</v>
      </c>
      <c r="I506" t="n">
        <v>0</v>
      </c>
      <c r="J506" t="n">
        <v>0</v>
      </c>
      <c r="K506" t="n">
        <v>0</v>
      </c>
      <c r="L506" t="n">
        <v>0</v>
      </c>
      <c r="M506" t="n">
        <v>0</v>
      </c>
      <c r="N506" t="n">
        <v>0</v>
      </c>
      <c r="O506" t="n">
        <v>0</v>
      </c>
      <c r="P506" t="n">
        <v>0</v>
      </c>
      <c r="Q506" t="n">
        <v>0</v>
      </c>
      <c r="R506" s="2" t="inlineStr"/>
    </row>
    <row r="507" ht="15" customHeight="1">
      <c r="A507" t="inlineStr">
        <is>
          <t>A 46400-2023</t>
        </is>
      </c>
      <c r="B507" s="1" t="n">
        <v>45197.49290509259</v>
      </c>
      <c r="C507" s="1" t="n">
        <v>46120</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9875-2025</t>
        </is>
      </c>
      <c r="B508" s="1" t="n">
        <v>45716</v>
      </c>
      <c r="C508" s="1" t="n">
        <v>46120</v>
      </c>
      <c r="D508" t="inlineStr">
        <is>
          <t>GOTLANDS LÄN</t>
        </is>
      </c>
      <c r="E508" t="inlineStr">
        <is>
          <t>GOTLAND</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21164-2024</t>
        </is>
      </c>
      <c r="B509" s="1" t="n">
        <v>45440</v>
      </c>
      <c r="C509" s="1" t="n">
        <v>46120</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8045-2022</t>
        </is>
      </c>
      <c r="B510" s="1" t="n">
        <v>44609</v>
      </c>
      <c r="C510" s="1" t="n">
        <v>46120</v>
      </c>
      <c r="D510" t="inlineStr">
        <is>
          <t>GOTLANDS LÄN</t>
        </is>
      </c>
      <c r="E510" t="inlineStr">
        <is>
          <t>GOTLAND</t>
        </is>
      </c>
      <c r="G510" t="n">
        <v>7</v>
      </c>
      <c r="H510" t="n">
        <v>0</v>
      </c>
      <c r="I510" t="n">
        <v>0</v>
      </c>
      <c r="J510" t="n">
        <v>0</v>
      </c>
      <c r="K510" t="n">
        <v>0</v>
      </c>
      <c r="L510" t="n">
        <v>0</v>
      </c>
      <c r="M510" t="n">
        <v>0</v>
      </c>
      <c r="N510" t="n">
        <v>0</v>
      </c>
      <c r="O510" t="n">
        <v>0</v>
      </c>
      <c r="P510" t="n">
        <v>0</v>
      </c>
      <c r="Q510" t="n">
        <v>0</v>
      </c>
      <c r="R510" s="2" t="inlineStr"/>
    </row>
    <row r="511" ht="15" customHeight="1">
      <c r="A511" t="inlineStr">
        <is>
          <t>A 22897-2023</t>
        </is>
      </c>
      <c r="B511" s="1" t="n">
        <v>45072.55239583334</v>
      </c>
      <c r="C511" s="1" t="n">
        <v>46120</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6108-2025</t>
        </is>
      </c>
      <c r="B512" s="1" t="n">
        <v>45698.29880787037</v>
      </c>
      <c r="C512" s="1" t="n">
        <v>46120</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21142-2025</t>
        </is>
      </c>
      <c r="B513" s="1" t="n">
        <v>45779</v>
      </c>
      <c r="C513" s="1" t="n">
        <v>46120</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61897-2024</t>
        </is>
      </c>
      <c r="B514" s="1" t="n">
        <v>45652.75685185185</v>
      </c>
      <c r="C514" s="1" t="n">
        <v>46120</v>
      </c>
      <c r="D514" t="inlineStr">
        <is>
          <t>GOTLANDS LÄN</t>
        </is>
      </c>
      <c r="E514" t="inlineStr">
        <is>
          <t>GOTLAND</t>
        </is>
      </c>
      <c r="G514" t="n">
        <v>6.4</v>
      </c>
      <c r="H514" t="n">
        <v>0</v>
      </c>
      <c r="I514" t="n">
        <v>0</v>
      </c>
      <c r="J514" t="n">
        <v>0</v>
      </c>
      <c r="K514" t="n">
        <v>0</v>
      </c>
      <c r="L514" t="n">
        <v>0</v>
      </c>
      <c r="M514" t="n">
        <v>0</v>
      </c>
      <c r="N514" t="n">
        <v>0</v>
      </c>
      <c r="O514" t="n">
        <v>0</v>
      </c>
      <c r="P514" t="n">
        <v>0</v>
      </c>
      <c r="Q514" t="n">
        <v>0</v>
      </c>
      <c r="R514" s="2" t="inlineStr"/>
    </row>
    <row r="515" ht="15" customHeight="1">
      <c r="A515" t="inlineStr">
        <is>
          <t>A 17343-2025</t>
        </is>
      </c>
      <c r="B515" s="1" t="n">
        <v>45756.6687037037</v>
      </c>
      <c r="C515" s="1" t="n">
        <v>46120</v>
      </c>
      <c r="D515" t="inlineStr">
        <is>
          <t>GOTLANDS LÄN</t>
        </is>
      </c>
      <c r="E515" t="inlineStr">
        <is>
          <t>GOTLAND</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18938-2025</t>
        </is>
      </c>
      <c r="B516" s="1" t="n">
        <v>45764.49172453704</v>
      </c>
      <c r="C516" s="1" t="n">
        <v>46120</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49962-2023</t>
        </is>
      </c>
      <c r="B517" s="1" t="n">
        <v>45215.38775462963</v>
      </c>
      <c r="C517" s="1" t="n">
        <v>46120</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30489-2025</t>
        </is>
      </c>
      <c r="B518" s="1" t="n">
        <v>45830</v>
      </c>
      <c r="C518" s="1" t="n">
        <v>46120</v>
      </c>
      <c r="D518" t="inlineStr">
        <is>
          <t>GOTLANDS LÄN</t>
        </is>
      </c>
      <c r="E518" t="inlineStr">
        <is>
          <t>GOTLAND</t>
        </is>
      </c>
      <c r="G518" t="n">
        <v>4.6</v>
      </c>
      <c r="H518" t="n">
        <v>0</v>
      </c>
      <c r="I518" t="n">
        <v>0</v>
      </c>
      <c r="J518" t="n">
        <v>0</v>
      </c>
      <c r="K518" t="n">
        <v>0</v>
      </c>
      <c r="L518" t="n">
        <v>0</v>
      </c>
      <c r="M518" t="n">
        <v>0</v>
      </c>
      <c r="N518" t="n">
        <v>0</v>
      </c>
      <c r="O518" t="n">
        <v>0</v>
      </c>
      <c r="P518" t="n">
        <v>0</v>
      </c>
      <c r="Q518" t="n">
        <v>0</v>
      </c>
      <c r="R518" s="2" t="inlineStr"/>
    </row>
    <row r="519" ht="15" customHeight="1">
      <c r="A519" t="inlineStr">
        <is>
          <t>A 20307-2025</t>
        </is>
      </c>
      <c r="B519" s="1" t="n">
        <v>45774.95546296296</v>
      </c>
      <c r="C519" s="1" t="n">
        <v>46120</v>
      </c>
      <c r="D519" t="inlineStr">
        <is>
          <t>GOTLANDS LÄN</t>
        </is>
      </c>
      <c r="E519" t="inlineStr">
        <is>
          <t>GOTLAND</t>
        </is>
      </c>
      <c r="G519" t="n">
        <v>6.8</v>
      </c>
      <c r="H519" t="n">
        <v>0</v>
      </c>
      <c r="I519" t="n">
        <v>0</v>
      </c>
      <c r="J519" t="n">
        <v>0</v>
      </c>
      <c r="K519" t="n">
        <v>0</v>
      </c>
      <c r="L519" t="n">
        <v>0</v>
      </c>
      <c r="M519" t="n">
        <v>0</v>
      </c>
      <c r="N519" t="n">
        <v>0</v>
      </c>
      <c r="O519" t="n">
        <v>0</v>
      </c>
      <c r="P519" t="n">
        <v>0</v>
      </c>
      <c r="Q519" t="n">
        <v>0</v>
      </c>
      <c r="R519" s="2" t="inlineStr"/>
    </row>
    <row r="520" ht="15" customHeight="1">
      <c r="A520" t="inlineStr">
        <is>
          <t>A 20165-2022</t>
        </is>
      </c>
      <c r="B520" s="1" t="n">
        <v>44698.49854166667</v>
      </c>
      <c r="C520" s="1" t="n">
        <v>46120</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40294-2022</t>
        </is>
      </c>
      <c r="B521" s="1" t="n">
        <v>44821</v>
      </c>
      <c r="C521" s="1" t="n">
        <v>46120</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12032-2025</t>
        </is>
      </c>
      <c r="B522" s="1" t="n">
        <v>45728.64472222222</v>
      </c>
      <c r="C522" s="1" t="n">
        <v>46120</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38787-2023</t>
        </is>
      </c>
      <c r="B523" s="1" t="n">
        <v>45163</v>
      </c>
      <c r="C523" s="1" t="n">
        <v>46120</v>
      </c>
      <c r="D523" t="inlineStr">
        <is>
          <t>GOTLANDS LÄN</t>
        </is>
      </c>
      <c r="E523" t="inlineStr">
        <is>
          <t>GOTLAND</t>
        </is>
      </c>
      <c r="G523" t="n">
        <v>0.4</v>
      </c>
      <c r="H523" t="n">
        <v>0</v>
      </c>
      <c r="I523" t="n">
        <v>0</v>
      </c>
      <c r="J523" t="n">
        <v>0</v>
      </c>
      <c r="K523" t="n">
        <v>0</v>
      </c>
      <c r="L523" t="n">
        <v>0</v>
      </c>
      <c r="M523" t="n">
        <v>0</v>
      </c>
      <c r="N523" t="n">
        <v>0</v>
      </c>
      <c r="O523" t="n">
        <v>0</v>
      </c>
      <c r="P523" t="n">
        <v>0</v>
      </c>
      <c r="Q523" t="n">
        <v>0</v>
      </c>
      <c r="R523" s="2" t="inlineStr"/>
    </row>
    <row r="524" ht="15" customHeight="1">
      <c r="A524" t="inlineStr">
        <is>
          <t>A 43231-2023</t>
        </is>
      </c>
      <c r="B524" s="1" t="n">
        <v>45183.47025462963</v>
      </c>
      <c r="C524" s="1" t="n">
        <v>46120</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17532-2024</t>
        </is>
      </c>
      <c r="B525" s="1" t="n">
        <v>45415</v>
      </c>
      <c r="C525" s="1" t="n">
        <v>46120</v>
      </c>
      <c r="D525" t="inlineStr">
        <is>
          <t>GOTLANDS LÄN</t>
        </is>
      </c>
      <c r="E525" t="inlineStr">
        <is>
          <t>GOTLAND</t>
        </is>
      </c>
      <c r="G525" t="n">
        <v>4.3</v>
      </c>
      <c r="H525" t="n">
        <v>0</v>
      </c>
      <c r="I525" t="n">
        <v>0</v>
      </c>
      <c r="J525" t="n">
        <v>0</v>
      </c>
      <c r="K525" t="n">
        <v>0</v>
      </c>
      <c r="L525" t="n">
        <v>0</v>
      </c>
      <c r="M525" t="n">
        <v>0</v>
      </c>
      <c r="N525" t="n">
        <v>0</v>
      </c>
      <c r="O525" t="n">
        <v>0</v>
      </c>
      <c r="P525" t="n">
        <v>0</v>
      </c>
      <c r="Q525" t="n">
        <v>0</v>
      </c>
      <c r="R525" s="2" t="inlineStr"/>
    </row>
    <row r="526" ht="15" customHeight="1">
      <c r="A526" t="inlineStr">
        <is>
          <t>A 3935-2025</t>
        </is>
      </c>
      <c r="B526" s="1" t="n">
        <v>45684.46070601852</v>
      </c>
      <c r="C526" s="1" t="n">
        <v>46120</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20225-2025</t>
        </is>
      </c>
      <c r="B527" s="1" t="n">
        <v>45772.65802083333</v>
      </c>
      <c r="C527" s="1" t="n">
        <v>46120</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883-2025</t>
        </is>
      </c>
      <c r="B528" s="1" t="n">
        <v>45665</v>
      </c>
      <c r="C528" s="1" t="n">
        <v>46120</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1066-2024</t>
        </is>
      </c>
      <c r="B529" s="1" t="n">
        <v>45302.285</v>
      </c>
      <c r="C529" s="1" t="n">
        <v>46120</v>
      </c>
      <c r="D529" t="inlineStr">
        <is>
          <t>GOTLANDS LÄN</t>
        </is>
      </c>
      <c r="E529" t="inlineStr">
        <is>
          <t>GOTLAND</t>
        </is>
      </c>
      <c r="G529" t="n">
        <v>1.4</v>
      </c>
      <c r="H529" t="n">
        <v>0</v>
      </c>
      <c r="I529" t="n">
        <v>0</v>
      </c>
      <c r="J529" t="n">
        <v>0</v>
      </c>
      <c r="K529" t="n">
        <v>0</v>
      </c>
      <c r="L529" t="n">
        <v>0</v>
      </c>
      <c r="M529" t="n">
        <v>0</v>
      </c>
      <c r="N529" t="n">
        <v>0</v>
      </c>
      <c r="O529" t="n">
        <v>0</v>
      </c>
      <c r="P529" t="n">
        <v>0</v>
      </c>
      <c r="Q529" t="n">
        <v>0</v>
      </c>
      <c r="R529" s="2" t="inlineStr"/>
    </row>
    <row r="530" ht="15" customHeight="1">
      <c r="A530" t="inlineStr">
        <is>
          <t>A 17144-2025</t>
        </is>
      </c>
      <c r="B530" s="1" t="n">
        <v>45755.9499537037</v>
      </c>
      <c r="C530" s="1" t="n">
        <v>46120</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56009-2024</t>
        </is>
      </c>
      <c r="B531" s="1" t="n">
        <v>45623.80864583333</v>
      </c>
      <c r="C531" s="1" t="n">
        <v>46120</v>
      </c>
      <c r="D531" t="inlineStr">
        <is>
          <t>GOTLANDS LÄN</t>
        </is>
      </c>
      <c r="E531" t="inlineStr">
        <is>
          <t>GOTLAND</t>
        </is>
      </c>
      <c r="G531" t="n">
        <v>2.8</v>
      </c>
      <c r="H531" t="n">
        <v>0</v>
      </c>
      <c r="I531" t="n">
        <v>0</v>
      </c>
      <c r="J531" t="n">
        <v>0</v>
      </c>
      <c r="K531" t="n">
        <v>0</v>
      </c>
      <c r="L531" t="n">
        <v>0</v>
      </c>
      <c r="M531" t="n">
        <v>0</v>
      </c>
      <c r="N531" t="n">
        <v>0</v>
      </c>
      <c r="O531" t="n">
        <v>0</v>
      </c>
      <c r="P531" t="n">
        <v>0</v>
      </c>
      <c r="Q531" t="n">
        <v>0</v>
      </c>
      <c r="R531" s="2" t="inlineStr"/>
    </row>
    <row r="532" ht="15" customHeight="1">
      <c r="A532" t="inlineStr">
        <is>
          <t>A 42338-2023</t>
        </is>
      </c>
      <c r="B532" s="1" t="n">
        <v>45180</v>
      </c>
      <c r="C532" s="1" t="n">
        <v>46120</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581-2023</t>
        </is>
      </c>
      <c r="B533" s="1" t="n">
        <v>44930</v>
      </c>
      <c r="C533" s="1" t="n">
        <v>46120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61386-2023</t>
        </is>
      </c>
      <c r="B534" s="1" t="n">
        <v>45264</v>
      </c>
      <c r="C534" s="1" t="n">
        <v>46120</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46120</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49411-2023</t>
        </is>
      </c>
      <c r="B536" s="1" t="n">
        <v>45205</v>
      </c>
      <c r="C536" s="1" t="n">
        <v>46120</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22275-2023</t>
        </is>
      </c>
      <c r="B537" s="1" t="n">
        <v>45070.39875</v>
      </c>
      <c r="C537" s="1" t="n">
        <v>46120</v>
      </c>
      <c r="D537" t="inlineStr">
        <is>
          <t>GOTLANDS LÄN</t>
        </is>
      </c>
      <c r="E537" t="inlineStr">
        <is>
          <t>GOTLAND</t>
        </is>
      </c>
      <c r="G537" t="n">
        <v>7.2</v>
      </c>
      <c r="H537" t="n">
        <v>0</v>
      </c>
      <c r="I537" t="n">
        <v>0</v>
      </c>
      <c r="J537" t="n">
        <v>0</v>
      </c>
      <c r="K537" t="n">
        <v>0</v>
      </c>
      <c r="L537" t="n">
        <v>0</v>
      </c>
      <c r="M537" t="n">
        <v>0</v>
      </c>
      <c r="N537" t="n">
        <v>0</v>
      </c>
      <c r="O537" t="n">
        <v>0</v>
      </c>
      <c r="P537" t="n">
        <v>0</v>
      </c>
      <c r="Q537" t="n">
        <v>0</v>
      </c>
      <c r="R537" s="2" t="inlineStr"/>
    </row>
    <row r="538" ht="15" customHeight="1">
      <c r="A538" t="inlineStr">
        <is>
          <t>A 12322-2025</t>
        </is>
      </c>
      <c r="B538" s="1" t="n">
        <v>45730</v>
      </c>
      <c r="C538" s="1" t="n">
        <v>46120</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14797-2024</t>
        </is>
      </c>
      <c r="B539" s="1" t="n">
        <v>45397.87030092593</v>
      </c>
      <c r="C539" s="1" t="n">
        <v>46120</v>
      </c>
      <c r="D539" t="inlineStr">
        <is>
          <t>GOTLANDS LÄN</t>
        </is>
      </c>
      <c r="E539" t="inlineStr">
        <is>
          <t>GOTLAND</t>
        </is>
      </c>
      <c r="G539" t="n">
        <v>8.1</v>
      </c>
      <c r="H539" t="n">
        <v>0</v>
      </c>
      <c r="I539" t="n">
        <v>0</v>
      </c>
      <c r="J539" t="n">
        <v>0</v>
      </c>
      <c r="K539" t="n">
        <v>0</v>
      </c>
      <c r="L539" t="n">
        <v>0</v>
      </c>
      <c r="M539" t="n">
        <v>0</v>
      </c>
      <c r="N539" t="n">
        <v>0</v>
      </c>
      <c r="O539" t="n">
        <v>0</v>
      </c>
      <c r="P539" t="n">
        <v>0</v>
      </c>
      <c r="Q539" t="n">
        <v>0</v>
      </c>
      <c r="R539" s="2" t="inlineStr"/>
    </row>
    <row r="540" ht="15" customHeight="1">
      <c r="A540" t="inlineStr">
        <is>
          <t>A 999-2024</t>
        </is>
      </c>
      <c r="B540" s="1" t="n">
        <v>45301</v>
      </c>
      <c r="C540" s="1" t="n">
        <v>46120</v>
      </c>
      <c r="D540" t="inlineStr">
        <is>
          <t>GOTLANDS LÄN</t>
        </is>
      </c>
      <c r="E540" t="inlineStr">
        <is>
          <t>GOTLAND</t>
        </is>
      </c>
      <c r="G540" t="n">
        <v>1</v>
      </c>
      <c r="H540" t="n">
        <v>0</v>
      </c>
      <c r="I540" t="n">
        <v>0</v>
      </c>
      <c r="J540" t="n">
        <v>0</v>
      </c>
      <c r="K540" t="n">
        <v>0</v>
      </c>
      <c r="L540" t="n">
        <v>0</v>
      </c>
      <c r="M540" t="n">
        <v>0</v>
      </c>
      <c r="N540" t="n">
        <v>0</v>
      </c>
      <c r="O540" t="n">
        <v>0</v>
      </c>
      <c r="P540" t="n">
        <v>0</v>
      </c>
      <c r="Q540" t="n">
        <v>0</v>
      </c>
      <c r="R540" s="2" t="inlineStr"/>
    </row>
    <row r="541" ht="15" customHeight="1">
      <c r="A541" t="inlineStr">
        <is>
          <t>A 61596-2023</t>
        </is>
      </c>
      <c r="B541" s="1" t="n">
        <v>45265</v>
      </c>
      <c r="C541" s="1" t="n">
        <v>46120</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14638-2025</t>
        </is>
      </c>
      <c r="B542" s="1" t="n">
        <v>45742</v>
      </c>
      <c r="C542" s="1" t="n">
        <v>46120</v>
      </c>
      <c r="D542" t="inlineStr">
        <is>
          <t>GOTLANDS LÄN</t>
        </is>
      </c>
      <c r="E542" t="inlineStr">
        <is>
          <t>GOTLAND</t>
        </is>
      </c>
      <c r="G542" t="n">
        <v>13.4</v>
      </c>
      <c r="H542" t="n">
        <v>0</v>
      </c>
      <c r="I542" t="n">
        <v>0</v>
      </c>
      <c r="J542" t="n">
        <v>0</v>
      </c>
      <c r="K542" t="n">
        <v>0</v>
      </c>
      <c r="L542" t="n">
        <v>0</v>
      </c>
      <c r="M542" t="n">
        <v>0</v>
      </c>
      <c r="N542" t="n">
        <v>0</v>
      </c>
      <c r="O542" t="n">
        <v>0</v>
      </c>
      <c r="P542" t="n">
        <v>0</v>
      </c>
      <c r="Q542" t="n">
        <v>0</v>
      </c>
      <c r="R542" s="2" t="inlineStr"/>
    </row>
    <row r="543" ht="15" customHeight="1">
      <c r="A543" t="inlineStr">
        <is>
          <t>A 60675-2021</t>
        </is>
      </c>
      <c r="B543" s="1" t="n">
        <v>44496.64855324074</v>
      </c>
      <c r="C543" s="1" t="n">
        <v>46120</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37728-2024</t>
        </is>
      </c>
      <c r="B544" s="1" t="n">
        <v>45541</v>
      </c>
      <c r="C544" s="1" t="n">
        <v>46120</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22287-2022</t>
        </is>
      </c>
      <c r="B545" s="1" t="n">
        <v>44712</v>
      </c>
      <c r="C545" s="1" t="n">
        <v>46120</v>
      </c>
      <c r="D545" t="inlineStr">
        <is>
          <t>GOTLANDS LÄN</t>
        </is>
      </c>
      <c r="E545" t="inlineStr">
        <is>
          <t>GOTLAND</t>
        </is>
      </c>
      <c r="G545" t="n">
        <v>6.1</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46120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65249-2023</t>
        </is>
      </c>
      <c r="B547" s="1" t="n">
        <v>45290</v>
      </c>
      <c r="C547" s="1" t="n">
        <v>46120</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13910-2025</t>
        </is>
      </c>
      <c r="B548" s="1" t="n">
        <v>45737</v>
      </c>
      <c r="C548" s="1" t="n">
        <v>46120</v>
      </c>
      <c r="D548" t="inlineStr">
        <is>
          <t>GOTLANDS LÄN</t>
        </is>
      </c>
      <c r="E548" t="inlineStr">
        <is>
          <t>GOTLAND</t>
        </is>
      </c>
      <c r="F548" t="inlineStr">
        <is>
          <t>Kommuner</t>
        </is>
      </c>
      <c r="G548" t="n">
        <v>3.2</v>
      </c>
      <c r="H548" t="n">
        <v>0</v>
      </c>
      <c r="I548" t="n">
        <v>0</v>
      </c>
      <c r="J548" t="n">
        <v>0</v>
      </c>
      <c r="K548" t="n">
        <v>0</v>
      </c>
      <c r="L548" t="n">
        <v>0</v>
      </c>
      <c r="M548" t="n">
        <v>0</v>
      </c>
      <c r="N548" t="n">
        <v>0</v>
      </c>
      <c r="O548" t="n">
        <v>0</v>
      </c>
      <c r="P548" t="n">
        <v>0</v>
      </c>
      <c r="Q548" t="n">
        <v>0</v>
      </c>
      <c r="R548" s="2" t="inlineStr"/>
    </row>
    <row r="549" ht="15" customHeight="1">
      <c r="A549" t="inlineStr">
        <is>
          <t>A 17780-2022</t>
        </is>
      </c>
      <c r="B549" s="1" t="n">
        <v>44682.82622685185</v>
      </c>
      <c r="C549" s="1" t="n">
        <v>46120</v>
      </c>
      <c r="D549" t="inlineStr">
        <is>
          <t>GOTLANDS LÄN</t>
        </is>
      </c>
      <c r="E549" t="inlineStr">
        <is>
          <t>GOTLAND</t>
        </is>
      </c>
      <c r="G549" t="n">
        <v>2.2</v>
      </c>
      <c r="H549" t="n">
        <v>0</v>
      </c>
      <c r="I549" t="n">
        <v>0</v>
      </c>
      <c r="J549" t="n">
        <v>0</v>
      </c>
      <c r="K549" t="n">
        <v>0</v>
      </c>
      <c r="L549" t="n">
        <v>0</v>
      </c>
      <c r="M549" t="n">
        <v>0</v>
      </c>
      <c r="N549" t="n">
        <v>0</v>
      </c>
      <c r="O549" t="n">
        <v>0</v>
      </c>
      <c r="P549" t="n">
        <v>0</v>
      </c>
      <c r="Q549" t="n">
        <v>0</v>
      </c>
      <c r="R549" s="2" t="inlineStr"/>
    </row>
    <row r="550" ht="15" customHeight="1">
      <c r="A550" t="inlineStr">
        <is>
          <t>A 59986-2022</t>
        </is>
      </c>
      <c r="B550" s="1" t="n">
        <v>44909</v>
      </c>
      <c r="C550" s="1" t="n">
        <v>46120</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11874-2024</t>
        </is>
      </c>
      <c r="B551" s="1" t="n">
        <v>45376.46956018519</v>
      </c>
      <c r="C551" s="1" t="n">
        <v>46120</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42041-2024</t>
        </is>
      </c>
      <c r="B552" s="1" t="n">
        <v>45561</v>
      </c>
      <c r="C552" s="1" t="n">
        <v>46120</v>
      </c>
      <c r="D552" t="inlineStr">
        <is>
          <t>GOTLANDS LÄN</t>
        </is>
      </c>
      <c r="E552" t="inlineStr">
        <is>
          <t>GOTLAND</t>
        </is>
      </c>
      <c r="G552" t="n">
        <v>3.2</v>
      </c>
      <c r="H552" t="n">
        <v>0</v>
      </c>
      <c r="I552" t="n">
        <v>0</v>
      </c>
      <c r="J552" t="n">
        <v>0</v>
      </c>
      <c r="K552" t="n">
        <v>0</v>
      </c>
      <c r="L552" t="n">
        <v>0</v>
      </c>
      <c r="M552" t="n">
        <v>0</v>
      </c>
      <c r="N552" t="n">
        <v>0</v>
      </c>
      <c r="O552" t="n">
        <v>0</v>
      </c>
      <c r="P552" t="n">
        <v>0</v>
      </c>
      <c r="Q552" t="n">
        <v>0</v>
      </c>
      <c r="R552" s="2" t="inlineStr"/>
    </row>
    <row r="553" ht="15" customHeight="1">
      <c r="A553" t="inlineStr">
        <is>
          <t>A 61694-2023</t>
        </is>
      </c>
      <c r="B553" s="1" t="n">
        <v>45264</v>
      </c>
      <c r="C553" s="1" t="n">
        <v>46120</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64555-2023</t>
        </is>
      </c>
      <c r="B554" s="1" t="n">
        <v>45281</v>
      </c>
      <c r="C554" s="1" t="n">
        <v>46120</v>
      </c>
      <c r="D554" t="inlineStr">
        <is>
          <t>GOTLANDS LÄN</t>
        </is>
      </c>
      <c r="E554" t="inlineStr">
        <is>
          <t>GOTLAND</t>
        </is>
      </c>
      <c r="G554" t="n">
        <v>3.5</v>
      </c>
      <c r="H554" t="n">
        <v>0</v>
      </c>
      <c r="I554" t="n">
        <v>0</v>
      </c>
      <c r="J554" t="n">
        <v>0</v>
      </c>
      <c r="K554" t="n">
        <v>0</v>
      </c>
      <c r="L554" t="n">
        <v>0</v>
      </c>
      <c r="M554" t="n">
        <v>0</v>
      </c>
      <c r="N554" t="n">
        <v>0</v>
      </c>
      <c r="O554" t="n">
        <v>0</v>
      </c>
      <c r="P554" t="n">
        <v>0</v>
      </c>
      <c r="Q554" t="n">
        <v>0</v>
      </c>
      <c r="R554" s="2" t="inlineStr"/>
    </row>
    <row r="555" ht="15" customHeight="1">
      <c r="A555" t="inlineStr">
        <is>
          <t>A 64831-2023</t>
        </is>
      </c>
      <c r="B555" s="1" t="n">
        <v>45282.44924768519</v>
      </c>
      <c r="C555" s="1" t="n">
        <v>46120</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999-2023</t>
        </is>
      </c>
      <c r="B556" s="1" t="n">
        <v>44935</v>
      </c>
      <c r="C556" s="1" t="n">
        <v>46120</v>
      </c>
      <c r="D556" t="inlineStr">
        <is>
          <t>GOTLANDS LÄN</t>
        </is>
      </c>
      <c r="E556" t="inlineStr">
        <is>
          <t>GOTLAND</t>
        </is>
      </c>
      <c r="G556" t="n">
        <v>4.7</v>
      </c>
      <c r="H556" t="n">
        <v>0</v>
      </c>
      <c r="I556" t="n">
        <v>0</v>
      </c>
      <c r="J556" t="n">
        <v>0</v>
      </c>
      <c r="K556" t="n">
        <v>0</v>
      </c>
      <c r="L556" t="n">
        <v>0</v>
      </c>
      <c r="M556" t="n">
        <v>0</v>
      </c>
      <c r="N556" t="n">
        <v>0</v>
      </c>
      <c r="O556" t="n">
        <v>0</v>
      </c>
      <c r="P556" t="n">
        <v>0</v>
      </c>
      <c r="Q556" t="n">
        <v>0</v>
      </c>
      <c r="R556" s="2" t="inlineStr"/>
    </row>
    <row r="557" ht="15" customHeight="1">
      <c r="A557" t="inlineStr">
        <is>
          <t>A 27602-2023</t>
        </is>
      </c>
      <c r="B557" s="1" t="n">
        <v>45097</v>
      </c>
      <c r="C557" s="1" t="n">
        <v>46120</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4377-2023</t>
        </is>
      </c>
      <c r="B558" s="1" t="n">
        <v>44955.5502662037</v>
      </c>
      <c r="C558" s="1" t="n">
        <v>46120</v>
      </c>
      <c r="D558" t="inlineStr">
        <is>
          <t>GOTLANDS LÄN</t>
        </is>
      </c>
      <c r="E558" t="inlineStr">
        <is>
          <t>GOTLAND</t>
        </is>
      </c>
      <c r="F558" t="inlineStr">
        <is>
          <t>Kyrkan</t>
        </is>
      </c>
      <c r="G558" t="n">
        <v>0.6</v>
      </c>
      <c r="H558" t="n">
        <v>0</v>
      </c>
      <c r="I558" t="n">
        <v>0</v>
      </c>
      <c r="J558" t="n">
        <v>0</v>
      </c>
      <c r="K558" t="n">
        <v>0</v>
      </c>
      <c r="L558" t="n">
        <v>0</v>
      </c>
      <c r="M558" t="n">
        <v>0</v>
      </c>
      <c r="N558" t="n">
        <v>0</v>
      </c>
      <c r="O558" t="n">
        <v>0</v>
      </c>
      <c r="P558" t="n">
        <v>0</v>
      </c>
      <c r="Q558" t="n">
        <v>0</v>
      </c>
      <c r="R558" s="2" t="inlineStr"/>
    </row>
    <row r="559" ht="15" customHeight="1">
      <c r="A559" t="inlineStr">
        <is>
          <t>A 4387-2023</t>
        </is>
      </c>
      <c r="B559" s="1" t="n">
        <v>44955.73359953704</v>
      </c>
      <c r="C559" s="1" t="n">
        <v>46120</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39479-2022</t>
        </is>
      </c>
      <c r="B560" s="1" t="n">
        <v>44818</v>
      </c>
      <c r="C560" s="1" t="n">
        <v>46120</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51963-2024</t>
        </is>
      </c>
      <c r="B561" s="1" t="n">
        <v>45607.64833333333</v>
      </c>
      <c r="C561" s="1" t="n">
        <v>46120</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811-2023</t>
        </is>
      </c>
      <c r="B562" s="1" t="n">
        <v>44931</v>
      </c>
      <c r="C562" s="1" t="n">
        <v>46120</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46389-2021</t>
        </is>
      </c>
      <c r="B563" s="1" t="n">
        <v>44443</v>
      </c>
      <c r="C563" s="1" t="n">
        <v>46120</v>
      </c>
      <c r="D563" t="inlineStr">
        <is>
          <t>GOTLANDS LÄN</t>
        </is>
      </c>
      <c r="E563" t="inlineStr">
        <is>
          <t>GOTLAND</t>
        </is>
      </c>
      <c r="F563" t="inlineStr">
        <is>
          <t>Kyrkan</t>
        </is>
      </c>
      <c r="G563" t="n">
        <v>2.1</v>
      </c>
      <c r="H563" t="n">
        <v>0</v>
      </c>
      <c r="I563" t="n">
        <v>0</v>
      </c>
      <c r="J563" t="n">
        <v>0</v>
      </c>
      <c r="K563" t="n">
        <v>0</v>
      </c>
      <c r="L563" t="n">
        <v>0</v>
      </c>
      <c r="M563" t="n">
        <v>0</v>
      </c>
      <c r="N563" t="n">
        <v>0</v>
      </c>
      <c r="O563" t="n">
        <v>0</v>
      </c>
      <c r="P563" t="n">
        <v>0</v>
      </c>
      <c r="Q563" t="n">
        <v>0</v>
      </c>
      <c r="R563" s="2" t="inlineStr"/>
    </row>
    <row r="564" ht="15" customHeight="1">
      <c r="A564" t="inlineStr">
        <is>
          <t>A 26810-2021</t>
        </is>
      </c>
      <c r="B564" s="1" t="n">
        <v>44349.55087962963</v>
      </c>
      <c r="C564" s="1" t="n">
        <v>46120</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5923-2023</t>
        </is>
      </c>
      <c r="B565" s="1" t="n">
        <v>44963.69503472222</v>
      </c>
      <c r="C565" s="1" t="n">
        <v>46120</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33853-2024</t>
        </is>
      </c>
      <c r="B566" s="1" t="n">
        <v>45520.64298611111</v>
      </c>
      <c r="C566" s="1" t="n">
        <v>46120</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18918-2025</t>
        </is>
      </c>
      <c r="B567" s="1" t="n">
        <v>45764</v>
      </c>
      <c r="C567" s="1" t="n">
        <v>46120</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46120</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10655-2023</t>
        </is>
      </c>
      <c r="B569" s="1" t="n">
        <v>44988.49543981482</v>
      </c>
      <c r="C569" s="1" t="n">
        <v>46120</v>
      </c>
      <c r="D569" t="inlineStr">
        <is>
          <t>GOTLANDS LÄN</t>
        </is>
      </c>
      <c r="E569" t="inlineStr">
        <is>
          <t>GOTLAND</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44944.55361111111</v>
      </c>
      <c r="C570" s="1" t="n">
        <v>46120</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26891-2024</t>
        </is>
      </c>
      <c r="B571" s="1" t="n">
        <v>45470.65540509259</v>
      </c>
      <c r="C571" s="1" t="n">
        <v>46120</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42007-2023</t>
        </is>
      </c>
      <c r="B572" s="1" t="n">
        <v>45177</v>
      </c>
      <c r="C572" s="1" t="n">
        <v>46120</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9887-2025</t>
        </is>
      </c>
      <c r="B573" s="1" t="n">
        <v>45716</v>
      </c>
      <c r="C573" s="1" t="n">
        <v>46120</v>
      </c>
      <c r="D573" t="inlineStr">
        <is>
          <t>GOTLANDS LÄN</t>
        </is>
      </c>
      <c r="E573" t="inlineStr">
        <is>
          <t>GOTLAND</t>
        </is>
      </c>
      <c r="G573" t="n">
        <v>7.5</v>
      </c>
      <c r="H573" t="n">
        <v>0</v>
      </c>
      <c r="I573" t="n">
        <v>0</v>
      </c>
      <c r="J573" t="n">
        <v>0</v>
      </c>
      <c r="K573" t="n">
        <v>0</v>
      </c>
      <c r="L573" t="n">
        <v>0</v>
      </c>
      <c r="M573" t="n">
        <v>0</v>
      </c>
      <c r="N573" t="n">
        <v>0</v>
      </c>
      <c r="O573" t="n">
        <v>0</v>
      </c>
      <c r="P573" t="n">
        <v>0</v>
      </c>
      <c r="Q573" t="n">
        <v>0</v>
      </c>
      <c r="R573" s="2" t="inlineStr"/>
    </row>
    <row r="574" ht="15" customHeight="1">
      <c r="A574" t="inlineStr">
        <is>
          <t>A 38165-2023</t>
        </is>
      </c>
      <c r="B574" s="1" t="n">
        <v>45161</v>
      </c>
      <c r="C574" s="1" t="n">
        <v>46120</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27596-2023</t>
        </is>
      </c>
      <c r="B575" s="1" t="n">
        <v>45097</v>
      </c>
      <c r="C575" s="1" t="n">
        <v>46120</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24825-2024</t>
        </is>
      </c>
      <c r="B576" s="1" t="n">
        <v>45461</v>
      </c>
      <c r="C576" s="1" t="n">
        <v>46120</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6696-2023</t>
        </is>
      </c>
      <c r="B577" s="1" t="n">
        <v>44966.66425925926</v>
      </c>
      <c r="C577" s="1" t="n">
        <v>46120</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21247-2022</t>
        </is>
      </c>
      <c r="B578" s="1" t="n">
        <v>44705.38832175926</v>
      </c>
      <c r="C578" s="1" t="n">
        <v>46120</v>
      </c>
      <c r="D578" t="inlineStr">
        <is>
          <t>GOTLANDS LÄN</t>
        </is>
      </c>
      <c r="E578" t="inlineStr">
        <is>
          <t>GOTLAND</t>
        </is>
      </c>
      <c r="G578" t="n">
        <v>16.2</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44929.87122685185</v>
      </c>
      <c r="C579" s="1" t="n">
        <v>46120</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2714-2023</t>
        </is>
      </c>
      <c r="B580" s="1" t="n">
        <v>44944.54896990741</v>
      </c>
      <c r="C580" s="1" t="n">
        <v>46120</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4421-2024</t>
        </is>
      </c>
      <c r="B581" s="1" t="n">
        <v>45327.45173611111</v>
      </c>
      <c r="C581" s="1" t="n">
        <v>46120</v>
      </c>
      <c r="D581" t="inlineStr">
        <is>
          <t>GOTLANDS LÄN</t>
        </is>
      </c>
      <c r="E581" t="inlineStr">
        <is>
          <t>GOTLAND</t>
        </is>
      </c>
      <c r="G581" t="n">
        <v>5.1</v>
      </c>
      <c r="H581" t="n">
        <v>0</v>
      </c>
      <c r="I581" t="n">
        <v>0</v>
      </c>
      <c r="J581" t="n">
        <v>0</v>
      </c>
      <c r="K581" t="n">
        <v>0</v>
      </c>
      <c r="L581" t="n">
        <v>0</v>
      </c>
      <c r="M581" t="n">
        <v>0</v>
      </c>
      <c r="N581" t="n">
        <v>0</v>
      </c>
      <c r="O581" t="n">
        <v>0</v>
      </c>
      <c r="P581" t="n">
        <v>0</v>
      </c>
      <c r="Q581" t="n">
        <v>0</v>
      </c>
      <c r="R581" s="2" t="inlineStr"/>
    </row>
    <row r="582" ht="15" customHeight="1">
      <c r="A582" t="inlineStr">
        <is>
          <t>A 51782-2023</t>
        </is>
      </c>
      <c r="B582" s="1" t="n">
        <v>45222.80952546297</v>
      </c>
      <c r="C582" s="1" t="n">
        <v>46120</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54268-2022</t>
        </is>
      </c>
      <c r="B583" s="1" t="n">
        <v>44882</v>
      </c>
      <c r="C583" s="1" t="n">
        <v>46120</v>
      </c>
      <c r="D583" t="inlineStr">
        <is>
          <t>GOTLANDS LÄN</t>
        </is>
      </c>
      <c r="E583" t="inlineStr">
        <is>
          <t>GOTLAND</t>
        </is>
      </c>
      <c r="G583" t="n">
        <v>2.7</v>
      </c>
      <c r="H583" t="n">
        <v>0</v>
      </c>
      <c r="I583" t="n">
        <v>0</v>
      </c>
      <c r="J583" t="n">
        <v>0</v>
      </c>
      <c r="K583" t="n">
        <v>0</v>
      </c>
      <c r="L583" t="n">
        <v>0</v>
      </c>
      <c r="M583" t="n">
        <v>0</v>
      </c>
      <c r="N583" t="n">
        <v>0</v>
      </c>
      <c r="O583" t="n">
        <v>0</v>
      </c>
      <c r="P583" t="n">
        <v>0</v>
      </c>
      <c r="Q583" t="n">
        <v>0</v>
      </c>
      <c r="R583" s="2" t="inlineStr"/>
    </row>
    <row r="584" ht="15" customHeight="1">
      <c r="A584" t="inlineStr">
        <is>
          <t>A 57534-2022</t>
        </is>
      </c>
      <c r="B584" s="1" t="n">
        <v>44896</v>
      </c>
      <c r="C584" s="1" t="n">
        <v>46120</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25866-2022</t>
        </is>
      </c>
      <c r="B585" s="1" t="n">
        <v>44733</v>
      </c>
      <c r="C585" s="1" t="n">
        <v>46120</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43229-2023</t>
        </is>
      </c>
      <c r="B586" s="1" t="n">
        <v>45183.46704861111</v>
      </c>
      <c r="C586" s="1" t="n">
        <v>46120</v>
      </c>
      <c r="D586" t="inlineStr">
        <is>
          <t>GOTLANDS LÄN</t>
        </is>
      </c>
      <c r="E586" t="inlineStr">
        <is>
          <t>GOTLAND</t>
        </is>
      </c>
      <c r="G586" t="n">
        <v>7.1</v>
      </c>
      <c r="H586" t="n">
        <v>0</v>
      </c>
      <c r="I586" t="n">
        <v>0</v>
      </c>
      <c r="J586" t="n">
        <v>0</v>
      </c>
      <c r="K586" t="n">
        <v>0</v>
      </c>
      <c r="L586" t="n">
        <v>0</v>
      </c>
      <c r="M586" t="n">
        <v>0</v>
      </c>
      <c r="N586" t="n">
        <v>0</v>
      </c>
      <c r="O586" t="n">
        <v>0</v>
      </c>
      <c r="P586" t="n">
        <v>0</v>
      </c>
      <c r="Q586" t="n">
        <v>0</v>
      </c>
      <c r="R586" s="2" t="inlineStr"/>
    </row>
    <row r="587" ht="15" customHeight="1">
      <c r="A587" t="inlineStr">
        <is>
          <t>A 1175-2025</t>
        </is>
      </c>
      <c r="B587" s="1" t="n">
        <v>45667.34449074074</v>
      </c>
      <c r="C587" s="1" t="n">
        <v>46120</v>
      </c>
      <c r="D587" t="inlineStr">
        <is>
          <t>GOTLANDS LÄN</t>
        </is>
      </c>
      <c r="E587" t="inlineStr">
        <is>
          <t>GOTLAND</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27095-2022</t>
        </is>
      </c>
      <c r="B588" s="1" t="n">
        <v>44741</v>
      </c>
      <c r="C588" s="1" t="n">
        <v>46120</v>
      </c>
      <c r="D588" t="inlineStr">
        <is>
          <t>GOTLANDS LÄN</t>
        </is>
      </c>
      <c r="E588" t="inlineStr">
        <is>
          <t>GOTLAND</t>
        </is>
      </c>
      <c r="F588" t="inlineStr">
        <is>
          <t>Övriga Aktiebolag</t>
        </is>
      </c>
      <c r="G588" t="n">
        <v>2.9</v>
      </c>
      <c r="H588" t="n">
        <v>0</v>
      </c>
      <c r="I588" t="n">
        <v>0</v>
      </c>
      <c r="J588" t="n">
        <v>0</v>
      </c>
      <c r="K588" t="n">
        <v>0</v>
      </c>
      <c r="L588" t="n">
        <v>0</v>
      </c>
      <c r="M588" t="n">
        <v>0</v>
      </c>
      <c r="N588" t="n">
        <v>0</v>
      </c>
      <c r="O588" t="n">
        <v>0</v>
      </c>
      <c r="P588" t="n">
        <v>0</v>
      </c>
      <c r="Q588" t="n">
        <v>0</v>
      </c>
      <c r="R588" s="2" t="inlineStr"/>
    </row>
    <row r="589" ht="15" customHeight="1">
      <c r="A589" t="inlineStr">
        <is>
          <t>A 22899-2023</t>
        </is>
      </c>
      <c r="B589" s="1" t="n">
        <v>45072</v>
      </c>
      <c r="C589" s="1" t="n">
        <v>46120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23978-2023</t>
        </is>
      </c>
      <c r="B590" s="1" t="n">
        <v>45078</v>
      </c>
      <c r="C590" s="1" t="n">
        <v>46120</v>
      </c>
      <c r="D590" t="inlineStr">
        <is>
          <t>GOTLANDS LÄN</t>
        </is>
      </c>
      <c r="E590" t="inlineStr">
        <is>
          <t>GOTLAND</t>
        </is>
      </c>
      <c r="F590" t="inlineStr">
        <is>
          <t>Naturvårdsverket</t>
        </is>
      </c>
      <c r="G590" t="n">
        <v>1.7</v>
      </c>
      <c r="H590" t="n">
        <v>0</v>
      </c>
      <c r="I590" t="n">
        <v>0</v>
      </c>
      <c r="J590" t="n">
        <v>0</v>
      </c>
      <c r="K590" t="n">
        <v>0</v>
      </c>
      <c r="L590" t="n">
        <v>0</v>
      </c>
      <c r="M590" t="n">
        <v>0</v>
      </c>
      <c r="N590" t="n">
        <v>0</v>
      </c>
      <c r="O590" t="n">
        <v>0</v>
      </c>
      <c r="P590" t="n">
        <v>0</v>
      </c>
      <c r="Q590" t="n">
        <v>0</v>
      </c>
      <c r="R590" s="2" t="inlineStr"/>
    </row>
    <row r="591" ht="15" customHeight="1">
      <c r="A591" t="inlineStr">
        <is>
          <t>A 34407-2023</t>
        </is>
      </c>
      <c r="B591" s="1" t="n">
        <v>45132</v>
      </c>
      <c r="C591" s="1" t="n">
        <v>46120</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11013-2024</t>
        </is>
      </c>
      <c r="B592" s="1" t="n">
        <v>45370</v>
      </c>
      <c r="C592" s="1" t="n">
        <v>46120</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27694-2024</t>
        </is>
      </c>
      <c r="B593" s="1" t="n">
        <v>45475</v>
      </c>
      <c r="C593" s="1" t="n">
        <v>46120</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15083-2025</t>
        </is>
      </c>
      <c r="B594" s="1" t="n">
        <v>45743</v>
      </c>
      <c r="C594" s="1" t="n">
        <v>46120</v>
      </c>
      <c r="D594" t="inlineStr">
        <is>
          <t>GOTLANDS LÄN</t>
        </is>
      </c>
      <c r="E594" t="inlineStr">
        <is>
          <t>GOTLAND</t>
        </is>
      </c>
      <c r="G594" t="n">
        <v>2.3</v>
      </c>
      <c r="H594" t="n">
        <v>0</v>
      </c>
      <c r="I594" t="n">
        <v>0</v>
      </c>
      <c r="J594" t="n">
        <v>0</v>
      </c>
      <c r="K594" t="n">
        <v>0</v>
      </c>
      <c r="L594" t="n">
        <v>0</v>
      </c>
      <c r="M594" t="n">
        <v>0</v>
      </c>
      <c r="N594" t="n">
        <v>0</v>
      </c>
      <c r="O594" t="n">
        <v>0</v>
      </c>
      <c r="P594" t="n">
        <v>0</v>
      </c>
      <c r="Q594" t="n">
        <v>0</v>
      </c>
      <c r="R594" s="2" t="inlineStr"/>
    </row>
    <row r="595" ht="15" customHeight="1">
      <c r="A595" t="inlineStr">
        <is>
          <t>A 13037-2025</t>
        </is>
      </c>
      <c r="B595" s="1" t="n">
        <v>45734</v>
      </c>
      <c r="C595" s="1" t="n">
        <v>46120</v>
      </c>
      <c r="D595" t="inlineStr">
        <is>
          <t>GOTLANDS LÄN</t>
        </is>
      </c>
      <c r="E595" t="inlineStr">
        <is>
          <t>GOTLAND</t>
        </is>
      </c>
      <c r="G595" t="n">
        <v>9.5</v>
      </c>
      <c r="H595" t="n">
        <v>0</v>
      </c>
      <c r="I595" t="n">
        <v>0</v>
      </c>
      <c r="J595" t="n">
        <v>0</v>
      </c>
      <c r="K595" t="n">
        <v>0</v>
      </c>
      <c r="L595" t="n">
        <v>0</v>
      </c>
      <c r="M595" t="n">
        <v>0</v>
      </c>
      <c r="N595" t="n">
        <v>0</v>
      </c>
      <c r="O595" t="n">
        <v>0</v>
      </c>
      <c r="P595" t="n">
        <v>0</v>
      </c>
      <c r="Q595" t="n">
        <v>0</v>
      </c>
      <c r="R595" s="2" t="inlineStr"/>
    </row>
    <row r="596" ht="15" customHeight="1">
      <c r="A596" t="inlineStr">
        <is>
          <t>A 458-2023</t>
        </is>
      </c>
      <c r="B596" s="1" t="n">
        <v>44929</v>
      </c>
      <c r="C596" s="1" t="n">
        <v>46120</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44228-2022</t>
        </is>
      </c>
      <c r="B597" s="1" t="n">
        <v>44839.51599537037</v>
      </c>
      <c r="C597" s="1" t="n">
        <v>46120</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58132-2023</t>
        </is>
      </c>
      <c r="B598" s="1" t="n">
        <v>45250</v>
      </c>
      <c r="C598" s="1" t="n">
        <v>46120</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49884-2023</t>
        </is>
      </c>
      <c r="B599" s="1" t="n">
        <v>45213</v>
      </c>
      <c r="C599" s="1" t="n">
        <v>46120</v>
      </c>
      <c r="D599" t="inlineStr">
        <is>
          <t>GOTLANDS LÄN</t>
        </is>
      </c>
      <c r="E599" t="inlineStr">
        <is>
          <t>GOTLAND</t>
        </is>
      </c>
      <c r="G599" t="n">
        <v>8.9</v>
      </c>
      <c r="H599" t="n">
        <v>0</v>
      </c>
      <c r="I599" t="n">
        <v>0</v>
      </c>
      <c r="J599" t="n">
        <v>0</v>
      </c>
      <c r="K599" t="n">
        <v>0</v>
      </c>
      <c r="L599" t="n">
        <v>0</v>
      </c>
      <c r="M599" t="n">
        <v>0</v>
      </c>
      <c r="N599" t="n">
        <v>0</v>
      </c>
      <c r="O599" t="n">
        <v>0</v>
      </c>
      <c r="P599" t="n">
        <v>0</v>
      </c>
      <c r="Q599" t="n">
        <v>0</v>
      </c>
      <c r="R599" s="2" t="inlineStr"/>
    </row>
    <row r="600" ht="15" customHeight="1">
      <c r="A600" t="inlineStr">
        <is>
          <t>A 876-2024</t>
        </is>
      </c>
      <c r="B600" s="1" t="n">
        <v>45301</v>
      </c>
      <c r="C600" s="1" t="n">
        <v>46120</v>
      </c>
      <c r="D600" t="inlineStr">
        <is>
          <t>GOTLANDS LÄN</t>
        </is>
      </c>
      <c r="E600" t="inlineStr">
        <is>
          <t>GOTLAND</t>
        </is>
      </c>
      <c r="G600" t="n">
        <v>5.3</v>
      </c>
      <c r="H600" t="n">
        <v>0</v>
      </c>
      <c r="I600" t="n">
        <v>0</v>
      </c>
      <c r="J600" t="n">
        <v>0</v>
      </c>
      <c r="K600" t="n">
        <v>0</v>
      </c>
      <c r="L600" t="n">
        <v>0</v>
      </c>
      <c r="M600" t="n">
        <v>0</v>
      </c>
      <c r="N600" t="n">
        <v>0</v>
      </c>
      <c r="O600" t="n">
        <v>0</v>
      </c>
      <c r="P600" t="n">
        <v>0</v>
      </c>
      <c r="Q600" t="n">
        <v>0</v>
      </c>
      <c r="R600" s="2" t="inlineStr"/>
    </row>
    <row r="601" ht="15" customHeight="1">
      <c r="A601" t="inlineStr">
        <is>
          <t>A 22704-2023</t>
        </is>
      </c>
      <c r="B601" s="1" t="n">
        <v>45071</v>
      </c>
      <c r="C601" s="1" t="n">
        <v>46120</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46120</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58476-2022</t>
        </is>
      </c>
      <c r="B603" s="1" t="n">
        <v>44902</v>
      </c>
      <c r="C603" s="1" t="n">
        <v>46120</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43200-2023</t>
        </is>
      </c>
      <c r="B604" s="1" t="n">
        <v>45183</v>
      </c>
      <c r="C604" s="1" t="n">
        <v>46120</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43223-2023</t>
        </is>
      </c>
      <c r="B605" s="1" t="n">
        <v>45183.45642361111</v>
      </c>
      <c r="C605" s="1" t="n">
        <v>46120</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12327-2025</t>
        </is>
      </c>
      <c r="B606" s="1" t="n">
        <v>45730</v>
      </c>
      <c r="C606" s="1" t="n">
        <v>46120</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3431-2025</t>
        </is>
      </c>
      <c r="B607" s="1" t="n">
        <v>45680.42935185185</v>
      </c>
      <c r="C607" s="1" t="n">
        <v>46120</v>
      </c>
      <c r="D607" t="inlineStr">
        <is>
          <t>GOTLANDS LÄN</t>
        </is>
      </c>
      <c r="E607" t="inlineStr">
        <is>
          <t>GOTLAND</t>
        </is>
      </c>
      <c r="G607" t="n">
        <v>4.8</v>
      </c>
      <c r="H607" t="n">
        <v>0</v>
      </c>
      <c r="I607" t="n">
        <v>0</v>
      </c>
      <c r="J607" t="n">
        <v>0</v>
      </c>
      <c r="K607" t="n">
        <v>0</v>
      </c>
      <c r="L607" t="n">
        <v>0</v>
      </c>
      <c r="M607" t="n">
        <v>0</v>
      </c>
      <c r="N607" t="n">
        <v>0</v>
      </c>
      <c r="O607" t="n">
        <v>0</v>
      </c>
      <c r="P607" t="n">
        <v>0</v>
      </c>
      <c r="Q607" t="n">
        <v>0</v>
      </c>
      <c r="R607" s="2" t="inlineStr"/>
    </row>
    <row r="608" ht="15" customHeight="1">
      <c r="A608" t="inlineStr">
        <is>
          <t>A 12209-2024</t>
        </is>
      </c>
      <c r="B608" s="1" t="n">
        <v>45378</v>
      </c>
      <c r="C608" s="1" t="n">
        <v>46120</v>
      </c>
      <c r="D608" t="inlineStr">
        <is>
          <t>GOTLANDS LÄN</t>
        </is>
      </c>
      <c r="E608" t="inlineStr">
        <is>
          <t>GOTLAND</t>
        </is>
      </c>
      <c r="G608" t="n">
        <v>5.3</v>
      </c>
      <c r="H608" t="n">
        <v>0</v>
      </c>
      <c r="I608" t="n">
        <v>0</v>
      </c>
      <c r="J608" t="n">
        <v>0</v>
      </c>
      <c r="K608" t="n">
        <v>0</v>
      </c>
      <c r="L608" t="n">
        <v>0</v>
      </c>
      <c r="M608" t="n">
        <v>0</v>
      </c>
      <c r="N608" t="n">
        <v>0</v>
      </c>
      <c r="O608" t="n">
        <v>0</v>
      </c>
      <c r="P608" t="n">
        <v>0</v>
      </c>
      <c r="Q608" t="n">
        <v>0</v>
      </c>
      <c r="R608" s="2" t="inlineStr"/>
    </row>
    <row r="609" ht="15" customHeight="1">
      <c r="A609" t="inlineStr">
        <is>
          <t>A 12210-2024</t>
        </is>
      </c>
      <c r="B609" s="1" t="n">
        <v>45378</v>
      </c>
      <c r="C609" s="1" t="n">
        <v>46120</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1364-2025</t>
        </is>
      </c>
      <c r="B610" s="1" t="n">
        <v>45667.63929398148</v>
      </c>
      <c r="C610" s="1" t="n">
        <v>46120</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15042-2025</t>
        </is>
      </c>
      <c r="B611" s="1" t="n">
        <v>45743</v>
      </c>
      <c r="C611" s="1" t="n">
        <v>46120</v>
      </c>
      <c r="D611" t="inlineStr">
        <is>
          <t>GOTLANDS LÄN</t>
        </is>
      </c>
      <c r="E611" t="inlineStr">
        <is>
          <t>GOTLAND</t>
        </is>
      </c>
      <c r="G611" t="n">
        <v>8.5</v>
      </c>
      <c r="H611" t="n">
        <v>0</v>
      </c>
      <c r="I611" t="n">
        <v>0</v>
      </c>
      <c r="J611" t="n">
        <v>0</v>
      </c>
      <c r="K611" t="n">
        <v>0</v>
      </c>
      <c r="L611" t="n">
        <v>0</v>
      </c>
      <c r="M611" t="n">
        <v>0</v>
      </c>
      <c r="N611" t="n">
        <v>0</v>
      </c>
      <c r="O611" t="n">
        <v>0</v>
      </c>
      <c r="P611" t="n">
        <v>0</v>
      </c>
      <c r="Q611" t="n">
        <v>0</v>
      </c>
      <c r="R611" s="2" t="inlineStr"/>
    </row>
    <row r="612" ht="15" customHeight="1">
      <c r="A612" t="inlineStr">
        <is>
          <t>A 2180-2025</t>
        </is>
      </c>
      <c r="B612" s="1" t="n">
        <v>45673</v>
      </c>
      <c r="C612" s="1" t="n">
        <v>46120</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15436-2025</t>
        </is>
      </c>
      <c r="B613" s="1" t="n">
        <v>45747.47462962963</v>
      </c>
      <c r="C613" s="1" t="n">
        <v>46120</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49257-2024</t>
        </is>
      </c>
      <c r="B614" s="1" t="n">
        <v>45595.47627314815</v>
      </c>
      <c r="C614" s="1" t="n">
        <v>46120</v>
      </c>
      <c r="D614" t="inlineStr">
        <is>
          <t>GOTLANDS LÄN</t>
        </is>
      </c>
      <c r="E614" t="inlineStr">
        <is>
          <t>GOTLAND</t>
        </is>
      </c>
      <c r="G614" t="n">
        <v>6.3</v>
      </c>
      <c r="H614" t="n">
        <v>0</v>
      </c>
      <c r="I614" t="n">
        <v>0</v>
      </c>
      <c r="J614" t="n">
        <v>0</v>
      </c>
      <c r="K614" t="n">
        <v>0</v>
      </c>
      <c r="L614" t="n">
        <v>0</v>
      </c>
      <c r="M614" t="n">
        <v>0</v>
      </c>
      <c r="N614" t="n">
        <v>0</v>
      </c>
      <c r="O614" t="n">
        <v>0</v>
      </c>
      <c r="P614" t="n">
        <v>0</v>
      </c>
      <c r="Q614" t="n">
        <v>0</v>
      </c>
      <c r="R614" s="2" t="inlineStr"/>
    </row>
    <row r="615" ht="15" customHeight="1">
      <c r="A615" t="inlineStr">
        <is>
          <t>A 37202-2024</t>
        </is>
      </c>
      <c r="B615" s="1" t="n">
        <v>45539.67310185185</v>
      </c>
      <c r="C615" s="1" t="n">
        <v>46120</v>
      </c>
      <c r="D615" t="inlineStr">
        <is>
          <t>GOTLANDS LÄN</t>
        </is>
      </c>
      <c r="E615" t="inlineStr">
        <is>
          <t>GOTLAND</t>
        </is>
      </c>
      <c r="G615" t="n">
        <v>0.3</v>
      </c>
      <c r="H615" t="n">
        <v>0</v>
      </c>
      <c r="I615" t="n">
        <v>0</v>
      </c>
      <c r="J615" t="n">
        <v>0</v>
      </c>
      <c r="K615" t="n">
        <v>0</v>
      </c>
      <c r="L615" t="n">
        <v>0</v>
      </c>
      <c r="M615" t="n">
        <v>0</v>
      </c>
      <c r="N615" t="n">
        <v>0</v>
      </c>
      <c r="O615" t="n">
        <v>0</v>
      </c>
      <c r="P615" t="n">
        <v>0</v>
      </c>
      <c r="Q615" t="n">
        <v>0</v>
      </c>
      <c r="R615" s="2" t="inlineStr"/>
    </row>
    <row r="616" ht="15" customHeight="1">
      <c r="A616" t="inlineStr">
        <is>
          <t>A 56115-2023</t>
        </is>
      </c>
      <c r="B616" s="1" t="n">
        <v>45236</v>
      </c>
      <c r="C616" s="1" t="n">
        <v>46120</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2774-2024</t>
        </is>
      </c>
      <c r="B617" s="1" t="n">
        <v>45314.62375</v>
      </c>
      <c r="C617" s="1" t="n">
        <v>46120</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60709-2023</t>
        </is>
      </c>
      <c r="B618" s="1" t="n">
        <v>45260</v>
      </c>
      <c r="C618" s="1" t="n">
        <v>46120</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64208-2021</t>
        </is>
      </c>
      <c r="B619" s="1" t="n">
        <v>44510</v>
      </c>
      <c r="C619" s="1" t="n">
        <v>46120</v>
      </c>
      <c r="D619" t="inlineStr">
        <is>
          <t>GOTLANDS LÄN</t>
        </is>
      </c>
      <c r="E619" t="inlineStr">
        <is>
          <t>GOTLAND</t>
        </is>
      </c>
      <c r="G619" t="n">
        <v>4.7</v>
      </c>
      <c r="H619" t="n">
        <v>0</v>
      </c>
      <c r="I619" t="n">
        <v>0</v>
      </c>
      <c r="J619" t="n">
        <v>0</v>
      </c>
      <c r="K619" t="n">
        <v>0</v>
      </c>
      <c r="L619" t="n">
        <v>0</v>
      </c>
      <c r="M619" t="n">
        <v>0</v>
      </c>
      <c r="N619" t="n">
        <v>0</v>
      </c>
      <c r="O619" t="n">
        <v>0</v>
      </c>
      <c r="P619" t="n">
        <v>0</v>
      </c>
      <c r="Q619" t="n">
        <v>0</v>
      </c>
      <c r="R619" s="2" t="inlineStr"/>
    </row>
    <row r="620" ht="15" customHeight="1">
      <c r="A620" t="inlineStr">
        <is>
          <t>A 39764-2022</t>
        </is>
      </c>
      <c r="B620" s="1" t="n">
        <v>44819</v>
      </c>
      <c r="C620" s="1" t="n">
        <v>46120</v>
      </c>
      <c r="D620" t="inlineStr">
        <is>
          <t>GOTLANDS LÄN</t>
        </is>
      </c>
      <c r="E620" t="inlineStr">
        <is>
          <t>GOTLAND</t>
        </is>
      </c>
      <c r="F620" t="inlineStr">
        <is>
          <t>Kyrkan</t>
        </is>
      </c>
      <c r="G620" t="n">
        <v>3.7</v>
      </c>
      <c r="H620" t="n">
        <v>0</v>
      </c>
      <c r="I620" t="n">
        <v>0</v>
      </c>
      <c r="J620" t="n">
        <v>0</v>
      </c>
      <c r="K620" t="n">
        <v>0</v>
      </c>
      <c r="L620" t="n">
        <v>0</v>
      </c>
      <c r="M620" t="n">
        <v>0</v>
      </c>
      <c r="N620" t="n">
        <v>0</v>
      </c>
      <c r="O620" t="n">
        <v>0</v>
      </c>
      <c r="P620" t="n">
        <v>0</v>
      </c>
      <c r="Q620" t="n">
        <v>0</v>
      </c>
      <c r="R620" s="2" t="inlineStr"/>
    </row>
    <row r="621" ht="15" customHeight="1">
      <c r="A621" t="inlineStr">
        <is>
          <t>A 58211-2024</t>
        </is>
      </c>
      <c r="B621" s="1" t="n">
        <v>45632.49292824074</v>
      </c>
      <c r="C621" s="1" t="n">
        <v>46120</v>
      </c>
      <c r="D621" t="inlineStr">
        <is>
          <t>GOTLANDS LÄN</t>
        </is>
      </c>
      <c r="E621" t="inlineStr">
        <is>
          <t>GOTLAND</t>
        </is>
      </c>
      <c r="G621" t="n">
        <v>5.4</v>
      </c>
      <c r="H621" t="n">
        <v>0</v>
      </c>
      <c r="I621" t="n">
        <v>0</v>
      </c>
      <c r="J621" t="n">
        <v>0</v>
      </c>
      <c r="K621" t="n">
        <v>0</v>
      </c>
      <c r="L621" t="n">
        <v>0</v>
      </c>
      <c r="M621" t="n">
        <v>0</v>
      </c>
      <c r="N621" t="n">
        <v>0</v>
      </c>
      <c r="O621" t="n">
        <v>0</v>
      </c>
      <c r="P621" t="n">
        <v>0</v>
      </c>
      <c r="Q621" t="n">
        <v>0</v>
      </c>
      <c r="R621" s="2" t="inlineStr"/>
    </row>
    <row r="622" ht="15" customHeight="1">
      <c r="A622" t="inlineStr">
        <is>
          <t>A 30956-2024</t>
        </is>
      </c>
      <c r="B622" s="1" t="n">
        <v>45499.42527777778</v>
      </c>
      <c r="C622" s="1" t="n">
        <v>46120</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30892-2024</t>
        </is>
      </c>
      <c r="B623" s="1" t="n">
        <v>45491</v>
      </c>
      <c r="C623" s="1" t="n">
        <v>46120</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14635-2023</t>
        </is>
      </c>
      <c r="B624" s="1" t="n">
        <v>45013.69365740741</v>
      </c>
      <c r="C624" s="1" t="n">
        <v>46120</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59469-2024</t>
        </is>
      </c>
      <c r="B625" s="1" t="n">
        <v>45638</v>
      </c>
      <c r="C625" s="1" t="n">
        <v>46120</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7858-2025</t>
        </is>
      </c>
      <c r="B626" s="1" t="n">
        <v>45706.68633101852</v>
      </c>
      <c r="C626" s="1" t="n">
        <v>46120</v>
      </c>
      <c r="D626" t="inlineStr">
        <is>
          <t>GOTLANDS LÄN</t>
        </is>
      </c>
      <c r="E626" t="inlineStr">
        <is>
          <t>GOTLAND</t>
        </is>
      </c>
      <c r="G626" t="n">
        <v>3</v>
      </c>
      <c r="H626" t="n">
        <v>0</v>
      </c>
      <c r="I626" t="n">
        <v>0</v>
      </c>
      <c r="J626" t="n">
        <v>0</v>
      </c>
      <c r="K626" t="n">
        <v>0</v>
      </c>
      <c r="L626" t="n">
        <v>0</v>
      </c>
      <c r="M626" t="n">
        <v>0</v>
      </c>
      <c r="N626" t="n">
        <v>0</v>
      </c>
      <c r="O626" t="n">
        <v>0</v>
      </c>
      <c r="P626" t="n">
        <v>0</v>
      </c>
      <c r="Q626" t="n">
        <v>0</v>
      </c>
      <c r="R626" s="2" t="inlineStr"/>
    </row>
    <row r="627" ht="15" customHeight="1">
      <c r="A627" t="inlineStr">
        <is>
          <t>A 53935-2024</t>
        </is>
      </c>
      <c r="B627" s="1" t="n">
        <v>45615</v>
      </c>
      <c r="C627" s="1" t="n">
        <v>46120</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18223-2025</t>
        </is>
      </c>
      <c r="B628" s="1" t="n">
        <v>45761</v>
      </c>
      <c r="C628" s="1" t="n">
        <v>46120</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4420-2025</t>
        </is>
      </c>
      <c r="B629" s="1" t="n">
        <v>45686.47157407407</v>
      </c>
      <c r="C629" s="1" t="n">
        <v>46120</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5891-2025</t>
        </is>
      </c>
      <c r="B630" s="1" t="n">
        <v>45695.38327546296</v>
      </c>
      <c r="C630" s="1" t="n">
        <v>46120</v>
      </c>
      <c r="D630" t="inlineStr">
        <is>
          <t>GOTLANDS LÄN</t>
        </is>
      </c>
      <c r="E630" t="inlineStr">
        <is>
          <t>GOTLAND</t>
        </is>
      </c>
      <c r="G630" t="n">
        <v>0.8</v>
      </c>
      <c r="H630" t="n">
        <v>0</v>
      </c>
      <c r="I630" t="n">
        <v>0</v>
      </c>
      <c r="J630" t="n">
        <v>0</v>
      </c>
      <c r="K630" t="n">
        <v>0</v>
      </c>
      <c r="L630" t="n">
        <v>0</v>
      </c>
      <c r="M630" t="n">
        <v>0</v>
      </c>
      <c r="N630" t="n">
        <v>0</v>
      </c>
      <c r="O630" t="n">
        <v>0</v>
      </c>
      <c r="P630" t="n">
        <v>0</v>
      </c>
      <c r="Q630" t="n">
        <v>0</v>
      </c>
      <c r="R630" s="2" t="inlineStr"/>
    </row>
    <row r="631" ht="15" customHeight="1">
      <c r="A631" t="inlineStr">
        <is>
          <t>A 7835-2024</t>
        </is>
      </c>
      <c r="B631" s="1" t="n">
        <v>45349.83138888889</v>
      </c>
      <c r="C631" s="1" t="n">
        <v>46120</v>
      </c>
      <c r="D631" t="inlineStr">
        <is>
          <t>GOTLANDS LÄN</t>
        </is>
      </c>
      <c r="E631" t="inlineStr">
        <is>
          <t>GOTLAND</t>
        </is>
      </c>
      <c r="G631" t="n">
        <v>3.8</v>
      </c>
      <c r="H631" t="n">
        <v>0</v>
      </c>
      <c r="I631" t="n">
        <v>0</v>
      </c>
      <c r="J631" t="n">
        <v>0</v>
      </c>
      <c r="K631" t="n">
        <v>0</v>
      </c>
      <c r="L631" t="n">
        <v>0</v>
      </c>
      <c r="M631" t="n">
        <v>0</v>
      </c>
      <c r="N631" t="n">
        <v>0</v>
      </c>
      <c r="O631" t="n">
        <v>0</v>
      </c>
      <c r="P631" t="n">
        <v>0</v>
      </c>
      <c r="Q631" t="n">
        <v>0</v>
      </c>
      <c r="R631" s="2" t="inlineStr"/>
    </row>
    <row r="632" ht="15" customHeight="1">
      <c r="A632" t="inlineStr">
        <is>
          <t>A 20794-2025</t>
        </is>
      </c>
      <c r="B632" s="1" t="n">
        <v>45776</v>
      </c>
      <c r="C632" s="1" t="n">
        <v>46120</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20805-2025</t>
        </is>
      </c>
      <c r="B633" s="1" t="n">
        <v>45776</v>
      </c>
      <c r="C633" s="1" t="n">
        <v>46120</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21389-2025</t>
        </is>
      </c>
      <c r="B634" s="1" t="n">
        <v>45782</v>
      </c>
      <c r="C634" s="1" t="n">
        <v>46120</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21651-2025</t>
        </is>
      </c>
      <c r="B635" s="1" t="n">
        <v>45783</v>
      </c>
      <c r="C635" s="1" t="n">
        <v>46120</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57356-2023</t>
        </is>
      </c>
      <c r="B636" s="1" t="n">
        <v>45240</v>
      </c>
      <c r="C636" s="1" t="n">
        <v>46120</v>
      </c>
      <c r="D636" t="inlineStr">
        <is>
          <t>GOTLANDS LÄN</t>
        </is>
      </c>
      <c r="E636" t="inlineStr">
        <is>
          <t>GOTLAND</t>
        </is>
      </c>
      <c r="G636" t="n">
        <v>6.4</v>
      </c>
      <c r="H636" t="n">
        <v>0</v>
      </c>
      <c r="I636" t="n">
        <v>0</v>
      </c>
      <c r="J636" t="n">
        <v>0</v>
      </c>
      <c r="K636" t="n">
        <v>0</v>
      </c>
      <c r="L636" t="n">
        <v>0</v>
      </c>
      <c r="M636" t="n">
        <v>0</v>
      </c>
      <c r="N636" t="n">
        <v>0</v>
      </c>
      <c r="O636" t="n">
        <v>0</v>
      </c>
      <c r="P636" t="n">
        <v>0</v>
      </c>
      <c r="Q636" t="n">
        <v>0</v>
      </c>
      <c r="R636" s="2" t="inlineStr"/>
    </row>
    <row r="637" ht="15" customHeight="1">
      <c r="A637" t="inlineStr">
        <is>
          <t>A 10656-2024</t>
        </is>
      </c>
      <c r="B637" s="1" t="n">
        <v>45368</v>
      </c>
      <c r="C637" s="1" t="n">
        <v>46120</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46120</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21420-2024</t>
        </is>
      </c>
      <c r="B639" s="1" t="n">
        <v>45441.38293981482</v>
      </c>
      <c r="C639" s="1" t="n">
        <v>46120</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23188-2025</t>
        </is>
      </c>
      <c r="B640" s="1" t="n">
        <v>45791</v>
      </c>
      <c r="C640" s="1" t="n">
        <v>46120</v>
      </c>
      <c r="D640" t="inlineStr">
        <is>
          <t>GOTLANDS LÄN</t>
        </is>
      </c>
      <c r="E640" t="inlineStr">
        <is>
          <t>GOTLAND</t>
        </is>
      </c>
      <c r="G640" t="n">
        <v>6.2</v>
      </c>
      <c r="H640" t="n">
        <v>0</v>
      </c>
      <c r="I640" t="n">
        <v>0</v>
      </c>
      <c r="J640" t="n">
        <v>0</v>
      </c>
      <c r="K640" t="n">
        <v>0</v>
      </c>
      <c r="L640" t="n">
        <v>0</v>
      </c>
      <c r="M640" t="n">
        <v>0</v>
      </c>
      <c r="N640" t="n">
        <v>0</v>
      </c>
      <c r="O640" t="n">
        <v>0</v>
      </c>
      <c r="P640" t="n">
        <v>0</v>
      </c>
      <c r="Q640" t="n">
        <v>0</v>
      </c>
      <c r="R640" s="2" t="inlineStr"/>
    </row>
    <row r="641" ht="15" customHeight="1">
      <c r="A641" t="inlineStr">
        <is>
          <t>A 23473-2025</t>
        </is>
      </c>
      <c r="B641" s="1" t="n">
        <v>45792</v>
      </c>
      <c r="C641" s="1" t="n">
        <v>46120</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23856-2025</t>
        </is>
      </c>
      <c r="B642" s="1" t="n">
        <v>45793</v>
      </c>
      <c r="C642" s="1" t="n">
        <v>46120</v>
      </c>
      <c r="D642" t="inlineStr">
        <is>
          <t>GOTLANDS LÄN</t>
        </is>
      </c>
      <c r="E642" t="inlineStr">
        <is>
          <t>GOTLAND</t>
        </is>
      </c>
      <c r="G642" t="n">
        <v>4.4</v>
      </c>
      <c r="H642" t="n">
        <v>0</v>
      </c>
      <c r="I642" t="n">
        <v>0</v>
      </c>
      <c r="J642" t="n">
        <v>0</v>
      </c>
      <c r="K642" t="n">
        <v>0</v>
      </c>
      <c r="L642" t="n">
        <v>0</v>
      </c>
      <c r="M642" t="n">
        <v>0</v>
      </c>
      <c r="N642" t="n">
        <v>0</v>
      </c>
      <c r="O642" t="n">
        <v>0</v>
      </c>
      <c r="P642" t="n">
        <v>0</v>
      </c>
      <c r="Q642" t="n">
        <v>0</v>
      </c>
      <c r="R642" s="2" t="inlineStr"/>
    </row>
    <row r="643" ht="15" customHeight="1">
      <c r="A643" t="inlineStr">
        <is>
          <t>A 15073-2025</t>
        </is>
      </c>
      <c r="B643" s="1" t="n">
        <v>45743</v>
      </c>
      <c r="C643" s="1" t="n">
        <v>46120</v>
      </c>
      <c r="D643" t="inlineStr">
        <is>
          <t>GOTLANDS LÄN</t>
        </is>
      </c>
      <c r="E643" t="inlineStr">
        <is>
          <t>GOTLAND</t>
        </is>
      </c>
      <c r="G643" t="n">
        <v>12.1</v>
      </c>
      <c r="H643" t="n">
        <v>0</v>
      </c>
      <c r="I643" t="n">
        <v>0</v>
      </c>
      <c r="J643" t="n">
        <v>0</v>
      </c>
      <c r="K643" t="n">
        <v>0</v>
      </c>
      <c r="L643" t="n">
        <v>0</v>
      </c>
      <c r="M643" t="n">
        <v>0</v>
      </c>
      <c r="N643" t="n">
        <v>0</v>
      </c>
      <c r="O643" t="n">
        <v>0</v>
      </c>
      <c r="P643" t="n">
        <v>0</v>
      </c>
      <c r="Q643" t="n">
        <v>0</v>
      </c>
      <c r="R643" s="2" t="inlineStr"/>
    </row>
    <row r="644" ht="15" customHeight="1">
      <c r="A644" t="inlineStr">
        <is>
          <t>A 6749-2025</t>
        </is>
      </c>
      <c r="B644" s="1" t="n">
        <v>45700</v>
      </c>
      <c r="C644" s="1" t="n">
        <v>46120</v>
      </c>
      <c r="D644" t="inlineStr">
        <is>
          <t>GOTLANDS LÄN</t>
        </is>
      </c>
      <c r="E644" t="inlineStr">
        <is>
          <t>GOTLAND</t>
        </is>
      </c>
      <c r="G644" t="n">
        <v>4.5</v>
      </c>
      <c r="H644" t="n">
        <v>0</v>
      </c>
      <c r="I644" t="n">
        <v>0</v>
      </c>
      <c r="J644" t="n">
        <v>0</v>
      </c>
      <c r="K644" t="n">
        <v>0</v>
      </c>
      <c r="L644" t="n">
        <v>0</v>
      </c>
      <c r="M644" t="n">
        <v>0</v>
      </c>
      <c r="N644" t="n">
        <v>0</v>
      </c>
      <c r="O644" t="n">
        <v>0</v>
      </c>
      <c r="P644" t="n">
        <v>0</v>
      </c>
      <c r="Q644" t="n">
        <v>0</v>
      </c>
      <c r="R644" s="2" t="inlineStr"/>
    </row>
    <row r="645">
      <c r="A645" t="inlineStr">
        <is>
          <t>A 23698-2025</t>
        </is>
      </c>
      <c r="B645" s="1" t="n">
        <v>45793</v>
      </c>
      <c r="C645" s="1" t="n">
        <v>46120</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2026-04-08T10:45:23Z</dcterms:created>
  <dcterms:modified xmlns:dcterms="http://purl.org/dc/terms/" xmlns:xsi="http://www.w3.org/2001/XMLSchema-instance" xsi:type="dcterms:W3CDTF">2026-04-08T10:45:23Z</dcterms:modified>
</cp:coreProperties>
</file>