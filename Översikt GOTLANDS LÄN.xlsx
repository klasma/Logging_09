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45982</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45982</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45982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45982</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45982</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45982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45982</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45982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45982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45982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445-2023</t>
        </is>
      </c>
      <c r="B35" s="1" t="n">
        <v>44929</v>
      </c>
      <c r="C35" s="1" t="n">
        <v>45982</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44928-2022</t>
        </is>
      </c>
      <c r="B36" s="1" t="n">
        <v>44841</v>
      </c>
      <c r="C36" s="1" t="n">
        <v>45982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45982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45982</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45982</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45982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45982</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45982</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45982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45982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45982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45982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45982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45982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17766-2024</t>
        </is>
      </c>
      <c r="B53" s="1" t="n">
        <v>45418</v>
      </c>
      <c r="C53" s="1" t="n">
        <v>45982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45982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45982</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45982</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45982</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45982</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45982</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45982</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45982</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53584-2025</t>
        </is>
      </c>
      <c r="B69" s="1" t="n">
        <v>45960.43130787037</v>
      </c>
      <c r="C69" s="1" t="n">
        <v>45982</v>
      </c>
      <c r="D69" t="inlineStr">
        <is>
          <t>GOTLANDS LÄN</t>
        </is>
      </c>
      <c r="E69" t="inlineStr">
        <is>
          <t>GOTLAND</t>
        </is>
      </c>
      <c r="F69" t="inlineStr">
        <is>
          <t>Övriga Aktiebolag</t>
        </is>
      </c>
      <c r="G69" t="n">
        <v>18.1</v>
      </c>
      <c r="H69" t="n">
        <v>3</v>
      </c>
      <c r="I69" t="n">
        <v>0</v>
      </c>
      <c r="J69" t="n">
        <v>4</v>
      </c>
      <c r="K69" t="n">
        <v>0</v>
      </c>
      <c r="L69" t="n">
        <v>0</v>
      </c>
      <c r="M69" t="n">
        <v>0</v>
      </c>
      <c r="N69" t="n">
        <v>0</v>
      </c>
      <c r="O69" t="n">
        <v>4</v>
      </c>
      <c r="P69" t="n">
        <v>0</v>
      </c>
      <c r="Q69" t="n">
        <v>6</v>
      </c>
      <c r="R69" s="2" t="inlineStr">
        <is>
          <t>Apollofjäril
Jordtistel
Klasefibbla
Majviva
Gråkråka
Nattviol</t>
        </is>
      </c>
      <c r="S69">
        <f>HYPERLINK("https://klasma.github.io/Logging_0980/artfynd/A 53584-2025 artfynd.xlsx", "A 53584-2025")</f>
        <v/>
      </c>
      <c r="T69">
        <f>HYPERLINK("https://klasma.github.io/Logging_0980/kartor/A 53584-2025 karta.png", "A 53584-2025")</f>
        <v/>
      </c>
      <c r="V69">
        <f>HYPERLINK("https://klasma.github.io/Logging_0980/klagomål/A 53584-2025 FSC-klagomål.docx", "A 53584-2025")</f>
        <v/>
      </c>
      <c r="W69">
        <f>HYPERLINK("https://klasma.github.io/Logging_0980/klagomålsmail/A 53584-2025 FSC-klagomål mail.docx", "A 53584-2025")</f>
        <v/>
      </c>
      <c r="X69">
        <f>HYPERLINK("https://klasma.github.io/Logging_0980/tillsyn/A 53584-2025 tillsynsbegäran.docx", "A 53584-2025")</f>
        <v/>
      </c>
      <c r="Y69">
        <f>HYPERLINK("https://klasma.github.io/Logging_0980/tillsynsmail/A 53584-2025 tillsynsbegäran mail.docx", "A 53584-2025")</f>
        <v/>
      </c>
    </row>
    <row r="70" ht="15" customHeight="1">
      <c r="A70" t="inlineStr">
        <is>
          <t>A 16823-2024</t>
        </is>
      </c>
      <c r="B70" s="1" t="n">
        <v>45411</v>
      </c>
      <c r="C70" s="1" t="n">
        <v>45982</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65819-2020</t>
        </is>
      </c>
      <c r="B71" s="1" t="n">
        <v>44174</v>
      </c>
      <c r="C71" s="1" t="n">
        <v>45982</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7038-2023</t>
        </is>
      </c>
      <c r="B72" s="1" t="n">
        <v>44968</v>
      </c>
      <c r="C72" s="1" t="n">
        <v>45982</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45982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45982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446-2023</t>
        </is>
      </c>
      <c r="B75" s="1" t="n">
        <v>44929</v>
      </c>
      <c r="C75" s="1" t="n">
        <v>45982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45982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45982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45982</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45982</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45982</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45982</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44944-2022</t>
        </is>
      </c>
      <c r="B82" s="1" t="n">
        <v>44841</v>
      </c>
      <c r="C82" s="1" t="n">
        <v>45982</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2213-2023</t>
        </is>
      </c>
      <c r="B83" s="1" t="n">
        <v>44942</v>
      </c>
      <c r="C83" s="1" t="n">
        <v>45982</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42936-2024</t>
        </is>
      </c>
      <c r="B84" s="1" t="n">
        <v>45567</v>
      </c>
      <c r="C84" s="1" t="n">
        <v>45982</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45982</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29331-2021</t>
        </is>
      </c>
      <c r="B86" s="1" t="n">
        <v>44361</v>
      </c>
      <c r="C86" s="1" t="n">
        <v>45982</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40099-2025</t>
        </is>
      </c>
      <c r="B87" s="1" t="n">
        <v>45894.48462962963</v>
      </c>
      <c r="C87" s="1" t="n">
        <v>45982</v>
      </c>
      <c r="D87" t="inlineStr">
        <is>
          <t>GOTLANDS LÄN</t>
        </is>
      </c>
      <c r="E87" t="inlineStr">
        <is>
          <t>GOTLAND</t>
        </is>
      </c>
      <c r="G87" t="n">
        <v>6.5</v>
      </c>
      <c r="H87" t="n">
        <v>0</v>
      </c>
      <c r="I87" t="n">
        <v>3</v>
      </c>
      <c r="J87" t="n">
        <v>0</v>
      </c>
      <c r="K87" t="n">
        <v>1</v>
      </c>
      <c r="L87" t="n">
        <v>0</v>
      </c>
      <c r="M87" t="n">
        <v>0</v>
      </c>
      <c r="N87" t="n">
        <v>0</v>
      </c>
      <c r="O87" t="n">
        <v>1</v>
      </c>
      <c r="P87" t="n">
        <v>1</v>
      </c>
      <c r="Q87" t="n">
        <v>4</v>
      </c>
      <c r="R87" s="2" t="inlineStr">
        <is>
          <t>Mörkfjällig olivspindling
Fjällig taggsvamp s.str.
Olivspindling
Svavelriska</t>
        </is>
      </c>
      <c r="S87">
        <f>HYPERLINK("https://klasma.github.io/Logging_0980/artfynd/A 40099-2025 artfynd.xlsx", "A 40099-2025")</f>
        <v/>
      </c>
      <c r="T87">
        <f>HYPERLINK("https://klasma.github.io/Logging_0980/kartor/A 40099-2025 karta.png", "A 40099-2025")</f>
        <v/>
      </c>
      <c r="V87">
        <f>HYPERLINK("https://klasma.github.io/Logging_0980/klagomål/A 40099-2025 FSC-klagomål.docx", "A 40099-2025")</f>
        <v/>
      </c>
      <c r="W87">
        <f>HYPERLINK("https://klasma.github.io/Logging_0980/klagomålsmail/A 40099-2025 FSC-klagomål mail.docx", "A 40099-2025")</f>
        <v/>
      </c>
      <c r="X87">
        <f>HYPERLINK("https://klasma.github.io/Logging_0980/tillsyn/A 40099-2025 tillsynsbegäran.docx", "A 40099-2025")</f>
        <v/>
      </c>
      <c r="Y87">
        <f>HYPERLINK("https://klasma.github.io/Logging_0980/tillsynsmail/A 40099-2025 tillsynsbegäran mail.docx", "A 40099-2025")</f>
        <v/>
      </c>
    </row>
    <row r="88" ht="15" customHeight="1">
      <c r="A88" t="inlineStr">
        <is>
          <t>A 56717-2024</t>
        </is>
      </c>
      <c r="B88" s="1" t="n">
        <v>45628.3166550926</v>
      </c>
      <c r="C88" s="1" t="n">
        <v>45982</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52309-2025</t>
        </is>
      </c>
      <c r="B89" s="1" t="n">
        <v>45953.64381944444</v>
      </c>
      <c r="C89" s="1" t="n">
        <v>45982</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52309-2025 artfynd.xlsx", "A 52309-2025")</f>
        <v/>
      </c>
      <c r="T89">
        <f>HYPERLINK("https://klasma.github.io/Logging_0980/kartor/A 52309-2025 karta.png", "A 52309-2025")</f>
        <v/>
      </c>
      <c r="V89">
        <f>HYPERLINK("https://klasma.github.io/Logging_0980/klagomål/A 52309-2025 FSC-klagomål.docx", "A 52309-2025")</f>
        <v/>
      </c>
      <c r="W89">
        <f>HYPERLINK("https://klasma.github.io/Logging_0980/klagomålsmail/A 52309-2025 FSC-klagomål mail.docx", "A 52309-2025")</f>
        <v/>
      </c>
      <c r="X89">
        <f>HYPERLINK("https://klasma.github.io/Logging_0980/tillsyn/A 52309-2025 tillsynsbegäran.docx", "A 52309-2025")</f>
        <v/>
      </c>
      <c r="Y89">
        <f>HYPERLINK("https://klasma.github.io/Logging_0980/tillsynsmail/A 52309-2025 tillsynsbegäran mail.docx", "A 52309-2025")</f>
        <v/>
      </c>
    </row>
    <row r="90" ht="15" customHeight="1">
      <c r="A90" t="inlineStr">
        <is>
          <t>A 52250-2025</t>
        </is>
      </c>
      <c r="B90" s="1" t="n">
        <v>45953.48998842593</v>
      </c>
      <c r="C90" s="1" t="n">
        <v>45982</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20833-2024</t>
        </is>
      </c>
      <c r="B91" s="1" t="n">
        <v>45439</v>
      </c>
      <c r="C91" s="1" t="n">
        <v>45982</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45982</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45982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45982</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57463-2025</t>
        </is>
      </c>
      <c r="B95" s="1" t="n">
        <v>45980.54174768519</v>
      </c>
      <c r="C95" s="1" t="n">
        <v>45982</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6159-2023</t>
        </is>
      </c>
      <c r="B96" s="1" t="n">
        <v>44964</v>
      </c>
      <c r="C96" s="1" t="n">
        <v>45982</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45982</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45982</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45982</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8265-2023</t>
        </is>
      </c>
      <c r="B100" s="1" t="n">
        <v>44974</v>
      </c>
      <c r="C100" s="1" t="n">
        <v>45982</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44933-2022</t>
        </is>
      </c>
      <c r="B101" s="1" t="n">
        <v>44841</v>
      </c>
      <c r="C101" s="1" t="n">
        <v>45982</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64378-2020</t>
        </is>
      </c>
      <c r="B102" s="1" t="n">
        <v>44168</v>
      </c>
      <c r="C102" s="1" t="n">
        <v>45982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65537-2020</t>
        </is>
      </c>
      <c r="B103" s="1" t="n">
        <v>44173</v>
      </c>
      <c r="C103" s="1" t="n">
        <v>45982</v>
      </c>
      <c r="D103" t="inlineStr">
        <is>
          <t>GOTLANDS LÄN</t>
        </is>
      </c>
      <c r="E103" t="inlineStr">
        <is>
          <t>GOTLAND</t>
        </is>
      </c>
      <c r="G103" t="n">
        <v>1.6</v>
      </c>
      <c r="H103" t="n">
        <v>0</v>
      </c>
      <c r="I103" t="n">
        <v>0</v>
      </c>
      <c r="J103" t="n">
        <v>3</v>
      </c>
      <c r="K103" t="n">
        <v>0</v>
      </c>
      <c r="L103" t="n">
        <v>0</v>
      </c>
      <c r="M103" t="n">
        <v>0</v>
      </c>
      <c r="N103" t="n">
        <v>0</v>
      </c>
      <c r="O103" t="n">
        <v>3</v>
      </c>
      <c r="P103" t="n">
        <v>0</v>
      </c>
      <c r="Q103" t="n">
        <v>3</v>
      </c>
      <c r="R103" s="2" t="inlineStr">
        <is>
          <t>Axveronika
Backtimjan
Solvända</t>
        </is>
      </c>
      <c r="S103">
        <f>HYPERLINK("https://klasma.github.io/Logging_0980/artfynd/A 65537-2020 artfynd.xlsx", "A 65537-2020")</f>
        <v/>
      </c>
      <c r="T103">
        <f>HYPERLINK("https://klasma.github.io/Logging_0980/kartor/A 65537-2020 karta.png", "A 65537-2020")</f>
        <v/>
      </c>
      <c r="V103">
        <f>HYPERLINK("https://klasma.github.io/Logging_0980/klagomål/A 65537-2020 FSC-klagomål.docx", "A 65537-2020")</f>
        <v/>
      </c>
      <c r="W103">
        <f>HYPERLINK("https://klasma.github.io/Logging_0980/klagomålsmail/A 65537-2020 FSC-klagomål mail.docx", "A 65537-2020")</f>
        <v/>
      </c>
      <c r="X103">
        <f>HYPERLINK("https://klasma.github.io/Logging_0980/tillsyn/A 65537-2020 tillsynsbegäran.docx", "A 65537-2020")</f>
        <v/>
      </c>
      <c r="Y103">
        <f>HYPERLINK("https://klasma.github.io/Logging_0980/tillsynsmail/A 65537-2020 tillsynsbegäran mail.docx", "A 65537-2020")</f>
        <v/>
      </c>
    </row>
    <row r="104" ht="15" customHeight="1">
      <c r="A104" t="inlineStr">
        <is>
          <t>A 44323-2021</t>
        </is>
      </c>
      <c r="B104" s="1" t="n">
        <v>44434</v>
      </c>
      <c r="C104" s="1" t="n">
        <v>45982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45982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45982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45982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45982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45982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45982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45982</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45982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45982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45982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20831-2024</t>
        </is>
      </c>
      <c r="B115" s="1" t="n">
        <v>45439</v>
      </c>
      <c r="C115" s="1" t="n">
        <v>45982</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45982</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45982</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45982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62326-2020</t>
        </is>
      </c>
      <c r="B119" s="1" t="n">
        <v>44160</v>
      </c>
      <c r="C119" s="1" t="n">
        <v>45982</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17982-2023</t>
        </is>
      </c>
      <c r="B120" s="1" t="n">
        <v>45040</v>
      </c>
      <c r="C120" s="1" t="n">
        <v>45982</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45982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45982</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45982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45982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45982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45982</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45982</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45982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45982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45982</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45982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64263-2020</t>
        </is>
      </c>
      <c r="B132" s="1" t="n">
        <v>44168</v>
      </c>
      <c r="C132" s="1" t="n">
        <v>45982</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52245-2025</t>
        </is>
      </c>
      <c r="B133" s="1" t="n">
        <v>45953.47115740741</v>
      </c>
      <c r="C133" s="1" t="n">
        <v>45982</v>
      </c>
      <c r="D133" t="inlineStr">
        <is>
          <t>GOTLANDS LÄN</t>
        </is>
      </c>
      <c r="E133" t="inlineStr">
        <is>
          <t>GOTLAND</t>
        </is>
      </c>
      <c r="F133" t="inlineStr">
        <is>
          <t>Övriga Aktiebolag</t>
        </is>
      </c>
      <c r="G133" t="n">
        <v>10.1</v>
      </c>
      <c r="H133" t="n">
        <v>0</v>
      </c>
      <c r="I133" t="n">
        <v>1</v>
      </c>
      <c r="J133" t="n">
        <v>0</v>
      </c>
      <c r="K133" t="n">
        <v>1</v>
      </c>
      <c r="L133" t="n">
        <v>0</v>
      </c>
      <c r="M133" t="n">
        <v>0</v>
      </c>
      <c r="N133" t="n">
        <v>0</v>
      </c>
      <c r="O133" t="n">
        <v>1</v>
      </c>
      <c r="P133" t="n">
        <v>1</v>
      </c>
      <c r="Q133" t="n">
        <v>2</v>
      </c>
      <c r="R133" s="2" t="inlineStr">
        <is>
          <t>Källnate
Underviol</t>
        </is>
      </c>
      <c r="S133">
        <f>HYPERLINK("https://klasma.github.io/Logging_0980/artfynd/A 52245-2025 artfynd.xlsx", "A 52245-2025")</f>
        <v/>
      </c>
      <c r="T133">
        <f>HYPERLINK("https://klasma.github.io/Logging_0980/kartor/A 52245-2025 karta.png", "A 52245-2025")</f>
        <v/>
      </c>
      <c r="V133">
        <f>HYPERLINK("https://klasma.github.io/Logging_0980/klagomål/A 52245-2025 FSC-klagomål.docx", "A 52245-2025")</f>
        <v/>
      </c>
      <c r="W133">
        <f>HYPERLINK("https://klasma.github.io/Logging_0980/klagomålsmail/A 52245-2025 FSC-klagomål mail.docx", "A 52245-2025")</f>
        <v/>
      </c>
      <c r="X133">
        <f>HYPERLINK("https://klasma.github.io/Logging_0980/tillsyn/A 52245-2025 tillsynsbegäran.docx", "A 52245-2025")</f>
        <v/>
      </c>
      <c r="Y133">
        <f>HYPERLINK("https://klasma.github.io/Logging_0980/tillsynsmail/A 52245-2025 tillsynsbegäran mail.docx", "A 52245-2025")</f>
        <v/>
      </c>
    </row>
    <row r="134" ht="15" customHeight="1">
      <c r="A134" t="inlineStr">
        <is>
          <t>A 12914-2025</t>
        </is>
      </c>
      <c r="B134" s="1" t="n">
        <v>45733</v>
      </c>
      <c r="C134" s="1" t="n">
        <v>45982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45982</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45982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45982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45982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45982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45982</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45982</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45982</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45982</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22883-2024</t>
        </is>
      </c>
      <c r="B145" s="1" t="n">
        <v>45448.66368055555</v>
      </c>
      <c r="C145" s="1" t="n">
        <v>45982</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24245-2022</t>
        </is>
      </c>
      <c r="B146" s="1" t="n">
        <v>44725</v>
      </c>
      <c r="C146" s="1" t="n">
        <v>45982</v>
      </c>
      <c r="D146" t="inlineStr">
        <is>
          <t>GOTLANDS LÄN</t>
        </is>
      </c>
      <c r="E146" t="inlineStr">
        <is>
          <t>GOTLAND</t>
        </is>
      </c>
      <c r="G146" t="n">
        <v>4.9</v>
      </c>
      <c r="H146" t="n">
        <v>0</v>
      </c>
      <c r="I146" t="n">
        <v>0</v>
      </c>
      <c r="J146" t="n">
        <v>0</v>
      </c>
      <c r="K146" t="n">
        <v>0</v>
      </c>
      <c r="L146" t="n">
        <v>1</v>
      </c>
      <c r="M146" t="n">
        <v>0</v>
      </c>
      <c r="N146" t="n">
        <v>0</v>
      </c>
      <c r="O146" t="n">
        <v>1</v>
      </c>
      <c r="P146" t="n">
        <v>1</v>
      </c>
      <c r="Q146" t="n">
        <v>1</v>
      </c>
      <c r="R146" s="2" t="inlineStr">
        <is>
          <t>Slät taggsvamp</t>
        </is>
      </c>
      <c r="S146">
        <f>HYPERLINK("https://klasma.github.io/Logging_0980/artfynd/A 24245-2022 artfynd.xlsx", "A 24245-2022")</f>
        <v/>
      </c>
      <c r="T146">
        <f>HYPERLINK("https://klasma.github.io/Logging_0980/kartor/A 24245-2022 karta.png", "A 24245-2022")</f>
        <v/>
      </c>
      <c r="V146">
        <f>HYPERLINK("https://klasma.github.io/Logging_0980/klagomål/A 24245-2022 FSC-klagomål.docx", "A 24245-2022")</f>
        <v/>
      </c>
      <c r="W146">
        <f>HYPERLINK("https://klasma.github.io/Logging_0980/klagomålsmail/A 24245-2022 FSC-klagomål mail.docx", "A 24245-2022")</f>
        <v/>
      </c>
      <c r="X146">
        <f>HYPERLINK("https://klasma.github.io/Logging_0980/tillsyn/A 24245-2022 tillsynsbegäran.docx", "A 24245-2022")</f>
        <v/>
      </c>
      <c r="Y146">
        <f>HYPERLINK("https://klasma.github.io/Logging_0980/tillsynsmail/A 24245-2022 tillsynsbegäran mail.docx", "A 24245-2022")</f>
        <v/>
      </c>
    </row>
    <row r="147" ht="15" customHeight="1">
      <c r="A147" t="inlineStr">
        <is>
          <t>A 10440-2024</t>
        </is>
      </c>
      <c r="B147" s="1" t="n">
        <v>45366.32818287037</v>
      </c>
      <c r="C147" s="1" t="n">
        <v>45982</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39812-2025</t>
        </is>
      </c>
      <c r="B148" s="1" t="n">
        <v>45891</v>
      </c>
      <c r="C148" s="1" t="n">
        <v>45982</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44308-2021</t>
        </is>
      </c>
      <c r="B149" s="1" t="n">
        <v>44434</v>
      </c>
      <c r="C149" s="1" t="n">
        <v>45982</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49726-2025</t>
        </is>
      </c>
      <c r="B150" s="1" t="n">
        <v>45939.84466435185</v>
      </c>
      <c r="C150" s="1" t="n">
        <v>45982</v>
      </c>
      <c r="D150" t="inlineStr">
        <is>
          <t>GOTLANDS LÄN</t>
        </is>
      </c>
      <c r="E150" t="inlineStr">
        <is>
          <t>GOTLAND</t>
        </is>
      </c>
      <c r="F150" t="inlineStr">
        <is>
          <t>Kyrkan</t>
        </is>
      </c>
      <c r="G150" t="n">
        <v>5.4</v>
      </c>
      <c r="H150" t="n">
        <v>0</v>
      </c>
      <c r="I150" t="n">
        <v>0</v>
      </c>
      <c r="J150" t="n">
        <v>1</v>
      </c>
      <c r="K150" t="n">
        <v>0</v>
      </c>
      <c r="L150" t="n">
        <v>0</v>
      </c>
      <c r="M150" t="n">
        <v>0</v>
      </c>
      <c r="N150" t="n">
        <v>0</v>
      </c>
      <c r="O150" t="n">
        <v>1</v>
      </c>
      <c r="P150" t="n">
        <v>0</v>
      </c>
      <c r="Q150" t="n">
        <v>1</v>
      </c>
      <c r="R150" s="2" t="inlineStr">
        <is>
          <t>Odörspindling</t>
        </is>
      </c>
      <c r="S150">
        <f>HYPERLINK("https://klasma.github.io/Logging_0980/artfynd/A 49726-2025 artfynd.xlsx", "A 49726-2025")</f>
        <v/>
      </c>
      <c r="T150">
        <f>HYPERLINK("https://klasma.github.io/Logging_0980/kartor/A 49726-2025 karta.png", "A 49726-2025")</f>
        <v/>
      </c>
      <c r="V150">
        <f>HYPERLINK("https://klasma.github.io/Logging_0980/klagomål/A 49726-2025 FSC-klagomål.docx", "A 49726-2025")</f>
        <v/>
      </c>
      <c r="W150">
        <f>HYPERLINK("https://klasma.github.io/Logging_0980/klagomålsmail/A 49726-2025 FSC-klagomål mail.docx", "A 49726-2025")</f>
        <v/>
      </c>
      <c r="X150">
        <f>HYPERLINK("https://klasma.github.io/Logging_0980/tillsyn/A 49726-2025 tillsynsbegäran.docx", "A 49726-2025")</f>
        <v/>
      </c>
      <c r="Y150">
        <f>HYPERLINK("https://klasma.github.io/Logging_0980/tillsynsmail/A 49726-2025 tillsynsbegäran mail.docx", "A 49726-2025")</f>
        <v/>
      </c>
    </row>
    <row r="151" ht="15" customHeight="1">
      <c r="A151" t="inlineStr">
        <is>
          <t>A 26461-2025</t>
        </is>
      </c>
      <c r="B151" s="1" t="n">
        <v>45807.43337962963</v>
      </c>
      <c r="C151" s="1" t="n">
        <v>45982</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46527-2023</t>
        </is>
      </c>
      <c r="B152" s="1" t="n">
        <v>45197</v>
      </c>
      <c r="C152" s="1" t="n">
        <v>45982</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17723-2021</t>
        </is>
      </c>
      <c r="B153" s="1" t="n">
        <v>44300</v>
      </c>
      <c r="C153" s="1" t="n">
        <v>45982</v>
      </c>
      <c r="D153" t="inlineStr">
        <is>
          <t>GOTLANDS LÄN</t>
        </is>
      </c>
      <c r="E153" t="inlineStr">
        <is>
          <t>GOTLAND</t>
        </is>
      </c>
      <c r="G153" t="n">
        <v>1.5</v>
      </c>
      <c r="H153" t="n">
        <v>1</v>
      </c>
      <c r="I153" t="n">
        <v>1</v>
      </c>
      <c r="J153" t="n">
        <v>0</v>
      </c>
      <c r="K153" t="n">
        <v>0</v>
      </c>
      <c r="L153" t="n">
        <v>0</v>
      </c>
      <c r="M153" t="n">
        <v>0</v>
      </c>
      <c r="N153" t="n">
        <v>0</v>
      </c>
      <c r="O153" t="n">
        <v>0</v>
      </c>
      <c r="P153" t="n">
        <v>0</v>
      </c>
      <c r="Q153" t="n">
        <v>1</v>
      </c>
      <c r="R153" s="2" t="inlineStr">
        <is>
          <t>Vit skogslilja</t>
        </is>
      </c>
      <c r="S153">
        <f>HYPERLINK("https://klasma.github.io/Logging_0980/artfynd/A 17723-2021 artfynd.xlsx", "A 17723-2021")</f>
        <v/>
      </c>
      <c r="T153">
        <f>HYPERLINK("https://klasma.github.io/Logging_0980/kartor/A 17723-2021 karta.png", "A 17723-2021")</f>
        <v/>
      </c>
      <c r="V153">
        <f>HYPERLINK("https://klasma.github.io/Logging_0980/klagomål/A 17723-2021 FSC-klagomål.docx", "A 17723-2021")</f>
        <v/>
      </c>
      <c r="W153">
        <f>HYPERLINK("https://klasma.github.io/Logging_0980/klagomålsmail/A 17723-2021 FSC-klagomål mail.docx", "A 17723-2021")</f>
        <v/>
      </c>
      <c r="X153">
        <f>HYPERLINK("https://klasma.github.io/Logging_0980/tillsyn/A 17723-2021 tillsynsbegäran.docx", "A 17723-2021")</f>
        <v/>
      </c>
      <c r="Y153">
        <f>HYPERLINK("https://klasma.github.io/Logging_0980/tillsynsmail/A 17723-2021 tillsynsbegäran mail.docx", "A 17723-2021")</f>
        <v/>
      </c>
    </row>
    <row r="154" ht="15" customHeight="1">
      <c r="A154" t="inlineStr">
        <is>
          <t>A 6303-2024</t>
        </is>
      </c>
      <c r="B154" s="1" t="n">
        <v>45338.35376157407</v>
      </c>
      <c r="C154" s="1" t="n">
        <v>45982</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62552-2022</t>
        </is>
      </c>
      <c r="B155" s="1" t="n">
        <v>44924</v>
      </c>
      <c r="C155" s="1" t="n">
        <v>45982</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35467-2021</t>
        </is>
      </c>
      <c r="B156" s="1" t="n">
        <v>44385</v>
      </c>
      <c r="C156" s="1" t="n">
        <v>45982</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27168-2022</t>
        </is>
      </c>
      <c r="B157" s="1" t="n">
        <v>44741</v>
      </c>
      <c r="C157" s="1" t="n">
        <v>45982</v>
      </c>
      <c r="D157" t="inlineStr">
        <is>
          <t>GOTLANDS LÄN</t>
        </is>
      </c>
      <c r="E157" t="inlineStr">
        <is>
          <t>GOTLAND</t>
        </is>
      </c>
      <c r="G157" t="n">
        <v>2.2</v>
      </c>
      <c r="H157" t="n">
        <v>1</v>
      </c>
      <c r="I157" t="n">
        <v>1</v>
      </c>
      <c r="J157" t="n">
        <v>0</v>
      </c>
      <c r="K157" t="n">
        <v>0</v>
      </c>
      <c r="L157" t="n">
        <v>0</v>
      </c>
      <c r="M157" t="n">
        <v>0</v>
      </c>
      <c r="N157" t="n">
        <v>0</v>
      </c>
      <c r="O157" t="n">
        <v>0</v>
      </c>
      <c r="P157" t="n">
        <v>0</v>
      </c>
      <c r="Q157" t="n">
        <v>1</v>
      </c>
      <c r="R157" s="2" t="inlineStr">
        <is>
          <t>Purpurknipprot</t>
        </is>
      </c>
      <c r="S157">
        <f>HYPERLINK("https://klasma.github.io/Logging_0980/artfynd/A 27168-2022 artfynd.xlsx", "A 27168-2022")</f>
        <v/>
      </c>
      <c r="T157">
        <f>HYPERLINK("https://klasma.github.io/Logging_0980/kartor/A 27168-2022 karta.png", "A 27168-2022")</f>
        <v/>
      </c>
      <c r="V157">
        <f>HYPERLINK("https://klasma.github.io/Logging_0980/klagomål/A 27168-2022 FSC-klagomål.docx", "A 27168-2022")</f>
        <v/>
      </c>
      <c r="W157">
        <f>HYPERLINK("https://klasma.github.io/Logging_0980/klagomålsmail/A 27168-2022 FSC-klagomål mail.docx", "A 27168-2022")</f>
        <v/>
      </c>
      <c r="X157">
        <f>HYPERLINK("https://klasma.github.io/Logging_0980/tillsyn/A 27168-2022 tillsynsbegäran.docx", "A 27168-2022")</f>
        <v/>
      </c>
      <c r="Y157">
        <f>HYPERLINK("https://klasma.github.io/Logging_0980/tillsynsmail/A 27168-2022 tillsynsbegäran mail.docx", "A 27168-2022")</f>
        <v/>
      </c>
    </row>
    <row r="158" ht="15" customHeight="1">
      <c r="A158" t="inlineStr">
        <is>
          <t>A 25977-2024</t>
        </is>
      </c>
      <c r="B158" s="1" t="n">
        <v>45467.69356481481</v>
      </c>
      <c r="C158" s="1" t="n">
        <v>45982</v>
      </c>
      <c r="D158" t="inlineStr">
        <is>
          <t>GOTLANDS LÄN</t>
        </is>
      </c>
      <c r="E158" t="inlineStr">
        <is>
          <t>GOTLAND</t>
        </is>
      </c>
      <c r="G158" t="n">
        <v>3</v>
      </c>
      <c r="H158" t="n">
        <v>1</v>
      </c>
      <c r="I158" t="n">
        <v>0</v>
      </c>
      <c r="J158" t="n">
        <v>0</v>
      </c>
      <c r="K158" t="n">
        <v>0</v>
      </c>
      <c r="L158" t="n">
        <v>0</v>
      </c>
      <c r="M158" t="n">
        <v>0</v>
      </c>
      <c r="N158" t="n">
        <v>0</v>
      </c>
      <c r="O158" t="n">
        <v>0</v>
      </c>
      <c r="P158" t="n">
        <v>0</v>
      </c>
      <c r="Q158" t="n">
        <v>1</v>
      </c>
      <c r="R158" s="2" t="inlineStr">
        <is>
          <t>Nattviol</t>
        </is>
      </c>
      <c r="S158">
        <f>HYPERLINK("https://klasma.github.io/Logging_0980/artfynd/A 25977-2024 artfynd.xlsx", "A 25977-2024")</f>
        <v/>
      </c>
      <c r="T158">
        <f>HYPERLINK("https://klasma.github.io/Logging_0980/kartor/A 25977-2024 karta.png", "A 25977-2024")</f>
        <v/>
      </c>
      <c r="V158">
        <f>HYPERLINK("https://klasma.github.io/Logging_0980/klagomål/A 25977-2024 FSC-klagomål.docx", "A 25977-2024")</f>
        <v/>
      </c>
      <c r="W158">
        <f>HYPERLINK("https://klasma.github.io/Logging_0980/klagomålsmail/A 25977-2024 FSC-klagomål mail.docx", "A 25977-2024")</f>
        <v/>
      </c>
      <c r="X158">
        <f>HYPERLINK("https://klasma.github.io/Logging_0980/tillsyn/A 25977-2024 tillsynsbegäran.docx", "A 25977-2024")</f>
        <v/>
      </c>
      <c r="Y158">
        <f>HYPERLINK("https://klasma.github.io/Logging_0980/tillsynsmail/A 25977-2024 tillsynsbegäran mail.docx", "A 25977-2024")</f>
        <v/>
      </c>
    </row>
    <row r="159" ht="15" customHeight="1">
      <c r="A159" t="inlineStr">
        <is>
          <t>A 44619-2025</t>
        </is>
      </c>
      <c r="B159" s="1" t="n">
        <v>45917</v>
      </c>
      <c r="C159" s="1" t="n">
        <v>45982</v>
      </c>
      <c r="D159" t="inlineStr">
        <is>
          <t>GOTLANDS LÄN</t>
        </is>
      </c>
      <c r="E159" t="inlineStr">
        <is>
          <t>GOTLAND</t>
        </is>
      </c>
      <c r="G159" t="n">
        <v>4.3</v>
      </c>
      <c r="H159" t="n">
        <v>0</v>
      </c>
      <c r="I159" t="n">
        <v>1</v>
      </c>
      <c r="J159" t="n">
        <v>0</v>
      </c>
      <c r="K159" t="n">
        <v>0</v>
      </c>
      <c r="L159" t="n">
        <v>0</v>
      </c>
      <c r="M159" t="n">
        <v>0</v>
      </c>
      <c r="N159" t="n">
        <v>0</v>
      </c>
      <c r="O159" t="n">
        <v>0</v>
      </c>
      <c r="P159" t="n">
        <v>0</v>
      </c>
      <c r="Q159" t="n">
        <v>1</v>
      </c>
      <c r="R159" s="2" t="inlineStr">
        <is>
          <t>Ögonpyrola</t>
        </is>
      </c>
      <c r="S159">
        <f>HYPERLINK("https://klasma.github.io/Logging_0980/artfynd/A 44619-2025 artfynd.xlsx", "A 44619-2025")</f>
        <v/>
      </c>
      <c r="T159">
        <f>HYPERLINK("https://klasma.github.io/Logging_0980/kartor/A 44619-2025 karta.png", "A 44619-2025")</f>
        <v/>
      </c>
      <c r="V159">
        <f>HYPERLINK("https://klasma.github.io/Logging_0980/klagomål/A 44619-2025 FSC-klagomål.docx", "A 44619-2025")</f>
        <v/>
      </c>
      <c r="W159">
        <f>HYPERLINK("https://klasma.github.io/Logging_0980/klagomålsmail/A 44619-2025 FSC-klagomål mail.docx", "A 44619-2025")</f>
        <v/>
      </c>
      <c r="X159">
        <f>HYPERLINK("https://klasma.github.io/Logging_0980/tillsyn/A 44619-2025 tillsynsbegäran.docx", "A 44619-2025")</f>
        <v/>
      </c>
      <c r="Y159">
        <f>HYPERLINK("https://klasma.github.io/Logging_0980/tillsynsmail/A 44619-2025 tillsynsbegäran mail.docx", "A 44619-2025")</f>
        <v/>
      </c>
    </row>
    <row r="160" ht="15" customHeight="1">
      <c r="A160" t="inlineStr">
        <is>
          <t>A 27589-2023</t>
        </is>
      </c>
      <c r="B160" s="1" t="n">
        <v>45097</v>
      </c>
      <c r="C160" s="1" t="n">
        <v>45982</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9862-2024</t>
        </is>
      </c>
      <c r="B161" s="1" t="n">
        <v>45363</v>
      </c>
      <c r="C161" s="1" t="n">
        <v>45982</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45982</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65927-2021</t>
        </is>
      </c>
      <c r="B163" s="1" t="n">
        <v>44516</v>
      </c>
      <c r="C163" s="1" t="n">
        <v>45982</v>
      </c>
      <c r="D163" t="inlineStr">
        <is>
          <t>GOTLANDS LÄN</t>
        </is>
      </c>
      <c r="E163" t="inlineStr">
        <is>
          <t>GOTLAND</t>
        </is>
      </c>
      <c r="G163" t="n">
        <v>3.1</v>
      </c>
      <c r="H163" t="n">
        <v>1</v>
      </c>
      <c r="I163" t="n">
        <v>0</v>
      </c>
      <c r="J163" t="n">
        <v>0</v>
      </c>
      <c r="K163" t="n">
        <v>1</v>
      </c>
      <c r="L163" t="n">
        <v>0</v>
      </c>
      <c r="M163" t="n">
        <v>0</v>
      </c>
      <c r="N163" t="n">
        <v>0</v>
      </c>
      <c r="O163" t="n">
        <v>1</v>
      </c>
      <c r="P163" t="n">
        <v>1</v>
      </c>
      <c r="Q163" t="n">
        <v>1</v>
      </c>
      <c r="R163" s="2" t="inlineStr">
        <is>
          <t>Grenigt kungsljus</t>
        </is>
      </c>
      <c r="S163">
        <f>HYPERLINK("https://klasma.github.io/Logging_0980/artfynd/A 65927-2021 artfynd.xlsx", "A 65927-2021")</f>
        <v/>
      </c>
      <c r="T163">
        <f>HYPERLINK("https://klasma.github.io/Logging_0980/kartor/A 65927-2021 karta.png", "A 65927-2021")</f>
        <v/>
      </c>
      <c r="V163">
        <f>HYPERLINK("https://klasma.github.io/Logging_0980/klagomål/A 65927-2021 FSC-klagomål.docx", "A 65927-2021")</f>
        <v/>
      </c>
      <c r="W163">
        <f>HYPERLINK("https://klasma.github.io/Logging_0980/klagomålsmail/A 65927-2021 FSC-klagomål mail.docx", "A 65927-2021")</f>
        <v/>
      </c>
      <c r="X163">
        <f>HYPERLINK("https://klasma.github.io/Logging_0980/tillsyn/A 65927-2021 tillsynsbegäran.docx", "A 65927-2021")</f>
        <v/>
      </c>
      <c r="Y163">
        <f>HYPERLINK("https://klasma.github.io/Logging_0980/tillsynsmail/A 65927-2021 tillsynsbegäran mail.docx", "A 65927-2021")</f>
        <v/>
      </c>
    </row>
    <row r="164" ht="15" customHeight="1">
      <c r="A164" t="inlineStr">
        <is>
          <t>A 947-2023</t>
        </is>
      </c>
      <c r="B164" s="1" t="n">
        <v>44934</v>
      </c>
      <c r="C164" s="1" t="n">
        <v>45982</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12924-2025</t>
        </is>
      </c>
      <c r="B165" s="1" t="n">
        <v>45734</v>
      </c>
      <c r="C165" s="1" t="n">
        <v>45982</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61561-2023</t>
        </is>
      </c>
      <c r="B166" s="1" t="n">
        <v>45265</v>
      </c>
      <c r="C166" s="1" t="n">
        <v>45982</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13939-2021</t>
        </is>
      </c>
      <c r="B167" s="1" t="n">
        <v>44277</v>
      </c>
      <c r="C167" s="1" t="n">
        <v>45982</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56687-2025</t>
        </is>
      </c>
      <c r="B168" s="1" t="n">
        <v>45975.84065972222</v>
      </c>
      <c r="C168" s="1" t="n">
        <v>45982</v>
      </c>
      <c r="D168" t="inlineStr">
        <is>
          <t>GOTLANDS LÄN</t>
        </is>
      </c>
      <c r="E168" t="inlineStr">
        <is>
          <t>GOTLAND</t>
        </is>
      </c>
      <c r="G168" t="n">
        <v>2.4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56687-2025 artfynd.xlsx", "A 56687-2025")</f>
        <v/>
      </c>
      <c r="T168">
        <f>HYPERLINK("https://klasma.github.io/Logging_0980/kartor/A 56687-2025 karta.png", "A 56687-2025")</f>
        <v/>
      </c>
      <c r="V168">
        <f>HYPERLINK("https://klasma.github.io/Logging_0980/klagomål/A 56687-2025 FSC-klagomål.docx", "A 56687-2025")</f>
        <v/>
      </c>
      <c r="W168">
        <f>HYPERLINK("https://klasma.github.io/Logging_0980/klagomålsmail/A 56687-2025 FSC-klagomål mail.docx", "A 56687-2025")</f>
        <v/>
      </c>
      <c r="X168">
        <f>HYPERLINK("https://klasma.github.io/Logging_0980/tillsyn/A 56687-2025 tillsynsbegäran.docx", "A 56687-2025")</f>
        <v/>
      </c>
      <c r="Y168">
        <f>HYPERLINK("https://klasma.github.io/Logging_0980/tillsynsmail/A 56687-2025 tillsynsbegäran mail.docx", "A 56687-2025")</f>
        <v/>
      </c>
    </row>
    <row r="169" ht="15" customHeight="1">
      <c r="A169" t="inlineStr">
        <is>
          <t>A 12324-2025</t>
        </is>
      </c>
      <c r="B169" s="1" t="n">
        <v>45730</v>
      </c>
      <c r="C169" s="1" t="n">
        <v>45982</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20429-2025</t>
        </is>
      </c>
      <c r="B170" s="1" t="n">
        <v>45775.47728009259</v>
      </c>
      <c r="C170" s="1" t="n">
        <v>45982</v>
      </c>
      <c r="D170" t="inlineStr">
        <is>
          <t>GOTLANDS LÄN</t>
        </is>
      </c>
      <c r="E170" t="inlineStr">
        <is>
          <t>GOTLAND</t>
        </is>
      </c>
      <c r="G170" t="n">
        <v>1.4</v>
      </c>
      <c r="H170" t="n">
        <v>1</v>
      </c>
      <c r="I170" t="n">
        <v>0</v>
      </c>
      <c r="J170" t="n">
        <v>0</v>
      </c>
      <c r="K170" t="n">
        <v>0</v>
      </c>
      <c r="L170" t="n">
        <v>0</v>
      </c>
      <c r="M170" t="n">
        <v>0</v>
      </c>
      <c r="N170" t="n">
        <v>0</v>
      </c>
      <c r="O170" t="n">
        <v>0</v>
      </c>
      <c r="P170" t="n">
        <v>0</v>
      </c>
      <c r="Q170" t="n">
        <v>1</v>
      </c>
      <c r="R170" s="2" t="inlineStr">
        <is>
          <t>Äkta lopplummer</t>
        </is>
      </c>
      <c r="S170">
        <f>HYPERLINK("https://klasma.github.io/Logging_0980/artfynd/A 20429-2025 artfynd.xlsx", "A 20429-2025")</f>
        <v/>
      </c>
      <c r="T170">
        <f>HYPERLINK("https://klasma.github.io/Logging_0980/kartor/A 20429-2025 karta.png", "A 20429-2025")</f>
        <v/>
      </c>
      <c r="V170">
        <f>HYPERLINK("https://klasma.github.io/Logging_0980/klagomål/A 20429-2025 FSC-klagomål.docx", "A 20429-2025")</f>
        <v/>
      </c>
      <c r="W170">
        <f>HYPERLINK("https://klasma.github.io/Logging_0980/klagomålsmail/A 20429-2025 FSC-klagomål mail.docx", "A 20429-2025")</f>
        <v/>
      </c>
      <c r="X170">
        <f>HYPERLINK("https://klasma.github.io/Logging_0980/tillsyn/A 20429-2025 tillsynsbegäran.docx", "A 20429-2025")</f>
        <v/>
      </c>
      <c r="Y170">
        <f>HYPERLINK("https://klasma.github.io/Logging_0980/tillsynsmail/A 20429-2025 tillsynsbegäran mail.docx", "A 20429-2025")</f>
        <v/>
      </c>
    </row>
    <row r="171" ht="15" customHeight="1">
      <c r="A171" t="inlineStr">
        <is>
          <t>A 2476-2025</t>
        </is>
      </c>
      <c r="B171" s="1" t="n">
        <v>45673</v>
      </c>
      <c r="C171" s="1" t="n">
        <v>45982</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447-2023</t>
        </is>
      </c>
      <c r="B172" s="1" t="n">
        <v>44929</v>
      </c>
      <c r="C172" s="1" t="n">
        <v>45982</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45982</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49304-2024</t>
        </is>
      </c>
      <c r="B174" s="1" t="n">
        <v>45595.54996527778</v>
      </c>
      <c r="C174" s="1" t="n">
        <v>45982</v>
      </c>
      <c r="D174" t="inlineStr">
        <is>
          <t>GOTLANDS LÄN</t>
        </is>
      </c>
      <c r="E174" t="inlineStr">
        <is>
          <t>GOTLAND</t>
        </is>
      </c>
      <c r="G174" t="n">
        <v>10.8</v>
      </c>
      <c r="H174" t="n">
        <v>0</v>
      </c>
      <c r="I174" t="n">
        <v>0</v>
      </c>
      <c r="J174" t="n">
        <v>1</v>
      </c>
      <c r="K174" t="n">
        <v>0</v>
      </c>
      <c r="L174" t="n">
        <v>0</v>
      </c>
      <c r="M174" t="n">
        <v>0</v>
      </c>
      <c r="N174" t="n">
        <v>0</v>
      </c>
      <c r="O174" t="n">
        <v>1</v>
      </c>
      <c r="P174" t="n">
        <v>0</v>
      </c>
      <c r="Q174" t="n">
        <v>1</v>
      </c>
      <c r="R174" s="2" t="inlineStr">
        <is>
          <t>Åkerranunkel</t>
        </is>
      </c>
      <c r="S174">
        <f>HYPERLINK("https://klasma.github.io/Logging_0980/artfynd/A 49304-2024 artfynd.xlsx", "A 49304-2024")</f>
        <v/>
      </c>
      <c r="T174">
        <f>HYPERLINK("https://klasma.github.io/Logging_0980/kartor/A 49304-2024 karta.png", "A 49304-2024")</f>
        <v/>
      </c>
      <c r="V174">
        <f>HYPERLINK("https://klasma.github.io/Logging_0980/klagomål/A 49304-2024 FSC-klagomål.docx", "A 49304-2024")</f>
        <v/>
      </c>
      <c r="W174">
        <f>HYPERLINK("https://klasma.github.io/Logging_0980/klagomålsmail/A 49304-2024 FSC-klagomål mail.docx", "A 49304-2024")</f>
        <v/>
      </c>
      <c r="X174">
        <f>HYPERLINK("https://klasma.github.io/Logging_0980/tillsyn/A 49304-2024 tillsynsbegäran.docx", "A 49304-2024")</f>
        <v/>
      </c>
      <c r="Y174">
        <f>HYPERLINK("https://klasma.github.io/Logging_0980/tillsynsmail/A 49304-2024 tillsynsbegäran mail.docx", "A 49304-2024")</f>
        <v/>
      </c>
    </row>
    <row r="175" ht="15" customHeight="1">
      <c r="A175" t="inlineStr">
        <is>
          <t>A 22782-2023</t>
        </is>
      </c>
      <c r="B175" s="1" t="n">
        <v>45072</v>
      </c>
      <c r="C175" s="1" t="n">
        <v>45982</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44088-2022</t>
        </is>
      </c>
      <c r="B176" s="1" t="n">
        <v>44839</v>
      </c>
      <c r="C176" s="1" t="n">
        <v>45982</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1477-2024</t>
        </is>
      </c>
      <c r="B177" s="1" t="n">
        <v>45305.37987268518</v>
      </c>
      <c r="C177" s="1" t="n">
        <v>45982</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7637-2025</t>
        </is>
      </c>
      <c r="B178" s="1" t="n">
        <v>45705.77181712963</v>
      </c>
      <c r="C178" s="1" t="n">
        <v>45982</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61796-2022</t>
        </is>
      </c>
      <c r="B179" s="1" t="n">
        <v>44917</v>
      </c>
      <c r="C179" s="1" t="n">
        <v>45982</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10218-2025</t>
        </is>
      </c>
      <c r="B180" s="1" t="n">
        <v>45720</v>
      </c>
      <c r="C180" s="1" t="n">
        <v>45982</v>
      </c>
      <c r="D180" t="inlineStr">
        <is>
          <t>GOTLANDS LÄN</t>
        </is>
      </c>
      <c r="E180" t="inlineStr">
        <is>
          <t>GOTLAND</t>
        </is>
      </c>
      <c r="G180" t="n">
        <v>8.1</v>
      </c>
      <c r="H180" t="n">
        <v>0</v>
      </c>
      <c r="I180" t="n">
        <v>1</v>
      </c>
      <c r="J180" t="n">
        <v>0</v>
      </c>
      <c r="K180" t="n">
        <v>0</v>
      </c>
      <c r="L180" t="n">
        <v>0</v>
      </c>
      <c r="M180" t="n">
        <v>0</v>
      </c>
      <c r="N180" t="n">
        <v>0</v>
      </c>
      <c r="O180" t="n">
        <v>0</v>
      </c>
      <c r="P180" t="n">
        <v>0</v>
      </c>
      <c r="Q180" t="n">
        <v>1</v>
      </c>
      <c r="R180" s="2" t="inlineStr">
        <is>
          <t>Kalktallört</t>
        </is>
      </c>
      <c r="S180">
        <f>HYPERLINK("https://klasma.github.io/Logging_0980/artfynd/A 10218-2025 artfynd.xlsx", "A 10218-2025")</f>
        <v/>
      </c>
      <c r="T180">
        <f>HYPERLINK("https://klasma.github.io/Logging_0980/kartor/A 10218-2025 karta.png", "A 10218-2025")</f>
        <v/>
      </c>
      <c r="V180">
        <f>HYPERLINK("https://klasma.github.io/Logging_0980/klagomål/A 10218-2025 FSC-klagomål.docx", "A 10218-2025")</f>
        <v/>
      </c>
      <c r="W180">
        <f>HYPERLINK("https://klasma.github.io/Logging_0980/klagomålsmail/A 10218-2025 FSC-klagomål mail.docx", "A 10218-2025")</f>
        <v/>
      </c>
      <c r="X180">
        <f>HYPERLINK("https://klasma.github.io/Logging_0980/tillsyn/A 10218-2025 tillsynsbegäran.docx", "A 10218-2025")</f>
        <v/>
      </c>
      <c r="Y180">
        <f>HYPERLINK("https://klasma.github.io/Logging_0980/tillsynsmail/A 10218-2025 tillsynsbegäran mail.docx", "A 10218-2025")</f>
        <v/>
      </c>
    </row>
    <row r="181" ht="15" customHeight="1">
      <c r="A181" t="inlineStr">
        <is>
          <t>A 12379-2024</t>
        </is>
      </c>
      <c r="B181" s="1" t="n">
        <v>45379.28155092592</v>
      </c>
      <c r="C181" s="1" t="n">
        <v>45982</v>
      </c>
      <c r="D181" t="inlineStr">
        <is>
          <t>GOTLANDS LÄN</t>
        </is>
      </c>
      <c r="E181" t="inlineStr">
        <is>
          <t>GOTLAND</t>
        </is>
      </c>
      <c r="G181" t="n">
        <v>4.4</v>
      </c>
      <c r="H181" t="n">
        <v>0</v>
      </c>
      <c r="I181" t="n">
        <v>0</v>
      </c>
      <c r="J181" t="n">
        <v>1</v>
      </c>
      <c r="K181" t="n">
        <v>0</v>
      </c>
      <c r="L181" t="n">
        <v>0</v>
      </c>
      <c r="M181" t="n">
        <v>0</v>
      </c>
      <c r="N181" t="n">
        <v>0</v>
      </c>
      <c r="O181" t="n">
        <v>1</v>
      </c>
      <c r="P181" t="n">
        <v>0</v>
      </c>
      <c r="Q181" t="n">
        <v>1</v>
      </c>
      <c r="R181" s="2" t="inlineStr">
        <is>
          <t>Svinrot</t>
        </is>
      </c>
      <c r="S181">
        <f>HYPERLINK("https://klasma.github.io/Logging_0980/artfynd/A 12379-2024 artfynd.xlsx", "A 12379-2024")</f>
        <v/>
      </c>
      <c r="T181">
        <f>HYPERLINK("https://klasma.github.io/Logging_0980/kartor/A 12379-2024 karta.png", "A 12379-2024")</f>
        <v/>
      </c>
      <c r="V181">
        <f>HYPERLINK("https://klasma.github.io/Logging_0980/klagomål/A 12379-2024 FSC-klagomål.docx", "A 12379-2024")</f>
        <v/>
      </c>
      <c r="W181">
        <f>HYPERLINK("https://klasma.github.io/Logging_0980/klagomålsmail/A 12379-2024 FSC-klagomål mail.docx", "A 12379-2024")</f>
        <v/>
      </c>
      <c r="X181">
        <f>HYPERLINK("https://klasma.github.io/Logging_0980/tillsyn/A 12379-2024 tillsynsbegäran.docx", "A 12379-2024")</f>
        <v/>
      </c>
      <c r="Y181">
        <f>HYPERLINK("https://klasma.github.io/Logging_0980/tillsynsmail/A 12379-2024 tillsynsbegäran mail.docx", "A 12379-2024")</f>
        <v/>
      </c>
    </row>
    <row r="182" ht="15" customHeight="1">
      <c r="A182" t="inlineStr">
        <is>
          <t>A 64700-2021</t>
        </is>
      </c>
      <c r="B182" s="1" t="n">
        <v>44511</v>
      </c>
      <c r="C182" s="1" t="n">
        <v>45982</v>
      </c>
      <c r="D182" t="inlineStr">
        <is>
          <t>GOTLANDS LÄN</t>
        </is>
      </c>
      <c r="E182" t="inlineStr">
        <is>
          <t>GOTLAND</t>
        </is>
      </c>
      <c r="F182" t="inlineStr">
        <is>
          <t>Naturvårdsverket</t>
        </is>
      </c>
      <c r="G182" t="n">
        <v>2.4</v>
      </c>
      <c r="H182" t="n">
        <v>1</v>
      </c>
      <c r="I182" t="n">
        <v>0</v>
      </c>
      <c r="J182" t="n">
        <v>0</v>
      </c>
      <c r="K182" t="n">
        <v>1</v>
      </c>
      <c r="L182" t="n">
        <v>0</v>
      </c>
      <c r="M182" t="n">
        <v>0</v>
      </c>
      <c r="N182" t="n">
        <v>0</v>
      </c>
      <c r="O182" t="n">
        <v>1</v>
      </c>
      <c r="P182" t="n">
        <v>1</v>
      </c>
      <c r="Q182" t="n">
        <v>1</v>
      </c>
      <c r="R182" s="2" t="inlineStr">
        <is>
          <t>Kalkdån</t>
        </is>
      </c>
      <c r="S182">
        <f>HYPERLINK("https://klasma.github.io/Logging_0980/artfynd/A 64700-2021 artfynd.xlsx", "A 64700-2021")</f>
        <v/>
      </c>
      <c r="T182">
        <f>HYPERLINK("https://klasma.github.io/Logging_0980/kartor/A 64700-2021 karta.png", "A 64700-2021")</f>
        <v/>
      </c>
      <c r="V182">
        <f>HYPERLINK("https://klasma.github.io/Logging_0980/klagomål/A 64700-2021 FSC-klagomål.docx", "A 64700-2021")</f>
        <v/>
      </c>
      <c r="W182">
        <f>HYPERLINK("https://klasma.github.io/Logging_0980/klagomålsmail/A 64700-2021 FSC-klagomål mail.docx", "A 64700-2021")</f>
        <v/>
      </c>
      <c r="X182">
        <f>HYPERLINK("https://klasma.github.io/Logging_0980/tillsyn/A 64700-2021 tillsynsbegäran.docx", "A 64700-2021")</f>
        <v/>
      </c>
      <c r="Y182">
        <f>HYPERLINK("https://klasma.github.io/Logging_0980/tillsynsmail/A 64700-2021 tillsynsbegäran mail.docx", "A 64700-2021")</f>
        <v/>
      </c>
    </row>
    <row r="183" ht="15" customHeight="1">
      <c r="A183" t="inlineStr">
        <is>
          <t>A 35574-2024</t>
        </is>
      </c>
      <c r="B183" s="1" t="n">
        <v>45531</v>
      </c>
      <c r="C183" s="1" t="n">
        <v>45982</v>
      </c>
      <c r="D183" t="inlineStr">
        <is>
          <t>GOTLANDS LÄN</t>
        </is>
      </c>
      <c r="E183" t="inlineStr">
        <is>
          <t>GOTLAND</t>
        </is>
      </c>
      <c r="G183" t="n">
        <v>5.7</v>
      </c>
      <c r="H183" t="n">
        <v>0</v>
      </c>
      <c r="I183" t="n">
        <v>1</v>
      </c>
      <c r="J183" t="n">
        <v>0</v>
      </c>
      <c r="K183" t="n">
        <v>0</v>
      </c>
      <c r="L183" t="n">
        <v>0</v>
      </c>
      <c r="M183" t="n">
        <v>0</v>
      </c>
      <c r="N183" t="n">
        <v>0</v>
      </c>
      <c r="O183" t="n">
        <v>0</v>
      </c>
      <c r="P183" t="n">
        <v>0</v>
      </c>
      <c r="Q183" t="n">
        <v>1</v>
      </c>
      <c r="R183" s="2" t="inlineStr">
        <is>
          <t>Murgröna</t>
        </is>
      </c>
      <c r="S183">
        <f>HYPERLINK("https://klasma.github.io/Logging_0980/artfynd/A 35574-2024 artfynd.xlsx", "A 35574-2024")</f>
        <v/>
      </c>
      <c r="T183">
        <f>HYPERLINK("https://klasma.github.io/Logging_0980/kartor/A 35574-2024 karta.png", "A 35574-2024")</f>
        <v/>
      </c>
      <c r="V183">
        <f>HYPERLINK("https://klasma.github.io/Logging_0980/klagomål/A 35574-2024 FSC-klagomål.docx", "A 35574-2024")</f>
        <v/>
      </c>
      <c r="W183">
        <f>HYPERLINK("https://klasma.github.io/Logging_0980/klagomålsmail/A 35574-2024 FSC-klagomål mail.docx", "A 35574-2024")</f>
        <v/>
      </c>
      <c r="X183">
        <f>HYPERLINK("https://klasma.github.io/Logging_0980/tillsyn/A 35574-2024 tillsynsbegäran.docx", "A 35574-2024")</f>
        <v/>
      </c>
      <c r="Y183">
        <f>HYPERLINK("https://klasma.github.io/Logging_0980/tillsynsmail/A 35574-2024 tillsynsbegäran mail.docx", "A 35574-2024")</f>
        <v/>
      </c>
    </row>
    <row r="184" ht="15" customHeight="1">
      <c r="A184" t="inlineStr">
        <is>
          <t>A 37591-2023</t>
        </is>
      </c>
      <c r="B184" s="1" t="n">
        <v>45159</v>
      </c>
      <c r="C184" s="1" t="n">
        <v>45982</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15637-2024</t>
        </is>
      </c>
      <c r="B185" s="1" t="n">
        <v>45403.6684837963</v>
      </c>
      <c r="C185" s="1" t="n">
        <v>45982</v>
      </c>
      <c r="D185" t="inlineStr">
        <is>
          <t>GOTLANDS LÄN</t>
        </is>
      </c>
      <c r="E185" t="inlineStr">
        <is>
          <t>GOTLAND</t>
        </is>
      </c>
      <c r="G185" t="n">
        <v>4.1</v>
      </c>
      <c r="H185" t="n">
        <v>1</v>
      </c>
      <c r="I185" t="n">
        <v>0</v>
      </c>
      <c r="J185" t="n">
        <v>0</v>
      </c>
      <c r="K185" t="n">
        <v>0</v>
      </c>
      <c r="L185" t="n">
        <v>0</v>
      </c>
      <c r="M185" t="n">
        <v>0</v>
      </c>
      <c r="N185" t="n">
        <v>0</v>
      </c>
      <c r="O185" t="n">
        <v>0</v>
      </c>
      <c r="P185" t="n">
        <v>0</v>
      </c>
      <c r="Q185" t="n">
        <v>1</v>
      </c>
      <c r="R185" s="2" t="inlineStr">
        <is>
          <t>Blåsippa</t>
        </is>
      </c>
      <c r="S185">
        <f>HYPERLINK("https://klasma.github.io/Logging_0980/artfynd/A 15637-2024 artfynd.xlsx", "A 15637-2024")</f>
        <v/>
      </c>
      <c r="T185">
        <f>HYPERLINK("https://klasma.github.io/Logging_0980/kartor/A 15637-2024 karta.png", "A 15637-2024")</f>
        <v/>
      </c>
      <c r="V185">
        <f>HYPERLINK("https://klasma.github.io/Logging_0980/klagomål/A 15637-2024 FSC-klagomål.docx", "A 15637-2024")</f>
        <v/>
      </c>
      <c r="W185">
        <f>HYPERLINK("https://klasma.github.io/Logging_0980/klagomålsmail/A 15637-2024 FSC-klagomål mail.docx", "A 15637-2024")</f>
        <v/>
      </c>
      <c r="X185">
        <f>HYPERLINK("https://klasma.github.io/Logging_0980/tillsyn/A 15637-2024 tillsynsbegäran.docx", "A 15637-2024")</f>
        <v/>
      </c>
      <c r="Y185">
        <f>HYPERLINK("https://klasma.github.io/Logging_0980/tillsynsmail/A 15637-2024 tillsynsbegäran mail.docx", "A 15637-2024")</f>
        <v/>
      </c>
    </row>
    <row r="186" ht="15" customHeight="1">
      <c r="A186" t="inlineStr">
        <is>
          <t>A 63299-2020</t>
        </is>
      </c>
      <c r="B186" s="1" t="n">
        <v>44165</v>
      </c>
      <c r="C186" s="1" t="n">
        <v>45982</v>
      </c>
      <c r="D186" t="inlineStr">
        <is>
          <t>GOTLANDS LÄN</t>
        </is>
      </c>
      <c r="E186" t="inlineStr">
        <is>
          <t>GOTLAND</t>
        </is>
      </c>
      <c r="G186" t="n">
        <v>12.9</v>
      </c>
      <c r="H186" t="n">
        <v>1</v>
      </c>
      <c r="I186" t="n">
        <v>0</v>
      </c>
      <c r="J186" t="n">
        <v>1</v>
      </c>
      <c r="K186" t="n">
        <v>0</v>
      </c>
      <c r="L186" t="n">
        <v>0</v>
      </c>
      <c r="M186" t="n">
        <v>0</v>
      </c>
      <c r="N186" t="n">
        <v>0</v>
      </c>
      <c r="O186" t="n">
        <v>1</v>
      </c>
      <c r="P186" t="n">
        <v>0</v>
      </c>
      <c r="Q186" t="n">
        <v>1</v>
      </c>
      <c r="R186" s="2" t="inlineStr">
        <is>
          <t>Svartfläckig blåvinge</t>
        </is>
      </c>
      <c r="S186">
        <f>HYPERLINK("https://klasma.github.io/Logging_0980/artfynd/A 63299-2020 artfynd.xlsx", "A 63299-2020")</f>
        <v/>
      </c>
      <c r="T186">
        <f>HYPERLINK("https://klasma.github.io/Logging_0980/kartor/A 63299-2020 karta.png", "A 63299-2020")</f>
        <v/>
      </c>
      <c r="V186">
        <f>HYPERLINK("https://klasma.github.io/Logging_0980/klagomål/A 63299-2020 FSC-klagomål.docx", "A 63299-2020")</f>
        <v/>
      </c>
      <c r="W186">
        <f>HYPERLINK("https://klasma.github.io/Logging_0980/klagomålsmail/A 63299-2020 FSC-klagomål mail.docx", "A 63299-2020")</f>
        <v/>
      </c>
      <c r="X186">
        <f>HYPERLINK("https://klasma.github.io/Logging_0980/tillsyn/A 63299-2020 tillsynsbegäran.docx", "A 63299-2020")</f>
        <v/>
      </c>
      <c r="Y186">
        <f>HYPERLINK("https://klasma.github.io/Logging_0980/tillsynsmail/A 63299-2020 tillsynsbegäran mail.docx", "A 63299-2020")</f>
        <v/>
      </c>
    </row>
    <row r="187" ht="15" customHeight="1">
      <c r="A187" t="inlineStr">
        <is>
          <t>A 49847-2023</t>
        </is>
      </c>
      <c r="B187" s="1" t="n">
        <v>45212</v>
      </c>
      <c r="C187" s="1" t="n">
        <v>45982</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45982</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63576-2021</t>
        </is>
      </c>
      <c r="B189" s="1" t="n">
        <v>44508</v>
      </c>
      <c r="C189" s="1" t="n">
        <v>45982</v>
      </c>
      <c r="D189" t="inlineStr">
        <is>
          <t>GOTLANDS LÄN</t>
        </is>
      </c>
      <c r="E189" t="inlineStr">
        <is>
          <t>GOTLAND</t>
        </is>
      </c>
      <c r="F189" t="inlineStr">
        <is>
          <t>Kyrkan</t>
        </is>
      </c>
      <c r="G189" t="n">
        <v>4.1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63576-2021 artfynd.xlsx", "A 63576-2021")</f>
        <v/>
      </c>
      <c r="T189">
        <f>HYPERLINK("https://klasma.github.io/Logging_0980/kartor/A 63576-2021 karta.png", "A 63576-2021")</f>
        <v/>
      </c>
      <c r="V189">
        <f>HYPERLINK("https://klasma.github.io/Logging_0980/klagomål/A 63576-2021 FSC-klagomål.docx", "A 63576-2021")</f>
        <v/>
      </c>
      <c r="W189">
        <f>HYPERLINK("https://klasma.github.io/Logging_0980/klagomålsmail/A 63576-2021 FSC-klagomål mail.docx", "A 63576-2021")</f>
        <v/>
      </c>
      <c r="X189">
        <f>HYPERLINK("https://klasma.github.io/Logging_0980/tillsyn/A 63576-2021 tillsynsbegäran.docx", "A 63576-2021")</f>
        <v/>
      </c>
      <c r="Y189">
        <f>HYPERLINK("https://klasma.github.io/Logging_0980/tillsynsmail/A 63576-2021 tillsynsbegäran mail.docx", "A 63576-2021")</f>
        <v/>
      </c>
    </row>
    <row r="190" ht="15" customHeight="1">
      <c r="A190" t="inlineStr">
        <is>
          <t>A 21466-2025</t>
        </is>
      </c>
      <c r="B190" s="1" t="n">
        <v>45782</v>
      </c>
      <c r="C190" s="1" t="n">
        <v>45982</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45982</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45982</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45982</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45982</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45982</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45982</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45982</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17585-2021</t>
        </is>
      </c>
      <c r="B199" s="1" t="n">
        <v>44299</v>
      </c>
      <c r="C199" s="1" t="n">
        <v>45982</v>
      </c>
      <c r="D199" t="inlineStr">
        <is>
          <t>GOTLANDS LÄN</t>
        </is>
      </c>
      <c r="E199" t="inlineStr">
        <is>
          <t>GOTLAND</t>
        </is>
      </c>
      <c r="G199" t="n">
        <v>5.4</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45982</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45982</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45982</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45982</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45982</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45982</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45982</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45982</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45982</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45982</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45982</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45982</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45982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45982</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45982</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45982</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45982</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45982</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45982</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45982</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45982</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45982</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45982</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45982</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45982</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45982</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45982</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45982</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45982</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45982</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62120-2020</t>
        </is>
      </c>
      <c r="B234" s="1" t="n">
        <v>44158</v>
      </c>
      <c r="C234" s="1" t="n">
        <v>45982</v>
      </c>
      <c r="D234" t="inlineStr">
        <is>
          <t>GOTLANDS LÄN</t>
        </is>
      </c>
      <c r="E234" t="inlineStr">
        <is>
          <t>GOTLAND</t>
        </is>
      </c>
      <c r="G234" t="n">
        <v>2.3</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45982</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45982</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45982</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45982</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45982</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45982</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45982</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45982</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17901-2023</t>
        </is>
      </c>
      <c r="B244" s="1" t="n">
        <v>45039</v>
      </c>
      <c r="C244" s="1" t="n">
        <v>45982</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45982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45982</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61596-2023</t>
        </is>
      </c>
      <c r="B247" s="1" t="n">
        <v>45265</v>
      </c>
      <c r="C247" s="1" t="n">
        <v>45982</v>
      </c>
      <c r="D247" t="inlineStr">
        <is>
          <t>GOTLANDS LÄN</t>
        </is>
      </c>
      <c r="E247" t="inlineStr">
        <is>
          <t>GOTLAND</t>
        </is>
      </c>
      <c r="G247" t="n">
        <v>1.7</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45982</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873-2024</t>
        </is>
      </c>
      <c r="B249" s="1" t="n">
        <v>45301</v>
      </c>
      <c r="C249" s="1" t="n">
        <v>45982</v>
      </c>
      <c r="D249" t="inlineStr">
        <is>
          <t>GOTLANDS LÄN</t>
        </is>
      </c>
      <c r="E249" t="inlineStr">
        <is>
          <t>GOTLAND</t>
        </is>
      </c>
      <c r="G249" t="n">
        <v>2.7</v>
      </c>
      <c r="H249" t="n">
        <v>0</v>
      </c>
      <c r="I249" t="n">
        <v>0</v>
      </c>
      <c r="J249" t="n">
        <v>0</v>
      </c>
      <c r="K249" t="n">
        <v>0</v>
      </c>
      <c r="L249" t="n">
        <v>0</v>
      </c>
      <c r="M249" t="n">
        <v>0</v>
      </c>
      <c r="N249" t="n">
        <v>0</v>
      </c>
      <c r="O249" t="n">
        <v>0</v>
      </c>
      <c r="P249" t="n">
        <v>0</v>
      </c>
      <c r="Q249" t="n">
        <v>0</v>
      </c>
      <c r="R249" s="2" t="inlineStr"/>
    </row>
    <row r="250" ht="15" customHeight="1">
      <c r="A250" t="inlineStr">
        <is>
          <t>A 44228-2022</t>
        </is>
      </c>
      <c r="B250" s="1" t="n">
        <v>44839.51599537037</v>
      </c>
      <c r="C250" s="1" t="n">
        <v>45982</v>
      </c>
      <c r="D250" t="inlineStr">
        <is>
          <t>GOTLANDS LÄN</t>
        </is>
      </c>
      <c r="E250" t="inlineStr">
        <is>
          <t>GOTLAND</t>
        </is>
      </c>
      <c r="G250" t="n">
        <v>2.1</v>
      </c>
      <c r="H250" t="n">
        <v>0</v>
      </c>
      <c r="I250" t="n">
        <v>0</v>
      </c>
      <c r="J250" t="n">
        <v>0</v>
      </c>
      <c r="K250" t="n">
        <v>0</v>
      </c>
      <c r="L250" t="n">
        <v>0</v>
      </c>
      <c r="M250" t="n">
        <v>0</v>
      </c>
      <c r="N250" t="n">
        <v>0</v>
      </c>
      <c r="O250" t="n">
        <v>0</v>
      </c>
      <c r="P250" t="n">
        <v>0</v>
      </c>
      <c r="Q250" t="n">
        <v>0</v>
      </c>
      <c r="R250" s="2" t="inlineStr"/>
    </row>
    <row r="251" ht="15" customHeight="1">
      <c r="A251" t="inlineStr">
        <is>
          <t>A 27593-2023</t>
        </is>
      </c>
      <c r="B251" s="1" t="n">
        <v>45097</v>
      </c>
      <c r="C251" s="1" t="n">
        <v>45982</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61386-2023</t>
        </is>
      </c>
      <c r="B252" s="1" t="n">
        <v>45264</v>
      </c>
      <c r="C252" s="1" t="n">
        <v>45982</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25129-2023</t>
        </is>
      </c>
      <c r="B253" s="1" t="n">
        <v>45086.44261574074</v>
      </c>
      <c r="C253" s="1" t="n">
        <v>45982</v>
      </c>
      <c r="D253" t="inlineStr">
        <is>
          <t>GOTLANDS LÄN</t>
        </is>
      </c>
      <c r="E253" t="inlineStr">
        <is>
          <t>GOTLAND</t>
        </is>
      </c>
      <c r="G253" t="n">
        <v>1.5</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45982</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45982</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7026-2023</t>
        </is>
      </c>
      <c r="B256" s="1" t="n">
        <v>44968.30340277778</v>
      </c>
      <c r="C256" s="1" t="n">
        <v>45982</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3964-2024</t>
        </is>
      </c>
      <c r="B257" s="1" t="n">
        <v>45322</v>
      </c>
      <c r="C257" s="1" t="n">
        <v>45982</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45982</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1351-2025</t>
        </is>
      </c>
      <c r="B259" s="1" t="n">
        <v>45667.62246527777</v>
      </c>
      <c r="C259" s="1" t="n">
        <v>45982</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21420-2024</t>
        </is>
      </c>
      <c r="B260" s="1" t="n">
        <v>45441.38293981482</v>
      </c>
      <c r="C260" s="1" t="n">
        <v>45982</v>
      </c>
      <c r="D260" t="inlineStr">
        <is>
          <t>GOTLANDS LÄN</t>
        </is>
      </c>
      <c r="E260" t="inlineStr">
        <is>
          <t>GOTLAND</t>
        </is>
      </c>
      <c r="G260" t="n">
        <v>4.1</v>
      </c>
      <c r="H260" t="n">
        <v>0</v>
      </c>
      <c r="I260" t="n">
        <v>0</v>
      </c>
      <c r="J260" t="n">
        <v>0</v>
      </c>
      <c r="K260" t="n">
        <v>0</v>
      </c>
      <c r="L260" t="n">
        <v>0</v>
      </c>
      <c r="M260" t="n">
        <v>0</v>
      </c>
      <c r="N260" t="n">
        <v>0</v>
      </c>
      <c r="O260" t="n">
        <v>0</v>
      </c>
      <c r="P260" t="n">
        <v>0</v>
      </c>
      <c r="Q260" t="n">
        <v>0</v>
      </c>
      <c r="R260" s="2" t="inlineStr"/>
    </row>
    <row r="261" ht="15" customHeight="1">
      <c r="A261" t="inlineStr">
        <is>
          <t>A 10656-2024</t>
        </is>
      </c>
      <c r="B261" s="1" t="n">
        <v>45368</v>
      </c>
      <c r="C261" s="1" t="n">
        <v>45982</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45982</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57356-2023</t>
        </is>
      </c>
      <c r="B263" s="1" t="n">
        <v>45240</v>
      </c>
      <c r="C263" s="1" t="n">
        <v>45982</v>
      </c>
      <c r="D263" t="inlineStr">
        <is>
          <t>GOTLANDS LÄN</t>
        </is>
      </c>
      <c r="E263" t="inlineStr">
        <is>
          <t>GOTLAND</t>
        </is>
      </c>
      <c r="G263" t="n">
        <v>6.4</v>
      </c>
      <c r="H263" t="n">
        <v>0</v>
      </c>
      <c r="I263" t="n">
        <v>0</v>
      </c>
      <c r="J263" t="n">
        <v>0</v>
      </c>
      <c r="K263" t="n">
        <v>0</v>
      </c>
      <c r="L263" t="n">
        <v>0</v>
      </c>
      <c r="M263" t="n">
        <v>0</v>
      </c>
      <c r="N263" t="n">
        <v>0</v>
      </c>
      <c r="O263" t="n">
        <v>0</v>
      </c>
      <c r="P263" t="n">
        <v>0</v>
      </c>
      <c r="Q263" t="n">
        <v>0</v>
      </c>
      <c r="R263" s="2" t="inlineStr"/>
    </row>
    <row r="264" ht="15" customHeight="1">
      <c r="A264" t="inlineStr">
        <is>
          <t>A 54073-2022</t>
        </is>
      </c>
      <c r="B264" s="1" t="n">
        <v>44881.50380787037</v>
      </c>
      <c r="C264" s="1" t="n">
        <v>45982</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28506-2023</t>
        </is>
      </c>
      <c r="B265" s="1" t="n">
        <v>45103</v>
      </c>
      <c r="C265" s="1" t="n">
        <v>45982</v>
      </c>
      <c r="D265" t="inlineStr">
        <is>
          <t>GOTLANDS LÄN</t>
        </is>
      </c>
      <c r="E265" t="inlineStr">
        <is>
          <t>GOTLAND</t>
        </is>
      </c>
      <c r="G265" t="n">
        <v>3.2</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45597.49274305555</v>
      </c>
      <c r="C266" s="1" t="n">
        <v>45982</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23188-2025</t>
        </is>
      </c>
      <c r="B267" s="1" t="n">
        <v>45791</v>
      </c>
      <c r="C267" s="1" t="n">
        <v>45982</v>
      </c>
      <c r="D267" t="inlineStr">
        <is>
          <t>GOTLANDS LÄN</t>
        </is>
      </c>
      <c r="E267" t="inlineStr">
        <is>
          <t>GOTLAND</t>
        </is>
      </c>
      <c r="G267" t="n">
        <v>6.2</v>
      </c>
      <c r="H267" t="n">
        <v>0</v>
      </c>
      <c r="I267" t="n">
        <v>0</v>
      </c>
      <c r="J267" t="n">
        <v>0</v>
      </c>
      <c r="K267" t="n">
        <v>0</v>
      </c>
      <c r="L267" t="n">
        <v>0</v>
      </c>
      <c r="M267" t="n">
        <v>0</v>
      </c>
      <c r="N267" t="n">
        <v>0</v>
      </c>
      <c r="O267" t="n">
        <v>0</v>
      </c>
      <c r="P267" t="n">
        <v>0</v>
      </c>
      <c r="Q267" t="n">
        <v>0</v>
      </c>
      <c r="R267" s="2" t="inlineStr"/>
    </row>
    <row r="268" ht="15" customHeight="1">
      <c r="A268" t="inlineStr">
        <is>
          <t>A 20356-2022</t>
        </is>
      </c>
      <c r="B268" s="1" t="n">
        <v>44699</v>
      </c>
      <c r="C268" s="1" t="n">
        <v>45982</v>
      </c>
      <c r="D268" t="inlineStr">
        <is>
          <t>GOTLANDS LÄN</t>
        </is>
      </c>
      <c r="E268" t="inlineStr">
        <is>
          <t>GOTLAND</t>
        </is>
      </c>
      <c r="F268" t="inlineStr">
        <is>
          <t>Övriga Aktiebolag</t>
        </is>
      </c>
      <c r="G268" t="n">
        <v>4.4</v>
      </c>
      <c r="H268" t="n">
        <v>0</v>
      </c>
      <c r="I268" t="n">
        <v>0</v>
      </c>
      <c r="J268" t="n">
        <v>0</v>
      </c>
      <c r="K268" t="n">
        <v>0</v>
      </c>
      <c r="L268" t="n">
        <v>0</v>
      </c>
      <c r="M268" t="n">
        <v>0</v>
      </c>
      <c r="N268" t="n">
        <v>0</v>
      </c>
      <c r="O268" t="n">
        <v>0</v>
      </c>
      <c r="P268" t="n">
        <v>0</v>
      </c>
      <c r="Q268" t="n">
        <v>0</v>
      </c>
      <c r="R268" s="2" t="inlineStr"/>
    </row>
    <row r="269" ht="15" customHeight="1">
      <c r="A269" t="inlineStr">
        <is>
          <t>A 2292-2021</t>
        </is>
      </c>
      <c r="B269" s="1" t="n">
        <v>44212</v>
      </c>
      <c r="C269" s="1" t="n">
        <v>45982</v>
      </c>
      <c r="D269" t="inlineStr">
        <is>
          <t>GOTLANDS LÄN</t>
        </is>
      </c>
      <c r="E269" t="inlineStr">
        <is>
          <t>GOTLAND</t>
        </is>
      </c>
      <c r="G269" t="n">
        <v>3</v>
      </c>
      <c r="H269" t="n">
        <v>0</v>
      </c>
      <c r="I269" t="n">
        <v>0</v>
      </c>
      <c r="J269" t="n">
        <v>0</v>
      </c>
      <c r="K269" t="n">
        <v>0</v>
      </c>
      <c r="L269" t="n">
        <v>0</v>
      </c>
      <c r="M269" t="n">
        <v>0</v>
      </c>
      <c r="N269" t="n">
        <v>0</v>
      </c>
      <c r="O269" t="n">
        <v>0</v>
      </c>
      <c r="P269" t="n">
        <v>0</v>
      </c>
      <c r="Q269" t="n">
        <v>0</v>
      </c>
      <c r="R269" s="2" t="inlineStr"/>
    </row>
    <row r="270" ht="15" customHeight="1">
      <c r="A270" t="inlineStr">
        <is>
          <t>A 35142-2025</t>
        </is>
      </c>
      <c r="B270" s="1" t="n">
        <v>45852.65532407408</v>
      </c>
      <c r="C270" s="1" t="n">
        <v>45982</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23856-2025</t>
        </is>
      </c>
      <c r="B271" s="1" t="n">
        <v>45793</v>
      </c>
      <c r="C271" s="1" t="n">
        <v>45982</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23473-2025</t>
        </is>
      </c>
      <c r="B272" s="1" t="n">
        <v>45792</v>
      </c>
      <c r="C272" s="1" t="n">
        <v>45982</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45982</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45982</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51782-2023</t>
        </is>
      </c>
      <c r="B275" s="1" t="n">
        <v>45222.80952546297</v>
      </c>
      <c r="C275" s="1" t="n">
        <v>45982</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15073-2025</t>
        </is>
      </c>
      <c r="B276" s="1" t="n">
        <v>45743</v>
      </c>
      <c r="C276" s="1" t="n">
        <v>45982</v>
      </c>
      <c r="D276" t="inlineStr">
        <is>
          <t>GOTLANDS LÄN</t>
        </is>
      </c>
      <c r="E276" t="inlineStr">
        <is>
          <t>GOTLAND</t>
        </is>
      </c>
      <c r="G276" t="n">
        <v>12.1</v>
      </c>
      <c r="H276" t="n">
        <v>0</v>
      </c>
      <c r="I276" t="n">
        <v>0</v>
      </c>
      <c r="J276" t="n">
        <v>0</v>
      </c>
      <c r="K276" t="n">
        <v>0</v>
      </c>
      <c r="L276" t="n">
        <v>0</v>
      </c>
      <c r="M276" t="n">
        <v>0</v>
      </c>
      <c r="N276" t="n">
        <v>0</v>
      </c>
      <c r="O276" t="n">
        <v>0</v>
      </c>
      <c r="P276" t="n">
        <v>0</v>
      </c>
      <c r="Q276" t="n">
        <v>0</v>
      </c>
      <c r="R276" s="2" t="inlineStr"/>
    </row>
    <row r="277" ht="15" customHeight="1">
      <c r="A277" t="inlineStr">
        <is>
          <t>A 60675-2021</t>
        </is>
      </c>
      <c r="B277" s="1" t="n">
        <v>44496.64855324074</v>
      </c>
      <c r="C277" s="1" t="n">
        <v>45982</v>
      </c>
      <c r="D277" t="inlineStr">
        <is>
          <t>GOTLANDS LÄN</t>
        </is>
      </c>
      <c r="E277" t="inlineStr">
        <is>
          <t>GOTLAND</t>
        </is>
      </c>
      <c r="G277" t="n">
        <v>4.6</v>
      </c>
      <c r="H277" t="n">
        <v>0</v>
      </c>
      <c r="I277" t="n">
        <v>0</v>
      </c>
      <c r="J277" t="n">
        <v>0</v>
      </c>
      <c r="K277" t="n">
        <v>0</v>
      </c>
      <c r="L277" t="n">
        <v>0</v>
      </c>
      <c r="M277" t="n">
        <v>0</v>
      </c>
      <c r="N277" t="n">
        <v>0</v>
      </c>
      <c r="O277" t="n">
        <v>0</v>
      </c>
      <c r="P277" t="n">
        <v>0</v>
      </c>
      <c r="Q277" t="n">
        <v>0</v>
      </c>
      <c r="R277" s="2" t="inlineStr"/>
    </row>
    <row r="278" ht="15" customHeight="1">
      <c r="A278" t="inlineStr">
        <is>
          <t>A 5217-2023</t>
        </is>
      </c>
      <c r="B278" s="1" t="n">
        <v>44959.39582175926</v>
      </c>
      <c r="C278" s="1" t="n">
        <v>45982</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14638-2025</t>
        </is>
      </c>
      <c r="B279" s="1" t="n">
        <v>45742</v>
      </c>
      <c r="C279" s="1" t="n">
        <v>45982</v>
      </c>
      <c r="D279" t="inlineStr">
        <is>
          <t>GOTLANDS LÄN</t>
        </is>
      </c>
      <c r="E279" t="inlineStr">
        <is>
          <t>GOTLAND</t>
        </is>
      </c>
      <c r="G279" t="n">
        <v>13.4</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45982</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45982</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4421-2024</t>
        </is>
      </c>
      <c r="B282" s="1" t="n">
        <v>45327.45173611111</v>
      </c>
      <c r="C282" s="1" t="n">
        <v>45982</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5462-2025</t>
        </is>
      </c>
      <c r="B283" s="1" t="n">
        <v>45693.29331018519</v>
      </c>
      <c r="C283" s="1" t="n">
        <v>45982</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39814-2025</t>
        </is>
      </c>
      <c r="B284" s="1" t="n">
        <v>45891.52694444444</v>
      </c>
      <c r="C284" s="1" t="n">
        <v>45982</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45982</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39752-2025</t>
        </is>
      </c>
      <c r="B286" s="1" t="n">
        <v>45891</v>
      </c>
      <c r="C286" s="1" t="n">
        <v>45982</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39816-2025</t>
        </is>
      </c>
      <c r="B287" s="1" t="n">
        <v>45891</v>
      </c>
      <c r="C287" s="1" t="n">
        <v>45982</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20165-2022</t>
        </is>
      </c>
      <c r="B288" s="1" t="n">
        <v>44698.49854166667</v>
      </c>
      <c r="C288" s="1" t="n">
        <v>45982</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45982</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40373-2025</t>
        </is>
      </c>
      <c r="B290" s="1" t="n">
        <v>45895.51821759259</v>
      </c>
      <c r="C290" s="1" t="n">
        <v>45982</v>
      </c>
      <c r="D290" t="inlineStr">
        <is>
          <t>GOTLANDS LÄN</t>
        </is>
      </c>
      <c r="E290" t="inlineStr">
        <is>
          <t>GOTLAND</t>
        </is>
      </c>
      <c r="G290" t="n">
        <v>0.6</v>
      </c>
      <c r="H290" t="n">
        <v>0</v>
      </c>
      <c r="I290" t="n">
        <v>0</v>
      </c>
      <c r="J290" t="n">
        <v>0</v>
      </c>
      <c r="K290" t="n">
        <v>0</v>
      </c>
      <c r="L290" t="n">
        <v>0</v>
      </c>
      <c r="M290" t="n">
        <v>0</v>
      </c>
      <c r="N290" t="n">
        <v>0</v>
      </c>
      <c r="O290" t="n">
        <v>0</v>
      </c>
      <c r="P290" t="n">
        <v>0</v>
      </c>
      <c r="Q290" t="n">
        <v>0</v>
      </c>
      <c r="R290" s="2" t="inlineStr"/>
    </row>
    <row r="291" ht="15" customHeight="1">
      <c r="A291" t="inlineStr">
        <is>
          <t>A 31264-2021</t>
        </is>
      </c>
      <c r="B291" s="1" t="n">
        <v>44368</v>
      </c>
      <c r="C291" s="1" t="n">
        <v>45982</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40103-2025</t>
        </is>
      </c>
      <c r="B292" s="1" t="n">
        <v>45894.4880324074</v>
      </c>
      <c r="C292" s="1" t="n">
        <v>45982</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38649-2025</t>
        </is>
      </c>
      <c r="B293" s="1" t="n">
        <v>45884</v>
      </c>
      <c r="C293" s="1" t="n">
        <v>45982</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33876-2024</t>
        </is>
      </c>
      <c r="B294" s="1" t="n">
        <v>45521.87988425926</v>
      </c>
      <c r="C294" s="1" t="n">
        <v>45982</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43223-2023</t>
        </is>
      </c>
      <c r="B295" s="1" t="n">
        <v>45183.45642361111</v>
      </c>
      <c r="C295" s="1" t="n">
        <v>45982</v>
      </c>
      <c r="D295" t="inlineStr">
        <is>
          <t>GOTLANDS LÄN</t>
        </is>
      </c>
      <c r="E295" t="inlineStr">
        <is>
          <t>GOTLAND</t>
        </is>
      </c>
      <c r="G295" t="n">
        <v>1.8</v>
      </c>
      <c r="H295" t="n">
        <v>0</v>
      </c>
      <c r="I295" t="n">
        <v>0</v>
      </c>
      <c r="J295" t="n">
        <v>0</v>
      </c>
      <c r="K295" t="n">
        <v>0</v>
      </c>
      <c r="L295" t="n">
        <v>0</v>
      </c>
      <c r="M295" t="n">
        <v>0</v>
      </c>
      <c r="N295" t="n">
        <v>0</v>
      </c>
      <c r="O295" t="n">
        <v>0</v>
      </c>
      <c r="P295" t="n">
        <v>0</v>
      </c>
      <c r="Q295" t="n">
        <v>0</v>
      </c>
      <c r="R295" s="2" t="inlineStr"/>
    </row>
    <row r="296" ht="15" customHeight="1">
      <c r="A296" t="inlineStr">
        <is>
          <t>A 40499-2025</t>
        </is>
      </c>
      <c r="B296" s="1" t="n">
        <v>45896.32517361111</v>
      </c>
      <c r="C296" s="1" t="n">
        <v>45982</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45982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49724-2025</t>
        </is>
      </c>
      <c r="B298" s="1" t="n">
        <v>45939.83730324074</v>
      </c>
      <c r="C298" s="1" t="n">
        <v>45982</v>
      </c>
      <c r="D298" t="inlineStr">
        <is>
          <t>GOTLANDS LÄN</t>
        </is>
      </c>
      <c r="E298" t="inlineStr">
        <is>
          <t>GOTLAND</t>
        </is>
      </c>
      <c r="F298" t="inlineStr">
        <is>
          <t>Kyrkan</t>
        </is>
      </c>
      <c r="G298" t="n">
        <v>3.1</v>
      </c>
      <c r="H298" t="n">
        <v>0</v>
      </c>
      <c r="I298" t="n">
        <v>0</v>
      </c>
      <c r="J298" t="n">
        <v>0</v>
      </c>
      <c r="K298" t="n">
        <v>0</v>
      </c>
      <c r="L298" t="n">
        <v>0</v>
      </c>
      <c r="M298" t="n">
        <v>0</v>
      </c>
      <c r="N298" t="n">
        <v>0</v>
      </c>
      <c r="O298" t="n">
        <v>0</v>
      </c>
      <c r="P298" t="n">
        <v>0</v>
      </c>
      <c r="Q298" t="n">
        <v>0</v>
      </c>
      <c r="R298" s="2" t="inlineStr"/>
    </row>
    <row r="299" ht="15" customHeight="1">
      <c r="A299" t="inlineStr">
        <is>
          <t>A 49730-2025</t>
        </is>
      </c>
      <c r="B299" s="1" t="n">
        <v>45939.87613425926</v>
      </c>
      <c r="C299" s="1" t="n">
        <v>45982</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27930-2021</t>
        </is>
      </c>
      <c r="B300" s="1" t="n">
        <v>44354</v>
      </c>
      <c r="C300" s="1" t="n">
        <v>45982</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59469-2024</t>
        </is>
      </c>
      <c r="B301" s="1" t="n">
        <v>45638</v>
      </c>
      <c r="C301" s="1" t="n">
        <v>45982</v>
      </c>
      <c r="D301" t="inlineStr">
        <is>
          <t>GOTLANDS LÄN</t>
        </is>
      </c>
      <c r="E301" t="inlineStr">
        <is>
          <t>GOTLAND</t>
        </is>
      </c>
      <c r="G301" t="n">
        <v>0.4</v>
      </c>
      <c r="H301" t="n">
        <v>0</v>
      </c>
      <c r="I301" t="n">
        <v>0</v>
      </c>
      <c r="J301" t="n">
        <v>0</v>
      </c>
      <c r="K301" t="n">
        <v>0</v>
      </c>
      <c r="L301" t="n">
        <v>0</v>
      </c>
      <c r="M301" t="n">
        <v>0</v>
      </c>
      <c r="N301" t="n">
        <v>0</v>
      </c>
      <c r="O301" t="n">
        <v>0</v>
      </c>
      <c r="P301" t="n">
        <v>0</v>
      </c>
      <c r="Q301" t="n">
        <v>0</v>
      </c>
      <c r="R301" s="2" t="inlineStr"/>
    </row>
    <row r="302" ht="15" customHeight="1">
      <c r="A302" t="inlineStr">
        <is>
          <t>A 25796-2025</t>
        </is>
      </c>
      <c r="B302" s="1" t="n">
        <v>45804.39543981481</v>
      </c>
      <c r="C302" s="1" t="n">
        <v>45982</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45982</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5751-2024</t>
        </is>
      </c>
      <c r="B304" s="1" t="n">
        <v>45335.32702546296</v>
      </c>
      <c r="C304" s="1" t="n">
        <v>45982</v>
      </c>
      <c r="D304" t="inlineStr">
        <is>
          <t>GOTLANDS LÄN</t>
        </is>
      </c>
      <c r="E304" t="inlineStr">
        <is>
          <t>GOTLAND</t>
        </is>
      </c>
      <c r="G304" t="n">
        <v>4.2</v>
      </c>
      <c r="H304" t="n">
        <v>0</v>
      </c>
      <c r="I304" t="n">
        <v>0</v>
      </c>
      <c r="J304" t="n">
        <v>0</v>
      </c>
      <c r="K304" t="n">
        <v>0</v>
      </c>
      <c r="L304" t="n">
        <v>0</v>
      </c>
      <c r="M304" t="n">
        <v>0</v>
      </c>
      <c r="N304" t="n">
        <v>0</v>
      </c>
      <c r="O304" t="n">
        <v>0</v>
      </c>
      <c r="P304" t="n">
        <v>0</v>
      </c>
      <c r="Q304" t="n">
        <v>0</v>
      </c>
      <c r="R304" s="2" t="inlineStr"/>
    </row>
    <row r="305" ht="15" customHeight="1">
      <c r="A305" t="inlineStr">
        <is>
          <t>A 6696-2023</t>
        </is>
      </c>
      <c r="B305" s="1" t="n">
        <v>44966.66425925926</v>
      </c>
      <c r="C305" s="1" t="n">
        <v>45982</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39278-2025</t>
        </is>
      </c>
      <c r="B306" s="1" t="n">
        <v>45889</v>
      </c>
      <c r="C306" s="1" t="n">
        <v>45982</v>
      </c>
      <c r="D306" t="inlineStr">
        <is>
          <t>GOTLANDS LÄN</t>
        </is>
      </c>
      <c r="E306" t="inlineStr">
        <is>
          <t>GOTLAND</t>
        </is>
      </c>
      <c r="G306" t="n">
        <v>3.7</v>
      </c>
      <c r="H306" t="n">
        <v>0</v>
      </c>
      <c r="I306" t="n">
        <v>0</v>
      </c>
      <c r="J306" t="n">
        <v>0</v>
      </c>
      <c r="K306" t="n">
        <v>0</v>
      </c>
      <c r="L306" t="n">
        <v>0</v>
      </c>
      <c r="M306" t="n">
        <v>0</v>
      </c>
      <c r="N306" t="n">
        <v>0</v>
      </c>
      <c r="O306" t="n">
        <v>0</v>
      </c>
      <c r="P306" t="n">
        <v>0</v>
      </c>
      <c r="Q306" t="n">
        <v>0</v>
      </c>
      <c r="R306" s="2" t="inlineStr"/>
    </row>
    <row r="307" ht="15" customHeight="1">
      <c r="A307" t="inlineStr">
        <is>
          <t>A 28480-2023</t>
        </is>
      </c>
      <c r="B307" s="1" t="n">
        <v>45103</v>
      </c>
      <c r="C307" s="1" t="n">
        <v>45982</v>
      </c>
      <c r="D307" t="inlineStr">
        <is>
          <t>GOTLANDS LÄN</t>
        </is>
      </c>
      <c r="E307" t="inlineStr">
        <is>
          <t>GOTLAND</t>
        </is>
      </c>
      <c r="G307" t="n">
        <v>5.7</v>
      </c>
      <c r="H307" t="n">
        <v>0</v>
      </c>
      <c r="I307" t="n">
        <v>0</v>
      </c>
      <c r="J307" t="n">
        <v>0</v>
      </c>
      <c r="K307" t="n">
        <v>0</v>
      </c>
      <c r="L307" t="n">
        <v>0</v>
      </c>
      <c r="M307" t="n">
        <v>0</v>
      </c>
      <c r="N307" t="n">
        <v>0</v>
      </c>
      <c r="O307" t="n">
        <v>0</v>
      </c>
      <c r="P307" t="n">
        <v>0</v>
      </c>
      <c r="Q307" t="n">
        <v>0</v>
      </c>
      <c r="R307" s="2" t="inlineStr"/>
    </row>
    <row r="308" ht="15" customHeight="1">
      <c r="A308" t="inlineStr">
        <is>
          <t>A 28485-2023</t>
        </is>
      </c>
      <c r="B308" s="1" t="n">
        <v>45103.43731481482</v>
      </c>
      <c r="C308" s="1" t="n">
        <v>45982</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4990-2025</t>
        </is>
      </c>
      <c r="B309" s="1" t="n">
        <v>45691</v>
      </c>
      <c r="C309" s="1" t="n">
        <v>45982</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26465-2025</t>
        </is>
      </c>
      <c r="B310" s="1" t="n">
        <v>45807.44377314814</v>
      </c>
      <c r="C310" s="1" t="n">
        <v>45982</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26457-2025</t>
        </is>
      </c>
      <c r="B311" s="1" t="n">
        <v>45807.42773148148</v>
      </c>
      <c r="C311" s="1" t="n">
        <v>45982</v>
      </c>
      <c r="D311" t="inlineStr">
        <is>
          <t>GOTLANDS LÄN</t>
        </is>
      </c>
      <c r="E311" t="inlineStr">
        <is>
          <t>GOTLAND</t>
        </is>
      </c>
      <c r="G311" t="n">
        <v>5.7</v>
      </c>
      <c r="H311" t="n">
        <v>0</v>
      </c>
      <c r="I311" t="n">
        <v>0</v>
      </c>
      <c r="J311" t="n">
        <v>0</v>
      </c>
      <c r="K311" t="n">
        <v>0</v>
      </c>
      <c r="L311" t="n">
        <v>0</v>
      </c>
      <c r="M311" t="n">
        <v>0</v>
      </c>
      <c r="N311" t="n">
        <v>0</v>
      </c>
      <c r="O311" t="n">
        <v>0</v>
      </c>
      <c r="P311" t="n">
        <v>0</v>
      </c>
      <c r="Q311" t="n">
        <v>0</v>
      </c>
      <c r="R311" s="2" t="inlineStr"/>
    </row>
    <row r="312" ht="15" customHeight="1">
      <c r="A312" t="inlineStr">
        <is>
          <t>A 26467-2025</t>
        </is>
      </c>
      <c r="B312" s="1" t="n">
        <v>45807.44640046296</v>
      </c>
      <c r="C312" s="1" t="n">
        <v>45982</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45982</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38165-2023</t>
        </is>
      </c>
      <c r="B314" s="1" t="n">
        <v>45161</v>
      </c>
      <c r="C314" s="1" t="n">
        <v>45982</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50421-2025</t>
        </is>
      </c>
      <c r="B315" s="1" t="n">
        <v>45944.66049768519</v>
      </c>
      <c r="C315" s="1" t="n">
        <v>45982</v>
      </c>
      <c r="D315" t="inlineStr">
        <is>
          <t>GOTLANDS LÄN</t>
        </is>
      </c>
      <c r="E315" t="inlineStr">
        <is>
          <t>GOTLAND</t>
        </is>
      </c>
      <c r="G315" t="n">
        <v>3.9</v>
      </c>
      <c r="H315" t="n">
        <v>0</v>
      </c>
      <c r="I315" t="n">
        <v>0</v>
      </c>
      <c r="J315" t="n">
        <v>0</v>
      </c>
      <c r="K315" t="n">
        <v>0</v>
      </c>
      <c r="L315" t="n">
        <v>0</v>
      </c>
      <c r="M315" t="n">
        <v>0</v>
      </c>
      <c r="N315" t="n">
        <v>0</v>
      </c>
      <c r="O315" t="n">
        <v>0</v>
      </c>
      <c r="P315" t="n">
        <v>0</v>
      </c>
      <c r="Q315" t="n">
        <v>0</v>
      </c>
      <c r="R315" s="2" t="inlineStr"/>
    </row>
    <row r="316" ht="15" customHeight="1">
      <c r="A316" t="inlineStr">
        <is>
          <t>A 26660-2025</t>
        </is>
      </c>
      <c r="B316" s="1" t="n">
        <v>45810.39737268518</v>
      </c>
      <c r="C316" s="1" t="n">
        <v>45982</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50431-2025</t>
        </is>
      </c>
      <c r="B317" s="1" t="n">
        <v>45944.68453703704</v>
      </c>
      <c r="C317" s="1" t="n">
        <v>45982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27355-2025</t>
        </is>
      </c>
      <c r="B318" s="1" t="n">
        <v>45812</v>
      </c>
      <c r="C318" s="1" t="n">
        <v>45982</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27371-2025</t>
        </is>
      </c>
      <c r="B319" s="1" t="n">
        <v>45812</v>
      </c>
      <c r="C319" s="1" t="n">
        <v>45982</v>
      </c>
      <c r="D319" t="inlineStr">
        <is>
          <t>GOTLANDS LÄN</t>
        </is>
      </c>
      <c r="E319" t="inlineStr">
        <is>
          <t>GOTLAND</t>
        </is>
      </c>
      <c r="G319" t="n">
        <v>8</v>
      </c>
      <c r="H319" t="n">
        <v>0</v>
      </c>
      <c r="I319" t="n">
        <v>0</v>
      </c>
      <c r="J319" t="n">
        <v>0</v>
      </c>
      <c r="K319" t="n">
        <v>0</v>
      </c>
      <c r="L319" t="n">
        <v>0</v>
      </c>
      <c r="M319" t="n">
        <v>0</v>
      </c>
      <c r="N319" t="n">
        <v>0</v>
      </c>
      <c r="O319" t="n">
        <v>0</v>
      </c>
      <c r="P319" t="n">
        <v>0</v>
      </c>
      <c r="Q319" t="n">
        <v>0</v>
      </c>
      <c r="R319" s="2" t="inlineStr"/>
    </row>
    <row r="320" ht="15" customHeight="1">
      <c r="A320" t="inlineStr">
        <is>
          <t>A 49693-2023</t>
        </is>
      </c>
      <c r="B320" s="1" t="n">
        <v>45212.38138888889</v>
      </c>
      <c r="C320" s="1" t="n">
        <v>45982</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49697-2023</t>
        </is>
      </c>
      <c r="B321" s="1" t="n">
        <v>45212.38909722222</v>
      </c>
      <c r="C321" s="1" t="n">
        <v>45982</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34312-2024</t>
        </is>
      </c>
      <c r="B322" s="1" t="n">
        <v>45524.69703703704</v>
      </c>
      <c r="C322" s="1" t="n">
        <v>45982</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7850-2025</t>
        </is>
      </c>
      <c r="B323" s="1" t="n">
        <v>45706</v>
      </c>
      <c r="C323" s="1" t="n">
        <v>45982</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45982</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6739-2025</t>
        </is>
      </c>
      <c r="B325" s="1" t="n">
        <v>45700</v>
      </c>
      <c r="C325" s="1" t="n">
        <v>45982</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45982</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42608-2025</t>
        </is>
      </c>
      <c r="B327" s="1" t="n">
        <v>45905</v>
      </c>
      <c r="C327" s="1" t="n">
        <v>45982</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8444-2025</t>
        </is>
      </c>
      <c r="B328" s="1" t="n">
        <v>45709</v>
      </c>
      <c r="C328" s="1" t="n">
        <v>45982</v>
      </c>
      <c r="D328" t="inlineStr">
        <is>
          <t>GOTLANDS LÄN</t>
        </is>
      </c>
      <c r="E328" t="inlineStr">
        <is>
          <t>GOTLAND</t>
        </is>
      </c>
      <c r="G328" t="n">
        <v>5.2</v>
      </c>
      <c r="H328" t="n">
        <v>0</v>
      </c>
      <c r="I328" t="n">
        <v>0</v>
      </c>
      <c r="J328" t="n">
        <v>0</v>
      </c>
      <c r="K328" t="n">
        <v>0</v>
      </c>
      <c r="L328" t="n">
        <v>0</v>
      </c>
      <c r="M328" t="n">
        <v>0</v>
      </c>
      <c r="N328" t="n">
        <v>0</v>
      </c>
      <c r="O328" t="n">
        <v>0</v>
      </c>
      <c r="P328" t="n">
        <v>0</v>
      </c>
      <c r="Q328" t="n">
        <v>0</v>
      </c>
      <c r="R328" s="2" t="inlineStr"/>
    </row>
    <row r="329" ht="15" customHeight="1">
      <c r="A329" t="inlineStr">
        <is>
          <t>A 19905-2025</t>
        </is>
      </c>
      <c r="B329" s="1" t="n">
        <v>45771</v>
      </c>
      <c r="C329" s="1" t="n">
        <v>45982</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24825-2024</t>
        </is>
      </c>
      <c r="B330" s="1" t="n">
        <v>45461</v>
      </c>
      <c r="C330" s="1" t="n">
        <v>45982</v>
      </c>
      <c r="D330" t="inlineStr">
        <is>
          <t>GOTLANDS LÄN</t>
        </is>
      </c>
      <c r="E330" t="inlineStr">
        <is>
          <t>GOTLAND</t>
        </is>
      </c>
      <c r="G330" t="n">
        <v>1.3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45982</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51262-2025</t>
        </is>
      </c>
      <c r="B332" s="1" t="n">
        <v>45949.49872685185</v>
      </c>
      <c r="C332" s="1" t="n">
        <v>45982</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45443.60075231481</v>
      </c>
      <c r="C333" s="1" t="n">
        <v>45982</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45418.43575231481</v>
      </c>
      <c r="C334" s="1" t="n">
        <v>45982</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29207-2025</t>
        </is>
      </c>
      <c r="B335" s="1" t="n">
        <v>45823</v>
      </c>
      <c r="C335" s="1" t="n">
        <v>45982</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29196-2025</t>
        </is>
      </c>
      <c r="B336" s="1" t="n">
        <v>45822</v>
      </c>
      <c r="C336" s="1" t="n">
        <v>45982</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27694-2024</t>
        </is>
      </c>
      <c r="B337" s="1" t="n">
        <v>45475</v>
      </c>
      <c r="C337" s="1" t="n">
        <v>45982</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39764-2022</t>
        </is>
      </c>
      <c r="B338" s="1" t="n">
        <v>44819</v>
      </c>
      <c r="C338" s="1" t="n">
        <v>45982</v>
      </c>
      <c r="D338" t="inlineStr">
        <is>
          <t>GOTLANDS LÄN</t>
        </is>
      </c>
      <c r="E338" t="inlineStr">
        <is>
          <t>GOTLAND</t>
        </is>
      </c>
      <c r="F338" t="inlineStr">
        <is>
          <t>Kyrkan</t>
        </is>
      </c>
      <c r="G338" t="n">
        <v>3.7</v>
      </c>
      <c r="H338" t="n">
        <v>0</v>
      </c>
      <c r="I338" t="n">
        <v>0</v>
      </c>
      <c r="J338" t="n">
        <v>0</v>
      </c>
      <c r="K338" t="n">
        <v>0</v>
      </c>
      <c r="L338" t="n">
        <v>0</v>
      </c>
      <c r="M338" t="n">
        <v>0</v>
      </c>
      <c r="N338" t="n">
        <v>0</v>
      </c>
      <c r="O338" t="n">
        <v>0</v>
      </c>
      <c r="P338" t="n">
        <v>0</v>
      </c>
      <c r="Q338" t="n">
        <v>0</v>
      </c>
      <c r="R338" s="2" t="inlineStr"/>
    </row>
    <row r="339" ht="15" customHeight="1">
      <c r="A339" t="inlineStr">
        <is>
          <t>A 6099-2024</t>
        </is>
      </c>
      <c r="B339" s="1" t="n">
        <v>45337</v>
      </c>
      <c r="C339" s="1" t="n">
        <v>45982</v>
      </c>
      <c r="D339" t="inlineStr">
        <is>
          <t>GOTLANDS LÄN</t>
        </is>
      </c>
      <c r="E339" t="inlineStr">
        <is>
          <t>GOTLAND</t>
        </is>
      </c>
      <c r="G339" t="n">
        <v>12.6</v>
      </c>
      <c r="H339" t="n">
        <v>0</v>
      </c>
      <c r="I339" t="n">
        <v>0</v>
      </c>
      <c r="J339" t="n">
        <v>0</v>
      </c>
      <c r="K339" t="n">
        <v>0</v>
      </c>
      <c r="L339" t="n">
        <v>0</v>
      </c>
      <c r="M339" t="n">
        <v>0</v>
      </c>
      <c r="N339" t="n">
        <v>0</v>
      </c>
      <c r="O339" t="n">
        <v>0</v>
      </c>
      <c r="P339" t="n">
        <v>0</v>
      </c>
      <c r="Q339" t="n">
        <v>0</v>
      </c>
      <c r="R339" s="2" t="inlineStr"/>
    </row>
    <row r="340" ht="15" customHeight="1">
      <c r="A340" t="inlineStr">
        <is>
          <t>A 8260-2023</t>
        </is>
      </c>
      <c r="B340" s="1" t="n">
        <v>44974.61608796296</v>
      </c>
      <c r="C340" s="1" t="n">
        <v>45982</v>
      </c>
      <c r="D340" t="inlineStr">
        <is>
          <t>GOTLANDS LÄN</t>
        </is>
      </c>
      <c r="E340" t="inlineStr">
        <is>
          <t>GOTLAND</t>
        </is>
      </c>
      <c r="G340" t="n">
        <v>2.9</v>
      </c>
      <c r="H340" t="n">
        <v>0</v>
      </c>
      <c r="I340" t="n">
        <v>0</v>
      </c>
      <c r="J340" t="n">
        <v>0</v>
      </c>
      <c r="K340" t="n">
        <v>0</v>
      </c>
      <c r="L340" t="n">
        <v>0</v>
      </c>
      <c r="M340" t="n">
        <v>0</v>
      </c>
      <c r="N340" t="n">
        <v>0</v>
      </c>
      <c r="O340" t="n">
        <v>0</v>
      </c>
      <c r="P340" t="n">
        <v>0</v>
      </c>
      <c r="Q340" t="n">
        <v>0</v>
      </c>
      <c r="R340" s="2" t="inlineStr"/>
    </row>
    <row r="341" ht="15" customHeight="1">
      <c r="A341" t="inlineStr">
        <is>
          <t>A 30061-2025</t>
        </is>
      </c>
      <c r="B341" s="1" t="n">
        <v>45826.61488425926</v>
      </c>
      <c r="C341" s="1" t="n">
        <v>45982</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22287-2022</t>
        </is>
      </c>
      <c r="B342" s="1" t="n">
        <v>44712</v>
      </c>
      <c r="C342" s="1" t="n">
        <v>45982</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57534-2022</t>
        </is>
      </c>
      <c r="B343" s="1" t="n">
        <v>44896</v>
      </c>
      <c r="C343" s="1" t="n">
        <v>45982</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10158-2025</t>
        </is>
      </c>
      <c r="B344" s="1" t="n">
        <v>45719</v>
      </c>
      <c r="C344" s="1" t="n">
        <v>45982</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52249-2025</t>
        </is>
      </c>
      <c r="B345" s="1" t="n">
        <v>45953.48637731482</v>
      </c>
      <c r="C345" s="1" t="n">
        <v>45982</v>
      </c>
      <c r="D345" t="inlineStr">
        <is>
          <t>GOTLANDS LÄN</t>
        </is>
      </c>
      <c r="E345" t="inlineStr">
        <is>
          <t>GOTLAND</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58160-2024</t>
        </is>
      </c>
      <c r="B346" s="1" t="n">
        <v>45632.44927083333</v>
      </c>
      <c r="C346" s="1" t="n">
        <v>45982</v>
      </c>
      <c r="D346" t="inlineStr">
        <is>
          <t>GOTLANDS LÄN</t>
        </is>
      </c>
      <c r="E346" t="inlineStr">
        <is>
          <t>GOTLAND</t>
        </is>
      </c>
      <c r="G346" t="n">
        <v>5.6</v>
      </c>
      <c r="H346" t="n">
        <v>0</v>
      </c>
      <c r="I346" t="n">
        <v>0</v>
      </c>
      <c r="J346" t="n">
        <v>0</v>
      </c>
      <c r="K346" t="n">
        <v>0</v>
      </c>
      <c r="L346" t="n">
        <v>0</v>
      </c>
      <c r="M346" t="n">
        <v>0</v>
      </c>
      <c r="N346" t="n">
        <v>0</v>
      </c>
      <c r="O346" t="n">
        <v>0</v>
      </c>
      <c r="P346" t="n">
        <v>0</v>
      </c>
      <c r="Q346" t="n">
        <v>0</v>
      </c>
      <c r="R346" s="2" t="inlineStr"/>
    </row>
    <row r="347" ht="15" customHeight="1">
      <c r="A347" t="inlineStr">
        <is>
          <t>A 43911-2025</t>
        </is>
      </c>
      <c r="B347" s="1" t="n">
        <v>45914.3881712963</v>
      </c>
      <c r="C347" s="1" t="n">
        <v>45982</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64660-2023</t>
        </is>
      </c>
      <c r="B348" s="1" t="n">
        <v>45281.60122685185</v>
      </c>
      <c r="C348" s="1" t="n">
        <v>45982</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45982</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52637-2025</t>
        </is>
      </c>
      <c r="B350" s="1" t="n">
        <v>45954.75099537037</v>
      </c>
      <c r="C350" s="1" t="n">
        <v>45982</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45982</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45982</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44410-2025</t>
        </is>
      </c>
      <c r="B353" s="1" t="n">
        <v>45916.53699074074</v>
      </c>
      <c r="C353" s="1" t="n">
        <v>45982</v>
      </c>
      <c r="D353" t="inlineStr">
        <is>
          <t>GOTLANDS LÄN</t>
        </is>
      </c>
      <c r="E353" t="inlineStr">
        <is>
          <t>GOTLAND</t>
        </is>
      </c>
      <c r="G353" t="n">
        <v>2.3</v>
      </c>
      <c r="H353" t="n">
        <v>0</v>
      </c>
      <c r="I353" t="n">
        <v>0</v>
      </c>
      <c r="J353" t="n">
        <v>0</v>
      </c>
      <c r="K353" t="n">
        <v>0</v>
      </c>
      <c r="L353" t="n">
        <v>0</v>
      </c>
      <c r="M353" t="n">
        <v>0</v>
      </c>
      <c r="N353" t="n">
        <v>0</v>
      </c>
      <c r="O353" t="n">
        <v>0</v>
      </c>
      <c r="P353" t="n">
        <v>0</v>
      </c>
      <c r="Q353" t="n">
        <v>0</v>
      </c>
      <c r="R353" s="2" t="inlineStr"/>
    </row>
    <row r="354" ht="15" customHeight="1">
      <c r="A354" t="inlineStr">
        <is>
          <t>A 20855-2023</t>
        </is>
      </c>
      <c r="B354" s="1" t="n">
        <v>45058.82172453704</v>
      </c>
      <c r="C354" s="1" t="n">
        <v>45982</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45982</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44405-2025</t>
        </is>
      </c>
      <c r="B356" s="1" t="n">
        <v>45916.52405092592</v>
      </c>
      <c r="C356" s="1" t="n">
        <v>45982</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60709-2023</t>
        </is>
      </c>
      <c r="B357" s="1" t="n">
        <v>45260</v>
      </c>
      <c r="C357" s="1" t="n">
        <v>45982</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45982</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1000-2024</t>
        </is>
      </c>
      <c r="B359" s="1" t="n">
        <v>45301.63371527778</v>
      </c>
      <c r="C359" s="1" t="n">
        <v>45982</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1010-2024</t>
        </is>
      </c>
      <c r="B360" s="1" t="n">
        <v>45301</v>
      </c>
      <c r="C360" s="1" t="n">
        <v>45982</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65249-2023</t>
        </is>
      </c>
      <c r="B361" s="1" t="n">
        <v>45290</v>
      </c>
      <c r="C361" s="1" t="n">
        <v>45982</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53587-2025</t>
        </is>
      </c>
      <c r="B362" s="1" t="n">
        <v>45960.43681712963</v>
      </c>
      <c r="C362" s="1" t="n">
        <v>45982</v>
      </c>
      <c r="D362" t="inlineStr">
        <is>
          <t>GOTLANDS LÄN</t>
        </is>
      </c>
      <c r="E362" t="inlineStr">
        <is>
          <t>GOTLAND</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30956-2024</t>
        </is>
      </c>
      <c r="B363" s="1" t="n">
        <v>45499.42527777778</v>
      </c>
      <c r="C363" s="1" t="n">
        <v>45982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12596-2023</t>
        </is>
      </c>
      <c r="B364" s="1" t="n">
        <v>45000.43310185185</v>
      </c>
      <c r="C364" s="1" t="n">
        <v>45982</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8045-2022</t>
        </is>
      </c>
      <c r="B365" s="1" t="n">
        <v>44609</v>
      </c>
      <c r="C365" s="1" t="n">
        <v>45982</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53561-2025</t>
        </is>
      </c>
      <c r="B366" s="1" t="n">
        <v>45960.4059375</v>
      </c>
      <c r="C366" s="1" t="n">
        <v>45982</v>
      </c>
      <c r="D366" t="inlineStr">
        <is>
          <t>GOTLANDS LÄN</t>
        </is>
      </c>
      <c r="E366" t="inlineStr">
        <is>
          <t>GOTLAND</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53569-2025</t>
        </is>
      </c>
      <c r="B367" s="1" t="n">
        <v>45960.41155092593</v>
      </c>
      <c r="C367" s="1" t="n">
        <v>45982</v>
      </c>
      <c r="D367" t="inlineStr">
        <is>
          <t>GOTLANDS LÄN</t>
        </is>
      </c>
      <c r="E367" t="inlineStr">
        <is>
          <t>GOTLAND</t>
        </is>
      </c>
      <c r="F367" t="inlineStr">
        <is>
          <t>Övriga Aktiebolag</t>
        </is>
      </c>
      <c r="G367" t="n">
        <v>11.3</v>
      </c>
      <c r="H367" t="n">
        <v>0</v>
      </c>
      <c r="I367" t="n">
        <v>0</v>
      </c>
      <c r="J367" t="n">
        <v>0</v>
      </c>
      <c r="K367" t="n">
        <v>0</v>
      </c>
      <c r="L367" t="n">
        <v>0</v>
      </c>
      <c r="M367" t="n">
        <v>0</v>
      </c>
      <c r="N367" t="n">
        <v>0</v>
      </c>
      <c r="O367" t="n">
        <v>0</v>
      </c>
      <c r="P367" t="n">
        <v>0</v>
      </c>
      <c r="Q367" t="n">
        <v>0</v>
      </c>
      <c r="R367" s="2" t="inlineStr"/>
    </row>
    <row r="368" ht="15" customHeight="1">
      <c r="A368" t="inlineStr">
        <is>
          <t>A 53577-2025</t>
        </is>
      </c>
      <c r="B368" s="1" t="n">
        <v>45960.42224537037</v>
      </c>
      <c r="C368" s="1" t="n">
        <v>45982</v>
      </c>
      <c r="D368" t="inlineStr">
        <is>
          <t>GOTLANDS LÄN</t>
        </is>
      </c>
      <c r="E368" t="inlineStr">
        <is>
          <t>GOTLAND</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15413-2025</t>
        </is>
      </c>
      <c r="B369" s="1" t="n">
        <v>45747.451875</v>
      </c>
      <c r="C369" s="1" t="n">
        <v>45982</v>
      </c>
      <c r="D369" t="inlineStr">
        <is>
          <t>GOTLANDS LÄN</t>
        </is>
      </c>
      <c r="E369" t="inlineStr">
        <is>
          <t>GOTLAND</t>
        </is>
      </c>
      <c r="G369" t="n">
        <v>0.6</v>
      </c>
      <c r="H369" t="n">
        <v>0</v>
      </c>
      <c r="I369" t="n">
        <v>0</v>
      </c>
      <c r="J369" t="n">
        <v>0</v>
      </c>
      <c r="K369" t="n">
        <v>0</v>
      </c>
      <c r="L369" t="n">
        <v>0</v>
      </c>
      <c r="M369" t="n">
        <v>0</v>
      </c>
      <c r="N369" t="n">
        <v>0</v>
      </c>
      <c r="O369" t="n">
        <v>0</v>
      </c>
      <c r="P369" t="n">
        <v>0</v>
      </c>
      <c r="Q369" t="n">
        <v>0</v>
      </c>
      <c r="R369" s="2" t="inlineStr"/>
    </row>
    <row r="370" ht="15" customHeight="1">
      <c r="A370" t="inlineStr">
        <is>
          <t>A 999-2024</t>
        </is>
      </c>
      <c r="B370" s="1" t="n">
        <v>45301</v>
      </c>
      <c r="C370" s="1" t="n">
        <v>45982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65901-2021</t>
        </is>
      </c>
      <c r="B371" s="1" t="n">
        <v>44516</v>
      </c>
      <c r="C371" s="1" t="n">
        <v>45982</v>
      </c>
      <c r="D371" t="inlineStr">
        <is>
          <t>GOTLANDS LÄN</t>
        </is>
      </c>
      <c r="E371" t="inlineStr">
        <is>
          <t>GOTLAND</t>
        </is>
      </c>
      <c r="G371" t="n">
        <v>4.9</v>
      </c>
      <c r="H371" t="n">
        <v>0</v>
      </c>
      <c r="I371" t="n">
        <v>0</v>
      </c>
      <c r="J371" t="n">
        <v>0</v>
      </c>
      <c r="K371" t="n">
        <v>0</v>
      </c>
      <c r="L371" t="n">
        <v>0</v>
      </c>
      <c r="M371" t="n">
        <v>0</v>
      </c>
      <c r="N371" t="n">
        <v>0</v>
      </c>
      <c r="O371" t="n">
        <v>0</v>
      </c>
      <c r="P371" t="n">
        <v>0</v>
      </c>
      <c r="Q371" t="n">
        <v>0</v>
      </c>
      <c r="R371" s="2" t="inlineStr"/>
    </row>
    <row r="372" ht="15" customHeight="1">
      <c r="A372" t="inlineStr">
        <is>
          <t>A 35096-2025</t>
        </is>
      </c>
      <c r="B372" s="1" t="n">
        <v>45852.54356481481</v>
      </c>
      <c r="C372" s="1" t="n">
        <v>45982</v>
      </c>
      <c r="D372" t="inlineStr">
        <is>
          <t>GOTLANDS LÄN</t>
        </is>
      </c>
      <c r="E372" t="inlineStr">
        <is>
          <t>GOTLAND</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47762-2023</t>
        </is>
      </c>
      <c r="B373" s="1" t="n">
        <v>45203.86256944444</v>
      </c>
      <c r="C373" s="1" t="n">
        <v>45982</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54584-2025</t>
        </is>
      </c>
      <c r="B375" s="1" t="n">
        <v>45965.71788194445</v>
      </c>
      <c r="C375" s="1" t="n">
        <v>45982</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40294-2022</t>
        </is>
      </c>
      <c r="B376" s="1" t="n">
        <v>44821</v>
      </c>
      <c r="C376" s="1" t="n">
        <v>45982</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27602-2023</t>
        </is>
      </c>
      <c r="B377" s="1" t="n">
        <v>45097</v>
      </c>
      <c r="C377" s="1" t="n">
        <v>45982</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58780-2024</t>
        </is>
      </c>
      <c r="B378" s="1" t="n">
        <v>45635.84113425926</v>
      </c>
      <c r="C378" s="1" t="n">
        <v>45982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12322-2025</t>
        </is>
      </c>
      <c r="B379" s="1" t="n">
        <v>45730</v>
      </c>
      <c r="C379" s="1" t="n">
        <v>45982</v>
      </c>
      <c r="D379" t="inlineStr">
        <is>
          <t>GOTLANDS LÄN</t>
        </is>
      </c>
      <c r="E379" t="inlineStr">
        <is>
          <t>GOTLAND</t>
        </is>
      </c>
      <c r="G379" t="n">
        <v>1.4</v>
      </c>
      <c r="H379" t="n">
        <v>0</v>
      </c>
      <c r="I379" t="n">
        <v>0</v>
      </c>
      <c r="J379" t="n">
        <v>0</v>
      </c>
      <c r="K379" t="n">
        <v>0</v>
      </c>
      <c r="L379" t="n">
        <v>0</v>
      </c>
      <c r="M379" t="n">
        <v>0</v>
      </c>
      <c r="N379" t="n">
        <v>0</v>
      </c>
      <c r="O379" t="n">
        <v>0</v>
      </c>
      <c r="P379" t="n">
        <v>0</v>
      </c>
      <c r="Q379" t="n">
        <v>0</v>
      </c>
      <c r="R379" s="2" t="inlineStr"/>
    </row>
    <row r="380" ht="15" customHeight="1">
      <c r="A380" t="inlineStr">
        <is>
          <t>A 35290-2025</t>
        </is>
      </c>
      <c r="B380" s="1" t="n">
        <v>45854.38502314815</v>
      </c>
      <c r="C380" s="1" t="n">
        <v>45982</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45982</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30282-2022</t>
        </is>
      </c>
      <c r="B382" s="1" t="n">
        <v>44760</v>
      </c>
      <c r="C382" s="1" t="n">
        <v>45982</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30104-2025</t>
        </is>
      </c>
      <c r="B383" s="1" t="n">
        <v>45826.68806712963</v>
      </c>
      <c r="C383" s="1" t="n">
        <v>45982</v>
      </c>
      <c r="D383" t="inlineStr">
        <is>
          <t>GOTLANDS LÄN</t>
        </is>
      </c>
      <c r="E383" t="inlineStr">
        <is>
          <t>GOTLAND</t>
        </is>
      </c>
      <c r="G383" t="n">
        <v>15.4</v>
      </c>
      <c r="H383" t="n">
        <v>0</v>
      </c>
      <c r="I383" t="n">
        <v>0</v>
      </c>
      <c r="J383" t="n">
        <v>0</v>
      </c>
      <c r="K383" t="n">
        <v>0</v>
      </c>
      <c r="L383" t="n">
        <v>0</v>
      </c>
      <c r="M383" t="n">
        <v>0</v>
      </c>
      <c r="N383" t="n">
        <v>0</v>
      </c>
      <c r="O383" t="n">
        <v>0</v>
      </c>
      <c r="P383" t="n">
        <v>0</v>
      </c>
      <c r="Q383" t="n">
        <v>0</v>
      </c>
      <c r="R383" s="2" t="inlineStr"/>
    </row>
    <row r="384" ht="15" customHeight="1">
      <c r="A384" t="inlineStr">
        <is>
          <t>A 32669-2024</t>
        </is>
      </c>
      <c r="B384" s="1" t="n">
        <v>45514</v>
      </c>
      <c r="C384" s="1" t="n">
        <v>45982</v>
      </c>
      <c r="D384" t="inlineStr">
        <is>
          <t>GOTLANDS LÄN</t>
        </is>
      </c>
      <c r="E384" t="inlineStr">
        <is>
          <t>GOTLAND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45982</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10650-2022</t>
        </is>
      </c>
      <c r="B386" s="1" t="n">
        <v>44624.57945601852</v>
      </c>
      <c r="C386" s="1" t="n">
        <v>45982</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35537-2025</t>
        </is>
      </c>
      <c r="B387" s="1" t="n">
        <v>45856</v>
      </c>
      <c r="C387" s="1" t="n">
        <v>45982</v>
      </c>
      <c r="D387" t="inlineStr">
        <is>
          <t>GOTLANDS LÄN</t>
        </is>
      </c>
      <c r="E387" t="inlineStr">
        <is>
          <t>GOTLAND</t>
        </is>
      </c>
      <c r="G387" t="n">
        <v>16.8</v>
      </c>
      <c r="H387" t="n">
        <v>0</v>
      </c>
      <c r="I387" t="n">
        <v>0</v>
      </c>
      <c r="J387" t="n">
        <v>0</v>
      </c>
      <c r="K387" t="n">
        <v>0</v>
      </c>
      <c r="L387" t="n">
        <v>0</v>
      </c>
      <c r="M387" t="n">
        <v>0</v>
      </c>
      <c r="N387" t="n">
        <v>0</v>
      </c>
      <c r="O387" t="n">
        <v>0</v>
      </c>
      <c r="P387" t="n">
        <v>0</v>
      </c>
      <c r="Q387" t="n">
        <v>0</v>
      </c>
      <c r="R387" s="2" t="inlineStr"/>
    </row>
    <row r="388" ht="15" customHeight="1">
      <c r="A388" t="inlineStr">
        <is>
          <t>A 26810-2021</t>
        </is>
      </c>
      <c r="B388" s="1" t="n">
        <v>44349.55087962963</v>
      </c>
      <c r="C388" s="1" t="n">
        <v>45982</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30488-2025</t>
        </is>
      </c>
      <c r="B389" s="1" t="n">
        <v>45830</v>
      </c>
      <c r="C389" s="1" t="n">
        <v>45982</v>
      </c>
      <c r="D389" t="inlineStr">
        <is>
          <t>GOTLANDS LÄN</t>
        </is>
      </c>
      <c r="E389" t="inlineStr">
        <is>
          <t>GOTLAND</t>
        </is>
      </c>
      <c r="F389" t="inlineStr">
        <is>
          <t>Kyrkan</t>
        </is>
      </c>
      <c r="G389" t="n">
        <v>3.9</v>
      </c>
      <c r="H389" t="n">
        <v>0</v>
      </c>
      <c r="I389" t="n">
        <v>0</v>
      </c>
      <c r="J389" t="n">
        <v>0</v>
      </c>
      <c r="K389" t="n">
        <v>0</v>
      </c>
      <c r="L389" t="n">
        <v>0</v>
      </c>
      <c r="M389" t="n">
        <v>0</v>
      </c>
      <c r="N389" t="n">
        <v>0</v>
      </c>
      <c r="O389" t="n">
        <v>0</v>
      </c>
      <c r="P389" t="n">
        <v>0</v>
      </c>
      <c r="Q389" t="n">
        <v>0</v>
      </c>
      <c r="R389" s="2" t="inlineStr"/>
    </row>
    <row r="390" ht="15" customHeight="1">
      <c r="A390" t="inlineStr">
        <is>
          <t>A 15216-2025</t>
        </is>
      </c>
      <c r="B390" s="1" t="n">
        <v>45744</v>
      </c>
      <c r="C390" s="1" t="n">
        <v>45982</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28425-2023</t>
        </is>
      </c>
      <c r="B391" s="1" t="n">
        <v>45102</v>
      </c>
      <c r="C391" s="1" t="n">
        <v>45982</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15001-2025</t>
        </is>
      </c>
      <c r="B392" s="1" t="n">
        <v>45743</v>
      </c>
      <c r="C392" s="1" t="n">
        <v>45982</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43790-2024</t>
        </is>
      </c>
      <c r="B393" s="1" t="n">
        <v>45571</v>
      </c>
      <c r="C393" s="1" t="n">
        <v>45982</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17847-2025</t>
        </is>
      </c>
      <c r="B394" s="1" t="n">
        <v>45758</v>
      </c>
      <c r="C394" s="1" t="n">
        <v>45982</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36319-2025</t>
        </is>
      </c>
      <c r="B395" s="1" t="n">
        <v>45868</v>
      </c>
      <c r="C395" s="1" t="n">
        <v>45982</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18742-2025</t>
        </is>
      </c>
      <c r="B396" s="1" t="n">
        <v>45763</v>
      </c>
      <c r="C396" s="1" t="n">
        <v>45982</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35129-2025</t>
        </is>
      </c>
      <c r="B397" s="1" t="n">
        <v>45852.63224537037</v>
      </c>
      <c r="C397" s="1" t="n">
        <v>45982</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13037-2025</t>
        </is>
      </c>
      <c r="B398" s="1" t="n">
        <v>45734</v>
      </c>
      <c r="C398" s="1" t="n">
        <v>45982</v>
      </c>
      <c r="D398" t="inlineStr">
        <is>
          <t>GOTLANDS LÄN</t>
        </is>
      </c>
      <c r="E398" t="inlineStr">
        <is>
          <t>GOTLAND</t>
        </is>
      </c>
      <c r="G398" t="n">
        <v>9.5</v>
      </c>
      <c r="H398" t="n">
        <v>0</v>
      </c>
      <c r="I398" t="n">
        <v>0</v>
      </c>
      <c r="J398" t="n">
        <v>0</v>
      </c>
      <c r="K398" t="n">
        <v>0</v>
      </c>
      <c r="L398" t="n">
        <v>0</v>
      </c>
      <c r="M398" t="n">
        <v>0</v>
      </c>
      <c r="N398" t="n">
        <v>0</v>
      </c>
      <c r="O398" t="n">
        <v>0</v>
      </c>
      <c r="P398" t="n">
        <v>0</v>
      </c>
      <c r="Q398" t="n">
        <v>0</v>
      </c>
      <c r="R398" s="2" t="inlineStr"/>
    </row>
    <row r="399" ht="15" customHeight="1">
      <c r="A399" t="inlineStr">
        <is>
          <t>A 26391-2025</t>
        </is>
      </c>
      <c r="B399" s="1" t="n">
        <v>45806</v>
      </c>
      <c r="C399" s="1" t="n">
        <v>45982</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46836-2025</t>
        </is>
      </c>
      <c r="B400" s="1" t="n">
        <v>45928.31511574074</v>
      </c>
      <c r="C400" s="1" t="n">
        <v>45982</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10746-2025</t>
        </is>
      </c>
      <c r="B401" s="1" t="n">
        <v>45722.42766203704</v>
      </c>
      <c r="C401" s="1" t="n">
        <v>45982</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47637-2025</t>
        </is>
      </c>
      <c r="B402" s="1" t="n">
        <v>45931.49753472222</v>
      </c>
      <c r="C402" s="1" t="n">
        <v>45982</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45982</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45982</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45982</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45982</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45982</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45982</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45982</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41038-2023</t>
        </is>
      </c>
      <c r="B410" s="1" t="n">
        <v>45173.60959490741</v>
      </c>
      <c r="C410" s="1" t="n">
        <v>45982</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45982</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45982</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45982</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24966-2023</t>
        </is>
      </c>
      <c r="B414" s="1" t="n">
        <v>45085</v>
      </c>
      <c r="C414" s="1" t="n">
        <v>45982</v>
      </c>
      <c r="D414" t="inlineStr">
        <is>
          <t>GOTLANDS LÄN</t>
        </is>
      </c>
      <c r="E414" t="inlineStr">
        <is>
          <t>GOTLAND</t>
        </is>
      </c>
      <c r="G414" t="n">
        <v>7</v>
      </c>
      <c r="H414" t="n">
        <v>0</v>
      </c>
      <c r="I414" t="n">
        <v>0</v>
      </c>
      <c r="J414" t="n">
        <v>0</v>
      </c>
      <c r="K414" t="n">
        <v>0</v>
      </c>
      <c r="L414" t="n">
        <v>0</v>
      </c>
      <c r="M414" t="n">
        <v>0</v>
      </c>
      <c r="N414" t="n">
        <v>0</v>
      </c>
      <c r="O414" t="n">
        <v>0</v>
      </c>
      <c r="P414" t="n">
        <v>0</v>
      </c>
      <c r="Q414" t="n">
        <v>0</v>
      </c>
      <c r="R414" s="2" t="inlineStr"/>
    </row>
    <row r="415" ht="15" customHeight="1">
      <c r="A415" t="inlineStr">
        <is>
          <t>A 56799-2025</t>
        </is>
      </c>
      <c r="B415" s="1" t="n">
        <v>45978.43392361111</v>
      </c>
      <c r="C415" s="1" t="n">
        <v>45982</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57652-2023</t>
        </is>
      </c>
      <c r="B416" s="1" t="n">
        <v>45246</v>
      </c>
      <c r="C416" s="1" t="n">
        <v>45982</v>
      </c>
      <c r="D416" t="inlineStr">
        <is>
          <t>GOTLANDS LÄN</t>
        </is>
      </c>
      <c r="E416" t="inlineStr">
        <is>
          <t>GOTLAND</t>
        </is>
      </c>
      <c r="G416" t="n">
        <v>7.2</v>
      </c>
      <c r="H416" t="n">
        <v>0</v>
      </c>
      <c r="I416" t="n">
        <v>0</v>
      </c>
      <c r="J416" t="n">
        <v>0</v>
      </c>
      <c r="K416" t="n">
        <v>0</v>
      </c>
      <c r="L416" t="n">
        <v>0</v>
      </c>
      <c r="M416" t="n">
        <v>0</v>
      </c>
      <c r="N416" t="n">
        <v>0</v>
      </c>
      <c r="O416" t="n">
        <v>0</v>
      </c>
      <c r="P416" t="n">
        <v>0</v>
      </c>
      <c r="Q416" t="n">
        <v>0</v>
      </c>
      <c r="R416" s="2" t="inlineStr"/>
    </row>
    <row r="417" ht="15" customHeight="1">
      <c r="A417" t="inlineStr">
        <is>
          <t>A 46189-2022</t>
        </is>
      </c>
      <c r="B417" s="1" t="n">
        <v>44847</v>
      </c>
      <c r="C417" s="1" t="n">
        <v>45982</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56688-2025</t>
        </is>
      </c>
      <c r="B418" s="1" t="n">
        <v>45975.84331018518</v>
      </c>
      <c r="C418" s="1" t="n">
        <v>45982</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57522-2022</t>
        </is>
      </c>
      <c r="B419" s="1" t="n">
        <v>44896</v>
      </c>
      <c r="C419" s="1" t="n">
        <v>45982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14797-2024</t>
        </is>
      </c>
      <c r="B420" s="1" t="n">
        <v>45397.87030092593</v>
      </c>
      <c r="C420" s="1" t="n">
        <v>45982</v>
      </c>
      <c r="D420" t="inlineStr">
        <is>
          <t>GOTLANDS LÄN</t>
        </is>
      </c>
      <c r="E420" t="inlineStr">
        <is>
          <t>GOTLAND</t>
        </is>
      </c>
      <c r="G420" t="n">
        <v>8.1</v>
      </c>
      <c r="H420" t="n">
        <v>0</v>
      </c>
      <c r="I420" t="n">
        <v>0</v>
      </c>
      <c r="J420" t="n">
        <v>0</v>
      </c>
      <c r="K420" t="n">
        <v>0</v>
      </c>
      <c r="L420" t="n">
        <v>0</v>
      </c>
      <c r="M420" t="n">
        <v>0</v>
      </c>
      <c r="N420" t="n">
        <v>0</v>
      </c>
      <c r="O420" t="n">
        <v>0</v>
      </c>
      <c r="P420" t="n">
        <v>0</v>
      </c>
      <c r="Q420" t="n">
        <v>0</v>
      </c>
      <c r="R420" s="2" t="inlineStr"/>
    </row>
    <row r="421" ht="15" customHeight="1">
      <c r="A421" t="inlineStr">
        <is>
          <t>A 47147-2025</t>
        </is>
      </c>
      <c r="B421" s="1" t="n">
        <v>45929</v>
      </c>
      <c r="C421" s="1" t="n">
        <v>45982</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12599-2025</t>
        </is>
      </c>
      <c r="B422" s="1" t="n">
        <v>45733.29546296296</v>
      </c>
      <c r="C422" s="1" t="n">
        <v>45982</v>
      </c>
      <c r="D422" t="inlineStr">
        <is>
          <t>GOTLANDS LÄN</t>
        </is>
      </c>
      <c r="E422" t="inlineStr">
        <is>
          <t>GOTLAND</t>
        </is>
      </c>
      <c r="G422" t="n">
        <v>4.7</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45982</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35550-2025</t>
        </is>
      </c>
      <c r="B424" s="1" t="n">
        <v>45856.49324074074</v>
      </c>
      <c r="C424" s="1" t="n">
        <v>45982</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45982</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45982</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45982</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45982</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45982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47578-2025</t>
        </is>
      </c>
      <c r="B430" s="1" t="n">
        <v>45931</v>
      </c>
      <c r="C430" s="1" t="n">
        <v>45982</v>
      </c>
      <c r="D430" t="inlineStr">
        <is>
          <t>GOTLANDS LÄN</t>
        </is>
      </c>
      <c r="E430" t="inlineStr">
        <is>
          <t>GOTLAND</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2241-2025</t>
        </is>
      </c>
      <c r="B431" s="1" t="n">
        <v>45673.48710648148</v>
      </c>
      <c r="C431" s="1" t="n">
        <v>45982</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33011-2025</t>
        </is>
      </c>
      <c r="B432" s="1" t="n">
        <v>45840</v>
      </c>
      <c r="C432" s="1" t="n">
        <v>45982</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45982</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45982</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14635-2023</t>
        </is>
      </c>
      <c r="B435" s="1" t="n">
        <v>45013.69365740741</v>
      </c>
      <c r="C435" s="1" t="n">
        <v>45982</v>
      </c>
      <c r="D435" t="inlineStr">
        <is>
          <t>GOTLANDS LÄN</t>
        </is>
      </c>
      <c r="E435" t="inlineStr">
        <is>
          <t>GOTLAND</t>
        </is>
      </c>
      <c r="G435" t="n">
        <v>3.1</v>
      </c>
      <c r="H435" t="n">
        <v>0</v>
      </c>
      <c r="I435" t="n">
        <v>0</v>
      </c>
      <c r="J435" t="n">
        <v>0</v>
      </c>
      <c r="K435" t="n">
        <v>0</v>
      </c>
      <c r="L435" t="n">
        <v>0</v>
      </c>
      <c r="M435" t="n">
        <v>0</v>
      </c>
      <c r="N435" t="n">
        <v>0</v>
      </c>
      <c r="O435" t="n">
        <v>0</v>
      </c>
      <c r="P435" t="n">
        <v>0</v>
      </c>
      <c r="Q435" t="n">
        <v>0</v>
      </c>
      <c r="R435" s="2" t="inlineStr"/>
    </row>
    <row r="436" ht="15" customHeight="1">
      <c r="A436" t="inlineStr">
        <is>
          <t>A 63763-2023</t>
        </is>
      </c>
      <c r="B436" s="1" t="n">
        <v>45278.33944444444</v>
      </c>
      <c r="C436" s="1" t="n">
        <v>45982</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7635-2025</t>
        </is>
      </c>
      <c r="B437" s="1" t="n">
        <v>45705</v>
      </c>
      <c r="C437" s="1" t="n">
        <v>45982</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7636-2025</t>
        </is>
      </c>
      <c r="B438" s="1" t="n">
        <v>45705.7687962963</v>
      </c>
      <c r="C438" s="1" t="n">
        <v>45982</v>
      </c>
      <c r="D438" t="inlineStr">
        <is>
          <t>GOTLANDS LÄN</t>
        </is>
      </c>
      <c r="E438" t="inlineStr">
        <is>
          <t>GOTLAND</t>
        </is>
      </c>
      <c r="G438" t="n">
        <v>0.6</v>
      </c>
      <c r="H438" t="n">
        <v>0</v>
      </c>
      <c r="I438" t="n">
        <v>0</v>
      </c>
      <c r="J438" t="n">
        <v>0</v>
      </c>
      <c r="K438" t="n">
        <v>0</v>
      </c>
      <c r="L438" t="n">
        <v>0</v>
      </c>
      <c r="M438" t="n">
        <v>0</v>
      </c>
      <c r="N438" t="n">
        <v>0</v>
      </c>
      <c r="O438" t="n">
        <v>0</v>
      </c>
      <c r="P438" t="n">
        <v>0</v>
      </c>
      <c r="Q438" t="n">
        <v>0</v>
      </c>
      <c r="R438" s="2" t="inlineStr"/>
    </row>
    <row r="439" ht="15" customHeight="1">
      <c r="A439" t="inlineStr">
        <is>
          <t>A 7639-2025</t>
        </is>
      </c>
      <c r="B439" s="1" t="n">
        <v>45705.77465277778</v>
      </c>
      <c r="C439" s="1" t="n">
        <v>45982</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61682-2024</t>
        </is>
      </c>
      <c r="B440" s="1" t="n">
        <v>45647.48824074074</v>
      </c>
      <c r="C440" s="1" t="n">
        <v>45982</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45982</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7034-2023</t>
        </is>
      </c>
      <c r="B442" s="1" t="n">
        <v>44968.32108796296</v>
      </c>
      <c r="C442" s="1" t="n">
        <v>45982</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7042-2023</t>
        </is>
      </c>
      <c r="B443" s="1" t="n">
        <v>44968</v>
      </c>
      <c r="C443" s="1" t="n">
        <v>45982</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2180-2025</t>
        </is>
      </c>
      <c r="B444" s="1" t="n">
        <v>45673</v>
      </c>
      <c r="C444" s="1" t="n">
        <v>45982</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54074-2022</t>
        </is>
      </c>
      <c r="B445" s="1" t="n">
        <v>44881</v>
      </c>
      <c r="C445" s="1" t="n">
        <v>45982</v>
      </c>
      <c r="D445" t="inlineStr">
        <is>
          <t>GOTLANDS LÄN</t>
        </is>
      </c>
      <c r="E445" t="inlineStr">
        <is>
          <t>GOTLAND</t>
        </is>
      </c>
      <c r="G445" t="n">
        <v>0.9</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45982</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45982</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54268-2022</t>
        </is>
      </c>
      <c r="B448" s="1" t="n">
        <v>44882</v>
      </c>
      <c r="C448" s="1" t="n">
        <v>45982</v>
      </c>
      <c r="D448" t="inlineStr">
        <is>
          <t>GOTLANDS LÄN</t>
        </is>
      </c>
      <c r="E448" t="inlineStr">
        <is>
          <t>GOTLAND</t>
        </is>
      </c>
      <c r="G448" t="n">
        <v>2.7</v>
      </c>
      <c r="H448" t="n">
        <v>0</v>
      </c>
      <c r="I448" t="n">
        <v>0</v>
      </c>
      <c r="J448" t="n">
        <v>0</v>
      </c>
      <c r="K448" t="n">
        <v>0</v>
      </c>
      <c r="L448" t="n">
        <v>0</v>
      </c>
      <c r="M448" t="n">
        <v>0</v>
      </c>
      <c r="N448" t="n">
        <v>0</v>
      </c>
      <c r="O448" t="n">
        <v>0</v>
      </c>
      <c r="P448" t="n">
        <v>0</v>
      </c>
      <c r="Q448" t="n">
        <v>0</v>
      </c>
      <c r="R448" s="2" t="inlineStr"/>
    </row>
    <row r="449" ht="15" customHeight="1">
      <c r="A449" t="inlineStr">
        <is>
          <t>A 1446-2025</t>
        </is>
      </c>
      <c r="B449" s="1" t="n">
        <v>45669.86035879629</v>
      </c>
      <c r="C449" s="1" t="n">
        <v>45982</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1462-2025</t>
        </is>
      </c>
      <c r="B450" s="1" t="n">
        <v>45670.36319444444</v>
      </c>
      <c r="C450" s="1" t="n">
        <v>45982</v>
      </c>
      <c r="D450" t="inlineStr">
        <is>
          <t>GOTLANDS LÄN</t>
        </is>
      </c>
      <c r="E450" t="inlineStr">
        <is>
          <t>GOTLAND</t>
        </is>
      </c>
      <c r="G450" t="n">
        <v>2.8</v>
      </c>
      <c r="H450" t="n">
        <v>0</v>
      </c>
      <c r="I450" t="n">
        <v>0</v>
      </c>
      <c r="J450" t="n">
        <v>0</v>
      </c>
      <c r="K450" t="n">
        <v>0</v>
      </c>
      <c r="L450" t="n">
        <v>0</v>
      </c>
      <c r="M450" t="n">
        <v>0</v>
      </c>
      <c r="N450" t="n">
        <v>0</v>
      </c>
      <c r="O450" t="n">
        <v>0</v>
      </c>
      <c r="P450" t="n">
        <v>0</v>
      </c>
      <c r="Q450" t="n">
        <v>0</v>
      </c>
      <c r="R450" s="2" t="inlineStr"/>
    </row>
    <row r="451" ht="15" customHeight="1">
      <c r="A451" t="inlineStr">
        <is>
          <t>A 57685-2022</t>
        </is>
      </c>
      <c r="B451" s="1" t="n">
        <v>44897.4777662037</v>
      </c>
      <c r="C451" s="1" t="n">
        <v>45982</v>
      </c>
      <c r="D451" t="inlineStr">
        <is>
          <t>GOTLANDS LÄN</t>
        </is>
      </c>
      <c r="E451" t="inlineStr">
        <is>
          <t>GOTLAND</t>
        </is>
      </c>
      <c r="G451" t="n">
        <v>3.7</v>
      </c>
      <c r="H451" t="n">
        <v>0</v>
      </c>
      <c r="I451" t="n">
        <v>0</v>
      </c>
      <c r="J451" t="n">
        <v>0</v>
      </c>
      <c r="K451" t="n">
        <v>0</v>
      </c>
      <c r="L451" t="n">
        <v>0</v>
      </c>
      <c r="M451" t="n">
        <v>0</v>
      </c>
      <c r="N451" t="n">
        <v>0</v>
      </c>
      <c r="O451" t="n">
        <v>0</v>
      </c>
      <c r="P451" t="n">
        <v>0</v>
      </c>
      <c r="Q451" t="n">
        <v>0</v>
      </c>
      <c r="R451" s="2" t="inlineStr"/>
    </row>
    <row r="452" ht="15" customHeight="1">
      <c r="A452" t="inlineStr">
        <is>
          <t>A 811-2023</t>
        </is>
      </c>
      <c r="B452" s="1" t="n">
        <v>44931</v>
      </c>
      <c r="C452" s="1" t="n">
        <v>45982</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5905-2024</t>
        </is>
      </c>
      <c r="B453" s="1" t="n">
        <v>45335.88993055555</v>
      </c>
      <c r="C453" s="1" t="n">
        <v>45982</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3431-2025</t>
        </is>
      </c>
      <c r="B454" s="1" t="n">
        <v>45680.42935185185</v>
      </c>
      <c r="C454" s="1" t="n">
        <v>45982</v>
      </c>
      <c r="D454" t="inlineStr">
        <is>
          <t>GOTLANDS LÄN</t>
        </is>
      </c>
      <c r="E454" t="inlineStr">
        <is>
          <t>GOTLAND</t>
        </is>
      </c>
      <c r="G454" t="n">
        <v>4.8</v>
      </c>
      <c r="H454" t="n">
        <v>0</v>
      </c>
      <c r="I454" t="n">
        <v>0</v>
      </c>
      <c r="J454" t="n">
        <v>0</v>
      </c>
      <c r="K454" t="n">
        <v>0</v>
      </c>
      <c r="L454" t="n">
        <v>0</v>
      </c>
      <c r="M454" t="n">
        <v>0</v>
      </c>
      <c r="N454" t="n">
        <v>0</v>
      </c>
      <c r="O454" t="n">
        <v>0</v>
      </c>
      <c r="P454" t="n">
        <v>0</v>
      </c>
      <c r="Q454" t="n">
        <v>0</v>
      </c>
      <c r="R454" s="2" t="inlineStr"/>
    </row>
    <row r="455" ht="15" customHeight="1">
      <c r="A455" t="inlineStr">
        <is>
          <t>A 34407-2023</t>
        </is>
      </c>
      <c r="B455" s="1" t="n">
        <v>45132</v>
      </c>
      <c r="C455" s="1" t="n">
        <v>45982</v>
      </c>
      <c r="D455" t="inlineStr">
        <is>
          <t>GOTLANDS LÄN</t>
        </is>
      </c>
      <c r="E455" t="inlineStr">
        <is>
          <t>GOTLAND</t>
        </is>
      </c>
      <c r="G455" t="n">
        <v>4.4</v>
      </c>
      <c r="H455" t="n">
        <v>0</v>
      </c>
      <c r="I455" t="n">
        <v>0</v>
      </c>
      <c r="J455" t="n">
        <v>0</v>
      </c>
      <c r="K455" t="n">
        <v>0</v>
      </c>
      <c r="L455" t="n">
        <v>0</v>
      </c>
      <c r="M455" t="n">
        <v>0</v>
      </c>
      <c r="N455" t="n">
        <v>0</v>
      </c>
      <c r="O455" t="n">
        <v>0</v>
      </c>
      <c r="P455" t="n">
        <v>0</v>
      </c>
      <c r="Q455" t="n">
        <v>0</v>
      </c>
      <c r="R455" s="2" t="inlineStr"/>
    </row>
    <row r="456" ht="15" customHeight="1">
      <c r="A456" t="inlineStr">
        <is>
          <t>A 30892-2024</t>
        </is>
      </c>
      <c r="B456" s="1" t="n">
        <v>45491</v>
      </c>
      <c r="C456" s="1" t="n">
        <v>45982</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45982</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7858-2025</t>
        </is>
      </c>
      <c r="B458" s="1" t="n">
        <v>45706.68633101852</v>
      </c>
      <c r="C458" s="1" t="n">
        <v>45982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46545-2024</t>
        </is>
      </c>
      <c r="B459" s="1" t="n">
        <v>45582.65831018519</v>
      </c>
      <c r="C459" s="1" t="n">
        <v>45982</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45982</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1364-2025</t>
        </is>
      </c>
      <c r="B461" s="1" t="n">
        <v>45667.63929398148</v>
      </c>
      <c r="C461" s="1" t="n">
        <v>45982</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2125-2025</t>
        </is>
      </c>
      <c r="B462" s="1" t="n">
        <v>45672.64940972222</v>
      </c>
      <c r="C462" s="1" t="n">
        <v>45982</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14141-2024</t>
        </is>
      </c>
      <c r="B463" s="1" t="n">
        <v>45392.85193287037</v>
      </c>
      <c r="C463" s="1" t="n">
        <v>45982</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12155-2023</t>
        </is>
      </c>
      <c r="B464" s="1" t="n">
        <v>44998.49106481481</v>
      </c>
      <c r="C464" s="1" t="n">
        <v>45982</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2774-2024</t>
        </is>
      </c>
      <c r="B465" s="1" t="n">
        <v>45314.62375</v>
      </c>
      <c r="C465" s="1" t="n">
        <v>45982</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9947-2024</t>
        </is>
      </c>
      <c r="B466" s="1" t="n">
        <v>45363</v>
      </c>
      <c r="C466" s="1" t="n">
        <v>45982</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42007-2023</t>
        </is>
      </c>
      <c r="B467" s="1" t="n">
        <v>45177</v>
      </c>
      <c r="C467" s="1" t="n">
        <v>45982</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44304-2021</t>
        </is>
      </c>
      <c r="B468" s="1" t="n">
        <v>44434</v>
      </c>
      <c r="C468" s="1" t="n">
        <v>45982</v>
      </c>
      <c r="D468" t="inlineStr">
        <is>
          <t>GOTLANDS LÄN</t>
        </is>
      </c>
      <c r="E468" t="inlineStr">
        <is>
          <t>GOTLAND</t>
        </is>
      </c>
      <c r="G468" t="n">
        <v>5.8</v>
      </c>
      <c r="H468" t="n">
        <v>0</v>
      </c>
      <c r="I468" t="n">
        <v>0</v>
      </c>
      <c r="J468" t="n">
        <v>0</v>
      </c>
      <c r="K468" t="n">
        <v>0</v>
      </c>
      <c r="L468" t="n">
        <v>0</v>
      </c>
      <c r="M468" t="n">
        <v>0</v>
      </c>
      <c r="N468" t="n">
        <v>0</v>
      </c>
      <c r="O468" t="n">
        <v>0</v>
      </c>
      <c r="P468" t="n">
        <v>0</v>
      </c>
      <c r="Q468" t="n">
        <v>0</v>
      </c>
      <c r="R468" s="2" t="inlineStr"/>
    </row>
    <row r="469" ht="15" customHeight="1">
      <c r="A469" t="inlineStr">
        <is>
          <t>A 15083-2025</t>
        </is>
      </c>
      <c r="B469" s="1" t="n">
        <v>45743</v>
      </c>
      <c r="C469" s="1" t="n">
        <v>45982</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1066-2024</t>
        </is>
      </c>
      <c r="B470" s="1" t="n">
        <v>45302.285</v>
      </c>
      <c r="C470" s="1" t="n">
        <v>45982</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37202-2024</t>
        </is>
      </c>
      <c r="B471" s="1" t="n">
        <v>45539.67310185185</v>
      </c>
      <c r="C471" s="1" t="n">
        <v>45982</v>
      </c>
      <c r="D471" t="inlineStr">
        <is>
          <t>GOTLANDS LÄN</t>
        </is>
      </c>
      <c r="E471" t="inlineStr">
        <is>
          <t>GOTLAND</t>
        </is>
      </c>
      <c r="G471" t="n">
        <v>0.3</v>
      </c>
      <c r="H471" t="n">
        <v>0</v>
      </c>
      <c r="I471" t="n">
        <v>0</v>
      </c>
      <c r="J471" t="n">
        <v>0</v>
      </c>
      <c r="K471" t="n">
        <v>0</v>
      </c>
      <c r="L471" t="n">
        <v>0</v>
      </c>
      <c r="M471" t="n">
        <v>0</v>
      </c>
      <c r="N471" t="n">
        <v>0</v>
      </c>
      <c r="O471" t="n">
        <v>0</v>
      </c>
      <c r="P471" t="n">
        <v>0</v>
      </c>
      <c r="Q471" t="n">
        <v>0</v>
      </c>
      <c r="R471" s="2" t="inlineStr"/>
    </row>
    <row r="472" ht="15" customHeight="1">
      <c r="A472" t="inlineStr">
        <is>
          <t>A 30815-2023</t>
        </is>
      </c>
      <c r="B472" s="1" t="n">
        <v>45112</v>
      </c>
      <c r="C472" s="1" t="n">
        <v>45982</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46400-2023</t>
        </is>
      </c>
      <c r="B473" s="1" t="n">
        <v>45197.49290509259</v>
      </c>
      <c r="C473" s="1" t="n">
        <v>45982</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10492-2023</t>
        </is>
      </c>
      <c r="B474" s="1" t="n">
        <v>44987</v>
      </c>
      <c r="C474" s="1" t="n">
        <v>45982</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44919-2022</t>
        </is>
      </c>
      <c r="B475" s="1" t="n">
        <v>44841</v>
      </c>
      <c r="C475" s="1" t="n">
        <v>45982</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16501-2023</t>
        </is>
      </c>
      <c r="B476" s="1" t="n">
        <v>45029</v>
      </c>
      <c r="C476" s="1" t="n">
        <v>45982</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45982</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458-2023</t>
        </is>
      </c>
      <c r="B478" s="1" t="n">
        <v>44929</v>
      </c>
      <c r="C478" s="1" t="n">
        <v>45982</v>
      </c>
      <c r="D478" t="inlineStr">
        <is>
          <t>GOTLANDS LÄN</t>
        </is>
      </c>
      <c r="E478" t="inlineStr">
        <is>
          <t>GOTLAND</t>
        </is>
      </c>
      <c r="G478" t="n">
        <v>3.6</v>
      </c>
      <c r="H478" t="n">
        <v>0</v>
      </c>
      <c r="I478" t="n">
        <v>0</v>
      </c>
      <c r="J478" t="n">
        <v>0</v>
      </c>
      <c r="K478" t="n">
        <v>0</v>
      </c>
      <c r="L478" t="n">
        <v>0</v>
      </c>
      <c r="M478" t="n">
        <v>0</v>
      </c>
      <c r="N478" t="n">
        <v>0</v>
      </c>
      <c r="O478" t="n">
        <v>0</v>
      </c>
      <c r="P478" t="n">
        <v>0</v>
      </c>
      <c r="Q478" t="n">
        <v>0</v>
      </c>
      <c r="R478" s="2" t="inlineStr"/>
    </row>
    <row r="479" ht="15" customHeight="1">
      <c r="A479" t="inlineStr">
        <is>
          <t>A 1291-2023</t>
        </is>
      </c>
      <c r="B479" s="1" t="n">
        <v>44936.47561342592</v>
      </c>
      <c r="C479" s="1" t="n">
        <v>45982</v>
      </c>
      <c r="D479" t="inlineStr">
        <is>
          <t>GOTLANDS LÄN</t>
        </is>
      </c>
      <c r="E479" t="inlineStr">
        <is>
          <t>GOTLAND</t>
        </is>
      </c>
      <c r="G479" t="n">
        <v>7.4</v>
      </c>
      <c r="H479" t="n">
        <v>0</v>
      </c>
      <c r="I479" t="n">
        <v>0</v>
      </c>
      <c r="J479" t="n">
        <v>0</v>
      </c>
      <c r="K479" t="n">
        <v>0</v>
      </c>
      <c r="L479" t="n">
        <v>0</v>
      </c>
      <c r="M479" t="n">
        <v>0</v>
      </c>
      <c r="N479" t="n">
        <v>0</v>
      </c>
      <c r="O479" t="n">
        <v>0</v>
      </c>
      <c r="P479" t="n">
        <v>0</v>
      </c>
      <c r="Q479" t="n">
        <v>0</v>
      </c>
      <c r="R479" s="2" t="inlineStr"/>
    </row>
    <row r="480" ht="15" customHeight="1">
      <c r="A480" t="inlineStr">
        <is>
          <t>A 32330-2024</t>
        </is>
      </c>
      <c r="B480" s="1" t="n">
        <v>45512</v>
      </c>
      <c r="C480" s="1" t="n">
        <v>45982</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5891-2025</t>
        </is>
      </c>
      <c r="B481" s="1" t="n">
        <v>45695.38327546296</v>
      </c>
      <c r="C481" s="1" t="n">
        <v>45982</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14804-2021</t>
        </is>
      </c>
      <c r="B482" s="1" t="n">
        <v>44280</v>
      </c>
      <c r="C482" s="1" t="n">
        <v>45982</v>
      </c>
      <c r="D482" t="inlineStr">
        <is>
          <t>GOTLANDS LÄN</t>
        </is>
      </c>
      <c r="E482" t="inlineStr">
        <is>
          <t>GOTLAND</t>
        </is>
      </c>
      <c r="G482" t="n">
        <v>2.2</v>
      </c>
      <c r="H482" t="n">
        <v>0</v>
      </c>
      <c r="I482" t="n">
        <v>0</v>
      </c>
      <c r="J482" t="n">
        <v>0</v>
      </c>
      <c r="K482" t="n">
        <v>0</v>
      </c>
      <c r="L482" t="n">
        <v>0</v>
      </c>
      <c r="M482" t="n">
        <v>0</v>
      </c>
      <c r="N482" t="n">
        <v>0</v>
      </c>
      <c r="O482" t="n">
        <v>0</v>
      </c>
      <c r="P482" t="n">
        <v>0</v>
      </c>
      <c r="Q482" t="n">
        <v>0</v>
      </c>
      <c r="R482" s="2" t="inlineStr"/>
    </row>
    <row r="483" ht="15" customHeight="1">
      <c r="A483" t="inlineStr">
        <is>
          <t>A 2719-2023</t>
        </is>
      </c>
      <c r="B483" s="1" t="n">
        <v>44944.55361111111</v>
      </c>
      <c r="C483" s="1" t="n">
        <v>45982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17144-2025</t>
        </is>
      </c>
      <c r="B484" s="1" t="n">
        <v>45755.9499537037</v>
      </c>
      <c r="C484" s="1" t="n">
        <v>45982</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49314-2024</t>
        </is>
      </c>
      <c r="B485" s="1" t="n">
        <v>45595.55893518519</v>
      </c>
      <c r="C485" s="1" t="n">
        <v>45982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45982</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44755.8713425926</v>
      </c>
      <c r="C487" s="1" t="n">
        <v>45982</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16361-2024</t>
        </is>
      </c>
      <c r="B488" s="1" t="n">
        <v>45407</v>
      </c>
      <c r="C488" s="1" t="n">
        <v>45982</v>
      </c>
      <c r="D488" t="inlineStr">
        <is>
          <t>GOTLANDS LÄN</t>
        </is>
      </c>
      <c r="E488" t="inlineStr">
        <is>
          <t>GOTLAND</t>
        </is>
      </c>
      <c r="G488" t="n">
        <v>6</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45982</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1175-2025</t>
        </is>
      </c>
      <c r="B490" s="1" t="n">
        <v>45667.34449074074</v>
      </c>
      <c r="C490" s="1" t="n">
        <v>45982</v>
      </c>
      <c r="D490" t="inlineStr">
        <is>
          <t>GOTLANDS LÄN</t>
        </is>
      </c>
      <c r="E490" t="inlineStr">
        <is>
          <t>GOTLAND</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42201-2023</t>
        </is>
      </c>
      <c r="B491" s="1" t="n">
        <v>45179</v>
      </c>
      <c r="C491" s="1" t="n">
        <v>45982</v>
      </c>
      <c r="D491" t="inlineStr">
        <is>
          <t>GOTLANDS LÄN</t>
        </is>
      </c>
      <c r="E491" t="inlineStr">
        <is>
          <t>GOTLAND</t>
        </is>
      </c>
      <c r="G491" t="n">
        <v>11.9</v>
      </c>
      <c r="H491" t="n">
        <v>0</v>
      </c>
      <c r="I491" t="n">
        <v>0</v>
      </c>
      <c r="J491" t="n">
        <v>0</v>
      </c>
      <c r="K491" t="n">
        <v>0</v>
      </c>
      <c r="L491" t="n">
        <v>0</v>
      </c>
      <c r="M491" t="n">
        <v>0</v>
      </c>
      <c r="N491" t="n">
        <v>0</v>
      </c>
      <c r="O491" t="n">
        <v>0</v>
      </c>
      <c r="P491" t="n">
        <v>0</v>
      </c>
      <c r="Q491" t="n">
        <v>0</v>
      </c>
      <c r="R491" s="2" t="inlineStr"/>
    </row>
    <row r="492" ht="15" customHeight="1">
      <c r="A492" t="inlineStr">
        <is>
          <t>A 3150-2025</t>
        </is>
      </c>
      <c r="B492" s="1" t="n">
        <v>45679.28974537037</v>
      </c>
      <c r="C492" s="1" t="n">
        <v>45982</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45982</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15436-2025</t>
        </is>
      </c>
      <c r="B494" s="1" t="n">
        <v>45747.47462962963</v>
      </c>
      <c r="C494" s="1" t="n">
        <v>45982</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21247-2022</t>
        </is>
      </c>
      <c r="B495" s="1" t="n">
        <v>44705.38832175926</v>
      </c>
      <c r="C495" s="1" t="n">
        <v>45982</v>
      </c>
      <c r="D495" t="inlineStr">
        <is>
          <t>GOTLANDS LÄN</t>
        </is>
      </c>
      <c r="E495" t="inlineStr">
        <is>
          <t>GOTLAND</t>
        </is>
      </c>
      <c r="G495" t="n">
        <v>16.2</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44682.82622685185</v>
      </c>
      <c r="C496" s="1" t="n">
        <v>45982</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63516-2023</t>
        </is>
      </c>
      <c r="B497" s="1" t="n">
        <v>45274</v>
      </c>
      <c r="C497" s="1" t="n">
        <v>45982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53935-2024</t>
        </is>
      </c>
      <c r="B498" s="1" t="n">
        <v>45615</v>
      </c>
      <c r="C498" s="1" t="n">
        <v>45982</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69112-2021</t>
        </is>
      </c>
      <c r="B499" s="1" t="n">
        <v>44530</v>
      </c>
      <c r="C499" s="1" t="n">
        <v>45982</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45982</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23516-2023</t>
        </is>
      </c>
      <c r="B501" s="1" t="n">
        <v>45076.93391203704</v>
      </c>
      <c r="C501" s="1" t="n">
        <v>45982</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43231-2023</t>
        </is>
      </c>
      <c r="B502" s="1" t="n">
        <v>45183.47025462963</v>
      </c>
      <c r="C502" s="1" t="n">
        <v>45982</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58230-2024</t>
        </is>
      </c>
      <c r="B503" s="1" t="n">
        <v>45632.51625</v>
      </c>
      <c r="C503" s="1" t="n">
        <v>45982</v>
      </c>
      <c r="D503" t="inlineStr">
        <is>
          <t>GOTLANDS LÄN</t>
        </is>
      </c>
      <c r="E503" t="inlineStr">
        <is>
          <t>GOTLAND</t>
        </is>
      </c>
      <c r="G503" t="n">
        <v>7.3</v>
      </c>
      <c r="H503" t="n">
        <v>0</v>
      </c>
      <c r="I503" t="n">
        <v>0</v>
      </c>
      <c r="J503" t="n">
        <v>0</v>
      </c>
      <c r="K503" t="n">
        <v>0</v>
      </c>
      <c r="L503" t="n">
        <v>0</v>
      </c>
      <c r="M503" t="n">
        <v>0</v>
      </c>
      <c r="N503" t="n">
        <v>0</v>
      </c>
      <c r="O503" t="n">
        <v>0</v>
      </c>
      <c r="P503" t="n">
        <v>0</v>
      </c>
      <c r="Q503" t="n">
        <v>0</v>
      </c>
      <c r="R503" s="2" t="inlineStr"/>
    </row>
    <row r="504" ht="15" customHeight="1">
      <c r="A504" t="inlineStr">
        <is>
          <t>A 64555-2023</t>
        </is>
      </c>
      <c r="B504" s="1" t="n">
        <v>45281</v>
      </c>
      <c r="C504" s="1" t="n">
        <v>45982</v>
      </c>
      <c r="D504" t="inlineStr">
        <is>
          <t>GOTLANDS LÄN</t>
        </is>
      </c>
      <c r="E504" t="inlineStr">
        <is>
          <t>GOTLAND</t>
        </is>
      </c>
      <c r="G504" t="n">
        <v>3.5</v>
      </c>
      <c r="H504" t="n">
        <v>0</v>
      </c>
      <c r="I504" t="n">
        <v>0</v>
      </c>
      <c r="J504" t="n">
        <v>0</v>
      </c>
      <c r="K504" t="n">
        <v>0</v>
      </c>
      <c r="L504" t="n">
        <v>0</v>
      </c>
      <c r="M504" t="n">
        <v>0</v>
      </c>
      <c r="N504" t="n">
        <v>0</v>
      </c>
      <c r="O504" t="n">
        <v>0</v>
      </c>
      <c r="P504" t="n">
        <v>0</v>
      </c>
      <c r="Q504" t="n">
        <v>0</v>
      </c>
      <c r="R504" s="2" t="inlineStr"/>
    </row>
    <row r="505" ht="15" customHeight="1">
      <c r="A505" t="inlineStr">
        <is>
          <t>A 457-2023</t>
        </is>
      </c>
      <c r="B505" s="1" t="n">
        <v>44929.87238425926</v>
      </c>
      <c r="C505" s="1" t="n">
        <v>45982</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459-2023</t>
        </is>
      </c>
      <c r="B506" s="1" t="n">
        <v>44929.87423611111</v>
      </c>
      <c r="C506" s="1" t="n">
        <v>45982</v>
      </c>
      <c r="D506" t="inlineStr">
        <is>
          <t>GOTLANDS LÄN</t>
        </is>
      </c>
      <c r="E506" t="inlineStr">
        <is>
          <t>GOTLAND</t>
        </is>
      </c>
      <c r="G506" t="n">
        <v>4.2</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45982</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26891-2024</t>
        </is>
      </c>
      <c r="B508" s="1" t="n">
        <v>45470.65540509259</v>
      </c>
      <c r="C508" s="1" t="n">
        <v>45982</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14536-2021</t>
        </is>
      </c>
      <c r="B509" s="1" t="n">
        <v>44279.66168981481</v>
      </c>
      <c r="C509" s="1" t="n">
        <v>45982</v>
      </c>
      <c r="D509" t="inlineStr">
        <is>
          <t>GOTLANDS LÄN</t>
        </is>
      </c>
      <c r="E509" t="inlineStr">
        <is>
          <t>GOTLAND</t>
        </is>
      </c>
      <c r="G509" t="n">
        <v>8.5</v>
      </c>
      <c r="H509" t="n">
        <v>0</v>
      </c>
      <c r="I509" t="n">
        <v>0</v>
      </c>
      <c r="J509" t="n">
        <v>0</v>
      </c>
      <c r="K509" t="n">
        <v>0</v>
      </c>
      <c r="L509" t="n">
        <v>0</v>
      </c>
      <c r="M509" t="n">
        <v>0</v>
      </c>
      <c r="N509" t="n">
        <v>0</v>
      </c>
      <c r="O509" t="n">
        <v>0</v>
      </c>
      <c r="P509" t="n">
        <v>0</v>
      </c>
      <c r="Q509" t="n">
        <v>0</v>
      </c>
      <c r="R509" s="2" t="inlineStr"/>
    </row>
    <row r="510" ht="15" customHeight="1">
      <c r="A510" t="inlineStr">
        <is>
          <t>A 5923-2023</t>
        </is>
      </c>
      <c r="B510" s="1" t="n">
        <v>44963.69503472222</v>
      </c>
      <c r="C510" s="1" t="n">
        <v>45982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50482-2024</t>
        </is>
      </c>
      <c r="B511" s="1" t="n">
        <v>45601.48114583334</v>
      </c>
      <c r="C511" s="1" t="n">
        <v>45982</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5943-2024</t>
        </is>
      </c>
      <c r="B512" s="1" t="n">
        <v>45336</v>
      </c>
      <c r="C512" s="1" t="n">
        <v>45982</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38234-2023</t>
        </is>
      </c>
      <c r="B513" s="1" t="n">
        <v>45161.56663194444</v>
      </c>
      <c r="C513" s="1" t="n">
        <v>45982</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1273-2023</t>
        </is>
      </c>
      <c r="B514" s="1" t="n">
        <v>44936</v>
      </c>
      <c r="C514" s="1" t="n">
        <v>45982</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17724-2024</t>
        </is>
      </c>
      <c r="B515" s="1" t="n">
        <v>45418.55096064815</v>
      </c>
      <c r="C515" s="1" t="n">
        <v>45982</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23978-2023</t>
        </is>
      </c>
      <c r="B516" s="1" t="n">
        <v>45078</v>
      </c>
      <c r="C516" s="1" t="n">
        <v>45982</v>
      </c>
      <c r="D516" t="inlineStr">
        <is>
          <t>GOTLANDS LÄN</t>
        </is>
      </c>
      <c r="E516" t="inlineStr">
        <is>
          <t>GOTLAND</t>
        </is>
      </c>
      <c r="F516" t="inlineStr">
        <is>
          <t>Naturvårdsverket</t>
        </is>
      </c>
      <c r="G516" t="n">
        <v>1.7</v>
      </c>
      <c r="H516" t="n">
        <v>0</v>
      </c>
      <c r="I516" t="n">
        <v>0</v>
      </c>
      <c r="J516" t="n">
        <v>0</v>
      </c>
      <c r="K516" t="n">
        <v>0</v>
      </c>
      <c r="L516" t="n">
        <v>0</v>
      </c>
      <c r="M516" t="n">
        <v>0</v>
      </c>
      <c r="N516" t="n">
        <v>0</v>
      </c>
      <c r="O516" t="n">
        <v>0</v>
      </c>
      <c r="P516" t="n">
        <v>0</v>
      </c>
      <c r="Q516" t="n">
        <v>0</v>
      </c>
      <c r="R516" s="2" t="inlineStr"/>
    </row>
    <row r="517" ht="15" customHeight="1">
      <c r="A517" t="inlineStr">
        <is>
          <t>A 49884-2023</t>
        </is>
      </c>
      <c r="B517" s="1" t="n">
        <v>45213</v>
      </c>
      <c r="C517" s="1" t="n">
        <v>45982</v>
      </c>
      <c r="D517" t="inlineStr">
        <is>
          <t>GOTLANDS LÄN</t>
        </is>
      </c>
      <c r="E517" t="inlineStr">
        <is>
          <t>GOTLAND</t>
        </is>
      </c>
      <c r="G517" t="n">
        <v>8.9</v>
      </c>
      <c r="H517" t="n">
        <v>0</v>
      </c>
      <c r="I517" t="n">
        <v>0</v>
      </c>
      <c r="J517" t="n">
        <v>0</v>
      </c>
      <c r="K517" t="n">
        <v>0</v>
      </c>
      <c r="L517" t="n">
        <v>0</v>
      </c>
      <c r="M517" t="n">
        <v>0</v>
      </c>
      <c r="N517" t="n">
        <v>0</v>
      </c>
      <c r="O517" t="n">
        <v>0</v>
      </c>
      <c r="P517" t="n">
        <v>0</v>
      </c>
      <c r="Q517" t="n">
        <v>0</v>
      </c>
      <c r="R517" s="2" t="inlineStr"/>
    </row>
    <row r="518" ht="15" customHeight="1">
      <c r="A518" t="inlineStr">
        <is>
          <t>A 12846-2025</t>
        </is>
      </c>
      <c r="B518" s="1" t="n">
        <v>45733.65049768519</v>
      </c>
      <c r="C518" s="1" t="n">
        <v>45982</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45982</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3935-2025</t>
        </is>
      </c>
      <c r="B520" s="1" t="n">
        <v>45684.46070601852</v>
      </c>
      <c r="C520" s="1" t="n">
        <v>45982</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21792-2024</t>
        </is>
      </c>
      <c r="B521" s="1" t="n">
        <v>45442.64326388889</v>
      </c>
      <c r="C521" s="1" t="n">
        <v>45982</v>
      </c>
      <c r="D521" t="inlineStr">
        <is>
          <t>GOTLANDS LÄN</t>
        </is>
      </c>
      <c r="E521" t="inlineStr">
        <is>
          <t>GOTLAND</t>
        </is>
      </c>
      <c r="G521" t="n">
        <v>1</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45982</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10653-2023</t>
        </is>
      </c>
      <c r="B523" s="1" t="n">
        <v>44988.48859953704</v>
      </c>
      <c r="C523" s="1" t="n">
        <v>45982</v>
      </c>
      <c r="D523" t="inlineStr">
        <is>
          <t>GOTLANDS LÄN</t>
        </is>
      </c>
      <c r="E523" t="inlineStr">
        <is>
          <t>GOTLAND</t>
        </is>
      </c>
      <c r="F523" t="inlineStr">
        <is>
          <t>Kyrkan</t>
        </is>
      </c>
      <c r="G523" t="n">
        <v>3</v>
      </c>
      <c r="H523" t="n">
        <v>0</v>
      </c>
      <c r="I523" t="n">
        <v>0</v>
      </c>
      <c r="J523" t="n">
        <v>0</v>
      </c>
      <c r="K523" t="n">
        <v>0</v>
      </c>
      <c r="L523" t="n">
        <v>0</v>
      </c>
      <c r="M523" t="n">
        <v>0</v>
      </c>
      <c r="N523" t="n">
        <v>0</v>
      </c>
      <c r="O523" t="n">
        <v>0</v>
      </c>
      <c r="P523" t="n">
        <v>0</v>
      </c>
      <c r="Q523" t="n">
        <v>0</v>
      </c>
      <c r="R523" s="2" t="inlineStr"/>
    </row>
    <row r="524" ht="15" customHeight="1">
      <c r="A524" t="inlineStr">
        <is>
          <t>A 35512-2023</t>
        </is>
      </c>
      <c r="B524" s="1" t="n">
        <v>45147.25623842593</v>
      </c>
      <c r="C524" s="1" t="n">
        <v>45982</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45982</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20225-2025</t>
        </is>
      </c>
      <c r="B526" s="1" t="n">
        <v>45772.65802083333</v>
      </c>
      <c r="C526" s="1" t="n">
        <v>45982</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1677-2023</t>
        </is>
      </c>
      <c r="B527" s="1" t="n">
        <v>44938</v>
      </c>
      <c r="C527" s="1" t="n">
        <v>45982</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64831-2023</t>
        </is>
      </c>
      <c r="B528" s="1" t="n">
        <v>45282.44924768519</v>
      </c>
      <c r="C528" s="1" t="n">
        <v>45982</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8036-2022</t>
        </is>
      </c>
      <c r="B529" s="1" t="n">
        <v>44609.44362268518</v>
      </c>
      <c r="C529" s="1" t="n">
        <v>45982</v>
      </c>
      <c r="D529" t="inlineStr">
        <is>
          <t>GOTLANDS LÄN</t>
        </is>
      </c>
      <c r="E529" t="inlineStr">
        <is>
          <t>GOTLAND</t>
        </is>
      </c>
      <c r="G529" t="n">
        <v>6.1</v>
      </c>
      <c r="H529" t="n">
        <v>0</v>
      </c>
      <c r="I529" t="n">
        <v>0</v>
      </c>
      <c r="J529" t="n">
        <v>0</v>
      </c>
      <c r="K529" t="n">
        <v>0</v>
      </c>
      <c r="L529" t="n">
        <v>0</v>
      </c>
      <c r="M529" t="n">
        <v>0</v>
      </c>
      <c r="N529" t="n">
        <v>0</v>
      </c>
      <c r="O529" t="n">
        <v>0</v>
      </c>
      <c r="P529" t="n">
        <v>0</v>
      </c>
      <c r="Q529" t="n">
        <v>0</v>
      </c>
      <c r="R529" s="2" t="inlineStr"/>
    </row>
    <row r="530" ht="15" customHeight="1">
      <c r="A530" t="inlineStr">
        <is>
          <t>A 46375-2024</t>
        </is>
      </c>
      <c r="B530" s="1" t="n">
        <v>45582</v>
      </c>
      <c r="C530" s="1" t="n">
        <v>45982</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62915-2021</t>
        </is>
      </c>
      <c r="B531" s="1" t="n">
        <v>44504</v>
      </c>
      <c r="C531" s="1" t="n">
        <v>45982</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7638-2025</t>
        </is>
      </c>
      <c r="B532" s="1" t="n">
        <v>45705.77306712963</v>
      </c>
      <c r="C532" s="1" t="n">
        <v>45982</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4377-2023</t>
        </is>
      </c>
      <c r="B533" s="1" t="n">
        <v>44955.5502662037</v>
      </c>
      <c r="C533" s="1" t="n">
        <v>45982</v>
      </c>
      <c r="D533" t="inlineStr">
        <is>
          <t>GOTLANDS LÄN</t>
        </is>
      </c>
      <c r="E533" t="inlineStr">
        <is>
          <t>GOTLAND</t>
        </is>
      </c>
      <c r="F533" t="inlineStr">
        <is>
          <t>Kyrkan</t>
        </is>
      </c>
      <c r="G533" t="n">
        <v>0.6</v>
      </c>
      <c r="H533" t="n">
        <v>0</v>
      </c>
      <c r="I533" t="n">
        <v>0</v>
      </c>
      <c r="J533" t="n">
        <v>0</v>
      </c>
      <c r="K533" t="n">
        <v>0</v>
      </c>
      <c r="L533" t="n">
        <v>0</v>
      </c>
      <c r="M533" t="n">
        <v>0</v>
      </c>
      <c r="N533" t="n">
        <v>0</v>
      </c>
      <c r="O533" t="n">
        <v>0</v>
      </c>
      <c r="P533" t="n">
        <v>0</v>
      </c>
      <c r="Q533" t="n">
        <v>0</v>
      </c>
      <c r="R533" s="2" t="inlineStr"/>
    </row>
    <row r="534" ht="15" customHeight="1">
      <c r="A534" t="inlineStr">
        <is>
          <t>A 43901-2023</t>
        </is>
      </c>
      <c r="B534" s="1" t="n">
        <v>45187</v>
      </c>
      <c r="C534" s="1" t="n">
        <v>45982</v>
      </c>
      <c r="D534" t="inlineStr">
        <is>
          <t>GOTLANDS LÄN</t>
        </is>
      </c>
      <c r="E534" t="inlineStr">
        <is>
          <t>GOTLAND</t>
        </is>
      </c>
      <c r="G534" t="n">
        <v>5.4</v>
      </c>
      <c r="H534" t="n">
        <v>0</v>
      </c>
      <c r="I534" t="n">
        <v>0</v>
      </c>
      <c r="J534" t="n">
        <v>0</v>
      </c>
      <c r="K534" t="n">
        <v>0</v>
      </c>
      <c r="L534" t="n">
        <v>0</v>
      </c>
      <c r="M534" t="n">
        <v>0</v>
      </c>
      <c r="N534" t="n">
        <v>0</v>
      </c>
      <c r="O534" t="n">
        <v>0</v>
      </c>
      <c r="P534" t="n">
        <v>0</v>
      </c>
      <c r="Q534" t="n">
        <v>0</v>
      </c>
      <c r="R534" s="2" t="inlineStr"/>
    </row>
    <row r="535" ht="15" customHeight="1">
      <c r="A535" t="inlineStr">
        <is>
          <t>A 17532-2024</t>
        </is>
      </c>
      <c r="B535" s="1" t="n">
        <v>45415</v>
      </c>
      <c r="C535" s="1" t="n">
        <v>45982</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45692-2023</t>
        </is>
      </c>
      <c r="B536" s="1" t="n">
        <v>45195</v>
      </c>
      <c r="C536" s="1" t="n">
        <v>45982</v>
      </c>
      <c r="D536" t="inlineStr">
        <is>
          <t>GOTLANDS LÄN</t>
        </is>
      </c>
      <c r="E536" t="inlineStr">
        <is>
          <t>GOTLAND</t>
        </is>
      </c>
      <c r="G536" t="n">
        <v>5.3</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45982</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45982</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45982</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53934-2024</t>
        </is>
      </c>
      <c r="B540" s="1" t="n">
        <v>45615</v>
      </c>
      <c r="C540" s="1" t="n">
        <v>45982</v>
      </c>
      <c r="D540" t="inlineStr">
        <is>
          <t>GOTLANDS LÄN</t>
        </is>
      </c>
      <c r="E540" t="inlineStr">
        <is>
          <t>GOTLAND</t>
        </is>
      </c>
      <c r="G540" t="n">
        <v>5</v>
      </c>
      <c r="H540" t="n">
        <v>0</v>
      </c>
      <c r="I540" t="n">
        <v>0</v>
      </c>
      <c r="J540" t="n">
        <v>0</v>
      </c>
      <c r="K540" t="n">
        <v>0</v>
      </c>
      <c r="L540" t="n">
        <v>0</v>
      </c>
      <c r="M540" t="n">
        <v>0</v>
      </c>
      <c r="N540" t="n">
        <v>0</v>
      </c>
      <c r="O540" t="n">
        <v>0</v>
      </c>
      <c r="P540" t="n">
        <v>0</v>
      </c>
      <c r="Q540" t="n">
        <v>0</v>
      </c>
      <c r="R540" s="2" t="inlineStr"/>
    </row>
    <row r="541" ht="15" customHeight="1">
      <c r="A541" t="inlineStr">
        <is>
          <t>A 58132-2023</t>
        </is>
      </c>
      <c r="B541" s="1" t="n">
        <v>45250</v>
      </c>
      <c r="C541" s="1" t="n">
        <v>45982</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22899-2023</t>
        </is>
      </c>
      <c r="B542" s="1" t="n">
        <v>45072</v>
      </c>
      <c r="C542" s="1" t="n">
        <v>45982</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28285-2024</t>
        </is>
      </c>
      <c r="B543" s="1" t="n">
        <v>45477</v>
      </c>
      <c r="C543" s="1" t="n">
        <v>45982</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51963-2024</t>
        </is>
      </c>
      <c r="B544" s="1" t="n">
        <v>45607.64833333333</v>
      </c>
      <c r="C544" s="1" t="n">
        <v>45982</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1734-2025</t>
        </is>
      </c>
      <c r="B545" s="1" t="n">
        <v>45671.3840625</v>
      </c>
      <c r="C545" s="1" t="n">
        <v>45982</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30365-2024</t>
        </is>
      </c>
      <c r="B546" s="1" t="n">
        <v>45491.3716087963</v>
      </c>
      <c r="C546" s="1" t="n">
        <v>45982</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45982</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61100-2022</t>
        </is>
      </c>
      <c r="B548" s="1" t="n">
        <v>44915</v>
      </c>
      <c r="C548" s="1" t="n">
        <v>45982</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45982</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10655-2023</t>
        </is>
      </c>
      <c r="B550" s="1" t="n">
        <v>44988.49543981482</v>
      </c>
      <c r="C550" s="1" t="n">
        <v>45982</v>
      </c>
      <c r="D550" t="inlineStr">
        <is>
          <t>GOTLANDS LÄN</t>
        </is>
      </c>
      <c r="E550" t="inlineStr">
        <is>
          <t>GOTLAND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44649-2021</t>
        </is>
      </c>
      <c r="B551" s="1" t="n">
        <v>44437</v>
      </c>
      <c r="C551" s="1" t="n">
        <v>45982</v>
      </c>
      <c r="D551" t="inlineStr">
        <is>
          <t>GOTLANDS LÄN</t>
        </is>
      </c>
      <c r="E551" t="inlineStr">
        <is>
          <t>GOTLAND</t>
        </is>
      </c>
      <c r="G551" t="n">
        <v>8.1</v>
      </c>
      <c r="H551" t="n">
        <v>0</v>
      </c>
      <c r="I551" t="n">
        <v>0</v>
      </c>
      <c r="J551" t="n">
        <v>0</v>
      </c>
      <c r="K551" t="n">
        <v>0</v>
      </c>
      <c r="L551" t="n">
        <v>0</v>
      </c>
      <c r="M551" t="n">
        <v>0</v>
      </c>
      <c r="N551" t="n">
        <v>0</v>
      </c>
      <c r="O551" t="n">
        <v>0</v>
      </c>
      <c r="P551" t="n">
        <v>0</v>
      </c>
      <c r="Q551" t="n">
        <v>0</v>
      </c>
      <c r="R551" s="2" t="inlineStr"/>
    </row>
    <row r="552" ht="15" customHeight="1">
      <c r="A552" t="inlineStr">
        <is>
          <t>A 8484-2025</t>
        </is>
      </c>
      <c r="B552" s="1" t="n">
        <v>45709</v>
      </c>
      <c r="C552" s="1" t="n">
        <v>45982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49962-2023</t>
        </is>
      </c>
      <c r="B553" s="1" t="n">
        <v>45215.38775462963</v>
      </c>
      <c r="C553" s="1" t="n">
        <v>45982</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50744-2024</t>
        </is>
      </c>
      <c r="B554" s="1" t="n">
        <v>45602.4187037037</v>
      </c>
      <c r="C554" s="1" t="n">
        <v>45982</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45244-2024</t>
        </is>
      </c>
      <c r="B555" s="1" t="n">
        <v>45576</v>
      </c>
      <c r="C555" s="1" t="n">
        <v>45982</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38787-2023</t>
        </is>
      </c>
      <c r="B556" s="1" t="n">
        <v>45163</v>
      </c>
      <c r="C556" s="1" t="n">
        <v>45982</v>
      </c>
      <c r="D556" t="inlineStr">
        <is>
          <t>GOTLANDS LÄN</t>
        </is>
      </c>
      <c r="E556" t="inlineStr">
        <is>
          <t>GOTLAND</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2714-2023</t>
        </is>
      </c>
      <c r="B557" s="1" t="n">
        <v>44944.54896990741</v>
      </c>
      <c r="C557" s="1" t="n">
        <v>45982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22897-2023</t>
        </is>
      </c>
      <c r="B558" s="1" t="n">
        <v>45072.55239583334</v>
      </c>
      <c r="C558" s="1" t="n">
        <v>45982</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4568-2025</t>
        </is>
      </c>
      <c r="B559" s="1" t="n">
        <v>45687</v>
      </c>
      <c r="C559" s="1" t="n">
        <v>45982</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1681-2023</t>
        </is>
      </c>
      <c r="B560" s="1" t="n">
        <v>44938.39715277778</v>
      </c>
      <c r="C560" s="1" t="n">
        <v>45982</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42338-2023</t>
        </is>
      </c>
      <c r="B561" s="1" t="n">
        <v>45180</v>
      </c>
      <c r="C561" s="1" t="n">
        <v>45982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18918-2025</t>
        </is>
      </c>
      <c r="B562" s="1" t="n">
        <v>45764</v>
      </c>
      <c r="C562" s="1" t="n">
        <v>45982</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11013-2024</t>
        </is>
      </c>
      <c r="B563" s="1" t="n">
        <v>45370</v>
      </c>
      <c r="C563" s="1" t="n">
        <v>45982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45084-2024</t>
        </is>
      </c>
      <c r="B564" s="1" t="n">
        <v>45575</v>
      </c>
      <c r="C564" s="1" t="n">
        <v>45982</v>
      </c>
      <c r="D564" t="inlineStr">
        <is>
          <t>GOTLANDS LÄN</t>
        </is>
      </c>
      <c r="E564" t="inlineStr">
        <is>
          <t>GOTLAND</t>
        </is>
      </c>
      <c r="G564" t="n">
        <v>6.8</v>
      </c>
      <c r="H564" t="n">
        <v>0</v>
      </c>
      <c r="I564" t="n">
        <v>0</v>
      </c>
      <c r="J564" t="n">
        <v>0</v>
      </c>
      <c r="K564" t="n">
        <v>0</v>
      </c>
      <c r="L564" t="n">
        <v>0</v>
      </c>
      <c r="M564" t="n">
        <v>0</v>
      </c>
      <c r="N564" t="n">
        <v>0</v>
      </c>
      <c r="O564" t="n">
        <v>0</v>
      </c>
      <c r="P564" t="n">
        <v>0</v>
      </c>
      <c r="Q564" t="n">
        <v>0</v>
      </c>
      <c r="R564" s="2" t="inlineStr"/>
    </row>
    <row r="565" ht="15" customHeight="1">
      <c r="A565" t="inlineStr">
        <is>
          <t>A 20356-2022</t>
        </is>
      </c>
      <c r="B565" s="1" t="n">
        <v>44699</v>
      </c>
      <c r="C565" s="1" t="n">
        <v>45982</v>
      </c>
      <c r="D565" t="inlineStr">
        <is>
          <t>GOTLANDS LÄN</t>
        </is>
      </c>
      <c r="E565" t="inlineStr">
        <is>
          <t>GOTLAND</t>
        </is>
      </c>
      <c r="F565" t="inlineStr">
        <is>
          <t>Övriga Aktiebolag</t>
        </is>
      </c>
      <c r="G565" t="n">
        <v>4.4</v>
      </c>
      <c r="H565" t="n">
        <v>0</v>
      </c>
      <c r="I565" t="n">
        <v>0</v>
      </c>
      <c r="J565" t="n">
        <v>0</v>
      </c>
      <c r="K565" t="n">
        <v>0</v>
      </c>
      <c r="L565" t="n">
        <v>0</v>
      </c>
      <c r="M565" t="n">
        <v>0</v>
      </c>
      <c r="N565" t="n">
        <v>0</v>
      </c>
      <c r="O565" t="n">
        <v>0</v>
      </c>
      <c r="P565" t="n">
        <v>0</v>
      </c>
      <c r="Q565" t="n">
        <v>0</v>
      </c>
      <c r="R565" s="2" t="inlineStr"/>
    </row>
    <row r="566" ht="15" customHeight="1">
      <c r="A566" t="inlineStr">
        <is>
          <t>A 4868-2024</t>
        </is>
      </c>
      <c r="B566" s="1" t="n">
        <v>45329</v>
      </c>
      <c r="C566" s="1" t="n">
        <v>45982</v>
      </c>
      <c r="D566" t="inlineStr">
        <is>
          <t>GOTLANDS LÄN</t>
        </is>
      </c>
      <c r="E566" t="inlineStr">
        <is>
          <t>GOTLAND</t>
        </is>
      </c>
      <c r="G566" t="n">
        <v>7.1</v>
      </c>
      <c r="H566" t="n">
        <v>0</v>
      </c>
      <c r="I566" t="n">
        <v>0</v>
      </c>
      <c r="J566" t="n">
        <v>0</v>
      </c>
      <c r="K566" t="n">
        <v>0</v>
      </c>
      <c r="L566" t="n">
        <v>0</v>
      </c>
      <c r="M566" t="n">
        <v>0</v>
      </c>
      <c r="N566" t="n">
        <v>0</v>
      </c>
      <c r="O566" t="n">
        <v>0</v>
      </c>
      <c r="P566" t="n">
        <v>0</v>
      </c>
      <c r="Q566" t="n">
        <v>0</v>
      </c>
      <c r="R566" s="2" t="inlineStr"/>
    </row>
    <row r="567" ht="15" customHeight="1">
      <c r="A567" t="inlineStr">
        <is>
          <t>A 9613-2025</t>
        </is>
      </c>
      <c r="B567" s="1" t="n">
        <v>45715</v>
      </c>
      <c r="C567" s="1" t="n">
        <v>45982</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5386-2023</t>
        </is>
      </c>
      <c r="B568" s="1" t="n">
        <v>44959</v>
      </c>
      <c r="C568" s="1" t="n">
        <v>45982</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58211-2024</t>
        </is>
      </c>
      <c r="B569" s="1" t="n">
        <v>45632.49292824074</v>
      </c>
      <c r="C569" s="1" t="n">
        <v>45982</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11634-2024</t>
        </is>
      </c>
      <c r="B570" s="1" t="n">
        <v>45373</v>
      </c>
      <c r="C570" s="1" t="n">
        <v>45982</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5884-2025</t>
        </is>
      </c>
      <c r="B571" s="1" t="n">
        <v>45695.37482638889</v>
      </c>
      <c r="C571" s="1" t="n">
        <v>45982</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5897-2025</t>
        </is>
      </c>
      <c r="B572" s="1" t="n">
        <v>45695.39273148148</v>
      </c>
      <c r="C572" s="1" t="n">
        <v>45982</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5909-2025</t>
        </is>
      </c>
      <c r="B573" s="1" t="n">
        <v>45695.40634259259</v>
      </c>
      <c r="C573" s="1" t="n">
        <v>45982</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60086-2022</t>
        </is>
      </c>
      <c r="B574" s="1" t="n">
        <v>44909</v>
      </c>
      <c r="C574" s="1" t="n">
        <v>45982</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22704-2023</t>
        </is>
      </c>
      <c r="B575" s="1" t="n">
        <v>45071</v>
      </c>
      <c r="C575" s="1" t="n">
        <v>45982</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25866-2022</t>
        </is>
      </c>
      <c r="B576" s="1" t="n">
        <v>44733</v>
      </c>
      <c r="C576" s="1" t="n">
        <v>45982</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9887-2025</t>
        </is>
      </c>
      <c r="B577" s="1" t="n">
        <v>45716</v>
      </c>
      <c r="C577" s="1" t="n">
        <v>45982</v>
      </c>
      <c r="D577" t="inlineStr">
        <is>
          <t>GOTLANDS LÄN</t>
        </is>
      </c>
      <c r="E577" t="inlineStr">
        <is>
          <t>GOTLAND</t>
        </is>
      </c>
      <c r="G577" t="n">
        <v>7.5</v>
      </c>
      <c r="H577" t="n">
        <v>0</v>
      </c>
      <c r="I577" t="n">
        <v>0</v>
      </c>
      <c r="J577" t="n">
        <v>0</v>
      </c>
      <c r="K577" t="n">
        <v>0</v>
      </c>
      <c r="L577" t="n">
        <v>0</v>
      </c>
      <c r="M577" t="n">
        <v>0</v>
      </c>
      <c r="N577" t="n">
        <v>0</v>
      </c>
      <c r="O577" t="n">
        <v>0</v>
      </c>
      <c r="P577" t="n">
        <v>0</v>
      </c>
      <c r="Q577" t="n">
        <v>0</v>
      </c>
      <c r="R577" s="2" t="inlineStr"/>
    </row>
    <row r="578" ht="15" customHeight="1">
      <c r="A578" t="inlineStr">
        <is>
          <t>A 12209-2024</t>
        </is>
      </c>
      <c r="B578" s="1" t="n">
        <v>45378</v>
      </c>
      <c r="C578" s="1" t="n">
        <v>45982</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12210-2024</t>
        </is>
      </c>
      <c r="B579" s="1" t="n">
        <v>45378</v>
      </c>
      <c r="C579" s="1" t="n">
        <v>45982</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59986-2022</t>
        </is>
      </c>
      <c r="B580" s="1" t="n">
        <v>44909</v>
      </c>
      <c r="C580" s="1" t="n">
        <v>45982</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31802-2024</t>
        </is>
      </c>
      <c r="B581" s="1" t="n">
        <v>45509</v>
      </c>
      <c r="C581" s="1" t="n">
        <v>45982</v>
      </c>
      <c r="D581" t="inlineStr">
        <is>
          <t>GOTLANDS LÄN</t>
        </is>
      </c>
      <c r="E581" t="inlineStr">
        <is>
          <t>GOTLAND</t>
        </is>
      </c>
      <c r="G581" t="n">
        <v>2.8</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45982</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15042-2025</t>
        </is>
      </c>
      <c r="B583" s="1" t="n">
        <v>45743</v>
      </c>
      <c r="C583" s="1" t="n">
        <v>45982</v>
      </c>
      <c r="D583" t="inlineStr">
        <is>
          <t>GOTLANDS LÄN</t>
        </is>
      </c>
      <c r="E583" t="inlineStr">
        <is>
          <t>GOTLAND</t>
        </is>
      </c>
      <c r="G583" t="n">
        <v>8.5</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45982</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4420-2025</t>
        </is>
      </c>
      <c r="B585" s="1" t="n">
        <v>45686.47157407407</v>
      </c>
      <c r="C585" s="1" t="n">
        <v>45982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14427-2024</t>
        </is>
      </c>
      <c r="B586" s="1" t="n">
        <v>45394</v>
      </c>
      <c r="C586" s="1" t="n">
        <v>45982</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49257-2024</t>
        </is>
      </c>
      <c r="B587" s="1" t="n">
        <v>45595.47627314815</v>
      </c>
      <c r="C587" s="1" t="n">
        <v>45982</v>
      </c>
      <c r="D587" t="inlineStr">
        <is>
          <t>GOTLANDS LÄN</t>
        </is>
      </c>
      <c r="E587" t="inlineStr">
        <is>
          <t>GOTLAND</t>
        </is>
      </c>
      <c r="G587" t="n">
        <v>6.3</v>
      </c>
      <c r="H587" t="n">
        <v>0</v>
      </c>
      <c r="I587" t="n">
        <v>0</v>
      </c>
      <c r="J587" t="n">
        <v>0</v>
      </c>
      <c r="K587" t="n">
        <v>0</v>
      </c>
      <c r="L587" t="n">
        <v>0</v>
      </c>
      <c r="M587" t="n">
        <v>0</v>
      </c>
      <c r="N587" t="n">
        <v>0</v>
      </c>
      <c r="O587" t="n">
        <v>0</v>
      </c>
      <c r="P587" t="n">
        <v>0</v>
      </c>
      <c r="Q587" t="n">
        <v>0</v>
      </c>
      <c r="R587" s="2" t="inlineStr"/>
    </row>
    <row r="588" ht="15" customHeight="1">
      <c r="A588" t="inlineStr">
        <is>
          <t>A 49315-2024</t>
        </is>
      </c>
      <c r="B588" s="1" t="n">
        <v>45595</v>
      </c>
      <c r="C588" s="1" t="n">
        <v>45982</v>
      </c>
      <c r="D588" t="inlineStr">
        <is>
          <t>GOTLANDS LÄN</t>
        </is>
      </c>
      <c r="E588" t="inlineStr">
        <is>
          <t>GOTLAND</t>
        </is>
      </c>
      <c r="G588" t="n">
        <v>1.5</v>
      </c>
      <c r="H588" t="n">
        <v>0</v>
      </c>
      <c r="I588" t="n">
        <v>0</v>
      </c>
      <c r="J588" t="n">
        <v>0</v>
      </c>
      <c r="K588" t="n">
        <v>0</v>
      </c>
      <c r="L588" t="n">
        <v>0</v>
      </c>
      <c r="M588" t="n">
        <v>0</v>
      </c>
      <c r="N588" t="n">
        <v>0</v>
      </c>
      <c r="O588" t="n">
        <v>0</v>
      </c>
      <c r="P588" t="n">
        <v>0</v>
      </c>
      <c r="Q588" t="n">
        <v>0</v>
      </c>
      <c r="R588" s="2" t="inlineStr"/>
    </row>
    <row r="589" ht="15" customHeight="1">
      <c r="A589" t="inlineStr">
        <is>
          <t>A 27596-2023</t>
        </is>
      </c>
      <c r="B589" s="1" t="n">
        <v>45097</v>
      </c>
      <c r="C589" s="1" t="n">
        <v>45982</v>
      </c>
      <c r="D589" t="inlineStr">
        <is>
          <t>GOTLANDS LÄN</t>
        </is>
      </c>
      <c r="E589" t="inlineStr">
        <is>
          <t>GOTLAND</t>
        </is>
      </c>
      <c r="G589" t="n">
        <v>3.6</v>
      </c>
      <c r="H589" t="n">
        <v>0</v>
      </c>
      <c r="I589" t="n">
        <v>0</v>
      </c>
      <c r="J589" t="n">
        <v>0</v>
      </c>
      <c r="K589" t="n">
        <v>0</v>
      </c>
      <c r="L589" t="n">
        <v>0</v>
      </c>
      <c r="M589" t="n">
        <v>0</v>
      </c>
      <c r="N589" t="n">
        <v>0</v>
      </c>
      <c r="O589" t="n">
        <v>0</v>
      </c>
      <c r="P589" t="n">
        <v>0</v>
      </c>
      <c r="Q589" t="n">
        <v>0</v>
      </c>
      <c r="R589" s="2" t="inlineStr"/>
    </row>
    <row r="590" ht="15" customHeight="1">
      <c r="A590" t="inlineStr">
        <is>
          <t>A 56115-2023</t>
        </is>
      </c>
      <c r="B590" s="1" t="n">
        <v>45236</v>
      </c>
      <c r="C590" s="1" t="n">
        <v>45982</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64969-2023</t>
        </is>
      </c>
      <c r="B591" s="1" t="n">
        <v>45284.54009259259</v>
      </c>
      <c r="C591" s="1" t="n">
        <v>45982</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45982</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18223-2025</t>
        </is>
      </c>
      <c r="B593" s="1" t="n">
        <v>45761</v>
      </c>
      <c r="C593" s="1" t="n">
        <v>45982</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46949-2024</t>
        </is>
      </c>
      <c r="B594" s="1" t="n">
        <v>45585</v>
      </c>
      <c r="C594" s="1" t="n">
        <v>45982</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24001-2021</t>
        </is>
      </c>
      <c r="B595" s="1" t="n">
        <v>44335</v>
      </c>
      <c r="C595" s="1" t="n">
        <v>45982</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39479-2022</t>
        </is>
      </c>
      <c r="B596" s="1" t="n">
        <v>44818</v>
      </c>
      <c r="C596" s="1" t="n">
        <v>45982</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39496-2022</t>
        </is>
      </c>
      <c r="B597" s="1" t="n">
        <v>44818</v>
      </c>
      <c r="C597" s="1" t="n">
        <v>45982</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46389-2021</t>
        </is>
      </c>
      <c r="B598" s="1" t="n">
        <v>44443</v>
      </c>
      <c r="C598" s="1" t="n">
        <v>45982</v>
      </c>
      <c r="D598" t="inlineStr">
        <is>
          <t>GOTLANDS LÄN</t>
        </is>
      </c>
      <c r="E598" t="inlineStr">
        <is>
          <t>GOTLAND</t>
        </is>
      </c>
      <c r="F598" t="inlineStr">
        <is>
          <t>Kyrkan</t>
        </is>
      </c>
      <c r="G598" t="n">
        <v>2.1</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45982</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17682-2024</t>
        </is>
      </c>
      <c r="B600" s="1" t="n">
        <v>45418.42966435185</v>
      </c>
      <c r="C600" s="1" t="n">
        <v>45982</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61897-2024</t>
        </is>
      </c>
      <c r="B601" s="1" t="n">
        <v>45652.75685185185</v>
      </c>
      <c r="C601" s="1" t="n">
        <v>45982</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12032-2025</t>
        </is>
      </c>
      <c r="B602" s="1" t="n">
        <v>45728.64472222222</v>
      </c>
      <c r="C602" s="1" t="n">
        <v>45982</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15595-2024</t>
        </is>
      </c>
      <c r="B603" s="1" t="n">
        <v>45401.81480324074</v>
      </c>
      <c r="C603" s="1" t="n">
        <v>45982</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21164-2024</t>
        </is>
      </c>
      <c r="B604" s="1" t="n">
        <v>45440</v>
      </c>
      <c r="C604" s="1" t="n">
        <v>45982</v>
      </c>
      <c r="D604" t="inlineStr">
        <is>
          <t>GOTLANDS LÄN</t>
        </is>
      </c>
      <c r="E604" t="inlineStr">
        <is>
          <t>GOTLAND</t>
        </is>
      </c>
      <c r="G604" t="n">
        <v>6.3</v>
      </c>
      <c r="H604" t="n">
        <v>0</v>
      </c>
      <c r="I604" t="n">
        <v>0</v>
      </c>
      <c r="J604" t="n">
        <v>0</v>
      </c>
      <c r="K604" t="n">
        <v>0</v>
      </c>
      <c r="L604" t="n">
        <v>0</v>
      </c>
      <c r="M604" t="n">
        <v>0</v>
      </c>
      <c r="N604" t="n">
        <v>0</v>
      </c>
      <c r="O604" t="n">
        <v>0</v>
      </c>
      <c r="P604" t="n">
        <v>0</v>
      </c>
      <c r="Q604" t="n">
        <v>0</v>
      </c>
      <c r="R604" s="2" t="inlineStr"/>
    </row>
    <row r="605" ht="15" customHeight="1">
      <c r="A605" t="inlineStr">
        <is>
          <t>A 17541-2024</t>
        </is>
      </c>
      <c r="B605" s="1" t="n">
        <v>45415</v>
      </c>
      <c r="C605" s="1" t="n">
        <v>45982</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883-2025</t>
        </is>
      </c>
      <c r="B606" s="1" t="n">
        <v>45665</v>
      </c>
      <c r="C606" s="1" t="n">
        <v>45982</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13910-2025</t>
        </is>
      </c>
      <c r="B607" s="1" t="n">
        <v>45737</v>
      </c>
      <c r="C607" s="1" t="n">
        <v>45982</v>
      </c>
      <c r="D607" t="inlineStr">
        <is>
          <t>GOTLANDS LÄN</t>
        </is>
      </c>
      <c r="E607" t="inlineStr">
        <is>
          <t>GOTLAND</t>
        </is>
      </c>
      <c r="F607" t="inlineStr">
        <is>
          <t>Kommuner</t>
        </is>
      </c>
      <c r="G607" t="n">
        <v>3.2</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45982</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45982</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45982</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45982</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2025-11-21T19:52:16Z</dcterms:created>
  <dcterms:modified xmlns:dcterms="http://purl.org/dc/terms/" xmlns:xsi="http://www.w3.org/2001/XMLSchema-instance" xsi:type="dcterms:W3CDTF">2025-11-21T19:52:17Z</dcterms:modified>
</cp:coreProperties>
</file>