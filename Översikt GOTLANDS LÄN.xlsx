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46064</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46064</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46064</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46064</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46064</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46064</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46064</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46064</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46064</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46064</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62132-2023</t>
        </is>
      </c>
      <c r="B29" s="1" t="n">
        <v>45267</v>
      </c>
      <c r="C29" s="1" t="n">
        <v>46064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15629-2024</t>
        </is>
      </c>
      <c r="B30" s="1" t="n">
        <v>45402.78372685185</v>
      </c>
      <c r="C30" s="1" t="n">
        <v>46064</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61697-2023</t>
        </is>
      </c>
      <c r="B31" s="1" t="n">
        <v>45265</v>
      </c>
      <c r="C31" s="1" t="n">
        <v>46064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17762-2024</t>
        </is>
      </c>
      <c r="B32" s="1" t="n">
        <v>45418</v>
      </c>
      <c r="C32" s="1" t="n">
        <v>46064</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46064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46064</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46064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46064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46064</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46064</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46064</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46064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46064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46064</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14354-2024</t>
        </is>
      </c>
      <c r="B48" s="1" t="n">
        <v>45393</v>
      </c>
      <c r="C48" s="1" t="n">
        <v>46064</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46064</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46064</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22404-2024</t>
        </is>
      </c>
      <c r="B51" s="1" t="n">
        <v>45446</v>
      </c>
      <c r="C51" s="1" t="n">
        <v>46064</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1719-2025</t>
        </is>
      </c>
      <c r="B52" s="1" t="n">
        <v>45671</v>
      </c>
      <c r="C52" s="1" t="n">
        <v>46064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46064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46064</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46064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46064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46064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46064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46064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46064</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27168-2022</t>
        </is>
      </c>
      <c r="B64" s="1" t="n">
        <v>44741</v>
      </c>
      <c r="C64" s="1" t="n">
        <v>46064</v>
      </c>
      <c r="D64" t="inlineStr">
        <is>
          <t>GOTLANDS LÄN</t>
        </is>
      </c>
      <c r="E64" t="inlineStr">
        <is>
          <t>GOTLAND</t>
        </is>
      </c>
      <c r="G64" t="n">
        <v>2.2</v>
      </c>
      <c r="H64" t="n">
        <v>4</v>
      </c>
      <c r="I64" t="n">
        <v>2</v>
      </c>
      <c r="J64" t="n">
        <v>2</v>
      </c>
      <c r="K64" t="n">
        <v>1</v>
      </c>
      <c r="L64" t="n">
        <v>0</v>
      </c>
      <c r="M64" t="n">
        <v>0</v>
      </c>
      <c r="N64" t="n">
        <v>0</v>
      </c>
      <c r="O64" t="n">
        <v>3</v>
      </c>
      <c r="P64" t="n">
        <v>1</v>
      </c>
      <c r="Q64" t="n">
        <v>7</v>
      </c>
      <c r="R64" s="2" t="inlineStr">
        <is>
          <t>Gotlandsmåra
Solvända
Svinrot
Purpurknipprot
Vit skogslilja
Brudsporre
Kärrknipprot</t>
        </is>
      </c>
      <c r="S64">
        <f>HYPERLINK("https://klasma.github.io/Logging_0980/artfynd/A 27168-2022 artfynd.xlsx", "A 27168-2022")</f>
        <v/>
      </c>
      <c r="T64">
        <f>HYPERLINK("https://klasma.github.io/Logging_0980/kartor/A 27168-2022 karta.png", "A 27168-2022")</f>
        <v/>
      </c>
      <c r="V64">
        <f>HYPERLINK("https://klasma.github.io/Logging_0980/klagomål/A 27168-2022 FSC-klagomål.docx", "A 27168-2022")</f>
        <v/>
      </c>
      <c r="W64">
        <f>HYPERLINK("https://klasma.github.io/Logging_0980/klagomålsmail/A 27168-2022 FSC-klagomål mail.docx", "A 27168-2022")</f>
        <v/>
      </c>
      <c r="X64">
        <f>HYPERLINK("https://klasma.github.io/Logging_0980/tillsyn/A 27168-2022 tillsynsbegäran.docx", "A 27168-2022")</f>
        <v/>
      </c>
      <c r="Y64">
        <f>HYPERLINK("https://klasma.github.io/Logging_0980/tillsynsmail/A 27168-2022 tillsynsbegäran mail.docx", "A 27168-2022")</f>
        <v/>
      </c>
    </row>
    <row r="65" ht="15" customHeight="1">
      <c r="A65" t="inlineStr">
        <is>
          <t>A 56687-2025</t>
        </is>
      </c>
      <c r="B65" s="1" t="n">
        <v>45975.84065972222</v>
      </c>
      <c r="C65" s="1" t="n">
        <v>46064</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46064</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46064</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46064</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18541-2024</t>
        </is>
      </c>
      <c r="B69" s="1" t="n">
        <v>45425</v>
      </c>
      <c r="C69" s="1" t="n">
        <v>46064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25205-2021</t>
        </is>
      </c>
      <c r="B70" s="1" t="n">
        <v>44342</v>
      </c>
      <c r="C70" s="1" t="n">
        <v>46064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46064</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46064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46064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46064</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46064</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46064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46064</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46064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46064</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46064</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46064</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46064</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46064</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6839-2026</t>
        </is>
      </c>
      <c r="B85" s="1" t="n">
        <v>46057.41193287037</v>
      </c>
      <c r="C85" s="1" t="n">
        <v>46064</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52245-2025</t>
        </is>
      </c>
      <c r="B86" s="1" t="n">
        <v>45953.47115740741</v>
      </c>
      <c r="C86" s="1" t="n">
        <v>46064</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42936-2024</t>
        </is>
      </c>
      <c r="B87" s="1" t="n">
        <v>45567</v>
      </c>
      <c r="C87" s="1" t="n">
        <v>46064</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46064</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40099-2025</t>
        </is>
      </c>
      <c r="B90" s="1" t="n">
        <v>45894.48462962963</v>
      </c>
      <c r="C90" s="1" t="n">
        <v>46064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5904-2024</t>
        </is>
      </c>
      <c r="B91" s="1" t="n">
        <v>45335</v>
      </c>
      <c r="C91" s="1" t="n">
        <v>46064</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44933-2022</t>
        </is>
      </c>
      <c r="B92" s="1" t="n">
        <v>44841</v>
      </c>
      <c r="C92" s="1" t="n">
        <v>46064</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56717-2024</t>
        </is>
      </c>
      <c r="B93" s="1" t="n">
        <v>45628.3166550926</v>
      </c>
      <c r="C93" s="1" t="n">
        <v>46064</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2485-2025</t>
        </is>
      </c>
      <c r="B94" s="1" t="n">
        <v>45673</v>
      </c>
      <c r="C94" s="1" t="n">
        <v>46064</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20833-2024</t>
        </is>
      </c>
      <c r="B95" s="1" t="n">
        <v>45439</v>
      </c>
      <c r="C95" s="1" t="n">
        <v>46064</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6159-2023</t>
        </is>
      </c>
      <c r="B96" s="1" t="n">
        <v>44964</v>
      </c>
      <c r="C96" s="1" t="n">
        <v>46064</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46064</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1971-2023</t>
        </is>
      </c>
      <c r="B98" s="1" t="n">
        <v>44939</v>
      </c>
      <c r="C98" s="1" t="n">
        <v>46064</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54523-2023</t>
        </is>
      </c>
      <c r="B99" s="1" t="n">
        <v>45233</v>
      </c>
      <c r="C99" s="1" t="n">
        <v>46064</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186-2023</t>
        </is>
      </c>
      <c r="B100" s="1" t="n">
        <v>44928</v>
      </c>
      <c r="C100" s="1" t="n">
        <v>46064</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6836-2026</t>
        </is>
      </c>
      <c r="B101" s="1" t="n">
        <v>46057.40902777778</v>
      </c>
      <c r="C101" s="1" t="n">
        <v>46064</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52250-2025</t>
        </is>
      </c>
      <c r="B102" s="1" t="n">
        <v>45953.48998842593</v>
      </c>
      <c r="C102" s="1" t="n">
        <v>46064</v>
      </c>
      <c r="D102" t="inlineStr">
        <is>
          <t>GOTLANDS LÄN</t>
        </is>
      </c>
      <c r="E102" t="inlineStr">
        <is>
          <t>GOTLAND</t>
        </is>
      </c>
      <c r="F102" t="inlineStr">
        <is>
          <t>Övriga Aktiebolag</t>
        </is>
      </c>
      <c r="G102" t="n">
        <v>1.2</v>
      </c>
      <c r="H102" t="n">
        <v>2</v>
      </c>
      <c r="I102" t="n">
        <v>1</v>
      </c>
      <c r="J102" t="n">
        <v>2</v>
      </c>
      <c r="K102" t="n">
        <v>0</v>
      </c>
      <c r="L102" t="n">
        <v>0</v>
      </c>
      <c r="M102" t="n">
        <v>0</v>
      </c>
      <c r="N102" t="n">
        <v>0</v>
      </c>
      <c r="O102" t="n">
        <v>2</v>
      </c>
      <c r="P102" t="n">
        <v>0</v>
      </c>
      <c r="Q102" t="n">
        <v>4</v>
      </c>
      <c r="R102" s="2" t="inlineStr">
        <is>
          <t>Backtimjan
Spillkråka
Anisspindling
Nattviol</t>
        </is>
      </c>
      <c r="S102">
        <f>HYPERLINK("https://klasma.github.io/Logging_0980/artfynd/A 52250-2025 artfynd.xlsx", "A 52250-2025")</f>
        <v/>
      </c>
      <c r="T102">
        <f>HYPERLINK("https://klasma.github.io/Logging_0980/kartor/A 52250-2025 karta.png", "A 52250-2025")</f>
        <v/>
      </c>
      <c r="V102">
        <f>HYPERLINK("https://klasma.github.io/Logging_0980/klagomål/A 52250-2025 FSC-klagomål.docx", "A 52250-2025")</f>
        <v/>
      </c>
      <c r="W102">
        <f>HYPERLINK("https://klasma.github.io/Logging_0980/klagomålsmail/A 52250-2025 FSC-klagomål mail.docx", "A 52250-2025")</f>
        <v/>
      </c>
      <c r="X102">
        <f>HYPERLINK("https://klasma.github.io/Logging_0980/tillsyn/A 52250-2025 tillsynsbegäran.docx", "A 52250-2025")</f>
        <v/>
      </c>
      <c r="Y102">
        <f>HYPERLINK("https://klasma.github.io/Logging_0980/tillsynsmail/A 52250-2025 tillsynsbegäran mail.docx", "A 52250-2025")</f>
        <v/>
      </c>
      <c r="Z102">
        <f>HYPERLINK("https://klasma.github.io/Logging_0980/fåglar/A 52250-2025 prioriterade fågelarter.docx", "A 52250-2025")</f>
        <v/>
      </c>
    </row>
    <row r="103" ht="15" customHeight="1">
      <c r="A103" t="inlineStr">
        <is>
          <t>A 57463-2025</t>
        </is>
      </c>
      <c r="B103" s="1" t="n">
        <v>45980.54174768519</v>
      </c>
      <c r="C103" s="1" t="n">
        <v>46064</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57463-2025 artfynd.xlsx", "A 57463-2025")</f>
        <v/>
      </c>
      <c r="T103">
        <f>HYPERLINK("https://klasma.github.io/Logging_0980/kartor/A 57463-2025 karta.png", "A 57463-2025")</f>
        <v/>
      </c>
      <c r="V103">
        <f>HYPERLINK("https://klasma.github.io/Logging_0980/klagomål/A 57463-2025 FSC-klagomål.docx", "A 57463-2025")</f>
        <v/>
      </c>
      <c r="W103">
        <f>HYPERLINK("https://klasma.github.io/Logging_0980/klagomålsmail/A 57463-2025 FSC-klagomål mail.docx", "A 57463-2025")</f>
        <v/>
      </c>
      <c r="X103">
        <f>HYPERLINK("https://klasma.github.io/Logging_0980/tillsyn/A 57463-2025 tillsynsbegäran.docx", "A 57463-2025")</f>
        <v/>
      </c>
      <c r="Y103">
        <f>HYPERLINK("https://klasma.github.io/Logging_0980/tillsynsmail/A 57463-2025 tillsynsbegäran mail.docx", "A 57463-2025")</f>
        <v/>
      </c>
    </row>
    <row r="104" ht="15" customHeight="1">
      <c r="A104" t="inlineStr">
        <is>
          <t>A 8265-2023</t>
        </is>
      </c>
      <c r="B104" s="1" t="n">
        <v>44974</v>
      </c>
      <c r="C104" s="1" t="n">
        <v>46064</v>
      </c>
      <c r="D104" t="inlineStr">
        <is>
          <t>GOTLANDS LÄN</t>
        </is>
      </c>
      <c r="E104" t="inlineStr">
        <is>
          <t>GOTLAND</t>
        </is>
      </c>
      <c r="G104" t="n">
        <v>3.3</v>
      </c>
      <c r="H104" t="n">
        <v>4</v>
      </c>
      <c r="I104" t="n">
        <v>3</v>
      </c>
      <c r="J104" t="n">
        <v>0</v>
      </c>
      <c r="K104" t="n">
        <v>0</v>
      </c>
      <c r="L104" t="n">
        <v>0</v>
      </c>
      <c r="M104" t="n">
        <v>0</v>
      </c>
      <c r="N104" t="n">
        <v>0</v>
      </c>
      <c r="O104" t="n">
        <v>0</v>
      </c>
      <c r="P104" t="n">
        <v>0</v>
      </c>
      <c r="Q104" t="n">
        <v>4</v>
      </c>
      <c r="R104" s="2" t="inlineStr">
        <is>
          <t>Flugblomster
Purpurknipprot
Tvåblad
Salepsrot</t>
        </is>
      </c>
      <c r="S104">
        <f>HYPERLINK("https://klasma.github.io/Logging_0980/artfynd/A 8265-2023 artfynd.xlsx", "A 8265-2023")</f>
        <v/>
      </c>
      <c r="T104">
        <f>HYPERLINK("https://klasma.github.io/Logging_0980/kartor/A 8265-2023 karta.png", "A 8265-2023")</f>
        <v/>
      </c>
      <c r="V104">
        <f>HYPERLINK("https://klasma.github.io/Logging_0980/klagomål/A 8265-2023 FSC-klagomål.docx", "A 8265-2023")</f>
        <v/>
      </c>
      <c r="W104">
        <f>HYPERLINK("https://klasma.github.io/Logging_0980/klagomålsmail/A 8265-2023 FSC-klagomål mail.docx", "A 8265-2023")</f>
        <v/>
      </c>
      <c r="X104">
        <f>HYPERLINK("https://klasma.github.io/Logging_0980/tillsyn/A 8265-2023 tillsynsbegäran.docx", "A 8265-2023")</f>
        <v/>
      </c>
      <c r="Y104">
        <f>HYPERLINK("https://klasma.github.io/Logging_0980/tillsynsmail/A 8265-2023 tillsynsbegäran mail.docx", "A 8265-2023")</f>
        <v/>
      </c>
    </row>
    <row r="105" ht="15" customHeight="1">
      <c r="A105" t="inlineStr">
        <is>
          <t>A 44323-2021</t>
        </is>
      </c>
      <c r="B105" s="1" t="n">
        <v>44434</v>
      </c>
      <c r="C105" s="1" t="n">
        <v>46064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46064</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46064</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46064</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46064</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46064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46064</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46064</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46064</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46064</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46064</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46064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46064</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46064</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46064</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46064</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46064</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46064</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46064</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46064</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21879-2025</t>
        </is>
      </c>
      <c r="B131" s="1" t="n">
        <v>45784.40533564815</v>
      </c>
      <c r="C131" s="1" t="n">
        <v>46064</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7070-2022</t>
        </is>
      </c>
      <c r="B132" s="1" t="n">
        <v>44603</v>
      </c>
      <c r="C132" s="1" t="n">
        <v>46064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46064</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54357-2024</t>
        </is>
      </c>
      <c r="B134" s="1" t="n">
        <v>45617.40662037037</v>
      </c>
      <c r="C134" s="1" t="n">
        <v>46064</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46064</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46064</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46064</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62760-2025</t>
        </is>
      </c>
      <c r="B138" s="1" t="n">
        <v>46008</v>
      </c>
      <c r="C138" s="1" t="n">
        <v>46064</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43219-2023</t>
        </is>
      </c>
      <c r="B139" s="1" t="n">
        <v>45183</v>
      </c>
      <c r="C139" s="1" t="n">
        <v>46064</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46064</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46064</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46064</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46064</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39812-2025</t>
        </is>
      </c>
      <c r="B144" s="1" t="n">
        <v>45891</v>
      </c>
      <c r="C144" s="1" t="n">
        <v>46064</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24245-2022</t>
        </is>
      </c>
      <c r="B145" s="1" t="n">
        <v>44725</v>
      </c>
      <c r="C145" s="1" t="n">
        <v>46064</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46064</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10995-2023</t>
        </is>
      </c>
      <c r="B147" s="1" t="n">
        <v>44986</v>
      </c>
      <c r="C147" s="1" t="n">
        <v>46064</v>
      </c>
      <c r="D147" t="inlineStr">
        <is>
          <t>GOTLANDS LÄN</t>
        </is>
      </c>
      <c r="E147" t="inlineStr">
        <is>
          <t>GOTLAND</t>
        </is>
      </c>
      <c r="G147" t="n">
        <v>2.8</v>
      </c>
      <c r="H147" t="n">
        <v>0</v>
      </c>
      <c r="I147" t="n">
        <v>0</v>
      </c>
      <c r="J147" t="n">
        <v>0</v>
      </c>
      <c r="K147" t="n">
        <v>1</v>
      </c>
      <c r="L147" t="n">
        <v>0</v>
      </c>
      <c r="M147" t="n">
        <v>0</v>
      </c>
      <c r="N147" t="n">
        <v>0</v>
      </c>
      <c r="O147" t="n">
        <v>1</v>
      </c>
      <c r="P147" t="n">
        <v>1</v>
      </c>
      <c r="Q147" t="n">
        <v>1</v>
      </c>
      <c r="R147" s="2" t="inlineStr">
        <is>
          <t>Violettfläckig spindling</t>
        </is>
      </c>
      <c r="S147">
        <f>HYPERLINK("https://klasma.github.io/Logging_0980/artfynd/A 10995-2023 artfynd.xlsx", "A 10995-2023")</f>
        <v/>
      </c>
      <c r="T147">
        <f>HYPERLINK("https://klasma.github.io/Logging_0980/kartor/A 10995-2023 karta.png", "A 10995-2023")</f>
        <v/>
      </c>
      <c r="V147">
        <f>HYPERLINK("https://klasma.github.io/Logging_0980/klagomål/A 10995-2023 FSC-klagomål.docx", "A 10995-2023")</f>
        <v/>
      </c>
      <c r="W147">
        <f>HYPERLINK("https://klasma.github.io/Logging_0980/klagomålsmail/A 10995-2023 FSC-klagomål mail.docx", "A 10995-2023")</f>
        <v/>
      </c>
      <c r="X147">
        <f>HYPERLINK("https://klasma.github.io/Logging_0980/tillsyn/A 10995-2023 tillsynsbegäran.docx", "A 10995-2023")</f>
        <v/>
      </c>
      <c r="Y147">
        <f>HYPERLINK("https://klasma.github.io/Logging_0980/tillsynsmail/A 10995-2023 tillsynsbegäran mail.docx", "A 10995-2023")</f>
        <v/>
      </c>
    </row>
    <row r="148" ht="15" customHeight="1">
      <c r="A148" t="inlineStr">
        <is>
          <t>A 63576-2021</t>
        </is>
      </c>
      <c r="B148" s="1" t="n">
        <v>44508</v>
      </c>
      <c r="C148" s="1" t="n">
        <v>46064</v>
      </c>
      <c r="D148" t="inlineStr">
        <is>
          <t>GOTLANDS LÄN</t>
        </is>
      </c>
      <c r="E148" t="inlineStr">
        <is>
          <t>GOTLAND</t>
        </is>
      </c>
      <c r="F148" t="inlineStr">
        <is>
          <t>Kyrkan</t>
        </is>
      </c>
      <c r="G148" t="n">
        <v>4.1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63576-2021 artfynd.xlsx", "A 63576-2021")</f>
        <v/>
      </c>
      <c r="T148">
        <f>HYPERLINK("https://klasma.github.io/Logging_0980/kartor/A 63576-2021 karta.png", "A 63576-2021")</f>
        <v/>
      </c>
      <c r="V148">
        <f>HYPERLINK("https://klasma.github.io/Logging_0980/klagomål/A 63576-2021 FSC-klagomål.docx", "A 63576-2021")</f>
        <v/>
      </c>
      <c r="W148">
        <f>HYPERLINK("https://klasma.github.io/Logging_0980/klagomålsmail/A 63576-2021 FSC-klagomål mail.docx", "A 63576-2021")</f>
        <v/>
      </c>
      <c r="X148">
        <f>HYPERLINK("https://klasma.github.io/Logging_0980/tillsyn/A 63576-2021 tillsynsbegäran.docx", "A 63576-2021")</f>
        <v/>
      </c>
      <c r="Y148">
        <f>HYPERLINK("https://klasma.github.io/Logging_0980/tillsynsmail/A 63576-2021 tillsynsbegäran mail.docx", "A 63576-2021")</f>
        <v/>
      </c>
    </row>
    <row r="149" ht="15" customHeight="1">
      <c r="A149" t="inlineStr">
        <is>
          <t>A 21466-2025</t>
        </is>
      </c>
      <c r="B149" s="1" t="n">
        <v>45782</v>
      </c>
      <c r="C149" s="1" t="n">
        <v>46064</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44308-2021</t>
        </is>
      </c>
      <c r="B150" s="1" t="n">
        <v>44434</v>
      </c>
      <c r="C150" s="1" t="n">
        <v>46064</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10440-2024</t>
        </is>
      </c>
      <c r="B151" s="1" t="n">
        <v>45366.32818287037</v>
      </c>
      <c r="C151" s="1" t="n">
        <v>46064</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35467-2021</t>
        </is>
      </c>
      <c r="B152" s="1" t="n">
        <v>44385</v>
      </c>
      <c r="C152" s="1" t="n">
        <v>46064</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46527-2023</t>
        </is>
      </c>
      <c r="B153" s="1" t="n">
        <v>45197</v>
      </c>
      <c r="C153" s="1" t="n">
        <v>46064</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44619-2025</t>
        </is>
      </c>
      <c r="B154" s="1" t="n">
        <v>45917</v>
      </c>
      <c r="C154" s="1" t="n">
        <v>46064</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17723-2021</t>
        </is>
      </c>
      <c r="B155" s="1" t="n">
        <v>44300</v>
      </c>
      <c r="C155" s="1" t="n">
        <v>46064</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26461-2025</t>
        </is>
      </c>
      <c r="B156" s="1" t="n">
        <v>45807.43337962963</v>
      </c>
      <c r="C156" s="1" t="n">
        <v>46064</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6303-2024</t>
        </is>
      </c>
      <c r="B157" s="1" t="n">
        <v>45338.35376157407</v>
      </c>
      <c r="C157" s="1" t="n">
        <v>46064</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46064</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46064</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46064</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46064</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46064</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9862-2024</t>
        </is>
      </c>
      <c r="B163" s="1" t="n">
        <v>45363</v>
      </c>
      <c r="C163" s="1" t="n">
        <v>46064</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34141-2024</t>
        </is>
      </c>
      <c r="B164" s="1" t="n">
        <v>45524.36229166666</v>
      </c>
      <c r="C164" s="1" t="n">
        <v>46064</v>
      </c>
      <c r="D164" t="inlineStr">
        <is>
          <t>GOTLANDS LÄN</t>
        </is>
      </c>
      <c r="E164" t="inlineStr">
        <is>
          <t>GOTLAND</t>
        </is>
      </c>
      <c r="G164" t="n">
        <v>0.9</v>
      </c>
      <c r="H164" t="n">
        <v>0</v>
      </c>
      <c r="I164" t="n">
        <v>1</v>
      </c>
      <c r="J164" t="n">
        <v>0</v>
      </c>
      <c r="K164" t="n">
        <v>0</v>
      </c>
      <c r="L164" t="n">
        <v>0</v>
      </c>
      <c r="M164" t="n">
        <v>0</v>
      </c>
      <c r="N164" t="n">
        <v>0</v>
      </c>
      <c r="O164" t="n">
        <v>0</v>
      </c>
      <c r="P164" t="n">
        <v>0</v>
      </c>
      <c r="Q164" t="n">
        <v>1</v>
      </c>
      <c r="R164" s="2" t="inlineStr">
        <is>
          <t>Strävlosta</t>
        </is>
      </c>
      <c r="S164">
        <f>HYPERLINK("https://klasma.github.io/Logging_0980/artfynd/A 34141-2024 artfynd.xlsx", "A 34141-2024")</f>
        <v/>
      </c>
      <c r="T164">
        <f>HYPERLINK("https://klasma.github.io/Logging_0980/kartor/A 34141-2024 karta.png", "A 34141-2024")</f>
        <v/>
      </c>
      <c r="V164">
        <f>HYPERLINK("https://klasma.github.io/Logging_0980/klagomål/A 34141-2024 FSC-klagomål.docx", "A 34141-2024")</f>
        <v/>
      </c>
      <c r="W164">
        <f>HYPERLINK("https://klasma.github.io/Logging_0980/klagomålsmail/A 34141-2024 FSC-klagomål mail.docx", "A 34141-2024")</f>
        <v/>
      </c>
      <c r="X164">
        <f>HYPERLINK("https://klasma.github.io/Logging_0980/tillsyn/A 34141-2024 tillsynsbegäran.docx", "A 34141-2024")</f>
        <v/>
      </c>
      <c r="Y164">
        <f>HYPERLINK("https://klasma.github.io/Logging_0980/tillsynsmail/A 34141-2024 tillsynsbegäran mail.docx", "A 34141-2024")</f>
        <v/>
      </c>
    </row>
    <row r="165" ht="15" customHeight="1">
      <c r="A165" t="inlineStr">
        <is>
          <t>A 20429-2025</t>
        </is>
      </c>
      <c r="B165" s="1" t="n">
        <v>45775.47728009259</v>
      </c>
      <c r="C165" s="1" t="n">
        <v>46064</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61561-2023</t>
        </is>
      </c>
      <c r="B166" s="1" t="n">
        <v>45265</v>
      </c>
      <c r="C166" s="1" t="n">
        <v>46064</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49726-2025</t>
        </is>
      </c>
      <c r="B167" s="1" t="n">
        <v>45939.84466435185</v>
      </c>
      <c r="C167" s="1" t="n">
        <v>46064</v>
      </c>
      <c r="D167" t="inlineStr">
        <is>
          <t>GOTLANDS LÄN</t>
        </is>
      </c>
      <c r="E167" t="inlineStr">
        <is>
          <t>GOTLAND</t>
        </is>
      </c>
      <c r="F167" t="inlineStr">
        <is>
          <t>Kyrkan</t>
        </is>
      </c>
      <c r="G167" t="n">
        <v>5.4</v>
      </c>
      <c r="H167" t="n">
        <v>0</v>
      </c>
      <c r="I167" t="n">
        <v>0</v>
      </c>
      <c r="J167" t="n">
        <v>1</v>
      </c>
      <c r="K167" t="n">
        <v>0</v>
      </c>
      <c r="L167" t="n">
        <v>0</v>
      </c>
      <c r="M167" t="n">
        <v>0</v>
      </c>
      <c r="N167" t="n">
        <v>0</v>
      </c>
      <c r="O167" t="n">
        <v>1</v>
      </c>
      <c r="P167" t="n">
        <v>0</v>
      </c>
      <c r="Q167" t="n">
        <v>1</v>
      </c>
      <c r="R167" s="2" t="inlineStr">
        <is>
          <t>Odörspindling</t>
        </is>
      </c>
      <c r="S167">
        <f>HYPERLINK("https://klasma.github.io/Logging_0980/artfynd/A 49726-2025 artfynd.xlsx", "A 49726-2025")</f>
        <v/>
      </c>
      <c r="T167">
        <f>HYPERLINK("https://klasma.github.io/Logging_0980/kartor/A 49726-2025 karta.png", "A 49726-2025")</f>
        <v/>
      </c>
      <c r="V167">
        <f>HYPERLINK("https://klasma.github.io/Logging_0980/klagomål/A 49726-2025 FSC-klagomål.docx", "A 49726-2025")</f>
        <v/>
      </c>
      <c r="W167">
        <f>HYPERLINK("https://klasma.github.io/Logging_0980/klagomålsmail/A 49726-2025 FSC-klagomål mail.docx", "A 49726-2025")</f>
        <v/>
      </c>
      <c r="X167">
        <f>HYPERLINK("https://klasma.github.io/Logging_0980/tillsyn/A 49726-2025 tillsynsbegäran.docx", "A 49726-2025")</f>
        <v/>
      </c>
      <c r="Y167">
        <f>HYPERLINK("https://klasma.github.io/Logging_0980/tillsynsmail/A 49726-2025 tillsynsbegäran mail.docx", "A 49726-2025")</f>
        <v/>
      </c>
    </row>
    <row r="168" ht="15" customHeight="1">
      <c r="A168" t="inlineStr">
        <is>
          <t>A 12324-2025</t>
        </is>
      </c>
      <c r="B168" s="1" t="n">
        <v>45730</v>
      </c>
      <c r="C168" s="1" t="n">
        <v>46064</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12924-2025</t>
        </is>
      </c>
      <c r="B169" s="1" t="n">
        <v>45734</v>
      </c>
      <c r="C169" s="1" t="n">
        <v>46064</v>
      </c>
      <c r="D169" t="inlineStr">
        <is>
          <t>GOTLANDS LÄN</t>
        </is>
      </c>
      <c r="E169" t="inlineStr">
        <is>
          <t>GOTLAND</t>
        </is>
      </c>
      <c r="G169" t="n">
        <v>11.7</v>
      </c>
      <c r="H169" t="n">
        <v>0</v>
      </c>
      <c r="I169" t="n">
        <v>0</v>
      </c>
      <c r="J169" t="n">
        <v>0</v>
      </c>
      <c r="K169" t="n">
        <v>1</v>
      </c>
      <c r="L169" t="n">
        <v>0</v>
      </c>
      <c r="M169" t="n">
        <v>0</v>
      </c>
      <c r="N169" t="n">
        <v>0</v>
      </c>
      <c r="O169" t="n">
        <v>1</v>
      </c>
      <c r="P169" t="n">
        <v>1</v>
      </c>
      <c r="Q169" t="n">
        <v>1</v>
      </c>
      <c r="R169" s="2" t="inlineStr">
        <is>
          <t>Gotlandsmåra</t>
        </is>
      </c>
      <c r="S169">
        <f>HYPERLINK("https://klasma.github.io/Logging_0980/artfynd/A 12924-2025 artfynd.xlsx", "A 12924-2025")</f>
        <v/>
      </c>
      <c r="T169">
        <f>HYPERLINK("https://klasma.github.io/Logging_0980/kartor/A 12924-2025 karta.png", "A 12924-2025")</f>
        <v/>
      </c>
      <c r="V169">
        <f>HYPERLINK("https://klasma.github.io/Logging_0980/klagomål/A 12924-2025 FSC-klagomål.docx", "A 12924-2025")</f>
        <v/>
      </c>
      <c r="W169">
        <f>HYPERLINK("https://klasma.github.io/Logging_0980/klagomålsmail/A 12924-2025 FSC-klagomål mail.docx", "A 12924-2025")</f>
        <v/>
      </c>
      <c r="X169">
        <f>HYPERLINK("https://klasma.github.io/Logging_0980/tillsyn/A 12924-2025 tillsynsbegäran.docx", "A 12924-2025")</f>
        <v/>
      </c>
      <c r="Y169">
        <f>HYPERLINK("https://klasma.github.io/Logging_0980/tillsynsmail/A 12924-2025 tillsynsbegäran mail.docx", "A 12924-2025")</f>
        <v/>
      </c>
    </row>
    <row r="170" ht="15" customHeight="1">
      <c r="A170" t="inlineStr">
        <is>
          <t>A 13939-2021</t>
        </is>
      </c>
      <c r="B170" s="1" t="n">
        <v>44277</v>
      </c>
      <c r="C170" s="1" t="n">
        <v>46064</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2476-2025</t>
        </is>
      </c>
      <c r="B171" s="1" t="n">
        <v>45673</v>
      </c>
      <c r="C171" s="1" t="n">
        <v>46064</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46064</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46064</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34809-2024</t>
        </is>
      </c>
      <c r="B174" s="1" t="n">
        <v>45526</v>
      </c>
      <c r="C174" s="1" t="n">
        <v>46064</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49304-2024</t>
        </is>
      </c>
      <c r="B175" s="1" t="n">
        <v>45595.54996527778</v>
      </c>
      <c r="C175" s="1" t="n">
        <v>46064</v>
      </c>
      <c r="D175" t="inlineStr">
        <is>
          <t>GOTLANDS LÄN</t>
        </is>
      </c>
      <c r="E175" t="inlineStr">
        <is>
          <t>GOTLAND</t>
        </is>
      </c>
      <c r="G175" t="n">
        <v>10.8</v>
      </c>
      <c r="H175" t="n">
        <v>0</v>
      </c>
      <c r="I175" t="n">
        <v>0</v>
      </c>
      <c r="J175" t="n">
        <v>1</v>
      </c>
      <c r="K175" t="n">
        <v>0</v>
      </c>
      <c r="L175" t="n">
        <v>0</v>
      </c>
      <c r="M175" t="n">
        <v>0</v>
      </c>
      <c r="N175" t="n">
        <v>0</v>
      </c>
      <c r="O175" t="n">
        <v>1</v>
      </c>
      <c r="P175" t="n">
        <v>0</v>
      </c>
      <c r="Q175" t="n">
        <v>1</v>
      </c>
      <c r="R175" s="2" t="inlineStr">
        <is>
          <t>Åkerranunkel</t>
        </is>
      </c>
      <c r="S175">
        <f>HYPERLINK("https://klasma.github.io/Logging_0980/artfynd/A 49304-2024 artfynd.xlsx", "A 49304-2024")</f>
        <v/>
      </c>
      <c r="T175">
        <f>HYPERLINK("https://klasma.github.io/Logging_0980/kartor/A 49304-2024 karta.png", "A 49304-2024")</f>
        <v/>
      </c>
      <c r="V175">
        <f>HYPERLINK("https://klasma.github.io/Logging_0980/klagomål/A 49304-2024 FSC-klagomål.docx", "A 49304-2024")</f>
        <v/>
      </c>
      <c r="W175">
        <f>HYPERLINK("https://klasma.github.io/Logging_0980/klagomålsmail/A 49304-2024 FSC-klagomål mail.docx", "A 49304-2024")</f>
        <v/>
      </c>
      <c r="X175">
        <f>HYPERLINK("https://klasma.github.io/Logging_0980/tillsyn/A 49304-2024 tillsynsbegäran.docx", "A 49304-2024")</f>
        <v/>
      </c>
      <c r="Y175">
        <f>HYPERLINK("https://klasma.github.io/Logging_0980/tillsynsmail/A 49304-2024 tillsynsbegäran mail.docx", "A 49304-2024")</f>
        <v/>
      </c>
    </row>
    <row r="176" ht="15" customHeight="1">
      <c r="A176" t="inlineStr">
        <is>
          <t>A 22782-2023</t>
        </is>
      </c>
      <c r="B176" s="1" t="n">
        <v>45072</v>
      </c>
      <c r="C176" s="1" t="n">
        <v>46064</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44088-2022</t>
        </is>
      </c>
      <c r="B177" s="1" t="n">
        <v>44839</v>
      </c>
      <c r="C177" s="1" t="n">
        <v>46064</v>
      </c>
      <c r="D177" t="inlineStr">
        <is>
          <t>GOTLANDS LÄN</t>
        </is>
      </c>
      <c r="E177" t="inlineStr">
        <is>
          <t>GOTLAND</t>
        </is>
      </c>
      <c r="G177" t="n">
        <v>1.5</v>
      </c>
      <c r="H177" t="n">
        <v>0</v>
      </c>
      <c r="I177" t="n">
        <v>1</v>
      </c>
      <c r="J177" t="n">
        <v>0</v>
      </c>
      <c r="K177" t="n">
        <v>0</v>
      </c>
      <c r="L177" t="n">
        <v>0</v>
      </c>
      <c r="M177" t="n">
        <v>0</v>
      </c>
      <c r="N177" t="n">
        <v>0</v>
      </c>
      <c r="O177" t="n">
        <v>0</v>
      </c>
      <c r="P177" t="n">
        <v>0</v>
      </c>
      <c r="Q177" t="n">
        <v>1</v>
      </c>
      <c r="R177" s="2" t="inlineStr">
        <is>
          <t>Strävlosta</t>
        </is>
      </c>
      <c r="S177">
        <f>HYPERLINK("https://klasma.github.io/Logging_0980/artfynd/A 44088-2022 artfynd.xlsx", "A 44088-2022")</f>
        <v/>
      </c>
      <c r="T177">
        <f>HYPERLINK("https://klasma.github.io/Logging_0980/kartor/A 44088-2022 karta.png", "A 44088-2022")</f>
        <v/>
      </c>
      <c r="V177">
        <f>HYPERLINK("https://klasma.github.io/Logging_0980/klagomål/A 44088-2022 FSC-klagomål.docx", "A 44088-2022")</f>
        <v/>
      </c>
      <c r="W177">
        <f>HYPERLINK("https://klasma.github.io/Logging_0980/klagomålsmail/A 44088-2022 FSC-klagomål mail.docx", "A 44088-2022")</f>
        <v/>
      </c>
      <c r="X177">
        <f>HYPERLINK("https://klasma.github.io/Logging_0980/tillsyn/A 44088-2022 tillsynsbegäran.docx", "A 44088-2022")</f>
        <v/>
      </c>
      <c r="Y177">
        <f>HYPERLINK("https://klasma.github.io/Logging_0980/tillsynsmail/A 44088-2022 tillsynsbegäran mail.docx", "A 44088-2022")</f>
        <v/>
      </c>
    </row>
    <row r="178" ht="15" customHeight="1">
      <c r="A178" t="inlineStr">
        <is>
          <t>A 1477-2024</t>
        </is>
      </c>
      <c r="B178" s="1" t="n">
        <v>45305.37987268518</v>
      </c>
      <c r="C178" s="1" t="n">
        <v>46064</v>
      </c>
      <c r="D178" t="inlineStr">
        <is>
          <t>GOTLANDS LÄN</t>
        </is>
      </c>
      <c r="E178" t="inlineStr">
        <is>
          <t>GOTLAND</t>
        </is>
      </c>
      <c r="G178" t="n">
        <v>6.9</v>
      </c>
      <c r="H178" t="n">
        <v>0</v>
      </c>
      <c r="I178" t="n">
        <v>0</v>
      </c>
      <c r="J178" t="n">
        <v>1</v>
      </c>
      <c r="K178" t="n">
        <v>0</v>
      </c>
      <c r="L178" t="n">
        <v>0</v>
      </c>
      <c r="M178" t="n">
        <v>0</v>
      </c>
      <c r="N178" t="n">
        <v>0</v>
      </c>
      <c r="O178" t="n">
        <v>1</v>
      </c>
      <c r="P178" t="n">
        <v>0</v>
      </c>
      <c r="Q178" t="n">
        <v>1</v>
      </c>
      <c r="R178" s="2" t="inlineStr">
        <is>
          <t>Igelkott</t>
        </is>
      </c>
      <c r="S178">
        <f>HYPERLINK("https://klasma.github.io/Logging_0980/artfynd/A 1477-2024 artfynd.xlsx", "A 1477-2024")</f>
        <v/>
      </c>
      <c r="T178">
        <f>HYPERLINK("https://klasma.github.io/Logging_0980/kartor/A 1477-2024 karta.png", "A 1477-2024")</f>
        <v/>
      </c>
      <c r="V178">
        <f>HYPERLINK("https://klasma.github.io/Logging_0980/klagomål/A 1477-2024 FSC-klagomål.docx", "A 1477-2024")</f>
        <v/>
      </c>
      <c r="W178">
        <f>HYPERLINK("https://klasma.github.io/Logging_0980/klagomålsmail/A 1477-2024 FSC-klagomål mail.docx", "A 1477-2024")</f>
        <v/>
      </c>
      <c r="X178">
        <f>HYPERLINK("https://klasma.github.io/Logging_0980/tillsyn/A 1477-2024 tillsynsbegäran.docx", "A 1477-2024")</f>
        <v/>
      </c>
      <c r="Y178">
        <f>HYPERLINK("https://klasma.github.io/Logging_0980/tillsynsmail/A 1477-2024 tillsynsbegäran mail.docx", "A 1477-2024")</f>
        <v/>
      </c>
    </row>
    <row r="179" ht="15" customHeight="1">
      <c r="A179" t="inlineStr">
        <is>
          <t>A 63149-2025</t>
        </is>
      </c>
      <c r="B179" s="1" t="n">
        <v>46010</v>
      </c>
      <c r="C179" s="1" t="n">
        <v>46064</v>
      </c>
      <c r="D179" t="inlineStr">
        <is>
          <t>GOTLANDS LÄN</t>
        </is>
      </c>
      <c r="E179" t="inlineStr">
        <is>
          <t>GOTLAND</t>
        </is>
      </c>
      <c r="G179" t="n">
        <v>4.3</v>
      </c>
      <c r="H179" t="n">
        <v>0</v>
      </c>
      <c r="I179" t="n">
        <v>1</v>
      </c>
      <c r="J179" t="n">
        <v>0</v>
      </c>
      <c r="K179" t="n">
        <v>0</v>
      </c>
      <c r="L179" t="n">
        <v>0</v>
      </c>
      <c r="M179" t="n">
        <v>0</v>
      </c>
      <c r="N179" t="n">
        <v>0</v>
      </c>
      <c r="O179" t="n">
        <v>0</v>
      </c>
      <c r="P179" t="n">
        <v>0</v>
      </c>
      <c r="Q179" t="n">
        <v>1</v>
      </c>
      <c r="R179" s="2" t="inlineStr">
        <is>
          <t>Anisspindling</t>
        </is>
      </c>
      <c r="S179">
        <f>HYPERLINK("https://klasma.github.io/Logging_0980/artfynd/A 63149-2025 artfynd.xlsx", "A 63149-2025")</f>
        <v/>
      </c>
      <c r="T179">
        <f>HYPERLINK("https://klasma.github.io/Logging_0980/kartor/A 63149-2025 karta.png", "A 63149-2025")</f>
        <v/>
      </c>
      <c r="V179">
        <f>HYPERLINK("https://klasma.github.io/Logging_0980/klagomål/A 63149-2025 FSC-klagomål.docx", "A 63149-2025")</f>
        <v/>
      </c>
      <c r="W179">
        <f>HYPERLINK("https://klasma.github.io/Logging_0980/klagomålsmail/A 63149-2025 FSC-klagomål mail.docx", "A 63149-2025")</f>
        <v/>
      </c>
      <c r="X179">
        <f>HYPERLINK("https://klasma.github.io/Logging_0980/tillsyn/A 63149-2025 tillsynsbegäran.docx", "A 63149-2025")</f>
        <v/>
      </c>
      <c r="Y179">
        <f>HYPERLINK("https://klasma.github.io/Logging_0980/tillsynsmail/A 63149-2025 tillsynsbegäran mail.docx", "A 63149-2025")</f>
        <v/>
      </c>
    </row>
    <row r="180" ht="15" customHeight="1">
      <c r="A180" t="inlineStr">
        <is>
          <t>A 7637-2025</t>
        </is>
      </c>
      <c r="B180" s="1" t="n">
        <v>45705.77181712963</v>
      </c>
      <c r="C180" s="1" t="n">
        <v>46064</v>
      </c>
      <c r="D180" t="inlineStr">
        <is>
          <t>GOTLANDS LÄN</t>
        </is>
      </c>
      <c r="E180" t="inlineStr">
        <is>
          <t>GOTLAND</t>
        </is>
      </c>
      <c r="G180" t="n">
        <v>3.7</v>
      </c>
      <c r="H180" t="n">
        <v>0</v>
      </c>
      <c r="I180" t="n">
        <v>0</v>
      </c>
      <c r="J180" t="n">
        <v>0</v>
      </c>
      <c r="K180" t="n">
        <v>0</v>
      </c>
      <c r="L180" t="n">
        <v>0</v>
      </c>
      <c r="M180" t="n">
        <v>1</v>
      </c>
      <c r="N180" t="n">
        <v>0</v>
      </c>
      <c r="O180" t="n">
        <v>1</v>
      </c>
      <c r="P180" t="n">
        <v>1</v>
      </c>
      <c r="Q180" t="n">
        <v>1</v>
      </c>
      <c r="R180" s="2" t="inlineStr">
        <is>
          <t>Skogsalm</t>
        </is>
      </c>
      <c r="S180">
        <f>HYPERLINK("https://klasma.github.io/Logging_0980/artfynd/A 7637-2025 artfynd.xlsx", "A 7637-2025")</f>
        <v/>
      </c>
      <c r="T180">
        <f>HYPERLINK("https://klasma.github.io/Logging_0980/kartor/A 7637-2025 karta.png", "A 7637-2025")</f>
        <v/>
      </c>
      <c r="V180">
        <f>HYPERLINK("https://klasma.github.io/Logging_0980/klagomål/A 7637-2025 FSC-klagomål.docx", "A 7637-2025")</f>
        <v/>
      </c>
      <c r="W180">
        <f>HYPERLINK("https://klasma.github.io/Logging_0980/klagomålsmail/A 7637-2025 FSC-klagomål mail.docx", "A 7637-2025")</f>
        <v/>
      </c>
      <c r="X180">
        <f>HYPERLINK("https://klasma.github.io/Logging_0980/tillsyn/A 7637-2025 tillsynsbegäran.docx", "A 7637-2025")</f>
        <v/>
      </c>
      <c r="Y180">
        <f>HYPERLINK("https://klasma.github.io/Logging_0980/tillsynsmail/A 7637-2025 tillsynsbegäran mail.docx", "A 7637-2025")</f>
        <v/>
      </c>
    </row>
    <row r="181" ht="15" customHeight="1">
      <c r="A181" t="inlineStr">
        <is>
          <t>A 61796-2022</t>
        </is>
      </c>
      <c r="B181" s="1" t="n">
        <v>44917</v>
      </c>
      <c r="C181" s="1" t="n">
        <v>46064</v>
      </c>
      <c r="D181" t="inlineStr">
        <is>
          <t>GOTLANDS LÄN</t>
        </is>
      </c>
      <c r="E181" t="inlineStr">
        <is>
          <t>GOTLAND</t>
        </is>
      </c>
      <c r="G181" t="n">
        <v>1.5</v>
      </c>
      <c r="H181" t="n">
        <v>1</v>
      </c>
      <c r="I181" t="n">
        <v>0</v>
      </c>
      <c r="J181" t="n">
        <v>0</v>
      </c>
      <c r="K181" t="n">
        <v>0</v>
      </c>
      <c r="L181" t="n">
        <v>0</v>
      </c>
      <c r="M181" t="n">
        <v>0</v>
      </c>
      <c r="N181" t="n">
        <v>0</v>
      </c>
      <c r="O181" t="n">
        <v>0</v>
      </c>
      <c r="P181" t="n">
        <v>0</v>
      </c>
      <c r="Q181" t="n">
        <v>1</v>
      </c>
      <c r="R181" s="2" t="inlineStr">
        <is>
          <t>Skogsduva</t>
        </is>
      </c>
      <c r="S181">
        <f>HYPERLINK("https://klasma.github.io/Logging_0980/artfynd/A 61796-2022 artfynd.xlsx", "A 61796-2022")</f>
        <v/>
      </c>
      <c r="T181">
        <f>HYPERLINK("https://klasma.github.io/Logging_0980/kartor/A 61796-2022 karta.png", "A 61796-2022")</f>
        <v/>
      </c>
      <c r="V181">
        <f>HYPERLINK("https://klasma.github.io/Logging_0980/klagomål/A 61796-2022 FSC-klagomål.docx", "A 61796-2022")</f>
        <v/>
      </c>
      <c r="W181">
        <f>HYPERLINK("https://klasma.github.io/Logging_0980/klagomålsmail/A 61796-2022 FSC-klagomål mail.docx", "A 61796-2022")</f>
        <v/>
      </c>
      <c r="X181">
        <f>HYPERLINK("https://klasma.github.io/Logging_0980/tillsyn/A 61796-2022 tillsynsbegäran.docx", "A 61796-2022")</f>
        <v/>
      </c>
      <c r="Y181">
        <f>HYPERLINK("https://klasma.github.io/Logging_0980/tillsynsmail/A 61796-2022 tillsynsbegäran mail.docx", "A 61796-2022")</f>
        <v/>
      </c>
      <c r="Z181">
        <f>HYPERLINK("https://klasma.github.io/Logging_0980/fåglar/A 61796-2022 prioriterade fågelarter.docx", "A 61796-2022")</f>
        <v/>
      </c>
    </row>
    <row r="182" ht="15" customHeight="1">
      <c r="A182" t="inlineStr">
        <is>
          <t>A 10218-2025</t>
        </is>
      </c>
      <c r="B182" s="1" t="n">
        <v>45720</v>
      </c>
      <c r="C182" s="1" t="n">
        <v>46064</v>
      </c>
      <c r="D182" t="inlineStr">
        <is>
          <t>GOTLANDS LÄN</t>
        </is>
      </c>
      <c r="E182" t="inlineStr">
        <is>
          <t>GOTLAND</t>
        </is>
      </c>
      <c r="G182" t="n">
        <v>8.1</v>
      </c>
      <c r="H182" t="n">
        <v>0</v>
      </c>
      <c r="I182" t="n">
        <v>1</v>
      </c>
      <c r="J182" t="n">
        <v>0</v>
      </c>
      <c r="K182" t="n">
        <v>0</v>
      </c>
      <c r="L182" t="n">
        <v>0</v>
      </c>
      <c r="M182" t="n">
        <v>0</v>
      </c>
      <c r="N182" t="n">
        <v>0</v>
      </c>
      <c r="O182" t="n">
        <v>0</v>
      </c>
      <c r="P182" t="n">
        <v>0</v>
      </c>
      <c r="Q182" t="n">
        <v>1</v>
      </c>
      <c r="R182" s="2" t="inlineStr">
        <is>
          <t>Kalktallört</t>
        </is>
      </c>
      <c r="S182">
        <f>HYPERLINK("https://klasma.github.io/Logging_0980/artfynd/A 10218-2025 artfynd.xlsx", "A 10218-2025")</f>
        <v/>
      </c>
      <c r="T182">
        <f>HYPERLINK("https://klasma.github.io/Logging_0980/kartor/A 10218-2025 karta.png", "A 10218-2025")</f>
        <v/>
      </c>
      <c r="V182">
        <f>HYPERLINK("https://klasma.github.io/Logging_0980/klagomål/A 10218-2025 FSC-klagomål.docx", "A 10218-2025")</f>
        <v/>
      </c>
      <c r="W182">
        <f>HYPERLINK("https://klasma.github.io/Logging_0980/klagomålsmail/A 10218-2025 FSC-klagomål mail.docx", "A 10218-2025")</f>
        <v/>
      </c>
      <c r="X182">
        <f>HYPERLINK("https://klasma.github.io/Logging_0980/tillsyn/A 10218-2025 tillsynsbegäran.docx", "A 10218-2025")</f>
        <v/>
      </c>
      <c r="Y182">
        <f>HYPERLINK("https://klasma.github.io/Logging_0980/tillsynsmail/A 10218-2025 tillsynsbegäran mail.docx", "A 10218-2025")</f>
        <v/>
      </c>
    </row>
    <row r="183" ht="15" customHeight="1">
      <c r="A183" t="inlineStr">
        <is>
          <t>A 12379-2024</t>
        </is>
      </c>
      <c r="B183" s="1" t="n">
        <v>45379.28155092592</v>
      </c>
      <c r="C183" s="1" t="n">
        <v>46064</v>
      </c>
      <c r="D183" t="inlineStr">
        <is>
          <t>GOTLANDS LÄN</t>
        </is>
      </c>
      <c r="E183" t="inlineStr">
        <is>
          <t>GOTLAND</t>
        </is>
      </c>
      <c r="G183" t="n">
        <v>4.4</v>
      </c>
      <c r="H183" t="n">
        <v>0</v>
      </c>
      <c r="I183" t="n">
        <v>0</v>
      </c>
      <c r="J183" t="n">
        <v>1</v>
      </c>
      <c r="K183" t="n">
        <v>0</v>
      </c>
      <c r="L183" t="n">
        <v>0</v>
      </c>
      <c r="M183" t="n">
        <v>0</v>
      </c>
      <c r="N183" t="n">
        <v>0</v>
      </c>
      <c r="O183" t="n">
        <v>1</v>
      </c>
      <c r="P183" t="n">
        <v>0</v>
      </c>
      <c r="Q183" t="n">
        <v>1</v>
      </c>
      <c r="R183" s="2" t="inlineStr">
        <is>
          <t>Svinrot</t>
        </is>
      </c>
      <c r="S183">
        <f>HYPERLINK("https://klasma.github.io/Logging_0980/artfynd/A 12379-2024 artfynd.xlsx", "A 12379-2024")</f>
        <v/>
      </c>
      <c r="T183">
        <f>HYPERLINK("https://klasma.github.io/Logging_0980/kartor/A 12379-2024 karta.png", "A 12379-2024")</f>
        <v/>
      </c>
      <c r="V183">
        <f>HYPERLINK("https://klasma.github.io/Logging_0980/klagomål/A 12379-2024 FSC-klagomål.docx", "A 12379-2024")</f>
        <v/>
      </c>
      <c r="W183">
        <f>HYPERLINK("https://klasma.github.io/Logging_0980/klagomålsmail/A 12379-2024 FSC-klagomål mail.docx", "A 12379-2024")</f>
        <v/>
      </c>
      <c r="X183">
        <f>HYPERLINK("https://klasma.github.io/Logging_0980/tillsyn/A 12379-2024 tillsynsbegäran.docx", "A 12379-2024")</f>
        <v/>
      </c>
      <c r="Y183">
        <f>HYPERLINK("https://klasma.github.io/Logging_0980/tillsynsmail/A 12379-2024 tillsynsbegäran mail.docx", "A 12379-2024")</f>
        <v/>
      </c>
    </row>
    <row r="184" ht="15" customHeight="1">
      <c r="A184" t="inlineStr">
        <is>
          <t>A 64700-2021</t>
        </is>
      </c>
      <c r="B184" s="1" t="n">
        <v>44511</v>
      </c>
      <c r="C184" s="1" t="n">
        <v>46064</v>
      </c>
      <c r="D184" t="inlineStr">
        <is>
          <t>GOTLANDS LÄN</t>
        </is>
      </c>
      <c r="E184" t="inlineStr">
        <is>
          <t>GOTLAND</t>
        </is>
      </c>
      <c r="F184" t="inlineStr">
        <is>
          <t>Naturvårdsverket</t>
        </is>
      </c>
      <c r="G184" t="n">
        <v>2.4</v>
      </c>
      <c r="H184" t="n">
        <v>1</v>
      </c>
      <c r="I184" t="n">
        <v>0</v>
      </c>
      <c r="J184" t="n">
        <v>0</v>
      </c>
      <c r="K184" t="n">
        <v>1</v>
      </c>
      <c r="L184" t="n">
        <v>0</v>
      </c>
      <c r="M184" t="n">
        <v>0</v>
      </c>
      <c r="N184" t="n">
        <v>0</v>
      </c>
      <c r="O184" t="n">
        <v>1</v>
      </c>
      <c r="P184" t="n">
        <v>1</v>
      </c>
      <c r="Q184" t="n">
        <v>1</v>
      </c>
      <c r="R184" s="2" t="inlineStr">
        <is>
          <t>Kalkdån</t>
        </is>
      </c>
      <c r="S184">
        <f>HYPERLINK("https://klasma.github.io/Logging_0980/artfynd/A 64700-2021 artfynd.xlsx", "A 64700-2021")</f>
        <v/>
      </c>
      <c r="T184">
        <f>HYPERLINK("https://klasma.github.io/Logging_0980/kartor/A 64700-2021 karta.png", "A 64700-2021")</f>
        <v/>
      </c>
      <c r="V184">
        <f>HYPERLINK("https://klasma.github.io/Logging_0980/klagomål/A 64700-2021 FSC-klagomål.docx", "A 64700-2021")</f>
        <v/>
      </c>
      <c r="W184">
        <f>HYPERLINK("https://klasma.github.io/Logging_0980/klagomålsmail/A 64700-2021 FSC-klagomål mail.docx", "A 64700-2021")</f>
        <v/>
      </c>
      <c r="X184">
        <f>HYPERLINK("https://klasma.github.io/Logging_0980/tillsyn/A 64700-2021 tillsynsbegäran.docx", "A 64700-2021")</f>
        <v/>
      </c>
      <c r="Y184">
        <f>HYPERLINK("https://klasma.github.io/Logging_0980/tillsynsmail/A 64700-2021 tillsynsbegäran mail.docx", "A 64700-2021")</f>
        <v/>
      </c>
    </row>
    <row r="185" ht="15" customHeight="1">
      <c r="A185" t="inlineStr">
        <is>
          <t>A 35574-2024</t>
        </is>
      </c>
      <c r="B185" s="1" t="n">
        <v>45531</v>
      </c>
      <c r="C185" s="1" t="n">
        <v>46064</v>
      </c>
      <c r="D185" t="inlineStr">
        <is>
          <t>GOTLANDS LÄN</t>
        </is>
      </c>
      <c r="E185" t="inlineStr">
        <is>
          <t>GOTLAND</t>
        </is>
      </c>
      <c r="G185" t="n">
        <v>5.7</v>
      </c>
      <c r="H185" t="n">
        <v>0</v>
      </c>
      <c r="I185" t="n">
        <v>1</v>
      </c>
      <c r="J185" t="n">
        <v>0</v>
      </c>
      <c r="K185" t="n">
        <v>0</v>
      </c>
      <c r="L185" t="n">
        <v>0</v>
      </c>
      <c r="M185" t="n">
        <v>0</v>
      </c>
      <c r="N185" t="n">
        <v>0</v>
      </c>
      <c r="O185" t="n">
        <v>0</v>
      </c>
      <c r="P185" t="n">
        <v>0</v>
      </c>
      <c r="Q185" t="n">
        <v>1</v>
      </c>
      <c r="R185" s="2" t="inlineStr">
        <is>
          <t>Murgröna</t>
        </is>
      </c>
      <c r="S185">
        <f>HYPERLINK("https://klasma.github.io/Logging_0980/artfynd/A 35574-2024 artfynd.xlsx", "A 35574-2024")</f>
        <v/>
      </c>
      <c r="T185">
        <f>HYPERLINK("https://klasma.github.io/Logging_0980/kartor/A 35574-2024 karta.png", "A 35574-2024")</f>
        <v/>
      </c>
      <c r="V185">
        <f>HYPERLINK("https://klasma.github.io/Logging_0980/klagomål/A 35574-2024 FSC-klagomål.docx", "A 35574-2024")</f>
        <v/>
      </c>
      <c r="W185">
        <f>HYPERLINK("https://klasma.github.io/Logging_0980/klagomålsmail/A 35574-2024 FSC-klagomål mail.docx", "A 35574-2024")</f>
        <v/>
      </c>
      <c r="X185">
        <f>HYPERLINK("https://klasma.github.io/Logging_0980/tillsyn/A 35574-2024 tillsynsbegäran.docx", "A 35574-2024")</f>
        <v/>
      </c>
      <c r="Y185">
        <f>HYPERLINK("https://klasma.github.io/Logging_0980/tillsynsmail/A 35574-2024 tillsynsbegäran mail.docx", "A 35574-2024")</f>
        <v/>
      </c>
    </row>
    <row r="186" ht="15" customHeight="1">
      <c r="A186" t="inlineStr">
        <is>
          <t>A 37591-2023</t>
        </is>
      </c>
      <c r="B186" s="1" t="n">
        <v>45159</v>
      </c>
      <c r="C186" s="1" t="n">
        <v>46064</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15637-2024</t>
        </is>
      </c>
      <c r="B187" s="1" t="n">
        <v>45403.6684837963</v>
      </c>
      <c r="C187" s="1" t="n">
        <v>46064</v>
      </c>
      <c r="D187" t="inlineStr">
        <is>
          <t>GOTLANDS LÄN</t>
        </is>
      </c>
      <c r="E187" t="inlineStr">
        <is>
          <t>GOTLAND</t>
        </is>
      </c>
      <c r="G187" t="n">
        <v>4.1</v>
      </c>
      <c r="H187" t="n">
        <v>1</v>
      </c>
      <c r="I187" t="n">
        <v>0</v>
      </c>
      <c r="J187" t="n">
        <v>0</v>
      </c>
      <c r="K187" t="n">
        <v>0</v>
      </c>
      <c r="L187" t="n">
        <v>0</v>
      </c>
      <c r="M187" t="n">
        <v>0</v>
      </c>
      <c r="N187" t="n">
        <v>0</v>
      </c>
      <c r="O187" t="n">
        <v>0</v>
      </c>
      <c r="P187" t="n">
        <v>0</v>
      </c>
      <c r="Q187" t="n">
        <v>1</v>
      </c>
      <c r="R187" s="2" t="inlineStr">
        <is>
          <t>Blåsippa</t>
        </is>
      </c>
      <c r="S187">
        <f>HYPERLINK("https://klasma.github.io/Logging_0980/artfynd/A 15637-2024 artfynd.xlsx", "A 15637-2024")</f>
        <v/>
      </c>
      <c r="T187">
        <f>HYPERLINK("https://klasma.github.io/Logging_0980/kartor/A 15637-2024 karta.png", "A 15637-2024")</f>
        <v/>
      </c>
      <c r="V187">
        <f>HYPERLINK("https://klasma.github.io/Logging_0980/klagomål/A 15637-2024 FSC-klagomål.docx", "A 15637-2024")</f>
        <v/>
      </c>
      <c r="W187">
        <f>HYPERLINK("https://klasma.github.io/Logging_0980/klagomålsmail/A 15637-2024 FSC-klagomål mail.docx", "A 15637-2024")</f>
        <v/>
      </c>
      <c r="X187">
        <f>HYPERLINK("https://klasma.github.io/Logging_0980/tillsyn/A 15637-2024 tillsynsbegäran.docx", "A 15637-2024")</f>
        <v/>
      </c>
      <c r="Y187">
        <f>HYPERLINK("https://klasma.github.io/Logging_0980/tillsynsmail/A 15637-2024 tillsynsbegäran mail.docx", "A 15637-2024")</f>
        <v/>
      </c>
    </row>
    <row r="188" ht="15" customHeight="1">
      <c r="A188" t="inlineStr">
        <is>
          <t>A 49847-2023</t>
        </is>
      </c>
      <c r="B188" s="1" t="n">
        <v>45212</v>
      </c>
      <c r="C188" s="1" t="n">
        <v>46064</v>
      </c>
      <c r="D188" t="inlineStr">
        <is>
          <t>GOTLANDS LÄN</t>
        </is>
      </c>
      <c r="E188" t="inlineStr">
        <is>
          <t>GOTLAND</t>
        </is>
      </c>
      <c r="G188" t="n">
        <v>35.2</v>
      </c>
      <c r="H188" t="n">
        <v>0</v>
      </c>
      <c r="I188" t="n">
        <v>0</v>
      </c>
      <c r="J188" t="n">
        <v>0</v>
      </c>
      <c r="K188" t="n">
        <v>1</v>
      </c>
      <c r="L188" t="n">
        <v>0</v>
      </c>
      <c r="M188" t="n">
        <v>0</v>
      </c>
      <c r="N188" t="n">
        <v>0</v>
      </c>
      <c r="O188" t="n">
        <v>1</v>
      </c>
      <c r="P188" t="n">
        <v>1</v>
      </c>
      <c r="Q188" t="n">
        <v>1</v>
      </c>
      <c r="R188" s="2" t="inlineStr">
        <is>
          <t>Strandviol</t>
        </is>
      </c>
      <c r="S188">
        <f>HYPERLINK("https://klasma.github.io/Logging_0980/artfynd/A 49847-2023 artfynd.xlsx", "A 49847-2023")</f>
        <v/>
      </c>
      <c r="T188">
        <f>HYPERLINK("https://klasma.github.io/Logging_0980/kartor/A 49847-2023 karta.png", "A 49847-2023")</f>
        <v/>
      </c>
      <c r="V188">
        <f>HYPERLINK("https://klasma.github.io/Logging_0980/klagomål/A 49847-2023 FSC-klagomål.docx", "A 49847-2023")</f>
        <v/>
      </c>
      <c r="W188">
        <f>HYPERLINK("https://klasma.github.io/Logging_0980/klagomålsmail/A 49847-2023 FSC-klagomål mail.docx", "A 49847-2023")</f>
        <v/>
      </c>
      <c r="X188">
        <f>HYPERLINK("https://klasma.github.io/Logging_0980/tillsyn/A 49847-2023 tillsynsbegäran.docx", "A 49847-2023")</f>
        <v/>
      </c>
      <c r="Y188">
        <f>HYPERLINK("https://klasma.github.io/Logging_0980/tillsynsmail/A 49847-2023 tillsynsbegäran mail.docx", "A 49847-2023")</f>
        <v/>
      </c>
    </row>
    <row r="189" ht="15" customHeight="1">
      <c r="A189" t="inlineStr">
        <is>
          <t>A 19901-2021</t>
        </is>
      </c>
      <c r="B189" s="1" t="n">
        <v>44312</v>
      </c>
      <c r="C189" s="1" t="n">
        <v>46064</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46064</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46064</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46064</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46064</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46064</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46064</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46064</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46064</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46064</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46064</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46064</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46064</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46064</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46064</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46064</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46064</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46064</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46064</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46064</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46064</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46064</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46064</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46064</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46064</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46064</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46064</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46064</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46064</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46064</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46064</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46064</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46064</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46064</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46064</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46064</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46064</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46064</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46064</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46064</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46064</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46064</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46064</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46064</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46064</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46064</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39752-2025</t>
        </is>
      </c>
      <c r="B237" s="1" t="n">
        <v>45891</v>
      </c>
      <c r="C237" s="1" t="n">
        <v>46064</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39816-2025</t>
        </is>
      </c>
      <c r="B238" s="1" t="n">
        <v>45891</v>
      </c>
      <c r="C238" s="1" t="n">
        <v>46064</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40372-2025</t>
        </is>
      </c>
      <c r="B239" s="1" t="n">
        <v>45895.5162037037</v>
      </c>
      <c r="C239" s="1" t="n">
        <v>46064</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40373-2025</t>
        </is>
      </c>
      <c r="B240" s="1" t="n">
        <v>45895.51821759259</v>
      </c>
      <c r="C240" s="1" t="n">
        <v>46064</v>
      </c>
      <c r="D240" t="inlineStr">
        <is>
          <t>GOTLANDS LÄN</t>
        </is>
      </c>
      <c r="E240" t="inlineStr">
        <is>
          <t>GOTLAND</t>
        </is>
      </c>
      <c r="G240" t="n">
        <v>0.6</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46064</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46064</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40103-2025</t>
        </is>
      </c>
      <c r="B243" s="1" t="n">
        <v>45894.4880324074</v>
      </c>
      <c r="C243" s="1" t="n">
        <v>46064</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14427-2024</t>
        </is>
      </c>
      <c r="B244" s="1" t="n">
        <v>45394</v>
      </c>
      <c r="C244" s="1" t="n">
        <v>46064</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40499-2025</t>
        </is>
      </c>
      <c r="B245" s="1" t="n">
        <v>45896.32517361111</v>
      </c>
      <c r="C245" s="1" t="n">
        <v>46064</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46064</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46064</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49315-2024</t>
        </is>
      </c>
      <c r="B248" s="1" t="n">
        <v>45595</v>
      </c>
      <c r="C248" s="1" t="n">
        <v>46064</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58476-2022</t>
        </is>
      </c>
      <c r="B249" s="1" t="n">
        <v>44902</v>
      </c>
      <c r="C249" s="1" t="n">
        <v>46064</v>
      </c>
      <c r="D249" t="inlineStr">
        <is>
          <t>GOTLANDS LÄN</t>
        </is>
      </c>
      <c r="E249" t="inlineStr">
        <is>
          <t>GOTLAND</t>
        </is>
      </c>
      <c r="G249" t="n">
        <v>0.9</v>
      </c>
      <c r="H249" t="n">
        <v>0</v>
      </c>
      <c r="I249" t="n">
        <v>0</v>
      </c>
      <c r="J249" t="n">
        <v>0</v>
      </c>
      <c r="K249" t="n">
        <v>0</v>
      </c>
      <c r="L249" t="n">
        <v>0</v>
      </c>
      <c r="M249" t="n">
        <v>0</v>
      </c>
      <c r="N249" t="n">
        <v>0</v>
      </c>
      <c r="O249" t="n">
        <v>0</v>
      </c>
      <c r="P249" t="n">
        <v>0</v>
      </c>
      <c r="Q249" t="n">
        <v>0</v>
      </c>
      <c r="R249" s="2" t="inlineStr"/>
    </row>
    <row r="250" ht="15" customHeight="1">
      <c r="A250" t="inlineStr">
        <is>
          <t>A 63229-2021</t>
        </is>
      </c>
      <c r="B250" s="1" t="n">
        <v>44508.34518518519</v>
      </c>
      <c r="C250" s="1" t="n">
        <v>46064</v>
      </c>
      <c r="D250" t="inlineStr">
        <is>
          <t>GOTLANDS LÄN</t>
        </is>
      </c>
      <c r="E250" t="inlineStr">
        <is>
          <t>GOTLAND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46064</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873-2024</t>
        </is>
      </c>
      <c r="B252" s="1" t="n">
        <v>45301</v>
      </c>
      <c r="C252" s="1" t="n">
        <v>46064</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35142-2025</t>
        </is>
      </c>
      <c r="B253" s="1" t="n">
        <v>45852.65532407408</v>
      </c>
      <c r="C253" s="1" t="n">
        <v>46064</v>
      </c>
      <c r="D253" t="inlineStr">
        <is>
          <t>GOTLANDS LÄN</t>
        </is>
      </c>
      <c r="E253" t="inlineStr">
        <is>
          <t>GOTLAND</t>
        </is>
      </c>
      <c r="G253" t="n">
        <v>2.4</v>
      </c>
      <c r="H253" t="n">
        <v>0</v>
      </c>
      <c r="I253" t="n">
        <v>0</v>
      </c>
      <c r="J253" t="n">
        <v>0</v>
      </c>
      <c r="K253" t="n">
        <v>0</v>
      </c>
      <c r="L253" t="n">
        <v>0</v>
      </c>
      <c r="M253" t="n">
        <v>0</v>
      </c>
      <c r="N253" t="n">
        <v>0</v>
      </c>
      <c r="O253" t="n">
        <v>0</v>
      </c>
      <c r="P253" t="n">
        <v>0</v>
      </c>
      <c r="Q253" t="n">
        <v>0</v>
      </c>
      <c r="R253" s="2" t="inlineStr"/>
    </row>
    <row r="254" ht="15" customHeight="1">
      <c r="A254" t="inlineStr">
        <is>
          <t>A 44228-2022</t>
        </is>
      </c>
      <c r="B254" s="1" t="n">
        <v>44839.51599537037</v>
      </c>
      <c r="C254" s="1" t="n">
        <v>46064</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61386-2023</t>
        </is>
      </c>
      <c r="B255" s="1" t="n">
        <v>45264</v>
      </c>
      <c r="C255" s="1" t="n">
        <v>46064</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41551-2025</t>
        </is>
      </c>
      <c r="B256" s="1" t="n">
        <v>45901.58854166666</v>
      </c>
      <c r="C256" s="1" t="n">
        <v>46064</v>
      </c>
      <c r="D256" t="inlineStr">
        <is>
          <t>GOTLANDS LÄN</t>
        </is>
      </c>
      <c r="E256" t="inlineStr">
        <is>
          <t>GOTLAND</t>
        </is>
      </c>
      <c r="G256" t="n">
        <v>5.6</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46064</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46064</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46064</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46064</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64969-2023</t>
        </is>
      </c>
      <c r="B261" s="1" t="n">
        <v>45284.54009259259</v>
      </c>
      <c r="C261" s="1" t="n">
        <v>46064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25129-2023</t>
        </is>
      </c>
      <c r="B262" s="1" t="n">
        <v>45086.44261574074</v>
      </c>
      <c r="C262" s="1" t="n">
        <v>46064</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33853-2024</t>
        </is>
      </c>
      <c r="B263" s="1" t="n">
        <v>45520.64298611111</v>
      </c>
      <c r="C263" s="1" t="n">
        <v>46064</v>
      </c>
      <c r="D263" t="inlineStr">
        <is>
          <t>GOTLANDS LÄN</t>
        </is>
      </c>
      <c r="E263" t="inlineStr">
        <is>
          <t>GOTLAND</t>
        </is>
      </c>
      <c r="G263" t="n">
        <v>3.9</v>
      </c>
      <c r="H263" t="n">
        <v>0</v>
      </c>
      <c r="I263" t="n">
        <v>0</v>
      </c>
      <c r="J263" t="n">
        <v>0</v>
      </c>
      <c r="K263" t="n">
        <v>0</v>
      </c>
      <c r="L263" t="n">
        <v>0</v>
      </c>
      <c r="M263" t="n">
        <v>0</v>
      </c>
      <c r="N263" t="n">
        <v>0</v>
      </c>
      <c r="O263" t="n">
        <v>0</v>
      </c>
      <c r="P263" t="n">
        <v>0</v>
      </c>
      <c r="Q263" t="n">
        <v>0</v>
      </c>
      <c r="R263" s="2" t="inlineStr"/>
    </row>
    <row r="264" ht="15" customHeight="1">
      <c r="A264" t="inlineStr">
        <is>
          <t>A 18223-2025</t>
        </is>
      </c>
      <c r="B264" s="1" t="n">
        <v>45761</v>
      </c>
      <c r="C264" s="1" t="n">
        <v>46064</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46949-2024</t>
        </is>
      </c>
      <c r="B265" s="1" t="n">
        <v>45585</v>
      </c>
      <c r="C265" s="1" t="n">
        <v>46064</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39278-2025</t>
        </is>
      </c>
      <c r="B266" s="1" t="n">
        <v>45889</v>
      </c>
      <c r="C266" s="1" t="n">
        <v>46064</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24001-2021</t>
        </is>
      </c>
      <c r="B267" s="1" t="n">
        <v>44335</v>
      </c>
      <c r="C267" s="1" t="n">
        <v>46064</v>
      </c>
      <c r="D267" t="inlineStr">
        <is>
          <t>GOTLANDS LÄN</t>
        </is>
      </c>
      <c r="E267" t="inlineStr">
        <is>
          <t>GOTLAND</t>
        </is>
      </c>
      <c r="G267" t="n">
        <v>3.4</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46064</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46064</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39496-2022</t>
        </is>
      </c>
      <c r="B270" s="1" t="n">
        <v>44818</v>
      </c>
      <c r="C270" s="1" t="n">
        <v>46064</v>
      </c>
      <c r="D270" t="inlineStr">
        <is>
          <t>GOTLANDS LÄN</t>
        </is>
      </c>
      <c r="E270" t="inlineStr">
        <is>
          <t>GOTLAND</t>
        </is>
      </c>
      <c r="G270" t="n">
        <v>2.4</v>
      </c>
      <c r="H270" t="n">
        <v>0</v>
      </c>
      <c r="I270" t="n">
        <v>0</v>
      </c>
      <c r="J270" t="n">
        <v>0</v>
      </c>
      <c r="K270" t="n">
        <v>0</v>
      </c>
      <c r="L270" t="n">
        <v>0</v>
      </c>
      <c r="M270" t="n">
        <v>0</v>
      </c>
      <c r="N270" t="n">
        <v>0</v>
      </c>
      <c r="O270" t="n">
        <v>0</v>
      </c>
      <c r="P270" t="n">
        <v>0</v>
      </c>
      <c r="Q270" t="n">
        <v>0</v>
      </c>
      <c r="R270" s="2" t="inlineStr"/>
    </row>
    <row r="271" ht="15" customHeight="1">
      <c r="A271" t="inlineStr">
        <is>
          <t>A 39814-2025</t>
        </is>
      </c>
      <c r="B271" s="1" t="n">
        <v>45891.52694444444</v>
      </c>
      <c r="C271" s="1" t="n">
        <v>46064</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39819-2025</t>
        </is>
      </c>
      <c r="B272" s="1" t="n">
        <v>45891.53418981482</v>
      </c>
      <c r="C272" s="1" t="n">
        <v>46064</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46389-2021</t>
        </is>
      </c>
      <c r="B273" s="1" t="n">
        <v>44443</v>
      </c>
      <c r="C273" s="1" t="n">
        <v>46064</v>
      </c>
      <c r="D273" t="inlineStr">
        <is>
          <t>GOTLANDS LÄN</t>
        </is>
      </c>
      <c r="E273" t="inlineStr">
        <is>
          <t>GOTLAND</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41435-2025</t>
        </is>
      </c>
      <c r="B274" s="1" t="n">
        <v>45901.39974537037</v>
      </c>
      <c r="C274" s="1" t="n">
        <v>46064</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56009-2024</t>
        </is>
      </c>
      <c r="B275" s="1" t="n">
        <v>45623.80864583333</v>
      </c>
      <c r="C275" s="1" t="n">
        <v>46064</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46064</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44949-2023</t>
        </is>
      </c>
      <c r="B277" s="1" t="n">
        <v>45190.69520833333</v>
      </c>
      <c r="C277" s="1" t="n">
        <v>46064</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3964-2024</t>
        </is>
      </c>
      <c r="B278" s="1" t="n">
        <v>45322</v>
      </c>
      <c r="C278" s="1" t="n">
        <v>46064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17682-2024</t>
        </is>
      </c>
      <c r="B279" s="1" t="n">
        <v>45418.42966435185</v>
      </c>
      <c r="C279" s="1" t="n">
        <v>46064</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61897-2024</t>
        </is>
      </c>
      <c r="B280" s="1" t="n">
        <v>45652.75685185185</v>
      </c>
      <c r="C280" s="1" t="n">
        <v>46064</v>
      </c>
      <c r="D280" t="inlineStr">
        <is>
          <t>GOTLANDS LÄN</t>
        </is>
      </c>
      <c r="E280" t="inlineStr">
        <is>
          <t>GOTLAND</t>
        </is>
      </c>
      <c r="G280" t="n">
        <v>6.4</v>
      </c>
      <c r="H280" t="n">
        <v>0</v>
      </c>
      <c r="I280" t="n">
        <v>0</v>
      </c>
      <c r="J280" t="n">
        <v>0</v>
      </c>
      <c r="K280" t="n">
        <v>0</v>
      </c>
      <c r="L280" t="n">
        <v>0</v>
      </c>
      <c r="M280" t="n">
        <v>0</v>
      </c>
      <c r="N280" t="n">
        <v>0</v>
      </c>
      <c r="O280" t="n">
        <v>0</v>
      </c>
      <c r="P280" t="n">
        <v>0</v>
      </c>
      <c r="Q280" t="n">
        <v>0</v>
      </c>
      <c r="R280" s="2" t="inlineStr"/>
    </row>
    <row r="281" ht="15" customHeight="1">
      <c r="A281" t="inlineStr">
        <is>
          <t>A 45106-2024</t>
        </is>
      </c>
      <c r="B281" s="1" t="n">
        <v>45575</v>
      </c>
      <c r="C281" s="1" t="n">
        <v>46064</v>
      </c>
      <c r="D281" t="inlineStr">
        <is>
          <t>GOTLANDS LÄN</t>
        </is>
      </c>
      <c r="E281" t="inlineStr">
        <is>
          <t>GOTLAND</t>
        </is>
      </c>
      <c r="G281" t="n">
        <v>10</v>
      </c>
      <c r="H281" t="n">
        <v>0</v>
      </c>
      <c r="I281" t="n">
        <v>0</v>
      </c>
      <c r="J281" t="n">
        <v>0</v>
      </c>
      <c r="K281" t="n">
        <v>0</v>
      </c>
      <c r="L281" t="n">
        <v>0</v>
      </c>
      <c r="M281" t="n">
        <v>0</v>
      </c>
      <c r="N281" t="n">
        <v>0</v>
      </c>
      <c r="O281" t="n">
        <v>0</v>
      </c>
      <c r="P281" t="n">
        <v>0</v>
      </c>
      <c r="Q281" t="n">
        <v>0</v>
      </c>
      <c r="R281" s="2" t="inlineStr"/>
    </row>
    <row r="282" ht="15" customHeight="1">
      <c r="A282" t="inlineStr">
        <is>
          <t>A 45112-2024</t>
        </is>
      </c>
      <c r="B282" s="1" t="n">
        <v>45575</v>
      </c>
      <c r="C282" s="1" t="n">
        <v>46064</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12032-2025</t>
        </is>
      </c>
      <c r="B283" s="1" t="n">
        <v>45728.64472222222</v>
      </c>
      <c r="C283" s="1" t="n">
        <v>46064</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15595-2024</t>
        </is>
      </c>
      <c r="B284" s="1" t="n">
        <v>45401.81480324074</v>
      </c>
      <c r="C284" s="1" t="n">
        <v>46064</v>
      </c>
      <c r="D284" t="inlineStr">
        <is>
          <t>GOTLANDS LÄN</t>
        </is>
      </c>
      <c r="E284" t="inlineStr">
        <is>
          <t>GOTLAND</t>
        </is>
      </c>
      <c r="G284" t="n">
        <v>6.4</v>
      </c>
      <c r="H284" t="n">
        <v>0</v>
      </c>
      <c r="I284" t="n">
        <v>0</v>
      </c>
      <c r="J284" t="n">
        <v>0</v>
      </c>
      <c r="K284" t="n">
        <v>0</v>
      </c>
      <c r="L284" t="n">
        <v>0</v>
      </c>
      <c r="M284" t="n">
        <v>0</v>
      </c>
      <c r="N284" t="n">
        <v>0</v>
      </c>
      <c r="O284" t="n">
        <v>0</v>
      </c>
      <c r="P284" t="n">
        <v>0</v>
      </c>
      <c r="Q284" t="n">
        <v>0</v>
      </c>
      <c r="R284" s="2" t="inlineStr"/>
    </row>
    <row r="285" ht="15" customHeight="1">
      <c r="A285" t="inlineStr">
        <is>
          <t>A 7026-2023</t>
        </is>
      </c>
      <c r="B285" s="1" t="n">
        <v>44968.30340277778</v>
      </c>
      <c r="C285" s="1" t="n">
        <v>46064</v>
      </c>
      <c r="D285" t="inlineStr">
        <is>
          <t>GOTLANDS LÄN</t>
        </is>
      </c>
      <c r="E285" t="inlineStr">
        <is>
          <t>GOTLAND</t>
        </is>
      </c>
      <c r="G285" t="n">
        <v>2.9</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46064</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1351-2025</t>
        </is>
      </c>
      <c r="B287" s="1" t="n">
        <v>45667.62246527777</v>
      </c>
      <c r="C287" s="1" t="n">
        <v>46064</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46064</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49874-2024</t>
        </is>
      </c>
      <c r="B289" s="1" t="n">
        <v>45597.49274305555</v>
      </c>
      <c r="C289" s="1" t="n">
        <v>46064</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21164-2024</t>
        </is>
      </c>
      <c r="B290" s="1" t="n">
        <v>45440</v>
      </c>
      <c r="C290" s="1" t="n">
        <v>46064</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17541-2024</t>
        </is>
      </c>
      <c r="B291" s="1" t="n">
        <v>45415</v>
      </c>
      <c r="C291" s="1" t="n">
        <v>46064</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883-2025</t>
        </is>
      </c>
      <c r="B292" s="1" t="n">
        <v>45665</v>
      </c>
      <c r="C292" s="1" t="n">
        <v>46064</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13910-2025</t>
        </is>
      </c>
      <c r="B293" s="1" t="n">
        <v>45737</v>
      </c>
      <c r="C293" s="1" t="n">
        <v>46064</v>
      </c>
      <c r="D293" t="inlineStr">
        <is>
          <t>GOTLANDS LÄN</t>
        </is>
      </c>
      <c r="E293" t="inlineStr">
        <is>
          <t>GOTLAND</t>
        </is>
      </c>
      <c r="F293" t="inlineStr">
        <is>
          <t>Kommuner</t>
        </is>
      </c>
      <c r="G293" t="n">
        <v>3.2</v>
      </c>
      <c r="H293" t="n">
        <v>0</v>
      </c>
      <c r="I293" t="n">
        <v>0</v>
      </c>
      <c r="J293" t="n">
        <v>0</v>
      </c>
      <c r="K293" t="n">
        <v>0</v>
      </c>
      <c r="L293" t="n">
        <v>0</v>
      </c>
      <c r="M293" t="n">
        <v>0</v>
      </c>
      <c r="N293" t="n">
        <v>0</v>
      </c>
      <c r="O293" t="n">
        <v>0</v>
      </c>
      <c r="P293" t="n">
        <v>0</v>
      </c>
      <c r="Q293" t="n">
        <v>0</v>
      </c>
      <c r="R293" s="2" t="inlineStr"/>
    </row>
    <row r="294" ht="15" customHeight="1">
      <c r="A294" t="inlineStr">
        <is>
          <t>A 16373-2025</t>
        </is>
      </c>
      <c r="B294" s="1" t="n">
        <v>45751</v>
      </c>
      <c r="C294" s="1" t="n">
        <v>46064</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20794-2025</t>
        </is>
      </c>
      <c r="B295" s="1" t="n">
        <v>45776</v>
      </c>
      <c r="C295" s="1" t="n">
        <v>46064</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20805-2025</t>
        </is>
      </c>
      <c r="B296" s="1" t="n">
        <v>45776</v>
      </c>
      <c r="C296" s="1" t="n">
        <v>46064</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21389-2025</t>
        </is>
      </c>
      <c r="B297" s="1" t="n">
        <v>45782</v>
      </c>
      <c r="C297" s="1" t="n">
        <v>46064</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46064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46064</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5217-2023</t>
        </is>
      </c>
      <c r="B300" s="1" t="n">
        <v>44959.39582175926</v>
      </c>
      <c r="C300" s="1" t="n">
        <v>46064</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14638-2025</t>
        </is>
      </c>
      <c r="B301" s="1" t="n">
        <v>45742</v>
      </c>
      <c r="C301" s="1" t="n">
        <v>46064</v>
      </c>
      <c r="D301" t="inlineStr">
        <is>
          <t>GOTLANDS LÄN</t>
        </is>
      </c>
      <c r="E301" t="inlineStr">
        <is>
          <t>GOTLAND</t>
        </is>
      </c>
      <c r="G301" t="n">
        <v>13.4</v>
      </c>
      <c r="H301" t="n">
        <v>0</v>
      </c>
      <c r="I301" t="n">
        <v>0</v>
      </c>
      <c r="J301" t="n">
        <v>0</v>
      </c>
      <c r="K301" t="n">
        <v>0</v>
      </c>
      <c r="L301" t="n">
        <v>0</v>
      </c>
      <c r="M301" t="n">
        <v>0</v>
      </c>
      <c r="N301" t="n">
        <v>0</v>
      </c>
      <c r="O301" t="n">
        <v>0</v>
      </c>
      <c r="P301" t="n">
        <v>0</v>
      </c>
      <c r="Q301" t="n">
        <v>0</v>
      </c>
      <c r="R301" s="2" t="inlineStr"/>
    </row>
    <row r="302" ht="15" customHeight="1">
      <c r="A302" t="inlineStr">
        <is>
          <t>A 21651-2025</t>
        </is>
      </c>
      <c r="B302" s="1" t="n">
        <v>45783</v>
      </c>
      <c r="C302" s="1" t="n">
        <v>46064</v>
      </c>
      <c r="D302" t="inlineStr">
        <is>
          <t>GOTLANDS LÄN</t>
        </is>
      </c>
      <c r="E302" t="inlineStr">
        <is>
          <t>GOTLAND</t>
        </is>
      </c>
      <c r="G302" t="n">
        <v>4.2</v>
      </c>
      <c r="H302" t="n">
        <v>0</v>
      </c>
      <c r="I302" t="n">
        <v>0</v>
      </c>
      <c r="J302" t="n">
        <v>0</v>
      </c>
      <c r="K302" t="n">
        <v>0</v>
      </c>
      <c r="L302" t="n">
        <v>0</v>
      </c>
      <c r="M302" t="n">
        <v>0</v>
      </c>
      <c r="N302" t="n">
        <v>0</v>
      </c>
      <c r="O302" t="n">
        <v>0</v>
      </c>
      <c r="P302" t="n">
        <v>0</v>
      </c>
      <c r="Q302" t="n">
        <v>0</v>
      </c>
      <c r="R302" s="2" t="inlineStr"/>
    </row>
    <row r="303" ht="15" customHeight="1">
      <c r="A303" t="inlineStr">
        <is>
          <t>A 4421-2024</t>
        </is>
      </c>
      <c r="B303" s="1" t="n">
        <v>45327.45173611111</v>
      </c>
      <c r="C303" s="1" t="n">
        <v>46064</v>
      </c>
      <c r="D303" t="inlineStr">
        <is>
          <t>GOTLANDS LÄN</t>
        </is>
      </c>
      <c r="E303" t="inlineStr">
        <is>
          <t>GOTLAND</t>
        </is>
      </c>
      <c r="G303" t="n">
        <v>5.1</v>
      </c>
      <c r="H303" t="n">
        <v>0</v>
      </c>
      <c r="I303" t="n">
        <v>0</v>
      </c>
      <c r="J303" t="n">
        <v>0</v>
      </c>
      <c r="K303" t="n">
        <v>0</v>
      </c>
      <c r="L303" t="n">
        <v>0</v>
      </c>
      <c r="M303" t="n">
        <v>0</v>
      </c>
      <c r="N303" t="n">
        <v>0</v>
      </c>
      <c r="O303" t="n">
        <v>0</v>
      </c>
      <c r="P303" t="n">
        <v>0</v>
      </c>
      <c r="Q303" t="n">
        <v>0</v>
      </c>
      <c r="R303" s="2" t="inlineStr"/>
    </row>
    <row r="304" ht="15" customHeight="1">
      <c r="A304" t="inlineStr">
        <is>
          <t>A 20165-2022</t>
        </is>
      </c>
      <c r="B304" s="1" t="n">
        <v>44698.49854166667</v>
      </c>
      <c r="C304" s="1" t="n">
        <v>46064</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31264-2021</t>
        </is>
      </c>
      <c r="B305" s="1" t="n">
        <v>44368</v>
      </c>
      <c r="C305" s="1" t="n">
        <v>46064</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33876-2024</t>
        </is>
      </c>
      <c r="B306" s="1" t="n">
        <v>45521.87988425926</v>
      </c>
      <c r="C306" s="1" t="n">
        <v>46064</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43223-2023</t>
        </is>
      </c>
      <c r="B307" s="1" t="n">
        <v>45183.45642361111</v>
      </c>
      <c r="C307" s="1" t="n">
        <v>46064</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61962-2024</t>
        </is>
      </c>
      <c r="B308" s="1" t="n">
        <v>45653.54340277778</v>
      </c>
      <c r="C308" s="1" t="n">
        <v>46064</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10158-2025</t>
        </is>
      </c>
      <c r="B309" s="1" t="n">
        <v>45719</v>
      </c>
      <c r="C309" s="1" t="n">
        <v>46064</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27930-2021</t>
        </is>
      </c>
      <c r="B310" s="1" t="n">
        <v>44354</v>
      </c>
      <c r="C310" s="1" t="n">
        <v>46064</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59469-2024</t>
        </is>
      </c>
      <c r="B311" s="1" t="n">
        <v>45638</v>
      </c>
      <c r="C311" s="1" t="n">
        <v>46064</v>
      </c>
      <c r="D311" t="inlineStr">
        <is>
          <t>GOTLANDS LÄN</t>
        </is>
      </c>
      <c r="E311" t="inlineStr">
        <is>
          <t>GOTLAND</t>
        </is>
      </c>
      <c r="G311" t="n">
        <v>0.4</v>
      </c>
      <c r="H311" t="n">
        <v>0</v>
      </c>
      <c r="I311" t="n">
        <v>0</v>
      </c>
      <c r="J311" t="n">
        <v>0</v>
      </c>
      <c r="K311" t="n">
        <v>0</v>
      </c>
      <c r="L311" t="n">
        <v>0</v>
      </c>
      <c r="M311" t="n">
        <v>0</v>
      </c>
      <c r="N311" t="n">
        <v>0</v>
      </c>
      <c r="O311" t="n">
        <v>0</v>
      </c>
      <c r="P311" t="n">
        <v>0</v>
      </c>
      <c r="Q311" t="n">
        <v>0</v>
      </c>
      <c r="R311" s="2" t="inlineStr"/>
    </row>
    <row r="312" ht="15" customHeight="1">
      <c r="A312" t="inlineStr">
        <is>
          <t>A 21420-2024</t>
        </is>
      </c>
      <c r="B312" s="1" t="n">
        <v>45441.38293981482</v>
      </c>
      <c r="C312" s="1" t="n">
        <v>46064</v>
      </c>
      <c r="D312" t="inlineStr">
        <is>
          <t>GOTLANDS LÄN</t>
        </is>
      </c>
      <c r="E312" t="inlineStr">
        <is>
          <t>GOTLAND</t>
        </is>
      </c>
      <c r="G312" t="n">
        <v>4.1</v>
      </c>
      <c r="H312" t="n">
        <v>0</v>
      </c>
      <c r="I312" t="n">
        <v>0</v>
      </c>
      <c r="J312" t="n">
        <v>0</v>
      </c>
      <c r="K312" t="n">
        <v>0</v>
      </c>
      <c r="L312" t="n">
        <v>0</v>
      </c>
      <c r="M312" t="n">
        <v>0</v>
      </c>
      <c r="N312" t="n">
        <v>0</v>
      </c>
      <c r="O312" t="n">
        <v>0</v>
      </c>
      <c r="P312" t="n">
        <v>0</v>
      </c>
      <c r="Q312" t="n">
        <v>0</v>
      </c>
      <c r="R312" s="2" t="inlineStr"/>
    </row>
    <row r="313" ht="15" customHeight="1">
      <c r="A313" t="inlineStr">
        <is>
          <t>A 10656-2024</t>
        </is>
      </c>
      <c r="B313" s="1" t="n">
        <v>45368</v>
      </c>
      <c r="C313" s="1" t="n">
        <v>46064</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57356-2023</t>
        </is>
      </c>
      <c r="B314" s="1" t="n">
        <v>45240</v>
      </c>
      <c r="C314" s="1" t="n">
        <v>46064</v>
      </c>
      <c r="D314" t="inlineStr">
        <is>
          <t>GOTLANDS LÄN</t>
        </is>
      </c>
      <c r="E314" t="inlineStr">
        <is>
          <t>GOTLAND</t>
        </is>
      </c>
      <c r="G314" t="n">
        <v>6.4</v>
      </c>
      <c r="H314" t="n">
        <v>0</v>
      </c>
      <c r="I314" t="n">
        <v>0</v>
      </c>
      <c r="J314" t="n">
        <v>0</v>
      </c>
      <c r="K314" t="n">
        <v>0</v>
      </c>
      <c r="L314" t="n">
        <v>0</v>
      </c>
      <c r="M314" t="n">
        <v>0</v>
      </c>
      <c r="N314" t="n">
        <v>0</v>
      </c>
      <c r="O314" t="n">
        <v>0</v>
      </c>
      <c r="P314" t="n">
        <v>0</v>
      </c>
      <c r="Q314" t="n">
        <v>0</v>
      </c>
      <c r="R314" s="2" t="inlineStr"/>
    </row>
    <row r="315" ht="15" customHeight="1">
      <c r="A315" t="inlineStr">
        <is>
          <t>A 28506-2023</t>
        </is>
      </c>
      <c r="B315" s="1" t="n">
        <v>45103</v>
      </c>
      <c r="C315" s="1" t="n">
        <v>46064</v>
      </c>
      <c r="D315" t="inlineStr">
        <is>
          <t>GOTLANDS LÄN</t>
        </is>
      </c>
      <c r="E315" t="inlineStr">
        <is>
          <t>GOTLAND</t>
        </is>
      </c>
      <c r="G315" t="n">
        <v>3.2</v>
      </c>
      <c r="H315" t="n">
        <v>0</v>
      </c>
      <c r="I315" t="n">
        <v>0</v>
      </c>
      <c r="J315" t="n">
        <v>0</v>
      </c>
      <c r="K315" t="n">
        <v>0</v>
      </c>
      <c r="L315" t="n">
        <v>0</v>
      </c>
      <c r="M315" t="n">
        <v>0</v>
      </c>
      <c r="N315" t="n">
        <v>0</v>
      </c>
      <c r="O315" t="n">
        <v>0</v>
      </c>
      <c r="P315" t="n">
        <v>0</v>
      </c>
      <c r="Q315" t="n">
        <v>0</v>
      </c>
      <c r="R315" s="2" t="inlineStr"/>
    </row>
    <row r="316" ht="15" customHeight="1">
      <c r="A316" t="inlineStr">
        <is>
          <t>A 23188-2025</t>
        </is>
      </c>
      <c r="B316" s="1" t="n">
        <v>45791</v>
      </c>
      <c r="C316" s="1" t="n">
        <v>46064</v>
      </c>
      <c r="D316" t="inlineStr">
        <is>
          <t>GOTLANDS LÄN</t>
        </is>
      </c>
      <c r="E316" t="inlineStr">
        <is>
          <t>GOTLAND</t>
        </is>
      </c>
      <c r="G316" t="n">
        <v>6.2</v>
      </c>
      <c r="H316" t="n">
        <v>0</v>
      </c>
      <c r="I316" t="n">
        <v>0</v>
      </c>
      <c r="J316" t="n">
        <v>0</v>
      </c>
      <c r="K316" t="n">
        <v>0</v>
      </c>
      <c r="L316" t="n">
        <v>0</v>
      </c>
      <c r="M316" t="n">
        <v>0</v>
      </c>
      <c r="N316" t="n">
        <v>0</v>
      </c>
      <c r="O316" t="n">
        <v>0</v>
      </c>
      <c r="P316" t="n">
        <v>0</v>
      </c>
      <c r="Q316" t="n">
        <v>0</v>
      </c>
      <c r="R316" s="2" t="inlineStr"/>
    </row>
    <row r="317" ht="15" customHeight="1">
      <c r="A317" t="inlineStr">
        <is>
          <t>A 5751-2024</t>
        </is>
      </c>
      <c r="B317" s="1" t="n">
        <v>45335.32702546296</v>
      </c>
      <c r="C317" s="1" t="n">
        <v>46064</v>
      </c>
      <c r="D317" t="inlineStr">
        <is>
          <t>GOTLANDS LÄN</t>
        </is>
      </c>
      <c r="E317" t="inlineStr">
        <is>
          <t>GOTLAND</t>
        </is>
      </c>
      <c r="G317" t="n">
        <v>4.2</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46064</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6696-2023</t>
        </is>
      </c>
      <c r="B319" s="1" t="n">
        <v>44966.66425925926</v>
      </c>
      <c r="C319" s="1" t="n">
        <v>46064</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28480-2023</t>
        </is>
      </c>
      <c r="B320" s="1" t="n">
        <v>45103</v>
      </c>
      <c r="C320" s="1" t="n">
        <v>46064</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28485-2023</t>
        </is>
      </c>
      <c r="B321" s="1" t="n">
        <v>45103.43731481482</v>
      </c>
      <c r="C321" s="1" t="n">
        <v>46064</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4990-2025</t>
        </is>
      </c>
      <c r="B322" s="1" t="n">
        <v>45691</v>
      </c>
      <c r="C322" s="1" t="n">
        <v>46064</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23856-2025</t>
        </is>
      </c>
      <c r="B323" s="1" t="n">
        <v>45793</v>
      </c>
      <c r="C323" s="1" t="n">
        <v>46064</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46064</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38165-2023</t>
        </is>
      </c>
      <c r="B325" s="1" t="n">
        <v>45161</v>
      </c>
      <c r="C325" s="1" t="n">
        <v>46064</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44410-2025</t>
        </is>
      </c>
      <c r="B326" s="1" t="n">
        <v>45916.53699074074</v>
      </c>
      <c r="C326" s="1" t="n">
        <v>46064</v>
      </c>
      <c r="D326" t="inlineStr">
        <is>
          <t>GOTLANDS LÄN</t>
        </is>
      </c>
      <c r="E326" t="inlineStr">
        <is>
          <t>GOTLAND</t>
        </is>
      </c>
      <c r="G326" t="n">
        <v>2.3</v>
      </c>
      <c r="H326" t="n">
        <v>0</v>
      </c>
      <c r="I326" t="n">
        <v>0</v>
      </c>
      <c r="J326" t="n">
        <v>0</v>
      </c>
      <c r="K326" t="n">
        <v>0</v>
      </c>
      <c r="L326" t="n">
        <v>0</v>
      </c>
      <c r="M326" t="n">
        <v>0</v>
      </c>
      <c r="N326" t="n">
        <v>0</v>
      </c>
      <c r="O326" t="n">
        <v>0</v>
      </c>
      <c r="P326" t="n">
        <v>0</v>
      </c>
      <c r="Q326" t="n">
        <v>0</v>
      </c>
      <c r="R326" s="2" t="inlineStr"/>
    </row>
    <row r="327" ht="15" customHeight="1">
      <c r="A327" t="inlineStr">
        <is>
          <t>A 23473-2025</t>
        </is>
      </c>
      <c r="B327" s="1" t="n">
        <v>45792</v>
      </c>
      <c r="C327" s="1" t="n">
        <v>46064</v>
      </c>
      <c r="D327" t="inlineStr">
        <is>
          <t>GOTLANDS LÄN</t>
        </is>
      </c>
      <c r="E327" t="inlineStr">
        <is>
          <t>GOTLAND</t>
        </is>
      </c>
      <c r="G327" t="n">
        <v>3.6</v>
      </c>
      <c r="H327" t="n">
        <v>0</v>
      </c>
      <c r="I327" t="n">
        <v>0</v>
      </c>
      <c r="J327" t="n">
        <v>0</v>
      </c>
      <c r="K327" t="n">
        <v>0</v>
      </c>
      <c r="L327" t="n">
        <v>0</v>
      </c>
      <c r="M327" t="n">
        <v>0</v>
      </c>
      <c r="N327" t="n">
        <v>0</v>
      </c>
      <c r="O327" t="n">
        <v>0</v>
      </c>
      <c r="P327" t="n">
        <v>0</v>
      </c>
      <c r="Q327" t="n">
        <v>0</v>
      </c>
      <c r="R327" s="2" t="inlineStr"/>
    </row>
    <row r="328" ht="15" customHeight="1">
      <c r="A328" t="inlineStr">
        <is>
          <t>A 23698-2025</t>
        </is>
      </c>
      <c r="B328" s="1" t="n">
        <v>45793</v>
      </c>
      <c r="C328" s="1" t="n">
        <v>46064</v>
      </c>
      <c r="D328" t="inlineStr">
        <is>
          <t>GOTLANDS LÄN</t>
        </is>
      </c>
      <c r="E328" t="inlineStr">
        <is>
          <t>GOTLAND</t>
        </is>
      </c>
      <c r="G328" t="n">
        <v>0.8</v>
      </c>
      <c r="H328" t="n">
        <v>0</v>
      </c>
      <c r="I328" t="n">
        <v>0</v>
      </c>
      <c r="J328" t="n">
        <v>0</v>
      </c>
      <c r="K328" t="n">
        <v>0</v>
      </c>
      <c r="L328" t="n">
        <v>0</v>
      </c>
      <c r="M328" t="n">
        <v>0</v>
      </c>
      <c r="N328" t="n">
        <v>0</v>
      </c>
      <c r="O328" t="n">
        <v>0</v>
      </c>
      <c r="P328" t="n">
        <v>0</v>
      </c>
      <c r="Q328" t="n">
        <v>0</v>
      </c>
      <c r="R328" s="2" t="inlineStr"/>
    </row>
    <row r="329" ht="15" customHeight="1">
      <c r="A329" t="inlineStr">
        <is>
          <t>A 15073-2025</t>
        </is>
      </c>
      <c r="B329" s="1" t="n">
        <v>45743</v>
      </c>
      <c r="C329" s="1" t="n">
        <v>46064</v>
      </c>
      <c r="D329" t="inlineStr">
        <is>
          <t>GOTLANDS LÄN</t>
        </is>
      </c>
      <c r="E329" t="inlineStr">
        <is>
          <t>GOTLAND</t>
        </is>
      </c>
      <c r="G329" t="n">
        <v>12.1</v>
      </c>
      <c r="H329" t="n">
        <v>0</v>
      </c>
      <c r="I329" t="n">
        <v>0</v>
      </c>
      <c r="J329" t="n">
        <v>0</v>
      </c>
      <c r="K329" t="n">
        <v>0</v>
      </c>
      <c r="L329" t="n">
        <v>0</v>
      </c>
      <c r="M329" t="n">
        <v>0</v>
      </c>
      <c r="N329" t="n">
        <v>0</v>
      </c>
      <c r="O329" t="n">
        <v>0</v>
      </c>
      <c r="P329" t="n">
        <v>0</v>
      </c>
      <c r="Q329" t="n">
        <v>0</v>
      </c>
      <c r="R329" s="2" t="inlineStr"/>
    </row>
    <row r="330" ht="15" customHeight="1">
      <c r="A330" t="inlineStr">
        <is>
          <t>A 44405-2025</t>
        </is>
      </c>
      <c r="B330" s="1" t="n">
        <v>45916.52405092592</v>
      </c>
      <c r="C330" s="1" t="n">
        <v>46064</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49693-2023</t>
        </is>
      </c>
      <c r="B331" s="1" t="n">
        <v>45212.38138888889</v>
      </c>
      <c r="C331" s="1" t="n">
        <v>46064</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49697-2023</t>
        </is>
      </c>
      <c r="B332" s="1" t="n">
        <v>45212.38909722222</v>
      </c>
      <c r="C332" s="1" t="n">
        <v>46064</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34312-2024</t>
        </is>
      </c>
      <c r="B333" s="1" t="n">
        <v>45524.69703703704</v>
      </c>
      <c r="C333" s="1" t="n">
        <v>46064</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6749-2025</t>
        </is>
      </c>
      <c r="B334" s="1" t="n">
        <v>45700</v>
      </c>
      <c r="C334" s="1" t="n">
        <v>46064</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48503-2023</t>
        </is>
      </c>
      <c r="B335" s="1" t="n">
        <v>45207</v>
      </c>
      <c r="C335" s="1" t="n">
        <v>46064</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5462-2025</t>
        </is>
      </c>
      <c r="B336" s="1" t="n">
        <v>45693.29331018519</v>
      </c>
      <c r="C336" s="1" t="n">
        <v>46064</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24825-2024</t>
        </is>
      </c>
      <c r="B337" s="1" t="n">
        <v>45461</v>
      </c>
      <c r="C337" s="1" t="n">
        <v>46064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22031-2024</t>
        </is>
      </c>
      <c r="B338" s="1" t="n">
        <v>45443.60075231481</v>
      </c>
      <c r="C338" s="1" t="n">
        <v>46064</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17688-2024</t>
        </is>
      </c>
      <c r="B339" s="1" t="n">
        <v>45418.43575231481</v>
      </c>
      <c r="C339" s="1" t="n">
        <v>46064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27694-2024</t>
        </is>
      </c>
      <c r="B340" s="1" t="n">
        <v>45475</v>
      </c>
      <c r="C340" s="1" t="n">
        <v>46064</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46064</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25796-2025</t>
        </is>
      </c>
      <c r="B342" s="1" t="n">
        <v>45804.39543981481</v>
      </c>
      <c r="C342" s="1" t="n">
        <v>46064</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6099-2024</t>
        </is>
      </c>
      <c r="B343" s="1" t="n">
        <v>45337</v>
      </c>
      <c r="C343" s="1" t="n">
        <v>46064</v>
      </c>
      <c r="D343" t="inlineStr">
        <is>
          <t>GOTLANDS LÄN</t>
        </is>
      </c>
      <c r="E343" t="inlineStr">
        <is>
          <t>GOTLAND</t>
        </is>
      </c>
      <c r="G343" t="n">
        <v>12.6</v>
      </c>
      <c r="H343" t="n">
        <v>0</v>
      </c>
      <c r="I343" t="n">
        <v>0</v>
      </c>
      <c r="J343" t="n">
        <v>0</v>
      </c>
      <c r="K343" t="n">
        <v>0</v>
      </c>
      <c r="L343" t="n">
        <v>0</v>
      </c>
      <c r="M343" t="n">
        <v>0</v>
      </c>
      <c r="N343" t="n">
        <v>0</v>
      </c>
      <c r="O343" t="n">
        <v>0</v>
      </c>
      <c r="P343" t="n">
        <v>0</v>
      </c>
      <c r="Q343" t="n">
        <v>0</v>
      </c>
      <c r="R343" s="2" t="inlineStr"/>
    </row>
    <row r="344" ht="15" customHeight="1">
      <c r="A344" t="inlineStr">
        <is>
          <t>A 8260-2023</t>
        </is>
      </c>
      <c r="B344" s="1" t="n">
        <v>44974.61608796296</v>
      </c>
      <c r="C344" s="1" t="n">
        <v>46064</v>
      </c>
      <c r="D344" t="inlineStr">
        <is>
          <t>GOTLANDS LÄN</t>
        </is>
      </c>
      <c r="E344" t="inlineStr">
        <is>
          <t>GOTLAND</t>
        </is>
      </c>
      <c r="G344" t="n">
        <v>2.9</v>
      </c>
      <c r="H344" t="n">
        <v>0</v>
      </c>
      <c r="I344" t="n">
        <v>0</v>
      </c>
      <c r="J344" t="n">
        <v>0</v>
      </c>
      <c r="K344" t="n">
        <v>0</v>
      </c>
      <c r="L344" t="n">
        <v>0</v>
      </c>
      <c r="M344" t="n">
        <v>0</v>
      </c>
      <c r="N344" t="n">
        <v>0</v>
      </c>
      <c r="O344" t="n">
        <v>0</v>
      </c>
      <c r="P344" t="n">
        <v>0</v>
      </c>
      <c r="Q344" t="n">
        <v>0</v>
      </c>
      <c r="R344" s="2" t="inlineStr"/>
    </row>
    <row r="345" ht="15" customHeight="1">
      <c r="A345" t="inlineStr">
        <is>
          <t>A 22287-2022</t>
        </is>
      </c>
      <c r="B345" s="1" t="n">
        <v>44712</v>
      </c>
      <c r="C345" s="1" t="n">
        <v>46064</v>
      </c>
      <c r="D345" t="inlineStr">
        <is>
          <t>GOTLANDS LÄN</t>
        </is>
      </c>
      <c r="E345" t="inlineStr">
        <is>
          <t>GOTLAND</t>
        </is>
      </c>
      <c r="G345" t="n">
        <v>6.1</v>
      </c>
      <c r="H345" t="n">
        <v>0</v>
      </c>
      <c r="I345" t="n">
        <v>0</v>
      </c>
      <c r="J345" t="n">
        <v>0</v>
      </c>
      <c r="K345" t="n">
        <v>0</v>
      </c>
      <c r="L345" t="n">
        <v>0</v>
      </c>
      <c r="M345" t="n">
        <v>0</v>
      </c>
      <c r="N345" t="n">
        <v>0</v>
      </c>
      <c r="O345" t="n">
        <v>0</v>
      </c>
      <c r="P345" t="n">
        <v>0</v>
      </c>
      <c r="Q345" t="n">
        <v>0</v>
      </c>
      <c r="R345" s="2" t="inlineStr"/>
    </row>
    <row r="346" ht="15" customHeight="1">
      <c r="A346" t="inlineStr">
        <is>
          <t>A 57534-2022</t>
        </is>
      </c>
      <c r="B346" s="1" t="n">
        <v>44896</v>
      </c>
      <c r="C346" s="1" t="n">
        <v>46064</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26465-2025</t>
        </is>
      </c>
      <c r="B347" s="1" t="n">
        <v>45807.44377314814</v>
      </c>
      <c r="C347" s="1" t="n">
        <v>46064</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26457-2025</t>
        </is>
      </c>
      <c r="B348" s="1" t="n">
        <v>45807.42773148148</v>
      </c>
      <c r="C348" s="1" t="n">
        <v>46064</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26467-2025</t>
        </is>
      </c>
      <c r="B349" s="1" t="n">
        <v>45807.44640046296</v>
      </c>
      <c r="C349" s="1" t="n">
        <v>46064</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26660-2025</t>
        </is>
      </c>
      <c r="B350" s="1" t="n">
        <v>45810.39737268518</v>
      </c>
      <c r="C350" s="1" t="n">
        <v>46064</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27355-2025</t>
        </is>
      </c>
      <c r="B351" s="1" t="n">
        <v>45812</v>
      </c>
      <c r="C351" s="1" t="n">
        <v>46064</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64660-2023</t>
        </is>
      </c>
      <c r="B352" s="1" t="n">
        <v>45281.60122685185</v>
      </c>
      <c r="C352" s="1" t="n">
        <v>46064</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27371-2025</t>
        </is>
      </c>
      <c r="B353" s="1" t="n">
        <v>45812</v>
      </c>
      <c r="C353" s="1" t="n">
        <v>46064</v>
      </c>
      <c r="D353" t="inlineStr">
        <is>
          <t>GOTLANDS LÄN</t>
        </is>
      </c>
      <c r="E353" t="inlineStr">
        <is>
          <t>GOTLAND</t>
        </is>
      </c>
      <c r="G353" t="n">
        <v>8</v>
      </c>
      <c r="H353" t="n">
        <v>0</v>
      </c>
      <c r="I353" t="n">
        <v>0</v>
      </c>
      <c r="J353" t="n">
        <v>0</v>
      </c>
      <c r="K353" t="n">
        <v>0</v>
      </c>
      <c r="L353" t="n">
        <v>0</v>
      </c>
      <c r="M353" t="n">
        <v>0</v>
      </c>
      <c r="N353" t="n">
        <v>0</v>
      </c>
      <c r="O353" t="n">
        <v>0</v>
      </c>
      <c r="P353" t="n">
        <v>0</v>
      </c>
      <c r="Q353" t="n">
        <v>0</v>
      </c>
      <c r="R353" s="2" t="inlineStr"/>
    </row>
    <row r="354" ht="15" customHeight="1">
      <c r="A354" t="inlineStr">
        <is>
          <t>A 7850-2025</t>
        </is>
      </c>
      <c r="B354" s="1" t="n">
        <v>45706</v>
      </c>
      <c r="C354" s="1" t="n">
        <v>46064</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6739-2025</t>
        </is>
      </c>
      <c r="B355" s="1" t="n">
        <v>45700</v>
      </c>
      <c r="C355" s="1" t="n">
        <v>46064</v>
      </c>
      <c r="D355" t="inlineStr">
        <is>
          <t>GOTLANDS LÄN</t>
        </is>
      </c>
      <c r="E355" t="inlineStr">
        <is>
          <t>GOTLAND</t>
        </is>
      </c>
      <c r="G355" t="n">
        <v>4.5</v>
      </c>
      <c r="H355" t="n">
        <v>0</v>
      </c>
      <c r="I355" t="n">
        <v>0</v>
      </c>
      <c r="J355" t="n">
        <v>0</v>
      </c>
      <c r="K355" t="n">
        <v>0</v>
      </c>
      <c r="L355" t="n">
        <v>0</v>
      </c>
      <c r="M355" t="n">
        <v>0</v>
      </c>
      <c r="N355" t="n">
        <v>0</v>
      </c>
      <c r="O355" t="n">
        <v>0</v>
      </c>
      <c r="P355" t="n">
        <v>0</v>
      </c>
      <c r="Q355" t="n">
        <v>0</v>
      </c>
      <c r="R355" s="2" t="inlineStr"/>
    </row>
    <row r="356" ht="15" customHeight="1">
      <c r="A356" t="inlineStr">
        <is>
          <t>A 20855-2023</t>
        </is>
      </c>
      <c r="B356" s="1" t="n">
        <v>45058.82172453704</v>
      </c>
      <c r="C356" s="1" t="n">
        <v>46064</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8444-2025</t>
        </is>
      </c>
      <c r="B357" s="1" t="n">
        <v>45709</v>
      </c>
      <c r="C357" s="1" t="n">
        <v>46064</v>
      </c>
      <c r="D357" t="inlineStr">
        <is>
          <t>GOTLANDS LÄN</t>
        </is>
      </c>
      <c r="E357" t="inlineStr">
        <is>
          <t>GOTLAND</t>
        </is>
      </c>
      <c r="G357" t="n">
        <v>5.2</v>
      </c>
      <c r="H357" t="n">
        <v>0</v>
      </c>
      <c r="I357" t="n">
        <v>0</v>
      </c>
      <c r="J357" t="n">
        <v>0</v>
      </c>
      <c r="K357" t="n">
        <v>0</v>
      </c>
      <c r="L357" t="n">
        <v>0</v>
      </c>
      <c r="M357" t="n">
        <v>0</v>
      </c>
      <c r="N357" t="n">
        <v>0</v>
      </c>
      <c r="O357" t="n">
        <v>0</v>
      </c>
      <c r="P357" t="n">
        <v>0</v>
      </c>
      <c r="Q357" t="n">
        <v>0</v>
      </c>
      <c r="R357" s="2" t="inlineStr"/>
    </row>
    <row r="358" ht="15" customHeight="1">
      <c r="A358" t="inlineStr">
        <is>
          <t>A 19905-2025</t>
        </is>
      </c>
      <c r="B358" s="1" t="n">
        <v>45771</v>
      </c>
      <c r="C358" s="1" t="n">
        <v>46064</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26391-2025</t>
        </is>
      </c>
      <c r="B359" s="1" t="n">
        <v>45806</v>
      </c>
      <c r="C359" s="1" t="n">
        <v>46064</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60709-2023</t>
        </is>
      </c>
      <c r="B360" s="1" t="n">
        <v>45260</v>
      </c>
      <c r="C360" s="1" t="n">
        <v>46064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1000-2024</t>
        </is>
      </c>
      <c r="B361" s="1" t="n">
        <v>45301.63371527778</v>
      </c>
      <c r="C361" s="1" t="n">
        <v>46064</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1010-2024</t>
        </is>
      </c>
      <c r="B362" s="1" t="n">
        <v>45301</v>
      </c>
      <c r="C362" s="1" t="n">
        <v>46064</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65249-2023</t>
        </is>
      </c>
      <c r="B363" s="1" t="n">
        <v>45290</v>
      </c>
      <c r="C363" s="1" t="n">
        <v>46064</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30956-2024</t>
        </is>
      </c>
      <c r="B364" s="1" t="n">
        <v>45499.42527777778</v>
      </c>
      <c r="C364" s="1" t="n">
        <v>46064</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12596-2023</t>
        </is>
      </c>
      <c r="B365" s="1" t="n">
        <v>45000.43310185185</v>
      </c>
      <c r="C365" s="1" t="n">
        <v>46064</v>
      </c>
      <c r="D365" t="inlineStr">
        <is>
          <t>GOTLANDS LÄN</t>
        </is>
      </c>
      <c r="E365" t="inlineStr">
        <is>
          <t>GOTLAND</t>
        </is>
      </c>
      <c r="G365" t="n">
        <v>4.1</v>
      </c>
      <c r="H365" t="n">
        <v>0</v>
      </c>
      <c r="I365" t="n">
        <v>0</v>
      </c>
      <c r="J365" t="n">
        <v>0</v>
      </c>
      <c r="K365" t="n">
        <v>0</v>
      </c>
      <c r="L365" t="n">
        <v>0</v>
      </c>
      <c r="M365" t="n">
        <v>0</v>
      </c>
      <c r="N365" t="n">
        <v>0</v>
      </c>
      <c r="O365" t="n">
        <v>0</v>
      </c>
      <c r="P365" t="n">
        <v>0</v>
      </c>
      <c r="Q365" t="n">
        <v>0</v>
      </c>
      <c r="R365" s="2" t="inlineStr"/>
    </row>
    <row r="366" ht="15" customHeight="1">
      <c r="A366" t="inlineStr">
        <is>
          <t>A 29207-2025</t>
        </is>
      </c>
      <c r="B366" s="1" t="n">
        <v>45823</v>
      </c>
      <c r="C366" s="1" t="n">
        <v>46064</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8045-2022</t>
        </is>
      </c>
      <c r="B367" s="1" t="n">
        <v>44609</v>
      </c>
      <c r="C367" s="1" t="n">
        <v>46064</v>
      </c>
      <c r="D367" t="inlineStr">
        <is>
          <t>GOTLANDS LÄN</t>
        </is>
      </c>
      <c r="E367" t="inlineStr">
        <is>
          <t>GOTLAND</t>
        </is>
      </c>
      <c r="G367" t="n">
        <v>7</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46064</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46836-2025</t>
        </is>
      </c>
      <c r="B369" s="1" t="n">
        <v>45928.31511574074</v>
      </c>
      <c r="C369" s="1" t="n">
        <v>46064</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30061-2025</t>
        </is>
      </c>
      <c r="B370" s="1" t="n">
        <v>45826.61488425926</v>
      </c>
      <c r="C370" s="1" t="n">
        <v>46064</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999-2024</t>
        </is>
      </c>
      <c r="B371" s="1" t="n">
        <v>45301</v>
      </c>
      <c r="C371" s="1" t="n">
        <v>46064</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65901-2021</t>
        </is>
      </c>
      <c r="B372" s="1" t="n">
        <v>44516</v>
      </c>
      <c r="C372" s="1" t="n">
        <v>46064</v>
      </c>
      <c r="D372" t="inlineStr">
        <is>
          <t>GOTLANDS LÄN</t>
        </is>
      </c>
      <c r="E372" t="inlineStr">
        <is>
          <t>GOTLAND</t>
        </is>
      </c>
      <c r="G372" t="n">
        <v>4.9</v>
      </c>
      <c r="H372" t="n">
        <v>0</v>
      </c>
      <c r="I372" t="n">
        <v>0</v>
      </c>
      <c r="J372" t="n">
        <v>0</v>
      </c>
      <c r="K372" t="n">
        <v>0</v>
      </c>
      <c r="L372" t="n">
        <v>0</v>
      </c>
      <c r="M372" t="n">
        <v>0</v>
      </c>
      <c r="N372" t="n">
        <v>0</v>
      </c>
      <c r="O372" t="n">
        <v>0</v>
      </c>
      <c r="P372" t="n">
        <v>0</v>
      </c>
      <c r="Q372" t="n">
        <v>0</v>
      </c>
      <c r="R372" s="2" t="inlineStr"/>
    </row>
    <row r="373" ht="15" customHeight="1">
      <c r="A373" t="inlineStr">
        <is>
          <t>A 47762-2023</t>
        </is>
      </c>
      <c r="B373" s="1" t="n">
        <v>45203.86256944444</v>
      </c>
      <c r="C373" s="1" t="n">
        <v>46064</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40294-2022</t>
        </is>
      </c>
      <c r="B374" s="1" t="n">
        <v>44821</v>
      </c>
      <c r="C374" s="1" t="n">
        <v>46064</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27602-2023</t>
        </is>
      </c>
      <c r="B375" s="1" t="n">
        <v>45097</v>
      </c>
      <c r="C375" s="1" t="n">
        <v>46064</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58780-2024</t>
        </is>
      </c>
      <c r="B376" s="1" t="n">
        <v>45635.84113425926</v>
      </c>
      <c r="C376" s="1" t="n">
        <v>46064</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12322-2025</t>
        </is>
      </c>
      <c r="B377" s="1" t="n">
        <v>45730</v>
      </c>
      <c r="C377" s="1" t="n">
        <v>46064</v>
      </c>
      <c r="D377" t="inlineStr">
        <is>
          <t>GOTLANDS LÄN</t>
        </is>
      </c>
      <c r="E377" t="inlineStr">
        <is>
          <t>GOTLAND</t>
        </is>
      </c>
      <c r="G377" t="n">
        <v>1.4</v>
      </c>
      <c r="H377" t="n">
        <v>0</v>
      </c>
      <c r="I377" t="n">
        <v>0</v>
      </c>
      <c r="J377" t="n">
        <v>0</v>
      </c>
      <c r="K377" t="n">
        <v>0</v>
      </c>
      <c r="L377" t="n">
        <v>0</v>
      </c>
      <c r="M377" t="n">
        <v>0</v>
      </c>
      <c r="N377" t="n">
        <v>0</v>
      </c>
      <c r="O377" t="n">
        <v>0</v>
      </c>
      <c r="P377" t="n">
        <v>0</v>
      </c>
      <c r="Q377" t="n">
        <v>0</v>
      </c>
      <c r="R377" s="2" t="inlineStr"/>
    </row>
    <row r="378" ht="15" customHeight="1">
      <c r="A378" t="inlineStr">
        <is>
          <t>A 58160-2024</t>
        </is>
      </c>
      <c r="B378" s="1" t="n">
        <v>45632.44927083333</v>
      </c>
      <c r="C378" s="1" t="n">
        <v>46064</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47637-2025</t>
        </is>
      </c>
      <c r="B379" s="1" t="n">
        <v>45931.49753472222</v>
      </c>
      <c r="C379" s="1" t="n">
        <v>46064</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24192-2023</t>
        </is>
      </c>
      <c r="B380" s="1" t="n">
        <v>45079</v>
      </c>
      <c r="C380" s="1" t="n">
        <v>46064</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30282-2022</t>
        </is>
      </c>
      <c r="B381" s="1" t="n">
        <v>44760</v>
      </c>
      <c r="C381" s="1" t="n">
        <v>46064</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7835-2024</t>
        </is>
      </c>
      <c r="B382" s="1" t="n">
        <v>45349.83138888889</v>
      </c>
      <c r="C382" s="1" t="n">
        <v>46064</v>
      </c>
      <c r="D382" t="inlineStr">
        <is>
          <t>GOTLANDS LÄN</t>
        </is>
      </c>
      <c r="E382" t="inlineStr">
        <is>
          <t>GOTLAND</t>
        </is>
      </c>
      <c r="G382" t="n">
        <v>3.8</v>
      </c>
      <c r="H382" t="n">
        <v>0</v>
      </c>
      <c r="I382" t="n">
        <v>0</v>
      </c>
      <c r="J382" t="n">
        <v>0</v>
      </c>
      <c r="K382" t="n">
        <v>0</v>
      </c>
      <c r="L382" t="n">
        <v>0</v>
      </c>
      <c r="M382" t="n">
        <v>0</v>
      </c>
      <c r="N382" t="n">
        <v>0</v>
      </c>
      <c r="O382" t="n">
        <v>0</v>
      </c>
      <c r="P382" t="n">
        <v>0</v>
      </c>
      <c r="Q382" t="n">
        <v>0</v>
      </c>
      <c r="R382" s="2" t="inlineStr"/>
    </row>
    <row r="383" ht="15" customHeight="1">
      <c r="A383" t="inlineStr">
        <is>
          <t>A 10650-2022</t>
        </is>
      </c>
      <c r="B383" s="1" t="n">
        <v>44624.57945601852</v>
      </c>
      <c r="C383" s="1" t="n">
        <v>46064</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26810-2021</t>
        </is>
      </c>
      <c r="B384" s="1" t="n">
        <v>44349.55087962963</v>
      </c>
      <c r="C384" s="1" t="n">
        <v>46064</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32378-2025</t>
        </is>
      </c>
      <c r="B385" s="1" t="n">
        <v>45837</v>
      </c>
      <c r="C385" s="1" t="n">
        <v>46064</v>
      </c>
      <c r="D385" t="inlineStr">
        <is>
          <t>GOTLANDS LÄN</t>
        </is>
      </c>
      <c r="E385" t="inlineStr">
        <is>
          <t>GOTLAND</t>
        </is>
      </c>
      <c r="G385" t="n">
        <v>4.1</v>
      </c>
      <c r="H385" t="n">
        <v>0</v>
      </c>
      <c r="I385" t="n">
        <v>0</v>
      </c>
      <c r="J385" t="n">
        <v>0</v>
      </c>
      <c r="K385" t="n">
        <v>0</v>
      </c>
      <c r="L385" t="n">
        <v>0</v>
      </c>
      <c r="M385" t="n">
        <v>0</v>
      </c>
      <c r="N385" t="n">
        <v>0</v>
      </c>
      <c r="O385" t="n">
        <v>0</v>
      </c>
      <c r="P385" t="n">
        <v>0</v>
      </c>
      <c r="Q385" t="n">
        <v>0</v>
      </c>
      <c r="R385" s="2" t="inlineStr"/>
    </row>
    <row r="386" ht="15" customHeight="1">
      <c r="A386" t="inlineStr">
        <is>
          <t>A 16109-2025</t>
        </is>
      </c>
      <c r="B386" s="1" t="n">
        <v>45750</v>
      </c>
      <c r="C386" s="1" t="n">
        <v>46064</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32467-2025</t>
        </is>
      </c>
      <c r="B387" s="1" t="n">
        <v>45838.42111111111</v>
      </c>
      <c r="C387" s="1" t="n">
        <v>46064</v>
      </c>
      <c r="D387" t="inlineStr">
        <is>
          <t>GOTLANDS LÄN</t>
        </is>
      </c>
      <c r="E387" t="inlineStr">
        <is>
          <t>GOTLAND</t>
        </is>
      </c>
      <c r="G387" t="n">
        <v>4.3</v>
      </c>
      <c r="H387" t="n">
        <v>0</v>
      </c>
      <c r="I387" t="n">
        <v>0</v>
      </c>
      <c r="J387" t="n">
        <v>0</v>
      </c>
      <c r="K387" t="n">
        <v>0</v>
      </c>
      <c r="L387" t="n">
        <v>0</v>
      </c>
      <c r="M387" t="n">
        <v>0</v>
      </c>
      <c r="N387" t="n">
        <v>0</v>
      </c>
      <c r="O387" t="n">
        <v>0</v>
      </c>
      <c r="P387" t="n">
        <v>0</v>
      </c>
      <c r="Q387" t="n">
        <v>0</v>
      </c>
      <c r="R387" s="2" t="inlineStr"/>
    </row>
    <row r="388" ht="15" customHeight="1">
      <c r="A388" t="inlineStr">
        <is>
          <t>A 28425-2023</t>
        </is>
      </c>
      <c r="B388" s="1" t="n">
        <v>45102</v>
      </c>
      <c r="C388" s="1" t="n">
        <v>46064</v>
      </c>
      <c r="D388" t="inlineStr">
        <is>
          <t>GOTLANDS LÄN</t>
        </is>
      </c>
      <c r="E388" t="inlineStr">
        <is>
          <t>GOTLAND</t>
        </is>
      </c>
      <c r="G388" t="n">
        <v>0.5</v>
      </c>
      <c r="H388" t="n">
        <v>0</v>
      </c>
      <c r="I388" t="n">
        <v>0</v>
      </c>
      <c r="J388" t="n">
        <v>0</v>
      </c>
      <c r="K388" t="n">
        <v>0</v>
      </c>
      <c r="L388" t="n">
        <v>0</v>
      </c>
      <c r="M388" t="n">
        <v>0</v>
      </c>
      <c r="N388" t="n">
        <v>0</v>
      </c>
      <c r="O388" t="n">
        <v>0</v>
      </c>
      <c r="P388" t="n">
        <v>0</v>
      </c>
      <c r="Q388" t="n">
        <v>0</v>
      </c>
      <c r="R388" s="2" t="inlineStr"/>
    </row>
    <row r="389" ht="15" customHeight="1">
      <c r="A389" t="inlineStr">
        <is>
          <t>A 32379-2025</t>
        </is>
      </c>
      <c r="B389" s="1" t="n">
        <v>45837</v>
      </c>
      <c r="C389" s="1" t="n">
        <v>46064</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13037-2025</t>
        </is>
      </c>
      <c r="B390" s="1" t="n">
        <v>45734</v>
      </c>
      <c r="C390" s="1" t="n">
        <v>46064</v>
      </c>
      <c r="D390" t="inlineStr">
        <is>
          <t>GOTLANDS LÄN</t>
        </is>
      </c>
      <c r="E390" t="inlineStr">
        <is>
          <t>GOTLAND</t>
        </is>
      </c>
      <c r="G390" t="n">
        <v>9.5</v>
      </c>
      <c r="H390" t="n">
        <v>0</v>
      </c>
      <c r="I390" t="n">
        <v>0</v>
      </c>
      <c r="J390" t="n">
        <v>0</v>
      </c>
      <c r="K390" t="n">
        <v>0</v>
      </c>
      <c r="L390" t="n">
        <v>0</v>
      </c>
      <c r="M390" t="n">
        <v>0</v>
      </c>
      <c r="N390" t="n">
        <v>0</v>
      </c>
      <c r="O390" t="n">
        <v>0</v>
      </c>
      <c r="P390" t="n">
        <v>0</v>
      </c>
      <c r="Q390" t="n">
        <v>0</v>
      </c>
      <c r="R390" s="2" t="inlineStr"/>
    </row>
    <row r="391" ht="15" customHeight="1">
      <c r="A391" t="inlineStr">
        <is>
          <t>A 35550-2025</t>
        </is>
      </c>
      <c r="B391" s="1" t="n">
        <v>45856.49324074074</v>
      </c>
      <c r="C391" s="1" t="n">
        <v>46064</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33007-2025</t>
        </is>
      </c>
      <c r="B392" s="1" t="n">
        <v>45840</v>
      </c>
      <c r="C392" s="1" t="n">
        <v>46064</v>
      </c>
      <c r="D392" t="inlineStr">
        <is>
          <t>GOTLANDS LÄN</t>
        </is>
      </c>
      <c r="E392" t="inlineStr">
        <is>
          <t>GOTLAND</t>
        </is>
      </c>
      <c r="G392" t="n">
        <v>4.9</v>
      </c>
      <c r="H392" t="n">
        <v>0</v>
      </c>
      <c r="I392" t="n">
        <v>0</v>
      </c>
      <c r="J392" t="n">
        <v>0</v>
      </c>
      <c r="K392" t="n">
        <v>0</v>
      </c>
      <c r="L392" t="n">
        <v>0</v>
      </c>
      <c r="M392" t="n">
        <v>0</v>
      </c>
      <c r="N392" t="n">
        <v>0</v>
      </c>
      <c r="O392" t="n">
        <v>0</v>
      </c>
      <c r="P392" t="n">
        <v>0</v>
      </c>
      <c r="Q392" t="n">
        <v>0</v>
      </c>
      <c r="R392" s="2" t="inlineStr"/>
    </row>
    <row r="393" ht="15" customHeight="1">
      <c r="A393" t="inlineStr">
        <is>
          <t>A 47578-2025</t>
        </is>
      </c>
      <c r="B393" s="1" t="n">
        <v>45931</v>
      </c>
      <c r="C393" s="1" t="n">
        <v>46064</v>
      </c>
      <c r="D393" t="inlineStr">
        <is>
          <t>GOTLANDS LÄN</t>
        </is>
      </c>
      <c r="E393" t="inlineStr">
        <is>
          <t>GOTLAND</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10746-2025</t>
        </is>
      </c>
      <c r="B394" s="1" t="n">
        <v>45722.42766203704</v>
      </c>
      <c r="C394" s="1" t="n">
        <v>46064</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33011-2025</t>
        </is>
      </c>
      <c r="B395" s="1" t="n">
        <v>45840</v>
      </c>
      <c r="C395" s="1" t="n">
        <v>46064</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49690-2025</t>
        </is>
      </c>
      <c r="B396" s="1" t="n">
        <v>45939.66730324074</v>
      </c>
      <c r="C396" s="1" t="n">
        <v>46064</v>
      </c>
      <c r="D396" t="inlineStr">
        <is>
          <t>GOTLANDS LÄN</t>
        </is>
      </c>
      <c r="E396" t="inlineStr">
        <is>
          <t>GOTLAND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15413-2025</t>
        </is>
      </c>
      <c r="B397" s="1" t="n">
        <v>45747.451875</v>
      </c>
      <c r="C397" s="1" t="n">
        <v>46064</v>
      </c>
      <c r="D397" t="inlineStr">
        <is>
          <t>GOTLANDS LÄN</t>
        </is>
      </c>
      <c r="E397" t="inlineStr">
        <is>
          <t>GOTLAND</t>
        </is>
      </c>
      <c r="G397" t="n">
        <v>0.6</v>
      </c>
      <c r="H397" t="n">
        <v>0</v>
      </c>
      <c r="I397" t="n">
        <v>0</v>
      </c>
      <c r="J397" t="n">
        <v>0</v>
      </c>
      <c r="K397" t="n">
        <v>0</v>
      </c>
      <c r="L397" t="n">
        <v>0</v>
      </c>
      <c r="M397" t="n">
        <v>0</v>
      </c>
      <c r="N397" t="n">
        <v>0</v>
      </c>
      <c r="O397" t="n">
        <v>0</v>
      </c>
      <c r="P397" t="n">
        <v>0</v>
      </c>
      <c r="Q397" t="n">
        <v>0</v>
      </c>
      <c r="R397" s="2" t="inlineStr"/>
    </row>
    <row r="398" ht="15" customHeight="1">
      <c r="A398" t="inlineStr">
        <is>
          <t>A 43229-2023</t>
        </is>
      </c>
      <c r="B398" s="1" t="n">
        <v>45183.46704861111</v>
      </c>
      <c r="C398" s="1" t="n">
        <v>46064</v>
      </c>
      <c r="D398" t="inlineStr">
        <is>
          <t>GOTLANDS LÄN</t>
        </is>
      </c>
      <c r="E398" t="inlineStr">
        <is>
          <t>GOTLAND</t>
        </is>
      </c>
      <c r="G398" t="n">
        <v>7.1</v>
      </c>
      <c r="H398" t="n">
        <v>0</v>
      </c>
      <c r="I398" t="n">
        <v>0</v>
      </c>
      <c r="J398" t="n">
        <v>0</v>
      </c>
      <c r="K398" t="n">
        <v>0</v>
      </c>
      <c r="L398" t="n">
        <v>0</v>
      </c>
      <c r="M398" t="n">
        <v>0</v>
      </c>
      <c r="N398" t="n">
        <v>0</v>
      </c>
      <c r="O398" t="n">
        <v>0</v>
      </c>
      <c r="P398" t="n">
        <v>0</v>
      </c>
      <c r="Q398" t="n">
        <v>0</v>
      </c>
      <c r="R398" s="2" t="inlineStr"/>
    </row>
    <row r="399" ht="15" customHeight="1">
      <c r="A399" t="inlineStr">
        <is>
          <t>A 35096-2025</t>
        </is>
      </c>
      <c r="B399" s="1" t="n">
        <v>45852.54356481481</v>
      </c>
      <c r="C399" s="1" t="n">
        <v>46064</v>
      </c>
      <c r="D399" t="inlineStr">
        <is>
          <t>GOTLANDS LÄN</t>
        </is>
      </c>
      <c r="E399" t="inlineStr">
        <is>
          <t>GOTLAND</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35123-2025</t>
        </is>
      </c>
      <c r="B400" s="1" t="n">
        <v>45852.614375</v>
      </c>
      <c r="C400" s="1" t="n">
        <v>46064</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41038-2023</t>
        </is>
      </c>
      <c r="B401" s="1" t="n">
        <v>45173.60959490741</v>
      </c>
      <c r="C401" s="1" t="n">
        <v>46064</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35290-2025</t>
        </is>
      </c>
      <c r="B402" s="1" t="n">
        <v>45854.38502314815</v>
      </c>
      <c r="C402" s="1" t="n">
        <v>46064</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30104-2025</t>
        </is>
      </c>
      <c r="B403" s="1" t="n">
        <v>45826.68806712963</v>
      </c>
      <c r="C403" s="1" t="n">
        <v>46064</v>
      </c>
      <c r="D403" t="inlineStr">
        <is>
          <t>GOTLANDS LÄN</t>
        </is>
      </c>
      <c r="E403" t="inlineStr">
        <is>
          <t>GOTLAND</t>
        </is>
      </c>
      <c r="G403" t="n">
        <v>15.4</v>
      </c>
      <c r="H403" t="n">
        <v>0</v>
      </c>
      <c r="I403" t="n">
        <v>0</v>
      </c>
      <c r="J403" t="n">
        <v>0</v>
      </c>
      <c r="K403" t="n">
        <v>0</v>
      </c>
      <c r="L403" t="n">
        <v>0</v>
      </c>
      <c r="M403" t="n">
        <v>0</v>
      </c>
      <c r="N403" t="n">
        <v>0</v>
      </c>
      <c r="O403" t="n">
        <v>0</v>
      </c>
      <c r="P403" t="n">
        <v>0</v>
      </c>
      <c r="Q403" t="n">
        <v>0</v>
      </c>
      <c r="R403" s="2" t="inlineStr"/>
    </row>
    <row r="404" ht="15" customHeight="1">
      <c r="A404" t="inlineStr">
        <is>
          <t>A 32669-2024</t>
        </is>
      </c>
      <c r="B404" s="1" t="n">
        <v>45514</v>
      </c>
      <c r="C404" s="1" t="n">
        <v>46064</v>
      </c>
      <c r="D404" t="inlineStr">
        <is>
          <t>GOTLANDS LÄN</t>
        </is>
      </c>
      <c r="E404" t="inlineStr">
        <is>
          <t>GOTLAND</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35537-2025</t>
        </is>
      </c>
      <c r="B405" s="1" t="n">
        <v>45856</v>
      </c>
      <c r="C405" s="1" t="n">
        <v>46064</v>
      </c>
      <c r="D405" t="inlineStr">
        <is>
          <t>GOTLANDS LÄN</t>
        </is>
      </c>
      <c r="E405" t="inlineStr">
        <is>
          <t>GOTLAND</t>
        </is>
      </c>
      <c r="G405" t="n">
        <v>16.8</v>
      </c>
      <c r="H405" t="n">
        <v>0</v>
      </c>
      <c r="I405" t="n">
        <v>0</v>
      </c>
      <c r="J405" t="n">
        <v>0</v>
      </c>
      <c r="K405" t="n">
        <v>0</v>
      </c>
      <c r="L405" t="n">
        <v>0</v>
      </c>
      <c r="M405" t="n">
        <v>0</v>
      </c>
      <c r="N405" t="n">
        <v>0</v>
      </c>
      <c r="O405" t="n">
        <v>0</v>
      </c>
      <c r="P405" t="n">
        <v>0</v>
      </c>
      <c r="Q405" t="n">
        <v>0</v>
      </c>
      <c r="R405" s="2" t="inlineStr"/>
    </row>
    <row r="406" ht="15" customHeight="1">
      <c r="A406" t="inlineStr">
        <is>
          <t>A 24966-2023</t>
        </is>
      </c>
      <c r="B406" s="1" t="n">
        <v>45085</v>
      </c>
      <c r="C406" s="1" t="n">
        <v>46064</v>
      </c>
      <c r="D406" t="inlineStr">
        <is>
          <t>GOTLANDS LÄN</t>
        </is>
      </c>
      <c r="E406" t="inlineStr">
        <is>
          <t>GOTLAND</t>
        </is>
      </c>
      <c r="G406" t="n">
        <v>7</v>
      </c>
      <c r="H406" t="n">
        <v>0</v>
      </c>
      <c r="I406" t="n">
        <v>0</v>
      </c>
      <c r="J406" t="n">
        <v>0</v>
      </c>
      <c r="K406" t="n">
        <v>0</v>
      </c>
      <c r="L406" t="n">
        <v>0</v>
      </c>
      <c r="M406" t="n">
        <v>0</v>
      </c>
      <c r="N406" t="n">
        <v>0</v>
      </c>
      <c r="O406" t="n">
        <v>0</v>
      </c>
      <c r="P406" t="n">
        <v>0</v>
      </c>
      <c r="Q406" t="n">
        <v>0</v>
      </c>
      <c r="R406" s="2" t="inlineStr"/>
    </row>
    <row r="407" ht="15" customHeight="1">
      <c r="A407" t="inlineStr">
        <is>
          <t>A 49724-2025</t>
        </is>
      </c>
      <c r="B407" s="1" t="n">
        <v>45939.83730324074</v>
      </c>
      <c r="C407" s="1" t="n">
        <v>46064</v>
      </c>
      <c r="D407" t="inlineStr">
        <is>
          <t>GOTLANDS LÄN</t>
        </is>
      </c>
      <c r="E407" t="inlineStr">
        <is>
          <t>GOTLAND</t>
        </is>
      </c>
      <c r="F407" t="inlineStr">
        <is>
          <t>Kyrkan</t>
        </is>
      </c>
      <c r="G407" t="n">
        <v>3.1</v>
      </c>
      <c r="H407" t="n">
        <v>0</v>
      </c>
      <c r="I407" t="n">
        <v>0</v>
      </c>
      <c r="J407" t="n">
        <v>0</v>
      </c>
      <c r="K407" t="n">
        <v>0</v>
      </c>
      <c r="L407" t="n">
        <v>0</v>
      </c>
      <c r="M407" t="n">
        <v>0</v>
      </c>
      <c r="N407" t="n">
        <v>0</v>
      </c>
      <c r="O407" t="n">
        <v>0</v>
      </c>
      <c r="P407" t="n">
        <v>0</v>
      </c>
      <c r="Q407" t="n">
        <v>0</v>
      </c>
      <c r="R407" s="2" t="inlineStr"/>
    </row>
    <row r="408" ht="15" customHeight="1">
      <c r="A408" t="inlineStr">
        <is>
          <t>A 49730-2025</t>
        </is>
      </c>
      <c r="B408" s="1" t="n">
        <v>45939.87613425926</v>
      </c>
      <c r="C408" s="1" t="n">
        <v>46064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57652-2023</t>
        </is>
      </c>
      <c r="B409" s="1" t="n">
        <v>45246</v>
      </c>
      <c r="C409" s="1" t="n">
        <v>46064</v>
      </c>
      <c r="D409" t="inlineStr">
        <is>
          <t>GOTLANDS LÄN</t>
        </is>
      </c>
      <c r="E409" t="inlineStr">
        <is>
          <t>GOTLAND</t>
        </is>
      </c>
      <c r="G409" t="n">
        <v>7.2</v>
      </c>
      <c r="H409" t="n">
        <v>0</v>
      </c>
      <c r="I409" t="n">
        <v>0</v>
      </c>
      <c r="J409" t="n">
        <v>0</v>
      </c>
      <c r="K409" t="n">
        <v>0</v>
      </c>
      <c r="L409" t="n">
        <v>0</v>
      </c>
      <c r="M409" t="n">
        <v>0</v>
      </c>
      <c r="N409" t="n">
        <v>0</v>
      </c>
      <c r="O409" t="n">
        <v>0</v>
      </c>
      <c r="P409" t="n">
        <v>0</v>
      </c>
      <c r="Q409" t="n">
        <v>0</v>
      </c>
      <c r="R409" s="2" t="inlineStr"/>
    </row>
    <row r="410" ht="15" customHeight="1">
      <c r="A410" t="inlineStr">
        <is>
          <t>A 46189-2022</t>
        </is>
      </c>
      <c r="B410" s="1" t="n">
        <v>44847</v>
      </c>
      <c r="C410" s="1" t="n">
        <v>46064</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57522-2022</t>
        </is>
      </c>
      <c r="B411" s="1" t="n">
        <v>44896</v>
      </c>
      <c r="C411" s="1" t="n">
        <v>46064</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14797-2024</t>
        </is>
      </c>
      <c r="B412" s="1" t="n">
        <v>45397.87030092593</v>
      </c>
      <c r="C412" s="1" t="n">
        <v>46064</v>
      </c>
      <c r="D412" t="inlineStr">
        <is>
          <t>GOTLANDS LÄN</t>
        </is>
      </c>
      <c r="E412" t="inlineStr">
        <is>
          <t>GOTLAND</t>
        </is>
      </c>
      <c r="G412" t="n">
        <v>8.1</v>
      </c>
      <c r="H412" t="n">
        <v>0</v>
      </c>
      <c r="I412" t="n">
        <v>0</v>
      </c>
      <c r="J412" t="n">
        <v>0</v>
      </c>
      <c r="K412" t="n">
        <v>0</v>
      </c>
      <c r="L412" t="n">
        <v>0</v>
      </c>
      <c r="M412" t="n">
        <v>0</v>
      </c>
      <c r="N412" t="n">
        <v>0</v>
      </c>
      <c r="O412" t="n">
        <v>0</v>
      </c>
      <c r="P412" t="n">
        <v>0</v>
      </c>
      <c r="Q412" t="n">
        <v>0</v>
      </c>
      <c r="R412" s="2" t="inlineStr"/>
    </row>
    <row r="413" ht="15" customHeight="1">
      <c r="A413" t="inlineStr">
        <is>
          <t>A 30488-2025</t>
        </is>
      </c>
      <c r="B413" s="1" t="n">
        <v>45830</v>
      </c>
      <c r="C413" s="1" t="n">
        <v>46064</v>
      </c>
      <c r="D413" t="inlineStr">
        <is>
          <t>GOTLANDS LÄN</t>
        </is>
      </c>
      <c r="E413" t="inlineStr">
        <is>
          <t>GOTLAND</t>
        </is>
      </c>
      <c r="F413" t="inlineStr">
        <is>
          <t>Kyrkan</t>
        </is>
      </c>
      <c r="G413" t="n">
        <v>3.9</v>
      </c>
      <c r="H413" t="n">
        <v>0</v>
      </c>
      <c r="I413" t="n">
        <v>0</v>
      </c>
      <c r="J413" t="n">
        <v>0</v>
      </c>
      <c r="K413" t="n">
        <v>0</v>
      </c>
      <c r="L413" t="n">
        <v>0</v>
      </c>
      <c r="M413" t="n">
        <v>0</v>
      </c>
      <c r="N413" t="n">
        <v>0</v>
      </c>
      <c r="O413" t="n">
        <v>0</v>
      </c>
      <c r="P413" t="n">
        <v>0</v>
      </c>
      <c r="Q413" t="n">
        <v>0</v>
      </c>
      <c r="R413" s="2" t="inlineStr"/>
    </row>
    <row r="414" ht="15" customHeight="1">
      <c r="A414" t="inlineStr">
        <is>
          <t>A 15216-2025</t>
        </is>
      </c>
      <c r="B414" s="1" t="n">
        <v>45744</v>
      </c>
      <c r="C414" s="1" t="n">
        <v>46064</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15001-2025</t>
        </is>
      </c>
      <c r="B415" s="1" t="n">
        <v>45743</v>
      </c>
      <c r="C415" s="1" t="n">
        <v>46064</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43790-2024</t>
        </is>
      </c>
      <c r="B416" s="1" t="n">
        <v>45571</v>
      </c>
      <c r="C416" s="1" t="n">
        <v>46064</v>
      </c>
      <c r="D416" t="inlineStr">
        <is>
          <t>GOTLANDS LÄN</t>
        </is>
      </c>
      <c r="E416" t="inlineStr">
        <is>
          <t>GOTLAND</t>
        </is>
      </c>
      <c r="G416" t="n">
        <v>3.5</v>
      </c>
      <c r="H416" t="n">
        <v>0</v>
      </c>
      <c r="I416" t="n">
        <v>0</v>
      </c>
      <c r="J416" t="n">
        <v>0</v>
      </c>
      <c r="K416" t="n">
        <v>0</v>
      </c>
      <c r="L416" t="n">
        <v>0</v>
      </c>
      <c r="M416" t="n">
        <v>0</v>
      </c>
      <c r="N416" t="n">
        <v>0</v>
      </c>
      <c r="O416" t="n">
        <v>0</v>
      </c>
      <c r="P416" t="n">
        <v>0</v>
      </c>
      <c r="Q416" t="n">
        <v>0</v>
      </c>
      <c r="R416" s="2" t="inlineStr"/>
    </row>
    <row r="417" ht="15" customHeight="1">
      <c r="A417" t="inlineStr">
        <is>
          <t>A 17847-2025</t>
        </is>
      </c>
      <c r="B417" s="1" t="n">
        <v>45758</v>
      </c>
      <c r="C417" s="1" t="n">
        <v>46064</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7837-2024</t>
        </is>
      </c>
      <c r="B418" s="1" t="n">
        <v>45349.83787037037</v>
      </c>
      <c r="C418" s="1" t="n">
        <v>46064</v>
      </c>
      <c r="D418" t="inlineStr">
        <is>
          <t>GOTLANDS LÄN</t>
        </is>
      </c>
      <c r="E418" t="inlineStr">
        <is>
          <t>GOTLAND</t>
        </is>
      </c>
      <c r="G418" t="n">
        <v>5</v>
      </c>
      <c r="H418" t="n">
        <v>0</v>
      </c>
      <c r="I418" t="n">
        <v>0</v>
      </c>
      <c r="J418" t="n">
        <v>0</v>
      </c>
      <c r="K418" t="n">
        <v>0</v>
      </c>
      <c r="L418" t="n">
        <v>0</v>
      </c>
      <c r="M418" t="n">
        <v>0</v>
      </c>
      <c r="N418" t="n">
        <v>0</v>
      </c>
      <c r="O418" t="n">
        <v>0</v>
      </c>
      <c r="P418" t="n">
        <v>0</v>
      </c>
      <c r="Q418" t="n">
        <v>0</v>
      </c>
      <c r="R418" s="2" t="inlineStr"/>
    </row>
    <row r="419" ht="15" customHeight="1">
      <c r="A419" t="inlineStr">
        <is>
          <t>A 18742-2025</t>
        </is>
      </c>
      <c r="B419" s="1" t="n">
        <v>45763</v>
      </c>
      <c r="C419" s="1" t="n">
        <v>46064</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35129-2025</t>
        </is>
      </c>
      <c r="B420" s="1" t="n">
        <v>45852.63224537037</v>
      </c>
      <c r="C420" s="1" t="n">
        <v>46064</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50421-2025</t>
        </is>
      </c>
      <c r="B421" s="1" t="n">
        <v>45944.66049768519</v>
      </c>
      <c r="C421" s="1" t="n">
        <v>46064</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1394-2023</t>
        </is>
      </c>
      <c r="B422" s="1" t="n">
        <v>44936.72997685185</v>
      </c>
      <c r="C422" s="1" t="n">
        <v>46064</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2676-2023</t>
        </is>
      </c>
      <c r="B423" s="1" t="n">
        <v>44944</v>
      </c>
      <c r="C423" s="1" t="n">
        <v>46064</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4387-2023</t>
        </is>
      </c>
      <c r="B424" s="1" t="n">
        <v>44955.73359953704</v>
      </c>
      <c r="C424" s="1" t="n">
        <v>46064</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50431-2025</t>
        </is>
      </c>
      <c r="B425" s="1" t="n">
        <v>45944.68453703704</v>
      </c>
      <c r="C425" s="1" t="n">
        <v>46064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49411-2023</t>
        </is>
      </c>
      <c r="B426" s="1" t="n">
        <v>45205</v>
      </c>
      <c r="C426" s="1" t="n">
        <v>46064</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37728-2024</t>
        </is>
      </c>
      <c r="B427" s="1" t="n">
        <v>45541</v>
      </c>
      <c r="C427" s="1" t="n">
        <v>46064</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2241-2025</t>
        </is>
      </c>
      <c r="B428" s="1" t="n">
        <v>45673.48710648148</v>
      </c>
      <c r="C428" s="1" t="n">
        <v>46064</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22275-2023</t>
        </is>
      </c>
      <c r="B429" s="1" t="n">
        <v>45070.39875</v>
      </c>
      <c r="C429" s="1" t="n">
        <v>46064</v>
      </c>
      <c r="D429" t="inlineStr">
        <is>
          <t>GOTLANDS LÄN</t>
        </is>
      </c>
      <c r="E429" t="inlineStr">
        <is>
          <t>GOTLAND</t>
        </is>
      </c>
      <c r="G429" t="n">
        <v>7.2</v>
      </c>
      <c r="H429" t="n">
        <v>0</v>
      </c>
      <c r="I429" t="n">
        <v>0</v>
      </c>
      <c r="J429" t="n">
        <v>0</v>
      </c>
      <c r="K429" t="n">
        <v>0</v>
      </c>
      <c r="L429" t="n">
        <v>0</v>
      </c>
      <c r="M429" t="n">
        <v>0</v>
      </c>
      <c r="N429" t="n">
        <v>0</v>
      </c>
      <c r="O429" t="n">
        <v>0</v>
      </c>
      <c r="P429" t="n">
        <v>0</v>
      </c>
      <c r="Q429" t="n">
        <v>0</v>
      </c>
      <c r="R429" s="2" t="inlineStr"/>
    </row>
    <row r="430" ht="15" customHeight="1">
      <c r="A430" t="inlineStr">
        <is>
          <t>A 14635-2023</t>
        </is>
      </c>
      <c r="B430" s="1" t="n">
        <v>45013.69365740741</v>
      </c>
      <c r="C430" s="1" t="n">
        <v>46064</v>
      </c>
      <c r="D430" t="inlineStr">
        <is>
          <t>GOTLANDS LÄN</t>
        </is>
      </c>
      <c r="E430" t="inlineStr">
        <is>
          <t>GOTLAND</t>
        </is>
      </c>
      <c r="G430" t="n">
        <v>3.1</v>
      </c>
      <c r="H430" t="n">
        <v>0</v>
      </c>
      <c r="I430" t="n">
        <v>0</v>
      </c>
      <c r="J430" t="n">
        <v>0</v>
      </c>
      <c r="K430" t="n">
        <v>0</v>
      </c>
      <c r="L430" t="n">
        <v>0</v>
      </c>
      <c r="M430" t="n">
        <v>0</v>
      </c>
      <c r="N430" t="n">
        <v>0</v>
      </c>
      <c r="O430" t="n">
        <v>0</v>
      </c>
      <c r="P430" t="n">
        <v>0</v>
      </c>
      <c r="Q430" t="n">
        <v>0</v>
      </c>
      <c r="R430" s="2" t="inlineStr"/>
    </row>
    <row r="431" ht="15" customHeight="1">
      <c r="A431" t="inlineStr">
        <is>
          <t>A 30489-2025</t>
        </is>
      </c>
      <c r="B431" s="1" t="n">
        <v>45830</v>
      </c>
      <c r="C431" s="1" t="n">
        <v>46064</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63763-2023</t>
        </is>
      </c>
      <c r="B432" s="1" t="n">
        <v>45278.33944444444</v>
      </c>
      <c r="C432" s="1" t="n">
        <v>46064</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21142-2025</t>
        </is>
      </c>
      <c r="B433" s="1" t="n">
        <v>45779</v>
      </c>
      <c r="C433" s="1" t="n">
        <v>46064</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7635-2025</t>
        </is>
      </c>
      <c r="B434" s="1" t="n">
        <v>45705</v>
      </c>
      <c r="C434" s="1" t="n">
        <v>46064</v>
      </c>
      <c r="D434" t="inlineStr">
        <is>
          <t>GOTLANDS LÄN</t>
        </is>
      </c>
      <c r="E434" t="inlineStr">
        <is>
          <t>GOTLAND</t>
        </is>
      </c>
      <c r="G434" t="n">
        <v>0.9</v>
      </c>
      <c r="H434" t="n">
        <v>0</v>
      </c>
      <c r="I434" t="n">
        <v>0</v>
      </c>
      <c r="J434" t="n">
        <v>0</v>
      </c>
      <c r="K434" t="n">
        <v>0</v>
      </c>
      <c r="L434" t="n">
        <v>0</v>
      </c>
      <c r="M434" t="n">
        <v>0</v>
      </c>
      <c r="N434" t="n">
        <v>0</v>
      </c>
      <c r="O434" t="n">
        <v>0</v>
      </c>
      <c r="P434" t="n">
        <v>0</v>
      </c>
      <c r="Q434" t="n">
        <v>0</v>
      </c>
      <c r="R434" s="2" t="inlineStr"/>
    </row>
    <row r="435" ht="15" customHeight="1">
      <c r="A435" t="inlineStr">
        <is>
          <t>A 7636-2025</t>
        </is>
      </c>
      <c r="B435" s="1" t="n">
        <v>45705.7687962963</v>
      </c>
      <c r="C435" s="1" t="n">
        <v>46064</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7639-2025</t>
        </is>
      </c>
      <c r="B436" s="1" t="n">
        <v>45705.77465277778</v>
      </c>
      <c r="C436" s="1" t="n">
        <v>46064</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6108-2025</t>
        </is>
      </c>
      <c r="B437" s="1" t="n">
        <v>45698.29880787037</v>
      </c>
      <c r="C437" s="1" t="n">
        <v>46064</v>
      </c>
      <c r="D437" t="inlineStr">
        <is>
          <t>GOTLANDS LÄN</t>
        </is>
      </c>
      <c r="E437" t="inlineStr">
        <is>
          <t>GOTLAND</t>
        </is>
      </c>
      <c r="G437" t="n">
        <v>2.8</v>
      </c>
      <c r="H437" t="n">
        <v>0</v>
      </c>
      <c r="I437" t="n">
        <v>0</v>
      </c>
      <c r="J437" t="n">
        <v>0</v>
      </c>
      <c r="K437" t="n">
        <v>0</v>
      </c>
      <c r="L437" t="n">
        <v>0</v>
      </c>
      <c r="M437" t="n">
        <v>0</v>
      </c>
      <c r="N437" t="n">
        <v>0</v>
      </c>
      <c r="O437" t="n">
        <v>0</v>
      </c>
      <c r="P437" t="n">
        <v>0</v>
      </c>
      <c r="Q437" t="n">
        <v>0</v>
      </c>
      <c r="R437" s="2" t="inlineStr"/>
    </row>
    <row r="438" ht="15" customHeight="1">
      <c r="A438" t="inlineStr">
        <is>
          <t>A 61682-2024</t>
        </is>
      </c>
      <c r="B438" s="1" t="n">
        <v>45647.48824074074</v>
      </c>
      <c r="C438" s="1" t="n">
        <v>46064</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15434-2024</t>
        </is>
      </c>
      <c r="B439" s="1" t="n">
        <v>45401.38836805556</v>
      </c>
      <c r="C439" s="1" t="n">
        <v>46064</v>
      </c>
      <c r="D439" t="inlineStr">
        <is>
          <t>GOTLANDS LÄN</t>
        </is>
      </c>
      <c r="E439" t="inlineStr">
        <is>
          <t>GOTLAND</t>
        </is>
      </c>
      <c r="G439" t="n">
        <v>2.5</v>
      </c>
      <c r="H439" t="n">
        <v>0</v>
      </c>
      <c r="I439" t="n">
        <v>0</v>
      </c>
      <c r="J439" t="n">
        <v>0</v>
      </c>
      <c r="K439" t="n">
        <v>0</v>
      </c>
      <c r="L439" t="n">
        <v>0</v>
      </c>
      <c r="M439" t="n">
        <v>0</v>
      </c>
      <c r="N439" t="n">
        <v>0</v>
      </c>
      <c r="O439" t="n">
        <v>0</v>
      </c>
      <c r="P439" t="n">
        <v>0</v>
      </c>
      <c r="Q439" t="n">
        <v>0</v>
      </c>
      <c r="R439" s="2" t="inlineStr"/>
    </row>
    <row r="440" ht="15" customHeight="1">
      <c r="A440" t="inlineStr">
        <is>
          <t>A 50928-2025</t>
        </is>
      </c>
      <c r="B440" s="1" t="n">
        <v>45946.67896990741</v>
      </c>
      <c r="C440" s="1" t="n">
        <v>46064</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51262-2025</t>
        </is>
      </c>
      <c r="B441" s="1" t="n">
        <v>45949.49872685185</v>
      </c>
      <c r="C441" s="1" t="n">
        <v>46064</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17343-2025</t>
        </is>
      </c>
      <c r="B442" s="1" t="n">
        <v>45756.6687037037</v>
      </c>
      <c r="C442" s="1" t="n">
        <v>46064</v>
      </c>
      <c r="D442" t="inlineStr">
        <is>
          <t>GOTLANDS LÄN</t>
        </is>
      </c>
      <c r="E442" t="inlineStr">
        <is>
          <t>GOTLAND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18938-2025</t>
        </is>
      </c>
      <c r="B443" s="1" t="n">
        <v>45764.49172453704</v>
      </c>
      <c r="C443" s="1" t="n">
        <v>46064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20307-2025</t>
        </is>
      </c>
      <c r="B444" s="1" t="n">
        <v>45774.95546296296</v>
      </c>
      <c r="C444" s="1" t="n">
        <v>46064</v>
      </c>
      <c r="D444" t="inlineStr">
        <is>
          <t>GOTLANDS LÄN</t>
        </is>
      </c>
      <c r="E444" t="inlineStr">
        <is>
          <t>GOTLAND</t>
        </is>
      </c>
      <c r="G444" t="n">
        <v>6.8</v>
      </c>
      <c r="H444" t="n">
        <v>0</v>
      </c>
      <c r="I444" t="n">
        <v>0</v>
      </c>
      <c r="J444" t="n">
        <v>0</v>
      </c>
      <c r="K444" t="n">
        <v>0</v>
      </c>
      <c r="L444" t="n">
        <v>0</v>
      </c>
      <c r="M444" t="n">
        <v>0</v>
      </c>
      <c r="N444" t="n">
        <v>0</v>
      </c>
      <c r="O444" t="n">
        <v>0</v>
      </c>
      <c r="P444" t="n">
        <v>0</v>
      </c>
      <c r="Q444" t="n">
        <v>0</v>
      </c>
      <c r="R444" s="2" t="inlineStr"/>
    </row>
    <row r="445" ht="15" customHeight="1">
      <c r="A445" t="inlineStr">
        <is>
          <t>A 7034-2023</t>
        </is>
      </c>
      <c r="B445" s="1" t="n">
        <v>44968.32108796296</v>
      </c>
      <c r="C445" s="1" t="n">
        <v>46064</v>
      </c>
      <c r="D445" t="inlineStr">
        <is>
          <t>GOTLANDS LÄN</t>
        </is>
      </c>
      <c r="E445" t="inlineStr">
        <is>
          <t>GOTLAND</t>
        </is>
      </c>
      <c r="G445" t="n">
        <v>1.6</v>
      </c>
      <c r="H445" t="n">
        <v>0</v>
      </c>
      <c r="I445" t="n">
        <v>0</v>
      </c>
      <c r="J445" t="n">
        <v>0</v>
      </c>
      <c r="K445" t="n">
        <v>0</v>
      </c>
      <c r="L445" t="n">
        <v>0</v>
      </c>
      <c r="M445" t="n">
        <v>0</v>
      </c>
      <c r="N445" t="n">
        <v>0</v>
      </c>
      <c r="O445" t="n">
        <v>0</v>
      </c>
      <c r="P445" t="n">
        <v>0</v>
      </c>
      <c r="Q445" t="n">
        <v>0</v>
      </c>
      <c r="R445" s="2" t="inlineStr"/>
    </row>
    <row r="446" ht="15" customHeight="1">
      <c r="A446" t="inlineStr">
        <is>
          <t>A 7042-2023</t>
        </is>
      </c>
      <c r="B446" s="1" t="n">
        <v>44968</v>
      </c>
      <c r="C446" s="1" t="n">
        <v>46064</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2180-2025</t>
        </is>
      </c>
      <c r="B447" s="1" t="n">
        <v>45673</v>
      </c>
      <c r="C447" s="1" t="n">
        <v>46064</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54074-2022</t>
        </is>
      </c>
      <c r="B448" s="1" t="n">
        <v>44881</v>
      </c>
      <c r="C448" s="1" t="n">
        <v>46064</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46064</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46064</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18993-2025</t>
        </is>
      </c>
      <c r="B451" s="1" t="n">
        <v>45764</v>
      </c>
      <c r="C451" s="1" t="n">
        <v>46064</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30135-2025</t>
        </is>
      </c>
      <c r="B452" s="1" t="n">
        <v>45826</v>
      </c>
      <c r="C452" s="1" t="n">
        <v>46064</v>
      </c>
      <c r="D452" t="inlineStr">
        <is>
          <t>GOTLANDS LÄN</t>
        </is>
      </c>
      <c r="E452" t="inlineStr">
        <is>
          <t>GOTLAND</t>
        </is>
      </c>
      <c r="G452" t="n">
        <v>2.7</v>
      </c>
      <c r="H452" t="n">
        <v>0</v>
      </c>
      <c r="I452" t="n">
        <v>0</v>
      </c>
      <c r="J452" t="n">
        <v>0</v>
      </c>
      <c r="K452" t="n">
        <v>0</v>
      </c>
      <c r="L452" t="n">
        <v>0</v>
      </c>
      <c r="M452" t="n">
        <v>0</v>
      </c>
      <c r="N452" t="n">
        <v>0</v>
      </c>
      <c r="O452" t="n">
        <v>0</v>
      </c>
      <c r="P452" t="n">
        <v>0</v>
      </c>
      <c r="Q452" t="n">
        <v>0</v>
      </c>
      <c r="R452" s="2" t="inlineStr"/>
    </row>
    <row r="453" ht="15" customHeight="1">
      <c r="A453" t="inlineStr">
        <is>
          <t>A 54268-2022</t>
        </is>
      </c>
      <c r="B453" s="1" t="n">
        <v>44882</v>
      </c>
      <c r="C453" s="1" t="n">
        <v>46064</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1446-2025</t>
        </is>
      </c>
      <c r="B454" s="1" t="n">
        <v>45669.86035879629</v>
      </c>
      <c r="C454" s="1" t="n">
        <v>46064</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1462-2025</t>
        </is>
      </c>
      <c r="B455" s="1" t="n">
        <v>45670.36319444444</v>
      </c>
      <c r="C455" s="1" t="n">
        <v>46064</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57685-2022</t>
        </is>
      </c>
      <c r="B456" s="1" t="n">
        <v>44897.4777662037</v>
      </c>
      <c r="C456" s="1" t="n">
        <v>46064</v>
      </c>
      <c r="D456" t="inlineStr">
        <is>
          <t>GOTLANDS LÄN</t>
        </is>
      </c>
      <c r="E456" t="inlineStr">
        <is>
          <t>GOTLAND</t>
        </is>
      </c>
      <c r="G456" t="n">
        <v>3.7</v>
      </c>
      <c r="H456" t="n">
        <v>0</v>
      </c>
      <c r="I456" t="n">
        <v>0</v>
      </c>
      <c r="J456" t="n">
        <v>0</v>
      </c>
      <c r="K456" t="n">
        <v>0</v>
      </c>
      <c r="L456" t="n">
        <v>0</v>
      </c>
      <c r="M456" t="n">
        <v>0</v>
      </c>
      <c r="N456" t="n">
        <v>0</v>
      </c>
      <c r="O456" t="n">
        <v>0</v>
      </c>
      <c r="P456" t="n">
        <v>0</v>
      </c>
      <c r="Q456" t="n">
        <v>0</v>
      </c>
      <c r="R456" s="2" t="inlineStr"/>
    </row>
    <row r="457" ht="15" customHeight="1">
      <c r="A457" t="inlineStr">
        <is>
          <t>A 811-2023</t>
        </is>
      </c>
      <c r="B457" s="1" t="n">
        <v>44931</v>
      </c>
      <c r="C457" s="1" t="n">
        <v>46064</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52249-2025</t>
        </is>
      </c>
      <c r="B458" s="1" t="n">
        <v>45953.48637731482</v>
      </c>
      <c r="C458" s="1" t="n">
        <v>46064</v>
      </c>
      <c r="D458" t="inlineStr">
        <is>
          <t>GOTLANDS LÄN</t>
        </is>
      </c>
      <c r="E458" t="inlineStr">
        <is>
          <t>GOTLAND</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52637-2025</t>
        </is>
      </c>
      <c r="B459" s="1" t="n">
        <v>45954.75099537037</v>
      </c>
      <c r="C459" s="1" t="n">
        <v>46064</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5905-2024</t>
        </is>
      </c>
      <c r="B460" s="1" t="n">
        <v>45335.88993055555</v>
      </c>
      <c r="C460" s="1" t="n">
        <v>46064</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3431-2025</t>
        </is>
      </c>
      <c r="B461" s="1" t="n">
        <v>45680.42935185185</v>
      </c>
      <c r="C461" s="1" t="n">
        <v>46064</v>
      </c>
      <c r="D461" t="inlineStr">
        <is>
          <t>GOTLANDS LÄN</t>
        </is>
      </c>
      <c r="E461" t="inlineStr">
        <is>
          <t>GOTLAND</t>
        </is>
      </c>
      <c r="G461" t="n">
        <v>4.8</v>
      </c>
      <c r="H461" t="n">
        <v>0</v>
      </c>
      <c r="I461" t="n">
        <v>0</v>
      </c>
      <c r="J461" t="n">
        <v>0</v>
      </c>
      <c r="K461" t="n">
        <v>0</v>
      </c>
      <c r="L461" t="n">
        <v>0</v>
      </c>
      <c r="M461" t="n">
        <v>0</v>
      </c>
      <c r="N461" t="n">
        <v>0</v>
      </c>
      <c r="O461" t="n">
        <v>0</v>
      </c>
      <c r="P461" t="n">
        <v>0</v>
      </c>
      <c r="Q461" t="n">
        <v>0</v>
      </c>
      <c r="R461" s="2" t="inlineStr"/>
    </row>
    <row r="462" ht="15" customHeight="1">
      <c r="A462" t="inlineStr">
        <is>
          <t>A 34407-2023</t>
        </is>
      </c>
      <c r="B462" s="1" t="n">
        <v>45132</v>
      </c>
      <c r="C462" s="1" t="n">
        <v>46064</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30892-2024</t>
        </is>
      </c>
      <c r="B463" s="1" t="n">
        <v>45491</v>
      </c>
      <c r="C463" s="1" t="n">
        <v>46064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46064</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12599-2025</t>
        </is>
      </c>
      <c r="B465" s="1" t="n">
        <v>45733.29546296296</v>
      </c>
      <c r="C465" s="1" t="n">
        <v>46064</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7858-2025</t>
        </is>
      </c>
      <c r="B466" s="1" t="n">
        <v>45706.68633101852</v>
      </c>
      <c r="C466" s="1" t="n">
        <v>46064</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46545-2024</t>
        </is>
      </c>
      <c r="B467" s="1" t="n">
        <v>45582.65831018519</v>
      </c>
      <c r="C467" s="1" t="n">
        <v>46064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999-2023</t>
        </is>
      </c>
      <c r="B468" s="1" t="n">
        <v>44935</v>
      </c>
      <c r="C468" s="1" t="n">
        <v>46064</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1364-2025</t>
        </is>
      </c>
      <c r="B469" s="1" t="n">
        <v>45667.63929398148</v>
      </c>
      <c r="C469" s="1" t="n">
        <v>46064</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46064</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53577-2025</t>
        </is>
      </c>
      <c r="B471" s="1" t="n">
        <v>45960.42224537037</v>
      </c>
      <c r="C471" s="1" t="n">
        <v>46064</v>
      </c>
      <c r="D471" t="inlineStr">
        <is>
          <t>GOTLANDS LÄN</t>
        </is>
      </c>
      <c r="E471" t="inlineStr">
        <is>
          <t>GOTLAND</t>
        </is>
      </c>
      <c r="F471" t="inlineStr">
        <is>
          <t>Övriga Aktiebolag</t>
        </is>
      </c>
      <c r="G471" t="n">
        <v>3.3</v>
      </c>
      <c r="H471" t="n">
        <v>0</v>
      </c>
      <c r="I471" t="n">
        <v>0</v>
      </c>
      <c r="J471" t="n">
        <v>0</v>
      </c>
      <c r="K471" t="n">
        <v>0</v>
      </c>
      <c r="L471" t="n">
        <v>0</v>
      </c>
      <c r="M471" t="n">
        <v>0</v>
      </c>
      <c r="N471" t="n">
        <v>0</v>
      </c>
      <c r="O471" t="n">
        <v>0</v>
      </c>
      <c r="P471" t="n">
        <v>0</v>
      </c>
      <c r="Q471" t="n">
        <v>0</v>
      </c>
      <c r="R471" s="2" t="inlineStr"/>
    </row>
    <row r="472" ht="15" customHeight="1">
      <c r="A472" t="inlineStr">
        <is>
          <t>A 53569-2025</t>
        </is>
      </c>
      <c r="B472" s="1" t="n">
        <v>45960.41155092593</v>
      </c>
      <c r="C472" s="1" t="n">
        <v>46064</v>
      </c>
      <c r="D472" t="inlineStr">
        <is>
          <t>GOTLANDS LÄN</t>
        </is>
      </c>
      <c r="E472" t="inlineStr">
        <is>
          <t>GOTLAND</t>
        </is>
      </c>
      <c r="F472" t="inlineStr">
        <is>
          <t>Övriga Aktiebolag</t>
        </is>
      </c>
      <c r="G472" t="n">
        <v>11.3</v>
      </c>
      <c r="H472" t="n">
        <v>0</v>
      </c>
      <c r="I472" t="n">
        <v>0</v>
      </c>
      <c r="J472" t="n">
        <v>0</v>
      </c>
      <c r="K472" t="n">
        <v>0</v>
      </c>
      <c r="L472" t="n">
        <v>0</v>
      </c>
      <c r="M472" t="n">
        <v>0</v>
      </c>
      <c r="N472" t="n">
        <v>0</v>
      </c>
      <c r="O472" t="n">
        <v>0</v>
      </c>
      <c r="P472" t="n">
        <v>0</v>
      </c>
      <c r="Q472" t="n">
        <v>0</v>
      </c>
      <c r="R472" s="2" t="inlineStr"/>
    </row>
    <row r="473" ht="15" customHeight="1">
      <c r="A473" t="inlineStr">
        <is>
          <t>A 14141-2024</t>
        </is>
      </c>
      <c r="B473" s="1" t="n">
        <v>45392.85193287037</v>
      </c>
      <c r="C473" s="1" t="n">
        <v>46064</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12155-2023</t>
        </is>
      </c>
      <c r="B474" s="1" t="n">
        <v>44998.49106481481</v>
      </c>
      <c r="C474" s="1" t="n">
        <v>46064</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46064</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46064</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46064</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56688-2025</t>
        </is>
      </c>
      <c r="B478" s="1" t="n">
        <v>45975.84331018518</v>
      </c>
      <c r="C478" s="1" t="n">
        <v>46064</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46064</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56799-2025</t>
        </is>
      </c>
      <c r="B480" s="1" t="n">
        <v>45978.43392361111</v>
      </c>
      <c r="C480" s="1" t="n">
        <v>46064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1066-2024</t>
        </is>
      </c>
      <c r="B481" s="1" t="n">
        <v>45302.285</v>
      </c>
      <c r="C481" s="1" t="n">
        <v>46064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36-2026</t>
        </is>
      </c>
      <c r="B482" s="1" t="n">
        <v>46024.38886574074</v>
      </c>
      <c r="C482" s="1" t="n">
        <v>46064</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37202-2024</t>
        </is>
      </c>
      <c r="B483" s="1" t="n">
        <v>45539.67310185185</v>
      </c>
      <c r="C483" s="1" t="n">
        <v>46064</v>
      </c>
      <c r="D483" t="inlineStr">
        <is>
          <t>GOTLANDS LÄN</t>
        </is>
      </c>
      <c r="E483" t="inlineStr">
        <is>
          <t>GOTLAND</t>
        </is>
      </c>
      <c r="G483" t="n">
        <v>0.3</v>
      </c>
      <c r="H483" t="n">
        <v>0</v>
      </c>
      <c r="I483" t="n">
        <v>0</v>
      </c>
      <c r="J483" t="n">
        <v>0</v>
      </c>
      <c r="K483" t="n">
        <v>0</v>
      </c>
      <c r="L483" t="n">
        <v>0</v>
      </c>
      <c r="M483" t="n">
        <v>0</v>
      </c>
      <c r="N483" t="n">
        <v>0</v>
      </c>
      <c r="O483" t="n">
        <v>0</v>
      </c>
      <c r="P483" t="n">
        <v>0</v>
      </c>
      <c r="Q483" t="n">
        <v>0</v>
      </c>
      <c r="R483" s="2" t="inlineStr"/>
    </row>
    <row r="484" ht="15" customHeight="1">
      <c r="A484" t="inlineStr">
        <is>
          <t>A 30815-2023</t>
        </is>
      </c>
      <c r="B484" s="1" t="n">
        <v>45112</v>
      </c>
      <c r="C484" s="1" t="n">
        <v>46064</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46400-2023</t>
        </is>
      </c>
      <c r="B485" s="1" t="n">
        <v>45197.49290509259</v>
      </c>
      <c r="C485" s="1" t="n">
        <v>46064</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10492-2023</t>
        </is>
      </c>
      <c r="B486" s="1" t="n">
        <v>44987</v>
      </c>
      <c r="C486" s="1" t="n">
        <v>46064</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44919-2022</t>
        </is>
      </c>
      <c r="B487" s="1" t="n">
        <v>44841</v>
      </c>
      <c r="C487" s="1" t="n">
        <v>46064</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59197-2025</t>
        </is>
      </c>
      <c r="B488" s="1" t="n">
        <v>45988.59846064815</v>
      </c>
      <c r="C488" s="1" t="n">
        <v>46064</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1355-2026</t>
        </is>
      </c>
      <c r="B489" s="1" t="n">
        <v>46031.59909722222</v>
      </c>
      <c r="C489" s="1" t="n">
        <v>46064</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16501-2023</t>
        </is>
      </c>
      <c r="B490" s="1" t="n">
        <v>45029</v>
      </c>
      <c r="C490" s="1" t="n">
        <v>46064</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36319-2025</t>
        </is>
      </c>
      <c r="B491" s="1" t="n">
        <v>45868</v>
      </c>
      <c r="C491" s="1" t="n">
        <v>46064</v>
      </c>
      <c r="D491" t="inlineStr">
        <is>
          <t>GOTLANDS LÄN</t>
        </is>
      </c>
      <c r="E491" t="inlineStr">
        <is>
          <t>GOTLAND</t>
        </is>
      </c>
      <c r="G491" t="n">
        <v>2.9</v>
      </c>
      <c r="H491" t="n">
        <v>0</v>
      </c>
      <c r="I491" t="n">
        <v>0</v>
      </c>
      <c r="J491" t="n">
        <v>0</v>
      </c>
      <c r="K491" t="n">
        <v>0</v>
      </c>
      <c r="L491" t="n">
        <v>0</v>
      </c>
      <c r="M491" t="n">
        <v>0</v>
      </c>
      <c r="N491" t="n">
        <v>0</v>
      </c>
      <c r="O491" t="n">
        <v>0</v>
      </c>
      <c r="P491" t="n">
        <v>0</v>
      </c>
      <c r="Q491" t="n">
        <v>0</v>
      </c>
      <c r="R491" s="2" t="inlineStr"/>
    </row>
    <row r="492" ht="15" customHeight="1">
      <c r="A492" t="inlineStr">
        <is>
          <t>A 27095-2022</t>
        </is>
      </c>
      <c r="B492" s="1" t="n">
        <v>44741</v>
      </c>
      <c r="C492" s="1" t="n">
        <v>46064</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458-2023</t>
        </is>
      </c>
      <c r="B493" s="1" t="n">
        <v>44929</v>
      </c>
      <c r="C493" s="1" t="n">
        <v>46064</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1291-2023</t>
        </is>
      </c>
      <c r="B494" s="1" t="n">
        <v>44936.47561342592</v>
      </c>
      <c r="C494" s="1" t="n">
        <v>46064</v>
      </c>
      <c r="D494" t="inlineStr">
        <is>
          <t>GOTLANDS LÄN</t>
        </is>
      </c>
      <c r="E494" t="inlineStr">
        <is>
          <t>GOTLAND</t>
        </is>
      </c>
      <c r="G494" t="n">
        <v>7.4</v>
      </c>
      <c r="H494" t="n">
        <v>0</v>
      </c>
      <c r="I494" t="n">
        <v>0</v>
      </c>
      <c r="J494" t="n">
        <v>0</v>
      </c>
      <c r="K494" t="n">
        <v>0</v>
      </c>
      <c r="L494" t="n">
        <v>0</v>
      </c>
      <c r="M494" t="n">
        <v>0</v>
      </c>
      <c r="N494" t="n">
        <v>0</v>
      </c>
      <c r="O494" t="n">
        <v>0</v>
      </c>
      <c r="P494" t="n">
        <v>0</v>
      </c>
      <c r="Q494" t="n">
        <v>0</v>
      </c>
      <c r="R494" s="2" t="inlineStr"/>
    </row>
    <row r="495" ht="15" customHeight="1">
      <c r="A495" t="inlineStr">
        <is>
          <t>A 1839-2026</t>
        </is>
      </c>
      <c r="B495" s="1" t="n">
        <v>46035.3942824074</v>
      </c>
      <c r="C495" s="1" t="n">
        <v>46064</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1898-2026</t>
        </is>
      </c>
      <c r="B496" s="1" t="n">
        <v>46035.52024305556</v>
      </c>
      <c r="C496" s="1" t="n">
        <v>46064</v>
      </c>
      <c r="D496" t="inlineStr">
        <is>
          <t>GOTLANDS LÄN</t>
        </is>
      </c>
      <c r="E496" t="inlineStr">
        <is>
          <t>GOTLAND</t>
        </is>
      </c>
      <c r="G496" t="n">
        <v>3.7</v>
      </c>
      <c r="H496" t="n">
        <v>0</v>
      </c>
      <c r="I496" t="n">
        <v>0</v>
      </c>
      <c r="J496" t="n">
        <v>0</v>
      </c>
      <c r="K496" t="n">
        <v>0</v>
      </c>
      <c r="L496" t="n">
        <v>0</v>
      </c>
      <c r="M496" t="n">
        <v>0</v>
      </c>
      <c r="N496" t="n">
        <v>0</v>
      </c>
      <c r="O496" t="n">
        <v>0</v>
      </c>
      <c r="P496" t="n">
        <v>0</v>
      </c>
      <c r="Q496" t="n">
        <v>0</v>
      </c>
      <c r="R496" s="2" t="inlineStr"/>
    </row>
    <row r="497" ht="15" customHeight="1">
      <c r="A497" t="inlineStr">
        <is>
          <t>A 1854-2026</t>
        </is>
      </c>
      <c r="B497" s="1" t="n">
        <v>46035.4171875</v>
      </c>
      <c r="C497" s="1" t="n">
        <v>46064</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32330-2024</t>
        </is>
      </c>
      <c r="B498" s="1" t="n">
        <v>45512</v>
      </c>
      <c r="C498" s="1" t="n">
        <v>46064</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5891-2025</t>
        </is>
      </c>
      <c r="B499" s="1" t="n">
        <v>45695.38327546296</v>
      </c>
      <c r="C499" s="1" t="n">
        <v>46064</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2415-2026</t>
        </is>
      </c>
      <c r="B500" s="1" t="n">
        <v>46036.76203703704</v>
      </c>
      <c r="C500" s="1" t="n">
        <v>46064</v>
      </c>
      <c r="D500" t="inlineStr">
        <is>
          <t>GOTLANDS LÄN</t>
        </is>
      </c>
      <c r="E500" t="inlineStr">
        <is>
          <t>GOTLAND</t>
        </is>
      </c>
      <c r="G500" t="n">
        <v>6.9</v>
      </c>
      <c r="H500" t="n">
        <v>0</v>
      </c>
      <c r="I500" t="n">
        <v>0</v>
      </c>
      <c r="J500" t="n">
        <v>0</v>
      </c>
      <c r="K500" t="n">
        <v>0</v>
      </c>
      <c r="L500" t="n">
        <v>0</v>
      </c>
      <c r="M500" t="n">
        <v>0</v>
      </c>
      <c r="N500" t="n">
        <v>0</v>
      </c>
      <c r="O500" t="n">
        <v>0</v>
      </c>
      <c r="P500" t="n">
        <v>0</v>
      </c>
      <c r="Q500" t="n">
        <v>0</v>
      </c>
      <c r="R500" s="2" t="inlineStr"/>
    </row>
    <row r="501" ht="15" customHeight="1">
      <c r="A501" t="inlineStr">
        <is>
          <t>A 2134-2026</t>
        </is>
      </c>
      <c r="B501" s="1" t="n">
        <v>46036</v>
      </c>
      <c r="C501" s="1" t="n">
        <v>46064</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2135-2026</t>
        </is>
      </c>
      <c r="B502" s="1" t="n">
        <v>46036</v>
      </c>
      <c r="C502" s="1" t="n">
        <v>46064</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14804-2021</t>
        </is>
      </c>
      <c r="B503" s="1" t="n">
        <v>44280</v>
      </c>
      <c r="C503" s="1" t="n">
        <v>46064</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2719-2023</t>
        </is>
      </c>
      <c r="B504" s="1" t="n">
        <v>44944.55361111111</v>
      </c>
      <c r="C504" s="1" t="n">
        <v>46064</v>
      </c>
      <c r="D504" t="inlineStr">
        <is>
          <t>GOTLANDS LÄN</t>
        </is>
      </c>
      <c r="E504" t="inlineStr">
        <is>
          <t>GOTLAND</t>
        </is>
      </c>
      <c r="G504" t="n">
        <v>0.5</v>
      </c>
      <c r="H504" t="n">
        <v>0</v>
      </c>
      <c r="I504" t="n">
        <v>0</v>
      </c>
      <c r="J504" t="n">
        <v>0</v>
      </c>
      <c r="K504" t="n">
        <v>0</v>
      </c>
      <c r="L504" t="n">
        <v>0</v>
      </c>
      <c r="M504" t="n">
        <v>0</v>
      </c>
      <c r="N504" t="n">
        <v>0</v>
      </c>
      <c r="O504" t="n">
        <v>0</v>
      </c>
      <c r="P504" t="n">
        <v>0</v>
      </c>
      <c r="Q504" t="n">
        <v>0</v>
      </c>
      <c r="R504" s="2" t="inlineStr"/>
    </row>
    <row r="505" ht="15" customHeight="1">
      <c r="A505" t="inlineStr">
        <is>
          <t>A 17144-2025</t>
        </is>
      </c>
      <c r="B505" s="1" t="n">
        <v>45755.9499537037</v>
      </c>
      <c r="C505" s="1" t="n">
        <v>46064</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49314-2024</t>
        </is>
      </c>
      <c r="B506" s="1" t="n">
        <v>45595.55893518519</v>
      </c>
      <c r="C506" s="1" t="n">
        <v>46064</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46064</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29809-2022</t>
        </is>
      </c>
      <c r="B508" s="1" t="n">
        <v>44755.8713425926</v>
      </c>
      <c r="C508" s="1" t="n">
        <v>46064</v>
      </c>
      <c r="D508" t="inlineStr">
        <is>
          <t>GOTLANDS LÄN</t>
        </is>
      </c>
      <c r="E508" t="inlineStr">
        <is>
          <t>GOTLAND</t>
        </is>
      </c>
      <c r="G508" t="n">
        <v>11.5</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46064</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3067-2026</t>
        </is>
      </c>
      <c r="B510" s="1" t="n">
        <v>46040.59025462963</v>
      </c>
      <c r="C510" s="1" t="n">
        <v>46064</v>
      </c>
      <c r="D510" t="inlineStr">
        <is>
          <t>GOTLANDS LÄN</t>
        </is>
      </c>
      <c r="E510" t="inlineStr">
        <is>
          <t>GOTLAND</t>
        </is>
      </c>
      <c r="G510" t="n">
        <v>7.8</v>
      </c>
      <c r="H510" t="n">
        <v>0</v>
      </c>
      <c r="I510" t="n">
        <v>0</v>
      </c>
      <c r="J510" t="n">
        <v>0</v>
      </c>
      <c r="K510" t="n">
        <v>0</v>
      </c>
      <c r="L510" t="n">
        <v>0</v>
      </c>
      <c r="M510" t="n">
        <v>0</v>
      </c>
      <c r="N510" t="n">
        <v>0</v>
      </c>
      <c r="O510" t="n">
        <v>0</v>
      </c>
      <c r="P510" t="n">
        <v>0</v>
      </c>
      <c r="Q510" t="n">
        <v>0</v>
      </c>
      <c r="R510" s="2" t="inlineStr"/>
    </row>
    <row r="511" ht="15" customHeight="1">
      <c r="A511" t="inlineStr">
        <is>
          <t>A 43081-2022</t>
        </is>
      </c>
      <c r="B511" s="1" t="n">
        <v>44833</v>
      </c>
      <c r="C511" s="1" t="n">
        <v>46064</v>
      </c>
      <c r="D511" t="inlineStr">
        <is>
          <t>GOTLANDS LÄN</t>
        </is>
      </c>
      <c r="E511" t="inlineStr">
        <is>
          <t>GOTLAND</t>
        </is>
      </c>
      <c r="G511" t="n">
        <v>6.8</v>
      </c>
      <c r="H511" t="n">
        <v>0</v>
      </c>
      <c r="I511" t="n">
        <v>0</v>
      </c>
      <c r="J511" t="n">
        <v>0</v>
      </c>
      <c r="K511" t="n">
        <v>0</v>
      </c>
      <c r="L511" t="n">
        <v>0</v>
      </c>
      <c r="M511" t="n">
        <v>0</v>
      </c>
      <c r="N511" t="n">
        <v>0</v>
      </c>
      <c r="O511" t="n">
        <v>0</v>
      </c>
      <c r="P511" t="n">
        <v>0</v>
      </c>
      <c r="Q511" t="n">
        <v>0</v>
      </c>
      <c r="R511" s="2" t="inlineStr"/>
    </row>
    <row r="512" ht="15" customHeight="1">
      <c r="A512" t="inlineStr">
        <is>
          <t>A 3253-2026</t>
        </is>
      </c>
      <c r="B512" s="1" t="n">
        <v>46041.58902777778</v>
      </c>
      <c r="C512" s="1" t="n">
        <v>46064</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1175-2025</t>
        </is>
      </c>
      <c r="B513" s="1" t="n">
        <v>45667.34449074074</v>
      </c>
      <c r="C513" s="1" t="n">
        <v>46064</v>
      </c>
      <c r="D513" t="inlineStr">
        <is>
          <t>GOTLANDS LÄN</t>
        </is>
      </c>
      <c r="E513" t="inlineStr">
        <is>
          <t>GOTLAND</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42201-2023</t>
        </is>
      </c>
      <c r="B514" s="1" t="n">
        <v>45179</v>
      </c>
      <c r="C514" s="1" t="n">
        <v>46064</v>
      </c>
      <c r="D514" t="inlineStr">
        <is>
          <t>GOTLANDS LÄN</t>
        </is>
      </c>
      <c r="E514" t="inlineStr">
        <is>
          <t>GOTLAND</t>
        </is>
      </c>
      <c r="G514" t="n">
        <v>11.9</v>
      </c>
      <c r="H514" t="n">
        <v>0</v>
      </c>
      <c r="I514" t="n">
        <v>0</v>
      </c>
      <c r="J514" t="n">
        <v>0</v>
      </c>
      <c r="K514" t="n">
        <v>0</v>
      </c>
      <c r="L514" t="n">
        <v>0</v>
      </c>
      <c r="M514" t="n">
        <v>0</v>
      </c>
      <c r="N514" t="n">
        <v>0</v>
      </c>
      <c r="O514" t="n">
        <v>0</v>
      </c>
      <c r="P514" t="n">
        <v>0</v>
      </c>
      <c r="Q514" t="n">
        <v>0</v>
      </c>
      <c r="R514" s="2" t="inlineStr"/>
    </row>
    <row r="515" ht="15" customHeight="1">
      <c r="A515" t="inlineStr">
        <is>
          <t>A 3150-2025</t>
        </is>
      </c>
      <c r="B515" s="1" t="n">
        <v>45679.28974537037</v>
      </c>
      <c r="C515" s="1" t="n">
        <v>46064</v>
      </c>
      <c r="D515" t="inlineStr">
        <is>
          <t>GOTLANDS LÄN</t>
        </is>
      </c>
      <c r="E515" t="inlineStr">
        <is>
          <t>GOTLAND</t>
        </is>
      </c>
      <c r="G515" t="n">
        <v>2.5</v>
      </c>
      <c r="H515" t="n">
        <v>0</v>
      </c>
      <c r="I515" t="n">
        <v>0</v>
      </c>
      <c r="J515" t="n">
        <v>0</v>
      </c>
      <c r="K515" t="n">
        <v>0</v>
      </c>
      <c r="L515" t="n">
        <v>0</v>
      </c>
      <c r="M515" t="n">
        <v>0</v>
      </c>
      <c r="N515" t="n">
        <v>0</v>
      </c>
      <c r="O515" t="n">
        <v>0</v>
      </c>
      <c r="P515" t="n">
        <v>0</v>
      </c>
      <c r="Q515" t="n">
        <v>0</v>
      </c>
      <c r="R515" s="2" t="inlineStr"/>
    </row>
    <row r="516" ht="15" customHeight="1">
      <c r="A516" t="inlineStr">
        <is>
          <t>A 42041-2024</t>
        </is>
      </c>
      <c r="B516" s="1" t="n">
        <v>45561</v>
      </c>
      <c r="C516" s="1" t="n">
        <v>46064</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15436-2025</t>
        </is>
      </c>
      <c r="B517" s="1" t="n">
        <v>45747.47462962963</v>
      </c>
      <c r="C517" s="1" t="n">
        <v>46064</v>
      </c>
      <c r="D517" t="inlineStr">
        <is>
          <t>GOTLANDS LÄN</t>
        </is>
      </c>
      <c r="E517" t="inlineStr">
        <is>
          <t>GOTLAND</t>
        </is>
      </c>
      <c r="G517" t="n">
        <v>4.1</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44705.38832175926</v>
      </c>
      <c r="C518" s="1" t="n">
        <v>46064</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17780-2022</t>
        </is>
      </c>
      <c r="B519" s="1" t="n">
        <v>44682.82622685185</v>
      </c>
      <c r="C519" s="1" t="n">
        <v>46064</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63516-2023</t>
        </is>
      </c>
      <c r="B520" s="1" t="n">
        <v>45274</v>
      </c>
      <c r="C520" s="1" t="n">
        <v>46064</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4670-2026</t>
        </is>
      </c>
      <c r="B521" s="1" t="n">
        <v>46048.41733796296</v>
      </c>
      <c r="C521" s="1" t="n">
        <v>46064</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4662-2026</t>
        </is>
      </c>
      <c r="B522" s="1" t="n">
        <v>46048.40949074074</v>
      </c>
      <c r="C522" s="1" t="n">
        <v>46064</v>
      </c>
      <c r="D522" t="inlineStr">
        <is>
          <t>GOTLANDS LÄN</t>
        </is>
      </c>
      <c r="E522" t="inlineStr">
        <is>
          <t>GOTLAND</t>
        </is>
      </c>
      <c r="G522" t="n">
        <v>7.6</v>
      </c>
      <c r="H522" t="n">
        <v>0</v>
      </c>
      <c r="I522" t="n">
        <v>0</v>
      </c>
      <c r="J522" t="n">
        <v>0</v>
      </c>
      <c r="K522" t="n">
        <v>0</v>
      </c>
      <c r="L522" t="n">
        <v>0</v>
      </c>
      <c r="M522" t="n">
        <v>0</v>
      </c>
      <c r="N522" t="n">
        <v>0</v>
      </c>
      <c r="O522" t="n">
        <v>0</v>
      </c>
      <c r="P522" t="n">
        <v>0</v>
      </c>
      <c r="Q522" t="n">
        <v>0</v>
      </c>
      <c r="R522" s="2" t="inlineStr"/>
    </row>
    <row r="523" ht="15" customHeight="1">
      <c r="A523" t="inlineStr">
        <is>
          <t>A 53935-2024</t>
        </is>
      </c>
      <c r="B523" s="1" t="n">
        <v>45615</v>
      </c>
      <c r="C523" s="1" t="n">
        <v>46064</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4646-2026</t>
        </is>
      </c>
      <c r="B524" s="1" t="n">
        <v>46048.40357638889</v>
      </c>
      <c r="C524" s="1" t="n">
        <v>46064</v>
      </c>
      <c r="D524" t="inlineStr">
        <is>
          <t>GOTLANDS LÄN</t>
        </is>
      </c>
      <c r="E524" t="inlineStr">
        <is>
          <t>GOTLAND</t>
        </is>
      </c>
      <c r="G524" t="n">
        <v>2.7</v>
      </c>
      <c r="H524" t="n">
        <v>0</v>
      </c>
      <c r="I524" t="n">
        <v>0</v>
      </c>
      <c r="J524" t="n">
        <v>0</v>
      </c>
      <c r="K524" t="n">
        <v>0</v>
      </c>
      <c r="L524" t="n">
        <v>0</v>
      </c>
      <c r="M524" t="n">
        <v>0</v>
      </c>
      <c r="N524" t="n">
        <v>0</v>
      </c>
      <c r="O524" t="n">
        <v>0</v>
      </c>
      <c r="P524" t="n">
        <v>0</v>
      </c>
      <c r="Q524" t="n">
        <v>0</v>
      </c>
      <c r="R524" s="2" t="inlineStr"/>
    </row>
    <row r="525" ht="15" customHeight="1">
      <c r="A525" t="inlineStr">
        <is>
          <t>A 69112-2021</t>
        </is>
      </c>
      <c r="B525" s="1" t="n">
        <v>44530</v>
      </c>
      <c r="C525" s="1" t="n">
        <v>46064</v>
      </c>
      <c r="D525" t="inlineStr">
        <is>
          <t>GOTLANDS LÄN</t>
        </is>
      </c>
      <c r="E525" t="inlineStr">
        <is>
          <t>GOTLAND</t>
        </is>
      </c>
      <c r="G525" t="n">
        <v>4.2</v>
      </c>
      <c r="H525" t="n">
        <v>0</v>
      </c>
      <c r="I525" t="n">
        <v>0</v>
      </c>
      <c r="J525" t="n">
        <v>0</v>
      </c>
      <c r="K525" t="n">
        <v>0</v>
      </c>
      <c r="L525" t="n">
        <v>0</v>
      </c>
      <c r="M525" t="n">
        <v>0</v>
      </c>
      <c r="N525" t="n">
        <v>0</v>
      </c>
      <c r="O525" t="n">
        <v>0</v>
      </c>
      <c r="P525" t="n">
        <v>0</v>
      </c>
      <c r="Q525" t="n">
        <v>0</v>
      </c>
      <c r="R525" s="2" t="inlineStr"/>
    </row>
    <row r="526" ht="15" customHeight="1">
      <c r="A526" t="inlineStr">
        <is>
          <t>A 48734-2022</t>
        </is>
      </c>
      <c r="B526" s="1" t="n">
        <v>44855</v>
      </c>
      <c r="C526" s="1" t="n">
        <v>46064</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4639-2026</t>
        </is>
      </c>
      <c r="B527" s="1" t="n">
        <v>46048.39880787037</v>
      </c>
      <c r="C527" s="1" t="n">
        <v>46064</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23516-2023</t>
        </is>
      </c>
      <c r="B528" s="1" t="n">
        <v>45076.93391203704</v>
      </c>
      <c r="C528" s="1" t="n">
        <v>46064</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43231-2023</t>
        </is>
      </c>
      <c r="B529" s="1" t="n">
        <v>45183.47025462963</v>
      </c>
      <c r="C529" s="1" t="n">
        <v>46064</v>
      </c>
      <c r="D529" t="inlineStr">
        <is>
          <t>GOTLANDS LÄN</t>
        </is>
      </c>
      <c r="E529" t="inlineStr">
        <is>
          <t>GOTLAND</t>
        </is>
      </c>
      <c r="G529" t="n">
        <v>3.6</v>
      </c>
      <c r="H529" t="n">
        <v>0</v>
      </c>
      <c r="I529" t="n">
        <v>0</v>
      </c>
      <c r="J529" t="n">
        <v>0</v>
      </c>
      <c r="K529" t="n">
        <v>0</v>
      </c>
      <c r="L529" t="n">
        <v>0</v>
      </c>
      <c r="M529" t="n">
        <v>0</v>
      </c>
      <c r="N529" t="n">
        <v>0</v>
      </c>
      <c r="O529" t="n">
        <v>0</v>
      </c>
      <c r="P529" t="n">
        <v>0</v>
      </c>
      <c r="Q529" t="n">
        <v>0</v>
      </c>
      <c r="R529" s="2" t="inlineStr"/>
    </row>
    <row r="530" ht="15" customHeight="1">
      <c r="A530" t="inlineStr">
        <is>
          <t>A 58230-2024</t>
        </is>
      </c>
      <c r="B530" s="1" t="n">
        <v>45632.51625</v>
      </c>
      <c r="C530" s="1" t="n">
        <v>46064</v>
      </c>
      <c r="D530" t="inlineStr">
        <is>
          <t>GOTLANDS LÄN</t>
        </is>
      </c>
      <c r="E530" t="inlineStr">
        <is>
          <t>GOTLAND</t>
        </is>
      </c>
      <c r="G530" t="n">
        <v>7.3</v>
      </c>
      <c r="H530" t="n">
        <v>0</v>
      </c>
      <c r="I530" t="n">
        <v>0</v>
      </c>
      <c r="J530" t="n">
        <v>0</v>
      </c>
      <c r="K530" t="n">
        <v>0</v>
      </c>
      <c r="L530" t="n">
        <v>0</v>
      </c>
      <c r="M530" t="n">
        <v>0</v>
      </c>
      <c r="N530" t="n">
        <v>0</v>
      </c>
      <c r="O530" t="n">
        <v>0</v>
      </c>
      <c r="P530" t="n">
        <v>0</v>
      </c>
      <c r="Q530" t="n">
        <v>0</v>
      </c>
      <c r="R530" s="2" t="inlineStr"/>
    </row>
    <row r="531" ht="15" customHeight="1">
      <c r="A531" t="inlineStr">
        <is>
          <t>A 62066-2025</t>
        </is>
      </c>
      <c r="B531" s="1" t="n">
        <v>46006.34738425926</v>
      </c>
      <c r="C531" s="1" t="n">
        <v>46064</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62103-2025</t>
        </is>
      </c>
      <c r="B532" s="1" t="n">
        <v>46006</v>
      </c>
      <c r="C532" s="1" t="n">
        <v>46064</v>
      </c>
      <c r="D532" t="inlineStr">
        <is>
          <t>GOTLANDS LÄN</t>
        </is>
      </c>
      <c r="E532" t="inlineStr">
        <is>
          <t>GOTLAND</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64555-2023</t>
        </is>
      </c>
      <c r="B533" s="1" t="n">
        <v>45281</v>
      </c>
      <c r="C533" s="1" t="n">
        <v>46064</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44929.87238425926</v>
      </c>
      <c r="C534" s="1" t="n">
        <v>46064</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44929.87423611111</v>
      </c>
      <c r="C535" s="1" t="n">
        <v>46064</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4634-2026</t>
        </is>
      </c>
      <c r="B536" s="1" t="n">
        <v>46048.39304398148</v>
      </c>
      <c r="C536" s="1" t="n">
        <v>46064</v>
      </c>
      <c r="D536" t="inlineStr">
        <is>
          <t>GOTLANDS LÄN</t>
        </is>
      </c>
      <c r="E536" t="inlineStr">
        <is>
          <t>GOTLAND</t>
        </is>
      </c>
      <c r="G536" t="n">
        <v>7.8</v>
      </c>
      <c r="H536" t="n">
        <v>0</v>
      </c>
      <c r="I536" t="n">
        <v>0</v>
      </c>
      <c r="J536" t="n">
        <v>0</v>
      </c>
      <c r="K536" t="n">
        <v>0</v>
      </c>
      <c r="L536" t="n">
        <v>0</v>
      </c>
      <c r="M536" t="n">
        <v>0</v>
      </c>
      <c r="N536" t="n">
        <v>0</v>
      </c>
      <c r="O536" t="n">
        <v>0</v>
      </c>
      <c r="P536" t="n">
        <v>0</v>
      </c>
      <c r="Q536" t="n">
        <v>0</v>
      </c>
      <c r="R536" s="2" t="inlineStr"/>
    </row>
    <row r="537" ht="15" customHeight="1">
      <c r="A537" t="inlineStr">
        <is>
          <t>A 876-2024</t>
        </is>
      </c>
      <c r="B537" s="1" t="n">
        <v>45301</v>
      </c>
      <c r="C537" s="1" t="n">
        <v>46064</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26891-2024</t>
        </is>
      </c>
      <c r="B538" s="1" t="n">
        <v>45470.65540509259</v>
      </c>
      <c r="C538" s="1" t="n">
        <v>46064</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63000-2025</t>
        </is>
      </c>
      <c r="B539" s="1" t="n">
        <v>46009</v>
      </c>
      <c r="C539" s="1" t="n">
        <v>46064</v>
      </c>
      <c r="D539" t="inlineStr">
        <is>
          <t>GOTLANDS LÄN</t>
        </is>
      </c>
      <c r="E539" t="inlineStr">
        <is>
          <t>GOTLAND</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14536-2021</t>
        </is>
      </c>
      <c r="B540" s="1" t="n">
        <v>44279.66168981481</v>
      </c>
      <c r="C540" s="1" t="n">
        <v>46064</v>
      </c>
      <c r="D540" t="inlineStr">
        <is>
          <t>GOTLANDS LÄN</t>
        </is>
      </c>
      <c r="E540" t="inlineStr">
        <is>
          <t>GOTLAND</t>
        </is>
      </c>
      <c r="G540" t="n">
        <v>8.5</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44963.69503472222</v>
      </c>
      <c r="C541" s="1" t="n">
        <v>46064</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50482-2024</t>
        </is>
      </c>
      <c r="B542" s="1" t="n">
        <v>45601.48114583334</v>
      </c>
      <c r="C542" s="1" t="n">
        <v>46064</v>
      </c>
      <c r="D542" t="inlineStr">
        <is>
          <t>GOTLANDS LÄN</t>
        </is>
      </c>
      <c r="E542" t="inlineStr">
        <is>
          <t>GOTLAND</t>
        </is>
      </c>
      <c r="G542" t="n">
        <v>2.3</v>
      </c>
      <c r="H542" t="n">
        <v>0</v>
      </c>
      <c r="I542" t="n">
        <v>0</v>
      </c>
      <c r="J542" t="n">
        <v>0</v>
      </c>
      <c r="K542" t="n">
        <v>0</v>
      </c>
      <c r="L542" t="n">
        <v>0</v>
      </c>
      <c r="M542" t="n">
        <v>0</v>
      </c>
      <c r="N542" t="n">
        <v>0</v>
      </c>
      <c r="O542" t="n">
        <v>0</v>
      </c>
      <c r="P542" t="n">
        <v>0</v>
      </c>
      <c r="Q542" t="n">
        <v>0</v>
      </c>
      <c r="R542" s="2" t="inlineStr"/>
    </row>
    <row r="543" ht="15" customHeight="1">
      <c r="A543" t="inlineStr">
        <is>
          <t>A 5943-2024</t>
        </is>
      </c>
      <c r="B543" s="1" t="n">
        <v>45336</v>
      </c>
      <c r="C543" s="1" t="n">
        <v>46064</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62751-2025</t>
        </is>
      </c>
      <c r="B544" s="1" t="n">
        <v>46008</v>
      </c>
      <c r="C544" s="1" t="n">
        <v>46064</v>
      </c>
      <c r="D544" t="inlineStr">
        <is>
          <t>GOTLANDS LÄN</t>
        </is>
      </c>
      <c r="E544" t="inlineStr">
        <is>
          <t>GOTLAND</t>
        </is>
      </c>
      <c r="F544" t="inlineStr">
        <is>
          <t>Övriga Aktiebolag</t>
        </is>
      </c>
      <c r="G544" t="n">
        <v>7.8</v>
      </c>
      <c r="H544" t="n">
        <v>0</v>
      </c>
      <c r="I544" t="n">
        <v>0</v>
      </c>
      <c r="J544" t="n">
        <v>0</v>
      </c>
      <c r="K544" t="n">
        <v>0</v>
      </c>
      <c r="L544" t="n">
        <v>0</v>
      </c>
      <c r="M544" t="n">
        <v>0</v>
      </c>
      <c r="N544" t="n">
        <v>0</v>
      </c>
      <c r="O544" t="n">
        <v>0</v>
      </c>
      <c r="P544" t="n">
        <v>0</v>
      </c>
      <c r="Q544" t="n">
        <v>0</v>
      </c>
      <c r="R544" s="2" t="inlineStr"/>
    </row>
    <row r="545" ht="15" customHeight="1">
      <c r="A545" t="inlineStr">
        <is>
          <t>A 38234-2023</t>
        </is>
      </c>
      <c r="B545" s="1" t="n">
        <v>45161.56663194444</v>
      </c>
      <c r="C545" s="1" t="n">
        <v>46064</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47147-2025</t>
        </is>
      </c>
      <c r="B546" s="1" t="n">
        <v>45929</v>
      </c>
      <c r="C546" s="1" t="n">
        <v>46064</v>
      </c>
      <c r="D546" t="inlineStr">
        <is>
          <t>GOTLANDS LÄN</t>
        </is>
      </c>
      <c r="E546" t="inlineStr">
        <is>
          <t>GOTLAND</t>
        </is>
      </c>
      <c r="G546" t="n">
        <v>2.3</v>
      </c>
      <c r="H546" t="n">
        <v>0</v>
      </c>
      <c r="I546" t="n">
        <v>0</v>
      </c>
      <c r="J546" t="n">
        <v>0</v>
      </c>
      <c r="K546" t="n">
        <v>0</v>
      </c>
      <c r="L546" t="n">
        <v>0</v>
      </c>
      <c r="M546" t="n">
        <v>0</v>
      </c>
      <c r="N546" t="n">
        <v>0</v>
      </c>
      <c r="O546" t="n">
        <v>0</v>
      </c>
      <c r="P546" t="n">
        <v>0</v>
      </c>
      <c r="Q546" t="n">
        <v>0</v>
      </c>
      <c r="R546" s="2" t="inlineStr"/>
    </row>
    <row r="547" ht="15" customHeight="1">
      <c r="A547" t="inlineStr">
        <is>
          <t>A 1273-2023</t>
        </is>
      </c>
      <c r="B547" s="1" t="n">
        <v>44936</v>
      </c>
      <c r="C547" s="1" t="n">
        <v>46064</v>
      </c>
      <c r="D547" t="inlineStr">
        <is>
          <t>GOTLANDS LÄN</t>
        </is>
      </c>
      <c r="E547" t="inlineStr">
        <is>
          <t>GOTLAND</t>
        </is>
      </c>
      <c r="G547" t="n">
        <v>4.5</v>
      </c>
      <c r="H547" t="n">
        <v>0</v>
      </c>
      <c r="I547" t="n">
        <v>0</v>
      </c>
      <c r="J547" t="n">
        <v>0</v>
      </c>
      <c r="K547" t="n">
        <v>0</v>
      </c>
      <c r="L547" t="n">
        <v>0</v>
      </c>
      <c r="M547" t="n">
        <v>0</v>
      </c>
      <c r="N547" t="n">
        <v>0</v>
      </c>
      <c r="O547" t="n">
        <v>0</v>
      </c>
      <c r="P547" t="n">
        <v>0</v>
      </c>
      <c r="Q547" t="n">
        <v>0</v>
      </c>
      <c r="R547" s="2" t="inlineStr"/>
    </row>
    <row r="548" ht="15" customHeight="1">
      <c r="A548" t="inlineStr">
        <is>
          <t>A 62754-2025</t>
        </is>
      </c>
      <c r="B548" s="1" t="n">
        <v>46008</v>
      </c>
      <c r="C548" s="1" t="n">
        <v>46064</v>
      </c>
      <c r="D548" t="inlineStr">
        <is>
          <t>GOTLANDS LÄN</t>
        </is>
      </c>
      <c r="E548" t="inlineStr">
        <is>
          <t>GOTLAND</t>
        </is>
      </c>
      <c r="F548" t="inlineStr">
        <is>
          <t>Övriga Aktiebolag</t>
        </is>
      </c>
      <c r="G548" t="n">
        <v>2.9</v>
      </c>
      <c r="H548" t="n">
        <v>0</v>
      </c>
      <c r="I548" t="n">
        <v>0</v>
      </c>
      <c r="J548" t="n">
        <v>0</v>
      </c>
      <c r="K548" t="n">
        <v>0</v>
      </c>
      <c r="L548" t="n">
        <v>0</v>
      </c>
      <c r="M548" t="n">
        <v>0</v>
      </c>
      <c r="N548" t="n">
        <v>0</v>
      </c>
      <c r="O548" t="n">
        <v>0</v>
      </c>
      <c r="P548" t="n">
        <v>0</v>
      </c>
      <c r="Q548" t="n">
        <v>0</v>
      </c>
      <c r="R548" s="2" t="inlineStr"/>
    </row>
    <row r="549" ht="15" customHeight="1">
      <c r="A549" t="inlineStr">
        <is>
          <t>A 63002-2025</t>
        </is>
      </c>
      <c r="B549" s="1" t="n">
        <v>46009.56564814815</v>
      </c>
      <c r="C549" s="1" t="n">
        <v>46064</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6207-2026</t>
        </is>
      </c>
      <c r="B550" s="1" t="n">
        <v>46055.42083333333</v>
      </c>
      <c r="C550" s="1" t="n">
        <v>46064</v>
      </c>
      <c r="D550" t="inlineStr">
        <is>
          <t>GOTLANDS LÄN</t>
        </is>
      </c>
      <c r="E550" t="inlineStr">
        <is>
          <t>GOTLAND</t>
        </is>
      </c>
      <c r="G550" t="n">
        <v>7.6</v>
      </c>
      <c r="H550" t="n">
        <v>0</v>
      </c>
      <c r="I550" t="n">
        <v>0</v>
      </c>
      <c r="J550" t="n">
        <v>0</v>
      </c>
      <c r="K550" t="n">
        <v>0</v>
      </c>
      <c r="L550" t="n">
        <v>0</v>
      </c>
      <c r="M550" t="n">
        <v>0</v>
      </c>
      <c r="N550" t="n">
        <v>0</v>
      </c>
      <c r="O550" t="n">
        <v>0</v>
      </c>
      <c r="P550" t="n">
        <v>0</v>
      </c>
      <c r="Q550" t="n">
        <v>0</v>
      </c>
      <c r="R550" s="2" t="inlineStr"/>
    </row>
    <row r="551" ht="15" customHeight="1">
      <c r="A551" t="inlineStr">
        <is>
          <t>A 17724-2024</t>
        </is>
      </c>
      <c r="B551" s="1" t="n">
        <v>45418.55096064815</v>
      </c>
      <c r="C551" s="1" t="n">
        <v>46064</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23978-2023</t>
        </is>
      </c>
      <c r="B552" s="1" t="n">
        <v>45078</v>
      </c>
      <c r="C552" s="1" t="n">
        <v>46064</v>
      </c>
      <c r="D552" t="inlineStr">
        <is>
          <t>GOTLANDS LÄN</t>
        </is>
      </c>
      <c r="E552" t="inlineStr">
        <is>
          <t>GOTLAND</t>
        </is>
      </c>
      <c r="F552" t="inlineStr">
        <is>
          <t>Naturvårdsverket</t>
        </is>
      </c>
      <c r="G552" t="n">
        <v>1.7</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46064</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12846-2025</t>
        </is>
      </c>
      <c r="B554" s="1" t="n">
        <v>45733.65049768519</v>
      </c>
      <c r="C554" s="1" t="n">
        <v>46064</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43200-2023</t>
        </is>
      </c>
      <c r="B555" s="1" t="n">
        <v>45183</v>
      </c>
      <c r="C555" s="1" t="n">
        <v>46064</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5863-2026</t>
        </is>
      </c>
      <c r="B556" s="1" t="n">
        <v>46052.36697916667</v>
      </c>
      <c r="C556" s="1" t="n">
        <v>46064</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3935-2025</t>
        </is>
      </c>
      <c r="B557" s="1" t="n">
        <v>45684.46070601852</v>
      </c>
      <c r="C557" s="1" t="n">
        <v>46064</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6218-2026</t>
        </is>
      </c>
      <c r="B558" s="1" t="n">
        <v>46055.42859953704</v>
      </c>
      <c r="C558" s="1" t="n">
        <v>46064</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21792-2024</t>
        </is>
      </c>
      <c r="B559" s="1" t="n">
        <v>45442.64326388889</v>
      </c>
      <c r="C559" s="1" t="n">
        <v>46064</v>
      </c>
      <c r="D559" t="inlineStr">
        <is>
          <t>GOTLANDS LÄN</t>
        </is>
      </c>
      <c r="E559" t="inlineStr">
        <is>
          <t>GOTLAND</t>
        </is>
      </c>
      <c r="G559" t="n">
        <v>1</v>
      </c>
      <c r="H559" t="n">
        <v>0</v>
      </c>
      <c r="I559" t="n">
        <v>0</v>
      </c>
      <c r="J559" t="n">
        <v>0</v>
      </c>
      <c r="K559" t="n">
        <v>0</v>
      </c>
      <c r="L559" t="n">
        <v>0</v>
      </c>
      <c r="M559" t="n">
        <v>0</v>
      </c>
      <c r="N559" t="n">
        <v>0</v>
      </c>
      <c r="O559" t="n">
        <v>0</v>
      </c>
      <c r="P559" t="n">
        <v>0</v>
      </c>
      <c r="Q559" t="n">
        <v>0</v>
      </c>
      <c r="R559" s="2" t="inlineStr"/>
    </row>
    <row r="560" ht="15" customHeight="1">
      <c r="A560" t="inlineStr">
        <is>
          <t>A 6960-2026</t>
        </is>
      </c>
      <c r="B560" s="1" t="n">
        <v>46057.58105324074</v>
      </c>
      <c r="C560" s="1" t="n">
        <v>46064</v>
      </c>
      <c r="D560" t="inlineStr">
        <is>
          <t>GOTLANDS LÄN</t>
        </is>
      </c>
      <c r="E560" t="inlineStr">
        <is>
          <t>GOTLAND</t>
        </is>
      </c>
      <c r="F560" t="inlineStr">
        <is>
          <t>Kyrkan</t>
        </is>
      </c>
      <c r="G560" t="n">
        <v>2.4</v>
      </c>
      <c r="H560" t="n">
        <v>0</v>
      </c>
      <c r="I560" t="n">
        <v>0</v>
      </c>
      <c r="J560" t="n">
        <v>0</v>
      </c>
      <c r="K560" t="n">
        <v>0</v>
      </c>
      <c r="L560" t="n">
        <v>0</v>
      </c>
      <c r="M560" t="n">
        <v>0</v>
      </c>
      <c r="N560" t="n">
        <v>0</v>
      </c>
      <c r="O560" t="n">
        <v>0</v>
      </c>
      <c r="P560" t="n">
        <v>0</v>
      </c>
      <c r="Q560" t="n">
        <v>0</v>
      </c>
      <c r="R560" s="2" t="inlineStr"/>
    </row>
    <row r="561" ht="15" customHeight="1">
      <c r="A561" t="inlineStr">
        <is>
          <t>A 48843-2024</t>
        </is>
      </c>
      <c r="B561" s="1" t="n">
        <v>45593</v>
      </c>
      <c r="C561" s="1" t="n">
        <v>46064</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54584-2025</t>
        </is>
      </c>
      <c r="B562" s="1" t="n">
        <v>45965.71788194445</v>
      </c>
      <c r="C562" s="1" t="n">
        <v>46064</v>
      </c>
      <c r="D562" t="inlineStr">
        <is>
          <t>GOTLANDS LÄN</t>
        </is>
      </c>
      <c r="E562" t="inlineStr">
        <is>
          <t>GOTLAND</t>
        </is>
      </c>
      <c r="G562" t="n">
        <v>3.5</v>
      </c>
      <c r="H562" t="n">
        <v>0</v>
      </c>
      <c r="I562" t="n">
        <v>0</v>
      </c>
      <c r="J562" t="n">
        <v>0</v>
      </c>
      <c r="K562" t="n">
        <v>0</v>
      </c>
      <c r="L562" t="n">
        <v>0</v>
      </c>
      <c r="M562" t="n">
        <v>0</v>
      </c>
      <c r="N562" t="n">
        <v>0</v>
      </c>
      <c r="O562" t="n">
        <v>0</v>
      </c>
      <c r="P562" t="n">
        <v>0</v>
      </c>
      <c r="Q562" t="n">
        <v>0</v>
      </c>
      <c r="R562" s="2" t="inlineStr"/>
    </row>
    <row r="563" ht="15" customHeight="1">
      <c r="A563" t="inlineStr">
        <is>
          <t>A 10653-2023</t>
        </is>
      </c>
      <c r="B563" s="1" t="n">
        <v>44988.48859953704</v>
      </c>
      <c r="C563" s="1" t="n">
        <v>46064</v>
      </c>
      <c r="D563" t="inlineStr">
        <is>
          <t>GOTLANDS LÄN</t>
        </is>
      </c>
      <c r="E563" t="inlineStr">
        <is>
          <t>GOTLAND</t>
        </is>
      </c>
      <c r="F563" t="inlineStr">
        <is>
          <t>Kyrkan</t>
        </is>
      </c>
      <c r="G563" t="n">
        <v>3</v>
      </c>
      <c r="H563" t="n">
        <v>0</v>
      </c>
      <c r="I563" t="n">
        <v>0</v>
      </c>
      <c r="J563" t="n">
        <v>0</v>
      </c>
      <c r="K563" t="n">
        <v>0</v>
      </c>
      <c r="L563" t="n">
        <v>0</v>
      </c>
      <c r="M563" t="n">
        <v>0</v>
      </c>
      <c r="N563" t="n">
        <v>0</v>
      </c>
      <c r="O563" t="n">
        <v>0</v>
      </c>
      <c r="P563" t="n">
        <v>0</v>
      </c>
      <c r="Q563" t="n">
        <v>0</v>
      </c>
      <c r="R563" s="2" t="inlineStr"/>
    </row>
    <row r="564" ht="15" customHeight="1">
      <c r="A564" t="inlineStr">
        <is>
          <t>A 6959-2026</t>
        </is>
      </c>
      <c r="B564" s="1" t="n">
        <v>46057.580625</v>
      </c>
      <c r="C564" s="1" t="n">
        <v>46064</v>
      </c>
      <c r="D564" t="inlineStr">
        <is>
          <t>GOTLANDS LÄN</t>
        </is>
      </c>
      <c r="E564" t="inlineStr">
        <is>
          <t>GOTLAND</t>
        </is>
      </c>
      <c r="F564" t="inlineStr">
        <is>
          <t>Kyrkan</t>
        </is>
      </c>
      <c r="G564" t="n">
        <v>1.2</v>
      </c>
      <c r="H564" t="n">
        <v>0</v>
      </c>
      <c r="I564" t="n">
        <v>0</v>
      </c>
      <c r="J564" t="n">
        <v>0</v>
      </c>
      <c r="K564" t="n">
        <v>0</v>
      </c>
      <c r="L564" t="n">
        <v>0</v>
      </c>
      <c r="M564" t="n">
        <v>0</v>
      </c>
      <c r="N564" t="n">
        <v>0</v>
      </c>
      <c r="O564" t="n">
        <v>0</v>
      </c>
      <c r="P564" t="n">
        <v>0</v>
      </c>
      <c r="Q564" t="n">
        <v>0</v>
      </c>
      <c r="R564" s="2" t="inlineStr"/>
    </row>
    <row r="565" ht="15" customHeight="1">
      <c r="A565" t="inlineStr">
        <is>
          <t>A 35512-2023</t>
        </is>
      </c>
      <c r="B565" s="1" t="n">
        <v>45147.25623842593</v>
      </c>
      <c r="C565" s="1" t="n">
        <v>46064</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63152-2025</t>
        </is>
      </c>
      <c r="B566" s="1" t="n">
        <v>46010</v>
      </c>
      <c r="C566" s="1" t="n">
        <v>46064</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11874-2024</t>
        </is>
      </c>
      <c r="B567" s="1" t="n">
        <v>45376.46956018519</v>
      </c>
      <c r="C567" s="1" t="n">
        <v>46064</v>
      </c>
      <c r="D567" t="inlineStr">
        <is>
          <t>GOTLANDS LÄN</t>
        </is>
      </c>
      <c r="E567" t="inlineStr">
        <is>
          <t>GOTLAND</t>
        </is>
      </c>
      <c r="G567" t="n">
        <v>0.8</v>
      </c>
      <c r="H567" t="n">
        <v>0</v>
      </c>
      <c r="I567" t="n">
        <v>0</v>
      </c>
      <c r="J567" t="n">
        <v>0</v>
      </c>
      <c r="K567" t="n">
        <v>0</v>
      </c>
      <c r="L567" t="n">
        <v>0</v>
      </c>
      <c r="M567" t="n">
        <v>0</v>
      </c>
      <c r="N567" t="n">
        <v>0</v>
      </c>
      <c r="O567" t="n">
        <v>0</v>
      </c>
      <c r="P567" t="n">
        <v>0</v>
      </c>
      <c r="Q567" t="n">
        <v>0</v>
      </c>
      <c r="R567" s="2" t="inlineStr"/>
    </row>
    <row r="568" ht="15" customHeight="1">
      <c r="A568" t="inlineStr">
        <is>
          <t>A 38649-2025</t>
        </is>
      </c>
      <c r="B568" s="1" t="n">
        <v>45884</v>
      </c>
      <c r="C568" s="1" t="n">
        <v>46064</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20225-2025</t>
        </is>
      </c>
      <c r="B569" s="1" t="n">
        <v>45772.65802083333</v>
      </c>
      <c r="C569" s="1" t="n">
        <v>46064</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63105-2025</t>
        </is>
      </c>
      <c r="B570" s="1" t="n">
        <v>46009</v>
      </c>
      <c r="C570" s="1" t="n">
        <v>46064</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60384-2025</t>
        </is>
      </c>
      <c r="B571" s="1" t="n">
        <v>45995</v>
      </c>
      <c r="C571" s="1" t="n">
        <v>46064</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1677-2023</t>
        </is>
      </c>
      <c r="B572" s="1" t="n">
        <v>44938</v>
      </c>
      <c r="C572" s="1" t="n">
        <v>46064</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53587-2025</t>
        </is>
      </c>
      <c r="B573" s="1" t="n">
        <v>45960.43681712963</v>
      </c>
      <c r="C573" s="1" t="n">
        <v>46064</v>
      </c>
      <c r="D573" t="inlineStr">
        <is>
          <t>GOTLANDS LÄN</t>
        </is>
      </c>
      <c r="E573" t="inlineStr">
        <is>
          <t>GOTLAND</t>
        </is>
      </c>
      <c r="F573" t="inlineStr">
        <is>
          <t>Övriga Aktiebolag</t>
        </is>
      </c>
      <c r="G573" t="n">
        <v>1.7</v>
      </c>
      <c r="H573" t="n">
        <v>0</v>
      </c>
      <c r="I573" t="n">
        <v>0</v>
      </c>
      <c r="J573" t="n">
        <v>0</v>
      </c>
      <c r="K573" t="n">
        <v>0</v>
      </c>
      <c r="L573" t="n">
        <v>0</v>
      </c>
      <c r="M573" t="n">
        <v>0</v>
      </c>
      <c r="N573" t="n">
        <v>0</v>
      </c>
      <c r="O573" t="n">
        <v>0</v>
      </c>
      <c r="P573" t="n">
        <v>0</v>
      </c>
      <c r="Q573" t="n">
        <v>0</v>
      </c>
      <c r="R573" s="2" t="inlineStr"/>
    </row>
    <row r="574" ht="15" customHeight="1">
      <c r="A574" t="inlineStr">
        <is>
          <t>A 64831-2023</t>
        </is>
      </c>
      <c r="B574" s="1" t="n">
        <v>45282.44924768519</v>
      </c>
      <c r="C574" s="1" t="n">
        <v>46064</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62674-2025</t>
        </is>
      </c>
      <c r="B575" s="1" t="n">
        <v>46008</v>
      </c>
      <c r="C575" s="1" t="n">
        <v>46064</v>
      </c>
      <c r="D575" t="inlineStr">
        <is>
          <t>GOTLANDS LÄN</t>
        </is>
      </c>
      <c r="E575" t="inlineStr">
        <is>
          <t>GOTLAND</t>
        </is>
      </c>
      <c r="G575" t="n">
        <v>5</v>
      </c>
      <c r="H575" t="n">
        <v>0</v>
      </c>
      <c r="I575" t="n">
        <v>0</v>
      </c>
      <c r="J575" t="n">
        <v>0</v>
      </c>
      <c r="K575" t="n">
        <v>0</v>
      </c>
      <c r="L575" t="n">
        <v>0</v>
      </c>
      <c r="M575" t="n">
        <v>0</v>
      </c>
      <c r="N575" t="n">
        <v>0</v>
      </c>
      <c r="O575" t="n">
        <v>0</v>
      </c>
      <c r="P575" t="n">
        <v>0</v>
      </c>
      <c r="Q575" t="n">
        <v>0</v>
      </c>
      <c r="R575" s="2" t="inlineStr"/>
    </row>
    <row r="576" ht="15" customHeight="1">
      <c r="A576" t="inlineStr">
        <is>
          <t>A 8036-2022</t>
        </is>
      </c>
      <c r="B576" s="1" t="n">
        <v>44609.44362268518</v>
      </c>
      <c r="C576" s="1" t="n">
        <v>46064</v>
      </c>
      <c r="D576" t="inlineStr">
        <is>
          <t>GOTLANDS LÄN</t>
        </is>
      </c>
      <c r="E576" t="inlineStr">
        <is>
          <t>GOTLAND</t>
        </is>
      </c>
      <c r="G576" t="n">
        <v>6.1</v>
      </c>
      <c r="H576" t="n">
        <v>0</v>
      </c>
      <c r="I576" t="n">
        <v>0</v>
      </c>
      <c r="J576" t="n">
        <v>0</v>
      </c>
      <c r="K576" t="n">
        <v>0</v>
      </c>
      <c r="L576" t="n">
        <v>0</v>
      </c>
      <c r="M576" t="n">
        <v>0</v>
      </c>
      <c r="N576" t="n">
        <v>0</v>
      </c>
      <c r="O576" t="n">
        <v>0</v>
      </c>
      <c r="P576" t="n">
        <v>0</v>
      </c>
      <c r="Q576" t="n">
        <v>0</v>
      </c>
      <c r="R576" s="2" t="inlineStr"/>
    </row>
    <row r="577" ht="15" customHeight="1">
      <c r="A577" t="inlineStr">
        <is>
          <t>A 53561-2025</t>
        </is>
      </c>
      <c r="B577" s="1" t="n">
        <v>45960.4059375</v>
      </c>
      <c r="C577" s="1" t="n">
        <v>46064</v>
      </c>
      <c r="D577" t="inlineStr">
        <is>
          <t>GOTLANDS LÄN</t>
        </is>
      </c>
      <c r="E577" t="inlineStr">
        <is>
          <t>GOTLAND</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46375-2024</t>
        </is>
      </c>
      <c r="B578" s="1" t="n">
        <v>45582</v>
      </c>
      <c r="C578" s="1" t="n">
        <v>46064</v>
      </c>
      <c r="D578" t="inlineStr">
        <is>
          <t>GOTLANDS LÄN</t>
        </is>
      </c>
      <c r="E578" t="inlineStr">
        <is>
          <t>GOTLAND</t>
        </is>
      </c>
      <c r="G578" t="n">
        <v>3</v>
      </c>
      <c r="H578" t="n">
        <v>0</v>
      </c>
      <c r="I578" t="n">
        <v>0</v>
      </c>
      <c r="J578" t="n">
        <v>0</v>
      </c>
      <c r="K578" t="n">
        <v>0</v>
      </c>
      <c r="L578" t="n">
        <v>0</v>
      </c>
      <c r="M578" t="n">
        <v>0</v>
      </c>
      <c r="N578" t="n">
        <v>0</v>
      </c>
      <c r="O578" t="n">
        <v>0</v>
      </c>
      <c r="P578" t="n">
        <v>0</v>
      </c>
      <c r="Q578" t="n">
        <v>0</v>
      </c>
      <c r="R578" s="2" t="inlineStr"/>
    </row>
    <row r="579" ht="15" customHeight="1">
      <c r="A579" t="inlineStr">
        <is>
          <t>A 62915-2021</t>
        </is>
      </c>
      <c r="B579" s="1" t="n">
        <v>44504</v>
      </c>
      <c r="C579" s="1" t="n">
        <v>46064</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7625-2026</t>
        </is>
      </c>
      <c r="B580" s="1" t="n">
        <v>46062.35135416667</v>
      </c>
      <c r="C580" s="1" t="n">
        <v>46064</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7627-2026</t>
        </is>
      </c>
      <c r="B581" s="1" t="n">
        <v>46062.35465277778</v>
      </c>
      <c r="C581" s="1" t="n">
        <v>46064</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7638-2025</t>
        </is>
      </c>
      <c r="B582" s="1" t="n">
        <v>45705.77306712963</v>
      </c>
      <c r="C582" s="1" t="n">
        <v>46064</v>
      </c>
      <c r="D582" t="inlineStr">
        <is>
          <t>GOTLANDS LÄN</t>
        </is>
      </c>
      <c r="E582" t="inlineStr">
        <is>
          <t>GOTLAND</t>
        </is>
      </c>
      <c r="G582" t="n">
        <v>2.2</v>
      </c>
      <c r="H582" t="n">
        <v>0</v>
      </c>
      <c r="I582" t="n">
        <v>0</v>
      </c>
      <c r="J582" t="n">
        <v>0</v>
      </c>
      <c r="K582" t="n">
        <v>0</v>
      </c>
      <c r="L582" t="n">
        <v>0</v>
      </c>
      <c r="M582" t="n">
        <v>0</v>
      </c>
      <c r="N582" t="n">
        <v>0</v>
      </c>
      <c r="O582" t="n">
        <v>0</v>
      </c>
      <c r="P582" t="n">
        <v>0</v>
      </c>
      <c r="Q582" t="n">
        <v>0</v>
      </c>
      <c r="R582" s="2" t="inlineStr"/>
    </row>
    <row r="583" ht="15" customHeight="1">
      <c r="A583" t="inlineStr">
        <is>
          <t>A 61080-2025</t>
        </is>
      </c>
      <c r="B583" s="1" t="n">
        <v>46000</v>
      </c>
      <c r="C583" s="1" t="n">
        <v>46064</v>
      </c>
      <c r="D583" t="inlineStr">
        <is>
          <t>GOTLANDS LÄN</t>
        </is>
      </c>
      <c r="E583" t="inlineStr">
        <is>
          <t>GOTLAND</t>
        </is>
      </c>
      <c r="G583" t="n">
        <v>2.3</v>
      </c>
      <c r="H583" t="n">
        <v>0</v>
      </c>
      <c r="I583" t="n">
        <v>0</v>
      </c>
      <c r="J583" t="n">
        <v>0</v>
      </c>
      <c r="K583" t="n">
        <v>0</v>
      </c>
      <c r="L583" t="n">
        <v>0</v>
      </c>
      <c r="M583" t="n">
        <v>0</v>
      </c>
      <c r="N583" t="n">
        <v>0</v>
      </c>
      <c r="O583" t="n">
        <v>0</v>
      </c>
      <c r="P583" t="n">
        <v>0</v>
      </c>
      <c r="Q583" t="n">
        <v>0</v>
      </c>
      <c r="R583" s="2" t="inlineStr"/>
    </row>
    <row r="584" ht="15" customHeight="1">
      <c r="A584" t="inlineStr">
        <is>
          <t>A 61078-2025</t>
        </is>
      </c>
      <c r="B584" s="1" t="n">
        <v>46000</v>
      </c>
      <c r="C584" s="1" t="n">
        <v>46064</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62836-2025</t>
        </is>
      </c>
      <c r="B585" s="1" t="n">
        <v>46008</v>
      </c>
      <c r="C585" s="1" t="n">
        <v>46064</v>
      </c>
      <c r="D585" t="inlineStr">
        <is>
          <t>GOTLANDS LÄN</t>
        </is>
      </c>
      <c r="E585" t="inlineStr">
        <is>
          <t>GOTLAND</t>
        </is>
      </c>
      <c r="G585" t="n">
        <v>6.5</v>
      </c>
      <c r="H585" t="n">
        <v>0</v>
      </c>
      <c r="I585" t="n">
        <v>0</v>
      </c>
      <c r="J585" t="n">
        <v>0</v>
      </c>
      <c r="K585" t="n">
        <v>0</v>
      </c>
      <c r="L585" t="n">
        <v>0</v>
      </c>
      <c r="M585" t="n">
        <v>0</v>
      </c>
      <c r="N585" t="n">
        <v>0</v>
      </c>
      <c r="O585" t="n">
        <v>0</v>
      </c>
      <c r="P585" t="n">
        <v>0</v>
      </c>
      <c r="Q585" t="n">
        <v>0</v>
      </c>
      <c r="R585" s="2" t="inlineStr"/>
    </row>
    <row r="586" ht="15" customHeight="1">
      <c r="A586" t="inlineStr">
        <is>
          <t>A 4377-2023</t>
        </is>
      </c>
      <c r="B586" s="1" t="n">
        <v>44955.5502662037</v>
      </c>
      <c r="C586" s="1" t="n">
        <v>46064</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43901-2023</t>
        </is>
      </c>
      <c r="B587" s="1" t="n">
        <v>45187</v>
      </c>
      <c r="C587" s="1" t="n">
        <v>46064</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17532-2024</t>
        </is>
      </c>
      <c r="B588" s="1" t="n">
        <v>45415</v>
      </c>
      <c r="C588" s="1" t="n">
        <v>46064</v>
      </c>
      <c r="D588" t="inlineStr">
        <is>
          <t>GOTLANDS LÄN</t>
        </is>
      </c>
      <c r="E588" t="inlineStr">
        <is>
          <t>GOTLAND</t>
        </is>
      </c>
      <c r="G588" t="n">
        <v>4.3</v>
      </c>
      <c r="H588" t="n">
        <v>0</v>
      </c>
      <c r="I588" t="n">
        <v>0</v>
      </c>
      <c r="J588" t="n">
        <v>0</v>
      </c>
      <c r="K588" t="n">
        <v>0</v>
      </c>
      <c r="L588" t="n">
        <v>0</v>
      </c>
      <c r="M588" t="n">
        <v>0</v>
      </c>
      <c r="N588" t="n">
        <v>0</v>
      </c>
      <c r="O588" t="n">
        <v>0</v>
      </c>
      <c r="P588" t="n">
        <v>0</v>
      </c>
      <c r="Q588" t="n">
        <v>0</v>
      </c>
      <c r="R588" s="2" t="inlineStr"/>
    </row>
    <row r="589" ht="15" customHeight="1">
      <c r="A589" t="inlineStr">
        <is>
          <t>A 45692-2023</t>
        </is>
      </c>
      <c r="B589" s="1" t="n">
        <v>45195</v>
      </c>
      <c r="C589" s="1" t="n">
        <v>46064</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37222-2021</t>
        </is>
      </c>
      <c r="B590" s="1" t="n">
        <v>44396</v>
      </c>
      <c r="C590" s="1" t="n">
        <v>46064</v>
      </c>
      <c r="D590" t="inlineStr">
        <is>
          <t>GOTLANDS LÄN</t>
        </is>
      </c>
      <c r="E590" t="inlineStr">
        <is>
          <t>GOTLAND</t>
        </is>
      </c>
      <c r="G590" t="n">
        <v>3</v>
      </c>
      <c r="H590" t="n">
        <v>0</v>
      </c>
      <c r="I590" t="n">
        <v>0</v>
      </c>
      <c r="J590" t="n">
        <v>0</v>
      </c>
      <c r="K590" t="n">
        <v>0</v>
      </c>
      <c r="L590" t="n">
        <v>0</v>
      </c>
      <c r="M590" t="n">
        <v>0</v>
      </c>
      <c r="N590" t="n">
        <v>0</v>
      </c>
      <c r="O590" t="n">
        <v>0</v>
      </c>
      <c r="P590" t="n">
        <v>0</v>
      </c>
      <c r="Q590" t="n">
        <v>0</v>
      </c>
      <c r="R590" s="2" t="inlineStr"/>
    </row>
    <row r="591" ht="15" customHeight="1">
      <c r="A591" t="inlineStr">
        <is>
          <t>A 46396-2023</t>
        </is>
      </c>
      <c r="B591" s="1" t="n">
        <v>45197</v>
      </c>
      <c r="C591" s="1" t="n">
        <v>46064</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58388-2022</t>
        </is>
      </c>
      <c r="B592" s="1" t="n">
        <v>44894</v>
      </c>
      <c r="C592" s="1" t="n">
        <v>46064</v>
      </c>
      <c r="D592" t="inlineStr">
        <is>
          <t>GOTLANDS LÄN</t>
        </is>
      </c>
      <c r="E592" t="inlineStr">
        <is>
          <t>GOTLAND</t>
        </is>
      </c>
      <c r="F592" t="inlineStr">
        <is>
          <t>Övriga statliga verk och myndigheter</t>
        </is>
      </c>
      <c r="G592" t="n">
        <v>3.1</v>
      </c>
      <c r="H592" t="n">
        <v>0</v>
      </c>
      <c r="I592" t="n">
        <v>0</v>
      </c>
      <c r="J592" t="n">
        <v>0</v>
      </c>
      <c r="K592" t="n">
        <v>0</v>
      </c>
      <c r="L592" t="n">
        <v>0</v>
      </c>
      <c r="M592" t="n">
        <v>0</v>
      </c>
      <c r="N592" t="n">
        <v>0</v>
      </c>
      <c r="O592" t="n">
        <v>0</v>
      </c>
      <c r="P592" t="n">
        <v>0</v>
      </c>
      <c r="Q592" t="n">
        <v>0</v>
      </c>
      <c r="R592" s="2" t="inlineStr"/>
    </row>
    <row r="593" ht="15" customHeight="1">
      <c r="A593" t="inlineStr">
        <is>
          <t>A 53934-2024</t>
        </is>
      </c>
      <c r="B593" s="1" t="n">
        <v>45615</v>
      </c>
      <c r="C593" s="1" t="n">
        <v>46064</v>
      </c>
      <c r="D593" t="inlineStr">
        <is>
          <t>GOTLANDS LÄN</t>
        </is>
      </c>
      <c r="E593" t="inlineStr">
        <is>
          <t>GOTLAND</t>
        </is>
      </c>
      <c r="G593" t="n">
        <v>5</v>
      </c>
      <c r="H593" t="n">
        <v>0</v>
      </c>
      <c r="I593" t="n">
        <v>0</v>
      </c>
      <c r="J593" t="n">
        <v>0</v>
      </c>
      <c r="K593" t="n">
        <v>0</v>
      </c>
      <c r="L593" t="n">
        <v>0</v>
      </c>
      <c r="M593" t="n">
        <v>0</v>
      </c>
      <c r="N593" t="n">
        <v>0</v>
      </c>
      <c r="O593" t="n">
        <v>0</v>
      </c>
      <c r="P593" t="n">
        <v>0</v>
      </c>
      <c r="Q593" t="n">
        <v>0</v>
      </c>
      <c r="R593" s="2" t="inlineStr"/>
    </row>
    <row r="594" ht="15" customHeight="1">
      <c r="A594" t="inlineStr">
        <is>
          <t>A 58132-2023</t>
        </is>
      </c>
      <c r="B594" s="1" t="n">
        <v>45250</v>
      </c>
      <c r="C594" s="1" t="n">
        <v>46064</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22899-2023</t>
        </is>
      </c>
      <c r="B595" s="1" t="n">
        <v>45072</v>
      </c>
      <c r="C595" s="1" t="n">
        <v>46064</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28285-2024</t>
        </is>
      </c>
      <c r="B596" s="1" t="n">
        <v>45477</v>
      </c>
      <c r="C596" s="1" t="n">
        <v>46064</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51963-2024</t>
        </is>
      </c>
      <c r="B597" s="1" t="n">
        <v>45607.64833333333</v>
      </c>
      <c r="C597" s="1" t="n">
        <v>46064</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1734-2025</t>
        </is>
      </c>
      <c r="B598" s="1" t="n">
        <v>45671.3840625</v>
      </c>
      <c r="C598" s="1" t="n">
        <v>46064</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30365-2024</t>
        </is>
      </c>
      <c r="B599" s="1" t="n">
        <v>45491.3716087963</v>
      </c>
      <c r="C599" s="1" t="n">
        <v>46064</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2674-2023</t>
        </is>
      </c>
      <c r="B600" s="1" t="n">
        <v>44944</v>
      </c>
      <c r="C600" s="1" t="n">
        <v>46064</v>
      </c>
      <c r="D600" t="inlineStr">
        <is>
          <t>GOTLANDS LÄN</t>
        </is>
      </c>
      <c r="E600" t="inlineStr">
        <is>
          <t>GOTLAND</t>
        </is>
      </c>
      <c r="G600" t="n">
        <v>2.5</v>
      </c>
      <c r="H600" t="n">
        <v>0</v>
      </c>
      <c r="I600" t="n">
        <v>0</v>
      </c>
      <c r="J600" t="n">
        <v>0</v>
      </c>
      <c r="K600" t="n">
        <v>0</v>
      </c>
      <c r="L600" t="n">
        <v>0</v>
      </c>
      <c r="M600" t="n">
        <v>0</v>
      </c>
      <c r="N600" t="n">
        <v>0</v>
      </c>
      <c r="O600" t="n">
        <v>0</v>
      </c>
      <c r="P600" t="n">
        <v>0</v>
      </c>
      <c r="Q600" t="n">
        <v>0</v>
      </c>
      <c r="R600" s="2" t="inlineStr"/>
    </row>
    <row r="601" ht="15" customHeight="1">
      <c r="A601" t="inlineStr">
        <is>
          <t>A 61100-2022</t>
        </is>
      </c>
      <c r="B601" s="1" t="n">
        <v>44915</v>
      </c>
      <c r="C601" s="1" t="n">
        <v>46064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581-2023</t>
        </is>
      </c>
      <c r="B602" s="1" t="n">
        <v>44930</v>
      </c>
      <c r="C602" s="1" t="n">
        <v>46064</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10655-2023</t>
        </is>
      </c>
      <c r="B603" s="1" t="n">
        <v>44988.49543981482</v>
      </c>
      <c r="C603" s="1" t="n">
        <v>46064</v>
      </c>
      <c r="D603" t="inlineStr">
        <is>
          <t>GOTLANDS LÄN</t>
        </is>
      </c>
      <c r="E603" t="inlineStr">
        <is>
          <t>GOTLAND</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44649-2021</t>
        </is>
      </c>
      <c r="B604" s="1" t="n">
        <v>44437</v>
      </c>
      <c r="C604" s="1" t="n">
        <v>46064</v>
      </c>
      <c r="D604" t="inlineStr">
        <is>
          <t>GOTLANDS LÄN</t>
        </is>
      </c>
      <c r="E604" t="inlineStr">
        <is>
          <t>GOTLAND</t>
        </is>
      </c>
      <c r="G604" t="n">
        <v>8.1</v>
      </c>
      <c r="H604" t="n">
        <v>0</v>
      </c>
      <c r="I604" t="n">
        <v>0</v>
      </c>
      <c r="J604" t="n">
        <v>0</v>
      </c>
      <c r="K604" t="n">
        <v>0</v>
      </c>
      <c r="L604" t="n">
        <v>0</v>
      </c>
      <c r="M604" t="n">
        <v>0</v>
      </c>
      <c r="N604" t="n">
        <v>0</v>
      </c>
      <c r="O604" t="n">
        <v>0</v>
      </c>
      <c r="P604" t="n">
        <v>0</v>
      </c>
      <c r="Q604" t="n">
        <v>0</v>
      </c>
      <c r="R604" s="2" t="inlineStr"/>
    </row>
    <row r="605" ht="15" customHeight="1">
      <c r="A605" t="inlineStr">
        <is>
          <t>A 8484-2025</t>
        </is>
      </c>
      <c r="B605" s="1" t="n">
        <v>45709</v>
      </c>
      <c r="C605" s="1" t="n">
        <v>46064</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49962-2023</t>
        </is>
      </c>
      <c r="B606" s="1" t="n">
        <v>45215.38775462963</v>
      </c>
      <c r="C606" s="1" t="n">
        <v>46064</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50744-2024</t>
        </is>
      </c>
      <c r="B607" s="1" t="n">
        <v>45602.4187037037</v>
      </c>
      <c r="C607" s="1" t="n">
        <v>46064</v>
      </c>
      <c r="D607" t="inlineStr">
        <is>
          <t>GOTLANDS LÄN</t>
        </is>
      </c>
      <c r="E607" t="inlineStr">
        <is>
          <t>GOTLAND</t>
        </is>
      </c>
      <c r="G607" t="n">
        <v>3.2</v>
      </c>
      <c r="H607" t="n">
        <v>0</v>
      </c>
      <c r="I607" t="n">
        <v>0</v>
      </c>
      <c r="J607" t="n">
        <v>0</v>
      </c>
      <c r="K607" t="n">
        <v>0</v>
      </c>
      <c r="L607" t="n">
        <v>0</v>
      </c>
      <c r="M607" t="n">
        <v>0</v>
      </c>
      <c r="N607" t="n">
        <v>0</v>
      </c>
      <c r="O607" t="n">
        <v>0</v>
      </c>
      <c r="P607" t="n">
        <v>0</v>
      </c>
      <c r="Q607" t="n">
        <v>0</v>
      </c>
      <c r="R607" s="2" t="inlineStr"/>
    </row>
    <row r="608" ht="15" customHeight="1">
      <c r="A608" t="inlineStr">
        <is>
          <t>A 45244-2024</t>
        </is>
      </c>
      <c r="B608" s="1" t="n">
        <v>45576</v>
      </c>
      <c r="C608" s="1" t="n">
        <v>46064</v>
      </c>
      <c r="D608" t="inlineStr">
        <is>
          <t>GOTLANDS LÄN</t>
        </is>
      </c>
      <c r="E608" t="inlineStr">
        <is>
          <t>GOTLAND</t>
        </is>
      </c>
      <c r="G608" t="n">
        <v>2.4</v>
      </c>
      <c r="H608" t="n">
        <v>0</v>
      </c>
      <c r="I608" t="n">
        <v>0</v>
      </c>
      <c r="J608" t="n">
        <v>0</v>
      </c>
      <c r="K608" t="n">
        <v>0</v>
      </c>
      <c r="L608" t="n">
        <v>0</v>
      </c>
      <c r="M608" t="n">
        <v>0</v>
      </c>
      <c r="N608" t="n">
        <v>0</v>
      </c>
      <c r="O608" t="n">
        <v>0</v>
      </c>
      <c r="P608" t="n">
        <v>0</v>
      </c>
      <c r="Q608" t="n">
        <v>0</v>
      </c>
      <c r="R608" s="2" t="inlineStr"/>
    </row>
    <row r="609" ht="15" customHeight="1">
      <c r="A609" t="inlineStr">
        <is>
          <t>A 38787-2023</t>
        </is>
      </c>
      <c r="B609" s="1" t="n">
        <v>45163</v>
      </c>
      <c r="C609" s="1" t="n">
        <v>46064</v>
      </c>
      <c r="D609" t="inlineStr">
        <is>
          <t>GOTLANDS LÄN</t>
        </is>
      </c>
      <c r="E609" t="inlineStr">
        <is>
          <t>GOTLAND</t>
        </is>
      </c>
      <c r="G609" t="n">
        <v>0.4</v>
      </c>
      <c r="H609" t="n">
        <v>0</v>
      </c>
      <c r="I609" t="n">
        <v>0</v>
      </c>
      <c r="J609" t="n">
        <v>0</v>
      </c>
      <c r="K609" t="n">
        <v>0</v>
      </c>
      <c r="L609" t="n">
        <v>0</v>
      </c>
      <c r="M609" t="n">
        <v>0</v>
      </c>
      <c r="N609" t="n">
        <v>0</v>
      </c>
      <c r="O609" t="n">
        <v>0</v>
      </c>
      <c r="P609" t="n">
        <v>0</v>
      </c>
      <c r="Q609" t="n">
        <v>0</v>
      </c>
      <c r="R609" s="2" t="inlineStr"/>
    </row>
    <row r="610" ht="15" customHeight="1">
      <c r="A610" t="inlineStr">
        <is>
          <t>A 2714-2023</t>
        </is>
      </c>
      <c r="B610" s="1" t="n">
        <v>44944.54896990741</v>
      </c>
      <c r="C610" s="1" t="n">
        <v>46064</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22897-2023</t>
        </is>
      </c>
      <c r="B611" s="1" t="n">
        <v>45072.55239583334</v>
      </c>
      <c r="C611" s="1" t="n">
        <v>46064</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4568-2025</t>
        </is>
      </c>
      <c r="B612" s="1" t="n">
        <v>45687</v>
      </c>
      <c r="C612" s="1" t="n">
        <v>46064</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1681-2023</t>
        </is>
      </c>
      <c r="B613" s="1" t="n">
        <v>44938.39715277778</v>
      </c>
      <c r="C613" s="1" t="n">
        <v>46064</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42338-2023</t>
        </is>
      </c>
      <c r="B614" s="1" t="n">
        <v>45180</v>
      </c>
      <c r="C614" s="1" t="n">
        <v>46064</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18918-2025</t>
        </is>
      </c>
      <c r="B615" s="1" t="n">
        <v>45764</v>
      </c>
      <c r="C615" s="1" t="n">
        <v>46064</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11013-2024</t>
        </is>
      </c>
      <c r="B616" s="1" t="n">
        <v>45370</v>
      </c>
      <c r="C616" s="1" t="n">
        <v>46064</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45084-2024</t>
        </is>
      </c>
      <c r="B617" s="1" t="n">
        <v>45575</v>
      </c>
      <c r="C617" s="1" t="n">
        <v>46064</v>
      </c>
      <c r="D617" t="inlineStr">
        <is>
          <t>GOTLANDS LÄN</t>
        </is>
      </c>
      <c r="E617" t="inlineStr">
        <is>
          <t>GOTLAND</t>
        </is>
      </c>
      <c r="G617" t="n">
        <v>6.8</v>
      </c>
      <c r="H617" t="n">
        <v>0</v>
      </c>
      <c r="I617" t="n">
        <v>0</v>
      </c>
      <c r="J617" t="n">
        <v>0</v>
      </c>
      <c r="K617" t="n">
        <v>0</v>
      </c>
      <c r="L617" t="n">
        <v>0</v>
      </c>
      <c r="M617" t="n">
        <v>0</v>
      </c>
      <c r="N617" t="n">
        <v>0</v>
      </c>
      <c r="O617" t="n">
        <v>0</v>
      </c>
      <c r="P617" t="n">
        <v>0</v>
      </c>
      <c r="Q617" t="n">
        <v>0</v>
      </c>
      <c r="R617" s="2" t="inlineStr"/>
    </row>
    <row r="618" ht="15" customHeight="1">
      <c r="A618" t="inlineStr">
        <is>
          <t>A 20356-2022</t>
        </is>
      </c>
      <c r="B618" s="1" t="n">
        <v>44699</v>
      </c>
      <c r="C618" s="1" t="n">
        <v>46064</v>
      </c>
      <c r="D618" t="inlineStr">
        <is>
          <t>GOTLANDS LÄN</t>
        </is>
      </c>
      <c r="E618" t="inlineStr">
        <is>
          <t>GOTLAND</t>
        </is>
      </c>
      <c r="F618" t="inlineStr">
        <is>
          <t>Övriga Aktiebolag</t>
        </is>
      </c>
      <c r="G618" t="n">
        <v>4.4</v>
      </c>
      <c r="H618" t="n">
        <v>0</v>
      </c>
      <c r="I618" t="n">
        <v>0</v>
      </c>
      <c r="J618" t="n">
        <v>0</v>
      </c>
      <c r="K618" t="n">
        <v>0</v>
      </c>
      <c r="L618" t="n">
        <v>0</v>
      </c>
      <c r="M618" t="n">
        <v>0</v>
      </c>
      <c r="N618" t="n">
        <v>0</v>
      </c>
      <c r="O618" t="n">
        <v>0</v>
      </c>
      <c r="P618" t="n">
        <v>0</v>
      </c>
      <c r="Q618" t="n">
        <v>0</v>
      </c>
      <c r="R618" s="2" t="inlineStr"/>
    </row>
    <row r="619" ht="15" customHeight="1">
      <c r="A619" t="inlineStr">
        <is>
          <t>A 4868-2024</t>
        </is>
      </c>
      <c r="B619" s="1" t="n">
        <v>45329</v>
      </c>
      <c r="C619" s="1" t="n">
        <v>46064</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9613-2025</t>
        </is>
      </c>
      <c r="B620" s="1" t="n">
        <v>45715</v>
      </c>
      <c r="C620" s="1" t="n">
        <v>46064</v>
      </c>
      <c r="D620" t="inlineStr">
        <is>
          <t>GOTLANDS LÄN</t>
        </is>
      </c>
      <c r="E620" t="inlineStr">
        <is>
          <t>GOTLAND</t>
        </is>
      </c>
      <c r="G620" t="n">
        <v>3.5</v>
      </c>
      <c r="H620" t="n">
        <v>0</v>
      </c>
      <c r="I620" t="n">
        <v>0</v>
      </c>
      <c r="J620" t="n">
        <v>0</v>
      </c>
      <c r="K620" t="n">
        <v>0</v>
      </c>
      <c r="L620" t="n">
        <v>0</v>
      </c>
      <c r="M620" t="n">
        <v>0</v>
      </c>
      <c r="N620" t="n">
        <v>0</v>
      </c>
      <c r="O620" t="n">
        <v>0</v>
      </c>
      <c r="P620" t="n">
        <v>0</v>
      </c>
      <c r="Q620" t="n">
        <v>0</v>
      </c>
      <c r="R620" s="2" t="inlineStr"/>
    </row>
    <row r="621" ht="15" customHeight="1">
      <c r="A621" t="inlineStr">
        <is>
          <t>A 5386-2023</t>
        </is>
      </c>
      <c r="B621" s="1" t="n">
        <v>44959</v>
      </c>
      <c r="C621" s="1" t="n">
        <v>46064</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58211-2024</t>
        </is>
      </c>
      <c r="B622" s="1" t="n">
        <v>45632.49292824074</v>
      </c>
      <c r="C622" s="1" t="n">
        <v>46064</v>
      </c>
      <c r="D622" t="inlineStr">
        <is>
          <t>GOTLANDS LÄN</t>
        </is>
      </c>
      <c r="E622" t="inlineStr">
        <is>
          <t>GOTLAND</t>
        </is>
      </c>
      <c r="G622" t="n">
        <v>5.4</v>
      </c>
      <c r="H622" t="n">
        <v>0</v>
      </c>
      <c r="I622" t="n">
        <v>0</v>
      </c>
      <c r="J622" t="n">
        <v>0</v>
      </c>
      <c r="K622" t="n">
        <v>0</v>
      </c>
      <c r="L622" t="n">
        <v>0</v>
      </c>
      <c r="M622" t="n">
        <v>0</v>
      </c>
      <c r="N622" t="n">
        <v>0</v>
      </c>
      <c r="O622" t="n">
        <v>0</v>
      </c>
      <c r="P622" t="n">
        <v>0</v>
      </c>
      <c r="Q622" t="n">
        <v>0</v>
      </c>
      <c r="R622" s="2" t="inlineStr"/>
    </row>
    <row r="623" ht="15" customHeight="1">
      <c r="A623" t="inlineStr">
        <is>
          <t>A 11634-2024</t>
        </is>
      </c>
      <c r="B623" s="1" t="n">
        <v>45373</v>
      </c>
      <c r="C623" s="1" t="n">
        <v>46064</v>
      </c>
      <c r="D623" t="inlineStr">
        <is>
          <t>GOTLANDS LÄN</t>
        </is>
      </c>
      <c r="E623" t="inlineStr">
        <is>
          <t>GOTLAND</t>
        </is>
      </c>
      <c r="G623" t="n">
        <v>3</v>
      </c>
      <c r="H623" t="n">
        <v>0</v>
      </c>
      <c r="I623" t="n">
        <v>0</v>
      </c>
      <c r="J623" t="n">
        <v>0</v>
      </c>
      <c r="K623" t="n">
        <v>0</v>
      </c>
      <c r="L623" t="n">
        <v>0</v>
      </c>
      <c r="M623" t="n">
        <v>0</v>
      </c>
      <c r="N623" t="n">
        <v>0</v>
      </c>
      <c r="O623" t="n">
        <v>0</v>
      </c>
      <c r="P623" t="n">
        <v>0</v>
      </c>
      <c r="Q623" t="n">
        <v>0</v>
      </c>
      <c r="R623" s="2" t="inlineStr"/>
    </row>
    <row r="624" ht="15" customHeight="1">
      <c r="A624" t="inlineStr">
        <is>
          <t>A 5884-2025</t>
        </is>
      </c>
      <c r="B624" s="1" t="n">
        <v>45695.37482638889</v>
      </c>
      <c r="C624" s="1" t="n">
        <v>46064</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5897-2025</t>
        </is>
      </c>
      <c r="B625" s="1" t="n">
        <v>45695.39273148148</v>
      </c>
      <c r="C625" s="1" t="n">
        <v>46064</v>
      </c>
      <c r="D625" t="inlineStr">
        <is>
          <t>GOTLANDS LÄN</t>
        </is>
      </c>
      <c r="E625" t="inlineStr">
        <is>
          <t>GOTLAND</t>
        </is>
      </c>
      <c r="G625" t="n">
        <v>3.7</v>
      </c>
      <c r="H625" t="n">
        <v>0</v>
      </c>
      <c r="I625" t="n">
        <v>0</v>
      </c>
      <c r="J625" t="n">
        <v>0</v>
      </c>
      <c r="K625" t="n">
        <v>0</v>
      </c>
      <c r="L625" t="n">
        <v>0</v>
      </c>
      <c r="M625" t="n">
        <v>0</v>
      </c>
      <c r="N625" t="n">
        <v>0</v>
      </c>
      <c r="O625" t="n">
        <v>0</v>
      </c>
      <c r="P625" t="n">
        <v>0</v>
      </c>
      <c r="Q625" t="n">
        <v>0</v>
      </c>
      <c r="R625" s="2" t="inlineStr"/>
    </row>
    <row r="626" ht="15" customHeight="1">
      <c r="A626" t="inlineStr">
        <is>
          <t>A 5909-2025</t>
        </is>
      </c>
      <c r="B626" s="1" t="n">
        <v>45695.40634259259</v>
      </c>
      <c r="C626" s="1" t="n">
        <v>46064</v>
      </c>
      <c r="D626" t="inlineStr">
        <is>
          <t>GOTLANDS LÄN</t>
        </is>
      </c>
      <c r="E626" t="inlineStr">
        <is>
          <t>GOTLAND</t>
        </is>
      </c>
      <c r="G626" t="n">
        <v>2.9</v>
      </c>
      <c r="H626" t="n">
        <v>0</v>
      </c>
      <c r="I626" t="n">
        <v>0</v>
      </c>
      <c r="J626" t="n">
        <v>0</v>
      </c>
      <c r="K626" t="n">
        <v>0</v>
      </c>
      <c r="L626" t="n">
        <v>0</v>
      </c>
      <c r="M626" t="n">
        <v>0</v>
      </c>
      <c r="N626" t="n">
        <v>0</v>
      </c>
      <c r="O626" t="n">
        <v>0</v>
      </c>
      <c r="P626" t="n">
        <v>0</v>
      </c>
      <c r="Q626" t="n">
        <v>0</v>
      </c>
      <c r="R626" s="2" t="inlineStr"/>
    </row>
    <row r="627" ht="15" customHeight="1">
      <c r="A627" t="inlineStr">
        <is>
          <t>A 60086-2022</t>
        </is>
      </c>
      <c r="B627" s="1" t="n">
        <v>44909</v>
      </c>
      <c r="C627" s="1" t="n">
        <v>46064</v>
      </c>
      <c r="D627" t="inlineStr">
        <is>
          <t>GOTLANDS LÄN</t>
        </is>
      </c>
      <c r="E627" t="inlineStr">
        <is>
          <t>GOTLAND</t>
        </is>
      </c>
      <c r="G627" t="n">
        <v>2.1</v>
      </c>
      <c r="H627" t="n">
        <v>0</v>
      </c>
      <c r="I627" t="n">
        <v>0</v>
      </c>
      <c r="J627" t="n">
        <v>0</v>
      </c>
      <c r="K627" t="n">
        <v>0</v>
      </c>
      <c r="L627" t="n">
        <v>0</v>
      </c>
      <c r="M627" t="n">
        <v>0</v>
      </c>
      <c r="N627" t="n">
        <v>0</v>
      </c>
      <c r="O627" t="n">
        <v>0</v>
      </c>
      <c r="P627" t="n">
        <v>0</v>
      </c>
      <c r="Q627" t="n">
        <v>0</v>
      </c>
      <c r="R627" s="2" t="inlineStr"/>
    </row>
    <row r="628" ht="15" customHeight="1">
      <c r="A628" t="inlineStr">
        <is>
          <t>A 22704-2023</t>
        </is>
      </c>
      <c r="B628" s="1" t="n">
        <v>45071</v>
      </c>
      <c r="C628" s="1" t="n">
        <v>46064</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25866-2022</t>
        </is>
      </c>
      <c r="B629" s="1" t="n">
        <v>44733</v>
      </c>
      <c r="C629" s="1" t="n">
        <v>46064</v>
      </c>
      <c r="D629" t="inlineStr">
        <is>
          <t>GOTLANDS LÄN</t>
        </is>
      </c>
      <c r="E629" t="inlineStr">
        <is>
          <t>GOTLAND</t>
        </is>
      </c>
      <c r="G629" t="n">
        <v>2.9</v>
      </c>
      <c r="H629" t="n">
        <v>0</v>
      </c>
      <c r="I629" t="n">
        <v>0</v>
      </c>
      <c r="J629" t="n">
        <v>0</v>
      </c>
      <c r="K629" t="n">
        <v>0</v>
      </c>
      <c r="L629" t="n">
        <v>0</v>
      </c>
      <c r="M629" t="n">
        <v>0</v>
      </c>
      <c r="N629" t="n">
        <v>0</v>
      </c>
      <c r="O629" t="n">
        <v>0</v>
      </c>
      <c r="P629" t="n">
        <v>0</v>
      </c>
      <c r="Q629" t="n">
        <v>0</v>
      </c>
      <c r="R629" s="2" t="inlineStr"/>
    </row>
    <row r="630" ht="15" customHeight="1">
      <c r="A630" t="inlineStr">
        <is>
          <t>A 9887-2025</t>
        </is>
      </c>
      <c r="B630" s="1" t="n">
        <v>45716</v>
      </c>
      <c r="C630" s="1" t="n">
        <v>46064</v>
      </c>
      <c r="D630" t="inlineStr">
        <is>
          <t>GOTLANDS LÄN</t>
        </is>
      </c>
      <c r="E630" t="inlineStr">
        <is>
          <t>GOTLAND</t>
        </is>
      </c>
      <c r="G630" t="n">
        <v>7.5</v>
      </c>
      <c r="H630" t="n">
        <v>0</v>
      </c>
      <c r="I630" t="n">
        <v>0</v>
      </c>
      <c r="J630" t="n">
        <v>0</v>
      </c>
      <c r="K630" t="n">
        <v>0</v>
      </c>
      <c r="L630" t="n">
        <v>0</v>
      </c>
      <c r="M630" t="n">
        <v>0</v>
      </c>
      <c r="N630" t="n">
        <v>0</v>
      </c>
      <c r="O630" t="n">
        <v>0</v>
      </c>
      <c r="P630" t="n">
        <v>0</v>
      </c>
      <c r="Q630" t="n">
        <v>0</v>
      </c>
      <c r="R630" s="2" t="inlineStr"/>
    </row>
    <row r="631" ht="15" customHeight="1">
      <c r="A631" t="inlineStr">
        <is>
          <t>A 12209-2024</t>
        </is>
      </c>
      <c r="B631" s="1" t="n">
        <v>45378</v>
      </c>
      <c r="C631" s="1" t="n">
        <v>46064</v>
      </c>
      <c r="D631" t="inlineStr">
        <is>
          <t>GOTLANDS LÄN</t>
        </is>
      </c>
      <c r="E631" t="inlineStr">
        <is>
          <t>GOTLAND</t>
        </is>
      </c>
      <c r="G631" t="n">
        <v>5.3</v>
      </c>
      <c r="H631" t="n">
        <v>0</v>
      </c>
      <c r="I631" t="n">
        <v>0</v>
      </c>
      <c r="J631" t="n">
        <v>0</v>
      </c>
      <c r="K631" t="n">
        <v>0</v>
      </c>
      <c r="L631" t="n">
        <v>0</v>
      </c>
      <c r="M631" t="n">
        <v>0</v>
      </c>
      <c r="N631" t="n">
        <v>0</v>
      </c>
      <c r="O631" t="n">
        <v>0</v>
      </c>
      <c r="P631" t="n">
        <v>0</v>
      </c>
      <c r="Q631" t="n">
        <v>0</v>
      </c>
      <c r="R631" s="2" t="inlineStr"/>
    </row>
    <row r="632" ht="15" customHeight="1">
      <c r="A632" t="inlineStr">
        <is>
          <t>A 12210-2024</t>
        </is>
      </c>
      <c r="B632" s="1" t="n">
        <v>45378</v>
      </c>
      <c r="C632" s="1" t="n">
        <v>46064</v>
      </c>
      <c r="D632" t="inlineStr">
        <is>
          <t>GOTLANDS LÄN</t>
        </is>
      </c>
      <c r="E632" t="inlineStr">
        <is>
          <t>GOTLAND</t>
        </is>
      </c>
      <c r="G632" t="n">
        <v>4.1</v>
      </c>
      <c r="H632" t="n">
        <v>0</v>
      </c>
      <c r="I632" t="n">
        <v>0</v>
      </c>
      <c r="J632" t="n">
        <v>0</v>
      </c>
      <c r="K632" t="n">
        <v>0</v>
      </c>
      <c r="L632" t="n">
        <v>0</v>
      </c>
      <c r="M632" t="n">
        <v>0</v>
      </c>
      <c r="N632" t="n">
        <v>0</v>
      </c>
      <c r="O632" t="n">
        <v>0</v>
      </c>
      <c r="P632" t="n">
        <v>0</v>
      </c>
      <c r="Q632" t="n">
        <v>0</v>
      </c>
      <c r="R632" s="2" t="inlineStr"/>
    </row>
    <row r="633" ht="15" customHeight="1">
      <c r="A633" t="inlineStr">
        <is>
          <t>A 59986-2022</t>
        </is>
      </c>
      <c r="B633" s="1" t="n">
        <v>44909</v>
      </c>
      <c r="C633" s="1" t="n">
        <v>46064</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31802-2024</t>
        </is>
      </c>
      <c r="B634" s="1" t="n">
        <v>45509</v>
      </c>
      <c r="C634" s="1" t="n">
        <v>46064</v>
      </c>
      <c r="D634" t="inlineStr">
        <is>
          <t>GOTLANDS LÄN</t>
        </is>
      </c>
      <c r="E634" t="inlineStr">
        <is>
          <t>GOTLAND</t>
        </is>
      </c>
      <c r="G634" t="n">
        <v>2.8</v>
      </c>
      <c r="H634" t="n">
        <v>0</v>
      </c>
      <c r="I634" t="n">
        <v>0</v>
      </c>
      <c r="J634" t="n">
        <v>0</v>
      </c>
      <c r="K634" t="n">
        <v>0</v>
      </c>
      <c r="L634" t="n">
        <v>0</v>
      </c>
      <c r="M634" t="n">
        <v>0</v>
      </c>
      <c r="N634" t="n">
        <v>0</v>
      </c>
      <c r="O634" t="n">
        <v>0</v>
      </c>
      <c r="P634" t="n">
        <v>0</v>
      </c>
      <c r="Q634" t="n">
        <v>0</v>
      </c>
      <c r="R634" s="2" t="inlineStr"/>
    </row>
    <row r="635" ht="15" customHeight="1">
      <c r="A635" t="inlineStr">
        <is>
          <t>A 20993-2023</t>
        </is>
      </c>
      <c r="B635" s="1" t="n">
        <v>45056</v>
      </c>
      <c r="C635" s="1" t="n">
        <v>46064</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15042-2025</t>
        </is>
      </c>
      <c r="B636" s="1" t="n">
        <v>45743</v>
      </c>
      <c r="C636" s="1" t="n">
        <v>46064</v>
      </c>
      <c r="D636" t="inlineStr">
        <is>
          <t>GOTLANDS LÄN</t>
        </is>
      </c>
      <c r="E636" t="inlineStr">
        <is>
          <t>GOTLAND</t>
        </is>
      </c>
      <c r="G636" t="n">
        <v>8.5</v>
      </c>
      <c r="H636" t="n">
        <v>0</v>
      </c>
      <c r="I636" t="n">
        <v>0</v>
      </c>
      <c r="J636" t="n">
        <v>0</v>
      </c>
      <c r="K636" t="n">
        <v>0</v>
      </c>
      <c r="L636" t="n">
        <v>0</v>
      </c>
      <c r="M636" t="n">
        <v>0</v>
      </c>
      <c r="N636" t="n">
        <v>0</v>
      </c>
      <c r="O636" t="n">
        <v>0</v>
      </c>
      <c r="P636" t="n">
        <v>0</v>
      </c>
      <c r="Q636" t="n">
        <v>0</v>
      </c>
      <c r="R636" s="2" t="inlineStr"/>
    </row>
    <row r="637" ht="15" customHeight="1">
      <c r="A637" t="inlineStr">
        <is>
          <t>A 12327-2025</t>
        </is>
      </c>
      <c r="B637" s="1" t="n">
        <v>45730</v>
      </c>
      <c r="C637" s="1" t="n">
        <v>46064</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c r="A638" t="inlineStr">
        <is>
          <t>A 4420-2025</t>
        </is>
      </c>
      <c r="B638" s="1" t="n">
        <v>45686.47157407407</v>
      </c>
      <c r="C638" s="1" t="n">
        <v>46064</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2026-02-11T11:01:10Z</dcterms:created>
  <dcterms:modified xmlns:dcterms="http://purl.org/dc/terms/" xmlns:xsi="http://www.w3.org/2001/XMLSchema-instance" xsi:type="dcterms:W3CDTF">2026-02-11T11:01:11Z</dcterms:modified>
</cp:coreProperties>
</file>