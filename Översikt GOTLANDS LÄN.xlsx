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45923</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45923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45923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45923</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4572-2025</t>
        </is>
      </c>
      <c r="B8" s="1" t="n">
        <v>45687</v>
      </c>
      <c r="C8" s="1" t="n">
        <v>45923</v>
      </c>
      <c r="D8" t="inlineStr">
        <is>
          <t>GOTLANDS LÄN</t>
        </is>
      </c>
      <c r="E8" t="inlineStr">
        <is>
          <t>GOTLAND</t>
        </is>
      </c>
      <c r="G8" t="n">
        <v>6.2</v>
      </c>
      <c r="H8" t="n">
        <v>13</v>
      </c>
      <c r="I8" t="n">
        <v>7</v>
      </c>
      <c r="J8" t="n">
        <v>11</v>
      </c>
      <c r="K8" t="n">
        <v>2</v>
      </c>
      <c r="L8" t="n">
        <v>1</v>
      </c>
      <c r="M8" t="n">
        <v>0</v>
      </c>
      <c r="N8" t="n">
        <v>0</v>
      </c>
      <c r="O8" t="n">
        <v>14</v>
      </c>
      <c r="P8" t="n">
        <v>3</v>
      </c>
      <c r="Q8" t="n">
        <v>26</v>
      </c>
      <c r="R8" s="2" t="inlineStr">
        <is>
          <t>Brun glada
Granrotsspindling
Läderdoftande fingersvamp
Apollofjäril
Axveronika
Backtimjan
Havsörn
Jordtistel
Mindre hackspett
Odörspindling
Reliktbock
Solvända
Spillkråka
Svartfläckig blåvinge
Anisspindling
Blå slemspindling
Fransig jordstjärna
Kamjordstjärna
Purpurknipprot
Skogsknipprot
Svavelriska
Brudsporre
Grönvit nattviol
Nattviol
Sankt pers nycklar
Blåsippa</t>
        </is>
      </c>
      <c r="S8">
        <f>HYPERLINK("https://klasma.github.io/Logging_0980/artfynd/A 4572-2025 artfynd.xlsx", "A 4572-2025")</f>
        <v/>
      </c>
      <c r="T8">
        <f>HYPERLINK("https://klasma.github.io/Logging_0980/kartor/A 4572-2025 karta.png", "A 4572-2025")</f>
        <v/>
      </c>
      <c r="V8">
        <f>HYPERLINK("https://klasma.github.io/Logging_0980/klagomål/A 4572-2025 FSC-klagomål.docx", "A 4572-2025")</f>
        <v/>
      </c>
      <c r="W8">
        <f>HYPERLINK("https://klasma.github.io/Logging_0980/klagomålsmail/A 4572-2025 FSC-klagomål mail.docx", "A 4572-2025")</f>
        <v/>
      </c>
      <c r="X8">
        <f>HYPERLINK("https://klasma.github.io/Logging_0980/tillsyn/A 4572-2025 tillsynsbegäran.docx", "A 4572-2025")</f>
        <v/>
      </c>
      <c r="Y8">
        <f>HYPERLINK("https://klasma.github.io/Logging_0980/tillsynsmail/A 4572-2025 tillsynsbegäran mail.docx", "A 4572-2025")</f>
        <v/>
      </c>
      <c r="Z8">
        <f>HYPERLINK("https://klasma.github.io/Logging_0980/fåglar/A 4572-2025 prioriterade fågelarter.docx", "A 4572-2025")</f>
        <v/>
      </c>
    </row>
    <row r="9" ht="15" customHeight="1">
      <c r="A9" t="inlineStr">
        <is>
          <t>A 922-2023</t>
        </is>
      </c>
      <c r="B9" s="1" t="n">
        <v>44932</v>
      </c>
      <c r="C9" s="1" t="n">
        <v>45923</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45722.48222222222</v>
      </c>
      <c r="C10" s="1" t="n">
        <v>45923</v>
      </c>
      <c r="D10" t="inlineStr">
        <is>
          <t>GOTLANDS LÄN</t>
        </is>
      </c>
      <c r="E10" t="inlineStr">
        <is>
          <t>GOTLAND</t>
        </is>
      </c>
      <c r="G10" t="n">
        <v>6.1</v>
      </c>
      <c r="H10" t="n">
        <v>11</v>
      </c>
      <c r="I10" t="n">
        <v>8</v>
      </c>
      <c r="J10" t="n">
        <v>6</v>
      </c>
      <c r="K10" t="n">
        <v>1</v>
      </c>
      <c r="L10" t="n">
        <v>1</v>
      </c>
      <c r="M10" t="n">
        <v>0</v>
      </c>
      <c r="N10" t="n">
        <v>0</v>
      </c>
      <c r="O10" t="n">
        <v>8</v>
      </c>
      <c r="P10" t="n">
        <v>2</v>
      </c>
      <c r="Q10" t="n">
        <v>21</v>
      </c>
      <c r="R10"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0">
        <f>HYPERLINK("https://klasma.github.io/Logging_0980/artfynd/A 10780-2025 artfynd.xlsx", "A 10780-2025")</f>
        <v/>
      </c>
      <c r="T10">
        <f>HYPERLINK("https://klasma.github.io/Logging_0980/kartor/A 10780-2025 karta.png", "A 10780-2025")</f>
        <v/>
      </c>
      <c r="U10">
        <f>HYPERLINK("https://klasma.github.io/Logging_0980/knärot/A 10780-2025 karta knärot.png", "A 10780-2025")</f>
        <v/>
      </c>
      <c r="V10">
        <f>HYPERLINK("https://klasma.github.io/Logging_0980/klagomål/A 10780-2025 FSC-klagomål.docx", "A 10780-2025")</f>
        <v/>
      </c>
      <c r="W10">
        <f>HYPERLINK("https://klasma.github.io/Logging_0980/klagomålsmail/A 10780-2025 FSC-klagomål mail.docx", "A 10780-2025")</f>
        <v/>
      </c>
      <c r="X10">
        <f>HYPERLINK("https://klasma.github.io/Logging_0980/tillsyn/A 10780-2025 tillsynsbegäran.docx", "A 10780-2025")</f>
        <v/>
      </c>
      <c r="Y10">
        <f>HYPERLINK("https://klasma.github.io/Logging_0980/tillsynsmail/A 10780-2025 tillsynsbegäran mail.docx", "A 10780-2025")</f>
        <v/>
      </c>
    </row>
    <row r="11" ht="15" customHeight="1">
      <c r="A11" t="inlineStr">
        <is>
          <t>A 569-2023</t>
        </is>
      </c>
      <c r="B11" s="1" t="n">
        <v>44930</v>
      </c>
      <c r="C11" s="1" t="n">
        <v>45923</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45923</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45923</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45923</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45923</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45923</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45923</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17762-2024</t>
        </is>
      </c>
      <c r="B18" s="1" t="n">
        <v>45418</v>
      </c>
      <c r="C18" s="1" t="n">
        <v>45923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62132-2023</t>
        </is>
      </c>
      <c r="B19" s="1" t="n">
        <v>45267</v>
      </c>
      <c r="C19" s="1" t="n">
        <v>45923</v>
      </c>
      <c r="D19" t="inlineStr">
        <is>
          <t>GOTLANDS LÄN</t>
        </is>
      </c>
      <c r="E19" t="inlineStr">
        <is>
          <t>GOTLAND</t>
        </is>
      </c>
      <c r="G19" t="n">
        <v>13.9</v>
      </c>
      <c r="H19" t="n">
        <v>5</v>
      </c>
      <c r="I19" t="n">
        <v>5</v>
      </c>
      <c r="J19" t="n">
        <v>7</v>
      </c>
      <c r="K19" t="n">
        <v>2</v>
      </c>
      <c r="L19" t="n">
        <v>0</v>
      </c>
      <c r="M19" t="n">
        <v>0</v>
      </c>
      <c r="N19" t="n">
        <v>0</v>
      </c>
      <c r="O19" t="n">
        <v>9</v>
      </c>
      <c r="P19" t="n">
        <v>2</v>
      </c>
      <c r="Q19" t="n">
        <v>15</v>
      </c>
      <c r="R19" s="2" t="inlineStr">
        <is>
          <t>Gulsträngad fagerspindling
Vit taggsvamp
Backtimjan
Dårgräsfjäril
Jordtistel
Odörspindling
Solvända
Spillkråka
Äggspindling
Blå slemspindling
Blåmossa
Mindre märgborre
Nästrot
Skogsknipprot
Sankt pers nycklar</t>
        </is>
      </c>
      <c r="S19">
        <f>HYPERLINK("https://klasma.github.io/Logging_0980/artfynd/A 62132-2023 artfynd.xlsx", "A 62132-2023")</f>
        <v/>
      </c>
      <c r="T19">
        <f>HYPERLINK("https://klasma.github.io/Logging_0980/kartor/A 62132-2023 karta.png", "A 62132-2023")</f>
        <v/>
      </c>
      <c r="V19">
        <f>HYPERLINK("https://klasma.github.io/Logging_0980/klagomål/A 62132-2023 FSC-klagomål.docx", "A 62132-2023")</f>
        <v/>
      </c>
      <c r="W19">
        <f>HYPERLINK("https://klasma.github.io/Logging_0980/klagomålsmail/A 62132-2023 FSC-klagomål mail.docx", "A 62132-2023")</f>
        <v/>
      </c>
      <c r="X19">
        <f>HYPERLINK("https://klasma.github.io/Logging_0980/tillsyn/A 62132-2023 tillsynsbegäran.docx", "A 62132-2023")</f>
        <v/>
      </c>
      <c r="Y19">
        <f>HYPERLINK("https://klasma.github.io/Logging_0980/tillsynsmail/A 62132-2023 tillsynsbegäran mail.docx", "A 62132-2023")</f>
        <v/>
      </c>
      <c r="Z19">
        <f>HYPERLINK("https://klasma.github.io/Logging_0980/fåglar/A 62132-2023 prioriterade fågelarter.docx", "A 62132-2023")</f>
        <v/>
      </c>
    </row>
    <row r="20" ht="15" customHeight="1">
      <c r="A20" t="inlineStr">
        <is>
          <t>A 6913-2025</t>
        </is>
      </c>
      <c r="B20" s="1" t="n">
        <v>45701.43809027778</v>
      </c>
      <c r="C20" s="1" t="n">
        <v>45923</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61697-2023</t>
        </is>
      </c>
      <c r="B21" s="1" t="n">
        <v>45265</v>
      </c>
      <c r="C21" s="1" t="n">
        <v>45923</v>
      </c>
      <c r="D21" t="inlineStr">
        <is>
          <t>GOTLANDS LÄN</t>
        </is>
      </c>
      <c r="E21" t="inlineStr">
        <is>
          <t>GOTLAND</t>
        </is>
      </c>
      <c r="G21" t="n">
        <v>8.699999999999999</v>
      </c>
      <c r="H21" t="n">
        <v>2</v>
      </c>
      <c r="I21" t="n">
        <v>3</v>
      </c>
      <c r="J21" t="n">
        <v>4</v>
      </c>
      <c r="K21" t="n">
        <v>7</v>
      </c>
      <c r="L21" t="n">
        <v>1</v>
      </c>
      <c r="M21" t="n">
        <v>0</v>
      </c>
      <c r="N21" t="n">
        <v>0</v>
      </c>
      <c r="O21" t="n">
        <v>12</v>
      </c>
      <c r="P21" t="n">
        <v>8</v>
      </c>
      <c r="Q21" t="n">
        <v>15</v>
      </c>
      <c r="R21" s="2" t="inlineStr">
        <is>
          <t>Ryl
Duvspindling
Granrotsspindling
Gulsträngad fagerspindling
Läderdoftande fingersvamp
Svartgrön spindling
Tallkejsarspindling
Violettrandad spindling
Denisespindling
Odörspindling
Röd skogslilja
Säfferot
Anisspindling
Murgröna
Nästrot</t>
        </is>
      </c>
      <c r="S21">
        <f>HYPERLINK("https://klasma.github.io/Logging_0980/artfynd/A 61697-2023 artfynd.xlsx", "A 61697-2023")</f>
        <v/>
      </c>
      <c r="T21">
        <f>HYPERLINK("https://klasma.github.io/Logging_0980/kartor/A 61697-2023 karta.png", "A 61697-2023")</f>
        <v/>
      </c>
      <c r="V21">
        <f>HYPERLINK("https://klasma.github.io/Logging_0980/klagomål/A 61697-2023 FSC-klagomål.docx", "A 61697-2023")</f>
        <v/>
      </c>
      <c r="W21">
        <f>HYPERLINK("https://klasma.github.io/Logging_0980/klagomålsmail/A 61697-2023 FSC-klagomål mail.docx", "A 61697-2023")</f>
        <v/>
      </c>
      <c r="X21">
        <f>HYPERLINK("https://klasma.github.io/Logging_0980/tillsyn/A 61697-2023 tillsynsbegäran.docx", "A 61697-2023")</f>
        <v/>
      </c>
      <c r="Y21">
        <f>HYPERLINK("https://klasma.github.io/Logging_0980/tillsynsmail/A 61697-2023 tillsynsbegäran mail.docx", "A 61697-2023")</f>
        <v/>
      </c>
    </row>
    <row r="22" ht="15" customHeight="1">
      <c r="A22" t="inlineStr">
        <is>
          <t>A 33728-2025</t>
        </is>
      </c>
      <c r="B22" s="1" t="n">
        <v>45842.29344907407</v>
      </c>
      <c r="C22" s="1" t="n">
        <v>45923</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2222-2024</t>
        </is>
      </c>
      <c r="B23" s="1" t="n">
        <v>45309</v>
      </c>
      <c r="C23" s="1" t="n">
        <v>45923</v>
      </c>
      <c r="D23" t="inlineStr">
        <is>
          <t>GOTLANDS LÄN</t>
        </is>
      </c>
      <c r="E23" t="inlineStr">
        <is>
          <t>GOTLAND</t>
        </is>
      </c>
      <c r="F23" t="inlineStr">
        <is>
          <t>Kyrkan</t>
        </is>
      </c>
      <c r="G23" t="n">
        <v>10.6</v>
      </c>
      <c r="H23" t="n">
        <v>0</v>
      </c>
      <c r="I23" t="n">
        <v>6</v>
      </c>
      <c r="J23" t="n">
        <v>3</v>
      </c>
      <c r="K23" t="n">
        <v>5</v>
      </c>
      <c r="L23" t="n">
        <v>0</v>
      </c>
      <c r="M23" t="n">
        <v>0</v>
      </c>
      <c r="N23" t="n">
        <v>0</v>
      </c>
      <c r="O23" t="n">
        <v>8</v>
      </c>
      <c r="P23" t="n">
        <v>5</v>
      </c>
      <c r="Q23" t="n">
        <v>14</v>
      </c>
      <c r="R23" s="2" t="inlineStr">
        <is>
          <t>Granrotsspindling
Gulsträngad fagerspindling
Svartgrön spindling
Tvillingspindling
Vit taggsvamp
Denisespindling
Odörspindling
Svinrot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25779-2022</t>
        </is>
      </c>
      <c r="B24" s="1" t="n">
        <v>44733</v>
      </c>
      <c r="C24" s="1" t="n">
        <v>45923</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24309-2025</t>
        </is>
      </c>
      <c r="B25" s="1" t="n">
        <v>45797</v>
      </c>
      <c r="C25" s="1" t="n">
        <v>45923</v>
      </c>
      <c r="D25" t="inlineStr">
        <is>
          <t>GOTLANDS LÄN</t>
        </is>
      </c>
      <c r="E25" t="inlineStr">
        <is>
          <t>GOTLAND</t>
        </is>
      </c>
      <c r="F25" t="inlineStr">
        <is>
          <t>Kyrkan</t>
        </is>
      </c>
      <c r="G25" t="n">
        <v>7.8</v>
      </c>
      <c r="H25" t="n">
        <v>11</v>
      </c>
      <c r="I25" t="n">
        <v>6</v>
      </c>
      <c r="J25" t="n">
        <v>3</v>
      </c>
      <c r="K25" t="n">
        <v>1</v>
      </c>
      <c r="L25" t="n">
        <v>1</v>
      </c>
      <c r="M25" t="n">
        <v>0</v>
      </c>
      <c r="N25" t="n">
        <v>0</v>
      </c>
      <c r="O25" t="n">
        <v>5</v>
      </c>
      <c r="P25" t="n">
        <v>2</v>
      </c>
      <c r="Q25" t="n">
        <v>14</v>
      </c>
      <c r="R25" s="2" t="inlineStr">
        <is>
          <t>Grönfink
Garderönn
Dårgräsfjäril
Spillkråka
Svinrot
Grönpyrola
Purpurknipprot
Skogsknipprot
Strävlosta
Tvåblad
Vit skogslilja
Halsbandsflugsnappare
Nattviol
Blåsippa</t>
        </is>
      </c>
      <c r="S25">
        <f>HYPERLINK("https://klasma.github.io/Logging_0980/artfynd/A 24309-2025 artfynd.xlsx", "A 24309-2025")</f>
        <v/>
      </c>
      <c r="T25">
        <f>HYPERLINK("https://klasma.github.io/Logging_0980/kartor/A 24309-2025 karta.png", "A 24309-2025")</f>
        <v/>
      </c>
      <c r="V25">
        <f>HYPERLINK("https://klasma.github.io/Logging_0980/klagomål/A 24309-2025 FSC-klagomål.docx", "A 24309-2025")</f>
        <v/>
      </c>
      <c r="W25">
        <f>HYPERLINK("https://klasma.github.io/Logging_0980/klagomålsmail/A 24309-2025 FSC-klagomål mail.docx", "A 24309-2025")</f>
        <v/>
      </c>
      <c r="X25">
        <f>HYPERLINK("https://klasma.github.io/Logging_0980/tillsyn/A 24309-2025 tillsynsbegäran.docx", "A 24309-2025")</f>
        <v/>
      </c>
      <c r="Y25">
        <f>HYPERLINK("https://klasma.github.io/Logging_0980/tillsynsmail/A 24309-2025 tillsynsbegäran mail.docx", "A 24309-2025")</f>
        <v/>
      </c>
      <c r="Z25">
        <f>HYPERLINK("https://klasma.github.io/Logging_0980/fåglar/A 24309-2025 prioriterade fågelarter.docx", "A 24309-2025")</f>
        <v/>
      </c>
    </row>
    <row r="26" ht="15" customHeight="1">
      <c r="A26" t="inlineStr">
        <is>
          <t>A 44928-2022</t>
        </is>
      </c>
      <c r="B26" s="1" t="n">
        <v>44841</v>
      </c>
      <c r="C26" s="1" t="n">
        <v>45923</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45923</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35141-2022</t>
        </is>
      </c>
      <c r="B28" s="1" t="n">
        <v>44797.53318287037</v>
      </c>
      <c r="C28" s="1" t="n">
        <v>45923</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2804-2023</t>
        </is>
      </c>
      <c r="B29" s="1" t="n">
        <v>44944</v>
      </c>
      <c r="C29" s="1" t="n">
        <v>45923</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30236-2025</t>
        </is>
      </c>
      <c r="B30" s="1" t="n">
        <v>45827</v>
      </c>
      <c r="C30" s="1" t="n">
        <v>45923</v>
      </c>
      <c r="D30" t="inlineStr">
        <is>
          <t>GOTLANDS LÄN</t>
        </is>
      </c>
      <c r="E30" t="inlineStr">
        <is>
          <t>GOTLAND</t>
        </is>
      </c>
      <c r="G30" t="n">
        <v>13.6</v>
      </c>
      <c r="H30" t="n">
        <v>8</v>
      </c>
      <c r="I30" t="n">
        <v>6</v>
      </c>
      <c r="J30" t="n">
        <v>4</v>
      </c>
      <c r="K30" t="n">
        <v>0</v>
      </c>
      <c r="L30" t="n">
        <v>0</v>
      </c>
      <c r="M30" t="n">
        <v>0</v>
      </c>
      <c r="N30" t="n">
        <v>0</v>
      </c>
      <c r="O30" t="n">
        <v>4</v>
      </c>
      <c r="P30" t="n">
        <v>0</v>
      </c>
      <c r="Q30" t="n">
        <v>13</v>
      </c>
      <c r="R30" s="2" t="inlineStr">
        <is>
          <t>Jordtistel
Reliktbock
Spillkråka
Svinrot
Blåmossa
Grönpyrola
Nästrot
Purpurknipprot
Tvåblad
Vit skogslilja
Grönvit nattviol
Nattviol
Sankt pers nycklar</t>
        </is>
      </c>
      <c r="S30">
        <f>HYPERLINK("https://klasma.github.io/Logging_0980/artfynd/A 30236-2025 artfynd.xlsx", "A 30236-2025")</f>
        <v/>
      </c>
      <c r="T30">
        <f>HYPERLINK("https://klasma.github.io/Logging_0980/kartor/A 30236-2025 karta.png", "A 30236-2025")</f>
        <v/>
      </c>
      <c r="V30">
        <f>HYPERLINK("https://klasma.github.io/Logging_0980/klagomål/A 30236-2025 FSC-klagomål.docx", "A 30236-2025")</f>
        <v/>
      </c>
      <c r="W30">
        <f>HYPERLINK("https://klasma.github.io/Logging_0980/klagomålsmail/A 30236-2025 FSC-klagomål mail.docx", "A 30236-2025")</f>
        <v/>
      </c>
      <c r="X30">
        <f>HYPERLINK("https://klasma.github.io/Logging_0980/tillsyn/A 30236-2025 tillsynsbegäran.docx", "A 30236-2025")</f>
        <v/>
      </c>
      <c r="Y30">
        <f>HYPERLINK("https://klasma.github.io/Logging_0980/tillsynsmail/A 30236-2025 tillsynsbegäran mail.docx", "A 30236-2025")</f>
        <v/>
      </c>
      <c r="Z30">
        <f>HYPERLINK("https://klasma.github.io/Logging_0980/fåglar/A 30236-2025 prioriterade fågelarter.docx", "A 30236-2025")</f>
        <v/>
      </c>
    </row>
    <row r="31" ht="15" customHeight="1">
      <c r="A31" t="inlineStr">
        <is>
          <t>A 3324-2023</t>
        </is>
      </c>
      <c r="B31" s="1" t="n">
        <v>44949</v>
      </c>
      <c r="C31" s="1" t="n">
        <v>45923</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45923</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15850-2025</t>
        </is>
      </c>
      <c r="B33" s="1" t="n">
        <v>45748</v>
      </c>
      <c r="C33" s="1" t="n">
        <v>45923</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28287-2024</t>
        </is>
      </c>
      <c r="B34" s="1" t="n">
        <v>45477</v>
      </c>
      <c r="C34" s="1" t="n">
        <v>45923</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30542-2025</t>
        </is>
      </c>
      <c r="B35" s="1" t="n">
        <v>45831</v>
      </c>
      <c r="C35" s="1" t="n">
        <v>45923</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43201-2023</t>
        </is>
      </c>
      <c r="B36" s="1" t="n">
        <v>45183</v>
      </c>
      <c r="C36" s="1" t="n">
        <v>45923</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6052-2024</t>
        </is>
      </c>
      <c r="B37" s="1" t="n">
        <v>45336</v>
      </c>
      <c r="C37" s="1" t="n">
        <v>45923</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45923</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15068-2025</t>
        </is>
      </c>
      <c r="B39" s="1" t="n">
        <v>45743</v>
      </c>
      <c r="C39" s="1" t="n">
        <v>45923</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45923</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45923</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45923</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45923</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45923</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45923</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45923</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45923</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7039-2023</t>
        </is>
      </c>
      <c r="B48" s="1" t="n">
        <v>44968</v>
      </c>
      <c r="C48" s="1" t="n">
        <v>45923</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21467-2024</t>
        </is>
      </c>
      <c r="B49" s="1" t="n">
        <v>45441</v>
      </c>
      <c r="C49" s="1" t="n">
        <v>45923</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1769-2022</t>
        </is>
      </c>
      <c r="B50" s="1" t="n">
        <v>44574</v>
      </c>
      <c r="C50" s="1" t="n">
        <v>45923</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2649-2023</t>
        </is>
      </c>
      <c r="B51" s="1" t="n">
        <v>44943</v>
      </c>
      <c r="C51" s="1" t="n">
        <v>45923</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45248-2024</t>
        </is>
      </c>
      <c r="B52" s="1" t="n">
        <v>45576</v>
      </c>
      <c r="C52" s="1" t="n">
        <v>45923</v>
      </c>
      <c r="D52" t="inlineStr">
        <is>
          <t>GOTLANDS LÄN</t>
        </is>
      </c>
      <c r="E52" t="inlineStr">
        <is>
          <t>GOTLAND</t>
        </is>
      </c>
      <c r="G52" t="n">
        <v>9.4</v>
      </c>
      <c r="H52" t="n">
        <v>0</v>
      </c>
      <c r="I52" t="n">
        <v>3</v>
      </c>
      <c r="J52" t="n">
        <v>1</v>
      </c>
      <c r="K52" t="n">
        <v>1</v>
      </c>
      <c r="L52" t="n">
        <v>1</v>
      </c>
      <c r="M52" t="n">
        <v>1</v>
      </c>
      <c r="N52" t="n">
        <v>0</v>
      </c>
      <c r="O52" t="n">
        <v>4</v>
      </c>
      <c r="P52" t="n">
        <v>3</v>
      </c>
      <c r="Q52" t="n">
        <v>7</v>
      </c>
      <c r="R52" s="2" t="inlineStr">
        <is>
          <t>Lundalm
Ask
Mjölspindling
Oxtungssvamp
Myskmadra
Stinkbrosking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18541-2024</t>
        </is>
      </c>
      <c r="B53" s="1" t="n">
        <v>45425</v>
      </c>
      <c r="C53" s="1" t="n">
        <v>45923</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6960-2025</t>
        </is>
      </c>
      <c r="B54" s="1" t="n">
        <v>45701.49409722222</v>
      </c>
      <c r="C54" s="1" t="n">
        <v>45923</v>
      </c>
      <c r="D54" t="inlineStr">
        <is>
          <t>GOTLANDS LÄN</t>
        </is>
      </c>
      <c r="E54" t="inlineStr">
        <is>
          <t>GOTLAND</t>
        </is>
      </c>
      <c r="G54" t="n">
        <v>4</v>
      </c>
      <c r="H54" t="n">
        <v>4</v>
      </c>
      <c r="I54" t="n">
        <v>1</v>
      </c>
      <c r="J54" t="n">
        <v>4</v>
      </c>
      <c r="K54" t="n">
        <v>0</v>
      </c>
      <c r="L54" t="n">
        <v>0</v>
      </c>
      <c r="M54" t="n">
        <v>0</v>
      </c>
      <c r="N54" t="n">
        <v>0</v>
      </c>
      <c r="O54" t="n">
        <v>4</v>
      </c>
      <c r="P54" t="n">
        <v>0</v>
      </c>
      <c r="Q54" t="n">
        <v>7</v>
      </c>
      <c r="R54" s="2" t="inlineStr">
        <is>
          <t>Majviva
Spillkråka
Svinrot
Ängsstarr
Skogsknipprot
Dactylorhiza incarnata subsp. incarnata
Nattviol</t>
        </is>
      </c>
      <c r="S54">
        <f>HYPERLINK("https://klasma.github.io/Logging_0980/artfynd/A 6960-2025 artfynd.xlsx", "A 6960-2025")</f>
        <v/>
      </c>
      <c r="T54">
        <f>HYPERLINK("https://klasma.github.io/Logging_0980/kartor/A 6960-2025 karta.png", "A 6960-2025")</f>
        <v/>
      </c>
      <c r="U54">
        <f>HYPERLINK("https://klasma.github.io/Logging_0980/knärot/A 6960-2025 karta knärot.png", "A 6960-2025")</f>
        <v/>
      </c>
      <c r="V54">
        <f>HYPERLINK("https://klasma.github.io/Logging_0980/klagomål/A 6960-2025 FSC-klagomål.docx", "A 6960-2025")</f>
        <v/>
      </c>
      <c r="W54">
        <f>HYPERLINK("https://klasma.github.io/Logging_0980/klagomålsmail/A 6960-2025 FSC-klagomål mail.docx", "A 6960-2025")</f>
        <v/>
      </c>
      <c r="X54">
        <f>HYPERLINK("https://klasma.github.io/Logging_0980/tillsyn/A 6960-2025 tillsynsbegäran.docx", "A 6960-2025")</f>
        <v/>
      </c>
      <c r="Y54">
        <f>HYPERLINK("https://klasma.github.io/Logging_0980/tillsynsmail/A 6960-2025 tillsynsbegäran mail.docx", "A 6960-2025")</f>
        <v/>
      </c>
      <c r="Z54">
        <f>HYPERLINK("https://klasma.github.io/Logging_0980/fåglar/A 6960-2025 prioriterade fågelarter.docx", "A 6960-2025")</f>
        <v/>
      </c>
    </row>
    <row r="55" ht="15" customHeight="1">
      <c r="A55" t="inlineStr">
        <is>
          <t>A 4984-2025</t>
        </is>
      </c>
      <c r="B55" s="1" t="n">
        <v>45691.29891203704</v>
      </c>
      <c r="C55" s="1" t="n">
        <v>45923</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27280-2023</t>
        </is>
      </c>
      <c r="B56" s="1" t="n">
        <v>45096</v>
      </c>
      <c r="C56" s="1" t="n">
        <v>45923</v>
      </c>
      <c r="D56" t="inlineStr">
        <is>
          <t>GOTLANDS LÄN</t>
        </is>
      </c>
      <c r="E56" t="inlineStr">
        <is>
          <t>GOTLAND</t>
        </is>
      </c>
      <c r="G56" t="n">
        <v>2.7</v>
      </c>
      <c r="H56" t="n">
        <v>7</v>
      </c>
      <c r="I56" t="n">
        <v>2</v>
      </c>
      <c r="J56" t="n">
        <v>1</v>
      </c>
      <c r="K56" t="n">
        <v>0</v>
      </c>
      <c r="L56" t="n">
        <v>0</v>
      </c>
      <c r="M56" t="n">
        <v>0</v>
      </c>
      <c r="N56" t="n">
        <v>0</v>
      </c>
      <c r="O56" t="n">
        <v>1</v>
      </c>
      <c r="P56" t="n">
        <v>0</v>
      </c>
      <c r="Q56" t="n">
        <v>7</v>
      </c>
      <c r="R56" s="2" t="inlineStr">
        <is>
          <t>Mindre hackspett
Skogsknipprot
Tvåblad
Brudsporre
Fläcknycklar
Grönvit nattviol
Nattviol</t>
        </is>
      </c>
      <c r="S56">
        <f>HYPERLINK("https://klasma.github.io/Logging_0980/artfynd/A 27280-2023 artfynd.xlsx", "A 27280-2023")</f>
        <v/>
      </c>
      <c r="T56">
        <f>HYPERLINK("https://klasma.github.io/Logging_0980/kartor/A 27280-2023 karta.png", "A 27280-2023")</f>
        <v/>
      </c>
      <c r="V56">
        <f>HYPERLINK("https://klasma.github.io/Logging_0980/klagomål/A 27280-2023 FSC-klagomål.docx", "A 27280-2023")</f>
        <v/>
      </c>
      <c r="W56">
        <f>HYPERLINK("https://klasma.github.io/Logging_0980/klagomålsmail/A 27280-2023 FSC-klagomål mail.docx", "A 27280-2023")</f>
        <v/>
      </c>
      <c r="X56">
        <f>HYPERLINK("https://klasma.github.io/Logging_0980/tillsyn/A 27280-2023 tillsynsbegäran.docx", "A 27280-2023")</f>
        <v/>
      </c>
      <c r="Y56">
        <f>HYPERLINK("https://klasma.github.io/Logging_0980/tillsynsmail/A 27280-2023 tillsynsbegäran mail.docx", "A 27280-2023")</f>
        <v/>
      </c>
      <c r="Z56">
        <f>HYPERLINK("https://klasma.github.io/Logging_0980/fåglar/A 27280-2023 prioriterade fågelarter.docx", "A 27280-2023")</f>
        <v/>
      </c>
    </row>
    <row r="57" ht="15" customHeight="1">
      <c r="A57" t="inlineStr">
        <is>
          <t>A 10419-2025</t>
        </is>
      </c>
      <c r="B57" s="1" t="n">
        <v>45720</v>
      </c>
      <c r="C57" s="1" t="n">
        <v>45923</v>
      </c>
      <c r="D57" t="inlineStr">
        <is>
          <t>GOTLANDS LÄN</t>
        </is>
      </c>
      <c r="E57" t="inlineStr">
        <is>
          <t>GOTLAND</t>
        </is>
      </c>
      <c r="G57" t="n">
        <v>1.2</v>
      </c>
      <c r="H57" t="n">
        <v>0</v>
      </c>
      <c r="I57" t="n">
        <v>5</v>
      </c>
      <c r="J57" t="n">
        <v>0</v>
      </c>
      <c r="K57" t="n">
        <v>2</v>
      </c>
      <c r="L57" t="n">
        <v>0</v>
      </c>
      <c r="M57" t="n">
        <v>0</v>
      </c>
      <c r="N57" t="n">
        <v>0</v>
      </c>
      <c r="O57" t="n">
        <v>2</v>
      </c>
      <c r="P57" t="n">
        <v>2</v>
      </c>
      <c r="Q57" t="n">
        <v>7</v>
      </c>
      <c r="R57" s="2" t="inlineStr">
        <is>
          <t>Mörkfjällig olivspindling
Violettfläckig spindling
Anisspindling
Blå slemspindling
Fjällig taggsvamp s.str.
Kryddspindling
Olivspindling</t>
        </is>
      </c>
      <c r="S57">
        <f>HYPERLINK("https://klasma.github.io/Logging_0980/artfynd/A 10419-2025 artfynd.xlsx", "A 10419-2025")</f>
        <v/>
      </c>
      <c r="T57">
        <f>HYPERLINK("https://klasma.github.io/Logging_0980/kartor/A 10419-2025 karta.png", "A 10419-2025")</f>
        <v/>
      </c>
      <c r="V57">
        <f>HYPERLINK("https://klasma.github.io/Logging_0980/klagomål/A 10419-2025 FSC-klagomål.docx", "A 10419-2025")</f>
        <v/>
      </c>
      <c r="W57">
        <f>HYPERLINK("https://klasma.github.io/Logging_0980/klagomålsmail/A 10419-2025 FSC-klagomål mail.docx", "A 10419-2025")</f>
        <v/>
      </c>
      <c r="X57">
        <f>HYPERLINK("https://klasma.github.io/Logging_0980/tillsyn/A 10419-2025 tillsynsbegäran.docx", "A 10419-2025")</f>
        <v/>
      </c>
      <c r="Y57">
        <f>HYPERLINK("https://klasma.github.io/Logging_0980/tillsynsmail/A 10419-2025 tillsynsbegäran mail.docx", "A 10419-2025")</f>
        <v/>
      </c>
    </row>
    <row r="58" ht="15" customHeight="1">
      <c r="A58" t="inlineStr">
        <is>
          <t>A 25205-2021</t>
        </is>
      </c>
      <c r="B58" s="1" t="n">
        <v>44342</v>
      </c>
      <c r="C58" s="1" t="n">
        <v>45923</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7038-2023</t>
        </is>
      </c>
      <c r="B59" s="1" t="n">
        <v>44968</v>
      </c>
      <c r="C59" s="1" t="n">
        <v>45923</v>
      </c>
      <c r="D59" t="inlineStr">
        <is>
          <t>GOTLANDS LÄN</t>
        </is>
      </c>
      <c r="E59" t="inlineStr">
        <is>
          <t>GOTLAND</t>
        </is>
      </c>
      <c r="G59" t="n">
        <v>5.2</v>
      </c>
      <c r="H59" t="n">
        <v>1</v>
      </c>
      <c r="I59" t="n">
        <v>1</v>
      </c>
      <c r="J59" t="n">
        <v>1</v>
      </c>
      <c r="K59" t="n">
        <v>0</v>
      </c>
      <c r="L59" t="n">
        <v>2</v>
      </c>
      <c r="M59" t="n">
        <v>0</v>
      </c>
      <c r="N59" t="n">
        <v>0</v>
      </c>
      <c r="O59" t="n">
        <v>5</v>
      </c>
      <c r="P59" t="n">
        <v>2</v>
      </c>
      <c r="Q59" t="n">
        <v>6</v>
      </c>
      <c r="R59" s="2" t="inlineStr">
        <is>
          <t>Liten ädellav
Ädellav
Dårgräsfjäril
Blemlavsklotter
Frostig asplav
Havstulpanlav</t>
        </is>
      </c>
      <c r="S59">
        <f>HYPERLINK("https://klasma.github.io/Logging_0980/artfynd/A 7038-2023 artfynd.xlsx", "A 7038-2023")</f>
        <v/>
      </c>
      <c r="T59">
        <f>HYPERLINK("https://klasma.github.io/Logging_0980/kartor/A 7038-2023 karta.png", "A 7038-2023")</f>
        <v/>
      </c>
      <c r="V59">
        <f>HYPERLINK("https://klasma.github.io/Logging_0980/klagomål/A 7038-2023 FSC-klagomål.docx", "A 7038-2023")</f>
        <v/>
      </c>
      <c r="W59">
        <f>HYPERLINK("https://klasma.github.io/Logging_0980/klagomålsmail/A 7038-2023 FSC-klagomål mail.docx", "A 7038-2023")</f>
        <v/>
      </c>
      <c r="X59">
        <f>HYPERLINK("https://klasma.github.io/Logging_0980/tillsyn/A 7038-2023 tillsynsbegäran.docx", "A 7038-2023")</f>
        <v/>
      </c>
      <c r="Y59">
        <f>HYPERLINK("https://klasma.github.io/Logging_0980/tillsynsmail/A 7038-2023 tillsynsbegäran mail.docx", "A 7038-2023")</f>
        <v/>
      </c>
    </row>
    <row r="60" ht="15" customHeight="1">
      <c r="A60" t="inlineStr">
        <is>
          <t>A 446-2023</t>
        </is>
      </c>
      <c r="B60" s="1" t="n">
        <v>44929</v>
      </c>
      <c r="C60" s="1" t="n">
        <v>45923</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2085-2023</t>
        </is>
      </c>
      <c r="B61" s="1" t="n">
        <v>44939</v>
      </c>
      <c r="C61" s="1" t="n">
        <v>45923</v>
      </c>
      <c r="D61" t="inlineStr">
        <is>
          <t>GOTLANDS LÄN</t>
        </is>
      </c>
      <c r="E61" t="inlineStr">
        <is>
          <t>GOTLAND</t>
        </is>
      </c>
      <c r="G61" t="n">
        <v>0.9</v>
      </c>
      <c r="H61" t="n">
        <v>2</v>
      </c>
      <c r="I61" t="n">
        <v>5</v>
      </c>
      <c r="J61" t="n">
        <v>0</v>
      </c>
      <c r="K61" t="n">
        <v>0</v>
      </c>
      <c r="L61" t="n">
        <v>0</v>
      </c>
      <c r="M61" t="n">
        <v>0</v>
      </c>
      <c r="N61" t="n">
        <v>0</v>
      </c>
      <c r="O61" t="n">
        <v>0</v>
      </c>
      <c r="P61" t="n">
        <v>0</v>
      </c>
      <c r="Q61" t="n">
        <v>6</v>
      </c>
      <c r="R61" s="2" t="inlineStr">
        <is>
          <t>Blå slemspindling
Blåmossa
Kattfotslav
Skogsknipprot
Vågbandad barkbock
Skogsduva</t>
        </is>
      </c>
      <c r="S61">
        <f>HYPERLINK("https://klasma.github.io/Logging_0980/artfynd/A 2085-2023 artfynd.xlsx", "A 2085-2023")</f>
        <v/>
      </c>
      <c r="T61">
        <f>HYPERLINK("https://klasma.github.io/Logging_0980/kartor/A 2085-2023 karta.png", "A 2085-2023")</f>
        <v/>
      </c>
      <c r="V61">
        <f>HYPERLINK("https://klasma.github.io/Logging_0980/klagomål/A 2085-2023 FSC-klagomål.docx", "A 2085-2023")</f>
        <v/>
      </c>
      <c r="W61">
        <f>HYPERLINK("https://klasma.github.io/Logging_0980/klagomålsmail/A 2085-2023 FSC-klagomål mail.docx", "A 2085-2023")</f>
        <v/>
      </c>
      <c r="X61">
        <f>HYPERLINK("https://klasma.github.io/Logging_0980/tillsyn/A 2085-2023 tillsynsbegäran.docx", "A 2085-2023")</f>
        <v/>
      </c>
      <c r="Y61">
        <f>HYPERLINK("https://klasma.github.io/Logging_0980/tillsynsmail/A 2085-2023 tillsynsbegäran mail.docx", "A 2085-2023")</f>
        <v/>
      </c>
      <c r="Z61">
        <f>HYPERLINK("https://klasma.github.io/Logging_0980/fåglar/A 2085-2023 prioriterade fågelarter.docx", "A 2085-2023")</f>
        <v/>
      </c>
    </row>
    <row r="62" ht="15" customHeight="1">
      <c r="A62" t="inlineStr">
        <is>
          <t>A 54527-2023</t>
        </is>
      </c>
      <c r="B62" s="1" t="n">
        <v>45233</v>
      </c>
      <c r="C62" s="1" t="n">
        <v>45923</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65819-2020</t>
        </is>
      </c>
      <c r="B63" s="1" t="n">
        <v>44174</v>
      </c>
      <c r="C63" s="1" t="n">
        <v>45923</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16823-2024</t>
        </is>
      </c>
      <c r="B64" s="1" t="n">
        <v>45411</v>
      </c>
      <c r="C64" s="1" t="n">
        <v>45923</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66091-2021</t>
        </is>
      </c>
      <c r="B65" s="1" t="n">
        <v>44517</v>
      </c>
      <c r="C65" s="1" t="n">
        <v>45923</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35293-2025</t>
        </is>
      </c>
      <c r="B66" s="1" t="n">
        <v>45854.39438657407</v>
      </c>
      <c r="C66" s="1" t="n">
        <v>45923</v>
      </c>
      <c r="D66" t="inlineStr">
        <is>
          <t>GOTLANDS LÄN</t>
        </is>
      </c>
      <c r="E66" t="inlineStr">
        <is>
          <t>GOTLAND</t>
        </is>
      </c>
      <c r="G66" t="n">
        <v>9.199999999999999</v>
      </c>
      <c r="H66" t="n">
        <v>1</v>
      </c>
      <c r="I66" t="n">
        <v>1</v>
      </c>
      <c r="J66" t="n">
        <v>4</v>
      </c>
      <c r="K66" t="n">
        <v>0</v>
      </c>
      <c r="L66" t="n">
        <v>0</v>
      </c>
      <c r="M66" t="n">
        <v>0</v>
      </c>
      <c r="N66" t="n">
        <v>0</v>
      </c>
      <c r="O66" t="n">
        <v>4</v>
      </c>
      <c r="P66" t="n">
        <v>0</v>
      </c>
      <c r="Q66" t="n">
        <v>5</v>
      </c>
      <c r="R66" s="2" t="inlineStr">
        <is>
          <t>Krusfrö
Loppstarr
Svinrot
Ängsstarr
Skogsknipprot</t>
        </is>
      </c>
      <c r="S66">
        <f>HYPERLINK("https://klasma.github.io/Logging_0980/artfynd/A 35293-2025 artfynd.xlsx", "A 35293-2025")</f>
        <v/>
      </c>
      <c r="T66">
        <f>HYPERLINK("https://klasma.github.io/Logging_0980/kartor/A 35293-2025 karta.png", "A 35293-2025")</f>
        <v/>
      </c>
      <c r="V66">
        <f>HYPERLINK("https://klasma.github.io/Logging_0980/klagomål/A 35293-2025 FSC-klagomål.docx", "A 35293-2025")</f>
        <v/>
      </c>
      <c r="W66">
        <f>HYPERLINK("https://klasma.github.io/Logging_0980/klagomålsmail/A 35293-2025 FSC-klagomål mail.docx", "A 35293-2025")</f>
        <v/>
      </c>
      <c r="X66">
        <f>HYPERLINK("https://klasma.github.io/Logging_0980/tillsyn/A 35293-2025 tillsynsbegäran.docx", "A 35293-2025")</f>
        <v/>
      </c>
      <c r="Y66">
        <f>HYPERLINK("https://klasma.github.io/Logging_0980/tillsynsmail/A 35293-2025 tillsynsbegäran mail.docx", "A 35293-2025")</f>
        <v/>
      </c>
    </row>
    <row r="67" ht="15" customHeight="1">
      <c r="A67" t="inlineStr">
        <is>
          <t>A 54055-2022</t>
        </is>
      </c>
      <c r="B67" s="1" t="n">
        <v>44881</v>
      </c>
      <c r="C67" s="1" t="n">
        <v>45923</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45923</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44944-2022</t>
        </is>
      </c>
      <c r="B69" s="1" t="n">
        <v>44841</v>
      </c>
      <c r="C69" s="1" t="n">
        <v>45923</v>
      </c>
      <c r="D69" t="inlineStr">
        <is>
          <t>GOTLANDS LÄN</t>
        </is>
      </c>
      <c r="E69" t="inlineStr">
        <is>
          <t>GOTLAND</t>
        </is>
      </c>
      <c r="G69" t="n">
        <v>2.8</v>
      </c>
      <c r="H69" t="n">
        <v>0</v>
      </c>
      <c r="I69" t="n">
        <v>3</v>
      </c>
      <c r="J69" t="n">
        <v>2</v>
      </c>
      <c r="K69" t="n">
        <v>0</v>
      </c>
      <c r="L69" t="n">
        <v>0</v>
      </c>
      <c r="M69" t="n">
        <v>0</v>
      </c>
      <c r="N69" t="n">
        <v>0</v>
      </c>
      <c r="O69" t="n">
        <v>2</v>
      </c>
      <c r="P69" t="n">
        <v>0</v>
      </c>
      <c r="Q69" t="n">
        <v>5</v>
      </c>
      <c r="R69" s="2" t="inlineStr">
        <is>
          <t>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2213-2023</t>
        </is>
      </c>
      <c r="B70" s="1" t="n">
        <v>44942</v>
      </c>
      <c r="C70" s="1" t="n">
        <v>45923</v>
      </c>
      <c r="D70" t="inlineStr">
        <is>
          <t>GOTLANDS LÄN</t>
        </is>
      </c>
      <c r="E70" t="inlineStr">
        <is>
          <t>GOTLAND</t>
        </is>
      </c>
      <c r="G70" t="n">
        <v>2.7</v>
      </c>
      <c r="H70" t="n">
        <v>1</v>
      </c>
      <c r="I70" t="n">
        <v>0</v>
      </c>
      <c r="J70" t="n">
        <v>4</v>
      </c>
      <c r="K70" t="n">
        <v>1</v>
      </c>
      <c r="L70" t="n">
        <v>0</v>
      </c>
      <c r="M70" t="n">
        <v>0</v>
      </c>
      <c r="N70" t="n">
        <v>0</v>
      </c>
      <c r="O70" t="n">
        <v>5</v>
      </c>
      <c r="P70" t="n">
        <v>1</v>
      </c>
      <c r="Q70" t="n">
        <v>5</v>
      </c>
      <c r="R70" s="2" t="inlineStr">
        <is>
          <t>Garderönn
Backtimjan
Odörspindling
Smedbock
Svinrot</t>
        </is>
      </c>
      <c r="S70">
        <f>HYPERLINK("https://klasma.github.io/Logging_0980/artfynd/A 2213-2023 artfynd.xlsx", "A 2213-2023")</f>
        <v/>
      </c>
      <c r="T70">
        <f>HYPERLINK("https://klasma.github.io/Logging_0980/kartor/A 2213-2023 karta.png", "A 2213-2023")</f>
        <v/>
      </c>
      <c r="V70">
        <f>HYPERLINK("https://klasma.github.io/Logging_0980/klagomål/A 2213-2023 FSC-klagomål.docx", "A 2213-2023")</f>
        <v/>
      </c>
      <c r="W70">
        <f>HYPERLINK("https://klasma.github.io/Logging_0980/klagomålsmail/A 2213-2023 FSC-klagomål mail.docx", "A 2213-2023")</f>
        <v/>
      </c>
      <c r="X70">
        <f>HYPERLINK("https://klasma.github.io/Logging_0980/tillsyn/A 2213-2023 tillsynsbegäran.docx", "A 2213-2023")</f>
        <v/>
      </c>
      <c r="Y70">
        <f>HYPERLINK("https://klasma.github.io/Logging_0980/tillsynsmail/A 2213-2023 tillsynsbegäran mail.docx", "A 2213-2023")</f>
        <v/>
      </c>
    </row>
    <row r="71" ht="15" customHeight="1">
      <c r="A71" t="inlineStr">
        <is>
          <t>A 32326-2024</t>
        </is>
      </c>
      <c r="B71" s="1" t="n">
        <v>45512</v>
      </c>
      <c r="C71" s="1" t="n">
        <v>45923</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39425-2023</t>
        </is>
      </c>
      <c r="B72" s="1" t="n">
        <v>45166</v>
      </c>
      <c r="C72" s="1" t="n">
        <v>45923</v>
      </c>
      <c r="D72" t="inlineStr">
        <is>
          <t>GOTLANDS LÄN</t>
        </is>
      </c>
      <c r="E72" t="inlineStr">
        <is>
          <t>GOTLAND</t>
        </is>
      </c>
      <c r="G72" t="n">
        <v>3.9</v>
      </c>
      <c r="H72" t="n">
        <v>1</v>
      </c>
      <c r="I72" t="n">
        <v>3</v>
      </c>
      <c r="J72" t="n">
        <v>0</v>
      </c>
      <c r="K72" t="n">
        <v>2</v>
      </c>
      <c r="L72" t="n">
        <v>0</v>
      </c>
      <c r="M72" t="n">
        <v>0</v>
      </c>
      <c r="N72" t="n">
        <v>0</v>
      </c>
      <c r="O72" t="n">
        <v>2</v>
      </c>
      <c r="P72" t="n">
        <v>2</v>
      </c>
      <c r="Q72" t="n">
        <v>5</v>
      </c>
      <c r="R72" s="2" t="inlineStr">
        <is>
          <t>Knärot
Violgubbe
Anisspindling
Rödgul trumpetsvamp
Svavelriska</t>
        </is>
      </c>
      <c r="S72">
        <f>HYPERLINK("https://klasma.github.io/Logging_0980/artfynd/A 39425-2023 artfynd.xlsx", "A 39425-2023")</f>
        <v/>
      </c>
      <c r="T72">
        <f>HYPERLINK("https://klasma.github.io/Logging_0980/kartor/A 39425-2023 karta.png", "A 39425-2023")</f>
        <v/>
      </c>
      <c r="U72">
        <f>HYPERLINK("https://klasma.github.io/Logging_0980/knärot/A 39425-2023 karta knärot.png", "A 39425-2023")</f>
        <v/>
      </c>
      <c r="V72">
        <f>HYPERLINK("https://klasma.github.io/Logging_0980/klagomål/A 39425-2023 FSC-klagomål.docx", "A 39425-2023")</f>
        <v/>
      </c>
      <c r="W72">
        <f>HYPERLINK("https://klasma.github.io/Logging_0980/klagomålsmail/A 39425-2023 FSC-klagomål mail.docx", "A 39425-2023")</f>
        <v/>
      </c>
      <c r="X72">
        <f>HYPERLINK("https://klasma.github.io/Logging_0980/tillsyn/A 39425-2023 tillsynsbegäran.docx", "A 39425-2023")</f>
        <v/>
      </c>
      <c r="Y72">
        <f>HYPERLINK("https://klasma.github.io/Logging_0980/tillsynsmail/A 39425-2023 tillsynsbegäran mail.docx", "A 39425-2023")</f>
        <v/>
      </c>
    </row>
    <row r="73" ht="15" customHeight="1">
      <c r="A73" t="inlineStr">
        <is>
          <t>A 16375-2025</t>
        </is>
      </c>
      <c r="B73" s="1" t="n">
        <v>45751.41064814815</v>
      </c>
      <c r="C73" s="1" t="n">
        <v>45923</v>
      </c>
      <c r="D73" t="inlineStr">
        <is>
          <t>GOTLANDS LÄN</t>
        </is>
      </c>
      <c r="E73" t="inlineStr">
        <is>
          <t>GOTLAND</t>
        </is>
      </c>
      <c r="G73" t="n">
        <v>1.9</v>
      </c>
      <c r="H73" t="n">
        <v>3</v>
      </c>
      <c r="I73" t="n">
        <v>3</v>
      </c>
      <c r="J73" t="n">
        <v>1</v>
      </c>
      <c r="K73" t="n">
        <v>0</v>
      </c>
      <c r="L73" t="n">
        <v>1</v>
      </c>
      <c r="M73" t="n">
        <v>0</v>
      </c>
      <c r="N73" t="n">
        <v>0</v>
      </c>
      <c r="O73" t="n">
        <v>2</v>
      </c>
      <c r="P73" t="n">
        <v>1</v>
      </c>
      <c r="Q73" t="n">
        <v>5</v>
      </c>
      <c r="R73" s="2" t="inlineStr">
        <is>
          <t>Ask
Spillkråka
Blåmossa
Nästrot
Tvåblad</t>
        </is>
      </c>
      <c r="S73">
        <f>HYPERLINK("https://klasma.github.io/Logging_0980/artfynd/A 16375-2025 artfynd.xlsx", "A 16375-2025")</f>
        <v/>
      </c>
      <c r="T73">
        <f>HYPERLINK("https://klasma.github.io/Logging_0980/kartor/A 16375-2025 karta.png", "A 16375-2025")</f>
        <v/>
      </c>
      <c r="V73">
        <f>HYPERLINK("https://klasma.github.io/Logging_0980/klagomål/A 16375-2025 FSC-klagomål.docx", "A 16375-2025")</f>
        <v/>
      </c>
      <c r="W73">
        <f>HYPERLINK("https://klasma.github.io/Logging_0980/klagomålsmail/A 16375-2025 FSC-klagomål mail.docx", "A 16375-2025")</f>
        <v/>
      </c>
      <c r="X73">
        <f>HYPERLINK("https://klasma.github.io/Logging_0980/tillsyn/A 16375-2025 tillsynsbegäran.docx", "A 16375-2025")</f>
        <v/>
      </c>
      <c r="Y73">
        <f>HYPERLINK("https://klasma.github.io/Logging_0980/tillsynsmail/A 16375-2025 tillsynsbegäran mail.docx", "A 16375-2025")</f>
        <v/>
      </c>
      <c r="Z73">
        <f>HYPERLINK("https://klasma.github.io/Logging_0980/fåglar/A 16375-2025 prioriterade fågelarter.docx", "A 16375-2025")</f>
        <v/>
      </c>
    </row>
    <row r="74" ht="15" customHeight="1">
      <c r="A74" t="inlineStr">
        <is>
          <t>A 29331-2021</t>
        </is>
      </c>
      <c r="B74" s="1" t="n">
        <v>44361</v>
      </c>
      <c r="C74" s="1" t="n">
        <v>45923</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40099-2025</t>
        </is>
      </c>
      <c r="B75" s="1" t="n">
        <v>45894.48462962963</v>
      </c>
      <c r="C75" s="1" t="n">
        <v>45923</v>
      </c>
      <c r="D75" t="inlineStr">
        <is>
          <t>GOTLANDS LÄN</t>
        </is>
      </c>
      <c r="E75" t="inlineStr">
        <is>
          <t>GOTLAND</t>
        </is>
      </c>
      <c r="G75" t="n">
        <v>6.5</v>
      </c>
      <c r="H75" t="n">
        <v>0</v>
      </c>
      <c r="I75" t="n">
        <v>3</v>
      </c>
      <c r="J75" t="n">
        <v>0</v>
      </c>
      <c r="K75" t="n">
        <v>1</v>
      </c>
      <c r="L75" t="n">
        <v>0</v>
      </c>
      <c r="M75" t="n">
        <v>0</v>
      </c>
      <c r="N75" t="n">
        <v>0</v>
      </c>
      <c r="O75" t="n">
        <v>1</v>
      </c>
      <c r="P75" t="n">
        <v>1</v>
      </c>
      <c r="Q75" t="n">
        <v>4</v>
      </c>
      <c r="R75" s="2" t="inlineStr">
        <is>
          <t>Mörkfjällig olivspindling
Fjällig taggsvamp s.str.
Olivspindling
Svavelriska</t>
        </is>
      </c>
      <c r="S75">
        <f>HYPERLINK("https://klasma.github.io/Logging_0980/artfynd/A 40099-2025 artfynd.xlsx", "A 40099-2025")</f>
        <v/>
      </c>
      <c r="T75">
        <f>HYPERLINK("https://klasma.github.io/Logging_0980/kartor/A 40099-2025 karta.png", "A 40099-2025")</f>
        <v/>
      </c>
      <c r="V75">
        <f>HYPERLINK("https://klasma.github.io/Logging_0980/klagomål/A 40099-2025 FSC-klagomål.docx", "A 40099-2025")</f>
        <v/>
      </c>
      <c r="W75">
        <f>HYPERLINK("https://klasma.github.io/Logging_0980/klagomålsmail/A 40099-2025 FSC-klagomål mail.docx", "A 40099-2025")</f>
        <v/>
      </c>
      <c r="X75">
        <f>HYPERLINK("https://klasma.github.io/Logging_0980/tillsyn/A 40099-2025 tillsynsbegäran.docx", "A 40099-2025")</f>
        <v/>
      </c>
      <c r="Y75">
        <f>HYPERLINK("https://klasma.github.io/Logging_0980/tillsynsmail/A 40099-2025 tillsynsbegäran mail.docx", "A 40099-2025")</f>
        <v/>
      </c>
    </row>
    <row r="76" ht="15" customHeight="1">
      <c r="A76" t="inlineStr">
        <is>
          <t>A 54523-2023</t>
        </is>
      </c>
      <c r="B76" s="1" t="n">
        <v>45233</v>
      </c>
      <c r="C76" s="1" t="n">
        <v>45923</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45923</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20833-2024</t>
        </is>
      </c>
      <c r="B78" s="1" t="n">
        <v>45439</v>
      </c>
      <c r="C78" s="1" t="n">
        <v>45923</v>
      </c>
      <c r="D78" t="inlineStr">
        <is>
          <t>GOTLANDS LÄN</t>
        </is>
      </c>
      <c r="E78" t="inlineStr">
        <is>
          <t>GOTLAND</t>
        </is>
      </c>
      <c r="G78" t="n">
        <v>0.9</v>
      </c>
      <c r="H78" t="n">
        <v>3</v>
      </c>
      <c r="I78" t="n">
        <v>1</v>
      </c>
      <c r="J78" t="n">
        <v>3</v>
      </c>
      <c r="K78" t="n">
        <v>0</v>
      </c>
      <c r="L78" t="n">
        <v>0</v>
      </c>
      <c r="M78" t="n">
        <v>0</v>
      </c>
      <c r="N78" t="n">
        <v>0</v>
      </c>
      <c r="O78" t="n">
        <v>3</v>
      </c>
      <c r="P78" t="n">
        <v>0</v>
      </c>
      <c r="Q78" t="n">
        <v>4</v>
      </c>
      <c r="R78" s="2" t="inlineStr">
        <is>
          <t>Dårgräsfjäril
Spillkråka
Svinrot
Skogsknipprot</t>
        </is>
      </c>
      <c r="S78">
        <f>HYPERLINK("https://klasma.github.io/Logging_0980/artfynd/A 20833-2024 artfynd.xlsx", "A 20833-2024")</f>
        <v/>
      </c>
      <c r="T78">
        <f>HYPERLINK("https://klasma.github.io/Logging_0980/kartor/A 20833-2024 karta.png", "A 20833-2024")</f>
        <v/>
      </c>
      <c r="V78">
        <f>HYPERLINK("https://klasma.github.io/Logging_0980/klagomål/A 20833-2024 FSC-klagomål.docx", "A 20833-2024")</f>
        <v/>
      </c>
      <c r="W78">
        <f>HYPERLINK("https://klasma.github.io/Logging_0980/klagomålsmail/A 20833-2024 FSC-klagomål mail.docx", "A 20833-2024")</f>
        <v/>
      </c>
      <c r="X78">
        <f>HYPERLINK("https://klasma.github.io/Logging_0980/tillsyn/A 20833-2024 tillsynsbegäran.docx", "A 20833-2024")</f>
        <v/>
      </c>
      <c r="Y78">
        <f>HYPERLINK("https://klasma.github.io/Logging_0980/tillsynsmail/A 20833-2024 tillsynsbegäran mail.docx", "A 20833-2024")</f>
        <v/>
      </c>
      <c r="Z78">
        <f>HYPERLINK("https://klasma.github.io/Logging_0980/fåglar/A 20833-2024 prioriterade fågelarter.docx", "A 20833-2024")</f>
        <v/>
      </c>
    </row>
    <row r="79" ht="15" customHeight="1">
      <c r="A79" t="inlineStr">
        <is>
          <t>A 43197-2023</t>
        </is>
      </c>
      <c r="B79" s="1" t="n">
        <v>45183</v>
      </c>
      <c r="C79" s="1" t="n">
        <v>45923</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1971-2023</t>
        </is>
      </c>
      <c r="B80" s="1" t="n">
        <v>44939</v>
      </c>
      <c r="C80" s="1" t="n">
        <v>45923</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45923</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45923</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8265-2023</t>
        </is>
      </c>
      <c r="B83" s="1" t="n">
        <v>44974</v>
      </c>
      <c r="C83" s="1" t="n">
        <v>45923</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45923</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45923</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44933-2022</t>
        </is>
      </c>
      <c r="B86" s="1" t="n">
        <v>44841</v>
      </c>
      <c r="C86" s="1" t="n">
        <v>45923</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2485-2025</t>
        </is>
      </c>
      <c r="B87" s="1" t="n">
        <v>45673</v>
      </c>
      <c r="C87" s="1" t="n">
        <v>45923</v>
      </c>
      <c r="D87" t="inlineStr">
        <is>
          <t>GOTLANDS LÄN</t>
        </is>
      </c>
      <c r="E87" t="inlineStr">
        <is>
          <t>GOTLAND</t>
        </is>
      </c>
      <c r="G87" t="n">
        <v>5</v>
      </c>
      <c r="H87" t="n">
        <v>2</v>
      </c>
      <c r="I87" t="n">
        <v>2</v>
      </c>
      <c r="J87" t="n">
        <v>0</v>
      </c>
      <c r="K87" t="n">
        <v>2</v>
      </c>
      <c r="L87" t="n">
        <v>0</v>
      </c>
      <c r="M87" t="n">
        <v>0</v>
      </c>
      <c r="N87" t="n">
        <v>0</v>
      </c>
      <c r="O87" t="n">
        <v>2</v>
      </c>
      <c r="P87" t="n">
        <v>2</v>
      </c>
      <c r="Q87" t="n">
        <v>4</v>
      </c>
      <c r="R87" s="2" t="inlineStr">
        <is>
          <t>Gotlandsmåra
Skogskorn
Nästrot
Skogsknipprot</t>
        </is>
      </c>
      <c r="S87">
        <f>HYPERLINK("https://klasma.github.io/Logging_0980/artfynd/A 2485-2025 artfynd.xlsx", "A 2485-2025")</f>
        <v/>
      </c>
      <c r="T87">
        <f>HYPERLINK("https://klasma.github.io/Logging_0980/kartor/A 2485-2025 karta.png", "A 2485-2025")</f>
        <v/>
      </c>
      <c r="V87">
        <f>HYPERLINK("https://klasma.github.io/Logging_0980/klagomål/A 2485-2025 FSC-klagomål.docx", "A 2485-2025")</f>
        <v/>
      </c>
      <c r="W87">
        <f>HYPERLINK("https://klasma.github.io/Logging_0980/klagomålsmail/A 2485-2025 FSC-klagomål mail.docx", "A 2485-2025")</f>
        <v/>
      </c>
      <c r="X87">
        <f>HYPERLINK("https://klasma.github.io/Logging_0980/tillsyn/A 2485-2025 tillsynsbegäran.docx", "A 2485-2025")</f>
        <v/>
      </c>
      <c r="Y87">
        <f>HYPERLINK("https://klasma.github.io/Logging_0980/tillsynsmail/A 2485-2025 tillsynsbegäran mail.docx", "A 2485-2025")</f>
        <v/>
      </c>
    </row>
    <row r="88" ht="15" customHeight="1">
      <c r="A88" t="inlineStr">
        <is>
          <t>A 55029-2020</t>
        </is>
      </c>
      <c r="B88" s="1" t="n">
        <v>44130</v>
      </c>
      <c r="C88" s="1" t="n">
        <v>45923</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45923</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45923</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45923</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45923</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45923</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45923</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48126-2022</t>
        </is>
      </c>
      <c r="B95" s="1" t="n">
        <v>44857</v>
      </c>
      <c r="C95" s="1" t="n">
        <v>45923</v>
      </c>
      <c r="D95" t="inlineStr">
        <is>
          <t>GOTLANDS LÄN</t>
        </is>
      </c>
      <c r="E95" t="inlineStr">
        <is>
          <t>GOTLAND</t>
        </is>
      </c>
      <c r="G95" t="n">
        <v>9.800000000000001</v>
      </c>
      <c r="H95" t="n">
        <v>1</v>
      </c>
      <c r="I95" t="n">
        <v>0</v>
      </c>
      <c r="J95" t="n">
        <v>3</v>
      </c>
      <c r="K95" t="n">
        <v>0</v>
      </c>
      <c r="L95" t="n">
        <v>0</v>
      </c>
      <c r="M95" t="n">
        <v>0</v>
      </c>
      <c r="N95" t="n">
        <v>0</v>
      </c>
      <c r="O95" t="n">
        <v>3</v>
      </c>
      <c r="P95" t="n">
        <v>0</v>
      </c>
      <c r="Q95" t="n">
        <v>3</v>
      </c>
      <c r="R95" s="2" t="inlineStr">
        <is>
          <t>Jordtistel
Spillkråka
Svinrot</t>
        </is>
      </c>
      <c r="S95">
        <f>HYPERLINK("https://klasma.github.io/Logging_0980/artfynd/A 48126-2022 artfynd.xlsx", "A 48126-2022")</f>
        <v/>
      </c>
      <c r="T95">
        <f>HYPERLINK("https://klasma.github.io/Logging_0980/kartor/A 48126-2022 karta.png", "A 48126-2022")</f>
        <v/>
      </c>
      <c r="V95">
        <f>HYPERLINK("https://klasma.github.io/Logging_0980/klagomål/A 48126-2022 FSC-klagomål.docx", "A 48126-2022")</f>
        <v/>
      </c>
      <c r="W95">
        <f>HYPERLINK("https://klasma.github.io/Logging_0980/klagomålsmail/A 48126-2022 FSC-klagomål mail.docx", "A 48126-2022")</f>
        <v/>
      </c>
      <c r="X95">
        <f>HYPERLINK("https://klasma.github.io/Logging_0980/tillsyn/A 48126-2022 tillsynsbegäran.docx", "A 48126-2022")</f>
        <v/>
      </c>
      <c r="Y95">
        <f>HYPERLINK("https://klasma.github.io/Logging_0980/tillsynsmail/A 48126-2022 tillsynsbegäran mail.docx", "A 48126-2022")</f>
        <v/>
      </c>
      <c r="Z95">
        <f>HYPERLINK("https://klasma.github.io/Logging_0980/fåglar/A 48126-2022 prioriterade fågelarter.docx", "A 48126-2022")</f>
        <v/>
      </c>
    </row>
    <row r="96" ht="15" customHeight="1">
      <c r="A96" t="inlineStr">
        <is>
          <t>A 62326-2020</t>
        </is>
      </c>
      <c r="B96" s="1" t="n">
        <v>44160</v>
      </c>
      <c r="C96" s="1" t="n">
        <v>45923</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20831-2024</t>
        </is>
      </c>
      <c r="B97" s="1" t="n">
        <v>45439</v>
      </c>
      <c r="C97" s="1" t="n">
        <v>45923</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43013-2022</t>
        </is>
      </c>
      <c r="B98" s="1" t="n">
        <v>44833</v>
      </c>
      <c r="C98" s="1" t="n">
        <v>45923</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45923</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45923</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17982-2023</t>
        </is>
      </c>
      <c r="B101" s="1" t="n">
        <v>45040</v>
      </c>
      <c r="C101" s="1" t="n">
        <v>45923</v>
      </c>
      <c r="D101" t="inlineStr">
        <is>
          <t>GOTLANDS LÄN</t>
        </is>
      </c>
      <c r="E101" t="inlineStr">
        <is>
          <t>GOTLAND</t>
        </is>
      </c>
      <c r="G101" t="n">
        <v>2.2</v>
      </c>
      <c r="H101" t="n">
        <v>0</v>
      </c>
      <c r="I101" t="n">
        <v>0</v>
      </c>
      <c r="J101" t="n">
        <v>2</v>
      </c>
      <c r="K101" t="n">
        <v>0</v>
      </c>
      <c r="L101" t="n">
        <v>0</v>
      </c>
      <c r="M101" t="n">
        <v>1</v>
      </c>
      <c r="N101" t="n">
        <v>0</v>
      </c>
      <c r="O101" t="n">
        <v>3</v>
      </c>
      <c r="P101" t="n">
        <v>1</v>
      </c>
      <c r="Q101" t="n">
        <v>3</v>
      </c>
      <c r="R101" s="2" t="inlineStr">
        <is>
          <t>Lundalm
Krusfrö
Ängsskära</t>
        </is>
      </c>
      <c r="S101">
        <f>HYPERLINK("https://klasma.github.io/Logging_0980/artfynd/A 17982-2023 artfynd.xlsx", "A 17982-2023")</f>
        <v/>
      </c>
      <c r="T101">
        <f>HYPERLINK("https://klasma.github.io/Logging_0980/kartor/A 17982-2023 karta.png", "A 17982-2023")</f>
        <v/>
      </c>
      <c r="V101">
        <f>HYPERLINK("https://klasma.github.io/Logging_0980/klagomål/A 17982-2023 FSC-klagomål.docx", "A 17982-2023")</f>
        <v/>
      </c>
      <c r="W101">
        <f>HYPERLINK("https://klasma.github.io/Logging_0980/klagomålsmail/A 17982-2023 FSC-klagomål mail.docx", "A 17982-2023")</f>
        <v/>
      </c>
      <c r="X101">
        <f>HYPERLINK("https://klasma.github.io/Logging_0980/tillsyn/A 17982-2023 tillsynsbegäran.docx", "A 17982-2023")</f>
        <v/>
      </c>
      <c r="Y101">
        <f>HYPERLINK("https://klasma.github.io/Logging_0980/tillsynsmail/A 17982-2023 tillsynsbegäran mail.docx", "A 17982-2023")</f>
        <v/>
      </c>
    </row>
    <row r="102" ht="15" customHeight="1">
      <c r="A102" t="inlineStr">
        <is>
          <t>A 17975-2024</t>
        </is>
      </c>
      <c r="B102" s="1" t="n">
        <v>45419.85546296297</v>
      </c>
      <c r="C102" s="1" t="n">
        <v>45923</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13499-2022</t>
        </is>
      </c>
      <c r="B103" s="1" t="n">
        <v>44647.79203703703</v>
      </c>
      <c r="C103" s="1" t="n">
        <v>45923</v>
      </c>
      <c r="D103" t="inlineStr">
        <is>
          <t>GOTLANDS LÄN</t>
        </is>
      </c>
      <c r="E103" t="inlineStr">
        <is>
          <t>GOTLAND</t>
        </is>
      </c>
      <c r="G103" t="n">
        <v>6.8</v>
      </c>
      <c r="H103" t="n">
        <v>3</v>
      </c>
      <c r="I103" t="n">
        <v>0</v>
      </c>
      <c r="J103" t="n">
        <v>1</v>
      </c>
      <c r="K103" t="n">
        <v>0</v>
      </c>
      <c r="L103" t="n">
        <v>0</v>
      </c>
      <c r="M103" t="n">
        <v>0</v>
      </c>
      <c r="N103" t="n">
        <v>0</v>
      </c>
      <c r="O103" t="n">
        <v>1</v>
      </c>
      <c r="P103" t="n">
        <v>0</v>
      </c>
      <c r="Q103" t="n">
        <v>3</v>
      </c>
      <c r="R103" s="2" t="inlineStr">
        <is>
          <t>Spillkråka
Sankt pers nycklar
Blåsippa</t>
        </is>
      </c>
      <c r="S103">
        <f>HYPERLINK("https://klasma.github.io/Logging_0980/artfynd/A 13499-2022 artfynd.xlsx", "A 13499-2022")</f>
        <v/>
      </c>
      <c r="T103">
        <f>HYPERLINK("https://klasma.github.io/Logging_0980/kartor/A 13499-2022 karta.png", "A 13499-2022")</f>
        <v/>
      </c>
      <c r="V103">
        <f>HYPERLINK("https://klasma.github.io/Logging_0980/klagomål/A 13499-2022 FSC-klagomål.docx", "A 13499-2022")</f>
        <v/>
      </c>
      <c r="W103">
        <f>HYPERLINK("https://klasma.github.io/Logging_0980/klagomålsmail/A 13499-2022 FSC-klagomål mail.docx", "A 13499-2022")</f>
        <v/>
      </c>
      <c r="X103">
        <f>HYPERLINK("https://klasma.github.io/Logging_0980/tillsyn/A 13499-2022 tillsynsbegäran.docx", "A 13499-2022")</f>
        <v/>
      </c>
      <c r="Y103">
        <f>HYPERLINK("https://klasma.github.io/Logging_0980/tillsynsmail/A 13499-2022 tillsynsbegäran mail.docx", "A 13499-2022")</f>
        <v/>
      </c>
      <c r="Z103">
        <f>HYPERLINK("https://klasma.github.io/Logging_0980/fåglar/A 13499-2022 prioriterade fågelarter.docx", "A 13499-2022")</f>
        <v/>
      </c>
    </row>
    <row r="104" ht="15" customHeight="1">
      <c r="A104" t="inlineStr">
        <is>
          <t>A 12315-2024</t>
        </is>
      </c>
      <c r="B104" s="1" t="n">
        <v>45378.6434837963</v>
      </c>
      <c r="C104" s="1" t="n">
        <v>45923</v>
      </c>
      <c r="D104" t="inlineStr">
        <is>
          <t>GOTLANDS LÄN</t>
        </is>
      </c>
      <c r="E104" t="inlineStr">
        <is>
          <t>GOTLAND</t>
        </is>
      </c>
      <c r="G104" t="n">
        <v>6</v>
      </c>
      <c r="H104" t="n">
        <v>3</v>
      </c>
      <c r="I104" t="n">
        <v>1</v>
      </c>
      <c r="J104" t="n">
        <v>1</v>
      </c>
      <c r="K104" t="n">
        <v>0</v>
      </c>
      <c r="L104" t="n">
        <v>0</v>
      </c>
      <c r="M104" t="n">
        <v>0</v>
      </c>
      <c r="N104" t="n">
        <v>0</v>
      </c>
      <c r="O104" t="n">
        <v>1</v>
      </c>
      <c r="P104" t="n">
        <v>0</v>
      </c>
      <c r="Q104" t="n">
        <v>3</v>
      </c>
      <c r="R104" s="2" t="inlineStr">
        <is>
          <t>Buskskvätta
Tvåblad
Fläcknycklar</t>
        </is>
      </c>
      <c r="S104">
        <f>HYPERLINK("https://klasma.github.io/Logging_0980/artfynd/A 12315-2024 artfynd.xlsx", "A 12315-2024")</f>
        <v/>
      </c>
      <c r="T104">
        <f>HYPERLINK("https://klasma.github.io/Logging_0980/kartor/A 12315-2024 karta.png", "A 12315-2024")</f>
        <v/>
      </c>
      <c r="V104">
        <f>HYPERLINK("https://klasma.github.io/Logging_0980/klagomål/A 12315-2024 FSC-klagomål.docx", "A 12315-2024")</f>
        <v/>
      </c>
      <c r="W104">
        <f>HYPERLINK("https://klasma.github.io/Logging_0980/klagomålsmail/A 12315-2024 FSC-klagomål mail.docx", "A 12315-2024")</f>
        <v/>
      </c>
      <c r="X104">
        <f>HYPERLINK("https://klasma.github.io/Logging_0980/tillsyn/A 12315-2024 tillsynsbegäran.docx", "A 12315-2024")</f>
        <v/>
      </c>
      <c r="Y104">
        <f>HYPERLINK("https://klasma.github.io/Logging_0980/tillsynsmail/A 12315-2024 tillsynsbegäran mail.docx", "A 12315-2024")</f>
        <v/>
      </c>
      <c r="Z104">
        <f>HYPERLINK("https://klasma.github.io/Logging_0980/fåglar/A 12315-2024 prioriterade fågelarter.docx", "A 12315-2024")</f>
        <v/>
      </c>
    </row>
    <row r="105" ht="15" customHeight="1">
      <c r="A105" t="inlineStr">
        <is>
          <t>A 30490-2025</t>
        </is>
      </c>
      <c r="B105" s="1" t="n">
        <v>45830</v>
      </c>
      <c r="C105" s="1" t="n">
        <v>45923</v>
      </c>
      <c r="D105" t="inlineStr">
        <is>
          <t>GOTLANDS LÄN</t>
        </is>
      </c>
      <c r="E105" t="inlineStr">
        <is>
          <t>GOTLAND</t>
        </is>
      </c>
      <c r="G105" t="n">
        <v>7.9</v>
      </c>
      <c r="H105" t="n">
        <v>1</v>
      </c>
      <c r="I105" t="n">
        <v>0</v>
      </c>
      <c r="J105" t="n">
        <v>2</v>
      </c>
      <c r="K105" t="n">
        <v>0</v>
      </c>
      <c r="L105" t="n">
        <v>0</v>
      </c>
      <c r="M105" t="n">
        <v>0</v>
      </c>
      <c r="N105" t="n">
        <v>0</v>
      </c>
      <c r="O105" t="n">
        <v>2</v>
      </c>
      <c r="P105" t="n">
        <v>0</v>
      </c>
      <c r="Q105" t="n">
        <v>3</v>
      </c>
      <c r="R105" s="2" t="inlineStr">
        <is>
          <t>Klasefibbla
Majviva
Nattviol</t>
        </is>
      </c>
      <c r="S105">
        <f>HYPERLINK("https://klasma.github.io/Logging_0980/artfynd/A 30490-2025 artfynd.xlsx", "A 30490-2025")</f>
        <v/>
      </c>
      <c r="T105">
        <f>HYPERLINK("https://klasma.github.io/Logging_0980/kartor/A 30490-2025 karta.png", "A 30490-2025")</f>
        <v/>
      </c>
      <c r="V105">
        <f>HYPERLINK("https://klasma.github.io/Logging_0980/klagomål/A 30490-2025 FSC-klagomål.docx", "A 30490-2025")</f>
        <v/>
      </c>
      <c r="W105">
        <f>HYPERLINK("https://klasma.github.io/Logging_0980/klagomålsmail/A 30490-2025 FSC-klagomål mail.docx", "A 30490-2025")</f>
        <v/>
      </c>
      <c r="X105">
        <f>HYPERLINK("https://klasma.github.io/Logging_0980/tillsyn/A 30490-2025 tillsynsbegäran.docx", "A 30490-2025")</f>
        <v/>
      </c>
      <c r="Y105">
        <f>HYPERLINK("https://klasma.github.io/Logging_0980/tillsynsmail/A 30490-2025 tillsynsbegäran mail.docx", "A 30490-2025")</f>
        <v/>
      </c>
    </row>
    <row r="106" ht="15" customHeight="1">
      <c r="A106" t="inlineStr">
        <is>
          <t>A 29870-2021</t>
        </is>
      </c>
      <c r="B106" s="1" t="n">
        <v>44362</v>
      </c>
      <c r="C106" s="1" t="n">
        <v>45923</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45923</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45923</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45923</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45923</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20218-2022</t>
        </is>
      </c>
      <c r="B111" s="1" t="n">
        <v>44698</v>
      </c>
      <c r="C111" s="1" t="n">
        <v>45923</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60665-2021</t>
        </is>
      </c>
      <c r="B112" s="1" t="n">
        <v>44496</v>
      </c>
      <c r="C112" s="1" t="n">
        <v>45923</v>
      </c>
      <c r="D112" t="inlineStr">
        <is>
          <t>GOTLANDS LÄN</t>
        </is>
      </c>
      <c r="E112" t="inlineStr">
        <is>
          <t>GOTLAND</t>
        </is>
      </c>
      <c r="G112" t="n">
        <v>1.6</v>
      </c>
      <c r="H112" t="n">
        <v>0</v>
      </c>
      <c r="I112" t="n">
        <v>0</v>
      </c>
      <c r="J112" t="n">
        <v>0</v>
      </c>
      <c r="K112" t="n">
        <v>1</v>
      </c>
      <c r="L112" t="n">
        <v>1</v>
      </c>
      <c r="M112" t="n">
        <v>0</v>
      </c>
      <c r="N112" t="n">
        <v>0</v>
      </c>
      <c r="O112" t="n">
        <v>2</v>
      </c>
      <c r="P112" t="n">
        <v>2</v>
      </c>
      <c r="Q112" t="n">
        <v>2</v>
      </c>
      <c r="R112" s="2" t="inlineStr">
        <is>
          <t>Ädellav
Skogskorn</t>
        </is>
      </c>
      <c r="S112">
        <f>HYPERLINK("https://klasma.github.io/Logging_0980/artfynd/A 60665-2021 artfynd.xlsx", "A 60665-2021")</f>
        <v/>
      </c>
      <c r="T112">
        <f>HYPERLINK("https://klasma.github.io/Logging_0980/kartor/A 60665-2021 karta.png", "A 60665-2021")</f>
        <v/>
      </c>
      <c r="V112">
        <f>HYPERLINK("https://klasma.github.io/Logging_0980/klagomål/A 60665-2021 FSC-klagomål.docx", "A 60665-2021")</f>
        <v/>
      </c>
      <c r="W112">
        <f>HYPERLINK("https://klasma.github.io/Logging_0980/klagomålsmail/A 60665-2021 FSC-klagomål mail.docx", "A 60665-2021")</f>
        <v/>
      </c>
      <c r="X112">
        <f>HYPERLINK("https://klasma.github.io/Logging_0980/tillsyn/A 60665-2021 tillsynsbegäran.docx", "A 60665-2021")</f>
        <v/>
      </c>
      <c r="Y112">
        <f>HYPERLINK("https://klasma.github.io/Logging_0980/tillsynsmail/A 60665-2021 tillsynsbegäran mail.docx", "A 60665-2021")</f>
        <v/>
      </c>
    </row>
    <row r="113" ht="15" customHeight="1">
      <c r="A113" t="inlineStr">
        <is>
          <t>A 55649-2024</t>
        </is>
      </c>
      <c r="B113" s="1" t="n">
        <v>45622.63053240741</v>
      </c>
      <c r="C113" s="1" t="n">
        <v>45923</v>
      </c>
      <c r="D113" t="inlineStr">
        <is>
          <t>GOTLANDS LÄN</t>
        </is>
      </c>
      <c r="E113" t="inlineStr">
        <is>
          <t>GOTLAND</t>
        </is>
      </c>
      <c r="G113" t="n">
        <v>4.6</v>
      </c>
      <c r="H113" t="n">
        <v>2</v>
      </c>
      <c r="I113" t="n">
        <v>0</v>
      </c>
      <c r="J113" t="n">
        <v>0</v>
      </c>
      <c r="K113" t="n">
        <v>0</v>
      </c>
      <c r="L113" t="n">
        <v>0</v>
      </c>
      <c r="M113" t="n">
        <v>0</v>
      </c>
      <c r="N113" t="n">
        <v>0</v>
      </c>
      <c r="O113" t="n">
        <v>0</v>
      </c>
      <c r="P113" t="n">
        <v>0</v>
      </c>
      <c r="Q113" t="n">
        <v>2</v>
      </c>
      <c r="R113" s="2" t="inlineStr">
        <is>
          <t>Sankt pers nycklar
Blåsippa</t>
        </is>
      </c>
      <c r="S113">
        <f>HYPERLINK("https://klasma.github.io/Logging_0980/artfynd/A 55649-2024 artfynd.xlsx", "A 55649-2024")</f>
        <v/>
      </c>
      <c r="T113">
        <f>HYPERLINK("https://klasma.github.io/Logging_0980/kartor/A 55649-2024 karta.png", "A 55649-2024")</f>
        <v/>
      </c>
      <c r="V113">
        <f>HYPERLINK("https://klasma.github.io/Logging_0980/klagomål/A 55649-2024 FSC-klagomål.docx", "A 55649-2024")</f>
        <v/>
      </c>
      <c r="W113">
        <f>HYPERLINK("https://klasma.github.io/Logging_0980/klagomålsmail/A 55649-2024 FSC-klagomål mail.docx", "A 55649-2024")</f>
        <v/>
      </c>
      <c r="X113">
        <f>HYPERLINK("https://klasma.github.io/Logging_0980/tillsyn/A 55649-2024 tillsynsbegäran.docx", "A 55649-2024")</f>
        <v/>
      </c>
      <c r="Y113">
        <f>HYPERLINK("https://klasma.github.io/Logging_0980/tillsynsmail/A 55649-2024 tillsynsbegäran mail.docx", "A 55649-2024")</f>
        <v/>
      </c>
    </row>
    <row r="114" ht="15" customHeight="1">
      <c r="A114" t="inlineStr">
        <is>
          <t>A 41238-2025</t>
        </is>
      </c>
      <c r="B114" s="1" t="n">
        <v>45898</v>
      </c>
      <c r="C114" s="1" t="n">
        <v>45923</v>
      </c>
      <c r="D114" t="inlineStr">
        <is>
          <t>GOTLANDS LÄN</t>
        </is>
      </c>
      <c r="E114" t="inlineStr">
        <is>
          <t>GOTLAND</t>
        </is>
      </c>
      <c r="G114" t="n">
        <v>7.1</v>
      </c>
      <c r="H114" t="n">
        <v>1</v>
      </c>
      <c r="I114" t="n">
        <v>2</v>
      </c>
      <c r="J114" t="n">
        <v>0</v>
      </c>
      <c r="K114" t="n">
        <v>0</v>
      </c>
      <c r="L114" t="n">
        <v>0</v>
      </c>
      <c r="M114" t="n">
        <v>0</v>
      </c>
      <c r="N114" t="n">
        <v>0</v>
      </c>
      <c r="O114" t="n">
        <v>0</v>
      </c>
      <c r="P114" t="n">
        <v>0</v>
      </c>
      <c r="Q114" t="n">
        <v>2</v>
      </c>
      <c r="R114" s="2" t="inlineStr">
        <is>
          <t>Granbarkgnagare
Skogsknipprot</t>
        </is>
      </c>
      <c r="S114">
        <f>HYPERLINK("https://klasma.github.io/Logging_0980/artfynd/A 41238-2025 artfynd.xlsx", "A 41238-2025")</f>
        <v/>
      </c>
      <c r="T114">
        <f>HYPERLINK("https://klasma.github.io/Logging_0980/kartor/A 41238-2025 karta.png", "A 41238-2025")</f>
        <v/>
      </c>
      <c r="V114">
        <f>HYPERLINK("https://klasma.github.io/Logging_0980/klagomål/A 41238-2025 FSC-klagomål.docx", "A 41238-2025")</f>
        <v/>
      </c>
      <c r="W114">
        <f>HYPERLINK("https://klasma.github.io/Logging_0980/klagomålsmail/A 41238-2025 FSC-klagomål mail.docx", "A 41238-2025")</f>
        <v/>
      </c>
      <c r="X114">
        <f>HYPERLINK("https://klasma.github.io/Logging_0980/tillsyn/A 41238-2025 tillsynsbegäran.docx", "A 41238-2025")</f>
        <v/>
      </c>
      <c r="Y114">
        <f>HYPERLINK("https://klasma.github.io/Logging_0980/tillsynsmail/A 41238-2025 tillsynsbegäran mail.docx", "A 41238-2025")</f>
        <v/>
      </c>
    </row>
    <row r="115" ht="15" customHeight="1">
      <c r="A115" t="inlineStr">
        <is>
          <t>A 26077-2024</t>
        </is>
      </c>
      <c r="B115" s="1" t="n">
        <v>45467</v>
      </c>
      <c r="C115" s="1" t="n">
        <v>45923</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58701-2020</t>
        </is>
      </c>
      <c r="B116" s="1" t="n">
        <v>44146</v>
      </c>
      <c r="C116" s="1" t="n">
        <v>45923</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20838-2024</t>
        </is>
      </c>
      <c r="B117" s="1" t="n">
        <v>45439</v>
      </c>
      <c r="C117" s="1" t="n">
        <v>45923</v>
      </c>
      <c r="D117" t="inlineStr">
        <is>
          <t>GOTLANDS LÄN</t>
        </is>
      </c>
      <c r="E117" t="inlineStr">
        <is>
          <t>GOTLAND</t>
        </is>
      </c>
      <c r="G117" t="n">
        <v>0.7</v>
      </c>
      <c r="H117" t="n">
        <v>2</v>
      </c>
      <c r="I117" t="n">
        <v>1</v>
      </c>
      <c r="J117" t="n">
        <v>1</v>
      </c>
      <c r="K117" t="n">
        <v>0</v>
      </c>
      <c r="L117" t="n">
        <v>0</v>
      </c>
      <c r="M117" t="n">
        <v>0</v>
      </c>
      <c r="N117" t="n">
        <v>0</v>
      </c>
      <c r="O117" t="n">
        <v>1</v>
      </c>
      <c r="P117" t="n">
        <v>0</v>
      </c>
      <c r="Q117" t="n">
        <v>2</v>
      </c>
      <c r="R117" s="2" t="inlineStr">
        <is>
          <t>Spillkråka
Skogsknipprot</t>
        </is>
      </c>
      <c r="S117">
        <f>HYPERLINK("https://klasma.github.io/Logging_0980/artfynd/A 20838-2024 artfynd.xlsx", "A 20838-2024")</f>
        <v/>
      </c>
      <c r="T117">
        <f>HYPERLINK("https://klasma.github.io/Logging_0980/kartor/A 20838-2024 karta.png", "A 20838-2024")</f>
        <v/>
      </c>
      <c r="V117">
        <f>HYPERLINK("https://klasma.github.io/Logging_0980/klagomål/A 20838-2024 FSC-klagomål.docx", "A 20838-2024")</f>
        <v/>
      </c>
      <c r="W117">
        <f>HYPERLINK("https://klasma.github.io/Logging_0980/klagomålsmail/A 20838-2024 FSC-klagomål mail.docx", "A 20838-2024")</f>
        <v/>
      </c>
      <c r="X117">
        <f>HYPERLINK("https://klasma.github.io/Logging_0980/tillsyn/A 20838-2024 tillsynsbegäran.docx", "A 20838-2024")</f>
        <v/>
      </c>
      <c r="Y117">
        <f>HYPERLINK("https://klasma.github.io/Logging_0980/tillsynsmail/A 20838-2024 tillsynsbegäran mail.docx", "A 20838-2024")</f>
        <v/>
      </c>
      <c r="Z117">
        <f>HYPERLINK("https://klasma.github.io/Logging_0980/fåglar/A 20838-2024 prioriterade fågelarter.docx", "A 20838-2024")</f>
        <v/>
      </c>
    </row>
    <row r="118" ht="15" customHeight="1">
      <c r="A118" t="inlineStr">
        <is>
          <t>A 73144-2021</t>
        </is>
      </c>
      <c r="B118" s="1" t="n">
        <v>44550</v>
      </c>
      <c r="C118" s="1" t="n">
        <v>45923</v>
      </c>
      <c r="D118" t="inlineStr">
        <is>
          <t>GOTLANDS LÄN</t>
        </is>
      </c>
      <c r="E118" t="inlineStr">
        <is>
          <t>GOTLAND</t>
        </is>
      </c>
      <c r="G118" t="n">
        <v>1.9</v>
      </c>
      <c r="H118" t="n">
        <v>0</v>
      </c>
      <c r="I118" t="n">
        <v>1</v>
      </c>
      <c r="J118" t="n">
        <v>0</v>
      </c>
      <c r="K118" t="n">
        <v>1</v>
      </c>
      <c r="L118" t="n">
        <v>0</v>
      </c>
      <c r="M118" t="n">
        <v>0</v>
      </c>
      <c r="N118" t="n">
        <v>0</v>
      </c>
      <c r="O118" t="n">
        <v>1</v>
      </c>
      <c r="P118" t="n">
        <v>1</v>
      </c>
      <c r="Q118" t="n">
        <v>2</v>
      </c>
      <c r="R118" s="2" t="inlineStr">
        <is>
          <t>Skogskorn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64263-2020</t>
        </is>
      </c>
      <c r="B119" s="1" t="n">
        <v>44168</v>
      </c>
      <c r="C119" s="1" t="n">
        <v>45923</v>
      </c>
      <c r="D119" t="inlineStr">
        <is>
          <t>GOTLANDS LÄN</t>
        </is>
      </c>
      <c r="E119" t="inlineStr">
        <is>
          <t>GOTLAND</t>
        </is>
      </c>
      <c r="G119" t="n">
        <v>10.9</v>
      </c>
      <c r="H119" t="n">
        <v>1</v>
      </c>
      <c r="I119" t="n">
        <v>0</v>
      </c>
      <c r="J119" t="n">
        <v>2</v>
      </c>
      <c r="K119" t="n">
        <v>0</v>
      </c>
      <c r="L119" t="n">
        <v>0</v>
      </c>
      <c r="M119" t="n">
        <v>0</v>
      </c>
      <c r="N119" t="n">
        <v>0</v>
      </c>
      <c r="O119" t="n">
        <v>2</v>
      </c>
      <c r="P119" t="n">
        <v>0</v>
      </c>
      <c r="Q119" t="n">
        <v>2</v>
      </c>
      <c r="R119" s="2" t="inlineStr">
        <is>
          <t>Mindre hackspett
Ullticka</t>
        </is>
      </c>
      <c r="S119">
        <f>HYPERLINK("https://klasma.github.io/Logging_0980/artfynd/A 64263-2020 artfynd.xlsx", "A 64263-2020")</f>
        <v/>
      </c>
      <c r="T119">
        <f>HYPERLINK("https://klasma.github.io/Logging_0980/kartor/A 64263-2020 karta.png", "A 64263-2020")</f>
        <v/>
      </c>
      <c r="V119">
        <f>HYPERLINK("https://klasma.github.io/Logging_0980/klagomål/A 64263-2020 FSC-klagomål.docx", "A 64263-2020")</f>
        <v/>
      </c>
      <c r="W119">
        <f>HYPERLINK("https://klasma.github.io/Logging_0980/klagomålsmail/A 64263-2020 FSC-klagomål mail.docx", "A 64263-2020")</f>
        <v/>
      </c>
      <c r="X119">
        <f>HYPERLINK("https://klasma.github.io/Logging_0980/tillsyn/A 64263-2020 tillsynsbegäran.docx", "A 64263-2020")</f>
        <v/>
      </c>
      <c r="Y119">
        <f>HYPERLINK("https://klasma.github.io/Logging_0980/tillsynsmail/A 64263-2020 tillsynsbegäran mail.docx", "A 64263-2020")</f>
        <v/>
      </c>
      <c r="Z119">
        <f>HYPERLINK("https://klasma.github.io/Logging_0980/fåglar/A 64263-2020 prioriterade fågelarter.docx", "A 64263-2020")</f>
        <v/>
      </c>
    </row>
    <row r="120" ht="15" customHeight="1">
      <c r="A120" t="inlineStr">
        <is>
          <t>A 28276-2024</t>
        </is>
      </c>
      <c r="B120" s="1" t="n">
        <v>45477</v>
      </c>
      <c r="C120" s="1" t="n">
        <v>45923</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28276-2024 artfynd.xlsx", "A 28276-2024")</f>
        <v/>
      </c>
      <c r="T120">
        <f>HYPERLINK("https://klasma.github.io/Logging_0980/kartor/A 28276-2024 karta.png", "A 28276-2024")</f>
        <v/>
      </c>
      <c r="V120">
        <f>HYPERLINK("https://klasma.github.io/Logging_0980/klagomål/A 28276-2024 FSC-klagomål.docx", "A 28276-2024")</f>
        <v/>
      </c>
      <c r="W120">
        <f>HYPERLINK("https://klasma.github.io/Logging_0980/klagomålsmail/A 28276-2024 FSC-klagomål mail.docx", "A 28276-2024")</f>
        <v/>
      </c>
      <c r="X120">
        <f>HYPERLINK("https://klasma.github.io/Logging_0980/tillsyn/A 28276-2024 tillsynsbegäran.docx", "A 28276-2024")</f>
        <v/>
      </c>
      <c r="Y120">
        <f>HYPERLINK("https://klasma.github.io/Logging_0980/tillsynsmail/A 28276-2024 tillsynsbegäran mail.docx", "A 28276-2024")</f>
        <v/>
      </c>
    </row>
    <row r="121" ht="15" customHeight="1">
      <c r="A121" t="inlineStr">
        <is>
          <t>A 54357-2024</t>
        </is>
      </c>
      <c r="B121" s="1" t="n">
        <v>45617.40662037037</v>
      </c>
      <c r="C121" s="1" t="n">
        <v>45923</v>
      </c>
      <c r="D121" t="inlineStr">
        <is>
          <t>GOTLANDS LÄN</t>
        </is>
      </c>
      <c r="E121" t="inlineStr">
        <is>
          <t>GOTLAND</t>
        </is>
      </c>
      <c r="G121" t="n">
        <v>1.5</v>
      </c>
      <c r="H121" t="n">
        <v>1</v>
      </c>
      <c r="I121" t="n">
        <v>0</v>
      </c>
      <c r="J121" t="n">
        <v>1</v>
      </c>
      <c r="K121" t="n">
        <v>0</v>
      </c>
      <c r="L121" t="n">
        <v>0</v>
      </c>
      <c r="M121" t="n">
        <v>0</v>
      </c>
      <c r="N121" t="n">
        <v>0</v>
      </c>
      <c r="O121" t="n">
        <v>1</v>
      </c>
      <c r="P121" t="n">
        <v>0</v>
      </c>
      <c r="Q121" t="n">
        <v>2</v>
      </c>
      <c r="R121" s="2" t="inlineStr">
        <is>
          <t>Loppstarr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21879-2025</t>
        </is>
      </c>
      <c r="B122" s="1" t="n">
        <v>45784.40533564815</v>
      </c>
      <c r="C122" s="1" t="n">
        <v>45923</v>
      </c>
      <c r="D122" t="inlineStr">
        <is>
          <t>GOTLANDS LÄN</t>
        </is>
      </c>
      <c r="E122" t="inlineStr">
        <is>
          <t>GOTLAND</t>
        </is>
      </c>
      <c r="G122" t="n">
        <v>11.1</v>
      </c>
      <c r="H122" t="n">
        <v>0</v>
      </c>
      <c r="I122" t="n">
        <v>1</v>
      </c>
      <c r="J122" t="n">
        <v>0</v>
      </c>
      <c r="K122" t="n">
        <v>0</v>
      </c>
      <c r="L122" t="n">
        <v>1</v>
      </c>
      <c r="M122" t="n">
        <v>0</v>
      </c>
      <c r="N122" t="n">
        <v>0</v>
      </c>
      <c r="O122" t="n">
        <v>1</v>
      </c>
      <c r="P122" t="n">
        <v>1</v>
      </c>
      <c r="Q122" t="n">
        <v>2</v>
      </c>
      <c r="R122" s="2" t="inlineStr">
        <is>
          <t>Ask
Murgröna</t>
        </is>
      </c>
      <c r="S122">
        <f>HYPERLINK("https://klasma.github.io/Logging_0980/artfynd/A 21879-2025 artfynd.xlsx", "A 21879-2025")</f>
        <v/>
      </c>
      <c r="T122">
        <f>HYPERLINK("https://klasma.github.io/Logging_0980/kartor/A 21879-2025 karta.png", "A 21879-2025")</f>
        <v/>
      </c>
      <c r="V122">
        <f>HYPERLINK("https://klasma.github.io/Logging_0980/klagomål/A 21879-2025 FSC-klagomål.docx", "A 21879-2025")</f>
        <v/>
      </c>
      <c r="W122">
        <f>HYPERLINK("https://klasma.github.io/Logging_0980/klagomålsmail/A 21879-2025 FSC-klagomål mail.docx", "A 21879-2025")</f>
        <v/>
      </c>
      <c r="X122">
        <f>HYPERLINK("https://klasma.github.io/Logging_0980/tillsyn/A 21879-2025 tillsynsbegäran.docx", "A 21879-2025")</f>
        <v/>
      </c>
      <c r="Y122">
        <f>HYPERLINK("https://klasma.github.io/Logging_0980/tillsynsmail/A 21879-2025 tillsynsbegäran mail.docx", "A 21879-2025")</f>
        <v/>
      </c>
    </row>
    <row r="123" ht="15" customHeight="1">
      <c r="A123" t="inlineStr">
        <is>
          <t>A 7070-2022</t>
        </is>
      </c>
      <c r="B123" s="1" t="n">
        <v>44603</v>
      </c>
      <c r="C123" s="1" t="n">
        <v>45923</v>
      </c>
      <c r="D123" t="inlineStr">
        <is>
          <t>GOTLANDS LÄN</t>
        </is>
      </c>
      <c r="E123" t="inlineStr">
        <is>
          <t>GOTLAND</t>
        </is>
      </c>
      <c r="G123" t="n">
        <v>2.6</v>
      </c>
      <c r="H123" t="n">
        <v>0</v>
      </c>
      <c r="I123" t="n">
        <v>2</v>
      </c>
      <c r="J123" t="n">
        <v>0</v>
      </c>
      <c r="K123" t="n">
        <v>0</v>
      </c>
      <c r="L123" t="n">
        <v>0</v>
      </c>
      <c r="M123" t="n">
        <v>0</v>
      </c>
      <c r="N123" t="n">
        <v>0</v>
      </c>
      <c r="O123" t="n">
        <v>0</v>
      </c>
      <c r="P123" t="n">
        <v>0</v>
      </c>
      <c r="Q123" t="n">
        <v>2</v>
      </c>
      <c r="R123" s="2" t="inlineStr">
        <is>
          <t>Blåmossa
Kattfotslav</t>
        </is>
      </c>
      <c r="S123">
        <f>HYPERLINK("https://klasma.github.io/Logging_0980/artfynd/A 7070-2022 artfynd.xlsx", "A 7070-2022")</f>
        <v/>
      </c>
      <c r="T123">
        <f>HYPERLINK("https://klasma.github.io/Logging_0980/kartor/A 7070-2022 karta.png", "A 7070-2022")</f>
        <v/>
      </c>
      <c r="V123">
        <f>HYPERLINK("https://klasma.github.io/Logging_0980/klagomål/A 7070-2022 FSC-klagomål.docx", "A 7070-2022")</f>
        <v/>
      </c>
      <c r="W123">
        <f>HYPERLINK("https://klasma.github.io/Logging_0980/klagomålsmail/A 7070-2022 FSC-klagomål mail.docx", "A 7070-2022")</f>
        <v/>
      </c>
      <c r="X123">
        <f>HYPERLINK("https://klasma.github.io/Logging_0980/tillsyn/A 7070-2022 tillsynsbegäran.docx", "A 7070-2022")</f>
        <v/>
      </c>
      <c r="Y123">
        <f>HYPERLINK("https://klasma.github.io/Logging_0980/tillsynsmail/A 7070-2022 tillsynsbegäran mail.docx", "A 7070-2022")</f>
        <v/>
      </c>
    </row>
    <row r="124" ht="15" customHeight="1">
      <c r="A124" t="inlineStr">
        <is>
          <t>A 43219-2023</t>
        </is>
      </c>
      <c r="B124" s="1" t="n">
        <v>45183</v>
      </c>
      <c r="C124" s="1" t="n">
        <v>45923</v>
      </c>
      <c r="D124" t="inlineStr">
        <is>
          <t>GOTLANDS LÄN</t>
        </is>
      </c>
      <c r="E124" t="inlineStr">
        <is>
          <t>GOTLAND</t>
        </is>
      </c>
      <c r="G124" t="n">
        <v>3.6</v>
      </c>
      <c r="H124" t="n">
        <v>1</v>
      </c>
      <c r="I124" t="n">
        <v>0</v>
      </c>
      <c r="J124" t="n">
        <v>1</v>
      </c>
      <c r="K124" t="n">
        <v>0</v>
      </c>
      <c r="L124" t="n">
        <v>0</v>
      </c>
      <c r="M124" t="n">
        <v>0</v>
      </c>
      <c r="N124" t="n">
        <v>0</v>
      </c>
      <c r="O124" t="n">
        <v>1</v>
      </c>
      <c r="P124" t="n">
        <v>0</v>
      </c>
      <c r="Q124" t="n">
        <v>2</v>
      </c>
      <c r="R124" s="2" t="inlineStr">
        <is>
          <t>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12914-2025</t>
        </is>
      </c>
      <c r="B125" s="1" t="n">
        <v>45733</v>
      </c>
      <c r="C125" s="1" t="n">
        <v>45923</v>
      </c>
      <c r="D125" t="inlineStr">
        <is>
          <t>GOTLANDS LÄN</t>
        </is>
      </c>
      <c r="E125" t="inlineStr">
        <is>
          <t>GOTLAND</t>
        </is>
      </c>
      <c r="G125" t="n">
        <v>24.8</v>
      </c>
      <c r="H125" t="n">
        <v>2</v>
      </c>
      <c r="I125" t="n">
        <v>1</v>
      </c>
      <c r="J125" t="n">
        <v>0</v>
      </c>
      <c r="K125" t="n">
        <v>0</v>
      </c>
      <c r="L125" t="n">
        <v>0</v>
      </c>
      <c r="M125" t="n">
        <v>0</v>
      </c>
      <c r="N125" t="n">
        <v>0</v>
      </c>
      <c r="O125" t="n">
        <v>0</v>
      </c>
      <c r="P125" t="n">
        <v>0</v>
      </c>
      <c r="Q125" t="n">
        <v>2</v>
      </c>
      <c r="R125" s="2" t="inlineStr">
        <is>
          <t>Purpurknipprot
Brudsporre</t>
        </is>
      </c>
      <c r="S125">
        <f>HYPERLINK("https://klasma.github.io/Logging_0980/artfynd/A 12914-2025 artfynd.xlsx", "A 12914-2025")</f>
        <v/>
      </c>
      <c r="T125">
        <f>HYPERLINK("https://klasma.github.io/Logging_0980/kartor/A 12914-2025 karta.png", "A 12914-2025")</f>
        <v/>
      </c>
      <c r="V125">
        <f>HYPERLINK("https://klasma.github.io/Logging_0980/klagomål/A 12914-2025 FSC-klagomål.docx", "A 12914-2025")</f>
        <v/>
      </c>
      <c r="W125">
        <f>HYPERLINK("https://klasma.github.io/Logging_0980/klagomålsmail/A 12914-2025 FSC-klagomål mail.docx", "A 12914-2025")</f>
        <v/>
      </c>
      <c r="X125">
        <f>HYPERLINK("https://klasma.github.io/Logging_0980/tillsyn/A 12914-2025 tillsynsbegäran.docx", "A 12914-2025")</f>
        <v/>
      </c>
      <c r="Y125">
        <f>HYPERLINK("https://klasma.github.io/Logging_0980/tillsynsmail/A 12914-2025 tillsynsbegäran mail.docx", "A 12914-2025")</f>
        <v/>
      </c>
    </row>
    <row r="126" ht="15" customHeight="1">
      <c r="A126" t="inlineStr">
        <is>
          <t>A 28261-2024</t>
        </is>
      </c>
      <c r="B126" s="1" t="n">
        <v>45477</v>
      </c>
      <c r="C126" s="1" t="n">
        <v>45923</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24-2021</t>
        </is>
      </c>
      <c r="B127" s="1" t="n">
        <v>44197</v>
      </c>
      <c r="C127" s="1" t="n">
        <v>45923</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45923</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45923</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45923</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10218-2025</t>
        </is>
      </c>
      <c r="B131" s="1" t="n">
        <v>45720</v>
      </c>
      <c r="C131" s="1" t="n">
        <v>45923</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20429-2025</t>
        </is>
      </c>
      <c r="B132" s="1" t="n">
        <v>45775.47728009259</v>
      </c>
      <c r="C132" s="1" t="n">
        <v>45923</v>
      </c>
      <c r="D132" t="inlineStr">
        <is>
          <t>GOTLANDS LÄN</t>
        </is>
      </c>
      <c r="E132" t="inlineStr">
        <is>
          <t>GOTLAND</t>
        </is>
      </c>
      <c r="G132" t="n">
        <v>1.4</v>
      </c>
      <c r="H132" t="n">
        <v>1</v>
      </c>
      <c r="I132" t="n">
        <v>0</v>
      </c>
      <c r="J132" t="n">
        <v>0</v>
      </c>
      <c r="K132" t="n">
        <v>0</v>
      </c>
      <c r="L132" t="n">
        <v>0</v>
      </c>
      <c r="M132" t="n">
        <v>0</v>
      </c>
      <c r="N132" t="n">
        <v>0</v>
      </c>
      <c r="O132" t="n">
        <v>0</v>
      </c>
      <c r="P132" t="n">
        <v>0</v>
      </c>
      <c r="Q132" t="n">
        <v>1</v>
      </c>
      <c r="R132" s="2" t="inlineStr">
        <is>
          <t>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12379-2024</t>
        </is>
      </c>
      <c r="B133" s="1" t="n">
        <v>45379.28155092592</v>
      </c>
      <c r="C133" s="1" t="n">
        <v>45923</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45923</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39812-2025</t>
        </is>
      </c>
      <c r="B135" s="1" t="n">
        <v>45891</v>
      </c>
      <c r="C135" s="1" t="n">
        <v>45923</v>
      </c>
      <c r="D135" t="inlineStr">
        <is>
          <t>GOTLANDS LÄN</t>
        </is>
      </c>
      <c r="E135" t="inlineStr">
        <is>
          <t>GOTLAND</t>
        </is>
      </c>
      <c r="G135" t="n">
        <v>6</v>
      </c>
      <c r="H135" t="n">
        <v>1</v>
      </c>
      <c r="I135" t="n">
        <v>0</v>
      </c>
      <c r="J135" t="n">
        <v>0</v>
      </c>
      <c r="K135" t="n">
        <v>0</v>
      </c>
      <c r="L135" t="n">
        <v>1</v>
      </c>
      <c r="M135" t="n">
        <v>0</v>
      </c>
      <c r="N135" t="n">
        <v>0</v>
      </c>
      <c r="O135" t="n">
        <v>1</v>
      </c>
      <c r="P135" t="n">
        <v>1</v>
      </c>
      <c r="Q135" t="n">
        <v>1</v>
      </c>
      <c r="R135" s="2" t="inlineStr">
        <is>
          <t>Nålkörvel</t>
        </is>
      </c>
      <c r="S135">
        <f>HYPERLINK("https://klasma.github.io/Logging_0980/artfynd/A 39812-2025 artfynd.xlsx", "A 39812-2025")</f>
        <v/>
      </c>
      <c r="T135">
        <f>HYPERLINK("https://klasma.github.io/Logging_0980/kartor/A 39812-2025 karta.png", "A 39812-2025")</f>
        <v/>
      </c>
      <c r="V135">
        <f>HYPERLINK("https://klasma.github.io/Logging_0980/klagomål/A 39812-2025 FSC-klagomål.docx", "A 39812-2025")</f>
        <v/>
      </c>
      <c r="W135">
        <f>HYPERLINK("https://klasma.github.io/Logging_0980/klagomålsmail/A 39812-2025 FSC-klagomål mail.docx", "A 39812-2025")</f>
        <v/>
      </c>
      <c r="X135">
        <f>HYPERLINK("https://klasma.github.io/Logging_0980/tillsyn/A 39812-2025 tillsynsbegäran.docx", "A 39812-2025")</f>
        <v/>
      </c>
      <c r="Y135">
        <f>HYPERLINK("https://klasma.github.io/Logging_0980/tillsynsmail/A 39812-2025 tillsynsbegäran mail.docx", "A 39812-2025")</f>
        <v/>
      </c>
    </row>
    <row r="136" ht="15" customHeight="1">
      <c r="A136" t="inlineStr">
        <is>
          <t>A 15637-2024</t>
        </is>
      </c>
      <c r="B136" s="1" t="n">
        <v>45403.6684837963</v>
      </c>
      <c r="C136" s="1" t="n">
        <v>45923</v>
      </c>
      <c r="D136" t="inlineStr">
        <is>
          <t>GOTLANDS LÄN</t>
        </is>
      </c>
      <c r="E136" t="inlineStr">
        <is>
          <t>GOTLAND</t>
        </is>
      </c>
      <c r="G136" t="n">
        <v>4.1</v>
      </c>
      <c r="H136" t="n">
        <v>1</v>
      </c>
      <c r="I136" t="n">
        <v>0</v>
      </c>
      <c r="J136" t="n">
        <v>0</v>
      </c>
      <c r="K136" t="n">
        <v>0</v>
      </c>
      <c r="L136" t="n">
        <v>0</v>
      </c>
      <c r="M136" t="n">
        <v>0</v>
      </c>
      <c r="N136" t="n">
        <v>0</v>
      </c>
      <c r="O136" t="n">
        <v>0</v>
      </c>
      <c r="P136" t="n">
        <v>0</v>
      </c>
      <c r="Q136" t="n">
        <v>1</v>
      </c>
      <c r="R136" s="2" t="inlineStr">
        <is>
          <t>Blåsippa</t>
        </is>
      </c>
      <c r="S136">
        <f>HYPERLINK("https://klasma.github.io/Logging_0980/artfynd/A 15637-2024 artfynd.xlsx", "A 15637-2024")</f>
        <v/>
      </c>
      <c r="T136">
        <f>HYPERLINK("https://klasma.github.io/Logging_0980/kartor/A 15637-2024 karta.png", "A 15637-2024")</f>
        <v/>
      </c>
      <c r="V136">
        <f>HYPERLINK("https://klasma.github.io/Logging_0980/klagomål/A 15637-2024 FSC-klagomål.docx", "A 15637-2024")</f>
        <v/>
      </c>
      <c r="W136">
        <f>HYPERLINK("https://klasma.github.io/Logging_0980/klagomålsmail/A 15637-2024 FSC-klagomål mail.docx", "A 15637-2024")</f>
        <v/>
      </c>
      <c r="X136">
        <f>HYPERLINK("https://klasma.github.io/Logging_0980/tillsyn/A 15637-2024 tillsynsbegäran.docx", "A 15637-2024")</f>
        <v/>
      </c>
      <c r="Y136">
        <f>HYPERLINK("https://klasma.github.io/Logging_0980/tillsynsmail/A 15637-2024 tillsynsbegäran mail.docx", "A 15637-2024")</f>
        <v/>
      </c>
    </row>
    <row r="137" ht="15" customHeight="1">
      <c r="A137" t="inlineStr">
        <is>
          <t>A 63299-2020</t>
        </is>
      </c>
      <c r="B137" s="1" t="n">
        <v>44165</v>
      </c>
      <c r="C137" s="1" t="n">
        <v>45923</v>
      </c>
      <c r="D137" t="inlineStr">
        <is>
          <t>GOTLANDS LÄN</t>
        </is>
      </c>
      <c r="E137" t="inlineStr">
        <is>
          <t>GOTLAND</t>
        </is>
      </c>
      <c r="G137" t="n">
        <v>12.9</v>
      </c>
      <c r="H137" t="n">
        <v>1</v>
      </c>
      <c r="I137" t="n">
        <v>0</v>
      </c>
      <c r="J137" t="n">
        <v>1</v>
      </c>
      <c r="K137" t="n">
        <v>0</v>
      </c>
      <c r="L137" t="n">
        <v>0</v>
      </c>
      <c r="M137" t="n">
        <v>0</v>
      </c>
      <c r="N137" t="n">
        <v>0</v>
      </c>
      <c r="O137" t="n">
        <v>1</v>
      </c>
      <c r="P137" t="n">
        <v>0</v>
      </c>
      <c r="Q137" t="n">
        <v>1</v>
      </c>
      <c r="R137" s="2" t="inlineStr">
        <is>
          <t>Svartfläckig blåvinge</t>
        </is>
      </c>
      <c r="S137">
        <f>HYPERLINK("https://klasma.github.io/Logging_0980/artfynd/A 63299-2020 artfynd.xlsx", "A 63299-2020")</f>
        <v/>
      </c>
      <c r="T137">
        <f>HYPERLINK("https://klasma.github.io/Logging_0980/kartor/A 63299-2020 karta.png", "A 63299-2020")</f>
        <v/>
      </c>
      <c r="V137">
        <f>HYPERLINK("https://klasma.github.io/Logging_0980/klagomål/A 63299-2020 FSC-klagomål.docx", "A 63299-2020")</f>
        <v/>
      </c>
      <c r="W137">
        <f>HYPERLINK("https://klasma.github.io/Logging_0980/klagomålsmail/A 63299-2020 FSC-klagomål mail.docx", "A 63299-2020")</f>
        <v/>
      </c>
      <c r="X137">
        <f>HYPERLINK("https://klasma.github.io/Logging_0980/tillsyn/A 63299-2020 tillsynsbegäran.docx", "A 63299-2020")</f>
        <v/>
      </c>
      <c r="Y137">
        <f>HYPERLINK("https://klasma.github.io/Logging_0980/tillsynsmail/A 63299-2020 tillsynsbegäran mail.docx", "A 63299-2020")</f>
        <v/>
      </c>
    </row>
    <row r="138" ht="15" customHeight="1">
      <c r="A138" t="inlineStr">
        <is>
          <t>A 27168-2022</t>
        </is>
      </c>
      <c r="B138" s="1" t="n">
        <v>44741</v>
      </c>
      <c r="C138" s="1" t="n">
        <v>45923</v>
      </c>
      <c r="D138" t="inlineStr">
        <is>
          <t>GOTLANDS LÄN</t>
        </is>
      </c>
      <c r="E138" t="inlineStr">
        <is>
          <t>GOTLAND</t>
        </is>
      </c>
      <c r="G138" t="n">
        <v>2.2</v>
      </c>
      <c r="H138" t="n">
        <v>1</v>
      </c>
      <c r="I138" t="n">
        <v>1</v>
      </c>
      <c r="J138" t="n">
        <v>0</v>
      </c>
      <c r="K138" t="n">
        <v>0</v>
      </c>
      <c r="L138" t="n">
        <v>0</v>
      </c>
      <c r="M138" t="n">
        <v>0</v>
      </c>
      <c r="N138" t="n">
        <v>0</v>
      </c>
      <c r="O138" t="n">
        <v>0</v>
      </c>
      <c r="P138" t="n">
        <v>0</v>
      </c>
      <c r="Q138" t="n">
        <v>1</v>
      </c>
      <c r="R138" s="2" t="inlineStr">
        <is>
          <t>Purpurknipprot</t>
        </is>
      </c>
      <c r="S138">
        <f>HYPERLINK("https://klasma.github.io/Logging_0980/artfynd/A 27168-2022 artfynd.xlsx", "A 27168-2022")</f>
        <v/>
      </c>
      <c r="T138">
        <f>HYPERLINK("https://klasma.github.io/Logging_0980/kartor/A 27168-2022 karta.png", "A 27168-2022")</f>
        <v/>
      </c>
      <c r="V138">
        <f>HYPERLINK("https://klasma.github.io/Logging_0980/klagomål/A 27168-2022 FSC-klagomål.docx", "A 27168-2022")</f>
        <v/>
      </c>
      <c r="W138">
        <f>HYPERLINK("https://klasma.github.io/Logging_0980/klagomålsmail/A 27168-2022 FSC-klagomål mail.docx", "A 27168-2022")</f>
        <v/>
      </c>
      <c r="X138">
        <f>HYPERLINK("https://klasma.github.io/Logging_0980/tillsyn/A 27168-2022 tillsynsbegäran.docx", "A 27168-2022")</f>
        <v/>
      </c>
      <c r="Y138">
        <f>HYPERLINK("https://klasma.github.io/Logging_0980/tillsynsmail/A 27168-2022 tillsynsbegäran mail.docx", "A 27168-2022")</f>
        <v/>
      </c>
    </row>
    <row r="139" ht="15" customHeight="1">
      <c r="A139" t="inlineStr">
        <is>
          <t>A 22782-2023</t>
        </is>
      </c>
      <c r="B139" s="1" t="n">
        <v>45072</v>
      </c>
      <c r="C139" s="1" t="n">
        <v>45923</v>
      </c>
      <c r="D139" t="inlineStr">
        <is>
          <t>GOTLANDS LÄN</t>
        </is>
      </c>
      <c r="E139" t="inlineStr">
        <is>
          <t>GOTLAND</t>
        </is>
      </c>
      <c r="F139" t="inlineStr">
        <is>
          <t>Kyrkan</t>
        </is>
      </c>
      <c r="G139" t="n">
        <v>3.1</v>
      </c>
      <c r="H139" t="n">
        <v>1</v>
      </c>
      <c r="I139" t="n">
        <v>0</v>
      </c>
      <c r="J139" t="n">
        <v>0</v>
      </c>
      <c r="K139" t="n">
        <v>0</v>
      </c>
      <c r="L139" t="n">
        <v>0</v>
      </c>
      <c r="M139" t="n">
        <v>0</v>
      </c>
      <c r="N139" t="n">
        <v>0</v>
      </c>
      <c r="O139" t="n">
        <v>0</v>
      </c>
      <c r="P139" t="n">
        <v>0</v>
      </c>
      <c r="Q139" t="n">
        <v>1</v>
      </c>
      <c r="R139" s="2" t="inlineStr">
        <is>
          <t>Ängsnycklar × skogsnycklar</t>
        </is>
      </c>
      <c r="S139">
        <f>HYPERLINK("https://klasma.github.io/Logging_0980/artfynd/A 22782-2023 artfynd.xlsx", "A 22782-2023")</f>
        <v/>
      </c>
      <c r="T139">
        <f>HYPERLINK("https://klasma.github.io/Logging_0980/kartor/A 22782-2023 karta.png", "A 22782-2023")</f>
        <v/>
      </c>
      <c r="V139">
        <f>HYPERLINK("https://klasma.github.io/Logging_0980/klagomål/A 22782-2023 FSC-klagomål.docx", "A 22782-2023")</f>
        <v/>
      </c>
      <c r="W139">
        <f>HYPERLINK("https://klasma.github.io/Logging_0980/klagomålsmail/A 22782-2023 FSC-klagomål mail.docx", "A 22782-2023")</f>
        <v/>
      </c>
      <c r="X139">
        <f>HYPERLINK("https://klasma.github.io/Logging_0980/tillsyn/A 22782-2023 tillsynsbegäran.docx", "A 22782-2023")</f>
        <v/>
      </c>
      <c r="Y139">
        <f>HYPERLINK("https://klasma.github.io/Logging_0980/tillsynsmail/A 22782-2023 tillsynsbegäran mail.docx", "A 22782-2023")</f>
        <v/>
      </c>
    </row>
    <row r="140" ht="15" customHeight="1">
      <c r="A140" t="inlineStr">
        <is>
          <t>A 2476-2025</t>
        </is>
      </c>
      <c r="B140" s="1" t="n">
        <v>45673</v>
      </c>
      <c r="C140" s="1" t="n">
        <v>45923</v>
      </c>
      <c r="D140" t="inlineStr">
        <is>
          <t>GOTLANDS LÄN</t>
        </is>
      </c>
      <c r="E140" t="inlineStr">
        <is>
          <t>GOTLAND</t>
        </is>
      </c>
      <c r="G140" t="n">
        <v>3.1</v>
      </c>
      <c r="H140" t="n">
        <v>0</v>
      </c>
      <c r="I140" t="n">
        <v>1</v>
      </c>
      <c r="J140" t="n">
        <v>0</v>
      </c>
      <c r="K140" t="n">
        <v>0</v>
      </c>
      <c r="L140" t="n">
        <v>0</v>
      </c>
      <c r="M140" t="n">
        <v>0</v>
      </c>
      <c r="N140" t="n">
        <v>0</v>
      </c>
      <c r="O140" t="n">
        <v>0</v>
      </c>
      <c r="P140" t="n">
        <v>0</v>
      </c>
      <c r="Q140" t="n">
        <v>1</v>
      </c>
      <c r="R140" s="2" t="inlineStr">
        <is>
          <t>Kryddspindling</t>
        </is>
      </c>
      <c r="S140">
        <f>HYPERLINK("https://klasma.github.io/Logging_0980/artfynd/A 2476-2025 artfynd.xlsx", "A 2476-2025")</f>
        <v/>
      </c>
      <c r="T140">
        <f>HYPERLINK("https://klasma.github.io/Logging_0980/kartor/A 2476-2025 karta.png", "A 2476-2025")</f>
        <v/>
      </c>
      <c r="V140">
        <f>HYPERLINK("https://klasma.github.io/Logging_0980/klagomål/A 2476-2025 FSC-klagomål.docx", "A 2476-2025")</f>
        <v/>
      </c>
      <c r="W140">
        <f>HYPERLINK("https://klasma.github.io/Logging_0980/klagomålsmail/A 2476-2025 FSC-klagomål mail.docx", "A 2476-2025")</f>
        <v/>
      </c>
      <c r="X140">
        <f>HYPERLINK("https://klasma.github.io/Logging_0980/tillsyn/A 2476-2025 tillsynsbegäran.docx", "A 2476-2025")</f>
        <v/>
      </c>
      <c r="Y140">
        <f>HYPERLINK("https://klasma.github.io/Logging_0980/tillsynsmail/A 2476-2025 tillsynsbegäran mail.docx", "A 2476-2025")</f>
        <v/>
      </c>
    </row>
    <row r="141" ht="15" customHeight="1">
      <c r="A141" t="inlineStr">
        <is>
          <t>A 25977-2024</t>
        </is>
      </c>
      <c r="B141" s="1" t="n">
        <v>45467.69356481481</v>
      </c>
      <c r="C141" s="1" t="n">
        <v>45923</v>
      </c>
      <c r="D141" t="inlineStr">
        <is>
          <t>GOTLANDS LÄN</t>
        </is>
      </c>
      <c r="E141" t="inlineStr">
        <is>
          <t>GOTLAND</t>
        </is>
      </c>
      <c r="G141" t="n">
        <v>3</v>
      </c>
      <c r="H141" t="n">
        <v>1</v>
      </c>
      <c r="I141" t="n">
        <v>0</v>
      </c>
      <c r="J141" t="n">
        <v>0</v>
      </c>
      <c r="K141" t="n">
        <v>0</v>
      </c>
      <c r="L141" t="n">
        <v>0</v>
      </c>
      <c r="M141" t="n">
        <v>0</v>
      </c>
      <c r="N141" t="n">
        <v>0</v>
      </c>
      <c r="O141" t="n">
        <v>0</v>
      </c>
      <c r="P141" t="n">
        <v>0</v>
      </c>
      <c r="Q141" t="n">
        <v>1</v>
      </c>
      <c r="R141" s="2" t="inlineStr">
        <is>
          <t>Nattviol</t>
        </is>
      </c>
      <c r="S141">
        <f>HYPERLINK("https://klasma.github.io/Logging_0980/artfynd/A 25977-2024 artfynd.xlsx", "A 25977-2024")</f>
        <v/>
      </c>
      <c r="T141">
        <f>HYPERLINK("https://klasma.github.io/Logging_0980/kartor/A 25977-2024 karta.png", "A 25977-2024")</f>
        <v/>
      </c>
      <c r="V141">
        <f>HYPERLINK("https://klasma.github.io/Logging_0980/klagomål/A 25977-2024 FSC-klagomål.docx", "A 25977-2024")</f>
        <v/>
      </c>
      <c r="W141">
        <f>HYPERLINK("https://klasma.github.io/Logging_0980/klagomålsmail/A 25977-2024 FSC-klagomål mail.docx", "A 25977-2024")</f>
        <v/>
      </c>
      <c r="X141">
        <f>HYPERLINK("https://klasma.github.io/Logging_0980/tillsyn/A 25977-2024 tillsynsbegäran.docx", "A 25977-2024")</f>
        <v/>
      </c>
      <c r="Y141">
        <f>HYPERLINK("https://klasma.github.io/Logging_0980/tillsynsmail/A 25977-2024 tillsynsbegäran mail.docx", "A 25977-2024")</f>
        <v/>
      </c>
    </row>
    <row r="142" ht="15" customHeight="1">
      <c r="A142" t="inlineStr">
        <is>
          <t>A 10995-2023</t>
        </is>
      </c>
      <c r="B142" s="1" t="n">
        <v>44986</v>
      </c>
      <c r="C142" s="1" t="n">
        <v>45923</v>
      </c>
      <c r="D142" t="inlineStr">
        <is>
          <t>GOTLANDS LÄN</t>
        </is>
      </c>
      <c r="E142" t="inlineStr">
        <is>
          <t>GOTLAND</t>
        </is>
      </c>
      <c r="G142" t="n">
        <v>2.8</v>
      </c>
      <c r="H142" t="n">
        <v>0</v>
      </c>
      <c r="I142" t="n">
        <v>0</v>
      </c>
      <c r="J142" t="n">
        <v>0</v>
      </c>
      <c r="K142" t="n">
        <v>1</v>
      </c>
      <c r="L142" t="n">
        <v>0</v>
      </c>
      <c r="M142" t="n">
        <v>0</v>
      </c>
      <c r="N142" t="n">
        <v>0</v>
      </c>
      <c r="O142" t="n">
        <v>1</v>
      </c>
      <c r="P142" t="n">
        <v>1</v>
      </c>
      <c r="Q142" t="n">
        <v>1</v>
      </c>
      <c r="R142" s="2" t="inlineStr">
        <is>
          <t>Violettfläckig spindling</t>
        </is>
      </c>
      <c r="S142">
        <f>HYPERLINK("https://klasma.github.io/Logging_0980/artfynd/A 10995-2023 artfynd.xlsx", "A 10995-2023")</f>
        <v/>
      </c>
      <c r="T142">
        <f>HYPERLINK("https://klasma.github.io/Logging_0980/kartor/A 10995-2023 karta.png", "A 10995-2023")</f>
        <v/>
      </c>
      <c r="V142">
        <f>HYPERLINK("https://klasma.github.io/Logging_0980/klagomål/A 10995-2023 FSC-klagomål.docx", "A 10995-2023")</f>
        <v/>
      </c>
      <c r="W142">
        <f>HYPERLINK("https://klasma.github.io/Logging_0980/klagomålsmail/A 10995-2023 FSC-klagomål mail.docx", "A 10995-2023")</f>
        <v/>
      </c>
      <c r="X142">
        <f>HYPERLINK("https://klasma.github.io/Logging_0980/tillsyn/A 10995-2023 tillsynsbegäran.docx", "A 10995-2023")</f>
        <v/>
      </c>
      <c r="Y142">
        <f>HYPERLINK("https://klasma.github.io/Logging_0980/tillsynsmail/A 10995-2023 tillsynsbegäran mail.docx", "A 10995-2023")</f>
        <v/>
      </c>
    </row>
    <row r="143" ht="15" customHeight="1">
      <c r="A143" t="inlineStr">
        <is>
          <t>A 44619-2025</t>
        </is>
      </c>
      <c r="B143" s="1" t="n">
        <v>45917</v>
      </c>
      <c r="C143" s="1" t="n">
        <v>45923</v>
      </c>
      <c r="D143" t="inlineStr">
        <is>
          <t>GOTLANDS LÄN</t>
        </is>
      </c>
      <c r="E143" t="inlineStr">
        <is>
          <t>GOTLAND</t>
        </is>
      </c>
      <c r="G143" t="n">
        <v>4.3</v>
      </c>
      <c r="H143" t="n">
        <v>0</v>
      </c>
      <c r="I143" t="n">
        <v>1</v>
      </c>
      <c r="J143" t="n">
        <v>0</v>
      </c>
      <c r="K143" t="n">
        <v>0</v>
      </c>
      <c r="L143" t="n">
        <v>0</v>
      </c>
      <c r="M143" t="n">
        <v>0</v>
      </c>
      <c r="N143" t="n">
        <v>0</v>
      </c>
      <c r="O143" t="n">
        <v>0</v>
      </c>
      <c r="P143" t="n">
        <v>0</v>
      </c>
      <c r="Q143" t="n">
        <v>1</v>
      </c>
      <c r="R143" s="2" t="inlineStr">
        <is>
          <t>Ögonpyrola</t>
        </is>
      </c>
      <c r="S143">
        <f>HYPERLINK("https://klasma.github.io/Logging_0980/artfynd/A 44619-2025 artfynd.xlsx", "A 44619-2025")</f>
        <v/>
      </c>
      <c r="T143">
        <f>HYPERLINK("https://klasma.github.io/Logging_0980/kartor/A 44619-2025 karta.png", "A 44619-2025")</f>
        <v/>
      </c>
      <c r="V143">
        <f>HYPERLINK("https://klasma.github.io/Logging_0980/klagomål/A 44619-2025 FSC-klagomål.docx", "A 44619-2025")</f>
        <v/>
      </c>
      <c r="W143">
        <f>HYPERLINK("https://klasma.github.io/Logging_0980/klagomålsmail/A 44619-2025 FSC-klagomål mail.docx", "A 44619-2025")</f>
        <v/>
      </c>
      <c r="X143">
        <f>HYPERLINK("https://klasma.github.io/Logging_0980/tillsyn/A 44619-2025 tillsynsbegäran.docx", "A 44619-2025")</f>
        <v/>
      </c>
      <c r="Y143">
        <f>HYPERLINK("https://klasma.github.io/Logging_0980/tillsynsmail/A 44619-2025 tillsynsbegäran mail.docx", "A 44619-2025")</f>
        <v/>
      </c>
    </row>
    <row r="144" ht="15" customHeight="1">
      <c r="A144" t="inlineStr">
        <is>
          <t>A 65927-2021</t>
        </is>
      </c>
      <c r="B144" s="1" t="n">
        <v>44516</v>
      </c>
      <c r="C144" s="1" t="n">
        <v>45923</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62552-2022</t>
        </is>
      </c>
      <c r="B145" s="1" t="n">
        <v>44924</v>
      </c>
      <c r="C145" s="1" t="n">
        <v>45923</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12924-2025</t>
        </is>
      </c>
      <c r="B146" s="1" t="n">
        <v>45734</v>
      </c>
      <c r="C146" s="1" t="n">
        <v>45923</v>
      </c>
      <c r="D146" t="inlineStr">
        <is>
          <t>GOTLANDS LÄN</t>
        </is>
      </c>
      <c r="E146" t="inlineStr">
        <is>
          <t>GOTLAND</t>
        </is>
      </c>
      <c r="G146" t="n">
        <v>11.7</v>
      </c>
      <c r="H146" t="n">
        <v>0</v>
      </c>
      <c r="I146" t="n">
        <v>0</v>
      </c>
      <c r="J146" t="n">
        <v>0</v>
      </c>
      <c r="K146" t="n">
        <v>1</v>
      </c>
      <c r="L146" t="n">
        <v>0</v>
      </c>
      <c r="M146" t="n">
        <v>0</v>
      </c>
      <c r="N146" t="n">
        <v>0</v>
      </c>
      <c r="O146" t="n">
        <v>1</v>
      </c>
      <c r="P146" t="n">
        <v>1</v>
      </c>
      <c r="Q146" t="n">
        <v>1</v>
      </c>
      <c r="R146" s="2" t="inlineStr">
        <is>
          <t>Gotlandsmåra</t>
        </is>
      </c>
      <c r="S146">
        <f>HYPERLINK("https://klasma.github.io/Logging_0980/artfynd/A 12924-2025 artfynd.xlsx", "A 12924-2025")</f>
        <v/>
      </c>
      <c r="T146">
        <f>HYPERLINK("https://klasma.github.io/Logging_0980/kartor/A 12924-2025 karta.png", "A 12924-2025")</f>
        <v/>
      </c>
      <c r="V146">
        <f>HYPERLINK("https://klasma.github.io/Logging_0980/klagomål/A 12924-2025 FSC-klagomål.docx", "A 12924-2025")</f>
        <v/>
      </c>
      <c r="W146">
        <f>HYPERLINK("https://klasma.github.io/Logging_0980/klagomålsmail/A 12924-2025 FSC-klagomål mail.docx", "A 12924-2025")</f>
        <v/>
      </c>
      <c r="X146">
        <f>HYPERLINK("https://klasma.github.io/Logging_0980/tillsyn/A 12924-2025 tillsynsbegäran.docx", "A 12924-2025")</f>
        <v/>
      </c>
      <c r="Y146">
        <f>HYPERLINK("https://klasma.github.io/Logging_0980/tillsynsmail/A 12924-2025 tillsynsbegäran mail.docx", "A 12924-2025")</f>
        <v/>
      </c>
    </row>
    <row r="147" ht="15" customHeight="1">
      <c r="A147" t="inlineStr">
        <is>
          <t>A 44088-2022</t>
        </is>
      </c>
      <c r="B147" s="1" t="n">
        <v>44839</v>
      </c>
      <c r="C147" s="1" t="n">
        <v>45923</v>
      </c>
      <c r="D147" t="inlineStr">
        <is>
          <t>GOTLANDS LÄN</t>
        </is>
      </c>
      <c r="E147" t="inlineStr">
        <is>
          <t>GOTLAND</t>
        </is>
      </c>
      <c r="G147" t="n">
        <v>1.5</v>
      </c>
      <c r="H147" t="n">
        <v>0</v>
      </c>
      <c r="I147" t="n">
        <v>1</v>
      </c>
      <c r="J147" t="n">
        <v>0</v>
      </c>
      <c r="K147" t="n">
        <v>0</v>
      </c>
      <c r="L147" t="n">
        <v>0</v>
      </c>
      <c r="M147" t="n">
        <v>0</v>
      </c>
      <c r="N147" t="n">
        <v>0</v>
      </c>
      <c r="O147" t="n">
        <v>0</v>
      </c>
      <c r="P147" t="n">
        <v>0</v>
      </c>
      <c r="Q147" t="n">
        <v>1</v>
      </c>
      <c r="R147" s="2" t="inlineStr">
        <is>
          <t>Strävlosta</t>
        </is>
      </c>
      <c r="S147">
        <f>HYPERLINK("https://klasma.github.io/Logging_0980/artfynd/A 44088-2022 artfynd.xlsx", "A 44088-2022")</f>
        <v/>
      </c>
      <c r="T147">
        <f>HYPERLINK("https://klasma.github.io/Logging_0980/kartor/A 44088-2022 karta.png", "A 44088-2022")</f>
        <v/>
      </c>
      <c r="V147">
        <f>HYPERLINK("https://klasma.github.io/Logging_0980/klagomål/A 44088-2022 FSC-klagomål.docx", "A 44088-2022")</f>
        <v/>
      </c>
      <c r="W147">
        <f>HYPERLINK("https://klasma.github.io/Logging_0980/klagomålsmail/A 44088-2022 FSC-klagomål mail.docx", "A 44088-2022")</f>
        <v/>
      </c>
      <c r="X147">
        <f>HYPERLINK("https://klasma.github.io/Logging_0980/tillsyn/A 44088-2022 tillsynsbegäran.docx", "A 44088-2022")</f>
        <v/>
      </c>
      <c r="Y147">
        <f>HYPERLINK("https://klasma.github.io/Logging_0980/tillsynsmail/A 44088-2022 tillsynsbegäran mail.docx", "A 44088-2022")</f>
        <v/>
      </c>
    </row>
    <row r="148" ht="15" customHeight="1">
      <c r="A148" t="inlineStr">
        <is>
          <t>A 61796-2022</t>
        </is>
      </c>
      <c r="B148" s="1" t="n">
        <v>44917</v>
      </c>
      <c r="C148" s="1" t="n">
        <v>45923</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24245-2022</t>
        </is>
      </c>
      <c r="B149" s="1" t="n">
        <v>44725</v>
      </c>
      <c r="C149" s="1" t="n">
        <v>45923</v>
      </c>
      <c r="D149" t="inlineStr">
        <is>
          <t>GOTLANDS LÄN</t>
        </is>
      </c>
      <c r="E149" t="inlineStr">
        <is>
          <t>GOTLAND</t>
        </is>
      </c>
      <c r="G149" t="n">
        <v>4.9</v>
      </c>
      <c r="H149" t="n">
        <v>0</v>
      </c>
      <c r="I149" t="n">
        <v>0</v>
      </c>
      <c r="J149" t="n">
        <v>0</v>
      </c>
      <c r="K149" t="n">
        <v>0</v>
      </c>
      <c r="L149" t="n">
        <v>1</v>
      </c>
      <c r="M149" t="n">
        <v>0</v>
      </c>
      <c r="N149" t="n">
        <v>0</v>
      </c>
      <c r="O149" t="n">
        <v>1</v>
      </c>
      <c r="P149" t="n">
        <v>1</v>
      </c>
      <c r="Q149" t="n">
        <v>1</v>
      </c>
      <c r="R149" s="2" t="inlineStr">
        <is>
          <t>Slät taggsvamp</t>
        </is>
      </c>
      <c r="S149">
        <f>HYPERLINK("https://klasma.github.io/Logging_0980/artfynd/A 24245-2022 artfynd.xlsx", "A 24245-2022")</f>
        <v/>
      </c>
      <c r="T149">
        <f>HYPERLINK("https://klasma.github.io/Logging_0980/kartor/A 24245-2022 karta.png", "A 24245-2022")</f>
        <v/>
      </c>
      <c r="V149">
        <f>HYPERLINK("https://klasma.github.io/Logging_0980/klagomål/A 24245-2022 FSC-klagomål.docx", "A 24245-2022")</f>
        <v/>
      </c>
      <c r="W149">
        <f>HYPERLINK("https://klasma.github.io/Logging_0980/klagomålsmail/A 24245-2022 FSC-klagomål mail.docx", "A 24245-2022")</f>
        <v/>
      </c>
      <c r="X149">
        <f>HYPERLINK("https://klasma.github.io/Logging_0980/tillsyn/A 24245-2022 tillsynsbegäran.docx", "A 24245-2022")</f>
        <v/>
      </c>
      <c r="Y149">
        <f>HYPERLINK("https://klasma.github.io/Logging_0980/tillsynsmail/A 24245-2022 tillsynsbegäran mail.docx", "A 24245-2022")</f>
        <v/>
      </c>
    </row>
    <row r="150" ht="15" customHeight="1">
      <c r="A150" t="inlineStr">
        <is>
          <t>A 44308-2021</t>
        </is>
      </c>
      <c r="B150" s="1" t="n">
        <v>44434</v>
      </c>
      <c r="C150" s="1" t="n">
        <v>45923</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447-2023</t>
        </is>
      </c>
      <c r="B151" s="1" t="n">
        <v>44929</v>
      </c>
      <c r="C151" s="1" t="n">
        <v>45923</v>
      </c>
      <c r="D151" t="inlineStr">
        <is>
          <t>GOTLANDS LÄN</t>
        </is>
      </c>
      <c r="E151" t="inlineStr">
        <is>
          <t>GOTLAND</t>
        </is>
      </c>
      <c r="G151" t="n">
        <v>5.1</v>
      </c>
      <c r="H151" t="n">
        <v>0</v>
      </c>
      <c r="I151" t="n">
        <v>0</v>
      </c>
      <c r="J151" t="n">
        <v>1</v>
      </c>
      <c r="K151" t="n">
        <v>0</v>
      </c>
      <c r="L151" t="n">
        <v>0</v>
      </c>
      <c r="M151" t="n">
        <v>0</v>
      </c>
      <c r="N151" t="n">
        <v>0</v>
      </c>
      <c r="O151" t="n">
        <v>1</v>
      </c>
      <c r="P151" t="n">
        <v>0</v>
      </c>
      <c r="Q151" t="n">
        <v>1</v>
      </c>
      <c r="R151" s="2" t="inlineStr">
        <is>
          <t>Äggspindling</t>
        </is>
      </c>
      <c r="S151">
        <f>HYPERLINK("https://klasma.github.io/Logging_0980/artfynd/A 447-2023 artfynd.xlsx", "A 447-2023")</f>
        <v/>
      </c>
      <c r="T151">
        <f>HYPERLINK("https://klasma.github.io/Logging_0980/kartor/A 447-2023 karta.png", "A 447-2023")</f>
        <v/>
      </c>
      <c r="V151">
        <f>HYPERLINK("https://klasma.github.io/Logging_0980/klagomål/A 447-2023 FSC-klagomål.docx", "A 447-2023")</f>
        <v/>
      </c>
      <c r="W151">
        <f>HYPERLINK("https://klasma.github.io/Logging_0980/klagomålsmail/A 447-2023 FSC-klagomål mail.docx", "A 447-2023")</f>
        <v/>
      </c>
      <c r="X151">
        <f>HYPERLINK("https://klasma.github.io/Logging_0980/tillsyn/A 447-2023 tillsynsbegäran.docx", "A 447-2023")</f>
        <v/>
      </c>
      <c r="Y151">
        <f>HYPERLINK("https://klasma.github.io/Logging_0980/tillsynsmail/A 447-2023 tillsynsbegäran mail.docx", "A 447-2023")</f>
        <v/>
      </c>
    </row>
    <row r="152" ht="15" customHeight="1">
      <c r="A152" t="inlineStr">
        <is>
          <t>A 947-2023</t>
        </is>
      </c>
      <c r="B152" s="1" t="n">
        <v>44934</v>
      </c>
      <c r="C152" s="1" t="n">
        <v>45923</v>
      </c>
      <c r="D152" t="inlineStr">
        <is>
          <t>GOTLANDS LÄN</t>
        </is>
      </c>
      <c r="E152" t="inlineStr">
        <is>
          <t>GOTLAND</t>
        </is>
      </c>
      <c r="G152" t="n">
        <v>0.7</v>
      </c>
      <c r="H152" t="n">
        <v>1</v>
      </c>
      <c r="I152" t="n">
        <v>0</v>
      </c>
      <c r="J152" t="n">
        <v>0</v>
      </c>
      <c r="K152" t="n">
        <v>1</v>
      </c>
      <c r="L152" t="n">
        <v>0</v>
      </c>
      <c r="M152" t="n">
        <v>0</v>
      </c>
      <c r="N152" t="n">
        <v>0</v>
      </c>
      <c r="O152" t="n">
        <v>1</v>
      </c>
      <c r="P152" t="n">
        <v>1</v>
      </c>
      <c r="Q152" t="n">
        <v>1</v>
      </c>
      <c r="R152" s="2" t="inlineStr">
        <is>
          <t>Garderönn</t>
        </is>
      </c>
      <c r="S152">
        <f>HYPERLINK("https://klasma.github.io/Logging_0980/artfynd/A 947-2023 artfynd.xlsx", "A 947-2023")</f>
        <v/>
      </c>
      <c r="T152">
        <f>HYPERLINK("https://klasma.github.io/Logging_0980/kartor/A 947-2023 karta.png", "A 947-2023")</f>
        <v/>
      </c>
      <c r="V152">
        <f>HYPERLINK("https://klasma.github.io/Logging_0980/klagomål/A 947-2023 FSC-klagomål.docx", "A 947-2023")</f>
        <v/>
      </c>
      <c r="W152">
        <f>HYPERLINK("https://klasma.github.io/Logging_0980/klagomålsmail/A 947-2023 FSC-klagomål mail.docx", "A 947-2023")</f>
        <v/>
      </c>
      <c r="X152">
        <f>HYPERLINK("https://klasma.github.io/Logging_0980/tillsyn/A 947-2023 tillsynsbegäran.docx", "A 947-2023")</f>
        <v/>
      </c>
      <c r="Y152">
        <f>HYPERLINK("https://klasma.github.io/Logging_0980/tillsynsmail/A 947-2023 tillsynsbegäran mail.docx", "A 947-2023")</f>
        <v/>
      </c>
    </row>
    <row r="153" ht="15" customHeight="1">
      <c r="A153" t="inlineStr">
        <is>
          <t>A 49847-2023</t>
        </is>
      </c>
      <c r="B153" s="1" t="n">
        <v>45212</v>
      </c>
      <c r="C153" s="1" t="n">
        <v>45923</v>
      </c>
      <c r="D153" t="inlineStr">
        <is>
          <t>GOTLANDS LÄN</t>
        </is>
      </c>
      <c r="E153" t="inlineStr">
        <is>
          <t>GOTLAND</t>
        </is>
      </c>
      <c r="G153" t="n">
        <v>35.2</v>
      </c>
      <c r="H153" t="n">
        <v>0</v>
      </c>
      <c r="I153" t="n">
        <v>0</v>
      </c>
      <c r="J153" t="n">
        <v>0</v>
      </c>
      <c r="K153" t="n">
        <v>1</v>
      </c>
      <c r="L153" t="n">
        <v>0</v>
      </c>
      <c r="M153" t="n">
        <v>0</v>
      </c>
      <c r="N153" t="n">
        <v>0</v>
      </c>
      <c r="O153" t="n">
        <v>1</v>
      </c>
      <c r="P153" t="n">
        <v>1</v>
      </c>
      <c r="Q153" t="n">
        <v>1</v>
      </c>
      <c r="R153" s="2" t="inlineStr">
        <is>
          <t>Strandviol</t>
        </is>
      </c>
      <c r="S153">
        <f>HYPERLINK("https://klasma.github.io/Logging_0980/artfynd/A 49847-2023 artfynd.xlsx", "A 49847-2023")</f>
        <v/>
      </c>
      <c r="T153">
        <f>HYPERLINK("https://klasma.github.io/Logging_0980/kartor/A 49847-2023 karta.png", "A 49847-2023")</f>
        <v/>
      </c>
      <c r="V153">
        <f>HYPERLINK("https://klasma.github.io/Logging_0980/klagomål/A 49847-2023 FSC-klagomål.docx", "A 49847-2023")</f>
        <v/>
      </c>
      <c r="W153">
        <f>HYPERLINK("https://klasma.github.io/Logging_0980/klagomålsmail/A 49847-2023 FSC-klagomål mail.docx", "A 49847-2023")</f>
        <v/>
      </c>
      <c r="X153">
        <f>HYPERLINK("https://klasma.github.io/Logging_0980/tillsyn/A 49847-2023 tillsynsbegäran.docx", "A 49847-2023")</f>
        <v/>
      </c>
      <c r="Y153">
        <f>HYPERLINK("https://klasma.github.io/Logging_0980/tillsynsmail/A 49847-2023 tillsynsbegäran mail.docx", "A 49847-2023")</f>
        <v/>
      </c>
    </row>
    <row r="154" ht="15" customHeight="1">
      <c r="A154" t="inlineStr">
        <is>
          <t>A 49304-2024</t>
        </is>
      </c>
      <c r="B154" s="1" t="n">
        <v>45595.54996527778</v>
      </c>
      <c r="C154" s="1" t="n">
        <v>45923</v>
      </c>
      <c r="D154" t="inlineStr">
        <is>
          <t>GOTLANDS LÄN</t>
        </is>
      </c>
      <c r="E154" t="inlineStr">
        <is>
          <t>GOTLAND</t>
        </is>
      </c>
      <c r="G154" t="n">
        <v>10.8</v>
      </c>
      <c r="H154" t="n">
        <v>0</v>
      </c>
      <c r="I154" t="n">
        <v>0</v>
      </c>
      <c r="J154" t="n">
        <v>1</v>
      </c>
      <c r="K154" t="n">
        <v>0</v>
      </c>
      <c r="L154" t="n">
        <v>0</v>
      </c>
      <c r="M154" t="n">
        <v>0</v>
      </c>
      <c r="N154" t="n">
        <v>0</v>
      </c>
      <c r="O154" t="n">
        <v>1</v>
      </c>
      <c r="P154" t="n">
        <v>0</v>
      </c>
      <c r="Q154" t="n">
        <v>1</v>
      </c>
      <c r="R154" s="2" t="inlineStr">
        <is>
          <t>Åkerranunkel</t>
        </is>
      </c>
      <c r="S154">
        <f>HYPERLINK("https://klasma.github.io/Logging_0980/artfynd/A 49304-2024 artfynd.xlsx", "A 49304-2024")</f>
        <v/>
      </c>
      <c r="T154">
        <f>HYPERLINK("https://klasma.github.io/Logging_0980/kartor/A 49304-2024 karta.png", "A 49304-2024")</f>
        <v/>
      </c>
      <c r="V154">
        <f>HYPERLINK("https://klasma.github.io/Logging_0980/klagomål/A 49304-2024 FSC-klagomål.docx", "A 49304-2024")</f>
        <v/>
      </c>
      <c r="W154">
        <f>HYPERLINK("https://klasma.github.io/Logging_0980/klagomålsmail/A 49304-2024 FSC-klagomål mail.docx", "A 49304-2024")</f>
        <v/>
      </c>
      <c r="X154">
        <f>HYPERLINK("https://klasma.github.io/Logging_0980/tillsyn/A 49304-2024 tillsynsbegäran.docx", "A 49304-2024")</f>
        <v/>
      </c>
      <c r="Y154">
        <f>HYPERLINK("https://klasma.github.io/Logging_0980/tillsynsmail/A 49304-2024 tillsynsbegäran mail.docx", "A 49304-2024")</f>
        <v/>
      </c>
    </row>
    <row r="155" ht="15" customHeight="1">
      <c r="A155" t="inlineStr">
        <is>
          <t>A 63576-2021</t>
        </is>
      </c>
      <c r="B155" s="1" t="n">
        <v>44508</v>
      </c>
      <c r="C155" s="1" t="n">
        <v>45923</v>
      </c>
      <c r="D155" t="inlineStr">
        <is>
          <t>GOTLANDS LÄN</t>
        </is>
      </c>
      <c r="E155" t="inlineStr">
        <is>
          <t>GOTLAND</t>
        </is>
      </c>
      <c r="F155" t="inlineStr">
        <is>
          <t>Kyrkan</t>
        </is>
      </c>
      <c r="G155" t="n">
        <v>4.1</v>
      </c>
      <c r="H155" t="n">
        <v>1</v>
      </c>
      <c r="I155" t="n">
        <v>0</v>
      </c>
      <c r="J155" t="n">
        <v>1</v>
      </c>
      <c r="K155" t="n">
        <v>0</v>
      </c>
      <c r="L155" t="n">
        <v>0</v>
      </c>
      <c r="M155" t="n">
        <v>0</v>
      </c>
      <c r="N155" t="n">
        <v>0</v>
      </c>
      <c r="O155" t="n">
        <v>1</v>
      </c>
      <c r="P155" t="n">
        <v>0</v>
      </c>
      <c r="Q155" t="n">
        <v>1</v>
      </c>
      <c r="R155" s="2" t="inlineStr">
        <is>
          <t>Dårgräsfjäril</t>
        </is>
      </c>
      <c r="S155">
        <f>HYPERLINK("https://klasma.github.io/Logging_0980/artfynd/A 63576-2021 artfynd.xlsx", "A 63576-2021")</f>
        <v/>
      </c>
      <c r="T155">
        <f>HYPERLINK("https://klasma.github.io/Logging_0980/kartor/A 63576-2021 karta.png", "A 63576-2021")</f>
        <v/>
      </c>
      <c r="V155">
        <f>HYPERLINK("https://klasma.github.io/Logging_0980/klagomål/A 63576-2021 FSC-klagomål.docx", "A 63576-2021")</f>
        <v/>
      </c>
      <c r="W155">
        <f>HYPERLINK("https://klasma.github.io/Logging_0980/klagomålsmail/A 63576-2021 FSC-klagomål mail.docx", "A 63576-2021")</f>
        <v/>
      </c>
      <c r="X155">
        <f>HYPERLINK("https://klasma.github.io/Logging_0980/tillsyn/A 63576-2021 tillsynsbegäran.docx", "A 63576-2021")</f>
        <v/>
      </c>
      <c r="Y155">
        <f>HYPERLINK("https://klasma.github.io/Logging_0980/tillsynsmail/A 63576-2021 tillsynsbegäran mail.docx", "A 63576-2021")</f>
        <v/>
      </c>
    </row>
    <row r="156" ht="15" customHeight="1">
      <c r="A156" t="inlineStr">
        <is>
          <t>A 46527-2023</t>
        </is>
      </c>
      <c r="B156" s="1" t="n">
        <v>45197</v>
      </c>
      <c r="C156" s="1" t="n">
        <v>45923</v>
      </c>
      <c r="D156" t="inlineStr">
        <is>
          <t>GOTLANDS LÄN</t>
        </is>
      </c>
      <c r="E156" t="inlineStr">
        <is>
          <t>GOTLAND</t>
        </is>
      </c>
      <c r="G156" t="n">
        <v>0.9</v>
      </c>
      <c r="H156" t="n">
        <v>0</v>
      </c>
      <c r="I156" t="n">
        <v>0</v>
      </c>
      <c r="J156" t="n">
        <v>1</v>
      </c>
      <c r="K156" t="n">
        <v>0</v>
      </c>
      <c r="L156" t="n">
        <v>0</v>
      </c>
      <c r="M156" t="n">
        <v>0</v>
      </c>
      <c r="N156" t="n">
        <v>0</v>
      </c>
      <c r="O156" t="n">
        <v>1</v>
      </c>
      <c r="P156" t="n">
        <v>0</v>
      </c>
      <c r="Q156" t="n">
        <v>1</v>
      </c>
      <c r="R156" s="2" t="inlineStr">
        <is>
          <t>Guldgräshoppa</t>
        </is>
      </c>
      <c r="S156">
        <f>HYPERLINK("https://klasma.github.io/Logging_0980/artfynd/A 46527-2023 artfynd.xlsx", "A 46527-2023")</f>
        <v/>
      </c>
      <c r="T156">
        <f>HYPERLINK("https://klasma.github.io/Logging_0980/kartor/A 46527-2023 karta.png", "A 46527-2023")</f>
        <v/>
      </c>
      <c r="V156">
        <f>HYPERLINK("https://klasma.github.io/Logging_0980/klagomål/A 46527-2023 FSC-klagomål.docx", "A 46527-2023")</f>
        <v/>
      </c>
      <c r="W156">
        <f>HYPERLINK("https://klasma.github.io/Logging_0980/klagomålsmail/A 46527-2023 FSC-klagomål mail.docx", "A 46527-2023")</f>
        <v/>
      </c>
      <c r="X156">
        <f>HYPERLINK("https://klasma.github.io/Logging_0980/tillsyn/A 46527-2023 tillsynsbegäran.docx", "A 46527-2023")</f>
        <v/>
      </c>
      <c r="Y156">
        <f>HYPERLINK("https://klasma.github.io/Logging_0980/tillsynsmail/A 46527-2023 tillsynsbegäran mail.docx", "A 46527-2023")</f>
        <v/>
      </c>
    </row>
    <row r="157" ht="15" customHeight="1">
      <c r="A157" t="inlineStr">
        <is>
          <t>A 64700-2021</t>
        </is>
      </c>
      <c r="B157" s="1" t="n">
        <v>44511</v>
      </c>
      <c r="C157" s="1" t="n">
        <v>45923</v>
      </c>
      <c r="D157" t="inlineStr">
        <is>
          <t>GOTLANDS LÄN</t>
        </is>
      </c>
      <c r="E157" t="inlineStr">
        <is>
          <t>GOTLAND</t>
        </is>
      </c>
      <c r="F157" t="inlineStr">
        <is>
          <t>Naturvårdsverket</t>
        </is>
      </c>
      <c r="G157" t="n">
        <v>2.4</v>
      </c>
      <c r="H157" t="n">
        <v>1</v>
      </c>
      <c r="I157" t="n">
        <v>0</v>
      </c>
      <c r="J157" t="n">
        <v>0</v>
      </c>
      <c r="K157" t="n">
        <v>1</v>
      </c>
      <c r="L157" t="n">
        <v>0</v>
      </c>
      <c r="M157" t="n">
        <v>0</v>
      </c>
      <c r="N157" t="n">
        <v>0</v>
      </c>
      <c r="O157" t="n">
        <v>1</v>
      </c>
      <c r="P157" t="n">
        <v>1</v>
      </c>
      <c r="Q157" t="n">
        <v>1</v>
      </c>
      <c r="R157" s="2" t="inlineStr">
        <is>
          <t>Kalkdån</t>
        </is>
      </c>
      <c r="S157">
        <f>HYPERLINK("https://klasma.github.io/Logging_0980/artfynd/A 64700-2021 artfynd.xlsx", "A 64700-2021")</f>
        <v/>
      </c>
      <c r="T157">
        <f>HYPERLINK("https://klasma.github.io/Logging_0980/kartor/A 64700-2021 karta.png", "A 64700-2021")</f>
        <v/>
      </c>
      <c r="V157">
        <f>HYPERLINK("https://klasma.github.io/Logging_0980/klagomål/A 64700-2021 FSC-klagomål.docx", "A 64700-2021")</f>
        <v/>
      </c>
      <c r="W157">
        <f>HYPERLINK("https://klasma.github.io/Logging_0980/klagomålsmail/A 64700-2021 FSC-klagomål mail.docx", "A 64700-2021")</f>
        <v/>
      </c>
      <c r="X157">
        <f>HYPERLINK("https://klasma.github.io/Logging_0980/tillsyn/A 64700-2021 tillsynsbegäran.docx", "A 64700-2021")</f>
        <v/>
      </c>
      <c r="Y157">
        <f>HYPERLINK("https://klasma.github.io/Logging_0980/tillsynsmail/A 64700-2021 tillsynsbegäran mail.docx", "A 64700-2021")</f>
        <v/>
      </c>
    </row>
    <row r="158" ht="15" customHeight="1">
      <c r="A158" t="inlineStr">
        <is>
          <t>A 12324-2025</t>
        </is>
      </c>
      <c r="B158" s="1" t="n">
        <v>45730</v>
      </c>
      <c r="C158" s="1" t="n">
        <v>45923</v>
      </c>
      <c r="D158" t="inlineStr">
        <is>
          <t>GOTLANDS LÄN</t>
        </is>
      </c>
      <c r="E158" t="inlineStr">
        <is>
          <t>GOTLAND</t>
        </is>
      </c>
      <c r="G158" t="n">
        <v>5</v>
      </c>
      <c r="H158" t="n">
        <v>0</v>
      </c>
      <c r="I158" t="n">
        <v>0</v>
      </c>
      <c r="J158" t="n">
        <v>0</v>
      </c>
      <c r="K158" t="n">
        <v>1</v>
      </c>
      <c r="L158" t="n">
        <v>0</v>
      </c>
      <c r="M158" t="n">
        <v>0</v>
      </c>
      <c r="N158" t="n">
        <v>0</v>
      </c>
      <c r="O158" t="n">
        <v>1</v>
      </c>
      <c r="P158" t="n">
        <v>1</v>
      </c>
      <c r="Q158" t="n">
        <v>1</v>
      </c>
      <c r="R158" s="2" t="inlineStr">
        <is>
          <t>Sommarklynne</t>
        </is>
      </c>
      <c r="S158">
        <f>HYPERLINK("https://klasma.github.io/Logging_0980/artfynd/A 12324-2025 artfynd.xlsx", "A 12324-2025")</f>
        <v/>
      </c>
      <c r="T158">
        <f>HYPERLINK("https://klasma.github.io/Logging_0980/kartor/A 12324-2025 karta.png", "A 12324-2025")</f>
        <v/>
      </c>
      <c r="V158">
        <f>HYPERLINK("https://klasma.github.io/Logging_0980/klagomål/A 12324-2025 FSC-klagomål.docx", "A 12324-2025")</f>
        <v/>
      </c>
      <c r="W158">
        <f>HYPERLINK("https://klasma.github.io/Logging_0980/klagomålsmail/A 12324-2025 FSC-klagomål mail.docx", "A 12324-2025")</f>
        <v/>
      </c>
      <c r="X158">
        <f>HYPERLINK("https://klasma.github.io/Logging_0980/tillsyn/A 12324-2025 tillsynsbegäran.docx", "A 12324-2025")</f>
        <v/>
      </c>
      <c r="Y158">
        <f>HYPERLINK("https://klasma.github.io/Logging_0980/tillsynsmail/A 12324-2025 tillsynsbegäran mail.docx", "A 12324-2025")</f>
        <v/>
      </c>
    </row>
    <row r="159" ht="15" customHeight="1">
      <c r="A159" t="inlineStr">
        <is>
          <t>A 13627-2023</t>
        </is>
      </c>
      <c r="B159" s="1" t="n">
        <v>45006</v>
      </c>
      <c r="C159" s="1" t="n">
        <v>45923</v>
      </c>
      <c r="D159" t="inlineStr">
        <is>
          <t>GOTLANDS LÄN</t>
        </is>
      </c>
      <c r="E159" t="inlineStr">
        <is>
          <t>GOTLAND</t>
        </is>
      </c>
      <c r="G159" t="n">
        <v>10.7</v>
      </c>
      <c r="H159" t="n">
        <v>0</v>
      </c>
      <c r="I159" t="n">
        <v>0</v>
      </c>
      <c r="J159" t="n">
        <v>0</v>
      </c>
      <c r="K159" t="n">
        <v>1</v>
      </c>
      <c r="L159" t="n">
        <v>0</v>
      </c>
      <c r="M159" t="n">
        <v>0</v>
      </c>
      <c r="N159" t="n">
        <v>0</v>
      </c>
      <c r="O159" t="n">
        <v>1</v>
      </c>
      <c r="P159" t="n">
        <v>1</v>
      </c>
      <c r="Q159" t="n">
        <v>1</v>
      </c>
      <c r="R159" s="2" t="inlineStr">
        <is>
          <t>Sammetsbockrot</t>
        </is>
      </c>
      <c r="S159">
        <f>HYPERLINK("https://klasma.github.io/Logging_0980/artfynd/A 13627-2023 artfynd.xlsx", "A 13627-2023")</f>
        <v/>
      </c>
      <c r="T159">
        <f>HYPERLINK("https://klasma.github.io/Logging_0980/kartor/A 13627-2023 karta.png", "A 13627-2023")</f>
        <v/>
      </c>
      <c r="V159">
        <f>HYPERLINK("https://klasma.github.io/Logging_0980/klagomål/A 13627-2023 FSC-klagomål.docx", "A 13627-2023")</f>
        <v/>
      </c>
      <c r="W159">
        <f>HYPERLINK("https://klasma.github.io/Logging_0980/klagomålsmail/A 13627-2023 FSC-klagomål mail.docx", "A 13627-2023")</f>
        <v/>
      </c>
      <c r="X159">
        <f>HYPERLINK("https://klasma.github.io/Logging_0980/tillsyn/A 13627-2023 tillsynsbegäran.docx", "A 13627-2023")</f>
        <v/>
      </c>
      <c r="Y159">
        <f>HYPERLINK("https://klasma.github.io/Logging_0980/tillsynsmail/A 13627-2023 tillsynsbegäran mail.docx", "A 13627-2023")</f>
        <v/>
      </c>
    </row>
    <row r="160" ht="15" customHeight="1">
      <c r="A160" t="inlineStr">
        <is>
          <t>A 37591-2023</t>
        </is>
      </c>
      <c r="B160" s="1" t="n">
        <v>45159</v>
      </c>
      <c r="C160" s="1" t="n">
        <v>45923</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27589-2023</t>
        </is>
      </c>
      <c r="B161" s="1" t="n">
        <v>45097</v>
      </c>
      <c r="C161" s="1" t="n">
        <v>45923</v>
      </c>
      <c r="D161" t="inlineStr">
        <is>
          <t>GOTLANDS LÄN</t>
        </is>
      </c>
      <c r="E161" t="inlineStr">
        <is>
          <t>GOTLAND</t>
        </is>
      </c>
      <c r="G161" t="n">
        <v>5.4</v>
      </c>
      <c r="H161" t="n">
        <v>0</v>
      </c>
      <c r="I161" t="n">
        <v>0</v>
      </c>
      <c r="J161" t="n">
        <v>0</v>
      </c>
      <c r="K161" t="n">
        <v>0</v>
      </c>
      <c r="L161" t="n">
        <v>0</v>
      </c>
      <c r="M161" t="n">
        <v>1</v>
      </c>
      <c r="N161" t="n">
        <v>0</v>
      </c>
      <c r="O161" t="n">
        <v>1</v>
      </c>
      <c r="P161" t="n">
        <v>1</v>
      </c>
      <c r="Q161" t="n">
        <v>1</v>
      </c>
      <c r="R161" s="2" t="inlineStr">
        <is>
          <t>Skogsalm</t>
        </is>
      </c>
      <c r="S161">
        <f>HYPERLINK("https://klasma.github.io/Logging_0980/artfynd/A 27589-2023 artfynd.xlsx", "A 27589-2023")</f>
        <v/>
      </c>
      <c r="T161">
        <f>HYPERLINK("https://klasma.github.io/Logging_0980/kartor/A 27589-2023 karta.png", "A 27589-2023")</f>
        <v/>
      </c>
      <c r="V161">
        <f>HYPERLINK("https://klasma.github.io/Logging_0980/klagomål/A 27589-2023 FSC-klagomål.docx", "A 27589-2023")</f>
        <v/>
      </c>
      <c r="W161">
        <f>HYPERLINK("https://klasma.github.io/Logging_0980/klagomålsmail/A 27589-2023 FSC-klagomål mail.docx", "A 27589-2023")</f>
        <v/>
      </c>
      <c r="X161">
        <f>HYPERLINK("https://klasma.github.io/Logging_0980/tillsyn/A 27589-2023 tillsynsbegäran.docx", "A 27589-2023")</f>
        <v/>
      </c>
      <c r="Y161">
        <f>HYPERLINK("https://klasma.github.io/Logging_0980/tillsynsmail/A 27589-2023 tillsynsbegäran mail.docx", "A 27589-2023")</f>
        <v/>
      </c>
    </row>
    <row r="162" ht="15" customHeight="1">
      <c r="A162" t="inlineStr">
        <is>
          <t>A 35574-2024</t>
        </is>
      </c>
      <c r="B162" s="1" t="n">
        <v>45531</v>
      </c>
      <c r="C162" s="1" t="n">
        <v>45923</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7637-2025</t>
        </is>
      </c>
      <c r="B163" s="1" t="n">
        <v>45705.77181712963</v>
      </c>
      <c r="C163" s="1" t="n">
        <v>45923</v>
      </c>
      <c r="D163" t="inlineStr">
        <is>
          <t>GOTLANDS LÄN</t>
        </is>
      </c>
      <c r="E163" t="inlineStr">
        <is>
          <t>GOTLAND</t>
        </is>
      </c>
      <c r="G163" t="n">
        <v>3.7</v>
      </c>
      <c r="H163" t="n">
        <v>0</v>
      </c>
      <c r="I163" t="n">
        <v>0</v>
      </c>
      <c r="J163" t="n">
        <v>0</v>
      </c>
      <c r="K163" t="n">
        <v>0</v>
      </c>
      <c r="L163" t="n">
        <v>0</v>
      </c>
      <c r="M163" t="n">
        <v>1</v>
      </c>
      <c r="N163" t="n">
        <v>0</v>
      </c>
      <c r="O163" t="n">
        <v>1</v>
      </c>
      <c r="P163" t="n">
        <v>1</v>
      </c>
      <c r="Q163" t="n">
        <v>1</v>
      </c>
      <c r="R163" s="2" t="inlineStr">
        <is>
          <t>Skogsalm</t>
        </is>
      </c>
      <c r="S163">
        <f>HYPERLINK("https://klasma.github.io/Logging_0980/artfynd/A 7637-2025 artfynd.xlsx", "A 7637-2025")</f>
        <v/>
      </c>
      <c r="T163">
        <f>HYPERLINK("https://klasma.github.io/Logging_0980/kartor/A 7637-2025 karta.png", "A 7637-2025")</f>
        <v/>
      </c>
      <c r="V163">
        <f>HYPERLINK("https://klasma.github.io/Logging_0980/klagomål/A 7637-2025 FSC-klagomål.docx", "A 7637-2025")</f>
        <v/>
      </c>
      <c r="W163">
        <f>HYPERLINK("https://klasma.github.io/Logging_0980/klagomålsmail/A 7637-2025 FSC-klagomål mail.docx", "A 7637-2025")</f>
        <v/>
      </c>
      <c r="X163">
        <f>HYPERLINK("https://klasma.github.io/Logging_0980/tillsyn/A 7637-2025 tillsynsbegäran.docx", "A 7637-2025")</f>
        <v/>
      </c>
      <c r="Y163">
        <f>HYPERLINK("https://klasma.github.io/Logging_0980/tillsynsmail/A 7637-2025 tillsynsbegäran mail.docx", "A 7637-2025")</f>
        <v/>
      </c>
    </row>
    <row r="164" ht="15" customHeight="1">
      <c r="A164" t="inlineStr">
        <is>
          <t>A 21466-2025</t>
        </is>
      </c>
      <c r="B164" s="1" t="n">
        <v>45782</v>
      </c>
      <c r="C164" s="1" t="n">
        <v>45923</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10440-2024</t>
        </is>
      </c>
      <c r="B165" s="1" t="n">
        <v>45366.32818287037</v>
      </c>
      <c r="C165" s="1" t="n">
        <v>45923</v>
      </c>
      <c r="D165" t="inlineStr">
        <is>
          <t>GOTLANDS LÄN</t>
        </is>
      </c>
      <c r="E165" t="inlineStr">
        <is>
          <t>GOTLAND</t>
        </is>
      </c>
      <c r="G165" t="n">
        <v>2.5</v>
      </c>
      <c r="H165" t="n">
        <v>1</v>
      </c>
      <c r="I165" t="n">
        <v>0</v>
      </c>
      <c r="J165" t="n">
        <v>1</v>
      </c>
      <c r="K165" t="n">
        <v>0</v>
      </c>
      <c r="L165" t="n">
        <v>0</v>
      </c>
      <c r="M165" t="n">
        <v>0</v>
      </c>
      <c r="N165" t="n">
        <v>0</v>
      </c>
      <c r="O165" t="n">
        <v>1</v>
      </c>
      <c r="P165" t="n">
        <v>0</v>
      </c>
      <c r="Q165" t="n">
        <v>1</v>
      </c>
      <c r="R165" s="2" t="inlineStr">
        <is>
          <t>Mindre hackspett</t>
        </is>
      </c>
      <c r="S165">
        <f>HYPERLINK("https://klasma.github.io/Logging_0980/artfynd/A 10440-2024 artfynd.xlsx", "A 10440-2024")</f>
        <v/>
      </c>
      <c r="T165">
        <f>HYPERLINK("https://klasma.github.io/Logging_0980/kartor/A 10440-2024 karta.png", "A 10440-2024")</f>
        <v/>
      </c>
      <c r="V165">
        <f>HYPERLINK("https://klasma.github.io/Logging_0980/klagomål/A 10440-2024 FSC-klagomål.docx", "A 10440-2024")</f>
        <v/>
      </c>
      <c r="W165">
        <f>HYPERLINK("https://klasma.github.io/Logging_0980/klagomålsmail/A 10440-2024 FSC-klagomål mail.docx", "A 10440-2024")</f>
        <v/>
      </c>
      <c r="X165">
        <f>HYPERLINK("https://klasma.github.io/Logging_0980/tillsyn/A 10440-2024 tillsynsbegäran.docx", "A 10440-2024")</f>
        <v/>
      </c>
      <c r="Y165">
        <f>HYPERLINK("https://klasma.github.io/Logging_0980/tillsynsmail/A 10440-2024 tillsynsbegäran mail.docx", "A 10440-2024")</f>
        <v/>
      </c>
      <c r="Z165">
        <f>HYPERLINK("https://klasma.github.io/Logging_0980/fåglar/A 10440-2024 prioriterade fågelarter.docx", "A 10440-2024")</f>
        <v/>
      </c>
    </row>
    <row r="166" ht="15" customHeight="1">
      <c r="A166" t="inlineStr">
        <is>
          <t>A 6303-2024</t>
        </is>
      </c>
      <c r="B166" s="1" t="n">
        <v>45338.35376157407</v>
      </c>
      <c r="C166" s="1" t="n">
        <v>45923</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34809-2024</t>
        </is>
      </c>
      <c r="B167" s="1" t="n">
        <v>45526</v>
      </c>
      <c r="C167" s="1" t="n">
        <v>45923</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26461-2025</t>
        </is>
      </c>
      <c r="B168" s="1" t="n">
        <v>45807.43337962963</v>
      </c>
      <c r="C168" s="1" t="n">
        <v>45923</v>
      </c>
      <c r="D168" t="inlineStr">
        <is>
          <t>GOTLANDS LÄN</t>
        </is>
      </c>
      <c r="E168" t="inlineStr">
        <is>
          <t>GOTLAND</t>
        </is>
      </c>
      <c r="G168" t="n">
        <v>4.1</v>
      </c>
      <c r="H168" t="n">
        <v>0</v>
      </c>
      <c r="I168" t="n">
        <v>0</v>
      </c>
      <c r="J168" t="n">
        <v>0</v>
      </c>
      <c r="K168" t="n">
        <v>1</v>
      </c>
      <c r="L168" t="n">
        <v>0</v>
      </c>
      <c r="M168" t="n">
        <v>0</v>
      </c>
      <c r="N168" t="n">
        <v>0</v>
      </c>
      <c r="O168" t="n">
        <v>1</v>
      </c>
      <c r="P168" t="n">
        <v>1</v>
      </c>
      <c r="Q168" t="n">
        <v>1</v>
      </c>
      <c r="R168" s="2" t="inlineStr">
        <is>
          <t>Gotlandsmåra</t>
        </is>
      </c>
      <c r="S168">
        <f>HYPERLINK("https://klasma.github.io/Logging_0980/artfynd/A 26461-2025 artfynd.xlsx", "A 26461-2025")</f>
        <v/>
      </c>
      <c r="T168">
        <f>HYPERLINK("https://klasma.github.io/Logging_0980/kartor/A 26461-2025 karta.png", "A 26461-2025")</f>
        <v/>
      </c>
      <c r="V168">
        <f>HYPERLINK("https://klasma.github.io/Logging_0980/klagomål/A 26461-2025 FSC-klagomål.docx", "A 26461-2025")</f>
        <v/>
      </c>
      <c r="W168">
        <f>HYPERLINK("https://klasma.github.io/Logging_0980/klagomålsmail/A 26461-2025 FSC-klagomål mail.docx", "A 26461-2025")</f>
        <v/>
      </c>
      <c r="X168">
        <f>HYPERLINK("https://klasma.github.io/Logging_0980/tillsyn/A 26461-2025 tillsynsbegäran.docx", "A 26461-2025")</f>
        <v/>
      </c>
      <c r="Y168">
        <f>HYPERLINK("https://klasma.github.io/Logging_0980/tillsynsmail/A 26461-2025 tillsynsbegäran mail.docx", "A 26461-2025")</f>
        <v/>
      </c>
    </row>
    <row r="169" ht="15" customHeight="1">
      <c r="A169" t="inlineStr">
        <is>
          <t>A 61561-2023</t>
        </is>
      </c>
      <c r="B169" s="1" t="n">
        <v>45265</v>
      </c>
      <c r="C169" s="1" t="n">
        <v>45923</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8725-2025</t>
        </is>
      </c>
      <c r="B170" s="1" t="n">
        <v>45712</v>
      </c>
      <c r="C170" s="1" t="n">
        <v>45923</v>
      </c>
      <c r="D170" t="inlineStr">
        <is>
          <t>GOTLANDS LÄN</t>
        </is>
      </c>
      <c r="E170" t="inlineStr">
        <is>
          <t>GOTLAND</t>
        </is>
      </c>
      <c r="G170" t="n">
        <v>4.4</v>
      </c>
      <c r="H170" t="n">
        <v>1</v>
      </c>
      <c r="I170" t="n">
        <v>0</v>
      </c>
      <c r="J170" t="n">
        <v>1</v>
      </c>
      <c r="K170" t="n">
        <v>0</v>
      </c>
      <c r="L170" t="n">
        <v>0</v>
      </c>
      <c r="M170" t="n">
        <v>0</v>
      </c>
      <c r="N170" t="n">
        <v>0</v>
      </c>
      <c r="O170" t="n">
        <v>1</v>
      </c>
      <c r="P170" t="n">
        <v>0</v>
      </c>
      <c r="Q170" t="n">
        <v>1</v>
      </c>
      <c r="R170" s="2" t="inlineStr">
        <is>
          <t>Spillkråka</t>
        </is>
      </c>
      <c r="S170">
        <f>HYPERLINK("https://klasma.github.io/Logging_0980/artfynd/A 8725-2025 artfynd.xlsx", "A 8725-2025")</f>
        <v/>
      </c>
      <c r="T170">
        <f>HYPERLINK("https://klasma.github.io/Logging_0980/kartor/A 8725-2025 karta.png", "A 8725-2025")</f>
        <v/>
      </c>
      <c r="V170">
        <f>HYPERLINK("https://klasma.github.io/Logging_0980/klagomål/A 8725-2025 FSC-klagomål.docx", "A 8725-2025")</f>
        <v/>
      </c>
      <c r="W170">
        <f>HYPERLINK("https://klasma.github.io/Logging_0980/klagomålsmail/A 8725-2025 FSC-klagomål mail.docx", "A 8725-2025")</f>
        <v/>
      </c>
      <c r="X170">
        <f>HYPERLINK("https://klasma.github.io/Logging_0980/tillsyn/A 8725-2025 tillsynsbegäran.docx", "A 8725-2025")</f>
        <v/>
      </c>
      <c r="Y170">
        <f>HYPERLINK("https://klasma.github.io/Logging_0980/tillsynsmail/A 8725-2025 tillsynsbegäran mail.docx", "A 8725-2025")</f>
        <v/>
      </c>
      <c r="Z170">
        <f>HYPERLINK("https://klasma.github.io/Logging_0980/fåglar/A 8725-2025 prioriterade fågelarter.docx", "A 8725-2025")</f>
        <v/>
      </c>
    </row>
    <row r="171" ht="15" customHeight="1">
      <c r="A171" t="inlineStr">
        <is>
          <t>A 34141-2024</t>
        </is>
      </c>
      <c r="B171" s="1" t="n">
        <v>45524.36229166666</v>
      </c>
      <c r="C171" s="1" t="n">
        <v>45923</v>
      </c>
      <c r="D171" t="inlineStr">
        <is>
          <t>GOTLANDS LÄN</t>
        </is>
      </c>
      <c r="E171" t="inlineStr">
        <is>
          <t>GOTLAND</t>
        </is>
      </c>
      <c r="G171" t="n">
        <v>0.9</v>
      </c>
      <c r="H171" t="n">
        <v>0</v>
      </c>
      <c r="I171" t="n">
        <v>1</v>
      </c>
      <c r="J171" t="n">
        <v>0</v>
      </c>
      <c r="K171" t="n">
        <v>0</v>
      </c>
      <c r="L171" t="n">
        <v>0</v>
      </c>
      <c r="M171" t="n">
        <v>0</v>
      </c>
      <c r="N171" t="n">
        <v>0</v>
      </c>
      <c r="O171" t="n">
        <v>0</v>
      </c>
      <c r="P171" t="n">
        <v>0</v>
      </c>
      <c r="Q171" t="n">
        <v>1</v>
      </c>
      <c r="R171" s="2" t="inlineStr">
        <is>
          <t>Strävlosta</t>
        </is>
      </c>
      <c r="S171">
        <f>HYPERLINK("https://klasma.github.io/Logging_0980/artfynd/A 34141-2024 artfynd.xlsx", "A 34141-2024")</f>
        <v/>
      </c>
      <c r="T171">
        <f>HYPERLINK("https://klasma.github.io/Logging_0980/kartor/A 34141-2024 karta.png", "A 34141-2024")</f>
        <v/>
      </c>
      <c r="V171">
        <f>HYPERLINK("https://klasma.github.io/Logging_0980/klagomål/A 34141-2024 FSC-klagomål.docx", "A 34141-2024")</f>
        <v/>
      </c>
      <c r="W171">
        <f>HYPERLINK("https://klasma.github.io/Logging_0980/klagomålsmail/A 34141-2024 FSC-klagomål mail.docx", "A 34141-2024")</f>
        <v/>
      </c>
      <c r="X171">
        <f>HYPERLINK("https://klasma.github.io/Logging_0980/tillsyn/A 34141-2024 tillsynsbegäran.docx", "A 34141-2024")</f>
        <v/>
      </c>
      <c r="Y171">
        <f>HYPERLINK("https://klasma.github.io/Logging_0980/tillsynsmail/A 34141-2024 tillsynsbegäran mail.docx", "A 34141-2024")</f>
        <v/>
      </c>
    </row>
    <row r="172" ht="15" customHeight="1">
      <c r="A172" t="inlineStr">
        <is>
          <t>A 9862-2024</t>
        </is>
      </c>
      <c r="B172" s="1" t="n">
        <v>45363</v>
      </c>
      <c r="C172" s="1" t="n">
        <v>45923</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19901-2021</t>
        </is>
      </c>
      <c r="B173" s="1" t="n">
        <v>44312</v>
      </c>
      <c r="C173" s="1" t="n">
        <v>45923</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45923</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45923</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45923</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45923</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45923</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45923</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45923</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45923</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45923</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45923</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45923</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45923</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45923</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45923</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45923</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45923</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45923</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45923</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45923</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60356-2020</t>
        </is>
      </c>
      <c r="B193" s="1" t="n">
        <v>44152.71583333334</v>
      </c>
      <c r="C193" s="1" t="n">
        <v>45923</v>
      </c>
      <c r="D193" t="inlineStr">
        <is>
          <t>GOTLANDS LÄN</t>
        </is>
      </c>
      <c r="E193" t="inlineStr">
        <is>
          <t>GOTLAND</t>
        </is>
      </c>
      <c r="G193" t="n">
        <v>2</v>
      </c>
      <c r="H193" t="n">
        <v>0</v>
      </c>
      <c r="I193" t="n">
        <v>0</v>
      </c>
      <c r="J193" t="n">
        <v>0</v>
      </c>
      <c r="K193" t="n">
        <v>0</v>
      </c>
      <c r="L193" t="n">
        <v>0</v>
      </c>
      <c r="M193" t="n">
        <v>0</v>
      </c>
      <c r="N193" t="n">
        <v>0</v>
      </c>
      <c r="O193" t="n">
        <v>0</v>
      </c>
      <c r="P193" t="n">
        <v>0</v>
      </c>
      <c r="Q193" t="n">
        <v>0</v>
      </c>
      <c r="R193" s="2" t="inlineStr"/>
    </row>
    <row r="194" ht="15" customHeight="1">
      <c r="A194" t="inlineStr">
        <is>
          <t>A 22498-2022</t>
        </is>
      </c>
      <c r="B194" s="1" t="n">
        <v>44713.64682870371</v>
      </c>
      <c r="C194" s="1" t="n">
        <v>45923</v>
      </c>
      <c r="D194" t="inlineStr">
        <is>
          <t>GOTLANDS LÄN</t>
        </is>
      </c>
      <c r="E194" t="inlineStr">
        <is>
          <t>GOTLAND</t>
        </is>
      </c>
      <c r="G194" t="n">
        <v>0.7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45923</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45923</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45923</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12318-2021</t>
        </is>
      </c>
      <c r="B198" s="1" t="n">
        <v>44266</v>
      </c>
      <c r="C198" s="1" t="n">
        <v>45923</v>
      </c>
      <c r="D198" t="inlineStr">
        <is>
          <t>GOTLANDS LÄN</t>
        </is>
      </c>
      <c r="E198" t="inlineStr">
        <is>
          <t>GOTLAND</t>
        </is>
      </c>
      <c r="G198" t="n">
        <v>1</v>
      </c>
      <c r="H198" t="n">
        <v>0</v>
      </c>
      <c r="I198" t="n">
        <v>0</v>
      </c>
      <c r="J198" t="n">
        <v>0</v>
      </c>
      <c r="K198" t="n">
        <v>0</v>
      </c>
      <c r="L198" t="n">
        <v>0</v>
      </c>
      <c r="M198" t="n">
        <v>0</v>
      </c>
      <c r="N198" t="n">
        <v>0</v>
      </c>
      <c r="O198" t="n">
        <v>0</v>
      </c>
      <c r="P198" t="n">
        <v>0</v>
      </c>
      <c r="Q198" t="n">
        <v>0</v>
      </c>
      <c r="R198" s="2" t="inlineStr"/>
    </row>
    <row r="199" ht="15" customHeight="1">
      <c r="A199" t="inlineStr">
        <is>
          <t>A 15127-2021</t>
        </is>
      </c>
      <c r="B199" s="1" t="n">
        <v>44283</v>
      </c>
      <c r="C199" s="1" t="n">
        <v>45923</v>
      </c>
      <c r="D199" t="inlineStr">
        <is>
          <t>GOTLANDS LÄN</t>
        </is>
      </c>
      <c r="E199" t="inlineStr">
        <is>
          <t>GOTLAND</t>
        </is>
      </c>
      <c r="G199" t="n">
        <v>0.4</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45923</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45923</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45923</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45923</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45923</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45923</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45923</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47369-2021</t>
        </is>
      </c>
      <c r="B207" s="1" t="n">
        <v>44447</v>
      </c>
      <c r="C207" s="1" t="n">
        <v>45923</v>
      </c>
      <c r="D207" t="inlineStr">
        <is>
          <t>GOTLANDS LÄN</t>
        </is>
      </c>
      <c r="E207" t="inlineStr">
        <is>
          <t>GOTLAND</t>
        </is>
      </c>
      <c r="G207" t="n">
        <v>2.3</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45923</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45923</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45923</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45923</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3271-2021</t>
        </is>
      </c>
      <c r="B212" s="1" t="n">
        <v>44217</v>
      </c>
      <c r="C212" s="1" t="n">
        <v>45923</v>
      </c>
      <c r="D212" t="inlineStr">
        <is>
          <t>GOTLANDS LÄN</t>
        </is>
      </c>
      <c r="E212" t="inlineStr">
        <is>
          <t>GOTLAND</t>
        </is>
      </c>
      <c r="G212" t="n">
        <v>0.7</v>
      </c>
      <c r="H212" t="n">
        <v>0</v>
      </c>
      <c r="I212" t="n">
        <v>0</v>
      </c>
      <c r="J212" t="n">
        <v>0</v>
      </c>
      <c r="K212" t="n">
        <v>0</v>
      </c>
      <c r="L212" t="n">
        <v>0</v>
      </c>
      <c r="M212" t="n">
        <v>0</v>
      </c>
      <c r="N212" t="n">
        <v>0</v>
      </c>
      <c r="O212" t="n">
        <v>0</v>
      </c>
      <c r="P212" t="n">
        <v>0</v>
      </c>
      <c r="Q212" t="n">
        <v>0</v>
      </c>
      <c r="R212" s="2" t="inlineStr"/>
    </row>
    <row r="213" ht="15" customHeight="1">
      <c r="A213" t="inlineStr">
        <is>
          <t>A 23910-2021</t>
        </is>
      </c>
      <c r="B213" s="1" t="n">
        <v>44335</v>
      </c>
      <c r="C213" s="1" t="n">
        <v>45923</v>
      </c>
      <c r="D213" t="inlineStr">
        <is>
          <t>GOTLANDS LÄN</t>
        </is>
      </c>
      <c r="E213" t="inlineStr">
        <is>
          <t>GOTLAND</t>
        </is>
      </c>
      <c r="G213" t="n">
        <v>1.5</v>
      </c>
      <c r="H213" t="n">
        <v>0</v>
      </c>
      <c r="I213" t="n">
        <v>0</v>
      </c>
      <c r="J213" t="n">
        <v>0</v>
      </c>
      <c r="K213" t="n">
        <v>0</v>
      </c>
      <c r="L213" t="n">
        <v>0</v>
      </c>
      <c r="M213" t="n">
        <v>0</v>
      </c>
      <c r="N213" t="n">
        <v>0</v>
      </c>
      <c r="O213" t="n">
        <v>0</v>
      </c>
      <c r="P213" t="n">
        <v>0</v>
      </c>
      <c r="Q213" t="n">
        <v>0</v>
      </c>
      <c r="R213" s="2" t="inlineStr"/>
    </row>
    <row r="214" ht="15" customHeight="1">
      <c r="A214" t="inlineStr">
        <is>
          <t>A 13498-2022</t>
        </is>
      </c>
      <c r="B214" s="1" t="n">
        <v>44647.78866898148</v>
      </c>
      <c r="C214" s="1" t="n">
        <v>45923</v>
      </c>
      <c r="D214" t="inlineStr">
        <is>
          <t>GOTLANDS LÄN</t>
        </is>
      </c>
      <c r="E214" t="inlineStr">
        <is>
          <t>GOTLAND</t>
        </is>
      </c>
      <c r="G214" t="n">
        <v>1.2</v>
      </c>
      <c r="H214" t="n">
        <v>0</v>
      </c>
      <c r="I214" t="n">
        <v>0</v>
      </c>
      <c r="J214" t="n">
        <v>0</v>
      </c>
      <c r="K214" t="n">
        <v>0</v>
      </c>
      <c r="L214" t="n">
        <v>0</v>
      </c>
      <c r="M214" t="n">
        <v>0</v>
      </c>
      <c r="N214" t="n">
        <v>0</v>
      </c>
      <c r="O214" t="n">
        <v>0</v>
      </c>
      <c r="P214" t="n">
        <v>0</v>
      </c>
      <c r="Q214" t="n">
        <v>0</v>
      </c>
      <c r="R214" s="2" t="inlineStr"/>
    </row>
    <row r="215" ht="15" customHeight="1">
      <c r="A215" t="inlineStr">
        <is>
          <t>A 13500-2022</t>
        </is>
      </c>
      <c r="B215" s="1" t="n">
        <v>44647.79513888889</v>
      </c>
      <c r="C215" s="1" t="n">
        <v>45923</v>
      </c>
      <c r="D215" t="inlineStr">
        <is>
          <t>GOTLANDS LÄN</t>
        </is>
      </c>
      <c r="E215" t="inlineStr">
        <is>
          <t>GOTLAND</t>
        </is>
      </c>
      <c r="G215" t="n">
        <v>1.2</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45923</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45923</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21507-2021</t>
        </is>
      </c>
      <c r="B218" s="1" t="n">
        <v>44321</v>
      </c>
      <c r="C218" s="1" t="n">
        <v>45923</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57219-2021</t>
        </is>
      </c>
      <c r="B219" s="1" t="n">
        <v>44483</v>
      </c>
      <c r="C219" s="1" t="n">
        <v>45923</v>
      </c>
      <c r="D219" t="inlineStr">
        <is>
          <t>GOTLANDS LÄN</t>
        </is>
      </c>
      <c r="E219" t="inlineStr">
        <is>
          <t>GOTLAND</t>
        </is>
      </c>
      <c r="F219" t="inlineStr">
        <is>
          <t>Kyrkan</t>
        </is>
      </c>
      <c r="G219" t="n">
        <v>4</v>
      </c>
      <c r="H219" t="n">
        <v>0</v>
      </c>
      <c r="I219" t="n">
        <v>0</v>
      </c>
      <c r="J219" t="n">
        <v>0</v>
      </c>
      <c r="K219" t="n">
        <v>0</v>
      </c>
      <c r="L219" t="n">
        <v>0</v>
      </c>
      <c r="M219" t="n">
        <v>0</v>
      </c>
      <c r="N219" t="n">
        <v>0</v>
      </c>
      <c r="O219" t="n">
        <v>0</v>
      </c>
      <c r="P219" t="n">
        <v>0</v>
      </c>
      <c r="Q219" t="n">
        <v>0</v>
      </c>
      <c r="R219" s="2" t="inlineStr"/>
    </row>
    <row r="220" ht="15" customHeight="1">
      <c r="A220" t="inlineStr">
        <is>
          <t>A 64380-2020</t>
        </is>
      </c>
      <c r="B220" s="1" t="n">
        <v>44168.60128472222</v>
      </c>
      <c r="C220" s="1" t="n">
        <v>45923</v>
      </c>
      <c r="D220" t="inlineStr">
        <is>
          <t>GOTLANDS LÄN</t>
        </is>
      </c>
      <c r="E220" t="inlineStr">
        <is>
          <t>GOTLAND</t>
        </is>
      </c>
      <c r="G220" t="n">
        <v>2.1</v>
      </c>
      <c r="H220" t="n">
        <v>0</v>
      </c>
      <c r="I220" t="n">
        <v>0</v>
      </c>
      <c r="J220" t="n">
        <v>0</v>
      </c>
      <c r="K220" t="n">
        <v>0</v>
      </c>
      <c r="L220" t="n">
        <v>0</v>
      </c>
      <c r="M220" t="n">
        <v>0</v>
      </c>
      <c r="N220" t="n">
        <v>0</v>
      </c>
      <c r="O220" t="n">
        <v>0</v>
      </c>
      <c r="P220" t="n">
        <v>0</v>
      </c>
      <c r="Q220" t="n">
        <v>0</v>
      </c>
      <c r="R220" s="2" t="inlineStr"/>
    </row>
    <row r="221" ht="15" customHeight="1">
      <c r="A221" t="inlineStr">
        <is>
          <t>A 2608-2021</t>
        </is>
      </c>
      <c r="B221" s="1" t="n">
        <v>44214</v>
      </c>
      <c r="C221" s="1" t="n">
        <v>45923</v>
      </c>
      <c r="D221" t="inlineStr">
        <is>
          <t>GOTLANDS LÄN</t>
        </is>
      </c>
      <c r="E221" t="inlineStr">
        <is>
          <t>GOTLAND</t>
        </is>
      </c>
      <c r="G221" t="n">
        <v>3.9</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45923</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45923</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45923</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53641-2020</t>
        </is>
      </c>
      <c r="B225" s="1" t="n">
        <v>44124</v>
      </c>
      <c r="C225" s="1" t="n">
        <v>45923</v>
      </c>
      <c r="D225" t="inlineStr">
        <is>
          <t>GOTLANDS LÄN</t>
        </is>
      </c>
      <c r="E225" t="inlineStr">
        <is>
          <t>GOTLAND</t>
        </is>
      </c>
      <c r="G225" t="n">
        <v>3.2</v>
      </c>
      <c r="H225" t="n">
        <v>0</v>
      </c>
      <c r="I225" t="n">
        <v>0</v>
      </c>
      <c r="J225" t="n">
        <v>0</v>
      </c>
      <c r="K225" t="n">
        <v>0</v>
      </c>
      <c r="L225" t="n">
        <v>0</v>
      </c>
      <c r="M225" t="n">
        <v>0</v>
      </c>
      <c r="N225" t="n">
        <v>0</v>
      </c>
      <c r="O225" t="n">
        <v>0</v>
      </c>
      <c r="P225" t="n">
        <v>0</v>
      </c>
      <c r="Q225" t="n">
        <v>0</v>
      </c>
      <c r="R225" s="2" t="inlineStr"/>
    </row>
    <row r="226" ht="15" customHeight="1">
      <c r="A226" t="inlineStr">
        <is>
          <t>A 30282-2022</t>
        </is>
      </c>
      <c r="B226" s="1" t="n">
        <v>44760</v>
      </c>
      <c r="C226" s="1" t="n">
        <v>45923</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37037-2021</t>
        </is>
      </c>
      <c r="B227" s="1" t="n">
        <v>44393.84688657407</v>
      </c>
      <c r="C227" s="1" t="n">
        <v>45923</v>
      </c>
      <c r="D227" t="inlineStr">
        <is>
          <t>GOTLANDS LÄN</t>
        </is>
      </c>
      <c r="E227" t="inlineStr">
        <is>
          <t>GOTLAND</t>
        </is>
      </c>
      <c r="G227" t="n">
        <v>10.2</v>
      </c>
      <c r="H227" t="n">
        <v>0</v>
      </c>
      <c r="I227" t="n">
        <v>0</v>
      </c>
      <c r="J227" t="n">
        <v>0</v>
      </c>
      <c r="K227" t="n">
        <v>0</v>
      </c>
      <c r="L227" t="n">
        <v>0</v>
      </c>
      <c r="M227" t="n">
        <v>0</v>
      </c>
      <c r="N227" t="n">
        <v>0</v>
      </c>
      <c r="O227" t="n">
        <v>0</v>
      </c>
      <c r="P227" t="n">
        <v>0</v>
      </c>
      <c r="Q227" t="n">
        <v>0</v>
      </c>
      <c r="R227" s="2" t="inlineStr"/>
    </row>
    <row r="228" ht="15" customHeight="1">
      <c r="A228" t="inlineStr">
        <is>
          <t>A 4868-2024</t>
        </is>
      </c>
      <c r="B228" s="1" t="n">
        <v>45329</v>
      </c>
      <c r="C228" s="1" t="n">
        <v>45923</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32330-2024</t>
        </is>
      </c>
      <c r="B229" s="1" t="n">
        <v>45512</v>
      </c>
      <c r="C229" s="1" t="n">
        <v>45923</v>
      </c>
      <c r="D229" t="inlineStr">
        <is>
          <t>GOTLANDS LÄN</t>
        </is>
      </c>
      <c r="E229" t="inlineStr">
        <is>
          <t>GOTLAND</t>
        </is>
      </c>
      <c r="G229" t="n">
        <v>2.6</v>
      </c>
      <c r="H229" t="n">
        <v>0</v>
      </c>
      <c r="I229" t="n">
        <v>0</v>
      </c>
      <c r="J229" t="n">
        <v>0</v>
      </c>
      <c r="K229" t="n">
        <v>0</v>
      </c>
      <c r="L229" t="n">
        <v>0</v>
      </c>
      <c r="M229" t="n">
        <v>0</v>
      </c>
      <c r="N229" t="n">
        <v>0</v>
      </c>
      <c r="O229" t="n">
        <v>0</v>
      </c>
      <c r="P229" t="n">
        <v>0</v>
      </c>
      <c r="Q229" t="n">
        <v>0</v>
      </c>
      <c r="R229" s="2" t="inlineStr"/>
    </row>
    <row r="230" ht="15" customHeight="1">
      <c r="A230" t="inlineStr">
        <is>
          <t>A 44942-2022</t>
        </is>
      </c>
      <c r="B230" s="1" t="n">
        <v>44841</v>
      </c>
      <c r="C230" s="1" t="n">
        <v>45923</v>
      </c>
      <c r="D230" t="inlineStr">
        <is>
          <t>GOTLANDS LÄN</t>
        </is>
      </c>
      <c r="E230" t="inlineStr">
        <is>
          <t>GOTLAND</t>
        </is>
      </c>
      <c r="G230" t="n">
        <v>2</v>
      </c>
      <c r="H230" t="n">
        <v>0</v>
      </c>
      <c r="I230" t="n">
        <v>0</v>
      </c>
      <c r="J230" t="n">
        <v>0</v>
      </c>
      <c r="K230" t="n">
        <v>0</v>
      </c>
      <c r="L230" t="n">
        <v>0</v>
      </c>
      <c r="M230" t="n">
        <v>0</v>
      </c>
      <c r="N230" t="n">
        <v>0</v>
      </c>
      <c r="O230" t="n">
        <v>0</v>
      </c>
      <c r="P230" t="n">
        <v>0</v>
      </c>
      <c r="Q230" t="n">
        <v>0</v>
      </c>
      <c r="R230" s="2" t="inlineStr"/>
    </row>
    <row r="231" ht="15" customHeight="1">
      <c r="A231" t="inlineStr">
        <is>
          <t>A 9613-2025</t>
        </is>
      </c>
      <c r="B231" s="1" t="n">
        <v>45715</v>
      </c>
      <c r="C231" s="1" t="n">
        <v>45923</v>
      </c>
      <c r="D231" t="inlineStr">
        <is>
          <t>GOTLANDS LÄN</t>
        </is>
      </c>
      <c r="E231" t="inlineStr">
        <is>
          <t>GOTLAND</t>
        </is>
      </c>
      <c r="G231" t="n">
        <v>3.5</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45923</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15595-2024</t>
        </is>
      </c>
      <c r="B233" s="1" t="n">
        <v>45401.81480324074</v>
      </c>
      <c r="C233" s="1" t="n">
        <v>45923</v>
      </c>
      <c r="D233" t="inlineStr">
        <is>
          <t>GOTLANDS LÄN</t>
        </is>
      </c>
      <c r="E233" t="inlineStr">
        <is>
          <t>GOTLAND</t>
        </is>
      </c>
      <c r="G233" t="n">
        <v>6.4</v>
      </c>
      <c r="H233" t="n">
        <v>0</v>
      </c>
      <c r="I233" t="n">
        <v>0</v>
      </c>
      <c r="J233" t="n">
        <v>0</v>
      </c>
      <c r="K233" t="n">
        <v>0</v>
      </c>
      <c r="L233" t="n">
        <v>0</v>
      </c>
      <c r="M233" t="n">
        <v>0</v>
      </c>
      <c r="N233" t="n">
        <v>0</v>
      </c>
      <c r="O233" t="n">
        <v>0</v>
      </c>
      <c r="P233" t="n">
        <v>0</v>
      </c>
      <c r="Q233" t="n">
        <v>0</v>
      </c>
      <c r="R233" s="2" t="inlineStr"/>
    </row>
    <row r="234" ht="15" customHeight="1">
      <c r="A234" t="inlineStr">
        <is>
          <t>A 5751-2024</t>
        </is>
      </c>
      <c r="B234" s="1" t="n">
        <v>45335.32702546296</v>
      </c>
      <c r="C234" s="1" t="n">
        <v>45923</v>
      </c>
      <c r="D234" t="inlineStr">
        <is>
          <t>GOTLANDS LÄN</t>
        </is>
      </c>
      <c r="E234" t="inlineStr">
        <is>
          <t>GOTLAND</t>
        </is>
      </c>
      <c r="G234" t="n">
        <v>4.2</v>
      </c>
      <c r="H234" t="n">
        <v>0</v>
      </c>
      <c r="I234" t="n">
        <v>0</v>
      </c>
      <c r="J234" t="n">
        <v>0</v>
      </c>
      <c r="K234" t="n">
        <v>0</v>
      </c>
      <c r="L234" t="n">
        <v>0</v>
      </c>
      <c r="M234" t="n">
        <v>0</v>
      </c>
      <c r="N234" t="n">
        <v>0</v>
      </c>
      <c r="O234" t="n">
        <v>0</v>
      </c>
      <c r="P234" t="n">
        <v>0</v>
      </c>
      <c r="Q234" t="n">
        <v>0</v>
      </c>
      <c r="R234" s="2" t="inlineStr"/>
    </row>
    <row r="235" ht="15" customHeight="1">
      <c r="A235" t="inlineStr">
        <is>
          <t>A 62120-2020</t>
        </is>
      </c>
      <c r="B235" s="1" t="n">
        <v>44158</v>
      </c>
      <c r="C235" s="1" t="n">
        <v>45923</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53225-2022</t>
        </is>
      </c>
      <c r="B236" s="1" t="n">
        <v>44876</v>
      </c>
      <c r="C236" s="1" t="n">
        <v>45923</v>
      </c>
      <c r="D236" t="inlineStr">
        <is>
          <t>GOTLANDS LÄN</t>
        </is>
      </c>
      <c r="E236" t="inlineStr">
        <is>
          <t>GOTLAND</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30055-2021</t>
        </is>
      </c>
      <c r="B237" s="1" t="n">
        <v>44363</v>
      </c>
      <c r="C237" s="1" t="n">
        <v>45923</v>
      </c>
      <c r="D237" t="inlineStr">
        <is>
          <t>GOTLANDS LÄN</t>
        </is>
      </c>
      <c r="E237" t="inlineStr">
        <is>
          <t>GOTLAND</t>
        </is>
      </c>
      <c r="G237" t="n">
        <v>1.8</v>
      </c>
      <c r="H237" t="n">
        <v>0</v>
      </c>
      <c r="I237" t="n">
        <v>0</v>
      </c>
      <c r="J237" t="n">
        <v>0</v>
      </c>
      <c r="K237" t="n">
        <v>0</v>
      </c>
      <c r="L237" t="n">
        <v>0</v>
      </c>
      <c r="M237" t="n">
        <v>0</v>
      </c>
      <c r="N237" t="n">
        <v>0</v>
      </c>
      <c r="O237" t="n">
        <v>0</v>
      </c>
      <c r="P237" t="n">
        <v>0</v>
      </c>
      <c r="Q237" t="n">
        <v>0</v>
      </c>
      <c r="R237" s="2" t="inlineStr"/>
    </row>
    <row r="238" ht="15" customHeight="1">
      <c r="A238" t="inlineStr">
        <is>
          <t>A 57652-2023</t>
        </is>
      </c>
      <c r="B238" s="1" t="n">
        <v>45246</v>
      </c>
      <c r="C238" s="1" t="n">
        <v>45923</v>
      </c>
      <c r="D238" t="inlineStr">
        <is>
          <t>GOTLANDS LÄN</t>
        </is>
      </c>
      <c r="E238" t="inlineStr">
        <is>
          <t>GOTLAND</t>
        </is>
      </c>
      <c r="G238" t="n">
        <v>7.2</v>
      </c>
      <c r="H238" t="n">
        <v>0</v>
      </c>
      <c r="I238" t="n">
        <v>0</v>
      </c>
      <c r="J238" t="n">
        <v>0</v>
      </c>
      <c r="K238" t="n">
        <v>0</v>
      </c>
      <c r="L238" t="n">
        <v>0</v>
      </c>
      <c r="M238" t="n">
        <v>0</v>
      </c>
      <c r="N238" t="n">
        <v>0</v>
      </c>
      <c r="O238" t="n">
        <v>0</v>
      </c>
      <c r="P238" t="n">
        <v>0</v>
      </c>
      <c r="Q238" t="n">
        <v>0</v>
      </c>
      <c r="R238" s="2" t="inlineStr"/>
    </row>
    <row r="239" ht="15" customHeight="1">
      <c r="A239" t="inlineStr">
        <is>
          <t>A 54074-2022</t>
        </is>
      </c>
      <c r="B239" s="1" t="n">
        <v>44881</v>
      </c>
      <c r="C239" s="1" t="n">
        <v>45923</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49315-2024</t>
        </is>
      </c>
      <c r="B240" s="1" t="n">
        <v>45595</v>
      </c>
      <c r="C240" s="1" t="n">
        <v>45923</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65393-2021</t>
        </is>
      </c>
      <c r="B241" s="1" t="n">
        <v>44515</v>
      </c>
      <c r="C241" s="1" t="n">
        <v>45923</v>
      </c>
      <c r="D241" t="inlineStr">
        <is>
          <t>GOTLANDS LÄN</t>
        </is>
      </c>
      <c r="E241" t="inlineStr">
        <is>
          <t>GOTLAND</t>
        </is>
      </c>
      <c r="G241" t="n">
        <v>1.1</v>
      </c>
      <c r="H241" t="n">
        <v>0</v>
      </c>
      <c r="I241" t="n">
        <v>0</v>
      </c>
      <c r="J241" t="n">
        <v>0</v>
      </c>
      <c r="K241" t="n">
        <v>0</v>
      </c>
      <c r="L241" t="n">
        <v>0</v>
      </c>
      <c r="M241" t="n">
        <v>0</v>
      </c>
      <c r="N241" t="n">
        <v>0</v>
      </c>
      <c r="O241" t="n">
        <v>0</v>
      </c>
      <c r="P241" t="n">
        <v>0</v>
      </c>
      <c r="Q241" t="n">
        <v>0</v>
      </c>
      <c r="R241" s="2" t="inlineStr"/>
    </row>
    <row r="242" ht="15" customHeight="1">
      <c r="A242" t="inlineStr">
        <is>
          <t>A 24966-2023</t>
        </is>
      </c>
      <c r="B242" s="1" t="n">
        <v>45085</v>
      </c>
      <c r="C242" s="1" t="n">
        <v>45923</v>
      </c>
      <c r="D242" t="inlineStr">
        <is>
          <t>GOTLANDS LÄN</t>
        </is>
      </c>
      <c r="E242" t="inlineStr">
        <is>
          <t>GOTLAND</t>
        </is>
      </c>
      <c r="G242" t="n">
        <v>7</v>
      </c>
      <c r="H242" t="n">
        <v>0</v>
      </c>
      <c r="I242" t="n">
        <v>0</v>
      </c>
      <c r="J242" t="n">
        <v>0</v>
      </c>
      <c r="K242" t="n">
        <v>0</v>
      </c>
      <c r="L242" t="n">
        <v>0</v>
      </c>
      <c r="M242" t="n">
        <v>0</v>
      </c>
      <c r="N242" t="n">
        <v>0</v>
      </c>
      <c r="O242" t="n">
        <v>0</v>
      </c>
      <c r="P242" t="n">
        <v>0</v>
      </c>
      <c r="Q242" t="n">
        <v>0</v>
      </c>
      <c r="R242" s="2" t="inlineStr"/>
    </row>
    <row r="243" ht="15" customHeight="1">
      <c r="A243" t="inlineStr">
        <is>
          <t>A 15413-2025</t>
        </is>
      </c>
      <c r="B243" s="1" t="n">
        <v>45747.451875</v>
      </c>
      <c r="C243" s="1" t="n">
        <v>45923</v>
      </c>
      <c r="D243" t="inlineStr">
        <is>
          <t>GOTLANDS LÄN</t>
        </is>
      </c>
      <c r="E243" t="inlineStr">
        <is>
          <t>GOTLAND</t>
        </is>
      </c>
      <c r="G243" t="n">
        <v>0.6</v>
      </c>
      <c r="H243" t="n">
        <v>0</v>
      </c>
      <c r="I243" t="n">
        <v>0</v>
      </c>
      <c r="J243" t="n">
        <v>0</v>
      </c>
      <c r="K243" t="n">
        <v>0</v>
      </c>
      <c r="L243" t="n">
        <v>0</v>
      </c>
      <c r="M243" t="n">
        <v>0</v>
      </c>
      <c r="N243" t="n">
        <v>0</v>
      </c>
      <c r="O243" t="n">
        <v>0</v>
      </c>
      <c r="P243" t="n">
        <v>0</v>
      </c>
      <c r="Q243" t="n">
        <v>0</v>
      </c>
      <c r="R243" s="2" t="inlineStr"/>
    </row>
    <row r="244" ht="15" customHeight="1">
      <c r="A244" t="inlineStr">
        <is>
          <t>A 45106-2024</t>
        </is>
      </c>
      <c r="B244" s="1" t="n">
        <v>45575</v>
      </c>
      <c r="C244" s="1" t="n">
        <v>45923</v>
      </c>
      <c r="D244" t="inlineStr">
        <is>
          <t>GOTLANDS LÄN</t>
        </is>
      </c>
      <c r="E244" t="inlineStr">
        <is>
          <t>GOTLAND</t>
        </is>
      </c>
      <c r="G244" t="n">
        <v>10</v>
      </c>
      <c r="H244" t="n">
        <v>0</v>
      </c>
      <c r="I244" t="n">
        <v>0</v>
      </c>
      <c r="J244" t="n">
        <v>0</v>
      </c>
      <c r="K244" t="n">
        <v>0</v>
      </c>
      <c r="L244" t="n">
        <v>0</v>
      </c>
      <c r="M244" t="n">
        <v>0</v>
      </c>
      <c r="N244" t="n">
        <v>0</v>
      </c>
      <c r="O244" t="n">
        <v>0</v>
      </c>
      <c r="P244" t="n">
        <v>0</v>
      </c>
      <c r="Q244" t="n">
        <v>0</v>
      </c>
      <c r="R244" s="2" t="inlineStr"/>
    </row>
    <row r="245" ht="15" customHeight="1">
      <c r="A245" t="inlineStr">
        <is>
          <t>A 45112-2024</t>
        </is>
      </c>
      <c r="B245" s="1" t="n">
        <v>45575</v>
      </c>
      <c r="C245" s="1" t="n">
        <v>45923</v>
      </c>
      <c r="D245" t="inlineStr">
        <is>
          <t>GOTLANDS LÄN</t>
        </is>
      </c>
      <c r="E245" t="inlineStr">
        <is>
          <t>GOTLAND</t>
        </is>
      </c>
      <c r="G245" t="n">
        <v>5.1</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45923</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2676-2023</t>
        </is>
      </c>
      <c r="B247" s="1" t="n">
        <v>44944</v>
      </c>
      <c r="C247" s="1" t="n">
        <v>45923</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65249-2023</t>
        </is>
      </c>
      <c r="B248" s="1" t="n">
        <v>45290</v>
      </c>
      <c r="C248" s="1" t="n">
        <v>45923</v>
      </c>
      <c r="D248" t="inlineStr">
        <is>
          <t>GOTLANDS LÄN</t>
        </is>
      </c>
      <c r="E248" t="inlineStr">
        <is>
          <t>GOTLAND</t>
        </is>
      </c>
      <c r="G248" t="n">
        <v>2.4</v>
      </c>
      <c r="H248" t="n">
        <v>0</v>
      </c>
      <c r="I248" t="n">
        <v>0</v>
      </c>
      <c r="J248" t="n">
        <v>0</v>
      </c>
      <c r="K248" t="n">
        <v>0</v>
      </c>
      <c r="L248" t="n">
        <v>0</v>
      </c>
      <c r="M248" t="n">
        <v>0</v>
      </c>
      <c r="N248" t="n">
        <v>0</v>
      </c>
      <c r="O248" t="n">
        <v>0</v>
      </c>
      <c r="P248" t="n">
        <v>0</v>
      </c>
      <c r="Q248" t="n">
        <v>0</v>
      </c>
      <c r="R248" s="2" t="inlineStr"/>
    </row>
    <row r="249" ht="15" customHeight="1">
      <c r="A249" t="inlineStr">
        <is>
          <t>A 3150-2025</t>
        </is>
      </c>
      <c r="B249" s="1" t="n">
        <v>45679.28974537037</v>
      </c>
      <c r="C249" s="1" t="n">
        <v>45923</v>
      </c>
      <c r="D249" t="inlineStr">
        <is>
          <t>GOTLANDS LÄN</t>
        </is>
      </c>
      <c r="E249" t="inlineStr">
        <is>
          <t>GOTLAND</t>
        </is>
      </c>
      <c r="G249" t="n">
        <v>2.5</v>
      </c>
      <c r="H249" t="n">
        <v>0</v>
      </c>
      <c r="I249" t="n">
        <v>0</v>
      </c>
      <c r="J249" t="n">
        <v>0</v>
      </c>
      <c r="K249" t="n">
        <v>0</v>
      </c>
      <c r="L249" t="n">
        <v>0</v>
      </c>
      <c r="M249" t="n">
        <v>0</v>
      </c>
      <c r="N249" t="n">
        <v>0</v>
      </c>
      <c r="O249" t="n">
        <v>0</v>
      </c>
      <c r="P249" t="n">
        <v>0</v>
      </c>
      <c r="Q249" t="n">
        <v>0</v>
      </c>
      <c r="R249" s="2" t="inlineStr"/>
    </row>
    <row r="250" ht="15" customHeight="1">
      <c r="A250" t="inlineStr">
        <is>
          <t>A 2035-2025</t>
        </is>
      </c>
      <c r="B250" s="1" t="n">
        <v>45672</v>
      </c>
      <c r="C250" s="1" t="n">
        <v>45923</v>
      </c>
      <c r="D250" t="inlineStr">
        <is>
          <t>GOTLANDS LÄN</t>
        </is>
      </c>
      <c r="E250" t="inlineStr">
        <is>
          <t>GOTLAND</t>
        </is>
      </c>
      <c r="G250" t="n">
        <v>7.5</v>
      </c>
      <c r="H250" t="n">
        <v>0</v>
      </c>
      <c r="I250" t="n">
        <v>0</v>
      </c>
      <c r="J250" t="n">
        <v>0</v>
      </c>
      <c r="K250" t="n">
        <v>0</v>
      </c>
      <c r="L250" t="n">
        <v>0</v>
      </c>
      <c r="M250" t="n">
        <v>0</v>
      </c>
      <c r="N250" t="n">
        <v>0</v>
      </c>
      <c r="O250" t="n">
        <v>0</v>
      </c>
      <c r="P250" t="n">
        <v>0</v>
      </c>
      <c r="Q250" t="n">
        <v>0</v>
      </c>
      <c r="R250" s="2" t="inlineStr"/>
    </row>
    <row r="251" ht="15" customHeight="1">
      <c r="A251" t="inlineStr">
        <is>
          <t>A 35123-2025</t>
        </is>
      </c>
      <c r="B251" s="1" t="n">
        <v>45852.614375</v>
      </c>
      <c r="C251" s="1" t="n">
        <v>45923</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8484-2025</t>
        </is>
      </c>
      <c r="B252" s="1" t="n">
        <v>45709</v>
      </c>
      <c r="C252" s="1" t="n">
        <v>45923</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7635-2025</t>
        </is>
      </c>
      <c r="B253" s="1" t="n">
        <v>45705</v>
      </c>
      <c r="C253" s="1" t="n">
        <v>45923</v>
      </c>
      <c r="D253" t="inlineStr">
        <is>
          <t>GOTLANDS LÄN</t>
        </is>
      </c>
      <c r="E253" t="inlineStr">
        <is>
          <t>GOTLAND</t>
        </is>
      </c>
      <c r="G253" t="n">
        <v>0.9</v>
      </c>
      <c r="H253" t="n">
        <v>0</v>
      </c>
      <c r="I253" t="n">
        <v>0</v>
      </c>
      <c r="J253" t="n">
        <v>0</v>
      </c>
      <c r="K253" t="n">
        <v>0</v>
      </c>
      <c r="L253" t="n">
        <v>0</v>
      </c>
      <c r="M253" t="n">
        <v>0</v>
      </c>
      <c r="N253" t="n">
        <v>0</v>
      </c>
      <c r="O253" t="n">
        <v>0</v>
      </c>
      <c r="P253" t="n">
        <v>0</v>
      </c>
      <c r="Q253" t="n">
        <v>0</v>
      </c>
      <c r="R253" s="2" t="inlineStr"/>
    </row>
    <row r="254" ht="15" customHeight="1">
      <c r="A254" t="inlineStr">
        <is>
          <t>A 7636-2025</t>
        </is>
      </c>
      <c r="B254" s="1" t="n">
        <v>45705.7687962963</v>
      </c>
      <c r="C254" s="1" t="n">
        <v>45923</v>
      </c>
      <c r="D254" t="inlineStr">
        <is>
          <t>GOTLANDS LÄN</t>
        </is>
      </c>
      <c r="E254" t="inlineStr">
        <is>
          <t>GOTLAND</t>
        </is>
      </c>
      <c r="G254" t="n">
        <v>0.6</v>
      </c>
      <c r="H254" t="n">
        <v>0</v>
      </c>
      <c r="I254" t="n">
        <v>0</v>
      </c>
      <c r="J254" t="n">
        <v>0</v>
      </c>
      <c r="K254" t="n">
        <v>0</v>
      </c>
      <c r="L254" t="n">
        <v>0</v>
      </c>
      <c r="M254" t="n">
        <v>0</v>
      </c>
      <c r="N254" t="n">
        <v>0</v>
      </c>
      <c r="O254" t="n">
        <v>0</v>
      </c>
      <c r="P254" t="n">
        <v>0</v>
      </c>
      <c r="Q254" t="n">
        <v>0</v>
      </c>
      <c r="R254" s="2" t="inlineStr"/>
    </row>
    <row r="255" ht="15" customHeight="1">
      <c r="A255" t="inlineStr">
        <is>
          <t>A 7639-2025</t>
        </is>
      </c>
      <c r="B255" s="1" t="n">
        <v>45705.77465277778</v>
      </c>
      <c r="C255" s="1" t="n">
        <v>45923</v>
      </c>
      <c r="D255" t="inlineStr">
        <is>
          <t>GOTLANDS LÄN</t>
        </is>
      </c>
      <c r="E255" t="inlineStr">
        <is>
          <t>GOTLAND</t>
        </is>
      </c>
      <c r="G255" t="n">
        <v>1</v>
      </c>
      <c r="H255" t="n">
        <v>0</v>
      </c>
      <c r="I255" t="n">
        <v>0</v>
      </c>
      <c r="J255" t="n">
        <v>0</v>
      </c>
      <c r="K255" t="n">
        <v>0</v>
      </c>
      <c r="L255" t="n">
        <v>0</v>
      </c>
      <c r="M255" t="n">
        <v>0</v>
      </c>
      <c r="N255" t="n">
        <v>0</v>
      </c>
      <c r="O255" t="n">
        <v>0</v>
      </c>
      <c r="P255" t="n">
        <v>0</v>
      </c>
      <c r="Q255" t="n">
        <v>0</v>
      </c>
      <c r="R255" s="2" t="inlineStr"/>
    </row>
    <row r="256" ht="15" customHeight="1">
      <c r="A256" t="inlineStr">
        <is>
          <t>A 39814-2025</t>
        </is>
      </c>
      <c r="B256" s="1" t="n">
        <v>45891.52694444444</v>
      </c>
      <c r="C256" s="1" t="n">
        <v>45923</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45923</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35096-2025</t>
        </is>
      </c>
      <c r="B258" s="1" t="n">
        <v>45852.54356481481</v>
      </c>
      <c r="C258" s="1" t="n">
        <v>45923</v>
      </c>
      <c r="D258" t="inlineStr">
        <is>
          <t>GOTLANDS LÄN</t>
        </is>
      </c>
      <c r="E258" t="inlineStr">
        <is>
          <t>GOTLAND</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22031-2024</t>
        </is>
      </c>
      <c r="B259" s="1" t="n">
        <v>45443.60075231481</v>
      </c>
      <c r="C259" s="1" t="n">
        <v>45923</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44204-2022</t>
        </is>
      </c>
      <c r="B260" s="1" t="n">
        <v>44839</v>
      </c>
      <c r="C260" s="1" t="n">
        <v>45923</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20356-2022</t>
        </is>
      </c>
      <c r="B261" s="1" t="n">
        <v>44699</v>
      </c>
      <c r="C261" s="1" t="n">
        <v>45923</v>
      </c>
      <c r="D261" t="inlineStr">
        <is>
          <t>GOTLANDS LÄN</t>
        </is>
      </c>
      <c r="E261" t="inlineStr">
        <is>
          <t>GOTLAND</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48734-2022</t>
        </is>
      </c>
      <c r="B262" s="1" t="n">
        <v>44855</v>
      </c>
      <c r="C262" s="1" t="n">
        <v>45923</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49314-2024</t>
        </is>
      </c>
      <c r="B263" s="1" t="n">
        <v>45595.55893518519</v>
      </c>
      <c r="C263" s="1" t="n">
        <v>45923</v>
      </c>
      <c r="D263" t="inlineStr">
        <is>
          <t>GOTLANDS LÄN</t>
        </is>
      </c>
      <c r="E263" t="inlineStr">
        <is>
          <t>GOTLAND</t>
        </is>
      </c>
      <c r="G263" t="n">
        <v>1.1</v>
      </c>
      <c r="H263" t="n">
        <v>0</v>
      </c>
      <c r="I263" t="n">
        <v>0</v>
      </c>
      <c r="J263" t="n">
        <v>0</v>
      </c>
      <c r="K263" t="n">
        <v>0</v>
      </c>
      <c r="L263" t="n">
        <v>0</v>
      </c>
      <c r="M263" t="n">
        <v>0</v>
      </c>
      <c r="N263" t="n">
        <v>0</v>
      </c>
      <c r="O263" t="n">
        <v>0</v>
      </c>
      <c r="P263" t="n">
        <v>0</v>
      </c>
      <c r="Q263" t="n">
        <v>0</v>
      </c>
      <c r="R263" s="2" t="inlineStr"/>
    </row>
    <row r="264" ht="15" customHeight="1">
      <c r="A264" t="inlineStr">
        <is>
          <t>A 35142-2025</t>
        </is>
      </c>
      <c r="B264" s="1" t="n">
        <v>45852.65532407408</v>
      </c>
      <c r="C264" s="1" t="n">
        <v>45923</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14141-2024</t>
        </is>
      </c>
      <c r="B265" s="1" t="n">
        <v>45392.85193287037</v>
      </c>
      <c r="C265" s="1" t="n">
        <v>45923</v>
      </c>
      <c r="D265" t="inlineStr">
        <is>
          <t>GOTLANDS LÄN</t>
        </is>
      </c>
      <c r="E265" t="inlineStr">
        <is>
          <t>GOTLAND</t>
        </is>
      </c>
      <c r="G265" t="n">
        <v>5.3</v>
      </c>
      <c r="H265" t="n">
        <v>0</v>
      </c>
      <c r="I265" t="n">
        <v>0</v>
      </c>
      <c r="J265" t="n">
        <v>0</v>
      </c>
      <c r="K265" t="n">
        <v>0</v>
      </c>
      <c r="L265" t="n">
        <v>0</v>
      </c>
      <c r="M265" t="n">
        <v>0</v>
      </c>
      <c r="N265" t="n">
        <v>0</v>
      </c>
      <c r="O265" t="n">
        <v>0</v>
      </c>
      <c r="P265" t="n">
        <v>0</v>
      </c>
      <c r="Q265" t="n">
        <v>0</v>
      </c>
      <c r="R265" s="2" t="inlineStr"/>
    </row>
    <row r="266" ht="15" customHeight="1">
      <c r="A266" t="inlineStr">
        <is>
          <t>A 29809-2022</t>
        </is>
      </c>
      <c r="B266" s="1" t="n">
        <v>44755.8713425926</v>
      </c>
      <c r="C266" s="1" t="n">
        <v>45923</v>
      </c>
      <c r="D266" t="inlineStr">
        <is>
          <t>GOTLANDS LÄN</t>
        </is>
      </c>
      <c r="E266" t="inlineStr">
        <is>
          <t>GOTLAND</t>
        </is>
      </c>
      <c r="G266" t="n">
        <v>11.5</v>
      </c>
      <c r="H266" t="n">
        <v>0</v>
      </c>
      <c r="I266" t="n">
        <v>0</v>
      </c>
      <c r="J266" t="n">
        <v>0</v>
      </c>
      <c r="K266" t="n">
        <v>0</v>
      </c>
      <c r="L266" t="n">
        <v>0</v>
      </c>
      <c r="M266" t="n">
        <v>0</v>
      </c>
      <c r="N266" t="n">
        <v>0</v>
      </c>
      <c r="O266" t="n">
        <v>0</v>
      </c>
      <c r="P266" t="n">
        <v>0</v>
      </c>
      <c r="Q266" t="n">
        <v>0</v>
      </c>
      <c r="R266" s="2" t="inlineStr"/>
    </row>
    <row r="267" ht="15" customHeight="1">
      <c r="A267" t="inlineStr">
        <is>
          <t>A 39849-2025</t>
        </is>
      </c>
      <c r="B267" s="1" t="n">
        <v>45891.58502314815</v>
      </c>
      <c r="C267" s="1" t="n">
        <v>45923</v>
      </c>
      <c r="D267" t="inlineStr">
        <is>
          <t>GOTLANDS LÄN</t>
        </is>
      </c>
      <c r="E267" t="inlineStr">
        <is>
          <t>GOTLAND</t>
        </is>
      </c>
      <c r="G267" t="n">
        <v>6.1</v>
      </c>
      <c r="H267" t="n">
        <v>0</v>
      </c>
      <c r="I267" t="n">
        <v>0</v>
      </c>
      <c r="J267" t="n">
        <v>0</v>
      </c>
      <c r="K267" t="n">
        <v>0</v>
      </c>
      <c r="L267" t="n">
        <v>0</v>
      </c>
      <c r="M267" t="n">
        <v>0</v>
      </c>
      <c r="N267" t="n">
        <v>0</v>
      </c>
      <c r="O267" t="n">
        <v>0</v>
      </c>
      <c r="P267" t="n">
        <v>0</v>
      </c>
      <c r="Q267" t="n">
        <v>0</v>
      </c>
      <c r="R267" s="2" t="inlineStr"/>
    </row>
    <row r="268" ht="15" customHeight="1">
      <c r="A268" t="inlineStr">
        <is>
          <t>A 40103-2025</t>
        </is>
      </c>
      <c r="B268" s="1" t="n">
        <v>45894.4880324074</v>
      </c>
      <c r="C268" s="1" t="n">
        <v>45923</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44919-2022</t>
        </is>
      </c>
      <c r="B269" s="1" t="n">
        <v>44841</v>
      </c>
      <c r="C269" s="1" t="n">
        <v>45923</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13910-2025</t>
        </is>
      </c>
      <c r="B270" s="1" t="n">
        <v>45737</v>
      </c>
      <c r="C270" s="1" t="n">
        <v>45923</v>
      </c>
      <c r="D270" t="inlineStr">
        <is>
          <t>GOTLANDS LÄN</t>
        </is>
      </c>
      <c r="E270" t="inlineStr">
        <is>
          <t>GOTLAND</t>
        </is>
      </c>
      <c r="F270" t="inlineStr">
        <is>
          <t>Kommuner</t>
        </is>
      </c>
      <c r="G270" t="n">
        <v>3.2</v>
      </c>
      <c r="H270" t="n">
        <v>0</v>
      </c>
      <c r="I270" t="n">
        <v>0</v>
      </c>
      <c r="J270" t="n">
        <v>0</v>
      </c>
      <c r="K270" t="n">
        <v>0</v>
      </c>
      <c r="L270" t="n">
        <v>0</v>
      </c>
      <c r="M270" t="n">
        <v>0</v>
      </c>
      <c r="N270" t="n">
        <v>0</v>
      </c>
      <c r="O270" t="n">
        <v>0</v>
      </c>
      <c r="P270" t="n">
        <v>0</v>
      </c>
      <c r="Q270" t="n">
        <v>0</v>
      </c>
      <c r="R270" s="2" t="inlineStr"/>
    </row>
    <row r="271" ht="15" customHeight="1">
      <c r="A271" t="inlineStr">
        <is>
          <t>A 39819-2025</t>
        </is>
      </c>
      <c r="B271" s="1" t="n">
        <v>45891.53418981482</v>
      </c>
      <c r="C271" s="1" t="n">
        <v>45923</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40372-2025</t>
        </is>
      </c>
      <c r="B272" s="1" t="n">
        <v>45895.5162037037</v>
      </c>
      <c r="C272" s="1" t="n">
        <v>45923</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45923</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30104-2025</t>
        </is>
      </c>
      <c r="B274" s="1" t="n">
        <v>45826.68806712963</v>
      </c>
      <c r="C274" s="1" t="n">
        <v>45923</v>
      </c>
      <c r="D274" t="inlineStr">
        <is>
          <t>GOTLANDS LÄN</t>
        </is>
      </c>
      <c r="E274" t="inlineStr">
        <is>
          <t>GOTLAND</t>
        </is>
      </c>
      <c r="G274" t="n">
        <v>15.4</v>
      </c>
      <c r="H274" t="n">
        <v>0</v>
      </c>
      <c r="I274" t="n">
        <v>0</v>
      </c>
      <c r="J274" t="n">
        <v>0</v>
      </c>
      <c r="K274" t="n">
        <v>0</v>
      </c>
      <c r="L274" t="n">
        <v>0</v>
      </c>
      <c r="M274" t="n">
        <v>0</v>
      </c>
      <c r="N274" t="n">
        <v>0</v>
      </c>
      <c r="O274" t="n">
        <v>0</v>
      </c>
      <c r="P274" t="n">
        <v>0</v>
      </c>
      <c r="Q274" t="n">
        <v>0</v>
      </c>
      <c r="R274" s="2" t="inlineStr"/>
    </row>
    <row r="275" ht="15" customHeight="1">
      <c r="A275" t="inlineStr">
        <is>
          <t>A 40499-2025</t>
        </is>
      </c>
      <c r="B275" s="1" t="n">
        <v>45896.32517361111</v>
      </c>
      <c r="C275" s="1" t="n">
        <v>45923</v>
      </c>
      <c r="D275" t="inlineStr">
        <is>
          <t>GOTLANDS LÄN</t>
        </is>
      </c>
      <c r="E275" t="inlineStr">
        <is>
          <t>GOTLAND</t>
        </is>
      </c>
      <c r="G275" t="n">
        <v>2.6</v>
      </c>
      <c r="H275" t="n">
        <v>0</v>
      </c>
      <c r="I275" t="n">
        <v>0</v>
      </c>
      <c r="J275" t="n">
        <v>0</v>
      </c>
      <c r="K275" t="n">
        <v>0</v>
      </c>
      <c r="L275" t="n">
        <v>0</v>
      </c>
      <c r="M275" t="n">
        <v>0</v>
      </c>
      <c r="N275" t="n">
        <v>0</v>
      </c>
      <c r="O275" t="n">
        <v>0</v>
      </c>
      <c r="P275" t="n">
        <v>0</v>
      </c>
      <c r="Q275" t="n">
        <v>0</v>
      </c>
      <c r="R275" s="2" t="inlineStr"/>
    </row>
    <row r="276" ht="15" customHeight="1">
      <c r="A276" t="inlineStr">
        <is>
          <t>A 17780-2022</t>
        </is>
      </c>
      <c r="B276" s="1" t="n">
        <v>44682.82622685185</v>
      </c>
      <c r="C276" s="1" t="n">
        <v>45923</v>
      </c>
      <c r="D276" t="inlineStr">
        <is>
          <t>GOTLANDS LÄN</t>
        </is>
      </c>
      <c r="E276" t="inlineStr">
        <is>
          <t>GOTLAND</t>
        </is>
      </c>
      <c r="G276" t="n">
        <v>2.2</v>
      </c>
      <c r="H276" t="n">
        <v>0</v>
      </c>
      <c r="I276" t="n">
        <v>0</v>
      </c>
      <c r="J276" t="n">
        <v>0</v>
      </c>
      <c r="K276" t="n">
        <v>0</v>
      </c>
      <c r="L276" t="n">
        <v>0</v>
      </c>
      <c r="M276" t="n">
        <v>0</v>
      </c>
      <c r="N276" t="n">
        <v>0</v>
      </c>
      <c r="O276" t="n">
        <v>0</v>
      </c>
      <c r="P276" t="n">
        <v>0</v>
      </c>
      <c r="Q276" t="n">
        <v>0</v>
      </c>
      <c r="R276" s="2" t="inlineStr"/>
    </row>
    <row r="277" ht="15" customHeight="1">
      <c r="A277" t="inlineStr">
        <is>
          <t>A 57685-2022</t>
        </is>
      </c>
      <c r="B277" s="1" t="n">
        <v>44897.4777662037</v>
      </c>
      <c r="C277" s="1" t="n">
        <v>45923</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48503-2023</t>
        </is>
      </c>
      <c r="B278" s="1" t="n">
        <v>45207</v>
      </c>
      <c r="C278" s="1" t="n">
        <v>45923</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35290-2025</t>
        </is>
      </c>
      <c r="B279" s="1" t="n">
        <v>45854.38502314815</v>
      </c>
      <c r="C279" s="1" t="n">
        <v>45923</v>
      </c>
      <c r="D279" t="inlineStr">
        <is>
          <t>GOTLANDS LÄN</t>
        </is>
      </c>
      <c r="E279" t="inlineStr">
        <is>
          <t>GOTLAND</t>
        </is>
      </c>
      <c r="G279" t="n">
        <v>5.4</v>
      </c>
      <c r="H279" t="n">
        <v>0</v>
      </c>
      <c r="I279" t="n">
        <v>0</v>
      </c>
      <c r="J279" t="n">
        <v>0</v>
      </c>
      <c r="K279" t="n">
        <v>0</v>
      </c>
      <c r="L279" t="n">
        <v>0</v>
      </c>
      <c r="M279" t="n">
        <v>0</v>
      </c>
      <c r="N279" t="n">
        <v>0</v>
      </c>
      <c r="O279" t="n">
        <v>0</v>
      </c>
      <c r="P279" t="n">
        <v>0</v>
      </c>
      <c r="Q279" t="n">
        <v>0</v>
      </c>
      <c r="R279" s="2" t="inlineStr"/>
    </row>
    <row r="280" ht="15" customHeight="1">
      <c r="A280" t="inlineStr">
        <is>
          <t>A 39752-2025</t>
        </is>
      </c>
      <c r="B280" s="1" t="n">
        <v>45891</v>
      </c>
      <c r="C280" s="1" t="n">
        <v>45923</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39816-2025</t>
        </is>
      </c>
      <c r="B281" s="1" t="n">
        <v>45891</v>
      </c>
      <c r="C281" s="1" t="n">
        <v>45923</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32669-2024</t>
        </is>
      </c>
      <c r="B282" s="1" t="n">
        <v>45514</v>
      </c>
      <c r="C282" s="1" t="n">
        <v>45923</v>
      </c>
      <c r="D282" t="inlineStr">
        <is>
          <t>GOTLANDS LÄN</t>
        </is>
      </c>
      <c r="E282" t="inlineStr">
        <is>
          <t>GOTLAND</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12599-2025</t>
        </is>
      </c>
      <c r="B283" s="1" t="n">
        <v>45733.29546296296</v>
      </c>
      <c r="C283" s="1" t="n">
        <v>45923</v>
      </c>
      <c r="D283" t="inlineStr">
        <is>
          <t>GOTLANDS LÄN</t>
        </is>
      </c>
      <c r="E283" t="inlineStr">
        <is>
          <t>GOTLAND</t>
        </is>
      </c>
      <c r="G283" t="n">
        <v>4.7</v>
      </c>
      <c r="H283" t="n">
        <v>0</v>
      </c>
      <c r="I283" t="n">
        <v>0</v>
      </c>
      <c r="J283" t="n">
        <v>0</v>
      </c>
      <c r="K283" t="n">
        <v>0</v>
      </c>
      <c r="L283" t="n">
        <v>0</v>
      </c>
      <c r="M283" t="n">
        <v>0</v>
      </c>
      <c r="N283" t="n">
        <v>0</v>
      </c>
      <c r="O283" t="n">
        <v>0</v>
      </c>
      <c r="P283" t="n">
        <v>0</v>
      </c>
      <c r="Q283" t="n">
        <v>0</v>
      </c>
      <c r="R283" s="2" t="inlineStr"/>
    </row>
    <row r="284" ht="15" customHeight="1">
      <c r="A284" t="inlineStr">
        <is>
          <t>A 30815-2023</t>
        </is>
      </c>
      <c r="B284" s="1" t="n">
        <v>45112</v>
      </c>
      <c r="C284" s="1" t="n">
        <v>45923</v>
      </c>
      <c r="D284" t="inlineStr">
        <is>
          <t>GOTLANDS LÄN</t>
        </is>
      </c>
      <c r="E284" t="inlineStr">
        <is>
          <t>GOTLAND</t>
        </is>
      </c>
      <c r="G284" t="n">
        <v>6</v>
      </c>
      <c r="H284" t="n">
        <v>0</v>
      </c>
      <c r="I284" t="n">
        <v>0</v>
      </c>
      <c r="J284" t="n">
        <v>0</v>
      </c>
      <c r="K284" t="n">
        <v>0</v>
      </c>
      <c r="L284" t="n">
        <v>0</v>
      </c>
      <c r="M284" t="n">
        <v>0</v>
      </c>
      <c r="N284" t="n">
        <v>0</v>
      </c>
      <c r="O284" t="n">
        <v>0</v>
      </c>
      <c r="P284" t="n">
        <v>0</v>
      </c>
      <c r="Q284" t="n">
        <v>0</v>
      </c>
      <c r="R284" s="2" t="inlineStr"/>
    </row>
    <row r="285" ht="15" customHeight="1">
      <c r="A285" t="inlineStr">
        <is>
          <t>A 59986-2022</t>
        </is>
      </c>
      <c r="B285" s="1" t="n">
        <v>44909</v>
      </c>
      <c r="C285" s="1" t="n">
        <v>45923</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14536-2021</t>
        </is>
      </c>
      <c r="B286" s="1" t="n">
        <v>44279.66168981481</v>
      </c>
      <c r="C286" s="1" t="n">
        <v>45923</v>
      </c>
      <c r="D286" t="inlineStr">
        <is>
          <t>GOTLANDS LÄN</t>
        </is>
      </c>
      <c r="E286" t="inlineStr">
        <is>
          <t>GOTLAND</t>
        </is>
      </c>
      <c r="G286" t="n">
        <v>8.5</v>
      </c>
      <c r="H286" t="n">
        <v>0</v>
      </c>
      <c r="I286" t="n">
        <v>0</v>
      </c>
      <c r="J286" t="n">
        <v>0</v>
      </c>
      <c r="K286" t="n">
        <v>0</v>
      </c>
      <c r="L286" t="n">
        <v>0</v>
      </c>
      <c r="M286" t="n">
        <v>0</v>
      </c>
      <c r="N286" t="n">
        <v>0</v>
      </c>
      <c r="O286" t="n">
        <v>0</v>
      </c>
      <c r="P286" t="n">
        <v>0</v>
      </c>
      <c r="Q286" t="n">
        <v>0</v>
      </c>
      <c r="R286" s="2" t="inlineStr"/>
    </row>
    <row r="287" ht="15" customHeight="1">
      <c r="A287" t="inlineStr">
        <is>
          <t>A 35537-2025</t>
        </is>
      </c>
      <c r="B287" s="1" t="n">
        <v>45856</v>
      </c>
      <c r="C287" s="1" t="n">
        <v>45923</v>
      </c>
      <c r="D287" t="inlineStr">
        <is>
          <t>GOTLANDS LÄN</t>
        </is>
      </c>
      <c r="E287" t="inlineStr">
        <is>
          <t>GOTLAND</t>
        </is>
      </c>
      <c r="G287" t="n">
        <v>16.8</v>
      </c>
      <c r="H287" t="n">
        <v>0</v>
      </c>
      <c r="I287" t="n">
        <v>0</v>
      </c>
      <c r="J287" t="n">
        <v>0</v>
      </c>
      <c r="K287" t="n">
        <v>0</v>
      </c>
      <c r="L287" t="n">
        <v>0</v>
      </c>
      <c r="M287" t="n">
        <v>0</v>
      </c>
      <c r="N287" t="n">
        <v>0</v>
      </c>
      <c r="O287" t="n">
        <v>0</v>
      </c>
      <c r="P287" t="n">
        <v>0</v>
      </c>
      <c r="Q287" t="n">
        <v>0</v>
      </c>
      <c r="R287" s="2" t="inlineStr"/>
    </row>
    <row r="288" ht="15" customHeight="1">
      <c r="A288" t="inlineStr">
        <is>
          <t>A 35550-2025</t>
        </is>
      </c>
      <c r="B288" s="1" t="n">
        <v>45856.49324074074</v>
      </c>
      <c r="C288" s="1" t="n">
        <v>45923</v>
      </c>
      <c r="D288" t="inlineStr">
        <is>
          <t>GOTLANDS LÄN</t>
        </is>
      </c>
      <c r="E288" t="inlineStr">
        <is>
          <t>GOTLAND</t>
        </is>
      </c>
      <c r="G288" t="n">
        <v>3.2</v>
      </c>
      <c r="H288" t="n">
        <v>0</v>
      </c>
      <c r="I288" t="n">
        <v>0</v>
      </c>
      <c r="J288" t="n">
        <v>0</v>
      </c>
      <c r="K288" t="n">
        <v>0</v>
      </c>
      <c r="L288" t="n">
        <v>0</v>
      </c>
      <c r="M288" t="n">
        <v>0</v>
      </c>
      <c r="N288" t="n">
        <v>0</v>
      </c>
      <c r="O288" t="n">
        <v>0</v>
      </c>
      <c r="P288" t="n">
        <v>0</v>
      </c>
      <c r="Q288" t="n">
        <v>0</v>
      </c>
      <c r="R288" s="2" t="inlineStr"/>
    </row>
    <row r="289" ht="15" customHeight="1">
      <c r="A289" t="inlineStr">
        <is>
          <t>A 7034-2023</t>
        </is>
      </c>
      <c r="B289" s="1" t="n">
        <v>44968.32108796296</v>
      </c>
      <c r="C289" s="1" t="n">
        <v>45923</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7042-2023</t>
        </is>
      </c>
      <c r="B290" s="1" t="n">
        <v>44968</v>
      </c>
      <c r="C290" s="1" t="n">
        <v>45923</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65901-2021</t>
        </is>
      </c>
      <c r="B291" s="1" t="n">
        <v>44516</v>
      </c>
      <c r="C291" s="1" t="n">
        <v>45923</v>
      </c>
      <c r="D291" t="inlineStr">
        <is>
          <t>GOTLANDS LÄN</t>
        </is>
      </c>
      <c r="E291" t="inlineStr">
        <is>
          <t>GOTLAND</t>
        </is>
      </c>
      <c r="G291" t="n">
        <v>4.9</v>
      </c>
      <c r="H291" t="n">
        <v>0</v>
      </c>
      <c r="I291" t="n">
        <v>0</v>
      </c>
      <c r="J291" t="n">
        <v>0</v>
      </c>
      <c r="K291" t="n">
        <v>0</v>
      </c>
      <c r="L291" t="n">
        <v>0</v>
      </c>
      <c r="M291" t="n">
        <v>0</v>
      </c>
      <c r="N291" t="n">
        <v>0</v>
      </c>
      <c r="O291" t="n">
        <v>0</v>
      </c>
      <c r="P291" t="n">
        <v>0</v>
      </c>
      <c r="Q291" t="n">
        <v>0</v>
      </c>
      <c r="R291" s="2" t="inlineStr"/>
    </row>
    <row r="292" ht="15" customHeight="1">
      <c r="A292" t="inlineStr">
        <is>
          <t>A 23516-2023</t>
        </is>
      </c>
      <c r="B292" s="1" t="n">
        <v>45076.93391203704</v>
      </c>
      <c r="C292" s="1" t="n">
        <v>45923</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64660-2023</t>
        </is>
      </c>
      <c r="B293" s="1" t="n">
        <v>45281.60122685185</v>
      </c>
      <c r="C293" s="1" t="n">
        <v>45923</v>
      </c>
      <c r="D293" t="inlineStr">
        <is>
          <t>GOTLANDS LÄN</t>
        </is>
      </c>
      <c r="E293" t="inlineStr">
        <is>
          <t>GOTLAND</t>
        </is>
      </c>
      <c r="G293" t="n">
        <v>6.3</v>
      </c>
      <c r="H293" t="n">
        <v>0</v>
      </c>
      <c r="I293" t="n">
        <v>0</v>
      </c>
      <c r="J293" t="n">
        <v>0</v>
      </c>
      <c r="K293" t="n">
        <v>0</v>
      </c>
      <c r="L293" t="n">
        <v>0</v>
      </c>
      <c r="M293" t="n">
        <v>0</v>
      </c>
      <c r="N293" t="n">
        <v>0</v>
      </c>
      <c r="O293" t="n">
        <v>0</v>
      </c>
      <c r="P293" t="n">
        <v>0</v>
      </c>
      <c r="Q293" t="n">
        <v>0</v>
      </c>
      <c r="R293" s="2" t="inlineStr"/>
    </row>
    <row r="294" ht="15" customHeight="1">
      <c r="A294" t="inlineStr">
        <is>
          <t>A 63763-2023</t>
        </is>
      </c>
      <c r="B294" s="1" t="n">
        <v>45278.33944444444</v>
      </c>
      <c r="C294" s="1" t="n">
        <v>45923</v>
      </c>
      <c r="D294" t="inlineStr">
        <is>
          <t>GOTLANDS LÄN</t>
        </is>
      </c>
      <c r="E294" t="inlineStr">
        <is>
          <t>GOTLAND</t>
        </is>
      </c>
      <c r="G294" t="n">
        <v>0.5</v>
      </c>
      <c r="H294" t="n">
        <v>0</v>
      </c>
      <c r="I294" t="n">
        <v>0</v>
      </c>
      <c r="J294" t="n">
        <v>0</v>
      </c>
      <c r="K294" t="n">
        <v>0</v>
      </c>
      <c r="L294" t="n">
        <v>0</v>
      </c>
      <c r="M294" t="n">
        <v>0</v>
      </c>
      <c r="N294" t="n">
        <v>0</v>
      </c>
      <c r="O294" t="n">
        <v>0</v>
      </c>
      <c r="P294" t="n">
        <v>0</v>
      </c>
      <c r="Q294" t="n">
        <v>0</v>
      </c>
      <c r="R294" s="2" t="inlineStr"/>
    </row>
    <row r="295" ht="15" customHeight="1">
      <c r="A295" t="inlineStr">
        <is>
          <t>A 44649-2021</t>
        </is>
      </c>
      <c r="B295" s="1" t="n">
        <v>44437</v>
      </c>
      <c r="C295" s="1" t="n">
        <v>45923</v>
      </c>
      <c r="D295" t="inlineStr">
        <is>
          <t>GOTLANDS LÄN</t>
        </is>
      </c>
      <c r="E295" t="inlineStr">
        <is>
          <t>GOTLAND</t>
        </is>
      </c>
      <c r="G295" t="n">
        <v>8.1</v>
      </c>
      <c r="H295" t="n">
        <v>0</v>
      </c>
      <c r="I295" t="n">
        <v>0</v>
      </c>
      <c r="J295" t="n">
        <v>0</v>
      </c>
      <c r="K295" t="n">
        <v>0</v>
      </c>
      <c r="L295" t="n">
        <v>0</v>
      </c>
      <c r="M295" t="n">
        <v>0</v>
      </c>
      <c r="N295" t="n">
        <v>0</v>
      </c>
      <c r="O295" t="n">
        <v>0</v>
      </c>
      <c r="P295" t="n">
        <v>0</v>
      </c>
      <c r="Q295" t="n">
        <v>0</v>
      </c>
      <c r="R295" s="2" t="inlineStr"/>
    </row>
    <row r="296" ht="15" customHeight="1">
      <c r="A296" t="inlineStr">
        <is>
          <t>A 11874-2024</t>
        </is>
      </c>
      <c r="B296" s="1" t="n">
        <v>45376.46956018519</v>
      </c>
      <c r="C296" s="1" t="n">
        <v>45923</v>
      </c>
      <c r="D296" t="inlineStr">
        <is>
          <t>GOTLANDS LÄN</t>
        </is>
      </c>
      <c r="E296" t="inlineStr">
        <is>
          <t>GOTLAND</t>
        </is>
      </c>
      <c r="G296" t="n">
        <v>0.8</v>
      </c>
      <c r="H296" t="n">
        <v>0</v>
      </c>
      <c r="I296" t="n">
        <v>0</v>
      </c>
      <c r="J296" t="n">
        <v>0</v>
      </c>
      <c r="K296" t="n">
        <v>0</v>
      </c>
      <c r="L296" t="n">
        <v>0</v>
      </c>
      <c r="M296" t="n">
        <v>0</v>
      </c>
      <c r="N296" t="n">
        <v>0</v>
      </c>
      <c r="O296" t="n">
        <v>0</v>
      </c>
      <c r="P296" t="n">
        <v>0</v>
      </c>
      <c r="Q296" t="n">
        <v>0</v>
      </c>
      <c r="R296" s="2" t="inlineStr"/>
    </row>
    <row r="297" ht="15" customHeight="1">
      <c r="A297" t="inlineStr">
        <is>
          <t>A 2292-2021</t>
        </is>
      </c>
      <c r="B297" s="1" t="n">
        <v>44212</v>
      </c>
      <c r="C297" s="1" t="n">
        <v>45923</v>
      </c>
      <c r="D297" t="inlineStr">
        <is>
          <t>GOTLANDS LÄN</t>
        </is>
      </c>
      <c r="E297" t="inlineStr">
        <is>
          <t>GOTLAND</t>
        </is>
      </c>
      <c r="G297" t="n">
        <v>3</v>
      </c>
      <c r="H297" t="n">
        <v>0</v>
      </c>
      <c r="I297" t="n">
        <v>0</v>
      </c>
      <c r="J297" t="n">
        <v>0</v>
      </c>
      <c r="K297" t="n">
        <v>0</v>
      </c>
      <c r="L297" t="n">
        <v>0</v>
      </c>
      <c r="M297" t="n">
        <v>0</v>
      </c>
      <c r="N297" t="n">
        <v>0</v>
      </c>
      <c r="O297" t="n">
        <v>0</v>
      </c>
      <c r="P297" t="n">
        <v>0</v>
      </c>
      <c r="Q297" t="n">
        <v>0</v>
      </c>
      <c r="R297" s="2" t="inlineStr"/>
    </row>
    <row r="298" ht="15" customHeight="1">
      <c r="A298" t="inlineStr">
        <is>
          <t>A 9947-2024</t>
        </is>
      </c>
      <c r="B298" s="1" t="n">
        <v>45363</v>
      </c>
      <c r="C298" s="1" t="n">
        <v>45923</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44304-2021</t>
        </is>
      </c>
      <c r="B299" s="1" t="n">
        <v>44434</v>
      </c>
      <c r="C299" s="1" t="n">
        <v>45923</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63229-2021</t>
        </is>
      </c>
      <c r="B300" s="1" t="n">
        <v>44508.34518518519</v>
      </c>
      <c r="C300" s="1" t="n">
        <v>45923</v>
      </c>
      <c r="D300" t="inlineStr">
        <is>
          <t>GOTLANDS LÄN</t>
        </is>
      </c>
      <c r="E300" t="inlineStr">
        <is>
          <t>GOTLAND</t>
        </is>
      </c>
      <c r="F300" t="inlineStr">
        <is>
          <t>Kyrkan</t>
        </is>
      </c>
      <c r="G300" t="n">
        <v>3.8</v>
      </c>
      <c r="H300" t="n">
        <v>0</v>
      </c>
      <c r="I300" t="n">
        <v>0</v>
      </c>
      <c r="J300" t="n">
        <v>0</v>
      </c>
      <c r="K300" t="n">
        <v>0</v>
      </c>
      <c r="L300" t="n">
        <v>0</v>
      </c>
      <c r="M300" t="n">
        <v>0</v>
      </c>
      <c r="N300" t="n">
        <v>0</v>
      </c>
      <c r="O300" t="n">
        <v>0</v>
      </c>
      <c r="P300" t="n">
        <v>0</v>
      </c>
      <c r="Q300" t="n">
        <v>0</v>
      </c>
      <c r="R300" s="2" t="inlineStr"/>
    </row>
    <row r="301" ht="15" customHeight="1">
      <c r="A301" t="inlineStr">
        <is>
          <t>A 46375-2024</t>
        </is>
      </c>
      <c r="B301" s="1" t="n">
        <v>45582</v>
      </c>
      <c r="C301" s="1" t="n">
        <v>45923</v>
      </c>
      <c r="D301" t="inlineStr">
        <is>
          <t>GOTLANDS LÄN</t>
        </is>
      </c>
      <c r="E301" t="inlineStr">
        <is>
          <t>GOTLAND</t>
        </is>
      </c>
      <c r="G301" t="n">
        <v>3</v>
      </c>
      <c r="H301" t="n">
        <v>0</v>
      </c>
      <c r="I301" t="n">
        <v>0</v>
      </c>
      <c r="J301" t="n">
        <v>0</v>
      </c>
      <c r="K301" t="n">
        <v>0</v>
      </c>
      <c r="L301" t="n">
        <v>0</v>
      </c>
      <c r="M301" t="n">
        <v>0</v>
      </c>
      <c r="N301" t="n">
        <v>0</v>
      </c>
      <c r="O301" t="n">
        <v>0</v>
      </c>
      <c r="P301" t="n">
        <v>0</v>
      </c>
      <c r="Q301" t="n">
        <v>0</v>
      </c>
      <c r="R301" s="2" t="inlineStr"/>
    </row>
    <row r="302" ht="15" customHeight="1">
      <c r="A302" t="inlineStr">
        <is>
          <t>A 41551-2025</t>
        </is>
      </c>
      <c r="B302" s="1" t="n">
        <v>45901.58854166666</v>
      </c>
      <c r="C302" s="1" t="n">
        <v>45923</v>
      </c>
      <c r="D302" t="inlineStr">
        <is>
          <t>GOTLANDS LÄN</t>
        </is>
      </c>
      <c r="E302" t="inlineStr">
        <is>
          <t>GOTLAND</t>
        </is>
      </c>
      <c r="G302" t="n">
        <v>5.6</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45923</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40235-2025</t>
        </is>
      </c>
      <c r="B304" s="1" t="n">
        <v>45894.74005787037</v>
      </c>
      <c r="C304" s="1" t="n">
        <v>45923</v>
      </c>
      <c r="D304" t="inlineStr">
        <is>
          <t>GOTLANDS LÄN</t>
        </is>
      </c>
      <c r="E304" t="inlineStr">
        <is>
          <t>GOTLAND</t>
        </is>
      </c>
      <c r="G304" t="n">
        <v>10.6</v>
      </c>
      <c r="H304" t="n">
        <v>0</v>
      </c>
      <c r="I304" t="n">
        <v>0</v>
      </c>
      <c r="J304" t="n">
        <v>0</v>
      </c>
      <c r="K304" t="n">
        <v>0</v>
      </c>
      <c r="L304" t="n">
        <v>0</v>
      </c>
      <c r="M304" t="n">
        <v>0</v>
      </c>
      <c r="N304" t="n">
        <v>0</v>
      </c>
      <c r="O304" t="n">
        <v>0</v>
      </c>
      <c r="P304" t="n">
        <v>0</v>
      </c>
      <c r="Q304" t="n">
        <v>0</v>
      </c>
      <c r="R304" s="2" t="inlineStr"/>
    </row>
    <row r="305" ht="15" customHeight="1">
      <c r="A305" t="inlineStr">
        <is>
          <t>A 17682-2024</t>
        </is>
      </c>
      <c r="B305" s="1" t="n">
        <v>45418.42966435185</v>
      </c>
      <c r="C305" s="1" t="n">
        <v>45923</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57522-2022</t>
        </is>
      </c>
      <c r="B306" s="1" t="n">
        <v>44896</v>
      </c>
      <c r="C306" s="1" t="n">
        <v>45923</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42041-2024</t>
        </is>
      </c>
      <c r="B307" s="1" t="n">
        <v>45561</v>
      </c>
      <c r="C307" s="1" t="n">
        <v>45923</v>
      </c>
      <c r="D307" t="inlineStr">
        <is>
          <t>GOTLANDS LÄN</t>
        </is>
      </c>
      <c r="E307" t="inlineStr">
        <is>
          <t>GOTLAND</t>
        </is>
      </c>
      <c r="G307" t="n">
        <v>3.2</v>
      </c>
      <c r="H307" t="n">
        <v>0</v>
      </c>
      <c r="I307" t="n">
        <v>0</v>
      </c>
      <c r="J307" t="n">
        <v>0</v>
      </c>
      <c r="K307" t="n">
        <v>0</v>
      </c>
      <c r="L307" t="n">
        <v>0</v>
      </c>
      <c r="M307" t="n">
        <v>0</v>
      </c>
      <c r="N307" t="n">
        <v>0</v>
      </c>
      <c r="O307" t="n">
        <v>0</v>
      </c>
      <c r="P307" t="n">
        <v>0</v>
      </c>
      <c r="Q307" t="n">
        <v>0</v>
      </c>
      <c r="R307" s="2" t="inlineStr"/>
    </row>
    <row r="308" ht="15" customHeight="1">
      <c r="A308" t="inlineStr">
        <is>
          <t>A 61694-2023</t>
        </is>
      </c>
      <c r="B308" s="1" t="n">
        <v>45264</v>
      </c>
      <c r="C308" s="1" t="n">
        <v>45923</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27593-2023</t>
        </is>
      </c>
      <c r="B309" s="1" t="n">
        <v>45097</v>
      </c>
      <c r="C309" s="1" t="n">
        <v>45923</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15216-2025</t>
        </is>
      </c>
      <c r="B310" s="1" t="n">
        <v>45744</v>
      </c>
      <c r="C310" s="1" t="n">
        <v>45923</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43790-2024</t>
        </is>
      </c>
      <c r="B311" s="1" t="n">
        <v>45571</v>
      </c>
      <c r="C311" s="1" t="n">
        <v>45923</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15001-2025</t>
        </is>
      </c>
      <c r="B312" s="1" t="n">
        <v>45743</v>
      </c>
      <c r="C312" s="1" t="n">
        <v>45923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30488-2025</t>
        </is>
      </c>
      <c r="B313" s="1" t="n">
        <v>45830</v>
      </c>
      <c r="C313" s="1" t="n">
        <v>45923</v>
      </c>
      <c r="D313" t="inlineStr">
        <is>
          <t>GOTLANDS LÄN</t>
        </is>
      </c>
      <c r="E313" t="inlineStr">
        <is>
          <t>GOTLAND</t>
        </is>
      </c>
      <c r="F313" t="inlineStr">
        <is>
          <t>Kyrkan</t>
        </is>
      </c>
      <c r="G313" t="n">
        <v>3.9</v>
      </c>
      <c r="H313" t="n">
        <v>0</v>
      </c>
      <c r="I313" t="n">
        <v>0</v>
      </c>
      <c r="J313" t="n">
        <v>0</v>
      </c>
      <c r="K313" t="n">
        <v>0</v>
      </c>
      <c r="L313" t="n">
        <v>0</v>
      </c>
      <c r="M313" t="n">
        <v>0</v>
      </c>
      <c r="N313" t="n">
        <v>0</v>
      </c>
      <c r="O313" t="n">
        <v>0</v>
      </c>
      <c r="P313" t="n">
        <v>0</v>
      </c>
      <c r="Q313" t="n">
        <v>0</v>
      </c>
      <c r="R313" s="2" t="inlineStr"/>
    </row>
    <row r="314" ht="15" customHeight="1">
      <c r="A314" t="inlineStr">
        <is>
          <t>A 42608-2025</t>
        </is>
      </c>
      <c r="B314" s="1" t="n">
        <v>45905</v>
      </c>
      <c r="C314" s="1" t="n">
        <v>45923</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17847-2025</t>
        </is>
      </c>
      <c r="B315" s="1" t="n">
        <v>45758</v>
      </c>
      <c r="C315" s="1" t="n">
        <v>45923</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1734-2025</t>
        </is>
      </c>
      <c r="B316" s="1" t="n">
        <v>45671.3840625</v>
      </c>
      <c r="C316" s="1" t="n">
        <v>45923</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64555-2023</t>
        </is>
      </c>
      <c r="B317" s="1" t="n">
        <v>45281</v>
      </c>
      <c r="C317" s="1" t="n">
        <v>45923</v>
      </c>
      <c r="D317" t="inlineStr">
        <is>
          <t>GOTLANDS LÄN</t>
        </is>
      </c>
      <c r="E317" t="inlineStr">
        <is>
          <t>GOTLAND</t>
        </is>
      </c>
      <c r="G317" t="n">
        <v>3.5</v>
      </c>
      <c r="H317" t="n">
        <v>0</v>
      </c>
      <c r="I317" t="n">
        <v>0</v>
      </c>
      <c r="J317" t="n">
        <v>0</v>
      </c>
      <c r="K317" t="n">
        <v>0</v>
      </c>
      <c r="L317" t="n">
        <v>0</v>
      </c>
      <c r="M317" t="n">
        <v>0</v>
      </c>
      <c r="N317" t="n">
        <v>0</v>
      </c>
      <c r="O317" t="n">
        <v>0</v>
      </c>
      <c r="P317" t="n">
        <v>0</v>
      </c>
      <c r="Q317" t="n">
        <v>0</v>
      </c>
      <c r="R317" s="2" t="inlineStr"/>
    </row>
    <row r="318" ht="15" customHeight="1">
      <c r="A318" t="inlineStr">
        <is>
          <t>A 64831-2023</t>
        </is>
      </c>
      <c r="B318" s="1" t="n">
        <v>45282.44924768519</v>
      </c>
      <c r="C318" s="1" t="n">
        <v>45923</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18742-2025</t>
        </is>
      </c>
      <c r="B319" s="1" t="n">
        <v>45763</v>
      </c>
      <c r="C319" s="1" t="n">
        <v>45923</v>
      </c>
      <c r="D319" t="inlineStr">
        <is>
          <t>GOTLANDS LÄN</t>
        </is>
      </c>
      <c r="E319" t="inlineStr">
        <is>
          <t>GOTLAND</t>
        </is>
      </c>
      <c r="G319" t="n">
        <v>3.4</v>
      </c>
      <c r="H319" t="n">
        <v>0</v>
      </c>
      <c r="I319" t="n">
        <v>0</v>
      </c>
      <c r="J319" t="n">
        <v>0</v>
      </c>
      <c r="K319" t="n">
        <v>0</v>
      </c>
      <c r="L319" t="n">
        <v>0</v>
      </c>
      <c r="M319" t="n">
        <v>0</v>
      </c>
      <c r="N319" t="n">
        <v>0</v>
      </c>
      <c r="O319" t="n">
        <v>0</v>
      </c>
      <c r="P319" t="n">
        <v>0</v>
      </c>
      <c r="Q319" t="n">
        <v>0</v>
      </c>
      <c r="R319" s="2" t="inlineStr"/>
    </row>
    <row r="320" ht="15" customHeight="1">
      <c r="A320" t="inlineStr">
        <is>
          <t>A 36319-2025</t>
        </is>
      </c>
      <c r="B320" s="1" t="n">
        <v>45868</v>
      </c>
      <c r="C320" s="1" t="n">
        <v>45923</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35129-2025</t>
        </is>
      </c>
      <c r="B321" s="1" t="n">
        <v>45852.63224537037</v>
      </c>
      <c r="C321" s="1" t="n">
        <v>45923</v>
      </c>
      <c r="D321" t="inlineStr">
        <is>
          <t>GOTLANDS LÄN</t>
        </is>
      </c>
      <c r="E321" t="inlineStr">
        <is>
          <t>GOTLAND</t>
        </is>
      </c>
      <c r="G321" t="n">
        <v>3.2</v>
      </c>
      <c r="H321" t="n">
        <v>0</v>
      </c>
      <c r="I321" t="n">
        <v>0</v>
      </c>
      <c r="J321" t="n">
        <v>0</v>
      </c>
      <c r="K321" t="n">
        <v>0</v>
      </c>
      <c r="L321" t="n">
        <v>0</v>
      </c>
      <c r="M321" t="n">
        <v>0</v>
      </c>
      <c r="N321" t="n">
        <v>0</v>
      </c>
      <c r="O321" t="n">
        <v>0</v>
      </c>
      <c r="P321" t="n">
        <v>0</v>
      </c>
      <c r="Q321" t="n">
        <v>0</v>
      </c>
      <c r="R321" s="2" t="inlineStr"/>
    </row>
    <row r="322" ht="15" customHeight="1">
      <c r="A322" t="inlineStr">
        <is>
          <t>A 55334-2024</t>
        </is>
      </c>
      <c r="B322" s="1" t="n">
        <v>45621</v>
      </c>
      <c r="C322" s="1" t="n">
        <v>45923</v>
      </c>
      <c r="D322" t="inlineStr">
        <is>
          <t>GOTLANDS LÄN</t>
        </is>
      </c>
      <c r="E322" t="inlineStr">
        <is>
          <t>GOTLAND</t>
        </is>
      </c>
      <c r="G322" t="n">
        <v>21.7</v>
      </c>
      <c r="H322" t="n">
        <v>0</v>
      </c>
      <c r="I322" t="n">
        <v>0</v>
      </c>
      <c r="J322" t="n">
        <v>0</v>
      </c>
      <c r="K322" t="n">
        <v>0</v>
      </c>
      <c r="L322" t="n">
        <v>0</v>
      </c>
      <c r="M322" t="n">
        <v>0</v>
      </c>
      <c r="N322" t="n">
        <v>0</v>
      </c>
      <c r="O322" t="n">
        <v>0</v>
      </c>
      <c r="P322" t="n">
        <v>0</v>
      </c>
      <c r="Q322" t="n">
        <v>0</v>
      </c>
      <c r="R322" s="2" t="inlineStr"/>
    </row>
    <row r="323" ht="15" customHeight="1">
      <c r="A323" t="inlineStr">
        <is>
          <t>A 42607-2025</t>
        </is>
      </c>
      <c r="B323" s="1" t="n">
        <v>45905</v>
      </c>
      <c r="C323" s="1" t="n">
        <v>45923</v>
      </c>
      <c r="D323" t="inlineStr">
        <is>
          <t>GOTLANDS LÄN</t>
        </is>
      </c>
      <c r="E323" t="inlineStr">
        <is>
          <t>GOTLAND</t>
        </is>
      </c>
      <c r="G323" t="n">
        <v>15.8</v>
      </c>
      <c r="H323" t="n">
        <v>0</v>
      </c>
      <c r="I323" t="n">
        <v>0</v>
      </c>
      <c r="J323" t="n">
        <v>0</v>
      </c>
      <c r="K323" t="n">
        <v>0</v>
      </c>
      <c r="L323" t="n">
        <v>0</v>
      </c>
      <c r="M323" t="n">
        <v>0</v>
      </c>
      <c r="N323" t="n">
        <v>0</v>
      </c>
      <c r="O323" t="n">
        <v>0</v>
      </c>
      <c r="P323" t="n">
        <v>0</v>
      </c>
      <c r="Q323" t="n">
        <v>0</v>
      </c>
      <c r="R323" s="2" t="inlineStr"/>
    </row>
    <row r="324" ht="15" customHeight="1">
      <c r="A324" t="inlineStr">
        <is>
          <t>A 20993-2023</t>
        </is>
      </c>
      <c r="B324" s="1" t="n">
        <v>45056</v>
      </c>
      <c r="C324" s="1" t="n">
        <v>45923</v>
      </c>
      <c r="D324" t="inlineStr">
        <is>
          <t>GOTLANDS LÄN</t>
        </is>
      </c>
      <c r="E324" t="inlineStr">
        <is>
          <t>GOTLAND</t>
        </is>
      </c>
      <c r="G324" t="n">
        <v>7.1</v>
      </c>
      <c r="H324" t="n">
        <v>0</v>
      </c>
      <c r="I324" t="n">
        <v>0</v>
      </c>
      <c r="J324" t="n">
        <v>0</v>
      </c>
      <c r="K324" t="n">
        <v>0</v>
      </c>
      <c r="L324" t="n">
        <v>0</v>
      </c>
      <c r="M324" t="n">
        <v>0</v>
      </c>
      <c r="N324" t="n">
        <v>0</v>
      </c>
      <c r="O324" t="n">
        <v>0</v>
      </c>
      <c r="P324" t="n">
        <v>0</v>
      </c>
      <c r="Q324" t="n">
        <v>0</v>
      </c>
      <c r="R324" s="2" t="inlineStr"/>
    </row>
    <row r="325" ht="15" customHeight="1">
      <c r="A325" t="inlineStr">
        <is>
          <t>A 63516-2023</t>
        </is>
      </c>
      <c r="B325" s="1" t="n">
        <v>45274</v>
      </c>
      <c r="C325" s="1" t="n">
        <v>45923</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14804-2021</t>
        </is>
      </c>
      <c r="B326" s="1" t="n">
        <v>44280</v>
      </c>
      <c r="C326" s="1" t="n">
        <v>45923</v>
      </c>
      <c r="D326" t="inlineStr">
        <is>
          <t>GOTLANDS LÄN</t>
        </is>
      </c>
      <c r="E326" t="inlineStr">
        <is>
          <t>GOTLAND</t>
        </is>
      </c>
      <c r="G326" t="n">
        <v>2.2</v>
      </c>
      <c r="H326" t="n">
        <v>0</v>
      </c>
      <c r="I326" t="n">
        <v>0</v>
      </c>
      <c r="J326" t="n">
        <v>0</v>
      </c>
      <c r="K326" t="n">
        <v>0</v>
      </c>
      <c r="L326" t="n">
        <v>0</v>
      </c>
      <c r="M326" t="n">
        <v>0</v>
      </c>
      <c r="N326" t="n">
        <v>0</v>
      </c>
      <c r="O326" t="n">
        <v>0</v>
      </c>
      <c r="P326" t="n">
        <v>0</v>
      </c>
      <c r="Q326" t="n">
        <v>0</v>
      </c>
      <c r="R326" s="2" t="inlineStr"/>
    </row>
    <row r="327" ht="15" customHeight="1">
      <c r="A327" t="inlineStr">
        <is>
          <t>A 999-2023</t>
        </is>
      </c>
      <c r="B327" s="1" t="n">
        <v>44935</v>
      </c>
      <c r="C327" s="1" t="n">
        <v>45923</v>
      </c>
      <c r="D327" t="inlineStr">
        <is>
          <t>GOTLANDS LÄN</t>
        </is>
      </c>
      <c r="E327" t="inlineStr">
        <is>
          <t>GOTLAND</t>
        </is>
      </c>
      <c r="G327" t="n">
        <v>4.7</v>
      </c>
      <c r="H327" t="n">
        <v>0</v>
      </c>
      <c r="I327" t="n">
        <v>0</v>
      </c>
      <c r="J327" t="n">
        <v>0</v>
      </c>
      <c r="K327" t="n">
        <v>0</v>
      </c>
      <c r="L327" t="n">
        <v>0</v>
      </c>
      <c r="M327" t="n">
        <v>0</v>
      </c>
      <c r="N327" t="n">
        <v>0</v>
      </c>
      <c r="O327" t="n">
        <v>0</v>
      </c>
      <c r="P327" t="n">
        <v>0</v>
      </c>
      <c r="Q327" t="n">
        <v>0</v>
      </c>
      <c r="R327" s="2" t="inlineStr"/>
    </row>
    <row r="328" ht="15" customHeight="1">
      <c r="A328" t="inlineStr">
        <is>
          <t>A 27602-2023</t>
        </is>
      </c>
      <c r="B328" s="1" t="n">
        <v>45097</v>
      </c>
      <c r="C328" s="1" t="n">
        <v>45923</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12596-2023</t>
        </is>
      </c>
      <c r="B329" s="1" t="n">
        <v>45000.43310185185</v>
      </c>
      <c r="C329" s="1" t="n">
        <v>45923</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2125-2025</t>
        </is>
      </c>
      <c r="B330" s="1" t="n">
        <v>45672.64940972222</v>
      </c>
      <c r="C330" s="1" t="n">
        <v>45923</v>
      </c>
      <c r="D330" t="inlineStr">
        <is>
          <t>GOTLANDS LÄN</t>
        </is>
      </c>
      <c r="E330" t="inlineStr">
        <is>
          <t>GOTLAND</t>
        </is>
      </c>
      <c r="G330" t="n">
        <v>2.3</v>
      </c>
      <c r="H330" t="n">
        <v>0</v>
      </c>
      <c r="I330" t="n">
        <v>0</v>
      </c>
      <c r="J330" t="n">
        <v>0</v>
      </c>
      <c r="K330" t="n">
        <v>0</v>
      </c>
      <c r="L330" t="n">
        <v>0</v>
      </c>
      <c r="M330" t="n">
        <v>0</v>
      </c>
      <c r="N330" t="n">
        <v>0</v>
      </c>
      <c r="O330" t="n">
        <v>0</v>
      </c>
      <c r="P330" t="n">
        <v>0</v>
      </c>
      <c r="Q330" t="n">
        <v>0</v>
      </c>
      <c r="R330" s="2" t="inlineStr"/>
    </row>
    <row r="331" ht="15" customHeight="1">
      <c r="A331" t="inlineStr">
        <is>
          <t>A 24001-2021</t>
        </is>
      </c>
      <c r="B331" s="1" t="n">
        <v>44335</v>
      </c>
      <c r="C331" s="1" t="n">
        <v>45923</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12155-2023</t>
        </is>
      </c>
      <c r="B332" s="1" t="n">
        <v>44998.49106481481</v>
      </c>
      <c r="C332" s="1" t="n">
        <v>45923</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457-2023</t>
        </is>
      </c>
      <c r="B333" s="1" t="n">
        <v>44929.87238425926</v>
      </c>
      <c r="C333" s="1" t="n">
        <v>45923</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459-2023</t>
        </is>
      </c>
      <c r="B334" s="1" t="n">
        <v>44929.87423611111</v>
      </c>
      <c r="C334" s="1" t="n">
        <v>45923</v>
      </c>
      <c r="D334" t="inlineStr">
        <is>
          <t>GOTLANDS LÄN</t>
        </is>
      </c>
      <c r="E334" t="inlineStr">
        <is>
          <t>GOTLAND</t>
        </is>
      </c>
      <c r="G334" t="n">
        <v>4.2</v>
      </c>
      <c r="H334" t="n">
        <v>0</v>
      </c>
      <c r="I334" t="n">
        <v>0</v>
      </c>
      <c r="J334" t="n">
        <v>0</v>
      </c>
      <c r="K334" t="n">
        <v>0</v>
      </c>
      <c r="L334" t="n">
        <v>0</v>
      </c>
      <c r="M334" t="n">
        <v>0</v>
      </c>
      <c r="N334" t="n">
        <v>0</v>
      </c>
      <c r="O334" t="n">
        <v>0</v>
      </c>
      <c r="P334" t="n">
        <v>0</v>
      </c>
      <c r="Q334" t="n">
        <v>0</v>
      </c>
      <c r="R334" s="2" t="inlineStr"/>
    </row>
    <row r="335" ht="15" customHeight="1">
      <c r="A335" t="inlineStr">
        <is>
          <t>A 38234-2023</t>
        </is>
      </c>
      <c r="B335" s="1" t="n">
        <v>45161.56663194444</v>
      </c>
      <c r="C335" s="1" t="n">
        <v>45923</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50744-2024</t>
        </is>
      </c>
      <c r="B336" s="1" t="n">
        <v>45602.4187037037</v>
      </c>
      <c r="C336" s="1" t="n">
        <v>45923</v>
      </c>
      <c r="D336" t="inlineStr">
        <is>
          <t>GOTLANDS LÄN</t>
        </is>
      </c>
      <c r="E336" t="inlineStr">
        <is>
          <t>GOTLAND</t>
        </is>
      </c>
      <c r="G336" t="n">
        <v>3.2</v>
      </c>
      <c r="H336" t="n">
        <v>0</v>
      </c>
      <c r="I336" t="n">
        <v>0</v>
      </c>
      <c r="J336" t="n">
        <v>0</v>
      </c>
      <c r="K336" t="n">
        <v>0</v>
      </c>
      <c r="L336" t="n">
        <v>0</v>
      </c>
      <c r="M336" t="n">
        <v>0</v>
      </c>
      <c r="N336" t="n">
        <v>0</v>
      </c>
      <c r="O336" t="n">
        <v>0</v>
      </c>
      <c r="P336" t="n">
        <v>0</v>
      </c>
      <c r="Q336" t="n">
        <v>0</v>
      </c>
      <c r="R336" s="2" t="inlineStr"/>
    </row>
    <row r="337" ht="15" customHeight="1">
      <c r="A337" t="inlineStr">
        <is>
          <t>A 44410-2025</t>
        </is>
      </c>
      <c r="B337" s="1" t="n">
        <v>45916.53699074074</v>
      </c>
      <c r="C337" s="1" t="n">
        <v>45923</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44405-2025</t>
        </is>
      </c>
      <c r="B338" s="1" t="n">
        <v>45916.52405092592</v>
      </c>
      <c r="C338" s="1" t="n">
        <v>45923</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30365-2024</t>
        </is>
      </c>
      <c r="B339" s="1" t="n">
        <v>45491.3716087963</v>
      </c>
      <c r="C339" s="1" t="n">
        <v>45923</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4377-2023</t>
        </is>
      </c>
      <c r="B340" s="1" t="n">
        <v>44955.5502662037</v>
      </c>
      <c r="C340" s="1" t="n">
        <v>45923</v>
      </c>
      <c r="D340" t="inlineStr">
        <is>
          <t>GOTLANDS LÄN</t>
        </is>
      </c>
      <c r="E340" t="inlineStr">
        <is>
          <t>GOTLAND</t>
        </is>
      </c>
      <c r="F340" t="inlineStr">
        <is>
          <t>Kyrkan</t>
        </is>
      </c>
      <c r="G340" t="n">
        <v>0.6</v>
      </c>
      <c r="H340" t="n">
        <v>0</v>
      </c>
      <c r="I340" t="n">
        <v>0</v>
      </c>
      <c r="J340" t="n">
        <v>0</v>
      </c>
      <c r="K340" t="n">
        <v>0</v>
      </c>
      <c r="L340" t="n">
        <v>0</v>
      </c>
      <c r="M340" t="n">
        <v>0</v>
      </c>
      <c r="N340" t="n">
        <v>0</v>
      </c>
      <c r="O340" t="n">
        <v>0</v>
      </c>
      <c r="P340" t="n">
        <v>0</v>
      </c>
      <c r="Q340" t="n">
        <v>0</v>
      </c>
      <c r="R340" s="2" t="inlineStr"/>
    </row>
    <row r="341" ht="15" customHeight="1">
      <c r="A341" t="inlineStr">
        <is>
          <t>A 4387-2023</t>
        </is>
      </c>
      <c r="B341" s="1" t="n">
        <v>44955.73359953704</v>
      </c>
      <c r="C341" s="1" t="n">
        <v>45923</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53934-2024</t>
        </is>
      </c>
      <c r="B342" s="1" t="n">
        <v>45615</v>
      </c>
      <c r="C342" s="1" t="n">
        <v>45923</v>
      </c>
      <c r="D342" t="inlineStr">
        <is>
          <t>GOTLANDS LÄN</t>
        </is>
      </c>
      <c r="E342" t="inlineStr">
        <is>
          <t>GOTLAND</t>
        </is>
      </c>
      <c r="G342" t="n">
        <v>5</v>
      </c>
      <c r="H342" t="n">
        <v>0</v>
      </c>
      <c r="I342" t="n">
        <v>0</v>
      </c>
      <c r="J342" t="n">
        <v>0</v>
      </c>
      <c r="K342" t="n">
        <v>0</v>
      </c>
      <c r="L342" t="n">
        <v>0</v>
      </c>
      <c r="M342" t="n">
        <v>0</v>
      </c>
      <c r="N342" t="n">
        <v>0</v>
      </c>
      <c r="O342" t="n">
        <v>0</v>
      </c>
      <c r="P342" t="n">
        <v>0</v>
      </c>
      <c r="Q342" t="n">
        <v>0</v>
      </c>
      <c r="R342" s="2" t="inlineStr"/>
    </row>
    <row r="343" ht="15" customHeight="1">
      <c r="A343" t="inlineStr">
        <is>
          <t>A 1681-2023</t>
        </is>
      </c>
      <c r="B343" s="1" t="n">
        <v>44938.39715277778</v>
      </c>
      <c r="C343" s="1" t="n">
        <v>45923</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39479-2022</t>
        </is>
      </c>
      <c r="B344" s="1" t="n">
        <v>44818</v>
      </c>
      <c r="C344" s="1" t="n">
        <v>45923</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6099-2024</t>
        </is>
      </c>
      <c r="B345" s="1" t="n">
        <v>45337</v>
      </c>
      <c r="C345" s="1" t="n">
        <v>45923</v>
      </c>
      <c r="D345" t="inlineStr">
        <is>
          <t>GOTLANDS LÄN</t>
        </is>
      </c>
      <c r="E345" t="inlineStr">
        <is>
          <t>GOTLAND</t>
        </is>
      </c>
      <c r="G345" t="n">
        <v>12.6</v>
      </c>
      <c r="H345" t="n">
        <v>0</v>
      </c>
      <c r="I345" t="n">
        <v>0</v>
      </c>
      <c r="J345" t="n">
        <v>0</v>
      </c>
      <c r="K345" t="n">
        <v>0</v>
      </c>
      <c r="L345" t="n">
        <v>0</v>
      </c>
      <c r="M345" t="n">
        <v>0</v>
      </c>
      <c r="N345" t="n">
        <v>0</v>
      </c>
      <c r="O345" t="n">
        <v>0</v>
      </c>
      <c r="P345" t="n">
        <v>0</v>
      </c>
      <c r="Q345" t="n">
        <v>0</v>
      </c>
      <c r="R345" s="2" t="inlineStr"/>
    </row>
    <row r="346" ht="15" customHeight="1">
      <c r="A346" t="inlineStr">
        <is>
          <t>A 43911-2025</t>
        </is>
      </c>
      <c r="B346" s="1" t="n">
        <v>45914.3881712963</v>
      </c>
      <c r="C346" s="1" t="n">
        <v>45923</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51963-2024</t>
        </is>
      </c>
      <c r="B347" s="1" t="n">
        <v>45607.64833333333</v>
      </c>
      <c r="C347" s="1" t="n">
        <v>45923</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1273-2023</t>
        </is>
      </c>
      <c r="B348" s="1" t="n">
        <v>44936</v>
      </c>
      <c r="C348" s="1" t="n">
        <v>45923</v>
      </c>
      <c r="D348" t="inlineStr">
        <is>
          <t>GOTLANDS LÄN</t>
        </is>
      </c>
      <c r="E348" t="inlineStr">
        <is>
          <t>GOTLAND</t>
        </is>
      </c>
      <c r="G348" t="n">
        <v>4.5</v>
      </c>
      <c r="H348" t="n">
        <v>0</v>
      </c>
      <c r="I348" t="n">
        <v>0</v>
      </c>
      <c r="J348" t="n">
        <v>0</v>
      </c>
      <c r="K348" t="n">
        <v>0</v>
      </c>
      <c r="L348" t="n">
        <v>0</v>
      </c>
      <c r="M348" t="n">
        <v>0</v>
      </c>
      <c r="N348" t="n">
        <v>0</v>
      </c>
      <c r="O348" t="n">
        <v>0</v>
      </c>
      <c r="P348" t="n">
        <v>0</v>
      </c>
      <c r="Q348" t="n">
        <v>0</v>
      </c>
      <c r="R348" s="2" t="inlineStr"/>
    </row>
    <row r="349" ht="15" customHeight="1">
      <c r="A349" t="inlineStr">
        <is>
          <t>A 22883-2024</t>
        </is>
      </c>
      <c r="B349" s="1" t="n">
        <v>45448.66368055555</v>
      </c>
      <c r="C349" s="1" t="n">
        <v>45923</v>
      </c>
      <c r="D349" t="inlineStr">
        <is>
          <t>GOTLANDS LÄN</t>
        </is>
      </c>
      <c r="E349" t="inlineStr">
        <is>
          <t>GOTLAND</t>
        </is>
      </c>
      <c r="G349" t="n">
        <v>0.5</v>
      </c>
      <c r="H349" t="n">
        <v>0</v>
      </c>
      <c r="I349" t="n">
        <v>0</v>
      </c>
      <c r="J349" t="n">
        <v>0</v>
      </c>
      <c r="K349" t="n">
        <v>0</v>
      </c>
      <c r="L349" t="n">
        <v>0</v>
      </c>
      <c r="M349" t="n">
        <v>0</v>
      </c>
      <c r="N349" t="n">
        <v>0</v>
      </c>
      <c r="O349" t="n">
        <v>0</v>
      </c>
      <c r="P349" t="n">
        <v>0</v>
      </c>
      <c r="Q349" t="n">
        <v>0</v>
      </c>
      <c r="R349" s="2" t="inlineStr"/>
    </row>
    <row r="350" ht="15" customHeight="1">
      <c r="A350" t="inlineStr">
        <is>
          <t>A 811-2023</t>
        </is>
      </c>
      <c r="B350" s="1" t="n">
        <v>44931</v>
      </c>
      <c r="C350" s="1" t="n">
        <v>45923</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45923</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58780-2024</t>
        </is>
      </c>
      <c r="B352" s="1" t="n">
        <v>45635.84113425926</v>
      </c>
      <c r="C352" s="1" t="n">
        <v>45923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46389-2021</t>
        </is>
      </c>
      <c r="B353" s="1" t="n">
        <v>44443</v>
      </c>
      <c r="C353" s="1" t="n">
        <v>45923</v>
      </c>
      <c r="D353" t="inlineStr">
        <is>
          <t>GOTLANDS LÄN</t>
        </is>
      </c>
      <c r="E353" t="inlineStr">
        <is>
          <t>GOTLAND</t>
        </is>
      </c>
      <c r="F353" t="inlineStr">
        <is>
          <t>Kyrkan</t>
        </is>
      </c>
      <c r="G353" t="n">
        <v>2.1</v>
      </c>
      <c r="H353" t="n">
        <v>0</v>
      </c>
      <c r="I353" t="n">
        <v>0</v>
      </c>
      <c r="J353" t="n">
        <v>0</v>
      </c>
      <c r="K353" t="n">
        <v>0</v>
      </c>
      <c r="L353" t="n">
        <v>0</v>
      </c>
      <c r="M353" t="n">
        <v>0</v>
      </c>
      <c r="N353" t="n">
        <v>0</v>
      </c>
      <c r="O353" t="n">
        <v>0</v>
      </c>
      <c r="P353" t="n">
        <v>0</v>
      </c>
      <c r="Q353" t="n">
        <v>0</v>
      </c>
      <c r="R353" s="2" t="inlineStr"/>
    </row>
    <row r="354" ht="15" customHeight="1">
      <c r="A354" t="inlineStr">
        <is>
          <t>A 45692-2023</t>
        </is>
      </c>
      <c r="B354" s="1" t="n">
        <v>45195</v>
      </c>
      <c r="C354" s="1" t="n">
        <v>45923</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1446-2025</t>
        </is>
      </c>
      <c r="B355" s="1" t="n">
        <v>45669.86035879629</v>
      </c>
      <c r="C355" s="1" t="n">
        <v>45923</v>
      </c>
      <c r="D355" t="inlineStr">
        <is>
          <t>GOTLANDS LÄN</t>
        </is>
      </c>
      <c r="E355" t="inlineStr">
        <is>
          <t>GOTLAND</t>
        </is>
      </c>
      <c r="G355" t="n">
        <v>3.1</v>
      </c>
      <c r="H355" t="n">
        <v>0</v>
      </c>
      <c r="I355" t="n">
        <v>0</v>
      </c>
      <c r="J355" t="n">
        <v>0</v>
      </c>
      <c r="K355" t="n">
        <v>0</v>
      </c>
      <c r="L355" t="n">
        <v>0</v>
      </c>
      <c r="M355" t="n">
        <v>0</v>
      </c>
      <c r="N355" t="n">
        <v>0</v>
      </c>
      <c r="O355" t="n">
        <v>0</v>
      </c>
      <c r="P355" t="n">
        <v>0</v>
      </c>
      <c r="Q355" t="n">
        <v>0</v>
      </c>
      <c r="R355" s="2" t="inlineStr"/>
    </row>
    <row r="356" ht="15" customHeight="1">
      <c r="A356" t="inlineStr">
        <is>
          <t>A 10813-2025</t>
        </is>
      </c>
      <c r="B356" s="1" t="n">
        <v>45722.54163194444</v>
      </c>
      <c r="C356" s="1" t="n">
        <v>45923</v>
      </c>
      <c r="D356" t="inlineStr">
        <is>
          <t>GOTLANDS LÄN</t>
        </is>
      </c>
      <c r="E356" t="inlineStr">
        <is>
          <t>GOTLAND</t>
        </is>
      </c>
      <c r="G356" t="n">
        <v>1.5</v>
      </c>
      <c r="H356" t="n">
        <v>0</v>
      </c>
      <c r="I356" t="n">
        <v>0</v>
      </c>
      <c r="J356" t="n">
        <v>0</v>
      </c>
      <c r="K356" t="n">
        <v>0</v>
      </c>
      <c r="L356" t="n">
        <v>0</v>
      </c>
      <c r="M356" t="n">
        <v>0</v>
      </c>
      <c r="N356" t="n">
        <v>0</v>
      </c>
      <c r="O356" t="n">
        <v>0</v>
      </c>
      <c r="P356" t="n">
        <v>0</v>
      </c>
      <c r="Q356" t="n">
        <v>0</v>
      </c>
      <c r="R356" s="2" t="inlineStr"/>
    </row>
    <row r="357" ht="15" customHeight="1">
      <c r="A357" t="inlineStr">
        <is>
          <t>A 26810-2021</t>
        </is>
      </c>
      <c r="B357" s="1" t="n">
        <v>44349.55087962963</v>
      </c>
      <c r="C357" s="1" t="n">
        <v>45923</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33876-2024</t>
        </is>
      </c>
      <c r="B358" s="1" t="n">
        <v>45521.87988425926</v>
      </c>
      <c r="C358" s="1" t="n">
        <v>45923</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5923-2023</t>
        </is>
      </c>
      <c r="B359" s="1" t="n">
        <v>44963.69503472222</v>
      </c>
      <c r="C359" s="1" t="n">
        <v>45923</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33853-2024</t>
        </is>
      </c>
      <c r="B360" s="1" t="n">
        <v>45520.64298611111</v>
      </c>
      <c r="C360" s="1" t="n">
        <v>45923</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31264-2021</t>
        </is>
      </c>
      <c r="B361" s="1" t="n">
        <v>44368</v>
      </c>
      <c r="C361" s="1" t="n">
        <v>45923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18918-2025</t>
        </is>
      </c>
      <c r="B362" s="1" t="n">
        <v>45764</v>
      </c>
      <c r="C362" s="1" t="n">
        <v>45923</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28285-2024</t>
        </is>
      </c>
      <c r="B363" s="1" t="n">
        <v>45477</v>
      </c>
      <c r="C363" s="1" t="n">
        <v>45923</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2674-2023</t>
        </is>
      </c>
      <c r="B364" s="1" t="n">
        <v>44944</v>
      </c>
      <c r="C364" s="1" t="n">
        <v>45923</v>
      </c>
      <c r="D364" t="inlineStr">
        <is>
          <t>GOTLANDS LÄN</t>
        </is>
      </c>
      <c r="E364" t="inlineStr">
        <is>
          <t>GOTLAND</t>
        </is>
      </c>
      <c r="G364" t="n">
        <v>2.5</v>
      </c>
      <c r="H364" t="n">
        <v>0</v>
      </c>
      <c r="I364" t="n">
        <v>0</v>
      </c>
      <c r="J364" t="n">
        <v>0</v>
      </c>
      <c r="K364" t="n">
        <v>0</v>
      </c>
      <c r="L364" t="n">
        <v>0</v>
      </c>
      <c r="M364" t="n">
        <v>0</v>
      </c>
      <c r="N364" t="n">
        <v>0</v>
      </c>
      <c r="O364" t="n">
        <v>0</v>
      </c>
      <c r="P364" t="n">
        <v>0</v>
      </c>
      <c r="Q364" t="n">
        <v>0</v>
      </c>
      <c r="R364" s="2" t="inlineStr"/>
    </row>
    <row r="365" ht="15" customHeight="1">
      <c r="A365" t="inlineStr">
        <is>
          <t>A 61100-2022</t>
        </is>
      </c>
      <c r="B365" s="1" t="n">
        <v>44915</v>
      </c>
      <c r="C365" s="1" t="n">
        <v>45923</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43901-2023</t>
        </is>
      </c>
      <c r="B366" s="1" t="n">
        <v>45187</v>
      </c>
      <c r="C366" s="1" t="n">
        <v>45923</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61682-2024</t>
        </is>
      </c>
      <c r="B367" s="1" t="n">
        <v>45647.48824074074</v>
      </c>
      <c r="C367" s="1" t="n">
        <v>45923</v>
      </c>
      <c r="D367" t="inlineStr">
        <is>
          <t>GOTLANDS LÄN</t>
        </is>
      </c>
      <c r="E367" t="inlineStr">
        <is>
          <t>GOTLAND</t>
        </is>
      </c>
      <c r="G367" t="n">
        <v>1.9</v>
      </c>
      <c r="H367" t="n">
        <v>0</v>
      </c>
      <c r="I367" t="n">
        <v>0</v>
      </c>
      <c r="J367" t="n">
        <v>0</v>
      </c>
      <c r="K367" t="n">
        <v>0</v>
      </c>
      <c r="L367" t="n">
        <v>0</v>
      </c>
      <c r="M367" t="n">
        <v>0</v>
      </c>
      <c r="N367" t="n">
        <v>0</v>
      </c>
      <c r="O367" t="n">
        <v>0</v>
      </c>
      <c r="P367" t="n">
        <v>0</v>
      </c>
      <c r="Q367" t="n">
        <v>0</v>
      </c>
      <c r="R367" s="2" t="inlineStr"/>
    </row>
    <row r="368" ht="15" customHeight="1">
      <c r="A368" t="inlineStr">
        <is>
          <t>A 10746-2025</t>
        </is>
      </c>
      <c r="B368" s="1" t="n">
        <v>45722.42766203704</v>
      </c>
      <c r="C368" s="1" t="n">
        <v>45923</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16501-2023</t>
        </is>
      </c>
      <c r="B369" s="1" t="n">
        <v>45029</v>
      </c>
      <c r="C369" s="1" t="n">
        <v>45923</v>
      </c>
      <c r="D369" t="inlineStr">
        <is>
          <t>GOTLANDS LÄN</t>
        </is>
      </c>
      <c r="E369" t="inlineStr">
        <is>
          <t>GOTLAND</t>
        </is>
      </c>
      <c r="G369" t="n">
        <v>3.1</v>
      </c>
      <c r="H369" t="n">
        <v>0</v>
      </c>
      <c r="I369" t="n">
        <v>0</v>
      </c>
      <c r="J369" t="n">
        <v>0</v>
      </c>
      <c r="K369" t="n">
        <v>0</v>
      </c>
      <c r="L369" t="n">
        <v>0</v>
      </c>
      <c r="M369" t="n">
        <v>0</v>
      </c>
      <c r="N369" t="n">
        <v>0</v>
      </c>
      <c r="O369" t="n">
        <v>0</v>
      </c>
      <c r="P369" t="n">
        <v>0</v>
      </c>
      <c r="Q369" t="n">
        <v>0</v>
      </c>
      <c r="R369" s="2" t="inlineStr"/>
    </row>
    <row r="370" ht="15" customHeight="1">
      <c r="A370" t="inlineStr">
        <is>
          <t>A 10655-2023</t>
        </is>
      </c>
      <c r="B370" s="1" t="n">
        <v>44988.49543981482</v>
      </c>
      <c r="C370" s="1" t="n">
        <v>45923</v>
      </c>
      <c r="D370" t="inlineStr">
        <is>
          <t>GOTLANDS LÄN</t>
        </is>
      </c>
      <c r="E370" t="inlineStr">
        <is>
          <t>GOTLAND</t>
        </is>
      </c>
      <c r="F370" t="inlineStr">
        <is>
          <t>Kyrkan</t>
        </is>
      </c>
      <c r="G370" t="n">
        <v>2</v>
      </c>
      <c r="H370" t="n">
        <v>0</v>
      </c>
      <c r="I370" t="n">
        <v>0</v>
      </c>
      <c r="J370" t="n">
        <v>0</v>
      </c>
      <c r="K370" t="n">
        <v>0</v>
      </c>
      <c r="L370" t="n">
        <v>0</v>
      </c>
      <c r="M370" t="n">
        <v>0</v>
      </c>
      <c r="N370" t="n">
        <v>0</v>
      </c>
      <c r="O370" t="n">
        <v>0</v>
      </c>
      <c r="P370" t="n">
        <v>0</v>
      </c>
      <c r="Q370" t="n">
        <v>0</v>
      </c>
      <c r="R370" s="2" t="inlineStr"/>
    </row>
    <row r="371" ht="15" customHeight="1">
      <c r="A371" t="inlineStr">
        <is>
          <t>A 43785-2024</t>
        </is>
      </c>
      <c r="B371" s="1" t="n">
        <v>45570</v>
      </c>
      <c r="C371" s="1" t="n">
        <v>45923</v>
      </c>
      <c r="D371" t="inlineStr">
        <is>
          <t>GOTLANDS LÄN</t>
        </is>
      </c>
      <c r="E371" t="inlineStr">
        <is>
          <t>GOTLAND</t>
        </is>
      </c>
      <c r="G371" t="n">
        <v>12.6</v>
      </c>
      <c r="H371" t="n">
        <v>0</v>
      </c>
      <c r="I371" t="n">
        <v>0</v>
      </c>
      <c r="J371" t="n">
        <v>0</v>
      </c>
      <c r="K371" t="n">
        <v>0</v>
      </c>
      <c r="L371" t="n">
        <v>0</v>
      </c>
      <c r="M371" t="n">
        <v>0</v>
      </c>
      <c r="N371" t="n">
        <v>0</v>
      </c>
      <c r="O371" t="n">
        <v>0</v>
      </c>
      <c r="P371" t="n">
        <v>0</v>
      </c>
      <c r="Q371" t="n">
        <v>0</v>
      </c>
      <c r="R371" s="2" t="inlineStr"/>
    </row>
    <row r="372" ht="15" customHeight="1">
      <c r="A372" t="inlineStr">
        <is>
          <t>A 2719-2023</t>
        </is>
      </c>
      <c r="B372" s="1" t="n">
        <v>44944.55361111111</v>
      </c>
      <c r="C372" s="1" t="n">
        <v>45923</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26891-2024</t>
        </is>
      </c>
      <c r="B373" s="1" t="n">
        <v>45470.65540509259</v>
      </c>
      <c r="C373" s="1" t="n">
        <v>45923</v>
      </c>
      <c r="D373" t="inlineStr">
        <is>
          <t>GOTLANDS LÄN</t>
        </is>
      </c>
      <c r="E373" t="inlineStr">
        <is>
          <t>GOTLAND</t>
        </is>
      </c>
      <c r="G373" t="n">
        <v>0.8</v>
      </c>
      <c r="H373" t="n">
        <v>0</v>
      </c>
      <c r="I373" t="n">
        <v>0</v>
      </c>
      <c r="J373" t="n">
        <v>0</v>
      </c>
      <c r="K373" t="n">
        <v>0</v>
      </c>
      <c r="L373" t="n">
        <v>0</v>
      </c>
      <c r="M373" t="n">
        <v>0</v>
      </c>
      <c r="N373" t="n">
        <v>0</v>
      </c>
      <c r="O373" t="n">
        <v>0</v>
      </c>
      <c r="P373" t="n">
        <v>0</v>
      </c>
      <c r="Q373" t="n">
        <v>0</v>
      </c>
      <c r="R373" s="2" t="inlineStr"/>
    </row>
    <row r="374" ht="15" customHeight="1">
      <c r="A374" t="inlineStr">
        <is>
          <t>A 27930-2021</t>
        </is>
      </c>
      <c r="B374" s="1" t="n">
        <v>44354</v>
      </c>
      <c r="C374" s="1" t="n">
        <v>45923</v>
      </c>
      <c r="D374" t="inlineStr">
        <is>
          <t>GOTLANDS LÄN</t>
        </is>
      </c>
      <c r="E374" t="inlineStr">
        <is>
          <t>GOTLAND</t>
        </is>
      </c>
      <c r="G374" t="n">
        <v>2.5</v>
      </c>
      <c r="H374" t="n">
        <v>0</v>
      </c>
      <c r="I374" t="n">
        <v>0</v>
      </c>
      <c r="J374" t="n">
        <v>0</v>
      </c>
      <c r="K374" t="n">
        <v>0</v>
      </c>
      <c r="L374" t="n">
        <v>0</v>
      </c>
      <c r="M374" t="n">
        <v>0</v>
      </c>
      <c r="N374" t="n">
        <v>0</v>
      </c>
      <c r="O374" t="n">
        <v>0</v>
      </c>
      <c r="P374" t="n">
        <v>0</v>
      </c>
      <c r="Q374" t="n">
        <v>0</v>
      </c>
      <c r="R374" s="2" t="inlineStr"/>
    </row>
    <row r="375" ht="15" customHeight="1">
      <c r="A375" t="inlineStr">
        <is>
          <t>A 42007-2023</t>
        </is>
      </c>
      <c r="B375" s="1" t="n">
        <v>45177</v>
      </c>
      <c r="C375" s="1" t="n">
        <v>45923</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9887-2025</t>
        </is>
      </c>
      <c r="B376" s="1" t="n">
        <v>45716</v>
      </c>
      <c r="C376" s="1" t="n">
        <v>45923</v>
      </c>
      <c r="D376" t="inlineStr">
        <is>
          <t>GOTLANDS LÄN</t>
        </is>
      </c>
      <c r="E376" t="inlineStr">
        <is>
          <t>GOTLAND</t>
        </is>
      </c>
      <c r="G376" t="n">
        <v>7.5</v>
      </c>
      <c r="H376" t="n">
        <v>0</v>
      </c>
      <c r="I376" t="n">
        <v>0</v>
      </c>
      <c r="J376" t="n">
        <v>0</v>
      </c>
      <c r="K376" t="n">
        <v>0</v>
      </c>
      <c r="L376" t="n">
        <v>0</v>
      </c>
      <c r="M376" t="n">
        <v>0</v>
      </c>
      <c r="N376" t="n">
        <v>0</v>
      </c>
      <c r="O376" t="n">
        <v>0</v>
      </c>
      <c r="P376" t="n">
        <v>0</v>
      </c>
      <c r="Q376" t="n">
        <v>0</v>
      </c>
      <c r="R376" s="2" t="inlineStr"/>
    </row>
    <row r="377" ht="15" customHeight="1">
      <c r="A377" t="inlineStr">
        <is>
          <t>A 61962-2024</t>
        </is>
      </c>
      <c r="B377" s="1" t="n">
        <v>45653.54340277778</v>
      </c>
      <c r="C377" s="1" t="n">
        <v>45923</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38165-2023</t>
        </is>
      </c>
      <c r="B378" s="1" t="n">
        <v>45161</v>
      </c>
      <c r="C378" s="1" t="n">
        <v>45923</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58388-2022</t>
        </is>
      </c>
      <c r="B379" s="1" t="n">
        <v>44894</v>
      </c>
      <c r="C379" s="1" t="n">
        <v>45923</v>
      </c>
      <c r="D379" t="inlineStr">
        <is>
          <t>GOTLANDS LÄN</t>
        </is>
      </c>
      <c r="E379" t="inlineStr">
        <is>
          <t>GOTLAND</t>
        </is>
      </c>
      <c r="F379" t="inlineStr">
        <is>
          <t>Övriga statliga verk och myndigheter</t>
        </is>
      </c>
      <c r="G379" t="n">
        <v>3.1</v>
      </c>
      <c r="H379" t="n">
        <v>0</v>
      </c>
      <c r="I379" t="n">
        <v>0</v>
      </c>
      <c r="J379" t="n">
        <v>0</v>
      </c>
      <c r="K379" t="n">
        <v>0</v>
      </c>
      <c r="L379" t="n">
        <v>0</v>
      </c>
      <c r="M379" t="n">
        <v>0</v>
      </c>
      <c r="N379" t="n">
        <v>0</v>
      </c>
      <c r="O379" t="n">
        <v>0</v>
      </c>
      <c r="P379" t="n">
        <v>0</v>
      </c>
      <c r="Q379" t="n">
        <v>0</v>
      </c>
      <c r="R379" s="2" t="inlineStr"/>
    </row>
    <row r="380" ht="15" customHeight="1">
      <c r="A380" t="inlineStr">
        <is>
          <t>A 27596-2023</t>
        </is>
      </c>
      <c r="B380" s="1" t="n">
        <v>45097</v>
      </c>
      <c r="C380" s="1" t="n">
        <v>45923</v>
      </c>
      <c r="D380" t="inlineStr">
        <is>
          <t>GOTLANDS LÄN</t>
        </is>
      </c>
      <c r="E380" t="inlineStr">
        <is>
          <t>GOTLAND</t>
        </is>
      </c>
      <c r="G380" t="n">
        <v>3.6</v>
      </c>
      <c r="H380" t="n">
        <v>0</v>
      </c>
      <c r="I380" t="n">
        <v>0</v>
      </c>
      <c r="J380" t="n">
        <v>0</v>
      </c>
      <c r="K380" t="n">
        <v>0</v>
      </c>
      <c r="L380" t="n">
        <v>0</v>
      </c>
      <c r="M380" t="n">
        <v>0</v>
      </c>
      <c r="N380" t="n">
        <v>0</v>
      </c>
      <c r="O380" t="n">
        <v>0</v>
      </c>
      <c r="P380" t="n">
        <v>0</v>
      </c>
      <c r="Q380" t="n">
        <v>0</v>
      </c>
      <c r="R380" s="2" t="inlineStr"/>
    </row>
    <row r="381" ht="15" customHeight="1">
      <c r="A381" t="inlineStr">
        <is>
          <t>A 10492-2023</t>
        </is>
      </c>
      <c r="B381" s="1" t="n">
        <v>44987</v>
      </c>
      <c r="C381" s="1" t="n">
        <v>45923</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21792-2024</t>
        </is>
      </c>
      <c r="B382" s="1" t="n">
        <v>45442.64326388889</v>
      </c>
      <c r="C382" s="1" t="n">
        <v>45923</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6108-2025</t>
        </is>
      </c>
      <c r="B383" s="1" t="n">
        <v>45698.29880787037</v>
      </c>
      <c r="C383" s="1" t="n">
        <v>45923</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21142-2025</t>
        </is>
      </c>
      <c r="B384" s="1" t="n">
        <v>45779</v>
      </c>
      <c r="C384" s="1" t="n">
        <v>45923</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45923</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18993-2025</t>
        </is>
      </c>
      <c r="B386" s="1" t="n">
        <v>45764</v>
      </c>
      <c r="C386" s="1" t="n">
        <v>45923</v>
      </c>
      <c r="D386" t="inlineStr">
        <is>
          <t>GOTLANDS LÄN</t>
        </is>
      </c>
      <c r="E386" t="inlineStr">
        <is>
          <t>GOTLAND</t>
        </is>
      </c>
      <c r="G386" t="n">
        <v>3</v>
      </c>
      <c r="H386" t="n">
        <v>0</v>
      </c>
      <c r="I386" t="n">
        <v>0</v>
      </c>
      <c r="J386" t="n">
        <v>0</v>
      </c>
      <c r="K386" t="n">
        <v>0</v>
      </c>
      <c r="L386" t="n">
        <v>0</v>
      </c>
      <c r="M386" t="n">
        <v>0</v>
      </c>
      <c r="N386" t="n">
        <v>0</v>
      </c>
      <c r="O386" t="n">
        <v>0</v>
      </c>
      <c r="P386" t="n">
        <v>0</v>
      </c>
      <c r="Q386" t="n">
        <v>0</v>
      </c>
      <c r="R386" s="2" t="inlineStr"/>
    </row>
    <row r="387" ht="15" customHeight="1">
      <c r="A387" t="inlineStr">
        <is>
          <t>A 5909-2025</t>
        </is>
      </c>
      <c r="B387" s="1" t="n">
        <v>45695.40634259259</v>
      </c>
      <c r="C387" s="1" t="n">
        <v>45923</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10653-2023</t>
        </is>
      </c>
      <c r="B388" s="1" t="n">
        <v>44988.48859953704</v>
      </c>
      <c r="C388" s="1" t="n">
        <v>45923</v>
      </c>
      <c r="D388" t="inlineStr">
        <is>
          <t>GOTLANDS LÄN</t>
        </is>
      </c>
      <c r="E388" t="inlineStr">
        <is>
          <t>GOTLAND</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45536-2025</t>
        </is>
      </c>
      <c r="B389" s="1" t="n">
        <v>45922</v>
      </c>
      <c r="C389" s="1" t="n">
        <v>45923</v>
      </c>
      <c r="D389" t="inlineStr">
        <is>
          <t>GOTLANDS LÄN</t>
        </is>
      </c>
      <c r="E389" t="inlineStr">
        <is>
          <t>GOTLAND</t>
        </is>
      </c>
      <c r="G389" t="n">
        <v>10.4</v>
      </c>
      <c r="H389" t="n">
        <v>0</v>
      </c>
      <c r="I389" t="n">
        <v>0</v>
      </c>
      <c r="J389" t="n">
        <v>0</v>
      </c>
      <c r="K389" t="n">
        <v>0</v>
      </c>
      <c r="L389" t="n">
        <v>0</v>
      </c>
      <c r="M389" t="n">
        <v>0</v>
      </c>
      <c r="N389" t="n">
        <v>0</v>
      </c>
      <c r="O389" t="n">
        <v>0</v>
      </c>
      <c r="P389" t="n">
        <v>0</v>
      </c>
      <c r="Q389" t="n">
        <v>0</v>
      </c>
      <c r="R389" s="2" t="inlineStr"/>
    </row>
    <row r="390" ht="15" customHeight="1">
      <c r="A390" t="inlineStr">
        <is>
          <t>A 17688-2024</t>
        </is>
      </c>
      <c r="B390" s="1" t="n">
        <v>45418.43575231481</v>
      </c>
      <c r="C390" s="1" t="n">
        <v>45923</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4990-2025</t>
        </is>
      </c>
      <c r="B391" s="1" t="n">
        <v>45691</v>
      </c>
      <c r="C391" s="1" t="n">
        <v>45923</v>
      </c>
      <c r="D391" t="inlineStr">
        <is>
          <t>GOTLANDS LÄN</t>
        </is>
      </c>
      <c r="E391" t="inlineStr">
        <is>
          <t>GOTLAND</t>
        </is>
      </c>
      <c r="G391" t="n">
        <v>7.7</v>
      </c>
      <c r="H391" t="n">
        <v>0</v>
      </c>
      <c r="I391" t="n">
        <v>0</v>
      </c>
      <c r="J391" t="n">
        <v>0</v>
      </c>
      <c r="K391" t="n">
        <v>0</v>
      </c>
      <c r="L391" t="n">
        <v>0</v>
      </c>
      <c r="M391" t="n">
        <v>0</v>
      </c>
      <c r="N391" t="n">
        <v>0</v>
      </c>
      <c r="O391" t="n">
        <v>0</v>
      </c>
      <c r="P391" t="n">
        <v>0</v>
      </c>
      <c r="Q391" t="n">
        <v>0</v>
      </c>
      <c r="R391" s="2" t="inlineStr"/>
    </row>
    <row r="392" ht="15" customHeight="1">
      <c r="A392" t="inlineStr">
        <is>
          <t>A 24825-2024</t>
        </is>
      </c>
      <c r="B392" s="1" t="n">
        <v>45461</v>
      </c>
      <c r="C392" s="1" t="n">
        <v>45923</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6696-2023</t>
        </is>
      </c>
      <c r="B393" s="1" t="n">
        <v>44966.66425925926</v>
      </c>
      <c r="C393" s="1" t="n">
        <v>45923</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7837-2024</t>
        </is>
      </c>
      <c r="B394" s="1" t="n">
        <v>45349.83787037037</v>
      </c>
      <c r="C394" s="1" t="n">
        <v>45923</v>
      </c>
      <c r="D394" t="inlineStr">
        <is>
          <t>GOTLANDS LÄN</t>
        </is>
      </c>
      <c r="E394" t="inlineStr">
        <is>
          <t>GOTLAND</t>
        </is>
      </c>
      <c r="G394" t="n">
        <v>5</v>
      </c>
      <c r="H394" t="n">
        <v>0</v>
      </c>
      <c r="I394" t="n">
        <v>0</v>
      </c>
      <c r="J394" t="n">
        <v>0</v>
      </c>
      <c r="K394" t="n">
        <v>0</v>
      </c>
      <c r="L394" t="n">
        <v>0</v>
      </c>
      <c r="M394" t="n">
        <v>0</v>
      </c>
      <c r="N394" t="n">
        <v>0</v>
      </c>
      <c r="O394" t="n">
        <v>0</v>
      </c>
      <c r="P394" t="n">
        <v>0</v>
      </c>
      <c r="Q394" t="n">
        <v>0</v>
      </c>
      <c r="R394" s="2" t="inlineStr"/>
    </row>
    <row r="395" ht="15" customHeight="1">
      <c r="A395" t="inlineStr">
        <is>
          <t>A 21247-2022</t>
        </is>
      </c>
      <c r="B395" s="1" t="n">
        <v>44705.38832175926</v>
      </c>
      <c r="C395" s="1" t="n">
        <v>45923</v>
      </c>
      <c r="D395" t="inlineStr">
        <is>
          <t>GOTLANDS LÄN</t>
        </is>
      </c>
      <c r="E395" t="inlineStr">
        <is>
          <t>GOTLAND</t>
        </is>
      </c>
      <c r="G395" t="n">
        <v>16.2</v>
      </c>
      <c r="H395" t="n">
        <v>0</v>
      </c>
      <c r="I395" t="n">
        <v>0</v>
      </c>
      <c r="J395" t="n">
        <v>0</v>
      </c>
      <c r="K395" t="n">
        <v>0</v>
      </c>
      <c r="L395" t="n">
        <v>0</v>
      </c>
      <c r="M395" t="n">
        <v>0</v>
      </c>
      <c r="N395" t="n">
        <v>0</v>
      </c>
      <c r="O395" t="n">
        <v>0</v>
      </c>
      <c r="P395" t="n">
        <v>0</v>
      </c>
      <c r="Q395" t="n">
        <v>0</v>
      </c>
      <c r="R395" s="2" t="inlineStr"/>
    </row>
    <row r="396" ht="15" customHeight="1">
      <c r="A396" t="inlineStr">
        <is>
          <t>A 456-2023</t>
        </is>
      </c>
      <c r="B396" s="1" t="n">
        <v>44929.87122685185</v>
      </c>
      <c r="C396" s="1" t="n">
        <v>45923</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2714-2023</t>
        </is>
      </c>
      <c r="B397" s="1" t="n">
        <v>44944.54896990741</v>
      </c>
      <c r="C397" s="1" t="n">
        <v>45923</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4421-2024</t>
        </is>
      </c>
      <c r="B398" s="1" t="n">
        <v>45327.45173611111</v>
      </c>
      <c r="C398" s="1" t="n">
        <v>45923</v>
      </c>
      <c r="D398" t="inlineStr">
        <is>
          <t>GOTLANDS LÄN</t>
        </is>
      </c>
      <c r="E398" t="inlineStr">
        <is>
          <t>GOTLAND</t>
        </is>
      </c>
      <c r="G398" t="n">
        <v>5.1</v>
      </c>
      <c r="H398" t="n">
        <v>0</v>
      </c>
      <c r="I398" t="n">
        <v>0</v>
      </c>
      <c r="J398" t="n">
        <v>0</v>
      </c>
      <c r="K398" t="n">
        <v>0</v>
      </c>
      <c r="L398" t="n">
        <v>0</v>
      </c>
      <c r="M398" t="n">
        <v>0</v>
      </c>
      <c r="N398" t="n">
        <v>0</v>
      </c>
      <c r="O398" t="n">
        <v>0</v>
      </c>
      <c r="P398" t="n">
        <v>0</v>
      </c>
      <c r="Q398" t="n">
        <v>0</v>
      </c>
      <c r="R398" s="2" t="inlineStr"/>
    </row>
    <row r="399" ht="15" customHeight="1">
      <c r="A399" t="inlineStr">
        <is>
          <t>A 4568-2025</t>
        </is>
      </c>
      <c r="B399" s="1" t="n">
        <v>45687</v>
      </c>
      <c r="C399" s="1" t="n">
        <v>45923</v>
      </c>
      <c r="D399" t="inlineStr">
        <is>
          <t>GOTLANDS LÄN</t>
        </is>
      </c>
      <c r="E399" t="inlineStr">
        <is>
          <t>GOTLAND</t>
        </is>
      </c>
      <c r="G399" t="n">
        <v>1.9</v>
      </c>
      <c r="H399" t="n">
        <v>0</v>
      </c>
      <c r="I399" t="n">
        <v>0</v>
      </c>
      <c r="J399" t="n">
        <v>0</v>
      </c>
      <c r="K399" t="n">
        <v>0</v>
      </c>
      <c r="L399" t="n">
        <v>0</v>
      </c>
      <c r="M399" t="n">
        <v>0</v>
      </c>
      <c r="N399" t="n">
        <v>0</v>
      </c>
      <c r="O399" t="n">
        <v>0</v>
      </c>
      <c r="P399" t="n">
        <v>0</v>
      </c>
      <c r="Q399" t="n">
        <v>0</v>
      </c>
      <c r="R399" s="2" t="inlineStr"/>
    </row>
    <row r="400" ht="15" customHeight="1">
      <c r="A400" t="inlineStr">
        <is>
          <t>A 51782-2023</t>
        </is>
      </c>
      <c r="B400" s="1" t="n">
        <v>45222.80952546297</v>
      </c>
      <c r="C400" s="1" t="n">
        <v>45923</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54268-2022</t>
        </is>
      </c>
      <c r="B401" s="1" t="n">
        <v>44882</v>
      </c>
      <c r="C401" s="1" t="n">
        <v>45923</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43081-2022</t>
        </is>
      </c>
      <c r="B402" s="1" t="n">
        <v>44833</v>
      </c>
      <c r="C402" s="1" t="n">
        <v>45923</v>
      </c>
      <c r="D402" t="inlineStr">
        <is>
          <t>GOTLANDS LÄN</t>
        </is>
      </c>
      <c r="E402" t="inlineStr">
        <is>
          <t>GOTLAND</t>
        </is>
      </c>
      <c r="G402" t="n">
        <v>6.8</v>
      </c>
      <c r="H402" t="n">
        <v>0</v>
      </c>
      <c r="I402" t="n">
        <v>0</v>
      </c>
      <c r="J402" t="n">
        <v>0</v>
      </c>
      <c r="K402" t="n">
        <v>0</v>
      </c>
      <c r="L402" t="n">
        <v>0</v>
      </c>
      <c r="M402" t="n">
        <v>0</v>
      </c>
      <c r="N402" t="n">
        <v>0</v>
      </c>
      <c r="O402" t="n">
        <v>0</v>
      </c>
      <c r="P402" t="n">
        <v>0</v>
      </c>
      <c r="Q402" t="n">
        <v>0</v>
      </c>
      <c r="R402" s="2" t="inlineStr"/>
    </row>
    <row r="403" ht="15" customHeight="1">
      <c r="A403" t="inlineStr">
        <is>
          <t>A 32958-2021</t>
        </is>
      </c>
      <c r="B403" s="1" t="n">
        <v>44376</v>
      </c>
      <c r="C403" s="1" t="n">
        <v>45923</v>
      </c>
      <c r="D403" t="inlineStr">
        <is>
          <t>GOTLANDS LÄN</t>
        </is>
      </c>
      <c r="E403" t="inlineStr">
        <is>
          <t>GOTLAND</t>
        </is>
      </c>
      <c r="G403" t="n">
        <v>2.2</v>
      </c>
      <c r="H403" t="n">
        <v>0</v>
      </c>
      <c r="I403" t="n">
        <v>0</v>
      </c>
      <c r="J403" t="n">
        <v>0</v>
      </c>
      <c r="K403" t="n">
        <v>0</v>
      </c>
      <c r="L403" t="n">
        <v>0</v>
      </c>
      <c r="M403" t="n">
        <v>0</v>
      </c>
      <c r="N403" t="n">
        <v>0</v>
      </c>
      <c r="O403" t="n">
        <v>0</v>
      </c>
      <c r="P403" t="n">
        <v>0</v>
      </c>
      <c r="Q403" t="n">
        <v>0</v>
      </c>
      <c r="R403" s="2" t="inlineStr"/>
    </row>
    <row r="404" ht="15" customHeight="1">
      <c r="A404" t="inlineStr">
        <is>
          <t>A 57534-2022</t>
        </is>
      </c>
      <c r="B404" s="1" t="n">
        <v>44896</v>
      </c>
      <c r="C404" s="1" t="n">
        <v>45923</v>
      </c>
      <c r="D404" t="inlineStr">
        <is>
          <t>GOTLANDS LÄN</t>
        </is>
      </c>
      <c r="E404" t="inlineStr">
        <is>
          <t>GOTLAND</t>
        </is>
      </c>
      <c r="G404" t="n">
        <v>0.6</v>
      </c>
      <c r="H404" t="n">
        <v>0</v>
      </c>
      <c r="I404" t="n">
        <v>0</v>
      </c>
      <c r="J404" t="n">
        <v>0</v>
      </c>
      <c r="K404" t="n">
        <v>0</v>
      </c>
      <c r="L404" t="n">
        <v>0</v>
      </c>
      <c r="M404" t="n">
        <v>0</v>
      </c>
      <c r="N404" t="n">
        <v>0</v>
      </c>
      <c r="O404" t="n">
        <v>0</v>
      </c>
      <c r="P404" t="n">
        <v>0</v>
      </c>
      <c r="Q404" t="n">
        <v>0</v>
      </c>
      <c r="R404" s="2" t="inlineStr"/>
    </row>
    <row r="405" ht="15" customHeight="1">
      <c r="A405" t="inlineStr">
        <is>
          <t>A 5884-2025</t>
        </is>
      </c>
      <c r="B405" s="1" t="n">
        <v>45695.37482638889</v>
      </c>
      <c r="C405" s="1" t="n">
        <v>45923</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5897-2025</t>
        </is>
      </c>
      <c r="B406" s="1" t="n">
        <v>45695.39273148148</v>
      </c>
      <c r="C406" s="1" t="n">
        <v>45923</v>
      </c>
      <c r="D406" t="inlineStr">
        <is>
          <t>GOTLANDS LÄN</t>
        </is>
      </c>
      <c r="E406" t="inlineStr">
        <is>
          <t>GOTLAND</t>
        </is>
      </c>
      <c r="G406" t="n">
        <v>3.7</v>
      </c>
      <c r="H406" t="n">
        <v>0</v>
      </c>
      <c r="I406" t="n">
        <v>0</v>
      </c>
      <c r="J406" t="n">
        <v>0</v>
      </c>
      <c r="K406" t="n">
        <v>0</v>
      </c>
      <c r="L406" t="n">
        <v>0</v>
      </c>
      <c r="M406" t="n">
        <v>0</v>
      </c>
      <c r="N406" t="n">
        <v>0</v>
      </c>
      <c r="O406" t="n">
        <v>0</v>
      </c>
      <c r="P406" t="n">
        <v>0</v>
      </c>
      <c r="Q406" t="n">
        <v>0</v>
      </c>
      <c r="R406" s="2" t="inlineStr"/>
    </row>
    <row r="407" ht="15" customHeight="1">
      <c r="A407" t="inlineStr">
        <is>
          <t>A 25866-2022</t>
        </is>
      </c>
      <c r="B407" s="1" t="n">
        <v>44733</v>
      </c>
      <c r="C407" s="1" t="n">
        <v>45923</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43229-2023</t>
        </is>
      </c>
      <c r="B408" s="1" t="n">
        <v>45183.46704861111</v>
      </c>
      <c r="C408" s="1" t="n">
        <v>45923</v>
      </c>
      <c r="D408" t="inlineStr">
        <is>
          <t>GOTLANDS LÄN</t>
        </is>
      </c>
      <c r="E408" t="inlineStr">
        <is>
          <t>GOTLAND</t>
        </is>
      </c>
      <c r="G408" t="n">
        <v>7.1</v>
      </c>
      <c r="H408" t="n">
        <v>0</v>
      </c>
      <c r="I408" t="n">
        <v>0</v>
      </c>
      <c r="J408" t="n">
        <v>0</v>
      </c>
      <c r="K408" t="n">
        <v>0</v>
      </c>
      <c r="L408" t="n">
        <v>0</v>
      </c>
      <c r="M408" t="n">
        <v>0</v>
      </c>
      <c r="N408" t="n">
        <v>0</v>
      </c>
      <c r="O408" t="n">
        <v>0</v>
      </c>
      <c r="P408" t="n">
        <v>0</v>
      </c>
      <c r="Q408" t="n">
        <v>0</v>
      </c>
      <c r="R408" s="2" t="inlineStr"/>
    </row>
    <row r="409" ht="15" customHeight="1">
      <c r="A409" t="inlineStr">
        <is>
          <t>A 1175-2025</t>
        </is>
      </c>
      <c r="B409" s="1" t="n">
        <v>45667.34449074074</v>
      </c>
      <c r="C409" s="1" t="n">
        <v>45923</v>
      </c>
      <c r="D409" t="inlineStr">
        <is>
          <t>GOTLANDS LÄN</t>
        </is>
      </c>
      <c r="E409" t="inlineStr">
        <is>
          <t>GOTLAND</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27095-2022</t>
        </is>
      </c>
      <c r="B410" s="1" t="n">
        <v>44741</v>
      </c>
      <c r="C410" s="1" t="n">
        <v>45923</v>
      </c>
      <c r="D410" t="inlineStr">
        <is>
          <t>GOTLANDS LÄN</t>
        </is>
      </c>
      <c r="E410" t="inlineStr">
        <is>
          <t>GOTLAND</t>
        </is>
      </c>
      <c r="F410" t="inlineStr">
        <is>
          <t>Övriga Aktiebolag</t>
        </is>
      </c>
      <c r="G410" t="n">
        <v>2.9</v>
      </c>
      <c r="H410" t="n">
        <v>0</v>
      </c>
      <c r="I410" t="n">
        <v>0</v>
      </c>
      <c r="J410" t="n">
        <v>0</v>
      </c>
      <c r="K410" t="n">
        <v>0</v>
      </c>
      <c r="L410" t="n">
        <v>0</v>
      </c>
      <c r="M410" t="n">
        <v>0</v>
      </c>
      <c r="N410" t="n">
        <v>0</v>
      </c>
      <c r="O410" t="n">
        <v>0</v>
      </c>
      <c r="P410" t="n">
        <v>0</v>
      </c>
      <c r="Q410" t="n">
        <v>0</v>
      </c>
      <c r="R410" s="2" t="inlineStr"/>
    </row>
    <row r="411" ht="15" customHeight="1">
      <c r="A411" t="inlineStr">
        <is>
          <t>A 22899-2023</t>
        </is>
      </c>
      <c r="B411" s="1" t="n">
        <v>45072</v>
      </c>
      <c r="C411" s="1" t="n">
        <v>45923</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49693-2023</t>
        </is>
      </c>
      <c r="B412" s="1" t="n">
        <v>45212.38138888889</v>
      </c>
      <c r="C412" s="1" t="n">
        <v>45923</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49697-2023</t>
        </is>
      </c>
      <c r="B413" s="1" t="n">
        <v>45212.38909722222</v>
      </c>
      <c r="C413" s="1" t="n">
        <v>45923</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35512-2023</t>
        </is>
      </c>
      <c r="B414" s="1" t="n">
        <v>45147.25623842593</v>
      </c>
      <c r="C414" s="1" t="n">
        <v>45923</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5905-2024</t>
        </is>
      </c>
      <c r="B415" s="1" t="n">
        <v>45335.88993055555</v>
      </c>
      <c r="C415" s="1" t="n">
        <v>45923</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23978-2023</t>
        </is>
      </c>
      <c r="B416" s="1" t="n">
        <v>45078</v>
      </c>
      <c r="C416" s="1" t="n">
        <v>45923</v>
      </c>
      <c r="D416" t="inlineStr">
        <is>
          <t>GOTLANDS LÄN</t>
        </is>
      </c>
      <c r="E416" t="inlineStr">
        <is>
          <t>GOTLAND</t>
        </is>
      </c>
      <c r="F416" t="inlineStr">
        <is>
          <t>Naturvårdsverket</t>
        </is>
      </c>
      <c r="G416" t="n">
        <v>1.7</v>
      </c>
      <c r="H416" t="n">
        <v>0</v>
      </c>
      <c r="I416" t="n">
        <v>0</v>
      </c>
      <c r="J416" t="n">
        <v>0</v>
      </c>
      <c r="K416" t="n">
        <v>0</v>
      </c>
      <c r="L416" t="n">
        <v>0</v>
      </c>
      <c r="M416" t="n">
        <v>0</v>
      </c>
      <c r="N416" t="n">
        <v>0</v>
      </c>
      <c r="O416" t="n">
        <v>0</v>
      </c>
      <c r="P416" t="n">
        <v>0</v>
      </c>
      <c r="Q416" t="n">
        <v>0</v>
      </c>
      <c r="R416" s="2" t="inlineStr"/>
    </row>
    <row r="417" ht="15" customHeight="1">
      <c r="A417" t="inlineStr">
        <is>
          <t>A 17901-2023</t>
        </is>
      </c>
      <c r="B417" s="1" t="n">
        <v>45039</v>
      </c>
      <c r="C417" s="1" t="n">
        <v>45923</v>
      </c>
      <c r="D417" t="inlineStr">
        <is>
          <t>GOTLANDS LÄN</t>
        </is>
      </c>
      <c r="E417" t="inlineStr">
        <is>
          <t>GOTLAND</t>
        </is>
      </c>
      <c r="F417" t="inlineStr">
        <is>
          <t>Kyrkan</t>
        </is>
      </c>
      <c r="G417" t="n">
        <v>0.6</v>
      </c>
      <c r="H417" t="n">
        <v>0</v>
      </c>
      <c r="I417" t="n">
        <v>0</v>
      </c>
      <c r="J417" t="n">
        <v>0</v>
      </c>
      <c r="K417" t="n">
        <v>0</v>
      </c>
      <c r="L417" t="n">
        <v>0</v>
      </c>
      <c r="M417" t="n">
        <v>0</v>
      </c>
      <c r="N417" t="n">
        <v>0</v>
      </c>
      <c r="O417" t="n">
        <v>0</v>
      </c>
      <c r="P417" t="n">
        <v>0</v>
      </c>
      <c r="Q417" t="n">
        <v>0</v>
      </c>
      <c r="R417" s="2" t="inlineStr"/>
    </row>
    <row r="418" ht="15" customHeight="1">
      <c r="A418" t="inlineStr">
        <is>
          <t>A 34407-2023</t>
        </is>
      </c>
      <c r="B418" s="1" t="n">
        <v>45132</v>
      </c>
      <c r="C418" s="1" t="n">
        <v>45923</v>
      </c>
      <c r="D418" t="inlineStr">
        <is>
          <t>GOTLANDS LÄN</t>
        </is>
      </c>
      <c r="E418" t="inlineStr">
        <is>
          <t>GOTLAND</t>
        </is>
      </c>
      <c r="G418" t="n">
        <v>4.4</v>
      </c>
      <c r="H418" t="n">
        <v>0</v>
      </c>
      <c r="I418" t="n">
        <v>0</v>
      </c>
      <c r="J418" t="n">
        <v>0</v>
      </c>
      <c r="K418" t="n">
        <v>0</v>
      </c>
      <c r="L418" t="n">
        <v>0</v>
      </c>
      <c r="M418" t="n">
        <v>0</v>
      </c>
      <c r="N418" t="n">
        <v>0</v>
      </c>
      <c r="O418" t="n">
        <v>0</v>
      </c>
      <c r="P418" t="n">
        <v>0</v>
      </c>
      <c r="Q418" t="n">
        <v>0</v>
      </c>
      <c r="R418" s="2" t="inlineStr"/>
    </row>
    <row r="419" ht="15" customHeight="1">
      <c r="A419" t="inlineStr">
        <is>
          <t>A 11013-2024</t>
        </is>
      </c>
      <c r="B419" s="1" t="n">
        <v>45370</v>
      </c>
      <c r="C419" s="1" t="n">
        <v>45923</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27694-2024</t>
        </is>
      </c>
      <c r="B420" s="1" t="n">
        <v>45475</v>
      </c>
      <c r="C420" s="1" t="n">
        <v>45923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1291-2023</t>
        </is>
      </c>
      <c r="B421" s="1" t="n">
        <v>44936.47561342592</v>
      </c>
      <c r="C421" s="1" t="n">
        <v>45923</v>
      </c>
      <c r="D421" t="inlineStr">
        <is>
          <t>GOTLANDS LÄN</t>
        </is>
      </c>
      <c r="E421" t="inlineStr">
        <is>
          <t>GOTLAND</t>
        </is>
      </c>
      <c r="G421" t="n">
        <v>7.4</v>
      </c>
      <c r="H421" t="n">
        <v>0</v>
      </c>
      <c r="I421" t="n">
        <v>0</v>
      </c>
      <c r="J421" t="n">
        <v>0</v>
      </c>
      <c r="K421" t="n">
        <v>0</v>
      </c>
      <c r="L421" t="n">
        <v>0</v>
      </c>
      <c r="M421" t="n">
        <v>0</v>
      </c>
      <c r="N421" t="n">
        <v>0</v>
      </c>
      <c r="O421" t="n">
        <v>0</v>
      </c>
      <c r="P421" t="n">
        <v>0</v>
      </c>
      <c r="Q421" t="n">
        <v>0</v>
      </c>
      <c r="R421" s="2" t="inlineStr"/>
    </row>
    <row r="422" ht="15" customHeight="1">
      <c r="A422" t="inlineStr">
        <is>
          <t>A 15083-2025</t>
        </is>
      </c>
      <c r="B422" s="1" t="n">
        <v>45743</v>
      </c>
      <c r="C422" s="1" t="n">
        <v>45923</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44467.49048611111</v>
      </c>
      <c r="C423" s="1" t="n">
        <v>45923</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13037-2025</t>
        </is>
      </c>
      <c r="B424" s="1" t="n">
        <v>45734</v>
      </c>
      <c r="C424" s="1" t="n">
        <v>45923</v>
      </c>
      <c r="D424" t="inlineStr">
        <is>
          <t>GOTLANDS LÄN</t>
        </is>
      </c>
      <c r="E424" t="inlineStr">
        <is>
          <t>GOTLAND</t>
        </is>
      </c>
      <c r="G424" t="n">
        <v>9.5</v>
      </c>
      <c r="H424" t="n">
        <v>0</v>
      </c>
      <c r="I424" t="n">
        <v>0</v>
      </c>
      <c r="J424" t="n">
        <v>0</v>
      </c>
      <c r="K424" t="n">
        <v>0</v>
      </c>
      <c r="L424" t="n">
        <v>0</v>
      </c>
      <c r="M424" t="n">
        <v>0</v>
      </c>
      <c r="N424" t="n">
        <v>0</v>
      </c>
      <c r="O424" t="n">
        <v>0</v>
      </c>
      <c r="P424" t="n">
        <v>0</v>
      </c>
      <c r="Q424" t="n">
        <v>0</v>
      </c>
      <c r="R424" s="2" t="inlineStr"/>
    </row>
    <row r="425" ht="15" customHeight="1">
      <c r="A425" t="inlineStr">
        <is>
          <t>A 458-2023</t>
        </is>
      </c>
      <c r="B425" s="1" t="n">
        <v>44929</v>
      </c>
      <c r="C425" s="1" t="n">
        <v>45923</v>
      </c>
      <c r="D425" t="inlineStr">
        <is>
          <t>GOTLANDS LÄN</t>
        </is>
      </c>
      <c r="E425" t="inlineStr">
        <is>
          <t>GOTLAND</t>
        </is>
      </c>
      <c r="G425" t="n">
        <v>3.6</v>
      </c>
      <c r="H425" t="n">
        <v>0</v>
      </c>
      <c r="I425" t="n">
        <v>0</v>
      </c>
      <c r="J425" t="n">
        <v>0</v>
      </c>
      <c r="K425" t="n">
        <v>0</v>
      </c>
      <c r="L425" t="n">
        <v>0</v>
      </c>
      <c r="M425" t="n">
        <v>0</v>
      </c>
      <c r="N425" t="n">
        <v>0</v>
      </c>
      <c r="O425" t="n">
        <v>0</v>
      </c>
      <c r="P425" t="n">
        <v>0</v>
      </c>
      <c r="Q425" t="n">
        <v>0</v>
      </c>
      <c r="R425" s="2" t="inlineStr"/>
    </row>
    <row r="426" ht="15" customHeight="1">
      <c r="A426" t="inlineStr">
        <is>
          <t>A 1713-2025</t>
        </is>
      </c>
      <c r="B426" s="1" t="n">
        <v>45671.32342592593</v>
      </c>
      <c r="C426" s="1" t="n">
        <v>45923</v>
      </c>
      <c r="D426" t="inlineStr">
        <is>
          <t>GOTLANDS LÄN</t>
        </is>
      </c>
      <c r="E426" t="inlineStr">
        <is>
          <t>GOTLAND</t>
        </is>
      </c>
      <c r="G426" t="n">
        <v>10.1</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45923</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44228-2022</t>
        </is>
      </c>
      <c r="B428" s="1" t="n">
        <v>44839.51599537037</v>
      </c>
      <c r="C428" s="1" t="n">
        <v>45923</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58132-2023</t>
        </is>
      </c>
      <c r="B429" s="1" t="n">
        <v>45250</v>
      </c>
      <c r="C429" s="1" t="n">
        <v>45923</v>
      </c>
      <c r="D429" t="inlineStr">
        <is>
          <t>GOTLANDS LÄN</t>
        </is>
      </c>
      <c r="E429" t="inlineStr">
        <is>
          <t>GOTLAND</t>
        </is>
      </c>
      <c r="G429" t="n">
        <v>3.1</v>
      </c>
      <c r="H429" t="n">
        <v>0</v>
      </c>
      <c r="I429" t="n">
        <v>0</v>
      </c>
      <c r="J429" t="n">
        <v>0</v>
      </c>
      <c r="K429" t="n">
        <v>0</v>
      </c>
      <c r="L429" t="n">
        <v>0</v>
      </c>
      <c r="M429" t="n">
        <v>0</v>
      </c>
      <c r="N429" t="n">
        <v>0</v>
      </c>
      <c r="O429" t="n">
        <v>0</v>
      </c>
      <c r="P429" t="n">
        <v>0</v>
      </c>
      <c r="Q429" t="n">
        <v>0</v>
      </c>
      <c r="R429" s="2" t="inlineStr"/>
    </row>
    <row r="430" ht="15" customHeight="1">
      <c r="A430" t="inlineStr">
        <is>
          <t>A 17724-2024</t>
        </is>
      </c>
      <c r="B430" s="1" t="n">
        <v>45418.55096064815</v>
      </c>
      <c r="C430" s="1" t="n">
        <v>45923</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34312-2024</t>
        </is>
      </c>
      <c r="B431" s="1" t="n">
        <v>45524.69703703704</v>
      </c>
      <c r="C431" s="1" t="n">
        <v>45923</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49884-2023</t>
        </is>
      </c>
      <c r="B432" s="1" t="n">
        <v>45213</v>
      </c>
      <c r="C432" s="1" t="n">
        <v>45923</v>
      </c>
      <c r="D432" t="inlineStr">
        <is>
          <t>GOTLANDS LÄN</t>
        </is>
      </c>
      <c r="E432" t="inlineStr">
        <is>
          <t>GOTLAND</t>
        </is>
      </c>
      <c r="G432" t="n">
        <v>8.9</v>
      </c>
      <c r="H432" t="n">
        <v>0</v>
      </c>
      <c r="I432" t="n">
        <v>0</v>
      </c>
      <c r="J432" t="n">
        <v>0</v>
      </c>
      <c r="K432" t="n">
        <v>0</v>
      </c>
      <c r="L432" t="n">
        <v>0</v>
      </c>
      <c r="M432" t="n">
        <v>0</v>
      </c>
      <c r="N432" t="n">
        <v>0</v>
      </c>
      <c r="O432" t="n">
        <v>0</v>
      </c>
      <c r="P432" t="n">
        <v>0</v>
      </c>
      <c r="Q432" t="n">
        <v>0</v>
      </c>
      <c r="R432" s="2" t="inlineStr"/>
    </row>
    <row r="433" ht="15" customHeight="1">
      <c r="A433" t="inlineStr">
        <is>
          <t>A 876-2024</t>
        </is>
      </c>
      <c r="B433" s="1" t="n">
        <v>45301</v>
      </c>
      <c r="C433" s="1" t="n">
        <v>45923</v>
      </c>
      <c r="D433" t="inlineStr">
        <is>
          <t>GOTLANDS LÄN</t>
        </is>
      </c>
      <c r="E433" t="inlineStr">
        <is>
          <t>GOTLAND</t>
        </is>
      </c>
      <c r="G433" t="n">
        <v>5.3</v>
      </c>
      <c r="H433" t="n">
        <v>0</v>
      </c>
      <c r="I433" t="n">
        <v>0</v>
      </c>
      <c r="J433" t="n">
        <v>0</v>
      </c>
      <c r="K433" t="n">
        <v>0</v>
      </c>
      <c r="L433" t="n">
        <v>0</v>
      </c>
      <c r="M433" t="n">
        <v>0</v>
      </c>
      <c r="N433" t="n">
        <v>0</v>
      </c>
      <c r="O433" t="n">
        <v>0</v>
      </c>
      <c r="P433" t="n">
        <v>0</v>
      </c>
      <c r="Q433" t="n">
        <v>0</v>
      </c>
      <c r="R433" s="2" t="inlineStr"/>
    </row>
    <row r="434" ht="15" customHeight="1">
      <c r="A434" t="inlineStr">
        <is>
          <t>A 6153-2024</t>
        </is>
      </c>
      <c r="B434" s="1" t="n">
        <v>45337</v>
      </c>
      <c r="C434" s="1" t="n">
        <v>45923</v>
      </c>
      <c r="D434" t="inlineStr">
        <is>
          <t>GOTLANDS LÄN</t>
        </is>
      </c>
      <c r="E434" t="inlineStr">
        <is>
          <t>GOTLAND</t>
        </is>
      </c>
      <c r="G434" t="n">
        <v>14.2</v>
      </c>
      <c r="H434" t="n">
        <v>0</v>
      </c>
      <c r="I434" t="n">
        <v>0</v>
      </c>
      <c r="J434" t="n">
        <v>0</v>
      </c>
      <c r="K434" t="n">
        <v>0</v>
      </c>
      <c r="L434" t="n">
        <v>0</v>
      </c>
      <c r="M434" t="n">
        <v>0</v>
      </c>
      <c r="N434" t="n">
        <v>0</v>
      </c>
      <c r="O434" t="n">
        <v>0</v>
      </c>
      <c r="P434" t="n">
        <v>0</v>
      </c>
      <c r="Q434" t="n">
        <v>0</v>
      </c>
      <c r="R434" s="2" t="inlineStr"/>
    </row>
    <row r="435" ht="15" customHeight="1">
      <c r="A435" t="inlineStr">
        <is>
          <t>A 6796-2025</t>
        </is>
      </c>
      <c r="B435" s="1" t="n">
        <v>45700.66559027778</v>
      </c>
      <c r="C435" s="1" t="n">
        <v>45923</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69112-2021</t>
        </is>
      </c>
      <c r="B436" s="1" t="n">
        <v>44530</v>
      </c>
      <c r="C436" s="1" t="n">
        <v>45923</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22704-2023</t>
        </is>
      </c>
      <c r="B437" s="1" t="n">
        <v>45071</v>
      </c>
      <c r="C437" s="1" t="n">
        <v>45923</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7638-2025</t>
        </is>
      </c>
      <c r="B438" s="1" t="n">
        <v>45705.77306712963</v>
      </c>
      <c r="C438" s="1" t="n">
        <v>45923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50482-2024</t>
        </is>
      </c>
      <c r="B439" s="1" t="n">
        <v>45601.48114583334</v>
      </c>
      <c r="C439" s="1" t="n">
        <v>45923</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1394-2023</t>
        </is>
      </c>
      <c r="B440" s="1" t="n">
        <v>44936.72997685185</v>
      </c>
      <c r="C440" s="1" t="n">
        <v>45923</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58230-2024</t>
        </is>
      </c>
      <c r="B441" s="1" t="n">
        <v>45632.51625</v>
      </c>
      <c r="C441" s="1" t="n">
        <v>45923</v>
      </c>
      <c r="D441" t="inlineStr">
        <is>
          <t>GOTLANDS LÄN</t>
        </is>
      </c>
      <c r="E441" t="inlineStr">
        <is>
          <t>GOTLAND</t>
        </is>
      </c>
      <c r="G441" t="n">
        <v>7.3</v>
      </c>
      <c r="H441" t="n">
        <v>0</v>
      </c>
      <c r="I441" t="n">
        <v>0</v>
      </c>
      <c r="J441" t="n">
        <v>0</v>
      </c>
      <c r="K441" t="n">
        <v>0</v>
      </c>
      <c r="L441" t="n">
        <v>0</v>
      </c>
      <c r="M441" t="n">
        <v>0</v>
      </c>
      <c r="N441" t="n">
        <v>0</v>
      </c>
      <c r="O441" t="n">
        <v>0</v>
      </c>
      <c r="P441" t="n">
        <v>0</v>
      </c>
      <c r="Q441" t="n">
        <v>0</v>
      </c>
      <c r="R441" s="2" t="inlineStr"/>
    </row>
    <row r="442" ht="15" customHeight="1">
      <c r="A442" t="inlineStr">
        <is>
          <t>A 1462-2025</t>
        </is>
      </c>
      <c r="B442" s="1" t="n">
        <v>45670.36319444444</v>
      </c>
      <c r="C442" s="1" t="n">
        <v>45923</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25129-2023</t>
        </is>
      </c>
      <c r="B443" s="1" t="n">
        <v>45086.44261574074</v>
      </c>
      <c r="C443" s="1" t="n">
        <v>45923</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17343-2025</t>
        </is>
      </c>
      <c r="B444" s="1" t="n">
        <v>45756.6687037037</v>
      </c>
      <c r="C444" s="1" t="n">
        <v>45923</v>
      </c>
      <c r="D444" t="inlineStr">
        <is>
          <t>GOTLANDS LÄN</t>
        </is>
      </c>
      <c r="E444" t="inlineStr">
        <is>
          <t>GOTLAND</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24192-2023</t>
        </is>
      </c>
      <c r="B445" s="1" t="n">
        <v>45079</v>
      </c>
      <c r="C445" s="1" t="n">
        <v>45923</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18914-2025</t>
        </is>
      </c>
      <c r="B446" s="1" t="n">
        <v>45764.46783564815</v>
      </c>
      <c r="C446" s="1" t="n">
        <v>45923</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28425-2023</t>
        </is>
      </c>
      <c r="B447" s="1" t="n">
        <v>45102</v>
      </c>
      <c r="C447" s="1" t="n">
        <v>45923</v>
      </c>
      <c r="D447" t="inlineStr">
        <is>
          <t>GOTLANDS LÄN</t>
        </is>
      </c>
      <c r="E447" t="inlineStr">
        <is>
          <t>GOTLAND</t>
        </is>
      </c>
      <c r="G447" t="n">
        <v>0.5</v>
      </c>
      <c r="H447" t="n">
        <v>0</v>
      </c>
      <c r="I447" t="n">
        <v>0</v>
      </c>
      <c r="J447" t="n">
        <v>0</v>
      </c>
      <c r="K447" t="n">
        <v>0</v>
      </c>
      <c r="L447" t="n">
        <v>0</v>
      </c>
      <c r="M447" t="n">
        <v>0</v>
      </c>
      <c r="N447" t="n">
        <v>0</v>
      </c>
      <c r="O447" t="n">
        <v>0</v>
      </c>
      <c r="P447" t="n">
        <v>0</v>
      </c>
      <c r="Q447" t="n">
        <v>0</v>
      </c>
      <c r="R447" s="2" t="inlineStr"/>
    </row>
    <row r="448" ht="15" customHeight="1">
      <c r="A448" t="inlineStr">
        <is>
          <t>A 58476-2022</t>
        </is>
      </c>
      <c r="B448" s="1" t="n">
        <v>44902</v>
      </c>
      <c r="C448" s="1" t="n">
        <v>45923</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5386-2023</t>
        </is>
      </c>
      <c r="B449" s="1" t="n">
        <v>44959</v>
      </c>
      <c r="C449" s="1" t="n">
        <v>45923</v>
      </c>
      <c r="D449" t="inlineStr">
        <is>
          <t>GOTLANDS LÄN</t>
        </is>
      </c>
      <c r="E449" t="inlineStr">
        <is>
          <t>GOTLAND</t>
        </is>
      </c>
      <c r="G449" t="n">
        <v>5.4</v>
      </c>
      <c r="H449" t="n">
        <v>0</v>
      </c>
      <c r="I449" t="n">
        <v>0</v>
      </c>
      <c r="J449" t="n">
        <v>0</v>
      </c>
      <c r="K449" t="n">
        <v>0</v>
      </c>
      <c r="L449" t="n">
        <v>0</v>
      </c>
      <c r="M449" t="n">
        <v>0</v>
      </c>
      <c r="N449" t="n">
        <v>0</v>
      </c>
      <c r="O449" t="n">
        <v>0</v>
      </c>
      <c r="P449" t="n">
        <v>0</v>
      </c>
      <c r="Q449" t="n">
        <v>0</v>
      </c>
      <c r="R449" s="2" t="inlineStr"/>
    </row>
    <row r="450" ht="15" customHeight="1">
      <c r="A450" t="inlineStr">
        <is>
          <t>A 7026-2023</t>
        </is>
      </c>
      <c r="B450" s="1" t="n">
        <v>44968.30340277778</v>
      </c>
      <c r="C450" s="1" t="n">
        <v>45923</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20855-2023</t>
        </is>
      </c>
      <c r="B451" s="1" t="n">
        <v>45058.82172453704</v>
      </c>
      <c r="C451" s="1" t="n">
        <v>45923</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43200-2023</t>
        </is>
      </c>
      <c r="B452" s="1" t="n">
        <v>45183</v>
      </c>
      <c r="C452" s="1" t="n">
        <v>45923</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43223-2023</t>
        </is>
      </c>
      <c r="B453" s="1" t="n">
        <v>45183.45642361111</v>
      </c>
      <c r="C453" s="1" t="n">
        <v>45923</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12327-2025</t>
        </is>
      </c>
      <c r="B454" s="1" t="n">
        <v>45730</v>
      </c>
      <c r="C454" s="1" t="n">
        <v>45923</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3431-2025</t>
        </is>
      </c>
      <c r="B455" s="1" t="n">
        <v>45680.42935185185</v>
      </c>
      <c r="C455" s="1" t="n">
        <v>45923</v>
      </c>
      <c r="D455" t="inlineStr">
        <is>
          <t>GOTLANDS LÄN</t>
        </is>
      </c>
      <c r="E455" t="inlineStr">
        <is>
          <t>GOTLAND</t>
        </is>
      </c>
      <c r="G455" t="n">
        <v>4.8</v>
      </c>
      <c r="H455" t="n">
        <v>0</v>
      </c>
      <c r="I455" t="n">
        <v>0</v>
      </c>
      <c r="J455" t="n">
        <v>0</v>
      </c>
      <c r="K455" t="n">
        <v>0</v>
      </c>
      <c r="L455" t="n">
        <v>0</v>
      </c>
      <c r="M455" t="n">
        <v>0</v>
      </c>
      <c r="N455" t="n">
        <v>0</v>
      </c>
      <c r="O455" t="n">
        <v>0</v>
      </c>
      <c r="P455" t="n">
        <v>0</v>
      </c>
      <c r="Q455" t="n">
        <v>0</v>
      </c>
      <c r="R455" s="2" t="inlineStr"/>
    </row>
    <row r="456" ht="15" customHeight="1">
      <c r="A456" t="inlineStr">
        <is>
          <t>A 16373-2025</t>
        </is>
      </c>
      <c r="B456" s="1" t="n">
        <v>45751</v>
      </c>
      <c r="C456" s="1" t="n">
        <v>45923</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1000-2024</t>
        </is>
      </c>
      <c r="B457" s="1" t="n">
        <v>45301.63371527778</v>
      </c>
      <c r="C457" s="1" t="n">
        <v>45923</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1010-2024</t>
        </is>
      </c>
      <c r="B458" s="1" t="n">
        <v>45301</v>
      </c>
      <c r="C458" s="1" t="n">
        <v>45923</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12209-2024</t>
        </is>
      </c>
      <c r="B459" s="1" t="n">
        <v>45378</v>
      </c>
      <c r="C459" s="1" t="n">
        <v>45923</v>
      </c>
      <c r="D459" t="inlineStr">
        <is>
          <t>GOTLANDS LÄN</t>
        </is>
      </c>
      <c r="E459" t="inlineStr">
        <is>
          <t>GOTLAND</t>
        </is>
      </c>
      <c r="G459" t="n">
        <v>5.3</v>
      </c>
      <c r="H459" t="n">
        <v>0</v>
      </c>
      <c r="I459" t="n">
        <v>0</v>
      </c>
      <c r="J459" t="n">
        <v>0</v>
      </c>
      <c r="K459" t="n">
        <v>0</v>
      </c>
      <c r="L459" t="n">
        <v>0</v>
      </c>
      <c r="M459" t="n">
        <v>0</v>
      </c>
      <c r="N459" t="n">
        <v>0</v>
      </c>
      <c r="O459" t="n">
        <v>0</v>
      </c>
      <c r="P459" t="n">
        <v>0</v>
      </c>
      <c r="Q459" t="n">
        <v>0</v>
      </c>
      <c r="R459" s="2" t="inlineStr"/>
    </row>
    <row r="460" ht="15" customHeight="1">
      <c r="A460" t="inlineStr">
        <is>
          <t>A 12210-2024</t>
        </is>
      </c>
      <c r="B460" s="1" t="n">
        <v>45378</v>
      </c>
      <c r="C460" s="1" t="n">
        <v>45923</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1364-2025</t>
        </is>
      </c>
      <c r="B461" s="1" t="n">
        <v>45667.63929398148</v>
      </c>
      <c r="C461" s="1" t="n">
        <v>45923</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15042-2025</t>
        </is>
      </c>
      <c r="B462" s="1" t="n">
        <v>45743</v>
      </c>
      <c r="C462" s="1" t="n">
        <v>45923</v>
      </c>
      <c r="D462" t="inlineStr">
        <is>
          <t>GOTLANDS LÄN</t>
        </is>
      </c>
      <c r="E462" t="inlineStr">
        <is>
          <t>GOTLAND</t>
        </is>
      </c>
      <c r="G462" t="n">
        <v>8.5</v>
      </c>
      <c r="H462" t="n">
        <v>0</v>
      </c>
      <c r="I462" t="n">
        <v>0</v>
      </c>
      <c r="J462" t="n">
        <v>0</v>
      </c>
      <c r="K462" t="n">
        <v>0</v>
      </c>
      <c r="L462" t="n">
        <v>0</v>
      </c>
      <c r="M462" t="n">
        <v>0</v>
      </c>
      <c r="N462" t="n">
        <v>0</v>
      </c>
      <c r="O462" t="n">
        <v>0</v>
      </c>
      <c r="P462" t="n">
        <v>0</v>
      </c>
      <c r="Q462" t="n">
        <v>0</v>
      </c>
      <c r="R462" s="2" t="inlineStr"/>
    </row>
    <row r="463" ht="15" customHeight="1">
      <c r="A463" t="inlineStr">
        <is>
          <t>A 2180-2025</t>
        </is>
      </c>
      <c r="B463" s="1" t="n">
        <v>45673</v>
      </c>
      <c r="C463" s="1" t="n">
        <v>45923</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15436-2025</t>
        </is>
      </c>
      <c r="B464" s="1" t="n">
        <v>45747.47462962963</v>
      </c>
      <c r="C464" s="1" t="n">
        <v>45923</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10652-2025</t>
        </is>
      </c>
      <c r="B465" s="1" t="n">
        <v>45721.68640046296</v>
      </c>
      <c r="C465" s="1" t="n">
        <v>45923</v>
      </c>
      <c r="D465" t="inlineStr">
        <is>
          <t>GOTLANDS LÄN</t>
        </is>
      </c>
      <c r="E465" t="inlineStr">
        <is>
          <t>GOTLAND</t>
        </is>
      </c>
      <c r="G465" t="n">
        <v>3.6</v>
      </c>
      <c r="H465" t="n">
        <v>0</v>
      </c>
      <c r="I465" t="n">
        <v>0</v>
      </c>
      <c r="J465" t="n">
        <v>0</v>
      </c>
      <c r="K465" t="n">
        <v>0</v>
      </c>
      <c r="L465" t="n">
        <v>0</v>
      </c>
      <c r="M465" t="n">
        <v>0</v>
      </c>
      <c r="N465" t="n">
        <v>0</v>
      </c>
      <c r="O465" t="n">
        <v>0</v>
      </c>
      <c r="P465" t="n">
        <v>0</v>
      </c>
      <c r="Q465" t="n">
        <v>0</v>
      </c>
      <c r="R465" s="2" t="inlineStr"/>
    </row>
    <row r="466" ht="15" customHeight="1">
      <c r="A466" t="inlineStr">
        <is>
          <t>A 49257-2024</t>
        </is>
      </c>
      <c r="B466" s="1" t="n">
        <v>45595.47627314815</v>
      </c>
      <c r="C466" s="1" t="n">
        <v>45923</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47762-2023</t>
        </is>
      </c>
      <c r="B467" s="1" t="n">
        <v>45203.86256944444</v>
      </c>
      <c r="C467" s="1" t="n">
        <v>45923</v>
      </c>
      <c r="D467" t="inlineStr">
        <is>
          <t>GOTLANDS LÄN</t>
        </is>
      </c>
      <c r="E467" t="inlineStr">
        <is>
          <t>GOTLAND</t>
        </is>
      </c>
      <c r="G467" t="n">
        <v>1.3</v>
      </c>
      <c r="H467" t="n">
        <v>0</v>
      </c>
      <c r="I467" t="n">
        <v>0</v>
      </c>
      <c r="J467" t="n">
        <v>0</v>
      </c>
      <c r="K467" t="n">
        <v>0</v>
      </c>
      <c r="L467" t="n">
        <v>0</v>
      </c>
      <c r="M467" t="n">
        <v>0</v>
      </c>
      <c r="N467" t="n">
        <v>0</v>
      </c>
      <c r="O467" t="n">
        <v>0</v>
      </c>
      <c r="P467" t="n">
        <v>0</v>
      </c>
      <c r="Q467" t="n">
        <v>0</v>
      </c>
      <c r="R467" s="2" t="inlineStr"/>
    </row>
    <row r="468" ht="15" customHeight="1">
      <c r="A468" t="inlineStr">
        <is>
          <t>A 37202-2024</t>
        </is>
      </c>
      <c r="B468" s="1" t="n">
        <v>45539.67310185185</v>
      </c>
      <c r="C468" s="1" t="n">
        <v>45923</v>
      </c>
      <c r="D468" t="inlineStr">
        <is>
          <t>GOTLANDS LÄN</t>
        </is>
      </c>
      <c r="E468" t="inlineStr">
        <is>
          <t>GOTLAND</t>
        </is>
      </c>
      <c r="G468" t="n">
        <v>0.3</v>
      </c>
      <c r="H468" t="n">
        <v>0</v>
      </c>
      <c r="I468" t="n">
        <v>0</v>
      </c>
      <c r="J468" t="n">
        <v>0</v>
      </c>
      <c r="K468" t="n">
        <v>0</v>
      </c>
      <c r="L468" t="n">
        <v>0</v>
      </c>
      <c r="M468" t="n">
        <v>0</v>
      </c>
      <c r="N468" t="n">
        <v>0</v>
      </c>
      <c r="O468" t="n">
        <v>0</v>
      </c>
      <c r="P468" t="n">
        <v>0</v>
      </c>
      <c r="Q468" t="n">
        <v>0</v>
      </c>
      <c r="R468" s="2" t="inlineStr"/>
    </row>
    <row r="469" ht="15" customHeight="1">
      <c r="A469" t="inlineStr">
        <is>
          <t>A 46545-2024</t>
        </is>
      </c>
      <c r="B469" s="1" t="n">
        <v>45582.65831018519</v>
      </c>
      <c r="C469" s="1" t="n">
        <v>45923</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56115-2023</t>
        </is>
      </c>
      <c r="B470" s="1" t="n">
        <v>45236</v>
      </c>
      <c r="C470" s="1" t="n">
        <v>45923</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60086-2022</t>
        </is>
      </c>
      <c r="B471" s="1" t="n">
        <v>44909</v>
      </c>
      <c r="C471" s="1" t="n">
        <v>45923</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28480-2023</t>
        </is>
      </c>
      <c r="B472" s="1" t="n">
        <v>45103</v>
      </c>
      <c r="C472" s="1" t="n">
        <v>45923</v>
      </c>
      <c r="D472" t="inlineStr">
        <is>
          <t>GOTLANDS LÄN</t>
        </is>
      </c>
      <c r="E472" t="inlineStr">
        <is>
          <t>GOTLAND</t>
        </is>
      </c>
      <c r="G472" t="n">
        <v>5.7</v>
      </c>
      <c r="H472" t="n">
        <v>0</v>
      </c>
      <c r="I472" t="n">
        <v>0</v>
      </c>
      <c r="J472" t="n">
        <v>0</v>
      </c>
      <c r="K472" t="n">
        <v>0</v>
      </c>
      <c r="L472" t="n">
        <v>0</v>
      </c>
      <c r="M472" t="n">
        <v>0</v>
      </c>
      <c r="N472" t="n">
        <v>0</v>
      </c>
      <c r="O472" t="n">
        <v>0</v>
      </c>
      <c r="P472" t="n">
        <v>0</v>
      </c>
      <c r="Q472" t="n">
        <v>0</v>
      </c>
      <c r="R472" s="2" t="inlineStr"/>
    </row>
    <row r="473" ht="15" customHeight="1">
      <c r="A473" t="inlineStr">
        <is>
          <t>A 28485-2023</t>
        </is>
      </c>
      <c r="B473" s="1" t="n">
        <v>45103.43731481482</v>
      </c>
      <c r="C473" s="1" t="n">
        <v>45923</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62915-2021</t>
        </is>
      </c>
      <c r="B474" s="1" t="n">
        <v>44504</v>
      </c>
      <c r="C474" s="1" t="n">
        <v>45923</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44949-2023</t>
        </is>
      </c>
      <c r="B475" s="1" t="n">
        <v>45190.69520833333</v>
      </c>
      <c r="C475" s="1" t="n">
        <v>45923</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37222-2021</t>
        </is>
      </c>
      <c r="B476" s="1" t="n">
        <v>44396</v>
      </c>
      <c r="C476" s="1" t="n">
        <v>45923</v>
      </c>
      <c r="D476" t="inlineStr">
        <is>
          <t>GOTLANDS LÄN</t>
        </is>
      </c>
      <c r="E476" t="inlineStr">
        <is>
          <t>GOTLAND</t>
        </is>
      </c>
      <c r="G476" t="n">
        <v>3</v>
      </c>
      <c r="H476" t="n">
        <v>0</v>
      </c>
      <c r="I476" t="n">
        <v>0</v>
      </c>
      <c r="J476" t="n">
        <v>0</v>
      </c>
      <c r="K476" t="n">
        <v>0</v>
      </c>
      <c r="L476" t="n">
        <v>0</v>
      </c>
      <c r="M476" t="n">
        <v>0</v>
      </c>
      <c r="N476" t="n">
        <v>0</v>
      </c>
      <c r="O476" t="n">
        <v>0</v>
      </c>
      <c r="P476" t="n">
        <v>0</v>
      </c>
      <c r="Q476" t="n">
        <v>0</v>
      </c>
      <c r="R476" s="2" t="inlineStr"/>
    </row>
    <row r="477" ht="15" customHeight="1">
      <c r="A477" t="inlineStr">
        <is>
          <t>A 2774-2024</t>
        </is>
      </c>
      <c r="B477" s="1" t="n">
        <v>45314.62375</v>
      </c>
      <c r="C477" s="1" t="n">
        <v>45923</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60709-2023</t>
        </is>
      </c>
      <c r="B478" s="1" t="n">
        <v>45260</v>
      </c>
      <c r="C478" s="1" t="n">
        <v>45923</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3964-2024</t>
        </is>
      </c>
      <c r="B479" s="1" t="n">
        <v>45322</v>
      </c>
      <c r="C479" s="1" t="n">
        <v>45923</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45084-2024</t>
        </is>
      </c>
      <c r="B480" s="1" t="n">
        <v>45575</v>
      </c>
      <c r="C480" s="1" t="n">
        <v>45923</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45923</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39764-2022</t>
        </is>
      </c>
      <c r="B482" s="1" t="n">
        <v>44819</v>
      </c>
      <c r="C482" s="1" t="n">
        <v>45923</v>
      </c>
      <c r="D482" t="inlineStr">
        <is>
          <t>GOTLANDS LÄN</t>
        </is>
      </c>
      <c r="E482" t="inlineStr">
        <is>
          <t>GOTLAND</t>
        </is>
      </c>
      <c r="F482" t="inlineStr">
        <is>
          <t>Kyrkan</t>
        </is>
      </c>
      <c r="G482" t="n">
        <v>3.7</v>
      </c>
      <c r="H482" t="n">
        <v>0</v>
      </c>
      <c r="I482" t="n">
        <v>0</v>
      </c>
      <c r="J482" t="n">
        <v>0</v>
      </c>
      <c r="K482" t="n">
        <v>0</v>
      </c>
      <c r="L482" t="n">
        <v>0</v>
      </c>
      <c r="M482" t="n">
        <v>0</v>
      </c>
      <c r="N482" t="n">
        <v>0</v>
      </c>
      <c r="O482" t="n">
        <v>0</v>
      </c>
      <c r="P482" t="n">
        <v>0</v>
      </c>
      <c r="Q482" t="n">
        <v>0</v>
      </c>
      <c r="R482" s="2" t="inlineStr"/>
    </row>
    <row r="483" ht="15" customHeight="1">
      <c r="A483" t="inlineStr">
        <is>
          <t>A 58211-2024</t>
        </is>
      </c>
      <c r="B483" s="1" t="n">
        <v>45632.49292824074</v>
      </c>
      <c r="C483" s="1" t="n">
        <v>45923</v>
      </c>
      <c r="D483" t="inlineStr">
        <is>
          <t>GOTLANDS LÄN</t>
        </is>
      </c>
      <c r="E483" t="inlineStr">
        <is>
          <t>GOTLAND</t>
        </is>
      </c>
      <c r="G483" t="n">
        <v>5.4</v>
      </c>
      <c r="H483" t="n">
        <v>0</v>
      </c>
      <c r="I483" t="n">
        <v>0</v>
      </c>
      <c r="J483" t="n">
        <v>0</v>
      </c>
      <c r="K483" t="n">
        <v>0</v>
      </c>
      <c r="L483" t="n">
        <v>0</v>
      </c>
      <c r="M483" t="n">
        <v>0</v>
      </c>
      <c r="N483" t="n">
        <v>0</v>
      </c>
      <c r="O483" t="n">
        <v>0</v>
      </c>
      <c r="P483" t="n">
        <v>0</v>
      </c>
      <c r="Q483" t="n">
        <v>0</v>
      </c>
      <c r="R483" s="2" t="inlineStr"/>
    </row>
    <row r="484" ht="15" customHeight="1">
      <c r="A484" t="inlineStr">
        <is>
          <t>A 30956-2024</t>
        </is>
      </c>
      <c r="B484" s="1" t="n">
        <v>45499.42527777778</v>
      </c>
      <c r="C484" s="1" t="n">
        <v>45923</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30892-2024</t>
        </is>
      </c>
      <c r="B485" s="1" t="n">
        <v>45491</v>
      </c>
      <c r="C485" s="1" t="n">
        <v>45923</v>
      </c>
      <c r="D485" t="inlineStr">
        <is>
          <t>GOTLANDS LÄN</t>
        </is>
      </c>
      <c r="E485" t="inlineStr">
        <is>
          <t>GOTLAND</t>
        </is>
      </c>
      <c r="G485" t="n">
        <v>6.1</v>
      </c>
      <c r="H485" t="n">
        <v>0</v>
      </c>
      <c r="I485" t="n">
        <v>0</v>
      </c>
      <c r="J485" t="n">
        <v>0</v>
      </c>
      <c r="K485" t="n">
        <v>0</v>
      </c>
      <c r="L485" t="n">
        <v>0</v>
      </c>
      <c r="M485" t="n">
        <v>0</v>
      </c>
      <c r="N485" t="n">
        <v>0</v>
      </c>
      <c r="O485" t="n">
        <v>0</v>
      </c>
      <c r="P485" t="n">
        <v>0</v>
      </c>
      <c r="Q485" t="n">
        <v>0</v>
      </c>
      <c r="R485" s="2" t="inlineStr"/>
    </row>
    <row r="486" ht="15" customHeight="1">
      <c r="A486" t="inlineStr">
        <is>
          <t>A 14635-2023</t>
        </is>
      </c>
      <c r="B486" s="1" t="n">
        <v>45013.69365740741</v>
      </c>
      <c r="C486" s="1" t="n">
        <v>45923</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59469-2024</t>
        </is>
      </c>
      <c r="B487" s="1" t="n">
        <v>45638</v>
      </c>
      <c r="C487" s="1" t="n">
        <v>45923</v>
      </c>
      <c r="D487" t="inlineStr">
        <is>
          <t>GOTLANDS LÄN</t>
        </is>
      </c>
      <c r="E487" t="inlineStr">
        <is>
          <t>GOTLAND</t>
        </is>
      </c>
      <c r="G487" t="n">
        <v>0.4</v>
      </c>
      <c r="H487" t="n">
        <v>0</v>
      </c>
      <c r="I487" t="n">
        <v>0</v>
      </c>
      <c r="J487" t="n">
        <v>0</v>
      </c>
      <c r="K487" t="n">
        <v>0</v>
      </c>
      <c r="L487" t="n">
        <v>0</v>
      </c>
      <c r="M487" t="n">
        <v>0</v>
      </c>
      <c r="N487" t="n">
        <v>0</v>
      </c>
      <c r="O487" t="n">
        <v>0</v>
      </c>
      <c r="P487" t="n">
        <v>0</v>
      </c>
      <c r="Q487" t="n">
        <v>0</v>
      </c>
      <c r="R487" s="2" t="inlineStr"/>
    </row>
    <row r="488" ht="15" customHeight="1">
      <c r="A488" t="inlineStr">
        <is>
          <t>A 7858-2025</t>
        </is>
      </c>
      <c r="B488" s="1" t="n">
        <v>45706.68633101852</v>
      </c>
      <c r="C488" s="1" t="n">
        <v>45923</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14915-2025</t>
        </is>
      </c>
      <c r="B489" s="1" t="n">
        <v>45743.53121527778</v>
      </c>
      <c r="C489" s="1" t="n">
        <v>45923</v>
      </c>
      <c r="D489" t="inlineStr">
        <is>
          <t>GOTLANDS LÄN</t>
        </is>
      </c>
      <c r="E489" t="inlineStr">
        <is>
          <t>GOTLAND</t>
        </is>
      </c>
      <c r="G489" t="n">
        <v>5.9</v>
      </c>
      <c r="H489" t="n">
        <v>0</v>
      </c>
      <c r="I489" t="n">
        <v>0</v>
      </c>
      <c r="J489" t="n">
        <v>0</v>
      </c>
      <c r="K489" t="n">
        <v>0</v>
      </c>
      <c r="L489" t="n">
        <v>0</v>
      </c>
      <c r="M489" t="n">
        <v>0</v>
      </c>
      <c r="N489" t="n">
        <v>0</v>
      </c>
      <c r="O489" t="n">
        <v>0</v>
      </c>
      <c r="P489" t="n">
        <v>0</v>
      </c>
      <c r="Q489" t="n">
        <v>0</v>
      </c>
      <c r="R489" s="2" t="inlineStr"/>
    </row>
    <row r="490" ht="15" customHeight="1">
      <c r="A490" t="inlineStr">
        <is>
          <t>A 53935-2024</t>
        </is>
      </c>
      <c r="B490" s="1" t="n">
        <v>45615</v>
      </c>
      <c r="C490" s="1" t="n">
        <v>45923</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5217-2023</t>
        </is>
      </c>
      <c r="B491" s="1" t="n">
        <v>44959.39582175926</v>
      </c>
      <c r="C491" s="1" t="n">
        <v>45923</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18223-2025</t>
        </is>
      </c>
      <c r="B492" s="1" t="n">
        <v>45761</v>
      </c>
      <c r="C492" s="1" t="n">
        <v>45923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4420-2025</t>
        </is>
      </c>
      <c r="B493" s="1" t="n">
        <v>45686.47157407407</v>
      </c>
      <c r="C493" s="1" t="n">
        <v>45923</v>
      </c>
      <c r="D493" t="inlineStr">
        <is>
          <t>GOTLANDS LÄN</t>
        </is>
      </c>
      <c r="E493" t="inlineStr">
        <is>
          <t>GOTLAND</t>
        </is>
      </c>
      <c r="G493" t="n">
        <v>1.6</v>
      </c>
      <c r="H493" t="n">
        <v>0</v>
      </c>
      <c r="I493" t="n">
        <v>0</v>
      </c>
      <c r="J493" t="n">
        <v>0</v>
      </c>
      <c r="K493" t="n">
        <v>0</v>
      </c>
      <c r="L493" t="n">
        <v>0</v>
      </c>
      <c r="M493" t="n">
        <v>0</v>
      </c>
      <c r="N493" t="n">
        <v>0</v>
      </c>
      <c r="O493" t="n">
        <v>0</v>
      </c>
      <c r="P493" t="n">
        <v>0</v>
      </c>
      <c r="Q493" t="n">
        <v>0</v>
      </c>
      <c r="R493" s="2" t="inlineStr"/>
    </row>
    <row r="494" ht="15" customHeight="1">
      <c r="A494" t="inlineStr">
        <is>
          <t>A 1477-2024</t>
        </is>
      </c>
      <c r="B494" s="1" t="n">
        <v>45305.37987268518</v>
      </c>
      <c r="C494" s="1" t="n">
        <v>45923</v>
      </c>
      <c r="D494" t="inlineStr">
        <is>
          <t>GOTLANDS LÄN</t>
        </is>
      </c>
      <c r="E494" t="inlineStr">
        <is>
          <t>GOTLAND</t>
        </is>
      </c>
      <c r="G494" t="n">
        <v>6.9</v>
      </c>
      <c r="H494" t="n">
        <v>0</v>
      </c>
      <c r="I494" t="n">
        <v>0</v>
      </c>
      <c r="J494" t="n">
        <v>0</v>
      </c>
      <c r="K494" t="n">
        <v>0</v>
      </c>
      <c r="L494" t="n">
        <v>0</v>
      </c>
      <c r="M494" t="n">
        <v>0</v>
      </c>
      <c r="N494" t="n">
        <v>0</v>
      </c>
      <c r="O494" t="n">
        <v>0</v>
      </c>
      <c r="P494" t="n">
        <v>0</v>
      </c>
      <c r="Q494" t="n">
        <v>0</v>
      </c>
      <c r="R494" s="2" t="inlineStr"/>
    </row>
    <row r="495" ht="15" customHeight="1">
      <c r="A495" t="inlineStr">
        <is>
          <t>A 1677-2023</t>
        </is>
      </c>
      <c r="B495" s="1" t="n">
        <v>44938</v>
      </c>
      <c r="C495" s="1" t="n">
        <v>45923</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5891-2025</t>
        </is>
      </c>
      <c r="B496" s="1" t="n">
        <v>45695.38327546296</v>
      </c>
      <c r="C496" s="1" t="n">
        <v>45923</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45244-2024</t>
        </is>
      </c>
      <c r="B497" s="1" t="n">
        <v>45576</v>
      </c>
      <c r="C497" s="1" t="n">
        <v>45923</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7835-2024</t>
        </is>
      </c>
      <c r="B498" s="1" t="n">
        <v>45349.83138888889</v>
      </c>
      <c r="C498" s="1" t="n">
        <v>45923</v>
      </c>
      <c r="D498" t="inlineStr">
        <is>
          <t>GOTLANDS LÄN</t>
        </is>
      </c>
      <c r="E498" t="inlineStr">
        <is>
          <t>GOTLAND</t>
        </is>
      </c>
      <c r="G498" t="n">
        <v>3.8</v>
      </c>
      <c r="H498" t="n">
        <v>0</v>
      </c>
      <c r="I498" t="n">
        <v>0</v>
      </c>
      <c r="J498" t="n">
        <v>0</v>
      </c>
      <c r="K498" t="n">
        <v>0</v>
      </c>
      <c r="L498" t="n">
        <v>0</v>
      </c>
      <c r="M498" t="n">
        <v>0</v>
      </c>
      <c r="N498" t="n">
        <v>0</v>
      </c>
      <c r="O498" t="n">
        <v>0</v>
      </c>
      <c r="P498" t="n">
        <v>0</v>
      </c>
      <c r="Q498" t="n">
        <v>0</v>
      </c>
      <c r="R498" s="2" t="inlineStr"/>
    </row>
    <row r="499" ht="15" customHeight="1">
      <c r="A499" t="inlineStr">
        <is>
          <t>A 8260-2023</t>
        </is>
      </c>
      <c r="B499" s="1" t="n">
        <v>44974.61608796296</v>
      </c>
      <c r="C499" s="1" t="n">
        <v>45923</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64969-2023</t>
        </is>
      </c>
      <c r="B500" s="1" t="n">
        <v>45284.54009259259</v>
      </c>
      <c r="C500" s="1" t="n">
        <v>45923</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20794-2025</t>
        </is>
      </c>
      <c r="B501" s="1" t="n">
        <v>45776</v>
      </c>
      <c r="C501" s="1" t="n">
        <v>45923</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48843-2024</t>
        </is>
      </c>
      <c r="B502" s="1" t="n">
        <v>45593</v>
      </c>
      <c r="C502" s="1" t="n">
        <v>45923</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17541-2024</t>
        </is>
      </c>
      <c r="B503" s="1" t="n">
        <v>45415</v>
      </c>
      <c r="C503" s="1" t="n">
        <v>45923</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20805-2025</t>
        </is>
      </c>
      <c r="B504" s="1" t="n">
        <v>45776</v>
      </c>
      <c r="C504" s="1" t="n">
        <v>45923</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2241-2025</t>
        </is>
      </c>
      <c r="B505" s="1" t="n">
        <v>45673.48710648148</v>
      </c>
      <c r="C505" s="1" t="n">
        <v>45923</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21389-2025</t>
        </is>
      </c>
      <c r="B506" s="1" t="n">
        <v>45782</v>
      </c>
      <c r="C506" s="1" t="n">
        <v>45923</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15434-2024</t>
        </is>
      </c>
      <c r="B507" s="1" t="n">
        <v>45401.38836805556</v>
      </c>
      <c r="C507" s="1" t="n">
        <v>45923</v>
      </c>
      <c r="D507" t="inlineStr">
        <is>
          <t>GOTLANDS LÄN</t>
        </is>
      </c>
      <c r="E507" t="inlineStr">
        <is>
          <t>GOTLAND</t>
        </is>
      </c>
      <c r="G507" t="n">
        <v>2.5</v>
      </c>
      <c r="H507" t="n">
        <v>0</v>
      </c>
      <c r="I507" t="n">
        <v>0</v>
      </c>
      <c r="J507" t="n">
        <v>0</v>
      </c>
      <c r="K507" t="n">
        <v>0</v>
      </c>
      <c r="L507" t="n">
        <v>0</v>
      </c>
      <c r="M507" t="n">
        <v>0</v>
      </c>
      <c r="N507" t="n">
        <v>0</v>
      </c>
      <c r="O507" t="n">
        <v>0</v>
      </c>
      <c r="P507" t="n">
        <v>0</v>
      </c>
      <c r="Q507" t="n">
        <v>0</v>
      </c>
      <c r="R507" s="2" t="inlineStr"/>
    </row>
    <row r="508" ht="15" customHeight="1">
      <c r="A508" t="inlineStr">
        <is>
          <t>A 21651-2025</t>
        </is>
      </c>
      <c r="B508" s="1" t="n">
        <v>45783</v>
      </c>
      <c r="C508" s="1" t="n">
        <v>45923</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5943-2024</t>
        </is>
      </c>
      <c r="B509" s="1" t="n">
        <v>45336</v>
      </c>
      <c r="C509" s="1" t="n">
        <v>45923</v>
      </c>
      <c r="D509" t="inlineStr">
        <is>
          <t>GOTLANDS LÄN</t>
        </is>
      </c>
      <c r="E509" t="inlineStr">
        <is>
          <t>GOTLAND</t>
        </is>
      </c>
      <c r="G509" t="n">
        <v>4.3</v>
      </c>
      <c r="H509" t="n">
        <v>0</v>
      </c>
      <c r="I509" t="n">
        <v>0</v>
      </c>
      <c r="J509" t="n">
        <v>0</v>
      </c>
      <c r="K509" t="n">
        <v>0</v>
      </c>
      <c r="L509" t="n">
        <v>0</v>
      </c>
      <c r="M509" t="n">
        <v>0</v>
      </c>
      <c r="N509" t="n">
        <v>0</v>
      </c>
      <c r="O509" t="n">
        <v>0</v>
      </c>
      <c r="P509" t="n">
        <v>0</v>
      </c>
      <c r="Q509" t="n">
        <v>0</v>
      </c>
      <c r="R509" s="2" t="inlineStr"/>
    </row>
    <row r="510" ht="15" customHeight="1">
      <c r="A510" t="inlineStr">
        <is>
          <t>A 54073-2022</t>
        </is>
      </c>
      <c r="B510" s="1" t="n">
        <v>44881.50380787037</v>
      </c>
      <c r="C510" s="1" t="n">
        <v>45923</v>
      </c>
      <c r="D510" t="inlineStr">
        <is>
          <t>GOTLANDS LÄN</t>
        </is>
      </c>
      <c r="E510" t="inlineStr">
        <is>
          <t>GOTLAND</t>
        </is>
      </c>
      <c r="G510" t="n">
        <v>3.8</v>
      </c>
      <c r="H510" t="n">
        <v>0</v>
      </c>
      <c r="I510" t="n">
        <v>0</v>
      </c>
      <c r="J510" t="n">
        <v>0</v>
      </c>
      <c r="K510" t="n">
        <v>0</v>
      </c>
      <c r="L510" t="n">
        <v>0</v>
      </c>
      <c r="M510" t="n">
        <v>0</v>
      </c>
      <c r="N510" t="n">
        <v>0</v>
      </c>
      <c r="O510" t="n">
        <v>0</v>
      </c>
      <c r="P510" t="n">
        <v>0</v>
      </c>
      <c r="Q510" t="n">
        <v>0</v>
      </c>
      <c r="R510" s="2" t="inlineStr"/>
    </row>
    <row r="511" ht="15" customHeight="1">
      <c r="A511" t="inlineStr">
        <is>
          <t>A 16361-2024</t>
        </is>
      </c>
      <c r="B511" s="1" t="n">
        <v>45407</v>
      </c>
      <c r="C511" s="1" t="n">
        <v>45923</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41038-2023</t>
        </is>
      </c>
      <c r="B512" s="1" t="n">
        <v>45173.60959490741</v>
      </c>
      <c r="C512" s="1" t="n">
        <v>45923</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34142-2024</t>
        </is>
      </c>
      <c r="B513" s="1" t="n">
        <v>45524.36521990741</v>
      </c>
      <c r="C513" s="1" t="n">
        <v>45923</v>
      </c>
      <c r="D513" t="inlineStr">
        <is>
          <t>GOTLANDS LÄN</t>
        </is>
      </c>
      <c r="E513" t="inlineStr">
        <is>
          <t>GOTLAND</t>
        </is>
      </c>
      <c r="G513" t="n">
        <v>6</v>
      </c>
      <c r="H513" t="n">
        <v>0</v>
      </c>
      <c r="I513" t="n">
        <v>0</v>
      </c>
      <c r="J513" t="n">
        <v>0</v>
      </c>
      <c r="K513" t="n">
        <v>0</v>
      </c>
      <c r="L513" t="n">
        <v>0</v>
      </c>
      <c r="M513" t="n">
        <v>0</v>
      </c>
      <c r="N513" t="n">
        <v>0</v>
      </c>
      <c r="O513" t="n">
        <v>0</v>
      </c>
      <c r="P513" t="n">
        <v>0</v>
      </c>
      <c r="Q513" t="n">
        <v>0</v>
      </c>
      <c r="R513" s="2" t="inlineStr"/>
    </row>
    <row r="514" ht="15" customHeight="1">
      <c r="A514" t="inlineStr">
        <is>
          <t>A 14427-2024</t>
        </is>
      </c>
      <c r="B514" s="1" t="n">
        <v>45394</v>
      </c>
      <c r="C514" s="1" t="n">
        <v>45923</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31802-2024</t>
        </is>
      </c>
      <c r="B515" s="1" t="n">
        <v>45509</v>
      </c>
      <c r="C515" s="1" t="n">
        <v>45923</v>
      </c>
      <c r="D515" t="inlineStr">
        <is>
          <t>GOTLANDS LÄN</t>
        </is>
      </c>
      <c r="E515" t="inlineStr">
        <is>
          <t>GOTLAND</t>
        </is>
      </c>
      <c r="G515" t="n">
        <v>2.8</v>
      </c>
      <c r="H515" t="n">
        <v>0</v>
      </c>
      <c r="I515" t="n">
        <v>0</v>
      </c>
      <c r="J515" t="n">
        <v>0</v>
      </c>
      <c r="K515" t="n">
        <v>0</v>
      </c>
      <c r="L515" t="n">
        <v>0</v>
      </c>
      <c r="M515" t="n">
        <v>0</v>
      </c>
      <c r="N515" t="n">
        <v>0</v>
      </c>
      <c r="O515" t="n">
        <v>0</v>
      </c>
      <c r="P515" t="n">
        <v>0</v>
      </c>
      <c r="Q515" t="n">
        <v>0</v>
      </c>
      <c r="R515" s="2" t="inlineStr"/>
    </row>
    <row r="516" ht="15" customHeight="1">
      <c r="A516" t="inlineStr">
        <is>
          <t>A 8684-2025</t>
        </is>
      </c>
      <c r="B516" s="1" t="n">
        <v>45712.45605324074</v>
      </c>
      <c r="C516" s="1" t="n">
        <v>45923</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57356-2023</t>
        </is>
      </c>
      <c r="B517" s="1" t="n">
        <v>45240</v>
      </c>
      <c r="C517" s="1" t="n">
        <v>45923</v>
      </c>
      <c r="D517" t="inlineStr">
        <is>
          <t>GOTLANDS LÄN</t>
        </is>
      </c>
      <c r="E517" t="inlineStr">
        <is>
          <t>GOTLAND</t>
        </is>
      </c>
      <c r="G517" t="n">
        <v>6.4</v>
      </c>
      <c r="H517" t="n">
        <v>0</v>
      </c>
      <c r="I517" t="n">
        <v>0</v>
      </c>
      <c r="J517" t="n">
        <v>0</v>
      </c>
      <c r="K517" t="n">
        <v>0</v>
      </c>
      <c r="L517" t="n">
        <v>0</v>
      </c>
      <c r="M517" t="n">
        <v>0</v>
      </c>
      <c r="N517" t="n">
        <v>0</v>
      </c>
      <c r="O517" t="n">
        <v>0</v>
      </c>
      <c r="P517" t="n">
        <v>0</v>
      </c>
      <c r="Q517" t="n">
        <v>0</v>
      </c>
      <c r="R517" s="2" t="inlineStr"/>
    </row>
    <row r="518" ht="15" customHeight="1">
      <c r="A518" t="inlineStr">
        <is>
          <t>A 10656-2024</t>
        </is>
      </c>
      <c r="B518" s="1" t="n">
        <v>45368</v>
      </c>
      <c r="C518" s="1" t="n">
        <v>45923</v>
      </c>
      <c r="D518" t="inlineStr">
        <is>
          <t>GOTLANDS LÄN</t>
        </is>
      </c>
      <c r="E518" t="inlineStr">
        <is>
          <t>GOTLAND</t>
        </is>
      </c>
      <c r="G518" t="n">
        <v>1.5</v>
      </c>
      <c r="H518" t="n">
        <v>0</v>
      </c>
      <c r="I518" t="n">
        <v>0</v>
      </c>
      <c r="J518" t="n">
        <v>0</v>
      </c>
      <c r="K518" t="n">
        <v>0</v>
      </c>
      <c r="L518" t="n">
        <v>0</v>
      </c>
      <c r="M518" t="n">
        <v>0</v>
      </c>
      <c r="N518" t="n">
        <v>0</v>
      </c>
      <c r="O518" t="n">
        <v>0</v>
      </c>
      <c r="P518" t="n">
        <v>0</v>
      </c>
      <c r="Q518" t="n">
        <v>0</v>
      </c>
      <c r="R518" s="2" t="inlineStr"/>
    </row>
    <row r="519" ht="15" customHeight="1">
      <c r="A519" t="inlineStr">
        <is>
          <t>A 8036-2022</t>
        </is>
      </c>
      <c r="B519" s="1" t="n">
        <v>44609.44362268518</v>
      </c>
      <c r="C519" s="1" t="n">
        <v>45923</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12846-2025</t>
        </is>
      </c>
      <c r="B520" s="1" t="n">
        <v>45733.65049768519</v>
      </c>
      <c r="C520" s="1" t="n">
        <v>45923</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28506-2023</t>
        </is>
      </c>
      <c r="B521" s="1" t="n">
        <v>45103</v>
      </c>
      <c r="C521" s="1" t="n">
        <v>45923</v>
      </c>
      <c r="D521" t="inlineStr">
        <is>
          <t>GOTLANDS LÄN</t>
        </is>
      </c>
      <c r="E521" t="inlineStr">
        <is>
          <t>GOTLAND</t>
        </is>
      </c>
      <c r="G521" t="n">
        <v>3.2</v>
      </c>
      <c r="H521" t="n">
        <v>0</v>
      </c>
      <c r="I521" t="n">
        <v>0</v>
      </c>
      <c r="J521" t="n">
        <v>0</v>
      </c>
      <c r="K521" t="n">
        <v>0</v>
      </c>
      <c r="L521" t="n">
        <v>0</v>
      </c>
      <c r="M521" t="n">
        <v>0</v>
      </c>
      <c r="N521" t="n">
        <v>0</v>
      </c>
      <c r="O521" t="n">
        <v>0</v>
      </c>
      <c r="P521" t="n">
        <v>0</v>
      </c>
      <c r="Q521" t="n">
        <v>0</v>
      </c>
      <c r="R521" s="2" t="inlineStr"/>
    </row>
    <row r="522" ht="15" customHeight="1">
      <c r="A522" t="inlineStr">
        <is>
          <t>A 21420-2024</t>
        </is>
      </c>
      <c r="B522" s="1" t="n">
        <v>45441.38293981482</v>
      </c>
      <c r="C522" s="1" t="n">
        <v>45923</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46949-2024</t>
        </is>
      </c>
      <c r="B523" s="1" t="n">
        <v>45585</v>
      </c>
      <c r="C523" s="1" t="n">
        <v>45923</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23188-2025</t>
        </is>
      </c>
      <c r="B524" s="1" t="n">
        <v>45791</v>
      </c>
      <c r="C524" s="1" t="n">
        <v>45923</v>
      </c>
      <c r="D524" t="inlineStr">
        <is>
          <t>GOTLANDS LÄN</t>
        </is>
      </c>
      <c r="E524" t="inlineStr">
        <is>
          <t>GOTLAND</t>
        </is>
      </c>
      <c r="G524" t="n">
        <v>6.2</v>
      </c>
      <c r="H524" t="n">
        <v>0</v>
      </c>
      <c r="I524" t="n">
        <v>0</v>
      </c>
      <c r="J524" t="n">
        <v>0</v>
      </c>
      <c r="K524" t="n">
        <v>0</v>
      </c>
      <c r="L524" t="n">
        <v>0</v>
      </c>
      <c r="M524" t="n">
        <v>0</v>
      </c>
      <c r="N524" t="n">
        <v>0</v>
      </c>
      <c r="O524" t="n">
        <v>0</v>
      </c>
      <c r="P524" t="n">
        <v>0</v>
      </c>
      <c r="Q524" t="n">
        <v>0</v>
      </c>
      <c r="R524" s="2" t="inlineStr"/>
    </row>
    <row r="525" ht="15" customHeight="1">
      <c r="A525" t="inlineStr">
        <is>
          <t>A 10650-2022</t>
        </is>
      </c>
      <c r="B525" s="1" t="n">
        <v>44624.57945601852</v>
      </c>
      <c r="C525" s="1" t="n">
        <v>45923</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23473-2025</t>
        </is>
      </c>
      <c r="B526" s="1" t="n">
        <v>45792</v>
      </c>
      <c r="C526" s="1" t="n">
        <v>45923</v>
      </c>
      <c r="D526" t="inlineStr">
        <is>
          <t>GOTLANDS LÄN</t>
        </is>
      </c>
      <c r="E526" t="inlineStr">
        <is>
          <t>GOTLAND</t>
        </is>
      </c>
      <c r="G526" t="n">
        <v>3.6</v>
      </c>
      <c r="H526" t="n">
        <v>0</v>
      </c>
      <c r="I526" t="n">
        <v>0</v>
      </c>
      <c r="J526" t="n">
        <v>0</v>
      </c>
      <c r="K526" t="n">
        <v>0</v>
      </c>
      <c r="L526" t="n">
        <v>0</v>
      </c>
      <c r="M526" t="n">
        <v>0</v>
      </c>
      <c r="N526" t="n">
        <v>0</v>
      </c>
      <c r="O526" t="n">
        <v>0</v>
      </c>
      <c r="P526" t="n">
        <v>0</v>
      </c>
      <c r="Q526" t="n">
        <v>0</v>
      </c>
      <c r="R526" s="2" t="inlineStr"/>
    </row>
    <row r="527" ht="15" customHeight="1">
      <c r="A527" t="inlineStr">
        <is>
          <t>A 23856-2025</t>
        </is>
      </c>
      <c r="B527" s="1" t="n">
        <v>45793</v>
      </c>
      <c r="C527" s="1" t="n">
        <v>45923</v>
      </c>
      <c r="D527" t="inlineStr">
        <is>
          <t>GOTLANDS LÄN</t>
        </is>
      </c>
      <c r="E527" t="inlineStr">
        <is>
          <t>GOTLAND</t>
        </is>
      </c>
      <c r="G527" t="n">
        <v>4.4</v>
      </c>
      <c r="H527" t="n">
        <v>0</v>
      </c>
      <c r="I527" t="n">
        <v>0</v>
      </c>
      <c r="J527" t="n">
        <v>0</v>
      </c>
      <c r="K527" t="n">
        <v>0</v>
      </c>
      <c r="L527" t="n">
        <v>0</v>
      </c>
      <c r="M527" t="n">
        <v>0</v>
      </c>
      <c r="N527" t="n">
        <v>0</v>
      </c>
      <c r="O527" t="n">
        <v>0</v>
      </c>
      <c r="P527" t="n">
        <v>0</v>
      </c>
      <c r="Q527" t="n">
        <v>0</v>
      </c>
      <c r="R527" s="2" t="inlineStr"/>
    </row>
    <row r="528" ht="15" customHeight="1">
      <c r="A528" t="inlineStr">
        <is>
          <t>A 23700-2025</t>
        </is>
      </c>
      <c r="B528" s="1" t="n">
        <v>45793</v>
      </c>
      <c r="C528" s="1" t="n">
        <v>45923</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15073-2025</t>
        </is>
      </c>
      <c r="B529" s="1" t="n">
        <v>45743</v>
      </c>
      <c r="C529" s="1" t="n">
        <v>45923</v>
      </c>
      <c r="D529" t="inlineStr">
        <is>
          <t>GOTLANDS LÄN</t>
        </is>
      </c>
      <c r="E529" t="inlineStr">
        <is>
          <t>GOTLAND</t>
        </is>
      </c>
      <c r="G529" t="n">
        <v>12.1</v>
      </c>
      <c r="H529" t="n">
        <v>0</v>
      </c>
      <c r="I529" t="n">
        <v>0</v>
      </c>
      <c r="J529" t="n">
        <v>0</v>
      </c>
      <c r="K529" t="n">
        <v>0</v>
      </c>
      <c r="L529" t="n">
        <v>0</v>
      </c>
      <c r="M529" t="n">
        <v>0</v>
      </c>
      <c r="N529" t="n">
        <v>0</v>
      </c>
      <c r="O529" t="n">
        <v>0</v>
      </c>
      <c r="P529" t="n">
        <v>0</v>
      </c>
      <c r="Q529" t="n">
        <v>0</v>
      </c>
      <c r="R529" s="2" t="inlineStr"/>
    </row>
    <row r="530" ht="15" customHeight="1">
      <c r="A530" t="inlineStr">
        <is>
          <t>A 11634-2024</t>
        </is>
      </c>
      <c r="B530" s="1" t="n">
        <v>45373</v>
      </c>
      <c r="C530" s="1" t="n">
        <v>45923</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1351-2025</t>
        </is>
      </c>
      <c r="B531" s="1" t="n">
        <v>45667.62246527777</v>
      </c>
      <c r="C531" s="1" t="n">
        <v>45923</v>
      </c>
      <c r="D531" t="inlineStr">
        <is>
          <t>GOTLANDS LÄN</t>
        </is>
      </c>
      <c r="E531" t="inlineStr">
        <is>
          <t>GOTLAND</t>
        </is>
      </c>
      <c r="G531" t="n">
        <v>1.3</v>
      </c>
      <c r="H531" t="n">
        <v>0</v>
      </c>
      <c r="I531" t="n">
        <v>0</v>
      </c>
      <c r="J531" t="n">
        <v>0</v>
      </c>
      <c r="K531" t="n">
        <v>0</v>
      </c>
      <c r="L531" t="n">
        <v>0</v>
      </c>
      <c r="M531" t="n">
        <v>0</v>
      </c>
      <c r="N531" t="n">
        <v>0</v>
      </c>
      <c r="O531" t="n">
        <v>0</v>
      </c>
      <c r="P531" t="n">
        <v>0</v>
      </c>
      <c r="Q531" t="n">
        <v>0</v>
      </c>
      <c r="R531" s="2" t="inlineStr"/>
    </row>
    <row r="532" ht="15" customHeight="1">
      <c r="A532" t="inlineStr">
        <is>
          <t>A 39496-2022</t>
        </is>
      </c>
      <c r="B532" s="1" t="n">
        <v>44818</v>
      </c>
      <c r="C532" s="1" t="n">
        <v>45923</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6749-2025</t>
        </is>
      </c>
      <c r="B533" s="1" t="n">
        <v>45700</v>
      </c>
      <c r="C533" s="1" t="n">
        <v>45923</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15075-2025</t>
        </is>
      </c>
      <c r="B534" s="1" t="n">
        <v>45743</v>
      </c>
      <c r="C534" s="1" t="n">
        <v>45923</v>
      </c>
      <c r="D534" t="inlineStr">
        <is>
          <t>GOTLANDS LÄN</t>
        </is>
      </c>
      <c r="E534" t="inlineStr">
        <is>
          <t>GOTLAND</t>
        </is>
      </c>
      <c r="G534" t="n">
        <v>20.9</v>
      </c>
      <c r="H534" t="n">
        <v>0</v>
      </c>
      <c r="I534" t="n">
        <v>0</v>
      </c>
      <c r="J534" t="n">
        <v>0</v>
      </c>
      <c r="K534" t="n">
        <v>0</v>
      </c>
      <c r="L534" t="n">
        <v>0</v>
      </c>
      <c r="M534" t="n">
        <v>0</v>
      </c>
      <c r="N534" t="n">
        <v>0</v>
      </c>
      <c r="O534" t="n">
        <v>0</v>
      </c>
      <c r="P534" t="n">
        <v>0</v>
      </c>
      <c r="Q534" t="n">
        <v>0</v>
      </c>
      <c r="R534" s="2" t="inlineStr"/>
    </row>
    <row r="535" ht="15" customHeight="1">
      <c r="A535" t="inlineStr">
        <is>
          <t>A 49874-2024</t>
        </is>
      </c>
      <c r="B535" s="1" t="n">
        <v>45597.49274305555</v>
      </c>
      <c r="C535" s="1" t="n">
        <v>45923</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23698-2025</t>
        </is>
      </c>
      <c r="B536" s="1" t="n">
        <v>45793</v>
      </c>
      <c r="C536" s="1" t="n">
        <v>45923</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42201-2023</t>
        </is>
      </c>
      <c r="B537" s="1" t="n">
        <v>45179</v>
      </c>
      <c r="C537" s="1" t="n">
        <v>45923</v>
      </c>
      <c r="D537" t="inlineStr">
        <is>
          <t>GOTLANDS LÄN</t>
        </is>
      </c>
      <c r="E537" t="inlineStr">
        <is>
          <t>GOTLAND</t>
        </is>
      </c>
      <c r="G537" t="n">
        <v>11.9</v>
      </c>
      <c r="H537" t="n">
        <v>0</v>
      </c>
      <c r="I537" t="n">
        <v>0</v>
      </c>
      <c r="J537" t="n">
        <v>0</v>
      </c>
      <c r="K537" t="n">
        <v>0</v>
      </c>
      <c r="L537" t="n">
        <v>0</v>
      </c>
      <c r="M537" t="n">
        <v>0</v>
      </c>
      <c r="N537" t="n">
        <v>0</v>
      </c>
      <c r="O537" t="n">
        <v>0</v>
      </c>
      <c r="P537" t="n">
        <v>0</v>
      </c>
      <c r="Q537" t="n">
        <v>0</v>
      </c>
      <c r="R537" s="2" t="inlineStr"/>
    </row>
    <row r="538" ht="15" customHeight="1">
      <c r="A538" t="inlineStr">
        <is>
          <t>A 46400-2023</t>
        </is>
      </c>
      <c r="B538" s="1" t="n">
        <v>45197.49290509259</v>
      </c>
      <c r="C538" s="1" t="n">
        <v>45923</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9875-2025</t>
        </is>
      </c>
      <c r="B539" s="1" t="n">
        <v>45716</v>
      </c>
      <c r="C539" s="1" t="n">
        <v>45923</v>
      </c>
      <c r="D539" t="inlineStr">
        <is>
          <t>GOTLANDS LÄN</t>
        </is>
      </c>
      <c r="E539" t="inlineStr">
        <is>
          <t>GOTLAND</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19002-2025</t>
        </is>
      </c>
      <c r="B540" s="1" t="n">
        <v>45764</v>
      </c>
      <c r="C540" s="1" t="n">
        <v>45923</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21164-2024</t>
        </is>
      </c>
      <c r="B541" s="1" t="n">
        <v>45440</v>
      </c>
      <c r="C541" s="1" t="n">
        <v>45923</v>
      </c>
      <c r="D541" t="inlineStr">
        <is>
          <t>GOTLANDS LÄN</t>
        </is>
      </c>
      <c r="E541" t="inlineStr">
        <is>
          <t>GOTLAND</t>
        </is>
      </c>
      <c r="G541" t="n">
        <v>6.3</v>
      </c>
      <c r="H541" t="n">
        <v>0</v>
      </c>
      <c r="I541" t="n">
        <v>0</v>
      </c>
      <c r="J541" t="n">
        <v>0</v>
      </c>
      <c r="K541" t="n">
        <v>0</v>
      </c>
      <c r="L541" t="n">
        <v>0</v>
      </c>
      <c r="M541" t="n">
        <v>0</v>
      </c>
      <c r="N541" t="n">
        <v>0</v>
      </c>
      <c r="O541" t="n">
        <v>0</v>
      </c>
      <c r="P541" t="n">
        <v>0</v>
      </c>
      <c r="Q541" t="n">
        <v>0</v>
      </c>
      <c r="R541" s="2" t="inlineStr"/>
    </row>
    <row r="542" ht="15" customHeight="1">
      <c r="A542" t="inlineStr">
        <is>
          <t>A 8045-2022</t>
        </is>
      </c>
      <c r="B542" s="1" t="n">
        <v>44609</v>
      </c>
      <c r="C542" s="1" t="n">
        <v>45923</v>
      </c>
      <c r="D542" t="inlineStr">
        <is>
          <t>GOTLANDS LÄN</t>
        </is>
      </c>
      <c r="E542" t="inlineStr">
        <is>
          <t>GOTLAND</t>
        </is>
      </c>
      <c r="G542" t="n">
        <v>7</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45923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22897-2023</t>
        </is>
      </c>
      <c r="B544" s="1" t="n">
        <v>45072.55239583334</v>
      </c>
      <c r="C544" s="1" t="n">
        <v>45923</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61897-2024</t>
        </is>
      </c>
      <c r="B545" s="1" t="n">
        <v>45652.75685185185</v>
      </c>
      <c r="C545" s="1" t="n">
        <v>45923</v>
      </c>
      <c r="D545" t="inlineStr">
        <is>
          <t>GOTLANDS LÄN</t>
        </is>
      </c>
      <c r="E545" t="inlineStr">
        <is>
          <t>GOTLAND</t>
        </is>
      </c>
      <c r="G545" t="n">
        <v>6.4</v>
      </c>
      <c r="H545" t="n">
        <v>0</v>
      </c>
      <c r="I545" t="n">
        <v>0</v>
      </c>
      <c r="J545" t="n">
        <v>0</v>
      </c>
      <c r="K545" t="n">
        <v>0</v>
      </c>
      <c r="L545" t="n">
        <v>0</v>
      </c>
      <c r="M545" t="n">
        <v>0</v>
      </c>
      <c r="N545" t="n">
        <v>0</v>
      </c>
      <c r="O545" t="n">
        <v>0</v>
      </c>
      <c r="P545" t="n">
        <v>0</v>
      </c>
      <c r="Q545" t="n">
        <v>0</v>
      </c>
      <c r="R545" s="2" t="inlineStr"/>
    </row>
    <row r="546" ht="15" customHeight="1">
      <c r="A546" t="inlineStr">
        <is>
          <t>A 25796-2025</t>
        </is>
      </c>
      <c r="B546" s="1" t="n">
        <v>45804.39543981481</v>
      </c>
      <c r="C546" s="1" t="n">
        <v>45923</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49962-2023</t>
        </is>
      </c>
      <c r="B547" s="1" t="n">
        <v>45215.38775462963</v>
      </c>
      <c r="C547" s="1" t="n">
        <v>45923</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20165-2022</t>
        </is>
      </c>
      <c r="B548" s="1" t="n">
        <v>44698.49854166667</v>
      </c>
      <c r="C548" s="1" t="n">
        <v>45923</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26391-2025</t>
        </is>
      </c>
      <c r="B549" s="1" t="n">
        <v>45806</v>
      </c>
      <c r="C549" s="1" t="n">
        <v>45923</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40294-2022</t>
        </is>
      </c>
      <c r="B550" s="1" t="n">
        <v>44821</v>
      </c>
      <c r="C550" s="1" t="n">
        <v>45923</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12032-2025</t>
        </is>
      </c>
      <c r="B551" s="1" t="n">
        <v>45728.64472222222</v>
      </c>
      <c r="C551" s="1" t="n">
        <v>45923</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38787-2023</t>
        </is>
      </c>
      <c r="B552" s="1" t="n">
        <v>45163</v>
      </c>
      <c r="C552" s="1" t="n">
        <v>45923</v>
      </c>
      <c r="D552" t="inlineStr">
        <is>
          <t>GOTLANDS LÄN</t>
        </is>
      </c>
      <c r="E552" t="inlineStr">
        <is>
          <t>GOTLAND</t>
        </is>
      </c>
      <c r="G552" t="n">
        <v>0.4</v>
      </c>
      <c r="H552" t="n">
        <v>0</v>
      </c>
      <c r="I552" t="n">
        <v>0</v>
      </c>
      <c r="J552" t="n">
        <v>0</v>
      </c>
      <c r="K552" t="n">
        <v>0</v>
      </c>
      <c r="L552" t="n">
        <v>0</v>
      </c>
      <c r="M552" t="n">
        <v>0</v>
      </c>
      <c r="N552" t="n">
        <v>0</v>
      </c>
      <c r="O552" t="n">
        <v>0</v>
      </c>
      <c r="P552" t="n">
        <v>0</v>
      </c>
      <c r="Q552" t="n">
        <v>0</v>
      </c>
      <c r="R552" s="2" t="inlineStr"/>
    </row>
    <row r="553" ht="15" customHeight="1">
      <c r="A553" t="inlineStr">
        <is>
          <t>A 20307-2025</t>
        </is>
      </c>
      <c r="B553" s="1" t="n">
        <v>45774.95546296296</v>
      </c>
      <c r="C553" s="1" t="n">
        <v>45923</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43231-2023</t>
        </is>
      </c>
      <c r="B554" s="1" t="n">
        <v>45183.47025462963</v>
      </c>
      <c r="C554" s="1" t="n">
        <v>45923</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26457-2025</t>
        </is>
      </c>
      <c r="B555" s="1" t="n">
        <v>45807.42773148148</v>
      </c>
      <c r="C555" s="1" t="n">
        <v>45923</v>
      </c>
      <c r="D555" t="inlineStr">
        <is>
          <t>GOTLANDS LÄN</t>
        </is>
      </c>
      <c r="E555" t="inlineStr">
        <is>
          <t>GOTLAND</t>
        </is>
      </c>
      <c r="G555" t="n">
        <v>5.7</v>
      </c>
      <c r="H555" t="n">
        <v>0</v>
      </c>
      <c r="I555" t="n">
        <v>0</v>
      </c>
      <c r="J555" t="n">
        <v>0</v>
      </c>
      <c r="K555" t="n">
        <v>0</v>
      </c>
      <c r="L555" t="n">
        <v>0</v>
      </c>
      <c r="M555" t="n">
        <v>0</v>
      </c>
      <c r="N555" t="n">
        <v>0</v>
      </c>
      <c r="O555" t="n">
        <v>0</v>
      </c>
      <c r="P555" t="n">
        <v>0</v>
      </c>
      <c r="Q555" t="n">
        <v>0</v>
      </c>
      <c r="R555" s="2" t="inlineStr"/>
    </row>
    <row r="556" ht="15" customHeight="1">
      <c r="A556" t="inlineStr">
        <is>
          <t>A 26467-2025</t>
        </is>
      </c>
      <c r="B556" s="1" t="n">
        <v>45807.44640046296</v>
      </c>
      <c r="C556" s="1" t="n">
        <v>45923</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17532-2024</t>
        </is>
      </c>
      <c r="B557" s="1" t="n">
        <v>45415</v>
      </c>
      <c r="C557" s="1" t="n">
        <v>45923</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3935-2025</t>
        </is>
      </c>
      <c r="B558" s="1" t="n">
        <v>45684.46070601852</v>
      </c>
      <c r="C558" s="1" t="n">
        <v>45923</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26465-2025</t>
        </is>
      </c>
      <c r="B559" s="1" t="n">
        <v>45807.44377314814</v>
      </c>
      <c r="C559" s="1" t="n">
        <v>45923</v>
      </c>
      <c r="D559" t="inlineStr">
        <is>
          <t>GOTLANDS LÄN</t>
        </is>
      </c>
      <c r="E559" t="inlineStr">
        <is>
          <t>GOTLAND</t>
        </is>
      </c>
      <c r="G559" t="n">
        <v>4.5</v>
      </c>
      <c r="H559" t="n">
        <v>0</v>
      </c>
      <c r="I559" t="n">
        <v>0</v>
      </c>
      <c r="J559" t="n">
        <v>0</v>
      </c>
      <c r="K559" t="n">
        <v>0</v>
      </c>
      <c r="L559" t="n">
        <v>0</v>
      </c>
      <c r="M559" t="n">
        <v>0</v>
      </c>
      <c r="N559" t="n">
        <v>0</v>
      </c>
      <c r="O559" t="n">
        <v>0</v>
      </c>
      <c r="P559" t="n">
        <v>0</v>
      </c>
      <c r="Q559" t="n">
        <v>0</v>
      </c>
      <c r="R559" s="2" t="inlineStr"/>
    </row>
    <row r="560" ht="15" customHeight="1">
      <c r="A560" t="inlineStr">
        <is>
          <t>A 26660-2025</t>
        </is>
      </c>
      <c r="B560" s="1" t="n">
        <v>45810.39737268518</v>
      </c>
      <c r="C560" s="1" t="n">
        <v>45923</v>
      </c>
      <c r="D560" t="inlineStr">
        <is>
          <t>GOTLANDS LÄN</t>
        </is>
      </c>
      <c r="E560" t="inlineStr">
        <is>
          <t>GOTLAND</t>
        </is>
      </c>
      <c r="G560" t="n">
        <v>1.8</v>
      </c>
      <c r="H560" t="n">
        <v>0</v>
      </c>
      <c r="I560" t="n">
        <v>0</v>
      </c>
      <c r="J560" t="n">
        <v>0</v>
      </c>
      <c r="K560" t="n">
        <v>0</v>
      </c>
      <c r="L560" t="n">
        <v>0</v>
      </c>
      <c r="M560" t="n">
        <v>0</v>
      </c>
      <c r="N560" t="n">
        <v>0</v>
      </c>
      <c r="O560" t="n">
        <v>0</v>
      </c>
      <c r="P560" t="n">
        <v>0</v>
      </c>
      <c r="Q560" t="n">
        <v>0</v>
      </c>
      <c r="R560" s="2" t="inlineStr"/>
    </row>
    <row r="561" ht="15" customHeight="1">
      <c r="A561" t="inlineStr">
        <is>
          <t>A 20225-2025</t>
        </is>
      </c>
      <c r="B561" s="1" t="n">
        <v>45772.65802083333</v>
      </c>
      <c r="C561" s="1" t="n">
        <v>45923</v>
      </c>
      <c r="D561" t="inlineStr">
        <is>
          <t>GOTLANDS LÄN</t>
        </is>
      </c>
      <c r="E561" t="inlineStr">
        <is>
          <t>GOTLAND</t>
        </is>
      </c>
      <c r="G561" t="n">
        <v>1.1</v>
      </c>
      <c r="H561" t="n">
        <v>0</v>
      </c>
      <c r="I561" t="n">
        <v>0</v>
      </c>
      <c r="J561" t="n">
        <v>0</v>
      </c>
      <c r="K561" t="n">
        <v>0</v>
      </c>
      <c r="L561" t="n">
        <v>0</v>
      </c>
      <c r="M561" t="n">
        <v>0</v>
      </c>
      <c r="N561" t="n">
        <v>0</v>
      </c>
      <c r="O561" t="n">
        <v>0</v>
      </c>
      <c r="P561" t="n">
        <v>0</v>
      </c>
      <c r="Q561" t="n">
        <v>0</v>
      </c>
      <c r="R561" s="2" t="inlineStr"/>
    </row>
    <row r="562" ht="15" customHeight="1">
      <c r="A562" t="inlineStr">
        <is>
          <t>A 27348-2025</t>
        </is>
      </c>
      <c r="B562" s="1" t="n">
        <v>45812.62451388889</v>
      </c>
      <c r="C562" s="1" t="n">
        <v>45923</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883-2025</t>
        </is>
      </c>
      <c r="B563" s="1" t="n">
        <v>45665</v>
      </c>
      <c r="C563" s="1" t="n">
        <v>45923</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18938-2025</t>
        </is>
      </c>
      <c r="B564" s="1" t="n">
        <v>45764.49172453704</v>
      </c>
      <c r="C564" s="1" t="n">
        <v>45923</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27371-2025</t>
        </is>
      </c>
      <c r="B565" s="1" t="n">
        <v>45812</v>
      </c>
      <c r="C565" s="1" t="n">
        <v>45923</v>
      </c>
      <c r="D565" t="inlineStr">
        <is>
          <t>GOTLANDS LÄN</t>
        </is>
      </c>
      <c r="E565" t="inlineStr">
        <is>
          <t>GOTLAND</t>
        </is>
      </c>
      <c r="G565" t="n">
        <v>8</v>
      </c>
      <c r="H565" t="n">
        <v>0</v>
      </c>
      <c r="I565" t="n">
        <v>0</v>
      </c>
      <c r="J565" t="n">
        <v>0</v>
      </c>
      <c r="K565" t="n">
        <v>0</v>
      </c>
      <c r="L565" t="n">
        <v>0</v>
      </c>
      <c r="M565" t="n">
        <v>0</v>
      </c>
      <c r="N565" t="n">
        <v>0</v>
      </c>
      <c r="O565" t="n">
        <v>0</v>
      </c>
      <c r="P565" t="n">
        <v>0</v>
      </c>
      <c r="Q565" t="n">
        <v>0</v>
      </c>
      <c r="R565" s="2" t="inlineStr"/>
    </row>
    <row r="566" ht="15" customHeight="1">
      <c r="A566" t="inlineStr">
        <is>
          <t>A 27355-2025</t>
        </is>
      </c>
      <c r="B566" s="1" t="n">
        <v>45812</v>
      </c>
      <c r="C566" s="1" t="n">
        <v>45923</v>
      </c>
      <c r="D566" t="inlineStr">
        <is>
          <t>GOTLANDS LÄN</t>
        </is>
      </c>
      <c r="E566" t="inlineStr">
        <is>
          <t>GOTLAND</t>
        </is>
      </c>
      <c r="G566" t="n">
        <v>1.1</v>
      </c>
      <c r="H566" t="n">
        <v>0</v>
      </c>
      <c r="I566" t="n">
        <v>0</v>
      </c>
      <c r="J566" t="n">
        <v>0</v>
      </c>
      <c r="K566" t="n">
        <v>0</v>
      </c>
      <c r="L566" t="n">
        <v>0</v>
      </c>
      <c r="M566" t="n">
        <v>0</v>
      </c>
      <c r="N566" t="n">
        <v>0</v>
      </c>
      <c r="O566" t="n">
        <v>0</v>
      </c>
      <c r="P566" t="n">
        <v>0</v>
      </c>
      <c r="Q566" t="n">
        <v>0</v>
      </c>
      <c r="R566" s="2" t="inlineStr"/>
    </row>
    <row r="567" ht="15" customHeight="1">
      <c r="A567" t="inlineStr">
        <is>
          <t>A 6739-2025</t>
        </is>
      </c>
      <c r="B567" s="1" t="n">
        <v>45700</v>
      </c>
      <c r="C567" s="1" t="n">
        <v>45923</v>
      </c>
      <c r="D567" t="inlineStr">
        <is>
          <t>GOTLANDS LÄN</t>
        </is>
      </c>
      <c r="E567" t="inlineStr">
        <is>
          <t>GOTLAND</t>
        </is>
      </c>
      <c r="G567" t="n">
        <v>4.5</v>
      </c>
      <c r="H567" t="n">
        <v>0</v>
      </c>
      <c r="I567" t="n">
        <v>0</v>
      </c>
      <c r="J567" t="n">
        <v>0</v>
      </c>
      <c r="K567" t="n">
        <v>0</v>
      </c>
      <c r="L567" t="n">
        <v>0</v>
      </c>
      <c r="M567" t="n">
        <v>0</v>
      </c>
      <c r="N567" t="n">
        <v>0</v>
      </c>
      <c r="O567" t="n">
        <v>0</v>
      </c>
      <c r="P567" t="n">
        <v>0</v>
      </c>
      <c r="Q567" t="n">
        <v>0</v>
      </c>
      <c r="R567" s="2" t="inlineStr"/>
    </row>
    <row r="568" ht="15" customHeight="1">
      <c r="A568" t="inlineStr">
        <is>
          <t>A 7850-2025</t>
        </is>
      </c>
      <c r="B568" s="1" t="n">
        <v>45706</v>
      </c>
      <c r="C568" s="1" t="n">
        <v>45923</v>
      </c>
      <c r="D568" t="inlineStr">
        <is>
          <t>GOTLANDS LÄN</t>
        </is>
      </c>
      <c r="E568" t="inlineStr">
        <is>
          <t>GOTLAND</t>
        </is>
      </c>
      <c r="G568" t="n">
        <v>0.5</v>
      </c>
      <c r="H568" t="n">
        <v>0</v>
      </c>
      <c r="I568" t="n">
        <v>0</v>
      </c>
      <c r="J568" t="n">
        <v>0</v>
      </c>
      <c r="K568" t="n">
        <v>0</v>
      </c>
      <c r="L568" t="n">
        <v>0</v>
      </c>
      <c r="M568" t="n">
        <v>0</v>
      </c>
      <c r="N568" t="n">
        <v>0</v>
      </c>
      <c r="O568" t="n">
        <v>0</v>
      </c>
      <c r="P568" t="n">
        <v>0</v>
      </c>
      <c r="Q568" t="n">
        <v>0</v>
      </c>
      <c r="R568" s="2" t="inlineStr"/>
    </row>
    <row r="569" ht="15" customHeight="1">
      <c r="A569" t="inlineStr">
        <is>
          <t>A 1066-2024</t>
        </is>
      </c>
      <c r="B569" s="1" t="n">
        <v>45302.285</v>
      </c>
      <c r="C569" s="1" t="n">
        <v>45923</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8444-2025</t>
        </is>
      </c>
      <c r="B570" s="1" t="n">
        <v>45709</v>
      </c>
      <c r="C570" s="1" t="n">
        <v>45923</v>
      </c>
      <c r="D570" t="inlineStr">
        <is>
          <t>GOTLANDS LÄN</t>
        </is>
      </c>
      <c r="E570" t="inlineStr">
        <is>
          <t>GOTLAND</t>
        </is>
      </c>
      <c r="G570" t="n">
        <v>5.2</v>
      </c>
      <c r="H570" t="n">
        <v>0</v>
      </c>
      <c r="I570" t="n">
        <v>0</v>
      </c>
      <c r="J570" t="n">
        <v>0</v>
      </c>
      <c r="K570" t="n">
        <v>0</v>
      </c>
      <c r="L570" t="n">
        <v>0</v>
      </c>
      <c r="M570" t="n">
        <v>0</v>
      </c>
      <c r="N570" t="n">
        <v>0</v>
      </c>
      <c r="O570" t="n">
        <v>0</v>
      </c>
      <c r="P570" t="n">
        <v>0</v>
      </c>
      <c r="Q570" t="n">
        <v>0</v>
      </c>
      <c r="R570" s="2" t="inlineStr"/>
    </row>
    <row r="571" ht="15" customHeight="1">
      <c r="A571" t="inlineStr">
        <is>
          <t>A 17144-2025</t>
        </is>
      </c>
      <c r="B571" s="1" t="n">
        <v>45755.9499537037</v>
      </c>
      <c r="C571" s="1" t="n">
        <v>45923</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56009-2024</t>
        </is>
      </c>
      <c r="B572" s="1" t="n">
        <v>45623.80864583333</v>
      </c>
      <c r="C572" s="1" t="n">
        <v>45923</v>
      </c>
      <c r="D572" t="inlineStr">
        <is>
          <t>GOTLANDS LÄN</t>
        </is>
      </c>
      <c r="E572" t="inlineStr">
        <is>
          <t>GOTLAND</t>
        </is>
      </c>
      <c r="G572" t="n">
        <v>2.8</v>
      </c>
      <c r="H572" t="n">
        <v>0</v>
      </c>
      <c r="I572" t="n">
        <v>0</v>
      </c>
      <c r="J572" t="n">
        <v>0</v>
      </c>
      <c r="K572" t="n">
        <v>0</v>
      </c>
      <c r="L572" t="n">
        <v>0</v>
      </c>
      <c r="M572" t="n">
        <v>0</v>
      </c>
      <c r="N572" t="n">
        <v>0</v>
      </c>
      <c r="O572" t="n">
        <v>0</v>
      </c>
      <c r="P572" t="n">
        <v>0</v>
      </c>
      <c r="Q572" t="n">
        <v>0</v>
      </c>
      <c r="R572" s="2" t="inlineStr"/>
    </row>
    <row r="573" ht="15" customHeight="1">
      <c r="A573" t="inlineStr">
        <is>
          <t>A 42338-2023</t>
        </is>
      </c>
      <c r="B573" s="1" t="n">
        <v>45180</v>
      </c>
      <c r="C573" s="1" t="n">
        <v>45923</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19905-2025</t>
        </is>
      </c>
      <c r="B574" s="1" t="n">
        <v>45771</v>
      </c>
      <c r="C574" s="1" t="n">
        <v>45923</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29196-2025</t>
        </is>
      </c>
      <c r="B575" s="1" t="n">
        <v>45822</v>
      </c>
      <c r="C575" s="1" t="n">
        <v>45923</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29207-2025</t>
        </is>
      </c>
      <c r="B576" s="1" t="n">
        <v>45823</v>
      </c>
      <c r="C576" s="1" t="n">
        <v>45923</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45923</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61386-2023</t>
        </is>
      </c>
      <c r="B578" s="1" t="n">
        <v>45264</v>
      </c>
      <c r="C578" s="1" t="n">
        <v>45923</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30157-2025</t>
        </is>
      </c>
      <c r="B579" s="1" t="n">
        <v>45826</v>
      </c>
      <c r="C579" s="1" t="n">
        <v>45923</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873-2024</t>
        </is>
      </c>
      <c r="B580" s="1" t="n">
        <v>45301</v>
      </c>
      <c r="C580" s="1" t="n">
        <v>45923</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49411-2023</t>
        </is>
      </c>
      <c r="B581" s="1" t="n">
        <v>45205</v>
      </c>
      <c r="C581" s="1" t="n">
        <v>45923</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30061-2025</t>
        </is>
      </c>
      <c r="B582" s="1" t="n">
        <v>45826.61488425926</v>
      </c>
      <c r="C582" s="1" t="n">
        <v>45923</v>
      </c>
      <c r="D582" t="inlineStr">
        <is>
          <t>GOTLANDS LÄN</t>
        </is>
      </c>
      <c r="E582" t="inlineStr">
        <is>
          <t>GOTLAND</t>
        </is>
      </c>
      <c r="G582" t="n">
        <v>4.1</v>
      </c>
      <c r="H582" t="n">
        <v>0</v>
      </c>
      <c r="I582" t="n">
        <v>0</v>
      </c>
      <c r="J582" t="n">
        <v>0</v>
      </c>
      <c r="K582" t="n">
        <v>0</v>
      </c>
      <c r="L582" t="n">
        <v>0</v>
      </c>
      <c r="M582" t="n">
        <v>0</v>
      </c>
      <c r="N582" t="n">
        <v>0</v>
      </c>
      <c r="O582" t="n">
        <v>0</v>
      </c>
      <c r="P582" t="n">
        <v>0</v>
      </c>
      <c r="Q582" t="n">
        <v>0</v>
      </c>
      <c r="R582" s="2" t="inlineStr"/>
    </row>
    <row r="583" ht="15" customHeight="1">
      <c r="A583" t="inlineStr">
        <is>
          <t>A 22275-2023</t>
        </is>
      </c>
      <c r="B583" s="1" t="n">
        <v>45070.39875</v>
      </c>
      <c r="C583" s="1" t="n">
        <v>45923</v>
      </c>
      <c r="D583" t="inlineStr">
        <is>
          <t>GOTLANDS LÄN</t>
        </is>
      </c>
      <c r="E583" t="inlineStr">
        <is>
          <t>GOTLAND</t>
        </is>
      </c>
      <c r="G583" t="n">
        <v>7.2</v>
      </c>
      <c r="H583" t="n">
        <v>0</v>
      </c>
      <c r="I583" t="n">
        <v>0</v>
      </c>
      <c r="J583" t="n">
        <v>0</v>
      </c>
      <c r="K583" t="n">
        <v>0</v>
      </c>
      <c r="L583" t="n">
        <v>0</v>
      </c>
      <c r="M583" t="n">
        <v>0</v>
      </c>
      <c r="N583" t="n">
        <v>0</v>
      </c>
      <c r="O583" t="n">
        <v>0</v>
      </c>
      <c r="P583" t="n">
        <v>0</v>
      </c>
      <c r="Q583" t="n">
        <v>0</v>
      </c>
      <c r="R583" s="2" t="inlineStr"/>
    </row>
    <row r="584" ht="15" customHeight="1">
      <c r="A584" t="inlineStr">
        <is>
          <t>A 12322-2025</t>
        </is>
      </c>
      <c r="B584" s="1" t="n">
        <v>45730</v>
      </c>
      <c r="C584" s="1" t="n">
        <v>45923</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58160-2024</t>
        </is>
      </c>
      <c r="B585" s="1" t="n">
        <v>45632.44927083333</v>
      </c>
      <c r="C585" s="1" t="n">
        <v>45923</v>
      </c>
      <c r="D585" t="inlineStr">
        <is>
          <t>GOTLANDS LÄN</t>
        </is>
      </c>
      <c r="E585" t="inlineStr">
        <is>
          <t>GOTLAND</t>
        </is>
      </c>
      <c r="G585" t="n">
        <v>5.6</v>
      </c>
      <c r="H585" t="n">
        <v>0</v>
      </c>
      <c r="I585" t="n">
        <v>0</v>
      </c>
      <c r="J585" t="n">
        <v>0</v>
      </c>
      <c r="K585" t="n">
        <v>0</v>
      </c>
      <c r="L585" t="n">
        <v>0</v>
      </c>
      <c r="M585" t="n">
        <v>0</v>
      </c>
      <c r="N585" t="n">
        <v>0</v>
      </c>
      <c r="O585" t="n">
        <v>0</v>
      </c>
      <c r="P585" t="n">
        <v>0</v>
      </c>
      <c r="Q585" t="n">
        <v>0</v>
      </c>
      <c r="R585" s="2" t="inlineStr"/>
    </row>
    <row r="586" ht="15" customHeight="1">
      <c r="A586" t="inlineStr">
        <is>
          <t>A 14797-2024</t>
        </is>
      </c>
      <c r="B586" s="1" t="n">
        <v>45397.87030092593</v>
      </c>
      <c r="C586" s="1" t="n">
        <v>45923</v>
      </c>
      <c r="D586" t="inlineStr">
        <is>
          <t>GOTLANDS LÄN</t>
        </is>
      </c>
      <c r="E586" t="inlineStr">
        <is>
          <t>GOTLAND</t>
        </is>
      </c>
      <c r="G586" t="n">
        <v>8.1</v>
      </c>
      <c r="H586" t="n">
        <v>0</v>
      </c>
      <c r="I586" t="n">
        <v>0</v>
      </c>
      <c r="J586" t="n">
        <v>0</v>
      </c>
      <c r="K586" t="n">
        <v>0</v>
      </c>
      <c r="L586" t="n">
        <v>0</v>
      </c>
      <c r="M586" t="n">
        <v>0</v>
      </c>
      <c r="N586" t="n">
        <v>0</v>
      </c>
      <c r="O586" t="n">
        <v>0</v>
      </c>
      <c r="P586" t="n">
        <v>0</v>
      </c>
      <c r="Q586" t="n">
        <v>0</v>
      </c>
      <c r="R586" s="2" t="inlineStr"/>
    </row>
    <row r="587" ht="15" customHeight="1">
      <c r="A587" t="inlineStr">
        <is>
          <t>A 999-2024</t>
        </is>
      </c>
      <c r="B587" s="1" t="n">
        <v>45301</v>
      </c>
      <c r="C587" s="1" t="n">
        <v>45923</v>
      </c>
      <c r="D587" t="inlineStr">
        <is>
          <t>GOTLANDS LÄN</t>
        </is>
      </c>
      <c r="E587" t="inlineStr">
        <is>
          <t>GOTLAND</t>
        </is>
      </c>
      <c r="G587" t="n">
        <v>1</v>
      </c>
      <c r="H587" t="n">
        <v>0</v>
      </c>
      <c r="I587" t="n">
        <v>0</v>
      </c>
      <c r="J587" t="n">
        <v>0</v>
      </c>
      <c r="K587" t="n">
        <v>0</v>
      </c>
      <c r="L587" t="n">
        <v>0</v>
      </c>
      <c r="M587" t="n">
        <v>0</v>
      </c>
      <c r="N587" t="n">
        <v>0</v>
      </c>
      <c r="O587" t="n">
        <v>0</v>
      </c>
      <c r="P587" t="n">
        <v>0</v>
      </c>
      <c r="Q587" t="n">
        <v>0</v>
      </c>
      <c r="R587" s="2" t="inlineStr"/>
    </row>
    <row r="588" ht="15" customHeight="1">
      <c r="A588" t="inlineStr">
        <is>
          <t>A 61596-2023</t>
        </is>
      </c>
      <c r="B588" s="1" t="n">
        <v>45265</v>
      </c>
      <c r="C588" s="1" t="n">
        <v>45923</v>
      </c>
      <c r="D588" t="inlineStr">
        <is>
          <t>GOTLANDS LÄN</t>
        </is>
      </c>
      <c r="E588" t="inlineStr">
        <is>
          <t>GOTLAND</t>
        </is>
      </c>
      <c r="G588" t="n">
        <v>1.7</v>
      </c>
      <c r="H588" t="n">
        <v>0</v>
      </c>
      <c r="I588" t="n">
        <v>0</v>
      </c>
      <c r="J588" t="n">
        <v>0</v>
      </c>
      <c r="K588" t="n">
        <v>0</v>
      </c>
      <c r="L588" t="n">
        <v>0</v>
      </c>
      <c r="M588" t="n">
        <v>0</v>
      </c>
      <c r="N588" t="n">
        <v>0</v>
      </c>
      <c r="O588" t="n">
        <v>0</v>
      </c>
      <c r="P588" t="n">
        <v>0</v>
      </c>
      <c r="Q588" t="n">
        <v>0</v>
      </c>
      <c r="R588" s="2" t="inlineStr"/>
    </row>
    <row r="589" ht="15" customHeight="1">
      <c r="A589" t="inlineStr">
        <is>
          <t>A 14638-2025</t>
        </is>
      </c>
      <c r="B589" s="1" t="n">
        <v>45742</v>
      </c>
      <c r="C589" s="1" t="n">
        <v>45923</v>
      </c>
      <c r="D589" t="inlineStr">
        <is>
          <t>GOTLANDS LÄN</t>
        </is>
      </c>
      <c r="E589" t="inlineStr">
        <is>
          <t>GOTLAND</t>
        </is>
      </c>
      <c r="G589" t="n">
        <v>13.4</v>
      </c>
      <c r="H589" t="n">
        <v>0</v>
      </c>
      <c r="I589" t="n">
        <v>0</v>
      </c>
      <c r="J589" t="n">
        <v>0</v>
      </c>
      <c r="K589" t="n">
        <v>0</v>
      </c>
      <c r="L589" t="n">
        <v>0</v>
      </c>
      <c r="M589" t="n">
        <v>0</v>
      </c>
      <c r="N589" t="n">
        <v>0</v>
      </c>
      <c r="O589" t="n">
        <v>0</v>
      </c>
      <c r="P589" t="n">
        <v>0</v>
      </c>
      <c r="Q589" t="n">
        <v>0</v>
      </c>
      <c r="R589" s="2" t="inlineStr"/>
    </row>
    <row r="590" ht="15" customHeight="1">
      <c r="A590" t="inlineStr">
        <is>
          <t>A 60675-2021</t>
        </is>
      </c>
      <c r="B590" s="1" t="n">
        <v>44496.64855324074</v>
      </c>
      <c r="C590" s="1" t="n">
        <v>45923</v>
      </c>
      <c r="D590" t="inlineStr">
        <is>
          <t>GOTLANDS LÄN</t>
        </is>
      </c>
      <c r="E590" t="inlineStr">
        <is>
          <t>GOTLAND</t>
        </is>
      </c>
      <c r="G590" t="n">
        <v>4.6</v>
      </c>
      <c r="H590" t="n">
        <v>0</v>
      </c>
      <c r="I590" t="n">
        <v>0</v>
      </c>
      <c r="J590" t="n">
        <v>0</v>
      </c>
      <c r="K590" t="n">
        <v>0</v>
      </c>
      <c r="L590" t="n">
        <v>0</v>
      </c>
      <c r="M590" t="n">
        <v>0</v>
      </c>
      <c r="N590" t="n">
        <v>0</v>
      </c>
      <c r="O590" t="n">
        <v>0</v>
      </c>
      <c r="P590" t="n">
        <v>0</v>
      </c>
      <c r="Q590" t="n">
        <v>0</v>
      </c>
      <c r="R590" s="2" t="inlineStr"/>
    </row>
    <row r="591" ht="15" customHeight="1">
      <c r="A591" t="inlineStr">
        <is>
          <t>A 30489-2025</t>
        </is>
      </c>
      <c r="B591" s="1" t="n">
        <v>45830</v>
      </c>
      <c r="C591" s="1" t="n">
        <v>45923</v>
      </c>
      <c r="D591" t="inlineStr">
        <is>
          <t>GOTLANDS LÄN</t>
        </is>
      </c>
      <c r="E591" t="inlineStr">
        <is>
          <t>GOTLAND</t>
        </is>
      </c>
      <c r="G591" t="n">
        <v>4.6</v>
      </c>
      <c r="H591" t="n">
        <v>0</v>
      </c>
      <c r="I591" t="n">
        <v>0</v>
      </c>
      <c r="J591" t="n">
        <v>0</v>
      </c>
      <c r="K591" t="n">
        <v>0</v>
      </c>
      <c r="L591" t="n">
        <v>0</v>
      </c>
      <c r="M591" t="n">
        <v>0</v>
      </c>
      <c r="N591" t="n">
        <v>0</v>
      </c>
      <c r="O591" t="n">
        <v>0</v>
      </c>
      <c r="P591" t="n">
        <v>0</v>
      </c>
      <c r="Q591" t="n">
        <v>0</v>
      </c>
      <c r="R591" s="2" t="inlineStr"/>
    </row>
    <row r="592" ht="15" customHeight="1">
      <c r="A592" t="inlineStr">
        <is>
          <t>A 37728-2024</t>
        </is>
      </c>
      <c r="B592" s="1" t="n">
        <v>45541</v>
      </c>
      <c r="C592" s="1" t="n">
        <v>45923</v>
      </c>
      <c r="D592" t="inlineStr">
        <is>
          <t>GOTLANDS LÄN</t>
        </is>
      </c>
      <c r="E592" t="inlineStr">
        <is>
          <t>GOTLAND</t>
        </is>
      </c>
      <c r="G592" t="n">
        <v>0.4</v>
      </c>
      <c r="H592" t="n">
        <v>0</v>
      </c>
      <c r="I592" t="n">
        <v>0</v>
      </c>
      <c r="J592" t="n">
        <v>0</v>
      </c>
      <c r="K592" t="n">
        <v>0</v>
      </c>
      <c r="L592" t="n">
        <v>0</v>
      </c>
      <c r="M592" t="n">
        <v>0</v>
      </c>
      <c r="N592" t="n">
        <v>0</v>
      </c>
      <c r="O592" t="n">
        <v>0</v>
      </c>
      <c r="P592" t="n">
        <v>0</v>
      </c>
      <c r="Q592" t="n">
        <v>0</v>
      </c>
      <c r="R592" s="2" t="inlineStr"/>
    </row>
    <row r="593" ht="15" customHeight="1">
      <c r="A593" t="inlineStr">
        <is>
          <t>A 22287-2022</t>
        </is>
      </c>
      <c r="B593" s="1" t="n">
        <v>44712</v>
      </c>
      <c r="C593" s="1" t="n">
        <v>45923</v>
      </c>
      <c r="D593" t="inlineStr">
        <is>
          <t>GOTLANDS LÄN</t>
        </is>
      </c>
      <c r="E593" t="inlineStr">
        <is>
          <t>GOTLAND</t>
        </is>
      </c>
      <c r="G593" t="n">
        <v>6.1</v>
      </c>
      <c r="H593" t="n">
        <v>0</v>
      </c>
      <c r="I593" t="n">
        <v>0</v>
      </c>
      <c r="J593" t="n">
        <v>0</v>
      </c>
      <c r="K593" t="n">
        <v>0</v>
      </c>
      <c r="L593" t="n">
        <v>0</v>
      </c>
      <c r="M593" t="n">
        <v>0</v>
      </c>
      <c r="N593" t="n">
        <v>0</v>
      </c>
      <c r="O593" t="n">
        <v>0</v>
      </c>
      <c r="P593" t="n">
        <v>0</v>
      </c>
      <c r="Q593" t="n">
        <v>0</v>
      </c>
      <c r="R593" s="2" t="inlineStr"/>
    </row>
    <row r="594" ht="15" customHeight="1">
      <c r="A594" t="inlineStr">
        <is>
          <t>A 30135-2025</t>
        </is>
      </c>
      <c r="B594" s="1" t="n">
        <v>45826</v>
      </c>
      <c r="C594" s="1" t="n">
        <v>45923</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32686-2025</t>
        </is>
      </c>
      <c r="B595" s="1" t="n">
        <v>45838</v>
      </c>
      <c r="C595" s="1" t="n">
        <v>45923</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32379-2025</t>
        </is>
      </c>
      <c r="B596" s="1" t="n">
        <v>45837</v>
      </c>
      <c r="C596" s="1" t="n">
        <v>45923</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32467-2025</t>
        </is>
      </c>
      <c r="B597" s="1" t="n">
        <v>45838.42111111111</v>
      </c>
      <c r="C597" s="1" t="n">
        <v>45923</v>
      </c>
      <c r="D597" t="inlineStr">
        <is>
          <t>GOTLANDS LÄN</t>
        </is>
      </c>
      <c r="E597" t="inlineStr">
        <is>
          <t>GOTLAND</t>
        </is>
      </c>
      <c r="G597" t="n">
        <v>4.3</v>
      </c>
      <c r="H597" t="n">
        <v>0</v>
      </c>
      <c r="I597" t="n">
        <v>0</v>
      </c>
      <c r="J597" t="n">
        <v>0</v>
      </c>
      <c r="K597" t="n">
        <v>0</v>
      </c>
      <c r="L597" t="n">
        <v>0</v>
      </c>
      <c r="M597" t="n">
        <v>0</v>
      </c>
      <c r="N597" t="n">
        <v>0</v>
      </c>
      <c r="O597" t="n">
        <v>0</v>
      </c>
      <c r="P597" t="n">
        <v>0</v>
      </c>
      <c r="Q597" t="n">
        <v>0</v>
      </c>
      <c r="R597" s="2" t="inlineStr"/>
    </row>
    <row r="598" ht="15" customHeight="1">
      <c r="A598" t="inlineStr">
        <is>
          <t>A 32378-2025</t>
        </is>
      </c>
      <c r="B598" s="1" t="n">
        <v>45837</v>
      </c>
      <c r="C598" s="1" t="n">
        <v>45923</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16109-2025</t>
        </is>
      </c>
      <c r="B599" s="1" t="n">
        <v>45750</v>
      </c>
      <c r="C599" s="1" t="n">
        <v>45923</v>
      </c>
      <c r="D599" t="inlineStr">
        <is>
          <t>GOTLANDS LÄN</t>
        </is>
      </c>
      <c r="E599" t="inlineStr">
        <is>
          <t>GOTLAND</t>
        </is>
      </c>
      <c r="G599" t="n">
        <v>4.9</v>
      </c>
      <c r="H599" t="n">
        <v>0</v>
      </c>
      <c r="I599" t="n">
        <v>0</v>
      </c>
      <c r="J599" t="n">
        <v>0</v>
      </c>
      <c r="K599" t="n">
        <v>0</v>
      </c>
      <c r="L599" t="n">
        <v>0</v>
      </c>
      <c r="M599" t="n">
        <v>0</v>
      </c>
      <c r="N599" t="n">
        <v>0</v>
      </c>
      <c r="O599" t="n">
        <v>0</v>
      </c>
      <c r="P599" t="n">
        <v>0</v>
      </c>
      <c r="Q599" t="n">
        <v>0</v>
      </c>
      <c r="R599" s="2" t="inlineStr"/>
    </row>
    <row r="600" ht="15" customHeight="1">
      <c r="A600" t="inlineStr">
        <is>
          <t>A 33078-2025</t>
        </is>
      </c>
      <c r="B600" s="1" t="n">
        <v>45840</v>
      </c>
      <c r="C600" s="1" t="n">
        <v>45923</v>
      </c>
      <c r="D600" t="inlineStr">
        <is>
          <t>GOTLANDS LÄN</t>
        </is>
      </c>
      <c r="E600" t="inlineStr">
        <is>
          <t>GOTLAND</t>
        </is>
      </c>
      <c r="G600" t="n">
        <v>0.8</v>
      </c>
      <c r="H600" t="n">
        <v>0</v>
      </c>
      <c r="I600" t="n">
        <v>0</v>
      </c>
      <c r="J600" t="n">
        <v>0</v>
      </c>
      <c r="K600" t="n">
        <v>0</v>
      </c>
      <c r="L600" t="n">
        <v>0</v>
      </c>
      <c r="M600" t="n">
        <v>0</v>
      </c>
      <c r="N600" t="n">
        <v>0</v>
      </c>
      <c r="O600" t="n">
        <v>0</v>
      </c>
      <c r="P600" t="n">
        <v>0</v>
      </c>
      <c r="Q600" t="n">
        <v>0</v>
      </c>
      <c r="R600" s="2" t="inlineStr"/>
    </row>
    <row r="601" ht="15" customHeight="1">
      <c r="A601" t="inlineStr">
        <is>
          <t>A 33007-2025</t>
        </is>
      </c>
      <c r="B601" s="1" t="n">
        <v>45840</v>
      </c>
      <c r="C601" s="1" t="n">
        <v>45923</v>
      </c>
      <c r="D601" t="inlineStr">
        <is>
          <t>GOTLANDS LÄN</t>
        </is>
      </c>
      <c r="E601" t="inlineStr">
        <is>
          <t>GOTLAND</t>
        </is>
      </c>
      <c r="G601" t="n">
        <v>4.9</v>
      </c>
      <c r="H601" t="n">
        <v>0</v>
      </c>
      <c r="I601" t="n">
        <v>0</v>
      </c>
      <c r="J601" t="n">
        <v>0</v>
      </c>
      <c r="K601" t="n">
        <v>0</v>
      </c>
      <c r="L601" t="n">
        <v>0</v>
      </c>
      <c r="M601" t="n">
        <v>0</v>
      </c>
      <c r="N601" t="n">
        <v>0</v>
      </c>
      <c r="O601" t="n">
        <v>0</v>
      </c>
      <c r="P601" t="n">
        <v>0</v>
      </c>
      <c r="Q601" t="n">
        <v>0</v>
      </c>
      <c r="R601" s="2" t="inlineStr"/>
    </row>
    <row r="602" ht="15" customHeight="1">
      <c r="A602" t="inlineStr">
        <is>
          <t>A 33011-2025</t>
        </is>
      </c>
      <c r="B602" s="1" t="n">
        <v>45840</v>
      </c>
      <c r="C602" s="1" t="n">
        <v>45923</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38649-2025</t>
        </is>
      </c>
      <c r="B603" s="1" t="n">
        <v>45884</v>
      </c>
      <c r="C603" s="1" t="n">
        <v>45923</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c r="A604" t="inlineStr">
        <is>
          <t>A 39278-2025</t>
        </is>
      </c>
      <c r="B604" s="1" t="n">
        <v>45889</v>
      </c>
      <c r="C604" s="1" t="n">
        <v>45923</v>
      </c>
      <c r="D604" t="inlineStr">
        <is>
          <t>GOTLANDS LÄN</t>
        </is>
      </c>
      <c r="E604" t="inlineStr">
        <is>
          <t>GOTLAND</t>
        </is>
      </c>
      <c r="G604" t="n">
        <v>3.7</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2025-09-23T10:19:54Z</dcterms:created>
  <dcterms:modified xmlns:dcterms="http://purl.org/dc/terms/" xmlns:xsi="http://www.w3.org/2001/XMLSchema-instance" xsi:type="dcterms:W3CDTF">2025-09-23T10:19:55Z</dcterms:modified>
</cp:coreProperties>
</file>