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45987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45987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45987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45987</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45987</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45987</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45987</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45987</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45987</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45987</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45987</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45987</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45987</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45987</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45987</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45987</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45987</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45987</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45987</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45987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45987</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45987</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45987</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45987</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45987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45987</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45987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45987</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45987</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45987</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27280-2023</t>
        </is>
      </c>
      <c r="B65" s="1" t="n">
        <v>45096</v>
      </c>
      <c r="C65" s="1" t="n">
        <v>45987</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45987</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45987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45987</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53584-2025</t>
        </is>
      </c>
      <c r="B71" s="1" t="n">
        <v>45960.43130787037</v>
      </c>
      <c r="C71" s="1" t="n">
        <v>45987</v>
      </c>
      <c r="D71" t="inlineStr">
        <is>
          <t>GOTLANDS LÄN</t>
        </is>
      </c>
      <c r="E71" t="inlineStr">
        <is>
          <t>GOTLAND</t>
        </is>
      </c>
      <c r="F71" t="inlineStr">
        <is>
          <t>Övriga Aktiebolag</t>
        </is>
      </c>
      <c r="G71" t="n">
        <v>18.1</v>
      </c>
      <c r="H71" t="n">
        <v>3</v>
      </c>
      <c r="I71" t="n">
        <v>0</v>
      </c>
      <c r="J71" t="n">
        <v>4</v>
      </c>
      <c r="K71" t="n">
        <v>0</v>
      </c>
      <c r="L71" t="n">
        <v>0</v>
      </c>
      <c r="M71" t="n">
        <v>0</v>
      </c>
      <c r="N71" t="n">
        <v>0</v>
      </c>
      <c r="O71" t="n">
        <v>4</v>
      </c>
      <c r="P71" t="n">
        <v>0</v>
      </c>
      <c r="Q71" t="n">
        <v>6</v>
      </c>
      <c r="R71" s="2" t="inlineStr">
        <is>
          <t>Apollofjäril
Jordtistel
Klasefibbla
Majviva
Gråkråka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row>
    <row r="72" ht="15" customHeight="1">
      <c r="A72" t="inlineStr">
        <is>
          <t>A 54527-2023</t>
        </is>
      </c>
      <c r="B72" s="1" t="n">
        <v>45233</v>
      </c>
      <c r="C72" s="1" t="n">
        <v>45987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45987</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45987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45987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65819-2020</t>
        </is>
      </c>
      <c r="B76" s="1" t="n">
        <v>44174</v>
      </c>
      <c r="C76" s="1" t="n">
        <v>45987</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7038-2023</t>
        </is>
      </c>
      <c r="B77" s="1" t="n">
        <v>44968</v>
      </c>
      <c r="C77" s="1" t="n">
        <v>45987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45987</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45987</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45987</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45987</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45987</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45987</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44944-2022</t>
        </is>
      </c>
      <c r="B84" s="1" t="n">
        <v>44841</v>
      </c>
      <c r="C84" s="1" t="n">
        <v>45987</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39425-2023</t>
        </is>
      </c>
      <c r="B85" s="1" t="n">
        <v>45166</v>
      </c>
      <c r="C85" s="1" t="n">
        <v>45987</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45987</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45987</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45987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45987</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45987</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45987</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45987</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45987</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1971-2023</t>
        </is>
      </c>
      <c r="B94" s="1" t="n">
        <v>44939</v>
      </c>
      <c r="C94" s="1" t="n">
        <v>45987</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64378-2020</t>
        </is>
      </c>
      <c r="B95" s="1" t="n">
        <v>44168</v>
      </c>
      <c r="C95" s="1" t="n">
        <v>45987</v>
      </c>
      <c r="D95" t="inlineStr">
        <is>
          <t>GOTLANDS LÄN</t>
        </is>
      </c>
      <c r="E95" t="inlineStr">
        <is>
          <t>GOTLAND</t>
        </is>
      </c>
      <c r="G95" t="n">
        <v>2.1</v>
      </c>
      <c r="H95" t="n">
        <v>0</v>
      </c>
      <c r="I95" t="n">
        <v>1</v>
      </c>
      <c r="J95" t="n">
        <v>0</v>
      </c>
      <c r="K95" t="n">
        <v>2</v>
      </c>
      <c r="L95" t="n">
        <v>1</v>
      </c>
      <c r="M95" t="n">
        <v>0</v>
      </c>
      <c r="N95" t="n">
        <v>0</v>
      </c>
      <c r="O95" t="n">
        <v>3</v>
      </c>
      <c r="P95" t="n">
        <v>3</v>
      </c>
      <c r="Q95" t="n">
        <v>4</v>
      </c>
      <c r="R95" s="2" t="inlineStr">
        <is>
          <t>Sienamusseron
Bitter taggsvamp
Duvspindling
Fjällig taggsvamp s.str.</t>
        </is>
      </c>
      <c r="S95">
        <f>HYPERLINK("https://klasma.github.io/Logging_0980/artfynd/A 64378-2020 artfynd.xlsx", "A 64378-2020")</f>
        <v/>
      </c>
      <c r="T95">
        <f>HYPERLINK("https://klasma.github.io/Logging_0980/kartor/A 64378-2020 karta.png", "A 64378-2020")</f>
        <v/>
      </c>
      <c r="V95">
        <f>HYPERLINK("https://klasma.github.io/Logging_0980/klagomål/A 64378-2020 FSC-klagomål.docx", "A 64378-2020")</f>
        <v/>
      </c>
      <c r="W95">
        <f>HYPERLINK("https://klasma.github.io/Logging_0980/klagomålsmail/A 64378-2020 FSC-klagomål mail.docx", "A 64378-2020")</f>
        <v/>
      </c>
      <c r="X95">
        <f>HYPERLINK("https://klasma.github.io/Logging_0980/tillsyn/A 64378-2020 tillsynsbegäran.docx", "A 64378-2020")</f>
        <v/>
      </c>
      <c r="Y95">
        <f>HYPERLINK("https://klasma.github.io/Logging_0980/tillsynsmail/A 64378-2020 tillsynsbegäran mail.docx", "A 64378-2020")</f>
        <v/>
      </c>
    </row>
    <row r="96" ht="15" customHeight="1">
      <c r="A96" t="inlineStr">
        <is>
          <t>A 52309-2025</t>
        </is>
      </c>
      <c r="B96" s="1" t="n">
        <v>45953.64381944444</v>
      </c>
      <c r="C96" s="1" t="n">
        <v>45987</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52309-2025 artfynd.xlsx", "A 52309-2025")</f>
        <v/>
      </c>
      <c r="T96">
        <f>HYPERLINK("https://klasma.github.io/Logging_0980/kartor/A 52309-2025 karta.png", "A 52309-2025")</f>
        <v/>
      </c>
      <c r="V96">
        <f>HYPERLINK("https://klasma.github.io/Logging_0980/klagomål/A 52309-2025 FSC-klagomål.docx", "A 52309-2025")</f>
        <v/>
      </c>
      <c r="W96">
        <f>HYPERLINK("https://klasma.github.io/Logging_0980/klagomålsmail/A 52309-2025 FSC-klagomål mail.docx", "A 52309-2025")</f>
        <v/>
      </c>
      <c r="X96">
        <f>HYPERLINK("https://klasma.github.io/Logging_0980/tillsyn/A 52309-2025 tillsynsbegäran.docx", "A 52309-2025")</f>
        <v/>
      </c>
      <c r="Y96">
        <f>HYPERLINK("https://klasma.github.io/Logging_0980/tillsynsmail/A 52309-2025 tillsynsbegäran mail.docx", "A 52309-2025")</f>
        <v/>
      </c>
    </row>
    <row r="97" ht="15" customHeight="1">
      <c r="A97" t="inlineStr">
        <is>
          <t>A 52250-2025</t>
        </is>
      </c>
      <c r="B97" s="1" t="n">
        <v>45953.48998842593</v>
      </c>
      <c r="C97" s="1" t="n">
        <v>45987</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20833-2024</t>
        </is>
      </c>
      <c r="B98" s="1" t="n">
        <v>45439</v>
      </c>
      <c r="C98" s="1" t="n">
        <v>45987</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57463-2025</t>
        </is>
      </c>
      <c r="B99" s="1" t="n">
        <v>45980.54174768519</v>
      </c>
      <c r="C99" s="1" t="n">
        <v>45987</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44933-2022</t>
        </is>
      </c>
      <c r="B100" s="1" t="n">
        <v>44841</v>
      </c>
      <c r="C100" s="1" t="n">
        <v>45987</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2485-2025</t>
        </is>
      </c>
      <c r="B101" s="1" t="n">
        <v>45673</v>
      </c>
      <c r="C101" s="1" t="n">
        <v>45987</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45987</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45987</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45987</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65537-2020</t>
        </is>
      </c>
      <c r="B105" s="1" t="n">
        <v>44173</v>
      </c>
      <c r="C105" s="1" t="n">
        <v>45987</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45987</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45987</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45987</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45987</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45987</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45987</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30490-2025</t>
        </is>
      </c>
      <c r="B112" s="1" t="n">
        <v>45830</v>
      </c>
      <c r="C112" s="1" t="n">
        <v>45987</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20831-2024</t>
        </is>
      </c>
      <c r="B113" s="1" t="n">
        <v>45439</v>
      </c>
      <c r="C113" s="1" t="n">
        <v>45987</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45987</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43013-2022</t>
        </is>
      </c>
      <c r="B115" s="1" t="n">
        <v>44833</v>
      </c>
      <c r="C115" s="1" t="n">
        <v>45987</v>
      </c>
      <c r="D115" t="inlineStr">
        <is>
          <t>GOTLANDS LÄN</t>
        </is>
      </c>
      <c r="E115" t="inlineStr">
        <is>
          <t>GOTLAND</t>
        </is>
      </c>
      <c r="G115" t="n">
        <v>9.300000000000001</v>
      </c>
      <c r="H115" t="n">
        <v>0</v>
      </c>
      <c r="I115" t="n">
        <v>2</v>
      </c>
      <c r="J115" t="n">
        <v>0</v>
      </c>
      <c r="K115" t="n">
        <v>1</v>
      </c>
      <c r="L115" t="n">
        <v>0</v>
      </c>
      <c r="M115" t="n">
        <v>0</v>
      </c>
      <c r="N115" t="n">
        <v>0</v>
      </c>
      <c r="O115" t="n">
        <v>1</v>
      </c>
      <c r="P115" t="n">
        <v>1</v>
      </c>
      <c r="Q115" t="n">
        <v>3</v>
      </c>
      <c r="R115" s="2" t="inlineStr">
        <is>
          <t>Violettfläckig spindling
Anisspindling
Blå slemspindling</t>
        </is>
      </c>
      <c r="S115">
        <f>HYPERLINK("https://klasma.github.io/Logging_0980/artfynd/A 43013-2022 artfynd.xlsx", "A 43013-2022")</f>
        <v/>
      </c>
      <c r="T115">
        <f>HYPERLINK("https://klasma.github.io/Logging_0980/kartor/A 43013-2022 karta.png", "A 43013-2022")</f>
        <v/>
      </c>
      <c r="V115">
        <f>HYPERLINK("https://klasma.github.io/Logging_0980/klagomål/A 43013-2022 FSC-klagomål.docx", "A 43013-2022")</f>
        <v/>
      </c>
      <c r="W115">
        <f>HYPERLINK("https://klasma.github.io/Logging_0980/klagomålsmail/A 43013-2022 FSC-klagomål mail.docx", "A 43013-2022")</f>
        <v/>
      </c>
      <c r="X115">
        <f>HYPERLINK("https://klasma.github.io/Logging_0980/tillsyn/A 43013-2022 tillsynsbegäran.docx", "A 43013-2022")</f>
        <v/>
      </c>
      <c r="Y115">
        <f>HYPERLINK("https://klasma.github.io/Logging_0980/tillsynsmail/A 43013-2022 tillsynsbegäran mail.docx", "A 43013-2022")</f>
        <v/>
      </c>
    </row>
    <row r="116" ht="15" customHeight="1">
      <c r="A116" t="inlineStr">
        <is>
          <t>A 5235-2025</t>
        </is>
      </c>
      <c r="B116" s="1" t="n">
        <v>45692.26797453704</v>
      </c>
      <c r="C116" s="1" t="n">
        <v>45987</v>
      </c>
      <c r="D116" t="inlineStr">
        <is>
          <t>GOTLANDS LÄN</t>
        </is>
      </c>
      <c r="E116" t="inlineStr">
        <is>
          <t>GOTLAND</t>
        </is>
      </c>
      <c r="G116" t="n">
        <v>7.6</v>
      </c>
      <c r="H116" t="n">
        <v>1</v>
      </c>
      <c r="I116" t="n">
        <v>2</v>
      </c>
      <c r="J116" t="n">
        <v>1</v>
      </c>
      <c r="K116" t="n">
        <v>0</v>
      </c>
      <c r="L116" t="n">
        <v>0</v>
      </c>
      <c r="M116" t="n">
        <v>0</v>
      </c>
      <c r="N116" t="n">
        <v>0</v>
      </c>
      <c r="O116" t="n">
        <v>1</v>
      </c>
      <c r="P116" t="n">
        <v>0</v>
      </c>
      <c r="Q116" t="n">
        <v>3</v>
      </c>
      <c r="R116" s="2" t="inlineStr">
        <is>
          <t>Svinrot
Blåmossa
Tvåblad</t>
        </is>
      </c>
      <c r="S116">
        <f>HYPERLINK("https://klasma.github.io/Logging_0980/artfynd/A 5235-2025 artfynd.xlsx", "A 5235-2025")</f>
        <v/>
      </c>
      <c r="T116">
        <f>HYPERLINK("https://klasma.github.io/Logging_0980/kartor/A 5235-2025 karta.png", "A 5235-2025")</f>
        <v/>
      </c>
      <c r="V116">
        <f>HYPERLINK("https://klasma.github.io/Logging_0980/klagomål/A 5235-2025 FSC-klagomål.docx", "A 5235-2025")</f>
        <v/>
      </c>
      <c r="W116">
        <f>HYPERLINK("https://klasma.github.io/Logging_0980/klagomålsmail/A 5235-2025 FSC-klagomål mail.docx", "A 5235-2025")</f>
        <v/>
      </c>
      <c r="X116">
        <f>HYPERLINK("https://klasma.github.io/Logging_0980/tillsyn/A 5235-2025 tillsynsbegäran.docx", "A 5235-2025")</f>
        <v/>
      </c>
      <c r="Y116">
        <f>HYPERLINK("https://klasma.github.io/Logging_0980/tillsynsmail/A 5235-2025 tillsynsbegäran mail.docx", "A 5235-2025")</f>
        <v/>
      </c>
    </row>
    <row r="117" ht="15" customHeight="1">
      <c r="A117" t="inlineStr">
        <is>
          <t>A 53552-2021</t>
        </is>
      </c>
      <c r="B117" s="1" t="n">
        <v>44468</v>
      </c>
      <c r="C117" s="1" t="n">
        <v>45987</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49709-2025</t>
        </is>
      </c>
      <c r="B118" s="1" t="n">
        <v>45939.68228009259</v>
      </c>
      <c r="C118" s="1" t="n">
        <v>45987</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45987</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17975-2024</t>
        </is>
      </c>
      <c r="B120" s="1" t="n">
        <v>45419.85546296297</v>
      </c>
      <c r="C120" s="1" t="n">
        <v>45987</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13499-2022</t>
        </is>
      </c>
      <c r="B121" s="1" t="n">
        <v>44647.79203703703</v>
      </c>
      <c r="C121" s="1" t="n">
        <v>45987</v>
      </c>
      <c r="D121" t="inlineStr">
        <is>
          <t>GOTLANDS LÄN</t>
        </is>
      </c>
      <c r="E121" t="inlineStr">
        <is>
          <t>GOTLAND</t>
        </is>
      </c>
      <c r="G121" t="n">
        <v>6.8</v>
      </c>
      <c r="H121" t="n">
        <v>3</v>
      </c>
      <c r="I121" t="n">
        <v>0</v>
      </c>
      <c r="J121" t="n">
        <v>1</v>
      </c>
      <c r="K121" t="n">
        <v>0</v>
      </c>
      <c r="L121" t="n">
        <v>0</v>
      </c>
      <c r="M121" t="n">
        <v>0</v>
      </c>
      <c r="N121" t="n">
        <v>0</v>
      </c>
      <c r="O121" t="n">
        <v>1</v>
      </c>
      <c r="P121" t="n">
        <v>0</v>
      </c>
      <c r="Q121" t="n">
        <v>3</v>
      </c>
      <c r="R121" s="2" t="inlineStr">
        <is>
          <t>Spillkråka
Sankt pers nycklar
Blåsippa</t>
        </is>
      </c>
      <c r="S121">
        <f>HYPERLINK("https://klasma.github.io/Logging_0980/artfynd/A 13499-2022 artfynd.xlsx", "A 13499-2022")</f>
        <v/>
      </c>
      <c r="T121">
        <f>HYPERLINK("https://klasma.github.io/Logging_0980/kartor/A 13499-2022 karta.png", "A 13499-2022")</f>
        <v/>
      </c>
      <c r="V121">
        <f>HYPERLINK("https://klasma.github.io/Logging_0980/klagomål/A 13499-2022 FSC-klagomål.docx", "A 13499-2022")</f>
        <v/>
      </c>
      <c r="W121">
        <f>HYPERLINK("https://klasma.github.io/Logging_0980/klagomålsmail/A 13499-2022 FSC-klagomål mail.docx", "A 13499-2022")</f>
        <v/>
      </c>
      <c r="X121">
        <f>HYPERLINK("https://klasma.github.io/Logging_0980/tillsyn/A 13499-2022 tillsynsbegäran.docx", "A 13499-2022")</f>
        <v/>
      </c>
      <c r="Y121">
        <f>HYPERLINK("https://klasma.github.io/Logging_0980/tillsynsmail/A 13499-2022 tillsynsbegäran mail.docx", "A 13499-2022")</f>
        <v/>
      </c>
      <c r="Z121">
        <f>HYPERLINK("https://klasma.github.io/Logging_0980/fåglar/A 13499-2022 prioriterade fågelarter.docx", "A 13499-2022")</f>
        <v/>
      </c>
    </row>
    <row r="122" ht="15" customHeight="1">
      <c r="A122" t="inlineStr">
        <is>
          <t>A 12315-2024</t>
        </is>
      </c>
      <c r="B122" s="1" t="n">
        <v>45378.6434837963</v>
      </c>
      <c r="C122" s="1" t="n">
        <v>45987</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73144-2021</t>
        </is>
      </c>
      <c r="B123" s="1" t="n">
        <v>44550</v>
      </c>
      <c r="C123" s="1" t="n">
        <v>45987</v>
      </c>
      <c r="D123" t="inlineStr">
        <is>
          <t>GOTLANDS LÄN</t>
        </is>
      </c>
      <c r="E123" t="inlineStr">
        <is>
          <t>GOTLAND</t>
        </is>
      </c>
      <c r="G123" t="n">
        <v>1.9</v>
      </c>
      <c r="H123" t="n">
        <v>0</v>
      </c>
      <c r="I123" t="n">
        <v>1</v>
      </c>
      <c r="J123" t="n">
        <v>1</v>
      </c>
      <c r="K123" t="n">
        <v>1</v>
      </c>
      <c r="L123" t="n">
        <v>0</v>
      </c>
      <c r="M123" t="n">
        <v>0</v>
      </c>
      <c r="N123" t="n">
        <v>0</v>
      </c>
      <c r="O123" t="n">
        <v>2</v>
      </c>
      <c r="P123" t="n">
        <v>1</v>
      </c>
      <c r="Q123" t="n">
        <v>3</v>
      </c>
      <c r="R123" s="2" t="inlineStr">
        <is>
          <t>Skogskorn
Igelkott
Kambräken</t>
        </is>
      </c>
      <c r="S123">
        <f>HYPERLINK("https://klasma.github.io/Logging_0980/artfynd/A 73144-2021 artfynd.xlsx", "A 73144-2021")</f>
        <v/>
      </c>
      <c r="T123">
        <f>HYPERLINK("https://klasma.github.io/Logging_0980/kartor/A 73144-2021 karta.png", "A 73144-2021")</f>
        <v/>
      </c>
      <c r="V123">
        <f>HYPERLINK("https://klasma.github.io/Logging_0980/klagomål/A 73144-2021 FSC-klagomål.docx", "A 73144-2021")</f>
        <v/>
      </c>
      <c r="W123">
        <f>HYPERLINK("https://klasma.github.io/Logging_0980/klagomålsmail/A 73144-2021 FSC-klagomål mail.docx", "A 73144-2021")</f>
        <v/>
      </c>
      <c r="X123">
        <f>HYPERLINK("https://klasma.github.io/Logging_0980/tillsyn/A 73144-2021 tillsynsbegäran.docx", "A 73144-2021")</f>
        <v/>
      </c>
      <c r="Y123">
        <f>HYPERLINK("https://klasma.github.io/Logging_0980/tillsynsmail/A 73144-2021 tillsynsbegäran mail.docx", "A 73144-2021")</f>
        <v/>
      </c>
    </row>
    <row r="124" ht="15" customHeight="1">
      <c r="A124" t="inlineStr">
        <is>
          <t>A 29870-2021</t>
        </is>
      </c>
      <c r="B124" s="1" t="n">
        <v>44362</v>
      </c>
      <c r="C124" s="1" t="n">
        <v>45987</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45987</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45987</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45987</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60665-2021</t>
        </is>
      </c>
      <c r="B128" s="1" t="n">
        <v>44496</v>
      </c>
      <c r="C128" s="1" t="n">
        <v>45987</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20218-2022</t>
        </is>
      </c>
      <c r="B129" s="1" t="n">
        <v>44698</v>
      </c>
      <c r="C129" s="1" t="n">
        <v>45987</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26077-2024</t>
        </is>
      </c>
      <c r="B130" s="1" t="n">
        <v>45467</v>
      </c>
      <c r="C130" s="1" t="n">
        <v>45987</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20838-2024</t>
        </is>
      </c>
      <c r="B131" s="1" t="n">
        <v>45439</v>
      </c>
      <c r="C131" s="1" t="n">
        <v>45987</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64263-2020</t>
        </is>
      </c>
      <c r="B132" s="1" t="n">
        <v>44168</v>
      </c>
      <c r="C132" s="1" t="n">
        <v>45987</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54357-2024</t>
        </is>
      </c>
      <c r="B133" s="1" t="n">
        <v>45617.40662037037</v>
      </c>
      <c r="C133" s="1" t="n">
        <v>45987</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45987</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45987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45987</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45987</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45987</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45987</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45987</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45987</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45987</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45987</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45987</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45987</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12379-2024</t>
        </is>
      </c>
      <c r="B146" s="1" t="n">
        <v>45379.28155092592</v>
      </c>
      <c r="C146" s="1" t="n">
        <v>45987</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45987</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25977-2024</t>
        </is>
      </c>
      <c r="B148" s="1" t="n">
        <v>45467.69356481481</v>
      </c>
      <c r="C148" s="1" t="n">
        <v>45987</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45987</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39812-2025</t>
        </is>
      </c>
      <c r="B150" s="1" t="n">
        <v>45891</v>
      </c>
      <c r="C150" s="1" t="n">
        <v>45987</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65927-2021</t>
        </is>
      </c>
      <c r="B151" s="1" t="n">
        <v>44516</v>
      </c>
      <c r="C151" s="1" t="n">
        <v>45987</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61796-2022</t>
        </is>
      </c>
      <c r="B152" s="1" t="n">
        <v>44917</v>
      </c>
      <c r="C152" s="1" t="n">
        <v>45987</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45987</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35467-2021</t>
        </is>
      </c>
      <c r="B154" s="1" t="n">
        <v>44385</v>
      </c>
      <c r="C154" s="1" t="n">
        <v>45987</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34141-2024</t>
        </is>
      </c>
      <c r="B155" s="1" t="n">
        <v>45524.36229166666</v>
      </c>
      <c r="C155" s="1" t="n">
        <v>45987</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45987</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44619-2025</t>
        </is>
      </c>
      <c r="B157" s="1" t="n">
        <v>45917</v>
      </c>
      <c r="C157" s="1" t="n">
        <v>45987</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2476-2025</t>
        </is>
      </c>
      <c r="B158" s="1" t="n">
        <v>45673</v>
      </c>
      <c r="C158" s="1" t="n">
        <v>45987</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45987</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12924-2025</t>
        </is>
      </c>
      <c r="B160" s="1" t="n">
        <v>45734</v>
      </c>
      <c r="C160" s="1" t="n">
        <v>45987</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13939-2021</t>
        </is>
      </c>
      <c r="B161" s="1" t="n">
        <v>44277</v>
      </c>
      <c r="C161" s="1" t="n">
        <v>45987</v>
      </c>
      <c r="D161" t="inlineStr">
        <is>
          <t>GOTLANDS LÄN</t>
        </is>
      </c>
      <c r="E161" t="inlineStr">
        <is>
          <t>GOTLAND</t>
        </is>
      </c>
      <c r="G161" t="n">
        <v>1</v>
      </c>
      <c r="H161" t="n">
        <v>0</v>
      </c>
      <c r="I161" t="n">
        <v>0</v>
      </c>
      <c r="J161" t="n">
        <v>1</v>
      </c>
      <c r="K161" t="n">
        <v>0</v>
      </c>
      <c r="L161" t="n">
        <v>0</v>
      </c>
      <c r="M161" t="n">
        <v>0</v>
      </c>
      <c r="N161" t="n">
        <v>0</v>
      </c>
      <c r="O161" t="n">
        <v>1</v>
      </c>
      <c r="P161" t="n">
        <v>0</v>
      </c>
      <c r="Q161" t="n">
        <v>1</v>
      </c>
      <c r="R161" s="2" t="inlineStr">
        <is>
          <t>Axveronika</t>
        </is>
      </c>
      <c r="S161">
        <f>HYPERLINK("https://klasma.github.io/Logging_0980/artfynd/A 13939-2021 artfynd.xlsx", "A 13939-2021")</f>
        <v/>
      </c>
      <c r="T161">
        <f>HYPERLINK("https://klasma.github.io/Logging_0980/kartor/A 13939-2021 karta.png", "A 13939-2021")</f>
        <v/>
      </c>
      <c r="V161">
        <f>HYPERLINK("https://klasma.github.io/Logging_0980/klagomål/A 13939-2021 FSC-klagomål.docx", "A 13939-2021")</f>
        <v/>
      </c>
      <c r="W161">
        <f>HYPERLINK("https://klasma.github.io/Logging_0980/klagomålsmail/A 13939-2021 FSC-klagomål mail.docx", "A 13939-2021")</f>
        <v/>
      </c>
      <c r="X161">
        <f>HYPERLINK("https://klasma.github.io/Logging_0980/tillsyn/A 13939-2021 tillsynsbegäran.docx", "A 13939-2021")</f>
        <v/>
      </c>
      <c r="Y161">
        <f>HYPERLINK("https://klasma.github.io/Logging_0980/tillsynsmail/A 13939-2021 tillsynsbegäran mail.docx", "A 13939-2021")</f>
        <v/>
      </c>
    </row>
    <row r="162" ht="15" customHeight="1">
      <c r="A162" t="inlineStr">
        <is>
          <t>A 62552-2022</t>
        </is>
      </c>
      <c r="B162" s="1" t="n">
        <v>44924</v>
      </c>
      <c r="C162" s="1" t="n">
        <v>45987</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45987</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45987</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49726-2025</t>
        </is>
      </c>
      <c r="B165" s="1" t="n">
        <v>45939.84466435185</v>
      </c>
      <c r="C165" s="1" t="n">
        <v>45987</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45987</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447-2023</t>
        </is>
      </c>
      <c r="B167" s="1" t="n">
        <v>44929</v>
      </c>
      <c r="C167" s="1" t="n">
        <v>45987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45987</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45987</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45987</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45987</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45987</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45987</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45987</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45987</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45987</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45987</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45987</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63299-2020</t>
        </is>
      </c>
      <c r="B179" s="1" t="n">
        <v>44165</v>
      </c>
      <c r="C179" s="1" t="n">
        <v>45987</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27168-2022</t>
        </is>
      </c>
      <c r="B180" s="1" t="n">
        <v>44741</v>
      </c>
      <c r="C180" s="1" t="n">
        <v>45987</v>
      </c>
      <c r="D180" t="inlineStr">
        <is>
          <t>GOTLANDS LÄN</t>
        </is>
      </c>
      <c r="E180" t="inlineStr">
        <is>
          <t>GOTLAND</t>
        </is>
      </c>
      <c r="G180" t="n">
        <v>2.2</v>
      </c>
      <c r="H180" t="n">
        <v>1</v>
      </c>
      <c r="I180" t="n">
        <v>1</v>
      </c>
      <c r="J180" t="n">
        <v>0</v>
      </c>
      <c r="K180" t="n">
        <v>0</v>
      </c>
      <c r="L180" t="n">
        <v>0</v>
      </c>
      <c r="M180" t="n">
        <v>0</v>
      </c>
      <c r="N180" t="n">
        <v>0</v>
      </c>
      <c r="O180" t="n">
        <v>0</v>
      </c>
      <c r="P180" t="n">
        <v>0</v>
      </c>
      <c r="Q180" t="n">
        <v>1</v>
      </c>
      <c r="R180" s="2" t="inlineStr">
        <is>
          <t>Purpurknipprot</t>
        </is>
      </c>
      <c r="S180">
        <f>HYPERLINK("https://klasma.github.io/Logging_0980/artfynd/A 27168-2022 artfynd.xlsx", "A 27168-2022")</f>
        <v/>
      </c>
      <c r="T180">
        <f>HYPERLINK("https://klasma.github.io/Logging_0980/kartor/A 27168-2022 karta.png", "A 27168-2022")</f>
        <v/>
      </c>
      <c r="V180">
        <f>HYPERLINK("https://klasma.github.io/Logging_0980/klagomål/A 27168-2022 FSC-klagomål.docx", "A 27168-2022")</f>
        <v/>
      </c>
      <c r="W180">
        <f>HYPERLINK("https://klasma.github.io/Logging_0980/klagomålsmail/A 27168-2022 FSC-klagomål mail.docx", "A 27168-2022")</f>
        <v/>
      </c>
      <c r="X180">
        <f>HYPERLINK("https://klasma.github.io/Logging_0980/tillsyn/A 27168-2022 tillsynsbegäran.docx", "A 27168-2022")</f>
        <v/>
      </c>
      <c r="Y180">
        <f>HYPERLINK("https://klasma.github.io/Logging_0980/tillsynsmail/A 27168-2022 tillsynsbegäran mail.docx", "A 27168-2022")</f>
        <v/>
      </c>
    </row>
    <row r="181" ht="15" customHeight="1">
      <c r="A181" t="inlineStr">
        <is>
          <t>A 22782-2023</t>
        </is>
      </c>
      <c r="B181" s="1" t="n">
        <v>45072</v>
      </c>
      <c r="C181" s="1" t="n">
        <v>45987</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45987</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45987</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45987</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45987</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45987</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45987</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21466-2025</t>
        </is>
      </c>
      <c r="B188" s="1" t="n">
        <v>45782</v>
      </c>
      <c r="C188" s="1" t="n">
        <v>45987</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45987</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45987</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45987</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45987</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45987</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45987</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45987</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45987</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45987</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45987</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45987</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45987</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45987</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45987</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45987</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45987</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45987</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45987</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45987</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45987</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45987</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45987</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45987</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45987</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45987</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45987</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45987</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45987</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45987</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45987</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45987</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45987</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45987</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45987</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45987</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45987</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45987</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45987</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45987</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45987</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45987</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45987</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45987</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45987</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45987</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45987</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45987</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56951-2021</t>
        </is>
      </c>
      <c r="B236" s="1" t="n">
        <v>44482.37388888889</v>
      </c>
      <c r="C236" s="1" t="n">
        <v>45987</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2608-2021</t>
        </is>
      </c>
      <c r="B237" s="1" t="n">
        <v>44214</v>
      </c>
      <c r="C237" s="1" t="n">
        <v>45987</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45987</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45987</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45987</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45987</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30282-2022</t>
        </is>
      </c>
      <c r="B242" s="1" t="n">
        <v>44760</v>
      </c>
      <c r="C242" s="1" t="n">
        <v>45987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45987</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5751-2024</t>
        </is>
      </c>
      <c r="B244" s="1" t="n">
        <v>45335.32702546296</v>
      </c>
      <c r="C244" s="1" t="n">
        <v>45987</v>
      </c>
      <c r="D244" t="inlineStr">
        <is>
          <t>GOTLANDS LÄN</t>
        </is>
      </c>
      <c r="E244" t="inlineStr">
        <is>
          <t>GOTLAND</t>
        </is>
      </c>
      <c r="G244" t="n">
        <v>4.2</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45987</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45987</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24966-2023</t>
        </is>
      </c>
      <c r="B247" s="1" t="n">
        <v>45085</v>
      </c>
      <c r="C247" s="1" t="n">
        <v>45987</v>
      </c>
      <c r="D247" t="inlineStr">
        <is>
          <t>GOTLANDS LÄN</t>
        </is>
      </c>
      <c r="E247" t="inlineStr">
        <is>
          <t>GOTLAND</t>
        </is>
      </c>
      <c r="G247" t="n">
        <v>7</v>
      </c>
      <c r="H247" t="n">
        <v>0</v>
      </c>
      <c r="I247" t="n">
        <v>0</v>
      </c>
      <c r="J247" t="n">
        <v>0</v>
      </c>
      <c r="K247" t="n">
        <v>0</v>
      </c>
      <c r="L247" t="n">
        <v>0</v>
      </c>
      <c r="M247" t="n">
        <v>0</v>
      </c>
      <c r="N247" t="n">
        <v>0</v>
      </c>
      <c r="O247" t="n">
        <v>0</v>
      </c>
      <c r="P247" t="n">
        <v>0</v>
      </c>
      <c r="Q247" t="n">
        <v>0</v>
      </c>
      <c r="R247" s="2" t="inlineStr"/>
    </row>
    <row r="248" ht="15" customHeight="1">
      <c r="A248" t="inlineStr">
        <is>
          <t>A 46189-2022</t>
        </is>
      </c>
      <c r="B248" s="1" t="n">
        <v>44847</v>
      </c>
      <c r="C248" s="1" t="n">
        <v>45987</v>
      </c>
      <c r="D248" t="inlineStr">
        <is>
          <t>GOTLANDS LÄN</t>
        </is>
      </c>
      <c r="E248" t="inlineStr">
        <is>
          <t>GOTLAND</t>
        </is>
      </c>
      <c r="G248" t="n">
        <v>0.4</v>
      </c>
      <c r="H248" t="n">
        <v>0</v>
      </c>
      <c r="I248" t="n">
        <v>0</v>
      </c>
      <c r="J248" t="n">
        <v>0</v>
      </c>
      <c r="K248" t="n">
        <v>0</v>
      </c>
      <c r="L248" t="n">
        <v>0</v>
      </c>
      <c r="M248" t="n">
        <v>0</v>
      </c>
      <c r="N248" t="n">
        <v>0</v>
      </c>
      <c r="O248" t="n">
        <v>0</v>
      </c>
      <c r="P248" t="n">
        <v>0</v>
      </c>
      <c r="Q248" t="n">
        <v>0</v>
      </c>
      <c r="R248" s="2" t="inlineStr"/>
    </row>
    <row r="249" ht="15" customHeight="1">
      <c r="A249" t="inlineStr">
        <is>
          <t>A 4868-2024</t>
        </is>
      </c>
      <c r="B249" s="1" t="n">
        <v>45329</v>
      </c>
      <c r="C249" s="1" t="n">
        <v>45987</v>
      </c>
      <c r="D249" t="inlineStr">
        <is>
          <t>GOTLANDS LÄN</t>
        </is>
      </c>
      <c r="E249" t="inlineStr">
        <is>
          <t>GOTLAND</t>
        </is>
      </c>
      <c r="G249" t="n">
        <v>7.1</v>
      </c>
      <c r="H249" t="n">
        <v>0</v>
      </c>
      <c r="I249" t="n">
        <v>0</v>
      </c>
      <c r="J249" t="n">
        <v>0</v>
      </c>
      <c r="K249" t="n">
        <v>0</v>
      </c>
      <c r="L249" t="n">
        <v>0</v>
      </c>
      <c r="M249" t="n">
        <v>0</v>
      </c>
      <c r="N249" t="n">
        <v>0</v>
      </c>
      <c r="O249" t="n">
        <v>0</v>
      </c>
      <c r="P249" t="n">
        <v>0</v>
      </c>
      <c r="Q249" t="n">
        <v>0</v>
      </c>
      <c r="R249" s="2" t="inlineStr"/>
    </row>
    <row r="250" ht="15" customHeight="1">
      <c r="A250" t="inlineStr">
        <is>
          <t>A 22031-2024</t>
        </is>
      </c>
      <c r="B250" s="1" t="n">
        <v>45443.60075231481</v>
      </c>
      <c r="C250" s="1" t="n">
        <v>45987</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49314-2024</t>
        </is>
      </c>
      <c r="B251" s="1" t="n">
        <v>45595.55893518519</v>
      </c>
      <c r="C251" s="1" t="n">
        <v>45987</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44919-2022</t>
        </is>
      </c>
      <c r="B252" s="1" t="n">
        <v>44841</v>
      </c>
      <c r="C252" s="1" t="n">
        <v>45987</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65901-2021</t>
        </is>
      </c>
      <c r="B253" s="1" t="n">
        <v>44516</v>
      </c>
      <c r="C253" s="1" t="n">
        <v>45987</v>
      </c>
      <c r="D253" t="inlineStr">
        <is>
          <t>GOTLANDS LÄN</t>
        </is>
      </c>
      <c r="E253" t="inlineStr">
        <is>
          <t>GOTLAND</t>
        </is>
      </c>
      <c r="G253" t="n">
        <v>4.9</v>
      </c>
      <c r="H253" t="n">
        <v>0</v>
      </c>
      <c r="I253" t="n">
        <v>0</v>
      </c>
      <c r="J253" t="n">
        <v>0</v>
      </c>
      <c r="K253" t="n">
        <v>0</v>
      </c>
      <c r="L253" t="n">
        <v>0</v>
      </c>
      <c r="M253" t="n">
        <v>0</v>
      </c>
      <c r="N253" t="n">
        <v>0</v>
      </c>
      <c r="O253" t="n">
        <v>0</v>
      </c>
      <c r="P253" t="n">
        <v>0</v>
      </c>
      <c r="Q253" t="n">
        <v>0</v>
      </c>
      <c r="R253" s="2" t="inlineStr"/>
    </row>
    <row r="254" ht="15" customHeight="1">
      <c r="A254" t="inlineStr">
        <is>
          <t>A 44649-2021</t>
        </is>
      </c>
      <c r="B254" s="1" t="n">
        <v>44437</v>
      </c>
      <c r="C254" s="1" t="n">
        <v>45987</v>
      </c>
      <c r="D254" t="inlineStr">
        <is>
          <t>GOTLANDS LÄN</t>
        </is>
      </c>
      <c r="E254" t="inlineStr">
        <is>
          <t>GOTLAND</t>
        </is>
      </c>
      <c r="G254" t="n">
        <v>8.1</v>
      </c>
      <c r="H254" t="n">
        <v>0</v>
      </c>
      <c r="I254" t="n">
        <v>0</v>
      </c>
      <c r="J254" t="n">
        <v>0</v>
      </c>
      <c r="K254" t="n">
        <v>0</v>
      </c>
      <c r="L254" t="n">
        <v>0</v>
      </c>
      <c r="M254" t="n">
        <v>0</v>
      </c>
      <c r="N254" t="n">
        <v>0</v>
      </c>
      <c r="O254" t="n">
        <v>0</v>
      </c>
      <c r="P254" t="n">
        <v>0</v>
      </c>
      <c r="Q254" t="n">
        <v>0</v>
      </c>
      <c r="R254" s="2" t="inlineStr"/>
    </row>
    <row r="255" ht="15" customHeight="1">
      <c r="A255" t="inlineStr">
        <is>
          <t>A 9947-2024</t>
        </is>
      </c>
      <c r="B255" s="1" t="n">
        <v>45363</v>
      </c>
      <c r="C255" s="1" t="n">
        <v>45987</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44304-2021</t>
        </is>
      </c>
      <c r="B256" s="1" t="n">
        <v>44434</v>
      </c>
      <c r="C256" s="1" t="n">
        <v>45987</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27593-2023</t>
        </is>
      </c>
      <c r="B257" s="1" t="n">
        <v>45097</v>
      </c>
      <c r="C257" s="1" t="n">
        <v>45987</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45987</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17682-2024</t>
        </is>
      </c>
      <c r="B259" s="1" t="n">
        <v>45418.42966435185</v>
      </c>
      <c r="C259" s="1" t="n">
        <v>45987</v>
      </c>
      <c r="D259" t="inlineStr">
        <is>
          <t>GOTLANDS LÄN</t>
        </is>
      </c>
      <c r="E259" t="inlineStr">
        <is>
          <t>GOTLAND</t>
        </is>
      </c>
      <c r="G259" t="n">
        <v>2.9</v>
      </c>
      <c r="H259" t="n">
        <v>0</v>
      </c>
      <c r="I259" t="n">
        <v>0</v>
      </c>
      <c r="J259" t="n">
        <v>0</v>
      </c>
      <c r="K259" t="n">
        <v>0</v>
      </c>
      <c r="L259" t="n">
        <v>0</v>
      </c>
      <c r="M259" t="n">
        <v>0</v>
      </c>
      <c r="N259" t="n">
        <v>0</v>
      </c>
      <c r="O259" t="n">
        <v>0</v>
      </c>
      <c r="P259" t="n">
        <v>0</v>
      </c>
      <c r="Q259" t="n">
        <v>0</v>
      </c>
      <c r="R259" s="2" t="inlineStr"/>
    </row>
    <row r="260" ht="15" customHeight="1">
      <c r="A260" t="inlineStr">
        <is>
          <t>A 57522-2022</t>
        </is>
      </c>
      <c r="B260" s="1" t="n">
        <v>44896</v>
      </c>
      <c r="C260" s="1" t="n">
        <v>45987</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15073-2025</t>
        </is>
      </c>
      <c r="B261" s="1" t="n">
        <v>45743</v>
      </c>
      <c r="C261" s="1" t="n">
        <v>45987</v>
      </c>
      <c r="D261" t="inlineStr">
        <is>
          <t>GOTLANDS LÄN</t>
        </is>
      </c>
      <c r="E261" t="inlineStr">
        <is>
          <t>GOTLAND</t>
        </is>
      </c>
      <c r="G261" t="n">
        <v>12.1</v>
      </c>
      <c r="H261" t="n">
        <v>0</v>
      </c>
      <c r="I261" t="n">
        <v>0</v>
      </c>
      <c r="J261" t="n">
        <v>0</v>
      </c>
      <c r="K261" t="n">
        <v>0</v>
      </c>
      <c r="L261" t="n">
        <v>0</v>
      </c>
      <c r="M261" t="n">
        <v>0</v>
      </c>
      <c r="N261" t="n">
        <v>0</v>
      </c>
      <c r="O261" t="n">
        <v>0</v>
      </c>
      <c r="P261" t="n">
        <v>0</v>
      </c>
      <c r="Q261" t="n">
        <v>0</v>
      </c>
      <c r="R261" s="2" t="inlineStr"/>
    </row>
    <row r="262" ht="15" customHeight="1">
      <c r="A262" t="inlineStr">
        <is>
          <t>A 20356-2022</t>
        </is>
      </c>
      <c r="B262" s="1" t="n">
        <v>44699</v>
      </c>
      <c r="C262" s="1" t="n">
        <v>45987</v>
      </c>
      <c r="D262" t="inlineStr">
        <is>
          <t>GOTLANDS LÄN</t>
        </is>
      </c>
      <c r="E262" t="inlineStr">
        <is>
          <t>GOTLAND</t>
        </is>
      </c>
      <c r="F262" t="inlineStr">
        <is>
          <t>Övriga Aktiebolag</t>
        </is>
      </c>
      <c r="G262" t="n">
        <v>4.4</v>
      </c>
      <c r="H262" t="n">
        <v>0</v>
      </c>
      <c r="I262" t="n">
        <v>0</v>
      </c>
      <c r="J262" t="n">
        <v>0</v>
      </c>
      <c r="K262" t="n">
        <v>0</v>
      </c>
      <c r="L262" t="n">
        <v>0</v>
      </c>
      <c r="M262" t="n">
        <v>0</v>
      </c>
      <c r="N262" t="n">
        <v>0</v>
      </c>
      <c r="O262" t="n">
        <v>0</v>
      </c>
      <c r="P262" t="n">
        <v>0</v>
      </c>
      <c r="Q262" t="n">
        <v>0</v>
      </c>
      <c r="R262" s="2" t="inlineStr"/>
    </row>
    <row r="263" ht="15" customHeight="1">
      <c r="A263" t="inlineStr">
        <is>
          <t>A 6749-2025</t>
        </is>
      </c>
      <c r="B263" s="1" t="n">
        <v>45700</v>
      </c>
      <c r="C263" s="1" t="n">
        <v>45987</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63516-2023</t>
        </is>
      </c>
      <c r="B264" s="1" t="n">
        <v>45274</v>
      </c>
      <c r="C264" s="1" t="n">
        <v>45987</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23698-2025</t>
        </is>
      </c>
      <c r="B265" s="1" t="n">
        <v>45793</v>
      </c>
      <c r="C265" s="1" t="n">
        <v>45987</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24001-2021</t>
        </is>
      </c>
      <c r="B266" s="1" t="n">
        <v>44335</v>
      </c>
      <c r="C266" s="1" t="n">
        <v>45987</v>
      </c>
      <c r="D266" t="inlineStr">
        <is>
          <t>GOTLANDS LÄN</t>
        </is>
      </c>
      <c r="E266" t="inlineStr">
        <is>
          <t>GOTLAND</t>
        </is>
      </c>
      <c r="G266" t="n">
        <v>3.4</v>
      </c>
      <c r="H266" t="n">
        <v>0</v>
      </c>
      <c r="I266" t="n">
        <v>0</v>
      </c>
      <c r="J266" t="n">
        <v>0</v>
      </c>
      <c r="K266" t="n">
        <v>0</v>
      </c>
      <c r="L266" t="n">
        <v>0</v>
      </c>
      <c r="M266" t="n">
        <v>0</v>
      </c>
      <c r="N266" t="n">
        <v>0</v>
      </c>
      <c r="O266" t="n">
        <v>0</v>
      </c>
      <c r="P266" t="n">
        <v>0</v>
      </c>
      <c r="Q266" t="n">
        <v>0</v>
      </c>
      <c r="R266" s="2" t="inlineStr"/>
    </row>
    <row r="267" ht="15" customHeight="1">
      <c r="A267" t="inlineStr">
        <is>
          <t>A 30365-2024</t>
        </is>
      </c>
      <c r="B267" s="1" t="n">
        <v>45491.3716087963</v>
      </c>
      <c r="C267" s="1" t="n">
        <v>45987</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1681-2023</t>
        </is>
      </c>
      <c r="B268" s="1" t="n">
        <v>44938.39715277778</v>
      </c>
      <c r="C268" s="1" t="n">
        <v>45987</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5462-2025</t>
        </is>
      </c>
      <c r="B269" s="1" t="n">
        <v>45693.29331018519</v>
      </c>
      <c r="C269" s="1" t="n">
        <v>45987</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18993-2025</t>
        </is>
      </c>
      <c r="B270" s="1" t="n">
        <v>45764</v>
      </c>
      <c r="C270" s="1" t="n">
        <v>45987</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6099-2024</t>
        </is>
      </c>
      <c r="B271" s="1" t="n">
        <v>45337</v>
      </c>
      <c r="C271" s="1" t="n">
        <v>45987</v>
      </c>
      <c r="D271" t="inlineStr">
        <is>
          <t>GOTLANDS LÄN</t>
        </is>
      </c>
      <c r="E271" t="inlineStr">
        <is>
          <t>GOTLAND</t>
        </is>
      </c>
      <c r="G271" t="n">
        <v>12.6</v>
      </c>
      <c r="H271" t="n">
        <v>0</v>
      </c>
      <c r="I271" t="n">
        <v>0</v>
      </c>
      <c r="J271" t="n">
        <v>0</v>
      </c>
      <c r="K271" t="n">
        <v>0</v>
      </c>
      <c r="L271" t="n">
        <v>0</v>
      </c>
      <c r="M271" t="n">
        <v>0</v>
      </c>
      <c r="N271" t="n">
        <v>0</v>
      </c>
      <c r="O271" t="n">
        <v>0</v>
      </c>
      <c r="P271" t="n">
        <v>0</v>
      </c>
      <c r="Q271" t="n">
        <v>0</v>
      </c>
      <c r="R271" s="2" t="inlineStr"/>
    </row>
    <row r="272" ht="15" customHeight="1">
      <c r="A272" t="inlineStr">
        <is>
          <t>A 1273-2023</t>
        </is>
      </c>
      <c r="B272" s="1" t="n">
        <v>44936</v>
      </c>
      <c r="C272" s="1" t="n">
        <v>45987</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30135-2025</t>
        </is>
      </c>
      <c r="B273" s="1" t="n">
        <v>45826</v>
      </c>
      <c r="C273" s="1" t="n">
        <v>45987</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58780-2024</t>
        </is>
      </c>
      <c r="B274" s="1" t="n">
        <v>45635.84113425926</v>
      </c>
      <c r="C274" s="1" t="n">
        <v>45987</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25796-2025</t>
        </is>
      </c>
      <c r="B275" s="1" t="n">
        <v>45804.39543981481</v>
      </c>
      <c r="C275" s="1" t="n">
        <v>45987</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12599-2025</t>
        </is>
      </c>
      <c r="B276" s="1" t="n">
        <v>45733.29546296296</v>
      </c>
      <c r="C276" s="1" t="n">
        <v>45987</v>
      </c>
      <c r="D276" t="inlineStr">
        <is>
          <t>GOTLANDS LÄN</t>
        </is>
      </c>
      <c r="E276" t="inlineStr">
        <is>
          <t>GOTLAND</t>
        </is>
      </c>
      <c r="G276" t="n">
        <v>4.7</v>
      </c>
      <c r="H276" t="n">
        <v>0</v>
      </c>
      <c r="I276" t="n">
        <v>0</v>
      </c>
      <c r="J276" t="n">
        <v>0</v>
      </c>
      <c r="K276" t="n">
        <v>0</v>
      </c>
      <c r="L276" t="n">
        <v>0</v>
      </c>
      <c r="M276" t="n">
        <v>0</v>
      </c>
      <c r="N276" t="n">
        <v>0</v>
      </c>
      <c r="O276" t="n">
        <v>0</v>
      </c>
      <c r="P276" t="n">
        <v>0</v>
      </c>
      <c r="Q276" t="n">
        <v>0</v>
      </c>
      <c r="R276" s="2" t="inlineStr"/>
    </row>
    <row r="277" ht="15" customHeight="1">
      <c r="A277" t="inlineStr">
        <is>
          <t>A 45692-2023</t>
        </is>
      </c>
      <c r="B277" s="1" t="n">
        <v>45195</v>
      </c>
      <c r="C277" s="1" t="n">
        <v>45987</v>
      </c>
      <c r="D277" t="inlineStr">
        <is>
          <t>GOTLANDS LÄN</t>
        </is>
      </c>
      <c r="E277" t="inlineStr">
        <is>
          <t>GOTLAND</t>
        </is>
      </c>
      <c r="G277" t="n">
        <v>5.3</v>
      </c>
      <c r="H277" t="n">
        <v>0</v>
      </c>
      <c r="I277" t="n">
        <v>0</v>
      </c>
      <c r="J277" t="n">
        <v>0</v>
      </c>
      <c r="K277" t="n">
        <v>0</v>
      </c>
      <c r="L277" t="n">
        <v>0</v>
      </c>
      <c r="M277" t="n">
        <v>0</v>
      </c>
      <c r="N277" t="n">
        <v>0</v>
      </c>
      <c r="O277" t="n">
        <v>0</v>
      </c>
      <c r="P277" t="n">
        <v>0</v>
      </c>
      <c r="Q277" t="n">
        <v>0</v>
      </c>
      <c r="R277" s="2" t="inlineStr"/>
    </row>
    <row r="278" ht="15" customHeight="1">
      <c r="A278" t="inlineStr">
        <is>
          <t>A 35141-2025</t>
        </is>
      </c>
      <c r="B278" s="1" t="n">
        <v>45852.65206018519</v>
      </c>
      <c r="C278" s="1" t="n">
        <v>45987</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33876-2024</t>
        </is>
      </c>
      <c r="B279" s="1" t="n">
        <v>45521.87988425926</v>
      </c>
      <c r="C279" s="1" t="n">
        <v>45987</v>
      </c>
      <c r="D279" t="inlineStr">
        <is>
          <t>GOTLANDS LÄN</t>
        </is>
      </c>
      <c r="E279" t="inlineStr">
        <is>
          <t>GOTLAND</t>
        </is>
      </c>
      <c r="G279" t="n">
        <v>1.3</v>
      </c>
      <c r="H279" t="n">
        <v>0</v>
      </c>
      <c r="I279" t="n">
        <v>0</v>
      </c>
      <c r="J279" t="n">
        <v>0</v>
      </c>
      <c r="K279" t="n">
        <v>0</v>
      </c>
      <c r="L279" t="n">
        <v>0</v>
      </c>
      <c r="M279" t="n">
        <v>0</v>
      </c>
      <c r="N279" t="n">
        <v>0</v>
      </c>
      <c r="O279" t="n">
        <v>0</v>
      </c>
      <c r="P279" t="n">
        <v>0</v>
      </c>
      <c r="Q279" t="n">
        <v>0</v>
      </c>
      <c r="R279" s="2" t="inlineStr"/>
    </row>
    <row r="280" ht="15" customHeight="1">
      <c r="A280" t="inlineStr">
        <is>
          <t>A 35142-2025</t>
        </is>
      </c>
      <c r="B280" s="1" t="n">
        <v>45852.65532407408</v>
      </c>
      <c r="C280" s="1" t="n">
        <v>45987</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28285-2024</t>
        </is>
      </c>
      <c r="B281" s="1" t="n">
        <v>45477</v>
      </c>
      <c r="C281" s="1" t="n">
        <v>45987</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61100-2022</t>
        </is>
      </c>
      <c r="B282" s="1" t="n">
        <v>44915</v>
      </c>
      <c r="C282" s="1" t="n">
        <v>45987</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61682-2024</t>
        </is>
      </c>
      <c r="B283" s="1" t="n">
        <v>45647.48824074074</v>
      </c>
      <c r="C283" s="1" t="n">
        <v>45987</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39819-2025</t>
        </is>
      </c>
      <c r="B284" s="1" t="n">
        <v>45891.53418981482</v>
      </c>
      <c r="C284" s="1" t="n">
        <v>45987</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26457-2025</t>
        </is>
      </c>
      <c r="B285" s="1" t="n">
        <v>45807.42773148148</v>
      </c>
      <c r="C285" s="1" t="n">
        <v>45987</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26467-2025</t>
        </is>
      </c>
      <c r="B286" s="1" t="n">
        <v>45807.44640046296</v>
      </c>
      <c r="C286" s="1" t="n">
        <v>45987</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39814-2025</t>
        </is>
      </c>
      <c r="B287" s="1" t="n">
        <v>45891.52694444444</v>
      </c>
      <c r="C287" s="1" t="n">
        <v>45987</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26465-2025</t>
        </is>
      </c>
      <c r="B288" s="1" t="n">
        <v>45807.44377314814</v>
      </c>
      <c r="C288" s="1" t="n">
        <v>45987</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39849-2025</t>
        </is>
      </c>
      <c r="B289" s="1" t="n">
        <v>45891.58502314815</v>
      </c>
      <c r="C289" s="1" t="n">
        <v>45987</v>
      </c>
      <c r="D289" t="inlineStr">
        <is>
          <t>GOTLANDS LÄN</t>
        </is>
      </c>
      <c r="E289" t="inlineStr">
        <is>
          <t>GOTLAND</t>
        </is>
      </c>
      <c r="G289" t="n">
        <v>6.1</v>
      </c>
      <c r="H289" t="n">
        <v>0</v>
      </c>
      <c r="I289" t="n">
        <v>0</v>
      </c>
      <c r="J289" t="n">
        <v>0</v>
      </c>
      <c r="K289" t="n">
        <v>0</v>
      </c>
      <c r="L289" t="n">
        <v>0</v>
      </c>
      <c r="M289" t="n">
        <v>0</v>
      </c>
      <c r="N289" t="n">
        <v>0</v>
      </c>
      <c r="O289" t="n">
        <v>0</v>
      </c>
      <c r="P289" t="n">
        <v>0</v>
      </c>
      <c r="Q289" t="n">
        <v>0</v>
      </c>
      <c r="R289" s="2" t="inlineStr"/>
    </row>
    <row r="290" ht="15" customHeight="1">
      <c r="A290" t="inlineStr">
        <is>
          <t>A 26660-2025</t>
        </is>
      </c>
      <c r="B290" s="1" t="n">
        <v>45810.39737268518</v>
      </c>
      <c r="C290" s="1" t="n">
        <v>45987</v>
      </c>
      <c r="D290" t="inlineStr">
        <is>
          <t>GOTLANDS LÄN</t>
        </is>
      </c>
      <c r="E290" t="inlineStr">
        <is>
          <t>GOTLAND</t>
        </is>
      </c>
      <c r="G290" t="n">
        <v>1.8</v>
      </c>
      <c r="H290" t="n">
        <v>0</v>
      </c>
      <c r="I290" t="n">
        <v>0</v>
      </c>
      <c r="J290" t="n">
        <v>0</v>
      </c>
      <c r="K290" t="n">
        <v>0</v>
      </c>
      <c r="L290" t="n">
        <v>0</v>
      </c>
      <c r="M290" t="n">
        <v>0</v>
      </c>
      <c r="N290" t="n">
        <v>0</v>
      </c>
      <c r="O290" t="n">
        <v>0</v>
      </c>
      <c r="P290" t="n">
        <v>0</v>
      </c>
      <c r="Q290" t="n">
        <v>0</v>
      </c>
      <c r="R290" s="2" t="inlineStr"/>
    </row>
    <row r="291" ht="15" customHeight="1">
      <c r="A291" t="inlineStr">
        <is>
          <t>A 39752-2025</t>
        </is>
      </c>
      <c r="B291" s="1" t="n">
        <v>45891</v>
      </c>
      <c r="C291" s="1" t="n">
        <v>45987</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38649-2025</t>
        </is>
      </c>
      <c r="B292" s="1" t="n">
        <v>45884</v>
      </c>
      <c r="C292" s="1" t="n">
        <v>45987</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39816-2025</t>
        </is>
      </c>
      <c r="B293" s="1" t="n">
        <v>45891</v>
      </c>
      <c r="C293" s="1" t="n">
        <v>45987</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40103-2025</t>
        </is>
      </c>
      <c r="B294" s="1" t="n">
        <v>45894.4880324074</v>
      </c>
      <c r="C294" s="1" t="n">
        <v>45987</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40373-2025</t>
        </is>
      </c>
      <c r="B295" s="1" t="n">
        <v>45895.51821759259</v>
      </c>
      <c r="C295" s="1" t="n">
        <v>45987</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40499-2025</t>
        </is>
      </c>
      <c r="B296" s="1" t="n">
        <v>45896.32517361111</v>
      </c>
      <c r="C296" s="1" t="n">
        <v>45987</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45987</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58388-2022</t>
        </is>
      </c>
      <c r="B298" s="1" t="n">
        <v>44894</v>
      </c>
      <c r="C298" s="1" t="n">
        <v>45987</v>
      </c>
      <c r="D298" t="inlineStr">
        <is>
          <t>GOTLANDS LÄN</t>
        </is>
      </c>
      <c r="E298" t="inlineStr">
        <is>
          <t>GOTLAND</t>
        </is>
      </c>
      <c r="F298" t="inlineStr">
        <is>
          <t>Övriga statliga verk och myndigheter</t>
        </is>
      </c>
      <c r="G298" t="n">
        <v>3.1</v>
      </c>
      <c r="H298" t="n">
        <v>0</v>
      </c>
      <c r="I298" t="n">
        <v>0</v>
      </c>
      <c r="J298" t="n">
        <v>0</v>
      </c>
      <c r="K298" t="n">
        <v>0</v>
      </c>
      <c r="L298" t="n">
        <v>0</v>
      </c>
      <c r="M298" t="n">
        <v>0</v>
      </c>
      <c r="N298" t="n">
        <v>0</v>
      </c>
      <c r="O298" t="n">
        <v>0</v>
      </c>
      <c r="P298" t="n">
        <v>0</v>
      </c>
      <c r="Q298" t="n">
        <v>0</v>
      </c>
      <c r="R298" s="2" t="inlineStr"/>
    </row>
    <row r="299" ht="15" customHeight="1">
      <c r="A299" t="inlineStr">
        <is>
          <t>A 21792-2024</t>
        </is>
      </c>
      <c r="B299" s="1" t="n">
        <v>45442.64326388889</v>
      </c>
      <c r="C299" s="1" t="n">
        <v>45987</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27371-2025</t>
        </is>
      </c>
      <c r="B300" s="1" t="n">
        <v>45812</v>
      </c>
      <c r="C300" s="1" t="n">
        <v>45987</v>
      </c>
      <c r="D300" t="inlineStr">
        <is>
          <t>GOTLANDS LÄN</t>
        </is>
      </c>
      <c r="E300" t="inlineStr">
        <is>
          <t>GOTLAND</t>
        </is>
      </c>
      <c r="G300" t="n">
        <v>8</v>
      </c>
      <c r="H300" t="n">
        <v>0</v>
      </c>
      <c r="I300" t="n">
        <v>0</v>
      </c>
      <c r="J300" t="n">
        <v>0</v>
      </c>
      <c r="K300" t="n">
        <v>0</v>
      </c>
      <c r="L300" t="n">
        <v>0</v>
      </c>
      <c r="M300" t="n">
        <v>0</v>
      </c>
      <c r="N300" t="n">
        <v>0</v>
      </c>
      <c r="O300" t="n">
        <v>0</v>
      </c>
      <c r="P300" t="n">
        <v>0</v>
      </c>
      <c r="Q300" t="n">
        <v>0</v>
      </c>
      <c r="R300" s="2" t="inlineStr"/>
    </row>
    <row r="301" ht="15" customHeight="1">
      <c r="A301" t="inlineStr">
        <is>
          <t>A 27355-2025</t>
        </is>
      </c>
      <c r="B301" s="1" t="n">
        <v>45812</v>
      </c>
      <c r="C301" s="1" t="n">
        <v>45987</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39278-2025</t>
        </is>
      </c>
      <c r="B302" s="1" t="n">
        <v>45889</v>
      </c>
      <c r="C302" s="1" t="n">
        <v>45987</v>
      </c>
      <c r="D302" t="inlineStr">
        <is>
          <t>GOTLANDS LÄN</t>
        </is>
      </c>
      <c r="E302" t="inlineStr">
        <is>
          <t>GOTLAND</t>
        </is>
      </c>
      <c r="G302" t="n">
        <v>3.7</v>
      </c>
      <c r="H302" t="n">
        <v>0</v>
      </c>
      <c r="I302" t="n">
        <v>0</v>
      </c>
      <c r="J302" t="n">
        <v>0</v>
      </c>
      <c r="K302" t="n">
        <v>0</v>
      </c>
      <c r="L302" t="n">
        <v>0</v>
      </c>
      <c r="M302" t="n">
        <v>0</v>
      </c>
      <c r="N302" t="n">
        <v>0</v>
      </c>
      <c r="O302" t="n">
        <v>0</v>
      </c>
      <c r="P302" t="n">
        <v>0</v>
      </c>
      <c r="Q302" t="n">
        <v>0</v>
      </c>
      <c r="R302" s="2" t="inlineStr"/>
    </row>
    <row r="303" ht="15" customHeight="1">
      <c r="A303" t="inlineStr">
        <is>
          <t>A 6739-2025</t>
        </is>
      </c>
      <c r="B303" s="1" t="n">
        <v>45700</v>
      </c>
      <c r="C303" s="1" t="n">
        <v>45987</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7850-2025</t>
        </is>
      </c>
      <c r="B304" s="1" t="n">
        <v>45706</v>
      </c>
      <c r="C304" s="1" t="n">
        <v>45987</v>
      </c>
      <c r="D304" t="inlineStr">
        <is>
          <t>GOTLANDS LÄN</t>
        </is>
      </c>
      <c r="E304" t="inlineStr">
        <is>
          <t>GOTLAND</t>
        </is>
      </c>
      <c r="G304" t="n">
        <v>0.5</v>
      </c>
      <c r="H304" t="n">
        <v>0</v>
      </c>
      <c r="I304" t="n">
        <v>0</v>
      </c>
      <c r="J304" t="n">
        <v>0</v>
      </c>
      <c r="K304" t="n">
        <v>0</v>
      </c>
      <c r="L304" t="n">
        <v>0</v>
      </c>
      <c r="M304" t="n">
        <v>0</v>
      </c>
      <c r="N304" t="n">
        <v>0</v>
      </c>
      <c r="O304" t="n">
        <v>0</v>
      </c>
      <c r="P304" t="n">
        <v>0</v>
      </c>
      <c r="Q304" t="n">
        <v>0</v>
      </c>
      <c r="R304" s="2" t="inlineStr"/>
    </row>
    <row r="305" ht="15" customHeight="1">
      <c r="A305" t="inlineStr">
        <is>
          <t>A 17688-2024</t>
        </is>
      </c>
      <c r="B305" s="1" t="n">
        <v>45418.43575231481</v>
      </c>
      <c r="C305" s="1" t="n">
        <v>45987</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8444-2025</t>
        </is>
      </c>
      <c r="B306" s="1" t="n">
        <v>45709</v>
      </c>
      <c r="C306" s="1" t="n">
        <v>45987</v>
      </c>
      <c r="D306" t="inlineStr">
        <is>
          <t>GOTLANDS LÄN</t>
        </is>
      </c>
      <c r="E306" t="inlineStr">
        <is>
          <t>GOTLAND</t>
        </is>
      </c>
      <c r="G306" t="n">
        <v>5.2</v>
      </c>
      <c r="H306" t="n">
        <v>0</v>
      </c>
      <c r="I306" t="n">
        <v>0</v>
      </c>
      <c r="J306" t="n">
        <v>0</v>
      </c>
      <c r="K306" t="n">
        <v>0</v>
      </c>
      <c r="L306" t="n">
        <v>0</v>
      </c>
      <c r="M306" t="n">
        <v>0</v>
      </c>
      <c r="N306" t="n">
        <v>0</v>
      </c>
      <c r="O306" t="n">
        <v>0</v>
      </c>
      <c r="P306" t="n">
        <v>0</v>
      </c>
      <c r="Q306" t="n">
        <v>0</v>
      </c>
      <c r="R306" s="2" t="inlineStr"/>
    </row>
    <row r="307" ht="15" customHeight="1">
      <c r="A307" t="inlineStr">
        <is>
          <t>A 7837-2024</t>
        </is>
      </c>
      <c r="B307" s="1" t="n">
        <v>45349.83787037037</v>
      </c>
      <c r="C307" s="1" t="n">
        <v>45987</v>
      </c>
      <c r="D307" t="inlineStr">
        <is>
          <t>GOTLANDS LÄN</t>
        </is>
      </c>
      <c r="E307" t="inlineStr">
        <is>
          <t>GOTLAND</t>
        </is>
      </c>
      <c r="G307" t="n">
        <v>5</v>
      </c>
      <c r="H307" t="n">
        <v>0</v>
      </c>
      <c r="I307" t="n">
        <v>0</v>
      </c>
      <c r="J307" t="n">
        <v>0</v>
      </c>
      <c r="K307" t="n">
        <v>0</v>
      </c>
      <c r="L307" t="n">
        <v>0</v>
      </c>
      <c r="M307" t="n">
        <v>0</v>
      </c>
      <c r="N307" t="n">
        <v>0</v>
      </c>
      <c r="O307" t="n">
        <v>0</v>
      </c>
      <c r="P307" t="n">
        <v>0</v>
      </c>
      <c r="Q307" t="n">
        <v>0</v>
      </c>
      <c r="R307" s="2" t="inlineStr"/>
    </row>
    <row r="308" ht="15" customHeight="1">
      <c r="A308" t="inlineStr">
        <is>
          <t>A 41435-2025</t>
        </is>
      </c>
      <c r="B308" s="1" t="n">
        <v>45901.39974537037</v>
      </c>
      <c r="C308" s="1" t="n">
        <v>45987</v>
      </c>
      <c r="D308" t="inlineStr">
        <is>
          <t>GOTLANDS LÄN</t>
        </is>
      </c>
      <c r="E308" t="inlineStr">
        <is>
          <t>GOTLAND</t>
        </is>
      </c>
      <c r="G308" t="n">
        <v>4.9</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45987</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41551-2025</t>
        </is>
      </c>
      <c r="B310" s="1" t="n">
        <v>45901.58854166666</v>
      </c>
      <c r="C310" s="1" t="n">
        <v>45987</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19905-2025</t>
        </is>
      </c>
      <c r="B311" s="1" t="n">
        <v>45771</v>
      </c>
      <c r="C311" s="1" t="n">
        <v>45987</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50928-2025</t>
        </is>
      </c>
      <c r="B312" s="1" t="n">
        <v>45946.67896990741</v>
      </c>
      <c r="C312" s="1" t="n">
        <v>45987</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45987</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45987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29207-2025</t>
        </is>
      </c>
      <c r="B315" s="1" t="n">
        <v>45823</v>
      </c>
      <c r="C315" s="1" t="n">
        <v>45987</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5905-2024</t>
        </is>
      </c>
      <c r="B316" s="1" t="n">
        <v>45335.88993055555</v>
      </c>
      <c r="C316" s="1" t="n">
        <v>45987</v>
      </c>
      <c r="D316" t="inlineStr">
        <is>
          <t>GOTLANDS LÄN</t>
        </is>
      </c>
      <c r="E316" t="inlineStr">
        <is>
          <t>GOTLAND</t>
        </is>
      </c>
      <c r="G316" t="n">
        <v>3</v>
      </c>
      <c r="H316" t="n">
        <v>0</v>
      </c>
      <c r="I316" t="n">
        <v>0</v>
      </c>
      <c r="J316" t="n">
        <v>0</v>
      </c>
      <c r="K316" t="n">
        <v>0</v>
      </c>
      <c r="L316" t="n">
        <v>0</v>
      </c>
      <c r="M316" t="n">
        <v>0</v>
      </c>
      <c r="N316" t="n">
        <v>0</v>
      </c>
      <c r="O316" t="n">
        <v>0</v>
      </c>
      <c r="P316" t="n">
        <v>0</v>
      </c>
      <c r="Q316" t="n">
        <v>0</v>
      </c>
      <c r="R316" s="2" t="inlineStr"/>
    </row>
    <row r="317" ht="15" customHeight="1">
      <c r="A317" t="inlineStr">
        <is>
          <t>A 51262-2025</t>
        </is>
      </c>
      <c r="B317" s="1" t="n">
        <v>45949.49872685185</v>
      </c>
      <c r="C317" s="1" t="n">
        <v>45987</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1291-2023</t>
        </is>
      </c>
      <c r="B318" s="1" t="n">
        <v>44936.47561342592</v>
      </c>
      <c r="C318" s="1" t="n">
        <v>45987</v>
      </c>
      <c r="D318" t="inlineStr">
        <is>
          <t>GOTLANDS LÄN</t>
        </is>
      </c>
      <c r="E318" t="inlineStr">
        <is>
          <t>GOTLAND</t>
        </is>
      </c>
      <c r="G318" t="n">
        <v>7.4</v>
      </c>
      <c r="H318" t="n">
        <v>0</v>
      </c>
      <c r="I318" t="n">
        <v>0</v>
      </c>
      <c r="J318" t="n">
        <v>0</v>
      </c>
      <c r="K318" t="n">
        <v>0</v>
      </c>
      <c r="L318" t="n">
        <v>0</v>
      </c>
      <c r="M318" t="n">
        <v>0</v>
      </c>
      <c r="N318" t="n">
        <v>0</v>
      </c>
      <c r="O318" t="n">
        <v>0</v>
      </c>
      <c r="P318" t="n">
        <v>0</v>
      </c>
      <c r="Q318" t="n">
        <v>0</v>
      </c>
      <c r="R318" s="2" t="inlineStr"/>
    </row>
    <row r="319" ht="15" customHeight="1">
      <c r="A319" t="inlineStr">
        <is>
          <t>A 30061-2025</t>
        </is>
      </c>
      <c r="B319" s="1" t="n">
        <v>45826.61488425926</v>
      </c>
      <c r="C319" s="1" t="n">
        <v>45987</v>
      </c>
      <c r="D319" t="inlineStr">
        <is>
          <t>GOTLANDS LÄN</t>
        </is>
      </c>
      <c r="E319" t="inlineStr">
        <is>
          <t>GOTLAND</t>
        </is>
      </c>
      <c r="G319" t="n">
        <v>4.1</v>
      </c>
      <c r="H319" t="n">
        <v>0</v>
      </c>
      <c r="I319" t="n">
        <v>0</v>
      </c>
      <c r="J319" t="n">
        <v>0</v>
      </c>
      <c r="K319" t="n">
        <v>0</v>
      </c>
      <c r="L319" t="n">
        <v>0</v>
      </c>
      <c r="M319" t="n">
        <v>0</v>
      </c>
      <c r="N319" t="n">
        <v>0</v>
      </c>
      <c r="O319" t="n">
        <v>0</v>
      </c>
      <c r="P319" t="n">
        <v>0</v>
      </c>
      <c r="Q319" t="n">
        <v>0</v>
      </c>
      <c r="R319" s="2" t="inlineStr"/>
    </row>
    <row r="320" ht="15" customHeight="1">
      <c r="A320" t="inlineStr">
        <is>
          <t>A 57652-2023</t>
        </is>
      </c>
      <c r="B320" s="1" t="n">
        <v>45246</v>
      </c>
      <c r="C320" s="1" t="n">
        <v>45987</v>
      </c>
      <c r="D320" t="inlineStr">
        <is>
          <t>GOTLANDS LÄN</t>
        </is>
      </c>
      <c r="E320" t="inlineStr">
        <is>
          <t>GOTLAND</t>
        </is>
      </c>
      <c r="G320" t="n">
        <v>7.2</v>
      </c>
      <c r="H320" t="n">
        <v>0</v>
      </c>
      <c r="I320" t="n">
        <v>0</v>
      </c>
      <c r="J320" t="n">
        <v>0</v>
      </c>
      <c r="K320" t="n">
        <v>0</v>
      </c>
      <c r="L320" t="n">
        <v>0</v>
      </c>
      <c r="M320" t="n">
        <v>0</v>
      </c>
      <c r="N320" t="n">
        <v>0</v>
      </c>
      <c r="O320" t="n">
        <v>0</v>
      </c>
      <c r="P320" t="n">
        <v>0</v>
      </c>
      <c r="Q320" t="n">
        <v>0</v>
      </c>
      <c r="R320" s="2" t="inlineStr"/>
    </row>
    <row r="321" ht="15" customHeight="1">
      <c r="A321" t="inlineStr">
        <is>
          <t>A 58160-2024</t>
        </is>
      </c>
      <c r="B321" s="1" t="n">
        <v>45632.44927083333</v>
      </c>
      <c r="C321" s="1" t="n">
        <v>45987</v>
      </c>
      <c r="D321" t="inlineStr">
        <is>
          <t>GOTLANDS LÄN</t>
        </is>
      </c>
      <c r="E321" t="inlineStr">
        <is>
          <t>GOTLAND</t>
        </is>
      </c>
      <c r="G321" t="n">
        <v>5.6</v>
      </c>
      <c r="H321" t="n">
        <v>0</v>
      </c>
      <c r="I321" t="n">
        <v>0</v>
      </c>
      <c r="J321" t="n">
        <v>0</v>
      </c>
      <c r="K321" t="n">
        <v>0</v>
      </c>
      <c r="L321" t="n">
        <v>0</v>
      </c>
      <c r="M321" t="n">
        <v>0</v>
      </c>
      <c r="N321" t="n">
        <v>0</v>
      </c>
      <c r="O321" t="n">
        <v>0</v>
      </c>
      <c r="P321" t="n">
        <v>0</v>
      </c>
      <c r="Q321" t="n">
        <v>0</v>
      </c>
      <c r="R321" s="2" t="inlineStr"/>
    </row>
    <row r="322" ht="15" customHeight="1">
      <c r="A322" t="inlineStr">
        <is>
          <t>A 42608-2025</t>
        </is>
      </c>
      <c r="B322" s="1" t="n">
        <v>45905</v>
      </c>
      <c r="C322" s="1" t="n">
        <v>45987</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45987</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45106-2024</t>
        </is>
      </c>
      <c r="B324" s="1" t="n">
        <v>45575</v>
      </c>
      <c r="C324" s="1" t="n">
        <v>45987</v>
      </c>
      <c r="D324" t="inlineStr">
        <is>
          <t>GOTLANDS LÄN</t>
        </is>
      </c>
      <c r="E324" t="inlineStr">
        <is>
          <t>GOTLAND</t>
        </is>
      </c>
      <c r="G324" t="n">
        <v>10</v>
      </c>
      <c r="H324" t="n">
        <v>0</v>
      </c>
      <c r="I324" t="n">
        <v>0</v>
      </c>
      <c r="J324" t="n">
        <v>0</v>
      </c>
      <c r="K324" t="n">
        <v>0</v>
      </c>
      <c r="L324" t="n">
        <v>0</v>
      </c>
      <c r="M324" t="n">
        <v>0</v>
      </c>
      <c r="N324" t="n">
        <v>0</v>
      </c>
      <c r="O324" t="n">
        <v>0</v>
      </c>
      <c r="P324" t="n">
        <v>0</v>
      </c>
      <c r="Q324" t="n">
        <v>0</v>
      </c>
      <c r="R324" s="2" t="inlineStr"/>
    </row>
    <row r="325" ht="15" customHeight="1">
      <c r="A325" t="inlineStr">
        <is>
          <t>A 45112-2024</t>
        </is>
      </c>
      <c r="B325" s="1" t="n">
        <v>45575</v>
      </c>
      <c r="C325" s="1" t="n">
        <v>45987</v>
      </c>
      <c r="D325" t="inlineStr">
        <is>
          <t>GOTLANDS LÄN</t>
        </is>
      </c>
      <c r="E325" t="inlineStr">
        <is>
          <t>GOTLAND</t>
        </is>
      </c>
      <c r="G325" t="n">
        <v>5.1</v>
      </c>
      <c r="H325" t="n">
        <v>0</v>
      </c>
      <c r="I325" t="n">
        <v>0</v>
      </c>
      <c r="J325" t="n">
        <v>0</v>
      </c>
      <c r="K325" t="n">
        <v>0</v>
      </c>
      <c r="L325" t="n">
        <v>0</v>
      </c>
      <c r="M325" t="n">
        <v>0</v>
      </c>
      <c r="N325" t="n">
        <v>0</v>
      </c>
      <c r="O325" t="n">
        <v>0</v>
      </c>
      <c r="P325" t="n">
        <v>0</v>
      </c>
      <c r="Q325" t="n">
        <v>0</v>
      </c>
      <c r="R325" s="2" t="inlineStr"/>
    </row>
    <row r="326" ht="15" customHeight="1">
      <c r="A326" t="inlineStr">
        <is>
          <t>A 2676-2023</t>
        </is>
      </c>
      <c r="B326" s="1" t="n">
        <v>44944</v>
      </c>
      <c r="C326" s="1" t="n">
        <v>45987</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3150-2025</t>
        </is>
      </c>
      <c r="B327" s="1" t="n">
        <v>45679.28974537037</v>
      </c>
      <c r="C327" s="1" t="n">
        <v>45987</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45987</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45987</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45987</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45987</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16373-2025</t>
        </is>
      </c>
      <c r="B332" s="1" t="n">
        <v>45751</v>
      </c>
      <c r="C332" s="1" t="n">
        <v>45987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20356-2022</t>
        </is>
      </c>
      <c r="B333" s="1" t="n">
        <v>44699</v>
      </c>
      <c r="C333" s="1" t="n">
        <v>45987</v>
      </c>
      <c r="D333" t="inlineStr">
        <is>
          <t>GOTLANDS LÄN</t>
        </is>
      </c>
      <c r="E333" t="inlineStr">
        <is>
          <t>GOTLAND</t>
        </is>
      </c>
      <c r="F333" t="inlineStr">
        <is>
          <t>Övriga Aktiebolag</t>
        </is>
      </c>
      <c r="G333" t="n">
        <v>4.4</v>
      </c>
      <c r="H333" t="n">
        <v>0</v>
      </c>
      <c r="I333" t="n">
        <v>0</v>
      </c>
      <c r="J333" t="n">
        <v>0</v>
      </c>
      <c r="K333" t="n">
        <v>0</v>
      </c>
      <c r="L333" t="n">
        <v>0</v>
      </c>
      <c r="M333" t="n">
        <v>0</v>
      </c>
      <c r="N333" t="n">
        <v>0</v>
      </c>
      <c r="O333" t="n">
        <v>0</v>
      </c>
      <c r="P333" t="n">
        <v>0</v>
      </c>
      <c r="Q333" t="n">
        <v>0</v>
      </c>
      <c r="R333" s="2" t="inlineStr"/>
    </row>
    <row r="334" ht="15" customHeight="1">
      <c r="A334" t="inlineStr">
        <is>
          <t>A 48734-2022</t>
        </is>
      </c>
      <c r="B334" s="1" t="n">
        <v>44855</v>
      </c>
      <c r="C334" s="1" t="n">
        <v>45987</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14141-2024</t>
        </is>
      </c>
      <c r="B335" s="1" t="n">
        <v>45392.85193287037</v>
      </c>
      <c r="C335" s="1" t="n">
        <v>45987</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29809-2022</t>
        </is>
      </c>
      <c r="B336" s="1" t="n">
        <v>44755.8713425926</v>
      </c>
      <c r="C336" s="1" t="n">
        <v>45987</v>
      </c>
      <c r="D336" t="inlineStr">
        <is>
          <t>GOTLANDS LÄN</t>
        </is>
      </c>
      <c r="E336" t="inlineStr">
        <is>
          <t>GOTLAND</t>
        </is>
      </c>
      <c r="G336" t="n">
        <v>11.5</v>
      </c>
      <c r="H336" t="n">
        <v>0</v>
      </c>
      <c r="I336" t="n">
        <v>0</v>
      </c>
      <c r="J336" t="n">
        <v>0</v>
      </c>
      <c r="K336" t="n">
        <v>0</v>
      </c>
      <c r="L336" t="n">
        <v>0</v>
      </c>
      <c r="M336" t="n">
        <v>0</v>
      </c>
      <c r="N336" t="n">
        <v>0</v>
      </c>
      <c r="O336" t="n">
        <v>0</v>
      </c>
      <c r="P336" t="n">
        <v>0</v>
      </c>
      <c r="Q336" t="n">
        <v>0</v>
      </c>
      <c r="R336" s="2" t="inlineStr"/>
    </row>
    <row r="337" ht="15" customHeight="1">
      <c r="A337" t="inlineStr">
        <is>
          <t>A 32379-2025</t>
        </is>
      </c>
      <c r="B337" s="1" t="n">
        <v>45837</v>
      </c>
      <c r="C337" s="1" t="n">
        <v>45987</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52637-2025</t>
        </is>
      </c>
      <c r="B338" s="1" t="n">
        <v>45954.75099537037</v>
      </c>
      <c r="C338" s="1" t="n">
        <v>45987</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45987</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16109-2025</t>
        </is>
      </c>
      <c r="B340" s="1" t="n">
        <v>45750</v>
      </c>
      <c r="C340" s="1" t="n">
        <v>45987</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52249-2025</t>
        </is>
      </c>
      <c r="B341" s="1" t="n">
        <v>45953.48637731482</v>
      </c>
      <c r="C341" s="1" t="n">
        <v>45987</v>
      </c>
      <c r="D341" t="inlineStr">
        <is>
          <t>GOTLANDS LÄN</t>
        </is>
      </c>
      <c r="E341" t="inlineStr">
        <is>
          <t>GOTLAND</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10158-2025</t>
        </is>
      </c>
      <c r="B342" s="1" t="n">
        <v>45719</v>
      </c>
      <c r="C342" s="1" t="n">
        <v>45987</v>
      </c>
      <c r="D342" t="inlineStr">
        <is>
          <t>GOTLANDS LÄN</t>
        </is>
      </c>
      <c r="E342" t="inlineStr">
        <is>
          <t>GOTLAND</t>
        </is>
      </c>
      <c r="G342" t="n">
        <v>3.5</v>
      </c>
      <c r="H342" t="n">
        <v>0</v>
      </c>
      <c r="I342" t="n">
        <v>0</v>
      </c>
      <c r="J342" t="n">
        <v>0</v>
      </c>
      <c r="K342" t="n">
        <v>0</v>
      </c>
      <c r="L342" t="n">
        <v>0</v>
      </c>
      <c r="M342" t="n">
        <v>0</v>
      </c>
      <c r="N342" t="n">
        <v>0</v>
      </c>
      <c r="O342" t="n">
        <v>0</v>
      </c>
      <c r="P342" t="n">
        <v>0</v>
      </c>
      <c r="Q342" t="n">
        <v>0</v>
      </c>
      <c r="R342" s="2" t="inlineStr"/>
    </row>
    <row r="343" ht="15" customHeight="1">
      <c r="A343" t="inlineStr">
        <is>
          <t>A 57685-2022</t>
        </is>
      </c>
      <c r="B343" s="1" t="n">
        <v>44897.4777662037</v>
      </c>
      <c r="C343" s="1" t="n">
        <v>45987</v>
      </c>
      <c r="D343" t="inlineStr">
        <is>
          <t>GOTLANDS LÄN</t>
        </is>
      </c>
      <c r="E343" t="inlineStr">
        <is>
          <t>GOTLAND</t>
        </is>
      </c>
      <c r="G343" t="n">
        <v>3.7</v>
      </c>
      <c r="H343" t="n">
        <v>0</v>
      </c>
      <c r="I343" t="n">
        <v>0</v>
      </c>
      <c r="J343" t="n">
        <v>0</v>
      </c>
      <c r="K343" t="n">
        <v>0</v>
      </c>
      <c r="L343" t="n">
        <v>0</v>
      </c>
      <c r="M343" t="n">
        <v>0</v>
      </c>
      <c r="N343" t="n">
        <v>0</v>
      </c>
      <c r="O343" t="n">
        <v>0</v>
      </c>
      <c r="P343" t="n">
        <v>0</v>
      </c>
      <c r="Q343" t="n">
        <v>0</v>
      </c>
      <c r="R343" s="2" t="inlineStr"/>
    </row>
    <row r="344" ht="15" customHeight="1">
      <c r="A344" t="inlineStr">
        <is>
          <t>A 33007-2025</t>
        </is>
      </c>
      <c r="B344" s="1" t="n">
        <v>45840</v>
      </c>
      <c r="C344" s="1" t="n">
        <v>45987</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30815-2023</t>
        </is>
      </c>
      <c r="B345" s="1" t="n">
        <v>45112</v>
      </c>
      <c r="C345" s="1" t="n">
        <v>45987</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43911-2025</t>
        </is>
      </c>
      <c r="B346" s="1" t="n">
        <v>45914.3881712963</v>
      </c>
      <c r="C346" s="1" t="n">
        <v>45987</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44410-2025</t>
        </is>
      </c>
      <c r="B347" s="1" t="n">
        <v>45916.53699074074</v>
      </c>
      <c r="C347" s="1" t="n">
        <v>45987</v>
      </c>
      <c r="D347" t="inlineStr">
        <is>
          <t>GOTLANDS LÄN</t>
        </is>
      </c>
      <c r="E347" t="inlineStr">
        <is>
          <t>GOTLAND</t>
        </is>
      </c>
      <c r="G347" t="n">
        <v>2.3</v>
      </c>
      <c r="H347" t="n">
        <v>0</v>
      </c>
      <c r="I347" t="n">
        <v>0</v>
      </c>
      <c r="J347" t="n">
        <v>0</v>
      </c>
      <c r="K347" t="n">
        <v>0</v>
      </c>
      <c r="L347" t="n">
        <v>0</v>
      </c>
      <c r="M347" t="n">
        <v>0</v>
      </c>
      <c r="N347" t="n">
        <v>0</v>
      </c>
      <c r="O347" t="n">
        <v>0</v>
      </c>
      <c r="P347" t="n">
        <v>0</v>
      </c>
      <c r="Q347" t="n">
        <v>0</v>
      </c>
      <c r="R347" s="2" t="inlineStr"/>
    </row>
    <row r="348" ht="15" customHeight="1">
      <c r="A348" t="inlineStr">
        <is>
          <t>A 43951-2025</t>
        </is>
      </c>
      <c r="B348" s="1" t="n">
        <v>45915.38119212963</v>
      </c>
      <c r="C348" s="1" t="n">
        <v>45987</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7034-2023</t>
        </is>
      </c>
      <c r="B349" s="1" t="n">
        <v>44968.32108796296</v>
      </c>
      <c r="C349" s="1" t="n">
        <v>45987</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7042-2023</t>
        </is>
      </c>
      <c r="B350" s="1" t="n">
        <v>44968</v>
      </c>
      <c r="C350" s="1" t="n">
        <v>45987</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23516-2023</t>
        </is>
      </c>
      <c r="B351" s="1" t="n">
        <v>45076.93391203704</v>
      </c>
      <c r="C351" s="1" t="n">
        <v>45987</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64660-2023</t>
        </is>
      </c>
      <c r="B352" s="1" t="n">
        <v>45281.60122685185</v>
      </c>
      <c r="C352" s="1" t="n">
        <v>45987</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63763-2023</t>
        </is>
      </c>
      <c r="B353" s="1" t="n">
        <v>45278.33944444444</v>
      </c>
      <c r="C353" s="1" t="n">
        <v>45987</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45987</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53561-2025</t>
        </is>
      </c>
      <c r="B355" s="1" t="n">
        <v>45960.4059375</v>
      </c>
      <c r="C355" s="1" t="n">
        <v>45987</v>
      </c>
      <c r="D355" t="inlineStr">
        <is>
          <t>GOTLANDS LÄN</t>
        </is>
      </c>
      <c r="E355" t="inlineStr">
        <is>
          <t>GOTLAND</t>
        </is>
      </c>
      <c r="F355" t="inlineStr">
        <is>
          <t>Övriga Aktiebolag</t>
        </is>
      </c>
      <c r="G355" t="n">
        <v>2.4</v>
      </c>
      <c r="H355" t="n">
        <v>0</v>
      </c>
      <c r="I355" t="n">
        <v>0</v>
      </c>
      <c r="J355" t="n">
        <v>0</v>
      </c>
      <c r="K355" t="n">
        <v>0</v>
      </c>
      <c r="L355" t="n">
        <v>0</v>
      </c>
      <c r="M355" t="n">
        <v>0</v>
      </c>
      <c r="N355" t="n">
        <v>0</v>
      </c>
      <c r="O355" t="n">
        <v>0</v>
      </c>
      <c r="P355" t="n">
        <v>0</v>
      </c>
      <c r="Q355" t="n">
        <v>0</v>
      </c>
      <c r="R355" s="2" t="inlineStr"/>
    </row>
    <row r="356" ht="15" customHeight="1">
      <c r="A356" t="inlineStr">
        <is>
          <t>A 53569-2025</t>
        </is>
      </c>
      <c r="B356" s="1" t="n">
        <v>45960.41155092593</v>
      </c>
      <c r="C356" s="1" t="n">
        <v>45987</v>
      </c>
      <c r="D356" t="inlineStr">
        <is>
          <t>GOTLANDS LÄN</t>
        </is>
      </c>
      <c r="E356" t="inlineStr">
        <is>
          <t>GOTLAND</t>
        </is>
      </c>
      <c r="F356" t="inlineStr">
        <is>
          <t>Övriga Aktiebolag</t>
        </is>
      </c>
      <c r="G356" t="n">
        <v>11.3</v>
      </c>
      <c r="H356" t="n">
        <v>0</v>
      </c>
      <c r="I356" t="n">
        <v>0</v>
      </c>
      <c r="J356" t="n">
        <v>0</v>
      </c>
      <c r="K356" t="n">
        <v>0</v>
      </c>
      <c r="L356" t="n">
        <v>0</v>
      </c>
      <c r="M356" t="n">
        <v>0</v>
      </c>
      <c r="N356" t="n">
        <v>0</v>
      </c>
      <c r="O356" t="n">
        <v>0</v>
      </c>
      <c r="P356" t="n">
        <v>0</v>
      </c>
      <c r="Q356" t="n">
        <v>0</v>
      </c>
      <c r="R356" s="2" t="inlineStr"/>
    </row>
    <row r="357" ht="15" customHeight="1">
      <c r="A357" t="inlineStr">
        <is>
          <t>A 53577-2025</t>
        </is>
      </c>
      <c r="B357" s="1" t="n">
        <v>45960.42224537037</v>
      </c>
      <c r="C357" s="1" t="n">
        <v>45987</v>
      </c>
      <c r="D357" t="inlineStr">
        <is>
          <t>GOTLANDS LÄN</t>
        </is>
      </c>
      <c r="E357" t="inlineStr">
        <is>
          <t>GOTLAND</t>
        </is>
      </c>
      <c r="F357" t="inlineStr">
        <is>
          <t>Övriga Aktiebolag</t>
        </is>
      </c>
      <c r="G357" t="n">
        <v>3.3</v>
      </c>
      <c r="H357" t="n">
        <v>0</v>
      </c>
      <c r="I357" t="n">
        <v>0</v>
      </c>
      <c r="J357" t="n">
        <v>0</v>
      </c>
      <c r="K357" t="n">
        <v>0</v>
      </c>
      <c r="L357" t="n">
        <v>0</v>
      </c>
      <c r="M357" t="n">
        <v>0</v>
      </c>
      <c r="N357" t="n">
        <v>0</v>
      </c>
      <c r="O357" t="n">
        <v>0</v>
      </c>
      <c r="P357" t="n">
        <v>0</v>
      </c>
      <c r="Q357" t="n">
        <v>0</v>
      </c>
      <c r="R357" s="2" t="inlineStr"/>
    </row>
    <row r="358" ht="15" customHeight="1">
      <c r="A358" t="inlineStr">
        <is>
          <t>A 53587-2025</t>
        </is>
      </c>
      <c r="B358" s="1" t="n">
        <v>45960.43681712963</v>
      </c>
      <c r="C358" s="1" t="n">
        <v>45987</v>
      </c>
      <c r="D358" t="inlineStr">
        <is>
          <t>GOTLANDS LÄN</t>
        </is>
      </c>
      <c r="E358" t="inlineStr">
        <is>
          <t>GOTLAND</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63229-2021</t>
        </is>
      </c>
      <c r="B359" s="1" t="n">
        <v>44508.34518518519</v>
      </c>
      <c r="C359" s="1" t="n">
        <v>45987</v>
      </c>
      <c r="D359" t="inlineStr">
        <is>
          <t>GOTLANDS LÄN</t>
        </is>
      </c>
      <c r="E359" t="inlineStr">
        <is>
          <t>GOTLAND</t>
        </is>
      </c>
      <c r="F359" t="inlineStr">
        <is>
          <t>Kyrkan</t>
        </is>
      </c>
      <c r="G359" t="n">
        <v>3.8</v>
      </c>
      <c r="H359" t="n">
        <v>0</v>
      </c>
      <c r="I359" t="n">
        <v>0</v>
      </c>
      <c r="J359" t="n">
        <v>0</v>
      </c>
      <c r="K359" t="n">
        <v>0</v>
      </c>
      <c r="L359" t="n">
        <v>0</v>
      </c>
      <c r="M359" t="n">
        <v>0</v>
      </c>
      <c r="N359" t="n">
        <v>0</v>
      </c>
      <c r="O359" t="n">
        <v>0</v>
      </c>
      <c r="P359" t="n">
        <v>0</v>
      </c>
      <c r="Q359" t="n">
        <v>0</v>
      </c>
      <c r="R359" s="2" t="inlineStr"/>
    </row>
    <row r="360" ht="15" customHeight="1">
      <c r="A360" t="inlineStr">
        <is>
          <t>A 46375-2024</t>
        </is>
      </c>
      <c r="B360" s="1" t="n">
        <v>45582</v>
      </c>
      <c r="C360" s="1" t="n">
        <v>45987</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45987</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35123-2025</t>
        </is>
      </c>
      <c r="B362" s="1" t="n">
        <v>45852.614375</v>
      </c>
      <c r="C362" s="1" t="n">
        <v>45987</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35096-2025</t>
        </is>
      </c>
      <c r="B363" s="1" t="n">
        <v>45852.54356481481</v>
      </c>
      <c r="C363" s="1" t="n">
        <v>45987</v>
      </c>
      <c r="D363" t="inlineStr">
        <is>
          <t>GOTLANDS LÄN</t>
        </is>
      </c>
      <c r="E363" t="inlineStr">
        <is>
          <t>GOTLAND</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45987</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35290-2025</t>
        </is>
      </c>
      <c r="B365" s="1" t="n">
        <v>45854.38502314815</v>
      </c>
      <c r="C365" s="1" t="n">
        <v>45987</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32669-2024</t>
        </is>
      </c>
      <c r="B366" s="1" t="n">
        <v>45514</v>
      </c>
      <c r="C366" s="1" t="n">
        <v>45987</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35537-2025</t>
        </is>
      </c>
      <c r="B367" s="1" t="n">
        <v>45856</v>
      </c>
      <c r="C367" s="1" t="n">
        <v>45987</v>
      </c>
      <c r="D367" t="inlineStr">
        <is>
          <t>GOTLANDS LÄN</t>
        </is>
      </c>
      <c r="E367" t="inlineStr">
        <is>
          <t>GOTLAND</t>
        </is>
      </c>
      <c r="G367" t="n">
        <v>16.8</v>
      </c>
      <c r="H367" t="n">
        <v>0</v>
      </c>
      <c r="I367" t="n">
        <v>0</v>
      </c>
      <c r="J367" t="n">
        <v>0</v>
      </c>
      <c r="K367" t="n">
        <v>0</v>
      </c>
      <c r="L367" t="n">
        <v>0</v>
      </c>
      <c r="M367" t="n">
        <v>0</v>
      </c>
      <c r="N367" t="n">
        <v>0</v>
      </c>
      <c r="O367" t="n">
        <v>0</v>
      </c>
      <c r="P367" t="n">
        <v>0</v>
      </c>
      <c r="Q367" t="n">
        <v>0</v>
      </c>
      <c r="R367" s="2" t="inlineStr"/>
    </row>
    <row r="368" ht="15" customHeight="1">
      <c r="A368" t="inlineStr">
        <is>
          <t>A 1734-2025</t>
        </is>
      </c>
      <c r="B368" s="1" t="n">
        <v>45671.3840625</v>
      </c>
      <c r="C368" s="1" t="n">
        <v>45987</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20993-2023</t>
        </is>
      </c>
      <c r="B369" s="1" t="n">
        <v>45056</v>
      </c>
      <c r="C369" s="1" t="n">
        <v>45987</v>
      </c>
      <c r="D369" t="inlineStr">
        <is>
          <t>GOTLANDS LÄN</t>
        </is>
      </c>
      <c r="E369" t="inlineStr">
        <is>
          <t>GOTLAND</t>
        </is>
      </c>
      <c r="G369" t="n">
        <v>7.1</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45987</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45987</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15001-2025</t>
        </is>
      </c>
      <c r="B372" s="1" t="n">
        <v>45743</v>
      </c>
      <c r="C372" s="1" t="n">
        <v>45987</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30488-2025</t>
        </is>
      </c>
      <c r="B373" s="1" t="n">
        <v>45830</v>
      </c>
      <c r="C373" s="1" t="n">
        <v>45987</v>
      </c>
      <c r="D373" t="inlineStr">
        <is>
          <t>GOTLANDS LÄN</t>
        </is>
      </c>
      <c r="E373" t="inlineStr">
        <is>
          <t>GOTLAND</t>
        </is>
      </c>
      <c r="F373" t="inlineStr">
        <is>
          <t>Kyrkan</t>
        </is>
      </c>
      <c r="G373" t="n">
        <v>3.9</v>
      </c>
      <c r="H373" t="n">
        <v>0</v>
      </c>
      <c r="I373" t="n">
        <v>0</v>
      </c>
      <c r="J373" t="n">
        <v>0</v>
      </c>
      <c r="K373" t="n">
        <v>0</v>
      </c>
      <c r="L373" t="n">
        <v>0</v>
      </c>
      <c r="M373" t="n">
        <v>0</v>
      </c>
      <c r="N373" t="n">
        <v>0</v>
      </c>
      <c r="O373" t="n">
        <v>0</v>
      </c>
      <c r="P373" t="n">
        <v>0</v>
      </c>
      <c r="Q373" t="n">
        <v>0</v>
      </c>
      <c r="R373" s="2" t="inlineStr"/>
    </row>
    <row r="374" ht="15" customHeight="1">
      <c r="A374" t="inlineStr">
        <is>
          <t>A 17847-2025</t>
        </is>
      </c>
      <c r="B374" s="1" t="n">
        <v>45758</v>
      </c>
      <c r="C374" s="1" t="n">
        <v>45987</v>
      </c>
      <c r="D374" t="inlineStr">
        <is>
          <t>GOTLANDS LÄN</t>
        </is>
      </c>
      <c r="E374" t="inlineStr">
        <is>
          <t>GOTLAND</t>
        </is>
      </c>
      <c r="G374" t="n">
        <v>1.9</v>
      </c>
      <c r="H374" t="n">
        <v>0</v>
      </c>
      <c r="I374" t="n">
        <v>0</v>
      </c>
      <c r="J374" t="n">
        <v>0</v>
      </c>
      <c r="K374" t="n">
        <v>0</v>
      </c>
      <c r="L374" t="n">
        <v>0</v>
      </c>
      <c r="M374" t="n">
        <v>0</v>
      </c>
      <c r="N374" t="n">
        <v>0</v>
      </c>
      <c r="O374" t="n">
        <v>0</v>
      </c>
      <c r="P374" t="n">
        <v>0</v>
      </c>
      <c r="Q374" t="n">
        <v>0</v>
      </c>
      <c r="R374" s="2" t="inlineStr"/>
    </row>
    <row r="375" ht="15" customHeight="1">
      <c r="A375" t="inlineStr">
        <is>
          <t>A 54584-2025</t>
        </is>
      </c>
      <c r="B375" s="1" t="n">
        <v>45965.71788194445</v>
      </c>
      <c r="C375" s="1" t="n">
        <v>45987</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12596-2023</t>
        </is>
      </c>
      <c r="B376" s="1" t="n">
        <v>45000.43310185185</v>
      </c>
      <c r="C376" s="1" t="n">
        <v>45987</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2125-2025</t>
        </is>
      </c>
      <c r="B377" s="1" t="n">
        <v>45672.64940972222</v>
      </c>
      <c r="C377" s="1" t="n">
        <v>45987</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18742-2025</t>
        </is>
      </c>
      <c r="B378" s="1" t="n">
        <v>45763</v>
      </c>
      <c r="C378" s="1" t="n">
        <v>45987</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36319-2025</t>
        </is>
      </c>
      <c r="B379" s="1" t="n">
        <v>45868</v>
      </c>
      <c r="C379" s="1" t="n">
        <v>45987</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12155-2023</t>
        </is>
      </c>
      <c r="B380" s="1" t="n">
        <v>44998.49106481481</v>
      </c>
      <c r="C380" s="1" t="n">
        <v>45987</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35129-2025</t>
        </is>
      </c>
      <c r="B381" s="1" t="n">
        <v>45852.63224537037</v>
      </c>
      <c r="C381" s="1" t="n">
        <v>45987</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457-2023</t>
        </is>
      </c>
      <c r="B382" s="1" t="n">
        <v>44929.87238425926</v>
      </c>
      <c r="C382" s="1" t="n">
        <v>45987</v>
      </c>
      <c r="D382" t="inlineStr">
        <is>
          <t>GOTLANDS LÄN</t>
        </is>
      </c>
      <c r="E382" t="inlineStr">
        <is>
          <t>GOTLAND</t>
        </is>
      </c>
      <c r="G382" t="n">
        <v>2.4</v>
      </c>
      <c r="H382" t="n">
        <v>0</v>
      </c>
      <c r="I382" t="n">
        <v>0</v>
      </c>
      <c r="J382" t="n">
        <v>0</v>
      </c>
      <c r="K382" t="n">
        <v>0</v>
      </c>
      <c r="L382" t="n">
        <v>0</v>
      </c>
      <c r="M382" t="n">
        <v>0</v>
      </c>
      <c r="N382" t="n">
        <v>0</v>
      </c>
      <c r="O382" t="n">
        <v>0</v>
      </c>
      <c r="P382" t="n">
        <v>0</v>
      </c>
      <c r="Q382" t="n">
        <v>0</v>
      </c>
      <c r="R382" s="2" t="inlineStr"/>
    </row>
    <row r="383" ht="15" customHeight="1">
      <c r="A383" t="inlineStr">
        <is>
          <t>A 459-2023</t>
        </is>
      </c>
      <c r="B383" s="1" t="n">
        <v>44929.87423611111</v>
      </c>
      <c r="C383" s="1" t="n">
        <v>45987</v>
      </c>
      <c r="D383" t="inlineStr">
        <is>
          <t>GOTLANDS LÄN</t>
        </is>
      </c>
      <c r="E383" t="inlineStr">
        <is>
          <t>GOTLAND</t>
        </is>
      </c>
      <c r="G383" t="n">
        <v>4.2</v>
      </c>
      <c r="H383" t="n">
        <v>0</v>
      </c>
      <c r="I383" t="n">
        <v>0</v>
      </c>
      <c r="J383" t="n">
        <v>0</v>
      </c>
      <c r="K383" t="n">
        <v>0</v>
      </c>
      <c r="L383" t="n">
        <v>0</v>
      </c>
      <c r="M383" t="n">
        <v>0</v>
      </c>
      <c r="N383" t="n">
        <v>0</v>
      </c>
      <c r="O383" t="n">
        <v>0</v>
      </c>
      <c r="P383" t="n">
        <v>0</v>
      </c>
      <c r="Q383" t="n">
        <v>0</v>
      </c>
      <c r="R383" s="2" t="inlineStr"/>
    </row>
    <row r="384" ht="15" customHeight="1">
      <c r="A384" t="inlineStr">
        <is>
          <t>A 38234-2023</t>
        </is>
      </c>
      <c r="B384" s="1" t="n">
        <v>45161.56663194444</v>
      </c>
      <c r="C384" s="1" t="n">
        <v>45987</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50744-2024</t>
        </is>
      </c>
      <c r="B385" s="1" t="n">
        <v>45602.4187037037</v>
      </c>
      <c r="C385" s="1" t="n">
        <v>45987</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53934-2024</t>
        </is>
      </c>
      <c r="B386" s="1" t="n">
        <v>45615</v>
      </c>
      <c r="C386" s="1" t="n">
        <v>45987</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26391-2025</t>
        </is>
      </c>
      <c r="B387" s="1" t="n">
        <v>45806</v>
      </c>
      <c r="C387" s="1" t="n">
        <v>45987</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45987</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6108-2025</t>
        </is>
      </c>
      <c r="B389" s="1" t="n">
        <v>45698.29880787037</v>
      </c>
      <c r="C389" s="1" t="n">
        <v>45987</v>
      </c>
      <c r="D389" t="inlineStr">
        <is>
          <t>GOTLANDS LÄN</t>
        </is>
      </c>
      <c r="E389" t="inlineStr">
        <is>
          <t>GOTLAND</t>
        </is>
      </c>
      <c r="G389" t="n">
        <v>2.8</v>
      </c>
      <c r="H389" t="n">
        <v>0</v>
      </c>
      <c r="I389" t="n">
        <v>0</v>
      </c>
      <c r="J389" t="n">
        <v>0</v>
      </c>
      <c r="K389" t="n">
        <v>0</v>
      </c>
      <c r="L389" t="n">
        <v>0</v>
      </c>
      <c r="M389" t="n">
        <v>0</v>
      </c>
      <c r="N389" t="n">
        <v>0</v>
      </c>
      <c r="O389" t="n">
        <v>0</v>
      </c>
      <c r="P389" t="n">
        <v>0</v>
      </c>
      <c r="Q389" t="n">
        <v>0</v>
      </c>
      <c r="R389" s="2" t="inlineStr"/>
    </row>
    <row r="390" ht="15" customHeight="1">
      <c r="A390" t="inlineStr">
        <is>
          <t>A 21142-2025</t>
        </is>
      </c>
      <c r="B390" s="1" t="n">
        <v>45779</v>
      </c>
      <c r="C390" s="1" t="n">
        <v>45987</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46836-2025</t>
        </is>
      </c>
      <c r="B391" s="1" t="n">
        <v>45928.31511574074</v>
      </c>
      <c r="C391" s="1" t="n">
        <v>45987</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45987</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45987</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45987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43901-2023</t>
        </is>
      </c>
      <c r="B395" s="1" t="n">
        <v>45187</v>
      </c>
      <c r="C395" s="1" t="n">
        <v>45987</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45987</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10746-2025</t>
        </is>
      </c>
      <c r="B397" s="1" t="n">
        <v>45722.42766203704</v>
      </c>
      <c r="C397" s="1" t="n">
        <v>45987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16501-2023</t>
        </is>
      </c>
      <c r="B398" s="1" t="n">
        <v>45029</v>
      </c>
      <c r="C398" s="1" t="n">
        <v>45987</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20307-2025</t>
        </is>
      </c>
      <c r="B399" s="1" t="n">
        <v>45774.95546296296</v>
      </c>
      <c r="C399" s="1" t="n">
        <v>45987</v>
      </c>
      <c r="D399" t="inlineStr">
        <is>
          <t>GOTLANDS LÄN</t>
        </is>
      </c>
      <c r="E399" t="inlineStr">
        <is>
          <t>GOTLAND</t>
        </is>
      </c>
      <c r="G399" t="n">
        <v>6.8</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45987</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2292-2021</t>
        </is>
      </c>
      <c r="B401" s="1" t="n">
        <v>44212</v>
      </c>
      <c r="C401" s="1" t="n">
        <v>45987</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61962-2024</t>
        </is>
      </c>
      <c r="B402" s="1" t="n">
        <v>45653.54340277778</v>
      </c>
      <c r="C402" s="1" t="n">
        <v>45987</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45987</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5909-2025</t>
        </is>
      </c>
      <c r="B404" s="1" t="n">
        <v>45695.40634259259</v>
      </c>
      <c r="C404" s="1" t="n">
        <v>45987</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10653-2023</t>
        </is>
      </c>
      <c r="B405" s="1" t="n">
        <v>44988.48859953704</v>
      </c>
      <c r="C405" s="1" t="n">
        <v>45987</v>
      </c>
      <c r="D405" t="inlineStr">
        <is>
          <t>GOTLANDS LÄN</t>
        </is>
      </c>
      <c r="E405" t="inlineStr">
        <is>
          <t>GOTLAND</t>
        </is>
      </c>
      <c r="F405" t="inlineStr">
        <is>
          <t>Kyrkan</t>
        </is>
      </c>
      <c r="G405" t="n">
        <v>3</v>
      </c>
      <c r="H405" t="n">
        <v>0</v>
      </c>
      <c r="I405" t="n">
        <v>0</v>
      </c>
      <c r="J405" t="n">
        <v>0</v>
      </c>
      <c r="K405" t="n">
        <v>0</v>
      </c>
      <c r="L405" t="n">
        <v>0</v>
      </c>
      <c r="M405" t="n">
        <v>0</v>
      </c>
      <c r="N405" t="n">
        <v>0</v>
      </c>
      <c r="O405" t="n">
        <v>0</v>
      </c>
      <c r="P405" t="n">
        <v>0</v>
      </c>
      <c r="Q405" t="n">
        <v>0</v>
      </c>
      <c r="R405" s="2" t="inlineStr"/>
    </row>
    <row r="406" ht="15" customHeight="1">
      <c r="A406" t="inlineStr">
        <is>
          <t>A 47637-2025</t>
        </is>
      </c>
      <c r="B406" s="1" t="n">
        <v>45931.49753472222</v>
      </c>
      <c r="C406" s="1" t="n">
        <v>45987</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4990-2025</t>
        </is>
      </c>
      <c r="B407" s="1" t="n">
        <v>45691</v>
      </c>
      <c r="C407" s="1" t="n">
        <v>45987</v>
      </c>
      <c r="D407" t="inlineStr">
        <is>
          <t>GOTLANDS LÄN</t>
        </is>
      </c>
      <c r="E407" t="inlineStr">
        <is>
          <t>GOTLAND</t>
        </is>
      </c>
      <c r="G407" t="n">
        <v>7.7</v>
      </c>
      <c r="H407" t="n">
        <v>0</v>
      </c>
      <c r="I407" t="n">
        <v>0</v>
      </c>
      <c r="J407" t="n">
        <v>0</v>
      </c>
      <c r="K407" t="n">
        <v>0</v>
      </c>
      <c r="L407" t="n">
        <v>0</v>
      </c>
      <c r="M407" t="n">
        <v>0</v>
      </c>
      <c r="N407" t="n">
        <v>0</v>
      </c>
      <c r="O407" t="n">
        <v>0</v>
      </c>
      <c r="P407" t="n">
        <v>0</v>
      </c>
      <c r="Q407" t="n">
        <v>0</v>
      </c>
      <c r="R407" s="2" t="inlineStr"/>
    </row>
    <row r="408" ht="15" customHeight="1">
      <c r="A408" t="inlineStr">
        <is>
          <t>A 56799-2025</t>
        </is>
      </c>
      <c r="B408" s="1" t="n">
        <v>45978.43392361111</v>
      </c>
      <c r="C408" s="1" t="n">
        <v>45987</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45987</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47147-2025</t>
        </is>
      </c>
      <c r="B410" s="1" t="n">
        <v>45929</v>
      </c>
      <c r="C410" s="1" t="n">
        <v>45987</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45987</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32378-2025</t>
        </is>
      </c>
      <c r="B412" s="1" t="n">
        <v>45837</v>
      </c>
      <c r="C412" s="1" t="n">
        <v>45987</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5884-2025</t>
        </is>
      </c>
      <c r="B413" s="1" t="n">
        <v>45695.37482638889</v>
      </c>
      <c r="C413" s="1" t="n">
        <v>45987</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5897-2025</t>
        </is>
      </c>
      <c r="B414" s="1" t="n">
        <v>45695.39273148148</v>
      </c>
      <c r="C414" s="1" t="n">
        <v>45987</v>
      </c>
      <c r="D414" t="inlineStr">
        <is>
          <t>GOTLANDS LÄN</t>
        </is>
      </c>
      <c r="E414" t="inlineStr">
        <is>
          <t>GOTLAND</t>
        </is>
      </c>
      <c r="G414" t="n">
        <v>3.7</v>
      </c>
      <c r="H414" t="n">
        <v>0</v>
      </c>
      <c r="I414" t="n">
        <v>0</v>
      </c>
      <c r="J414" t="n">
        <v>0</v>
      </c>
      <c r="K414" t="n">
        <v>0</v>
      </c>
      <c r="L414" t="n">
        <v>0</v>
      </c>
      <c r="M414" t="n">
        <v>0</v>
      </c>
      <c r="N414" t="n">
        <v>0</v>
      </c>
      <c r="O414" t="n">
        <v>0</v>
      </c>
      <c r="P414" t="n">
        <v>0</v>
      </c>
      <c r="Q414" t="n">
        <v>0</v>
      </c>
      <c r="R414" s="2" t="inlineStr"/>
    </row>
    <row r="415" ht="15" customHeight="1">
      <c r="A415" t="inlineStr">
        <is>
          <t>A 49693-2023</t>
        </is>
      </c>
      <c r="B415" s="1" t="n">
        <v>45212.38138888889</v>
      </c>
      <c r="C415" s="1" t="n">
        <v>45987</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49697-2023</t>
        </is>
      </c>
      <c r="B416" s="1" t="n">
        <v>45212.38909722222</v>
      </c>
      <c r="C416" s="1" t="n">
        <v>45987</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17901-2023</t>
        </is>
      </c>
      <c r="B417" s="1" t="n">
        <v>45039</v>
      </c>
      <c r="C417" s="1" t="n">
        <v>45987</v>
      </c>
      <c r="D417" t="inlineStr">
        <is>
          <t>GOTLANDS LÄN</t>
        </is>
      </c>
      <c r="E417" t="inlineStr">
        <is>
          <t>GOTLAND</t>
        </is>
      </c>
      <c r="F417" t="inlineStr">
        <is>
          <t>Kyrkan</t>
        </is>
      </c>
      <c r="G417" t="n">
        <v>0.6</v>
      </c>
      <c r="H417" t="n">
        <v>0</v>
      </c>
      <c r="I417" t="n">
        <v>0</v>
      </c>
      <c r="J417" t="n">
        <v>0</v>
      </c>
      <c r="K417" t="n">
        <v>0</v>
      </c>
      <c r="L417" t="n">
        <v>0</v>
      </c>
      <c r="M417" t="n">
        <v>0</v>
      </c>
      <c r="N417" t="n">
        <v>0</v>
      </c>
      <c r="O417" t="n">
        <v>0</v>
      </c>
      <c r="P417" t="n">
        <v>0</v>
      </c>
      <c r="Q417" t="n">
        <v>0</v>
      </c>
      <c r="R417" s="2" t="inlineStr"/>
    </row>
    <row r="418" ht="15" customHeight="1">
      <c r="A418" t="inlineStr">
        <is>
          <t>A 35550-2025</t>
        </is>
      </c>
      <c r="B418" s="1" t="n">
        <v>45856.49324074074</v>
      </c>
      <c r="C418" s="1" t="n">
        <v>45987</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45987</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52892-2021</t>
        </is>
      </c>
      <c r="B420" s="1" t="n">
        <v>44467.49048611111</v>
      </c>
      <c r="C420" s="1" t="n">
        <v>45987</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46396-2023</t>
        </is>
      </c>
      <c r="B421" s="1" t="n">
        <v>45197</v>
      </c>
      <c r="C421" s="1" t="n">
        <v>45987</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47578-2025</t>
        </is>
      </c>
      <c r="B422" s="1" t="n">
        <v>45931</v>
      </c>
      <c r="C422" s="1" t="n">
        <v>45987</v>
      </c>
      <c r="D422" t="inlineStr">
        <is>
          <t>GOTLANDS LÄN</t>
        </is>
      </c>
      <c r="E422" t="inlineStr">
        <is>
          <t>GOTLAND</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17724-2024</t>
        </is>
      </c>
      <c r="B423" s="1" t="n">
        <v>45418.55096064815</v>
      </c>
      <c r="C423" s="1" t="n">
        <v>45987</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34312-2024</t>
        </is>
      </c>
      <c r="B424" s="1" t="n">
        <v>45524.69703703704</v>
      </c>
      <c r="C424" s="1" t="n">
        <v>45987</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49724-2025</t>
        </is>
      </c>
      <c r="B425" s="1" t="n">
        <v>45939.83730324074</v>
      </c>
      <c r="C425" s="1" t="n">
        <v>45987</v>
      </c>
      <c r="D425" t="inlineStr">
        <is>
          <t>GOTLANDS LÄN</t>
        </is>
      </c>
      <c r="E425" t="inlineStr">
        <is>
          <t>GOTLAND</t>
        </is>
      </c>
      <c r="F425" t="inlineStr">
        <is>
          <t>Kyrkan</t>
        </is>
      </c>
      <c r="G425" t="n">
        <v>3.1</v>
      </c>
      <c r="H425" t="n">
        <v>0</v>
      </c>
      <c r="I425" t="n">
        <v>0</v>
      </c>
      <c r="J425" t="n">
        <v>0</v>
      </c>
      <c r="K425" t="n">
        <v>0</v>
      </c>
      <c r="L425" t="n">
        <v>0</v>
      </c>
      <c r="M425" t="n">
        <v>0</v>
      </c>
      <c r="N425" t="n">
        <v>0</v>
      </c>
      <c r="O425" t="n">
        <v>0</v>
      </c>
      <c r="P425" t="n">
        <v>0</v>
      </c>
      <c r="Q425" t="n">
        <v>0</v>
      </c>
      <c r="R425" s="2" t="inlineStr"/>
    </row>
    <row r="426" ht="15" customHeight="1">
      <c r="A426" t="inlineStr">
        <is>
          <t>A 49730-2025</t>
        </is>
      </c>
      <c r="B426" s="1" t="n">
        <v>45939.87613425926</v>
      </c>
      <c r="C426" s="1" t="n">
        <v>45987</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69112-2021</t>
        </is>
      </c>
      <c r="B427" s="1" t="n">
        <v>44530</v>
      </c>
      <c r="C427" s="1" t="n">
        <v>45987</v>
      </c>
      <c r="D427" t="inlineStr">
        <is>
          <t>GOTLANDS LÄN</t>
        </is>
      </c>
      <c r="E427" t="inlineStr">
        <is>
          <t>GOTLAND</t>
        </is>
      </c>
      <c r="G427" t="n">
        <v>4.2</v>
      </c>
      <c r="H427" t="n">
        <v>0</v>
      </c>
      <c r="I427" t="n">
        <v>0</v>
      </c>
      <c r="J427" t="n">
        <v>0</v>
      </c>
      <c r="K427" t="n">
        <v>0</v>
      </c>
      <c r="L427" t="n">
        <v>0</v>
      </c>
      <c r="M427" t="n">
        <v>0</v>
      </c>
      <c r="N427" t="n">
        <v>0</v>
      </c>
      <c r="O427" t="n">
        <v>0</v>
      </c>
      <c r="P427" t="n">
        <v>0</v>
      </c>
      <c r="Q427" t="n">
        <v>0</v>
      </c>
      <c r="R427" s="2" t="inlineStr"/>
    </row>
    <row r="428" ht="15" customHeight="1">
      <c r="A428" t="inlineStr">
        <is>
          <t>A 49690-2025</t>
        </is>
      </c>
      <c r="B428" s="1" t="n">
        <v>45939.66730324074</v>
      </c>
      <c r="C428" s="1" t="n">
        <v>45987</v>
      </c>
      <c r="D428" t="inlineStr">
        <is>
          <t>GOTLANDS LÄN</t>
        </is>
      </c>
      <c r="E428" t="inlineStr">
        <is>
          <t>GOTLAND</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33011-2025</t>
        </is>
      </c>
      <c r="B429" s="1" t="n">
        <v>45840</v>
      </c>
      <c r="C429" s="1" t="n">
        <v>45987</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7638-2025</t>
        </is>
      </c>
      <c r="B430" s="1" t="n">
        <v>45705.77306712963</v>
      </c>
      <c r="C430" s="1" t="n">
        <v>45987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50482-2024</t>
        </is>
      </c>
      <c r="B431" s="1" t="n">
        <v>45601.48114583334</v>
      </c>
      <c r="C431" s="1" t="n">
        <v>45987</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1394-2023</t>
        </is>
      </c>
      <c r="B432" s="1" t="n">
        <v>44936.72997685185</v>
      </c>
      <c r="C432" s="1" t="n">
        <v>45987</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50421-2025</t>
        </is>
      </c>
      <c r="B433" s="1" t="n">
        <v>45944.66049768519</v>
      </c>
      <c r="C433" s="1" t="n">
        <v>45987</v>
      </c>
      <c r="D433" t="inlineStr">
        <is>
          <t>GOTLANDS LÄN</t>
        </is>
      </c>
      <c r="E433" t="inlineStr">
        <is>
          <t>GOTLAND</t>
        </is>
      </c>
      <c r="G433" t="n">
        <v>3.9</v>
      </c>
      <c r="H433" t="n">
        <v>0</v>
      </c>
      <c r="I433" t="n">
        <v>0</v>
      </c>
      <c r="J433" t="n">
        <v>0</v>
      </c>
      <c r="K433" t="n">
        <v>0</v>
      </c>
      <c r="L433" t="n">
        <v>0</v>
      </c>
      <c r="M433" t="n">
        <v>0</v>
      </c>
      <c r="N433" t="n">
        <v>0</v>
      </c>
      <c r="O433" t="n">
        <v>0</v>
      </c>
      <c r="P433" t="n">
        <v>0</v>
      </c>
      <c r="Q433" t="n">
        <v>0</v>
      </c>
      <c r="R433" s="2" t="inlineStr"/>
    </row>
    <row r="434" ht="15" customHeight="1">
      <c r="A434" t="inlineStr">
        <is>
          <t>A 58230-2024</t>
        </is>
      </c>
      <c r="B434" s="1" t="n">
        <v>45632.51625</v>
      </c>
      <c r="C434" s="1" t="n">
        <v>45987</v>
      </c>
      <c r="D434" t="inlineStr">
        <is>
          <t>GOTLANDS LÄN</t>
        </is>
      </c>
      <c r="E434" t="inlineStr">
        <is>
          <t>GOTLAND</t>
        </is>
      </c>
      <c r="G434" t="n">
        <v>7.3</v>
      </c>
      <c r="H434" t="n">
        <v>0</v>
      </c>
      <c r="I434" t="n">
        <v>0</v>
      </c>
      <c r="J434" t="n">
        <v>0</v>
      </c>
      <c r="K434" t="n">
        <v>0</v>
      </c>
      <c r="L434" t="n">
        <v>0</v>
      </c>
      <c r="M434" t="n">
        <v>0</v>
      </c>
      <c r="N434" t="n">
        <v>0</v>
      </c>
      <c r="O434" t="n">
        <v>0</v>
      </c>
      <c r="P434" t="n">
        <v>0</v>
      </c>
      <c r="Q434" t="n">
        <v>0</v>
      </c>
      <c r="R434" s="2" t="inlineStr"/>
    </row>
    <row r="435" ht="15" customHeight="1">
      <c r="A435" t="inlineStr">
        <is>
          <t>A 1462-2025</t>
        </is>
      </c>
      <c r="B435" s="1" t="n">
        <v>45670.36319444444</v>
      </c>
      <c r="C435" s="1" t="n">
        <v>45987</v>
      </c>
      <c r="D435" t="inlineStr">
        <is>
          <t>GOTLANDS LÄN</t>
        </is>
      </c>
      <c r="E435" t="inlineStr">
        <is>
          <t>GOTLAND</t>
        </is>
      </c>
      <c r="G435" t="n">
        <v>2.8</v>
      </c>
      <c r="H435" t="n">
        <v>0</v>
      </c>
      <c r="I435" t="n">
        <v>0</v>
      </c>
      <c r="J435" t="n">
        <v>0</v>
      </c>
      <c r="K435" t="n">
        <v>0</v>
      </c>
      <c r="L435" t="n">
        <v>0</v>
      </c>
      <c r="M435" t="n">
        <v>0</v>
      </c>
      <c r="N435" t="n">
        <v>0</v>
      </c>
      <c r="O435" t="n">
        <v>0</v>
      </c>
      <c r="P435" t="n">
        <v>0</v>
      </c>
      <c r="Q435" t="n">
        <v>0</v>
      </c>
      <c r="R435" s="2" t="inlineStr"/>
    </row>
    <row r="436" ht="15" customHeight="1">
      <c r="A436" t="inlineStr">
        <is>
          <t>A 25129-2023</t>
        </is>
      </c>
      <c r="B436" s="1" t="n">
        <v>45086.44261574074</v>
      </c>
      <c r="C436" s="1" t="n">
        <v>45987</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45987</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5386-2023</t>
        </is>
      </c>
      <c r="B438" s="1" t="n">
        <v>44959</v>
      </c>
      <c r="C438" s="1" t="n">
        <v>45987</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50431-2025</t>
        </is>
      </c>
      <c r="B439" s="1" t="n">
        <v>45944.68453703704</v>
      </c>
      <c r="C439" s="1" t="n">
        <v>45987</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7026-2023</t>
        </is>
      </c>
      <c r="B440" s="1" t="n">
        <v>44968.30340277778</v>
      </c>
      <c r="C440" s="1" t="n">
        <v>45987</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20855-2023</t>
        </is>
      </c>
      <c r="B441" s="1" t="n">
        <v>45058.82172453704</v>
      </c>
      <c r="C441" s="1" t="n">
        <v>45987</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1000-2024</t>
        </is>
      </c>
      <c r="B442" s="1" t="n">
        <v>45301.63371527778</v>
      </c>
      <c r="C442" s="1" t="n">
        <v>45987</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1010-2024</t>
        </is>
      </c>
      <c r="B443" s="1" t="n">
        <v>45301</v>
      </c>
      <c r="C443" s="1" t="n">
        <v>45987</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47762-2023</t>
        </is>
      </c>
      <c r="B444" s="1" t="n">
        <v>45203.86256944444</v>
      </c>
      <c r="C444" s="1" t="n">
        <v>45987</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45987</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45987</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45987</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45987</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45987</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44949-2023</t>
        </is>
      </c>
      <c r="B450" s="1" t="n">
        <v>45190.69520833333</v>
      </c>
      <c r="C450" s="1" t="n">
        <v>45987</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37222-2021</t>
        </is>
      </c>
      <c r="B451" s="1" t="n">
        <v>44396</v>
      </c>
      <c r="C451" s="1" t="n">
        <v>45987</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3964-2024</t>
        </is>
      </c>
      <c r="B452" s="1" t="n">
        <v>45322</v>
      </c>
      <c r="C452" s="1" t="n">
        <v>45987</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45084-2024</t>
        </is>
      </c>
      <c r="B453" s="1" t="n">
        <v>45575</v>
      </c>
      <c r="C453" s="1" t="n">
        <v>45987</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5217-2023</t>
        </is>
      </c>
      <c r="B454" s="1" t="n">
        <v>44959.39582175926</v>
      </c>
      <c r="C454" s="1" t="n">
        <v>45987</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1677-2023</t>
        </is>
      </c>
      <c r="B455" s="1" t="n">
        <v>44938</v>
      </c>
      <c r="C455" s="1" t="n">
        <v>45987</v>
      </c>
      <c r="D455" t="inlineStr">
        <is>
          <t>GOTLANDS LÄN</t>
        </is>
      </c>
      <c r="E455" t="inlineStr">
        <is>
          <t>GOTLAND</t>
        </is>
      </c>
      <c r="G455" t="n">
        <v>1.6</v>
      </c>
      <c r="H455" t="n">
        <v>0</v>
      </c>
      <c r="I455" t="n">
        <v>0</v>
      </c>
      <c r="J455" t="n">
        <v>0</v>
      </c>
      <c r="K455" t="n">
        <v>0</v>
      </c>
      <c r="L455" t="n">
        <v>0</v>
      </c>
      <c r="M455" t="n">
        <v>0</v>
      </c>
      <c r="N455" t="n">
        <v>0</v>
      </c>
      <c r="O455" t="n">
        <v>0</v>
      </c>
      <c r="P455" t="n">
        <v>0</v>
      </c>
      <c r="Q455" t="n">
        <v>0</v>
      </c>
      <c r="R455" s="2" t="inlineStr"/>
    </row>
    <row r="456" ht="15" customHeight="1">
      <c r="A456" t="inlineStr">
        <is>
          <t>A 45244-2024</t>
        </is>
      </c>
      <c r="B456" s="1" t="n">
        <v>45576</v>
      </c>
      <c r="C456" s="1" t="n">
        <v>45987</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8260-2023</t>
        </is>
      </c>
      <c r="B457" s="1" t="n">
        <v>44974.61608796296</v>
      </c>
      <c r="C457" s="1" t="n">
        <v>45987</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64969-2023</t>
        </is>
      </c>
      <c r="B458" s="1" t="n">
        <v>45284.54009259259</v>
      </c>
      <c r="C458" s="1" t="n">
        <v>45987</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48843-2024</t>
        </is>
      </c>
      <c r="B459" s="1" t="n">
        <v>45593</v>
      </c>
      <c r="C459" s="1" t="n">
        <v>45987</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17541-2024</t>
        </is>
      </c>
      <c r="B460" s="1" t="n">
        <v>45415</v>
      </c>
      <c r="C460" s="1" t="n">
        <v>45987</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2241-2025</t>
        </is>
      </c>
      <c r="B461" s="1" t="n">
        <v>45673.48710648148</v>
      </c>
      <c r="C461" s="1" t="n">
        <v>45987</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15434-2024</t>
        </is>
      </c>
      <c r="B462" s="1" t="n">
        <v>45401.38836805556</v>
      </c>
      <c r="C462" s="1" t="n">
        <v>45987</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5943-2024</t>
        </is>
      </c>
      <c r="B463" s="1" t="n">
        <v>45336</v>
      </c>
      <c r="C463" s="1" t="n">
        <v>45987</v>
      </c>
      <c r="D463" t="inlineStr">
        <is>
          <t>GOTLANDS LÄN</t>
        </is>
      </c>
      <c r="E463" t="inlineStr">
        <is>
          <t>GOTLAND</t>
        </is>
      </c>
      <c r="G463" t="n">
        <v>4.3</v>
      </c>
      <c r="H463" t="n">
        <v>0</v>
      </c>
      <c r="I463" t="n">
        <v>0</v>
      </c>
      <c r="J463" t="n">
        <v>0</v>
      </c>
      <c r="K463" t="n">
        <v>0</v>
      </c>
      <c r="L463" t="n">
        <v>0</v>
      </c>
      <c r="M463" t="n">
        <v>0</v>
      </c>
      <c r="N463" t="n">
        <v>0</v>
      </c>
      <c r="O463" t="n">
        <v>0</v>
      </c>
      <c r="P463" t="n">
        <v>0</v>
      </c>
      <c r="Q463" t="n">
        <v>0</v>
      </c>
      <c r="R463" s="2" t="inlineStr"/>
    </row>
    <row r="464" ht="15" customHeight="1">
      <c r="A464" t="inlineStr">
        <is>
          <t>A 54073-2022</t>
        </is>
      </c>
      <c r="B464" s="1" t="n">
        <v>44881.50380787037</v>
      </c>
      <c r="C464" s="1" t="n">
        <v>45987</v>
      </c>
      <c r="D464" t="inlineStr">
        <is>
          <t>GOTLANDS LÄN</t>
        </is>
      </c>
      <c r="E464" t="inlineStr">
        <is>
          <t>GOTLAND</t>
        </is>
      </c>
      <c r="G464" t="n">
        <v>3.8</v>
      </c>
      <c r="H464" t="n">
        <v>0</v>
      </c>
      <c r="I464" t="n">
        <v>0</v>
      </c>
      <c r="J464" t="n">
        <v>0</v>
      </c>
      <c r="K464" t="n">
        <v>0</v>
      </c>
      <c r="L464" t="n">
        <v>0</v>
      </c>
      <c r="M464" t="n">
        <v>0</v>
      </c>
      <c r="N464" t="n">
        <v>0</v>
      </c>
      <c r="O464" t="n">
        <v>0</v>
      </c>
      <c r="P464" t="n">
        <v>0</v>
      </c>
      <c r="Q464" t="n">
        <v>0</v>
      </c>
      <c r="R464" s="2" t="inlineStr"/>
    </row>
    <row r="465" ht="15" customHeight="1">
      <c r="A465" t="inlineStr">
        <is>
          <t>A 16361-2024</t>
        </is>
      </c>
      <c r="B465" s="1" t="n">
        <v>45407</v>
      </c>
      <c r="C465" s="1" t="n">
        <v>45987</v>
      </c>
      <c r="D465" t="inlineStr">
        <is>
          <t>GOTLANDS LÄN</t>
        </is>
      </c>
      <c r="E465" t="inlineStr">
        <is>
          <t>GOTLAND</t>
        </is>
      </c>
      <c r="G465" t="n">
        <v>6</v>
      </c>
      <c r="H465" t="n">
        <v>0</v>
      </c>
      <c r="I465" t="n">
        <v>0</v>
      </c>
      <c r="J465" t="n">
        <v>0</v>
      </c>
      <c r="K465" t="n">
        <v>0</v>
      </c>
      <c r="L465" t="n">
        <v>0</v>
      </c>
      <c r="M465" t="n">
        <v>0</v>
      </c>
      <c r="N465" t="n">
        <v>0</v>
      </c>
      <c r="O465" t="n">
        <v>0</v>
      </c>
      <c r="P465" t="n">
        <v>0</v>
      </c>
      <c r="Q465" t="n">
        <v>0</v>
      </c>
      <c r="R465" s="2" t="inlineStr"/>
    </row>
    <row r="466" ht="15" customHeight="1">
      <c r="A466" t="inlineStr">
        <is>
          <t>A 41038-2023</t>
        </is>
      </c>
      <c r="B466" s="1" t="n">
        <v>45173.60959490741</v>
      </c>
      <c r="C466" s="1" t="n">
        <v>45987</v>
      </c>
      <c r="D466" t="inlineStr">
        <is>
          <t>GOTLANDS LÄN</t>
        </is>
      </c>
      <c r="E466" t="inlineStr">
        <is>
          <t>GOTLAND</t>
        </is>
      </c>
      <c r="G466" t="n">
        <v>2.7</v>
      </c>
      <c r="H466" t="n">
        <v>0</v>
      </c>
      <c r="I466" t="n">
        <v>0</v>
      </c>
      <c r="J466" t="n">
        <v>0</v>
      </c>
      <c r="K466" t="n">
        <v>0</v>
      </c>
      <c r="L466" t="n">
        <v>0</v>
      </c>
      <c r="M466" t="n">
        <v>0</v>
      </c>
      <c r="N466" t="n">
        <v>0</v>
      </c>
      <c r="O466" t="n">
        <v>0</v>
      </c>
      <c r="P466" t="n">
        <v>0</v>
      </c>
      <c r="Q466" t="n">
        <v>0</v>
      </c>
      <c r="R466" s="2" t="inlineStr"/>
    </row>
    <row r="467" ht="15" customHeight="1">
      <c r="A467" t="inlineStr">
        <is>
          <t>A 14427-2024</t>
        </is>
      </c>
      <c r="B467" s="1" t="n">
        <v>45394</v>
      </c>
      <c r="C467" s="1" t="n">
        <v>45987</v>
      </c>
      <c r="D467" t="inlineStr">
        <is>
          <t>GOTLANDS LÄN</t>
        </is>
      </c>
      <c r="E467" t="inlineStr">
        <is>
          <t>GOTLAND</t>
        </is>
      </c>
      <c r="G467" t="n">
        <v>1.3</v>
      </c>
      <c r="H467" t="n">
        <v>0</v>
      </c>
      <c r="I467" t="n">
        <v>0</v>
      </c>
      <c r="J467" t="n">
        <v>0</v>
      </c>
      <c r="K467" t="n">
        <v>0</v>
      </c>
      <c r="L467" t="n">
        <v>0</v>
      </c>
      <c r="M467" t="n">
        <v>0</v>
      </c>
      <c r="N467" t="n">
        <v>0</v>
      </c>
      <c r="O467" t="n">
        <v>0</v>
      </c>
      <c r="P467" t="n">
        <v>0</v>
      </c>
      <c r="Q467" t="n">
        <v>0</v>
      </c>
      <c r="R467" s="2" t="inlineStr"/>
    </row>
    <row r="468" ht="15" customHeight="1">
      <c r="A468" t="inlineStr">
        <is>
          <t>A 31802-2024</t>
        </is>
      </c>
      <c r="B468" s="1" t="n">
        <v>45509</v>
      </c>
      <c r="C468" s="1" t="n">
        <v>45987</v>
      </c>
      <c r="D468" t="inlineStr">
        <is>
          <t>GOTLANDS LÄN</t>
        </is>
      </c>
      <c r="E468" t="inlineStr">
        <is>
          <t>GOTLAND</t>
        </is>
      </c>
      <c r="G468" t="n">
        <v>2.8</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44609.44362268518</v>
      </c>
      <c r="C469" s="1" t="n">
        <v>45987</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12846-2025</t>
        </is>
      </c>
      <c r="B470" s="1" t="n">
        <v>45733.65049768519</v>
      </c>
      <c r="C470" s="1" t="n">
        <v>45987</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46949-2024</t>
        </is>
      </c>
      <c r="B471" s="1" t="n">
        <v>45585</v>
      </c>
      <c r="C471" s="1" t="n">
        <v>45987</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10650-2022</t>
        </is>
      </c>
      <c r="B472" s="1" t="n">
        <v>44624.57945601852</v>
      </c>
      <c r="C472" s="1" t="n">
        <v>45987</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11634-2024</t>
        </is>
      </c>
      <c r="B473" s="1" t="n">
        <v>45373</v>
      </c>
      <c r="C473" s="1" t="n">
        <v>45987</v>
      </c>
      <c r="D473" t="inlineStr">
        <is>
          <t>GOTLANDS LÄN</t>
        </is>
      </c>
      <c r="E473" t="inlineStr">
        <is>
          <t>GOTLAND</t>
        </is>
      </c>
      <c r="G473" t="n">
        <v>3</v>
      </c>
      <c r="H473" t="n">
        <v>0</v>
      </c>
      <c r="I473" t="n">
        <v>0</v>
      </c>
      <c r="J473" t="n">
        <v>0</v>
      </c>
      <c r="K473" t="n">
        <v>0</v>
      </c>
      <c r="L473" t="n">
        <v>0</v>
      </c>
      <c r="M473" t="n">
        <v>0</v>
      </c>
      <c r="N473" t="n">
        <v>0</v>
      </c>
      <c r="O473" t="n">
        <v>0</v>
      </c>
      <c r="P473" t="n">
        <v>0</v>
      </c>
      <c r="Q473" t="n">
        <v>0</v>
      </c>
      <c r="R473" s="2" t="inlineStr"/>
    </row>
    <row r="474" ht="15" customHeight="1">
      <c r="A474" t="inlineStr">
        <is>
          <t>A 1351-2025</t>
        </is>
      </c>
      <c r="B474" s="1" t="n">
        <v>45667.62246527777</v>
      </c>
      <c r="C474" s="1" t="n">
        <v>45987</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39496-2022</t>
        </is>
      </c>
      <c r="B475" s="1" t="n">
        <v>44818</v>
      </c>
      <c r="C475" s="1" t="n">
        <v>45987</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49874-2024</t>
        </is>
      </c>
      <c r="B476" s="1" t="n">
        <v>45597.49274305555</v>
      </c>
      <c r="C476" s="1" t="n">
        <v>45987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42201-2023</t>
        </is>
      </c>
      <c r="B477" s="1" t="n">
        <v>45179</v>
      </c>
      <c r="C477" s="1" t="n">
        <v>45987</v>
      </c>
      <c r="D477" t="inlineStr">
        <is>
          <t>GOTLANDS LÄN</t>
        </is>
      </c>
      <c r="E477" t="inlineStr">
        <is>
          <t>GOTLAND</t>
        </is>
      </c>
      <c r="G477" t="n">
        <v>11.9</v>
      </c>
      <c r="H477" t="n">
        <v>0</v>
      </c>
      <c r="I477" t="n">
        <v>0</v>
      </c>
      <c r="J477" t="n">
        <v>0</v>
      </c>
      <c r="K477" t="n">
        <v>0</v>
      </c>
      <c r="L477" t="n">
        <v>0</v>
      </c>
      <c r="M477" t="n">
        <v>0</v>
      </c>
      <c r="N477" t="n">
        <v>0</v>
      </c>
      <c r="O477" t="n">
        <v>0</v>
      </c>
      <c r="P477" t="n">
        <v>0</v>
      </c>
      <c r="Q477" t="n">
        <v>0</v>
      </c>
      <c r="R477" s="2" t="inlineStr"/>
    </row>
    <row r="478" ht="15" customHeight="1">
      <c r="A478" t="inlineStr">
        <is>
          <t>A 46400-2023</t>
        </is>
      </c>
      <c r="B478" s="1" t="n">
        <v>45197.49290509259</v>
      </c>
      <c r="C478" s="1" t="n">
        <v>45987</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9875-2025</t>
        </is>
      </c>
      <c r="B479" s="1" t="n">
        <v>45716</v>
      </c>
      <c r="C479" s="1" t="n">
        <v>45987</v>
      </c>
      <c r="D479" t="inlineStr">
        <is>
          <t>GOTLANDS LÄN</t>
        </is>
      </c>
      <c r="E479" t="inlineStr">
        <is>
          <t>GOTLAND</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21164-2024</t>
        </is>
      </c>
      <c r="B480" s="1" t="n">
        <v>45440</v>
      </c>
      <c r="C480" s="1" t="n">
        <v>45987</v>
      </c>
      <c r="D480" t="inlineStr">
        <is>
          <t>GOTLANDS LÄN</t>
        </is>
      </c>
      <c r="E480" t="inlineStr">
        <is>
          <t>GOTLAND</t>
        </is>
      </c>
      <c r="G480" t="n">
        <v>6.3</v>
      </c>
      <c r="H480" t="n">
        <v>0</v>
      </c>
      <c r="I480" t="n">
        <v>0</v>
      </c>
      <c r="J480" t="n">
        <v>0</v>
      </c>
      <c r="K480" t="n">
        <v>0</v>
      </c>
      <c r="L480" t="n">
        <v>0</v>
      </c>
      <c r="M480" t="n">
        <v>0</v>
      </c>
      <c r="N480" t="n">
        <v>0</v>
      </c>
      <c r="O480" t="n">
        <v>0</v>
      </c>
      <c r="P480" t="n">
        <v>0</v>
      </c>
      <c r="Q480" t="n">
        <v>0</v>
      </c>
      <c r="R480" s="2" t="inlineStr"/>
    </row>
    <row r="481" ht="15" customHeight="1">
      <c r="A481" t="inlineStr">
        <is>
          <t>A 8045-2022</t>
        </is>
      </c>
      <c r="B481" s="1" t="n">
        <v>44609</v>
      </c>
      <c r="C481" s="1" t="n">
        <v>45987</v>
      </c>
      <c r="D481" t="inlineStr">
        <is>
          <t>GOTLANDS LÄN</t>
        </is>
      </c>
      <c r="E481" t="inlineStr">
        <is>
          <t>GOTLAND</t>
        </is>
      </c>
      <c r="G481" t="n">
        <v>7</v>
      </c>
      <c r="H481" t="n">
        <v>0</v>
      </c>
      <c r="I481" t="n">
        <v>0</v>
      </c>
      <c r="J481" t="n">
        <v>0</v>
      </c>
      <c r="K481" t="n">
        <v>0</v>
      </c>
      <c r="L481" t="n">
        <v>0</v>
      </c>
      <c r="M481" t="n">
        <v>0</v>
      </c>
      <c r="N481" t="n">
        <v>0</v>
      </c>
      <c r="O481" t="n">
        <v>0</v>
      </c>
      <c r="P481" t="n">
        <v>0</v>
      </c>
      <c r="Q481" t="n">
        <v>0</v>
      </c>
      <c r="R481" s="2" t="inlineStr"/>
    </row>
    <row r="482" ht="15" customHeight="1">
      <c r="A482" t="inlineStr">
        <is>
          <t>A 22897-2023</t>
        </is>
      </c>
      <c r="B482" s="1" t="n">
        <v>45072.55239583334</v>
      </c>
      <c r="C482" s="1" t="n">
        <v>45987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61897-2024</t>
        </is>
      </c>
      <c r="B483" s="1" t="n">
        <v>45652.75685185185</v>
      </c>
      <c r="C483" s="1" t="n">
        <v>45987</v>
      </c>
      <c r="D483" t="inlineStr">
        <is>
          <t>GOTLANDS LÄN</t>
        </is>
      </c>
      <c r="E483" t="inlineStr">
        <is>
          <t>GOTLAND</t>
        </is>
      </c>
      <c r="G483" t="n">
        <v>6.4</v>
      </c>
      <c r="H483" t="n">
        <v>0</v>
      </c>
      <c r="I483" t="n">
        <v>0</v>
      </c>
      <c r="J483" t="n">
        <v>0</v>
      </c>
      <c r="K483" t="n">
        <v>0</v>
      </c>
      <c r="L483" t="n">
        <v>0</v>
      </c>
      <c r="M483" t="n">
        <v>0</v>
      </c>
      <c r="N483" t="n">
        <v>0</v>
      </c>
      <c r="O483" t="n">
        <v>0</v>
      </c>
      <c r="P483" t="n">
        <v>0</v>
      </c>
      <c r="Q483" t="n">
        <v>0</v>
      </c>
      <c r="R483" s="2" t="inlineStr"/>
    </row>
    <row r="484" ht="15" customHeight="1">
      <c r="A484" t="inlineStr">
        <is>
          <t>A 49962-2023</t>
        </is>
      </c>
      <c r="B484" s="1" t="n">
        <v>45215.38775462963</v>
      </c>
      <c r="C484" s="1" t="n">
        <v>45987</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20165-2022</t>
        </is>
      </c>
      <c r="B485" s="1" t="n">
        <v>44698.49854166667</v>
      </c>
      <c r="C485" s="1" t="n">
        <v>45987</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40294-2022</t>
        </is>
      </c>
      <c r="B486" s="1" t="n">
        <v>44821</v>
      </c>
      <c r="C486" s="1" t="n">
        <v>45987</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12032-2025</t>
        </is>
      </c>
      <c r="B487" s="1" t="n">
        <v>45728.64472222222</v>
      </c>
      <c r="C487" s="1" t="n">
        <v>45987</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38787-2023</t>
        </is>
      </c>
      <c r="B488" s="1" t="n">
        <v>45163</v>
      </c>
      <c r="C488" s="1" t="n">
        <v>45987</v>
      </c>
      <c r="D488" t="inlineStr">
        <is>
          <t>GOTLANDS LÄN</t>
        </is>
      </c>
      <c r="E488" t="inlineStr">
        <is>
          <t>GOTLAND</t>
        </is>
      </c>
      <c r="G488" t="n">
        <v>0.4</v>
      </c>
      <c r="H488" t="n">
        <v>0</v>
      </c>
      <c r="I488" t="n">
        <v>0</v>
      </c>
      <c r="J488" t="n">
        <v>0</v>
      </c>
      <c r="K488" t="n">
        <v>0</v>
      </c>
      <c r="L488" t="n">
        <v>0</v>
      </c>
      <c r="M488" t="n">
        <v>0</v>
      </c>
      <c r="N488" t="n">
        <v>0</v>
      </c>
      <c r="O488" t="n">
        <v>0</v>
      </c>
      <c r="P488" t="n">
        <v>0</v>
      </c>
      <c r="Q488" t="n">
        <v>0</v>
      </c>
      <c r="R488" s="2" t="inlineStr"/>
    </row>
    <row r="489" ht="15" customHeight="1">
      <c r="A489" t="inlineStr">
        <is>
          <t>A 43231-2023</t>
        </is>
      </c>
      <c r="B489" s="1" t="n">
        <v>45183.47025462963</v>
      </c>
      <c r="C489" s="1" t="n">
        <v>45987</v>
      </c>
      <c r="D489" t="inlineStr">
        <is>
          <t>GOTLANDS LÄN</t>
        </is>
      </c>
      <c r="E489" t="inlineStr">
        <is>
          <t>GOTLAND</t>
        </is>
      </c>
      <c r="G489" t="n">
        <v>3.6</v>
      </c>
      <c r="H489" t="n">
        <v>0</v>
      </c>
      <c r="I489" t="n">
        <v>0</v>
      </c>
      <c r="J489" t="n">
        <v>0</v>
      </c>
      <c r="K489" t="n">
        <v>0</v>
      </c>
      <c r="L489" t="n">
        <v>0</v>
      </c>
      <c r="M489" t="n">
        <v>0</v>
      </c>
      <c r="N489" t="n">
        <v>0</v>
      </c>
      <c r="O489" t="n">
        <v>0</v>
      </c>
      <c r="P489" t="n">
        <v>0</v>
      </c>
      <c r="Q489" t="n">
        <v>0</v>
      </c>
      <c r="R489" s="2" t="inlineStr"/>
    </row>
    <row r="490" ht="15" customHeight="1">
      <c r="A490" t="inlineStr">
        <is>
          <t>A 17532-2024</t>
        </is>
      </c>
      <c r="B490" s="1" t="n">
        <v>45415</v>
      </c>
      <c r="C490" s="1" t="n">
        <v>45987</v>
      </c>
      <c r="D490" t="inlineStr">
        <is>
          <t>GOTLANDS LÄN</t>
        </is>
      </c>
      <c r="E490" t="inlineStr">
        <is>
          <t>GOTLAND</t>
        </is>
      </c>
      <c r="G490" t="n">
        <v>4.3</v>
      </c>
      <c r="H490" t="n">
        <v>0</v>
      </c>
      <c r="I490" t="n">
        <v>0</v>
      </c>
      <c r="J490" t="n">
        <v>0</v>
      </c>
      <c r="K490" t="n">
        <v>0</v>
      </c>
      <c r="L490" t="n">
        <v>0</v>
      </c>
      <c r="M490" t="n">
        <v>0</v>
      </c>
      <c r="N490" t="n">
        <v>0</v>
      </c>
      <c r="O490" t="n">
        <v>0</v>
      </c>
      <c r="P490" t="n">
        <v>0</v>
      </c>
      <c r="Q490" t="n">
        <v>0</v>
      </c>
      <c r="R490" s="2" t="inlineStr"/>
    </row>
    <row r="491" ht="15" customHeight="1">
      <c r="A491" t="inlineStr">
        <is>
          <t>A 3935-2025</t>
        </is>
      </c>
      <c r="B491" s="1" t="n">
        <v>45684.46070601852</v>
      </c>
      <c r="C491" s="1" t="n">
        <v>45987</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20225-2025</t>
        </is>
      </c>
      <c r="B492" s="1" t="n">
        <v>45772.65802083333</v>
      </c>
      <c r="C492" s="1" t="n">
        <v>45987</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883-2025</t>
        </is>
      </c>
      <c r="B493" s="1" t="n">
        <v>45665</v>
      </c>
      <c r="C493" s="1" t="n">
        <v>45987</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1066-2024</t>
        </is>
      </c>
      <c r="B494" s="1" t="n">
        <v>45302.285</v>
      </c>
      <c r="C494" s="1" t="n">
        <v>45987</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17144-2025</t>
        </is>
      </c>
      <c r="B495" s="1" t="n">
        <v>45755.9499537037</v>
      </c>
      <c r="C495" s="1" t="n">
        <v>45987</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56009-2024</t>
        </is>
      </c>
      <c r="B496" s="1" t="n">
        <v>45623.80864583333</v>
      </c>
      <c r="C496" s="1" t="n">
        <v>45987</v>
      </c>
      <c r="D496" t="inlineStr">
        <is>
          <t>GOTLANDS LÄN</t>
        </is>
      </c>
      <c r="E496" t="inlineStr">
        <is>
          <t>GOTLAND</t>
        </is>
      </c>
      <c r="G496" t="n">
        <v>2.8</v>
      </c>
      <c r="H496" t="n">
        <v>0</v>
      </c>
      <c r="I496" t="n">
        <v>0</v>
      </c>
      <c r="J496" t="n">
        <v>0</v>
      </c>
      <c r="K496" t="n">
        <v>0</v>
      </c>
      <c r="L496" t="n">
        <v>0</v>
      </c>
      <c r="M496" t="n">
        <v>0</v>
      </c>
      <c r="N496" t="n">
        <v>0</v>
      </c>
      <c r="O496" t="n">
        <v>0</v>
      </c>
      <c r="P496" t="n">
        <v>0</v>
      </c>
      <c r="Q496" t="n">
        <v>0</v>
      </c>
      <c r="R496" s="2" t="inlineStr"/>
    </row>
    <row r="497" ht="15" customHeight="1">
      <c r="A497" t="inlineStr">
        <is>
          <t>A 42338-2023</t>
        </is>
      </c>
      <c r="B497" s="1" t="n">
        <v>45180</v>
      </c>
      <c r="C497" s="1" t="n">
        <v>45987</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581-2023</t>
        </is>
      </c>
      <c r="B498" s="1" t="n">
        <v>44930</v>
      </c>
      <c r="C498" s="1" t="n">
        <v>45987</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61386-2023</t>
        </is>
      </c>
      <c r="B499" s="1" t="n">
        <v>45264</v>
      </c>
      <c r="C499" s="1" t="n">
        <v>45987</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873-2024</t>
        </is>
      </c>
      <c r="B500" s="1" t="n">
        <v>45301</v>
      </c>
      <c r="C500" s="1" t="n">
        <v>45987</v>
      </c>
      <c r="D500" t="inlineStr">
        <is>
          <t>GOTLANDS LÄN</t>
        </is>
      </c>
      <c r="E500" t="inlineStr">
        <is>
          <t>GOTLAND</t>
        </is>
      </c>
      <c r="G500" t="n">
        <v>2.7</v>
      </c>
      <c r="H500" t="n">
        <v>0</v>
      </c>
      <c r="I500" t="n">
        <v>0</v>
      </c>
      <c r="J500" t="n">
        <v>0</v>
      </c>
      <c r="K500" t="n">
        <v>0</v>
      </c>
      <c r="L500" t="n">
        <v>0</v>
      </c>
      <c r="M500" t="n">
        <v>0</v>
      </c>
      <c r="N500" t="n">
        <v>0</v>
      </c>
      <c r="O500" t="n">
        <v>0</v>
      </c>
      <c r="P500" t="n">
        <v>0</v>
      </c>
      <c r="Q500" t="n">
        <v>0</v>
      </c>
      <c r="R500" s="2" t="inlineStr"/>
    </row>
    <row r="501" ht="15" customHeight="1">
      <c r="A501" t="inlineStr">
        <is>
          <t>A 49411-2023</t>
        </is>
      </c>
      <c r="B501" s="1" t="n">
        <v>45205</v>
      </c>
      <c r="C501" s="1" t="n">
        <v>45987</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22275-2023</t>
        </is>
      </c>
      <c r="B502" s="1" t="n">
        <v>45070.39875</v>
      </c>
      <c r="C502" s="1" t="n">
        <v>45987</v>
      </c>
      <c r="D502" t="inlineStr">
        <is>
          <t>GOTLANDS LÄN</t>
        </is>
      </c>
      <c r="E502" t="inlineStr">
        <is>
          <t>GOTLAND</t>
        </is>
      </c>
      <c r="G502" t="n">
        <v>7.2</v>
      </c>
      <c r="H502" t="n">
        <v>0</v>
      </c>
      <c r="I502" t="n">
        <v>0</v>
      </c>
      <c r="J502" t="n">
        <v>0</v>
      </c>
      <c r="K502" t="n">
        <v>0</v>
      </c>
      <c r="L502" t="n">
        <v>0</v>
      </c>
      <c r="M502" t="n">
        <v>0</v>
      </c>
      <c r="N502" t="n">
        <v>0</v>
      </c>
      <c r="O502" t="n">
        <v>0</v>
      </c>
      <c r="P502" t="n">
        <v>0</v>
      </c>
      <c r="Q502" t="n">
        <v>0</v>
      </c>
      <c r="R502" s="2" t="inlineStr"/>
    </row>
    <row r="503" ht="15" customHeight="1">
      <c r="A503" t="inlineStr">
        <is>
          <t>A 12322-2025</t>
        </is>
      </c>
      <c r="B503" s="1" t="n">
        <v>45730</v>
      </c>
      <c r="C503" s="1" t="n">
        <v>45987</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14797-2024</t>
        </is>
      </c>
      <c r="B504" s="1" t="n">
        <v>45397.87030092593</v>
      </c>
      <c r="C504" s="1" t="n">
        <v>45987</v>
      </c>
      <c r="D504" t="inlineStr">
        <is>
          <t>GOTLANDS LÄN</t>
        </is>
      </c>
      <c r="E504" t="inlineStr">
        <is>
          <t>GOTLAND</t>
        </is>
      </c>
      <c r="G504" t="n">
        <v>8.1</v>
      </c>
      <c r="H504" t="n">
        <v>0</v>
      </c>
      <c r="I504" t="n">
        <v>0</v>
      </c>
      <c r="J504" t="n">
        <v>0</v>
      </c>
      <c r="K504" t="n">
        <v>0</v>
      </c>
      <c r="L504" t="n">
        <v>0</v>
      </c>
      <c r="M504" t="n">
        <v>0</v>
      </c>
      <c r="N504" t="n">
        <v>0</v>
      </c>
      <c r="O504" t="n">
        <v>0</v>
      </c>
      <c r="P504" t="n">
        <v>0</v>
      </c>
      <c r="Q504" t="n">
        <v>0</v>
      </c>
      <c r="R504" s="2" t="inlineStr"/>
    </row>
    <row r="505" ht="15" customHeight="1">
      <c r="A505" t="inlineStr">
        <is>
          <t>A 999-2024</t>
        </is>
      </c>
      <c r="B505" s="1" t="n">
        <v>45301</v>
      </c>
      <c r="C505" s="1" t="n">
        <v>45987</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61596-2023</t>
        </is>
      </c>
      <c r="B506" s="1" t="n">
        <v>45265</v>
      </c>
      <c r="C506" s="1" t="n">
        <v>45987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14638-2025</t>
        </is>
      </c>
      <c r="B507" s="1" t="n">
        <v>45742</v>
      </c>
      <c r="C507" s="1" t="n">
        <v>45987</v>
      </c>
      <c r="D507" t="inlineStr">
        <is>
          <t>GOTLANDS LÄN</t>
        </is>
      </c>
      <c r="E507" t="inlineStr">
        <is>
          <t>GOTLAND</t>
        </is>
      </c>
      <c r="G507" t="n">
        <v>13.4</v>
      </c>
      <c r="H507" t="n">
        <v>0</v>
      </c>
      <c r="I507" t="n">
        <v>0</v>
      </c>
      <c r="J507" t="n">
        <v>0</v>
      </c>
      <c r="K507" t="n">
        <v>0</v>
      </c>
      <c r="L507" t="n">
        <v>0</v>
      </c>
      <c r="M507" t="n">
        <v>0</v>
      </c>
      <c r="N507" t="n">
        <v>0</v>
      </c>
      <c r="O507" t="n">
        <v>0</v>
      </c>
      <c r="P507" t="n">
        <v>0</v>
      </c>
      <c r="Q507" t="n">
        <v>0</v>
      </c>
      <c r="R507" s="2" t="inlineStr"/>
    </row>
    <row r="508" ht="15" customHeight="1">
      <c r="A508" t="inlineStr">
        <is>
          <t>A 60675-2021</t>
        </is>
      </c>
      <c r="B508" s="1" t="n">
        <v>44496.64855324074</v>
      </c>
      <c r="C508" s="1" t="n">
        <v>45987</v>
      </c>
      <c r="D508" t="inlineStr">
        <is>
          <t>GOTLANDS LÄN</t>
        </is>
      </c>
      <c r="E508" t="inlineStr">
        <is>
          <t>GOTLAND</t>
        </is>
      </c>
      <c r="G508" t="n">
        <v>4.6</v>
      </c>
      <c r="H508" t="n">
        <v>0</v>
      </c>
      <c r="I508" t="n">
        <v>0</v>
      </c>
      <c r="J508" t="n">
        <v>0</v>
      </c>
      <c r="K508" t="n">
        <v>0</v>
      </c>
      <c r="L508" t="n">
        <v>0</v>
      </c>
      <c r="M508" t="n">
        <v>0</v>
      </c>
      <c r="N508" t="n">
        <v>0</v>
      </c>
      <c r="O508" t="n">
        <v>0</v>
      </c>
      <c r="P508" t="n">
        <v>0</v>
      </c>
      <c r="Q508" t="n">
        <v>0</v>
      </c>
      <c r="R508" s="2" t="inlineStr"/>
    </row>
    <row r="509" ht="15" customHeight="1">
      <c r="A509" t="inlineStr">
        <is>
          <t>A 37728-2024</t>
        </is>
      </c>
      <c r="B509" s="1" t="n">
        <v>45541</v>
      </c>
      <c r="C509" s="1" t="n">
        <v>45987</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45987</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54074-2022</t>
        </is>
      </c>
      <c r="B511" s="1" t="n">
        <v>44881</v>
      </c>
      <c r="C511" s="1" t="n">
        <v>45987</v>
      </c>
      <c r="D511" t="inlineStr">
        <is>
          <t>GOTLANDS LÄN</t>
        </is>
      </c>
      <c r="E511" t="inlineStr">
        <is>
          <t>GOTLAND</t>
        </is>
      </c>
      <c r="G511" t="n">
        <v>0.9</v>
      </c>
      <c r="H511" t="n">
        <v>0</v>
      </c>
      <c r="I511" t="n">
        <v>0</v>
      </c>
      <c r="J511" t="n">
        <v>0</v>
      </c>
      <c r="K511" t="n">
        <v>0</v>
      </c>
      <c r="L511" t="n">
        <v>0</v>
      </c>
      <c r="M511" t="n">
        <v>0</v>
      </c>
      <c r="N511" t="n">
        <v>0</v>
      </c>
      <c r="O511" t="n">
        <v>0</v>
      </c>
      <c r="P511" t="n">
        <v>0</v>
      </c>
      <c r="Q511" t="n">
        <v>0</v>
      </c>
      <c r="R511" s="2" t="inlineStr"/>
    </row>
    <row r="512" ht="15" customHeight="1">
      <c r="A512" t="inlineStr">
        <is>
          <t>A 65249-2023</t>
        </is>
      </c>
      <c r="B512" s="1" t="n">
        <v>45290</v>
      </c>
      <c r="C512" s="1" t="n">
        <v>45987</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13910-2025</t>
        </is>
      </c>
      <c r="B513" s="1" t="n">
        <v>45737</v>
      </c>
      <c r="C513" s="1" t="n">
        <v>45987</v>
      </c>
      <c r="D513" t="inlineStr">
        <is>
          <t>GOTLANDS LÄN</t>
        </is>
      </c>
      <c r="E513" t="inlineStr">
        <is>
          <t>GOTLAND</t>
        </is>
      </c>
      <c r="F513" t="inlineStr">
        <is>
          <t>Kommuner</t>
        </is>
      </c>
      <c r="G513" t="n">
        <v>3.2</v>
      </c>
      <c r="H513" t="n">
        <v>0</v>
      </c>
      <c r="I513" t="n">
        <v>0</v>
      </c>
      <c r="J513" t="n">
        <v>0</v>
      </c>
      <c r="K513" t="n">
        <v>0</v>
      </c>
      <c r="L513" t="n">
        <v>0</v>
      </c>
      <c r="M513" t="n">
        <v>0</v>
      </c>
      <c r="N513" t="n">
        <v>0</v>
      </c>
      <c r="O513" t="n">
        <v>0</v>
      </c>
      <c r="P513" t="n">
        <v>0</v>
      </c>
      <c r="Q513" t="n">
        <v>0</v>
      </c>
      <c r="R513" s="2" t="inlineStr"/>
    </row>
    <row r="514" ht="15" customHeight="1">
      <c r="A514" t="inlineStr">
        <is>
          <t>A 17780-2022</t>
        </is>
      </c>
      <c r="B514" s="1" t="n">
        <v>44682.82622685185</v>
      </c>
      <c r="C514" s="1" t="n">
        <v>45987</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45987</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14536-2021</t>
        </is>
      </c>
      <c r="B516" s="1" t="n">
        <v>44279.66168981481</v>
      </c>
      <c r="C516" s="1" t="n">
        <v>45987</v>
      </c>
      <c r="D516" t="inlineStr">
        <is>
          <t>GOTLANDS LÄN</t>
        </is>
      </c>
      <c r="E516" t="inlineStr">
        <is>
          <t>GOTLAND</t>
        </is>
      </c>
      <c r="G516" t="n">
        <v>8.5</v>
      </c>
      <c r="H516" t="n">
        <v>0</v>
      </c>
      <c r="I516" t="n">
        <v>0</v>
      </c>
      <c r="J516" t="n">
        <v>0</v>
      </c>
      <c r="K516" t="n">
        <v>0</v>
      </c>
      <c r="L516" t="n">
        <v>0</v>
      </c>
      <c r="M516" t="n">
        <v>0</v>
      </c>
      <c r="N516" t="n">
        <v>0</v>
      </c>
      <c r="O516" t="n">
        <v>0</v>
      </c>
      <c r="P516" t="n">
        <v>0</v>
      </c>
      <c r="Q516" t="n">
        <v>0</v>
      </c>
      <c r="R516" s="2" t="inlineStr"/>
    </row>
    <row r="517" ht="15" customHeight="1">
      <c r="A517" t="inlineStr">
        <is>
          <t>A 11874-2024</t>
        </is>
      </c>
      <c r="B517" s="1" t="n">
        <v>45376.46956018519</v>
      </c>
      <c r="C517" s="1" t="n">
        <v>45987</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42041-2024</t>
        </is>
      </c>
      <c r="B518" s="1" t="n">
        <v>45561</v>
      </c>
      <c r="C518" s="1" t="n">
        <v>45987</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61694-2023</t>
        </is>
      </c>
      <c r="B519" s="1" t="n">
        <v>45264</v>
      </c>
      <c r="C519" s="1" t="n">
        <v>45987</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64555-2023</t>
        </is>
      </c>
      <c r="B520" s="1" t="n">
        <v>45281</v>
      </c>
      <c r="C520" s="1" t="n">
        <v>45987</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64831-2023</t>
        </is>
      </c>
      <c r="B521" s="1" t="n">
        <v>45282.44924768519</v>
      </c>
      <c r="C521" s="1" t="n">
        <v>45987</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14804-2021</t>
        </is>
      </c>
      <c r="B522" s="1" t="n">
        <v>44280</v>
      </c>
      <c r="C522" s="1" t="n">
        <v>45987</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999-2023</t>
        </is>
      </c>
      <c r="B523" s="1" t="n">
        <v>44935</v>
      </c>
      <c r="C523" s="1" t="n">
        <v>45987</v>
      </c>
      <c r="D523" t="inlineStr">
        <is>
          <t>GOTLANDS LÄN</t>
        </is>
      </c>
      <c r="E523" t="inlineStr">
        <is>
          <t>GOTLAND</t>
        </is>
      </c>
      <c r="G523" t="n">
        <v>4.7</v>
      </c>
      <c r="H523" t="n">
        <v>0</v>
      </c>
      <c r="I523" t="n">
        <v>0</v>
      </c>
      <c r="J523" t="n">
        <v>0</v>
      </c>
      <c r="K523" t="n">
        <v>0</v>
      </c>
      <c r="L523" t="n">
        <v>0</v>
      </c>
      <c r="M523" t="n">
        <v>0</v>
      </c>
      <c r="N523" t="n">
        <v>0</v>
      </c>
      <c r="O523" t="n">
        <v>0</v>
      </c>
      <c r="P523" t="n">
        <v>0</v>
      </c>
      <c r="Q523" t="n">
        <v>0</v>
      </c>
      <c r="R523" s="2" t="inlineStr"/>
    </row>
    <row r="524" ht="15" customHeight="1">
      <c r="A524" t="inlineStr">
        <is>
          <t>A 27602-2023</t>
        </is>
      </c>
      <c r="B524" s="1" t="n">
        <v>45097</v>
      </c>
      <c r="C524" s="1" t="n">
        <v>45987</v>
      </c>
      <c r="D524" t="inlineStr">
        <is>
          <t>GOTLANDS LÄN</t>
        </is>
      </c>
      <c r="E524" t="inlineStr">
        <is>
          <t>GOTLAND</t>
        </is>
      </c>
      <c r="G524" t="n">
        <v>2.7</v>
      </c>
      <c r="H524" t="n">
        <v>0</v>
      </c>
      <c r="I524" t="n">
        <v>0</v>
      </c>
      <c r="J524" t="n">
        <v>0</v>
      </c>
      <c r="K524" t="n">
        <v>0</v>
      </c>
      <c r="L524" t="n">
        <v>0</v>
      </c>
      <c r="M524" t="n">
        <v>0</v>
      </c>
      <c r="N524" t="n">
        <v>0</v>
      </c>
      <c r="O524" t="n">
        <v>0</v>
      </c>
      <c r="P524" t="n">
        <v>0</v>
      </c>
      <c r="Q524" t="n">
        <v>0</v>
      </c>
      <c r="R524" s="2" t="inlineStr"/>
    </row>
    <row r="525" ht="15" customHeight="1">
      <c r="A525" t="inlineStr">
        <is>
          <t>A 4377-2023</t>
        </is>
      </c>
      <c r="B525" s="1" t="n">
        <v>44955.5502662037</v>
      </c>
      <c r="C525" s="1" t="n">
        <v>45987</v>
      </c>
      <c r="D525" t="inlineStr">
        <is>
          <t>GOTLANDS LÄN</t>
        </is>
      </c>
      <c r="E525" t="inlineStr">
        <is>
          <t>GOTLAND</t>
        </is>
      </c>
      <c r="F525" t="inlineStr">
        <is>
          <t>Kyrkan</t>
        </is>
      </c>
      <c r="G525" t="n">
        <v>0.6</v>
      </c>
      <c r="H525" t="n">
        <v>0</v>
      </c>
      <c r="I525" t="n">
        <v>0</v>
      </c>
      <c r="J525" t="n">
        <v>0</v>
      </c>
      <c r="K525" t="n">
        <v>0</v>
      </c>
      <c r="L525" t="n">
        <v>0</v>
      </c>
      <c r="M525" t="n">
        <v>0</v>
      </c>
      <c r="N525" t="n">
        <v>0</v>
      </c>
      <c r="O525" t="n">
        <v>0</v>
      </c>
      <c r="P525" t="n">
        <v>0</v>
      </c>
      <c r="Q525" t="n">
        <v>0</v>
      </c>
      <c r="R525" s="2" t="inlineStr"/>
    </row>
    <row r="526" ht="15" customHeight="1">
      <c r="A526" t="inlineStr">
        <is>
          <t>A 4387-2023</t>
        </is>
      </c>
      <c r="B526" s="1" t="n">
        <v>44955.73359953704</v>
      </c>
      <c r="C526" s="1" t="n">
        <v>45987</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39479-2022</t>
        </is>
      </c>
      <c r="B527" s="1" t="n">
        <v>44818</v>
      </c>
      <c r="C527" s="1" t="n">
        <v>45987</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45987</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811-2023</t>
        </is>
      </c>
      <c r="B529" s="1" t="n">
        <v>44931</v>
      </c>
      <c r="C529" s="1" t="n">
        <v>45987</v>
      </c>
      <c r="D529" t="inlineStr">
        <is>
          <t>GOTLANDS LÄN</t>
        </is>
      </c>
      <c r="E529" t="inlineStr">
        <is>
          <t>GOTLAND</t>
        </is>
      </c>
      <c r="G529" t="n">
        <v>0.6</v>
      </c>
      <c r="H529" t="n">
        <v>0</v>
      </c>
      <c r="I529" t="n">
        <v>0</v>
      </c>
      <c r="J529" t="n">
        <v>0</v>
      </c>
      <c r="K529" t="n">
        <v>0</v>
      </c>
      <c r="L529" t="n">
        <v>0</v>
      </c>
      <c r="M529" t="n">
        <v>0</v>
      </c>
      <c r="N529" t="n">
        <v>0</v>
      </c>
      <c r="O529" t="n">
        <v>0</v>
      </c>
      <c r="P529" t="n">
        <v>0</v>
      </c>
      <c r="Q529" t="n">
        <v>0</v>
      </c>
      <c r="R529" s="2" t="inlineStr"/>
    </row>
    <row r="530" ht="15" customHeight="1">
      <c r="A530" t="inlineStr">
        <is>
          <t>A 46389-2021</t>
        </is>
      </c>
      <c r="B530" s="1" t="n">
        <v>44443</v>
      </c>
      <c r="C530" s="1" t="n">
        <v>45987</v>
      </c>
      <c r="D530" t="inlineStr">
        <is>
          <t>GOTLANDS LÄN</t>
        </is>
      </c>
      <c r="E530" t="inlineStr">
        <is>
          <t>GOTLAND</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26810-2021</t>
        </is>
      </c>
      <c r="B531" s="1" t="n">
        <v>44349.55087962963</v>
      </c>
      <c r="C531" s="1" t="n">
        <v>45987</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5923-2023</t>
        </is>
      </c>
      <c r="B532" s="1" t="n">
        <v>44963.69503472222</v>
      </c>
      <c r="C532" s="1" t="n">
        <v>45987</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33853-2024</t>
        </is>
      </c>
      <c r="B533" s="1" t="n">
        <v>45520.64298611111</v>
      </c>
      <c r="C533" s="1" t="n">
        <v>45987</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18918-2025</t>
        </is>
      </c>
      <c r="B534" s="1" t="n">
        <v>45764</v>
      </c>
      <c r="C534" s="1" t="n">
        <v>45987</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2674-2023</t>
        </is>
      </c>
      <c r="B535" s="1" t="n">
        <v>44944</v>
      </c>
      <c r="C535" s="1" t="n">
        <v>45987</v>
      </c>
      <c r="D535" t="inlineStr">
        <is>
          <t>GOTLANDS LÄN</t>
        </is>
      </c>
      <c r="E535" t="inlineStr">
        <is>
          <t>GOTLAND</t>
        </is>
      </c>
      <c r="G535" t="n">
        <v>2.5</v>
      </c>
      <c r="H535" t="n">
        <v>0</v>
      </c>
      <c r="I535" t="n">
        <v>0</v>
      </c>
      <c r="J535" t="n">
        <v>0</v>
      </c>
      <c r="K535" t="n">
        <v>0</v>
      </c>
      <c r="L535" t="n">
        <v>0</v>
      </c>
      <c r="M535" t="n">
        <v>0</v>
      </c>
      <c r="N535" t="n">
        <v>0</v>
      </c>
      <c r="O535" t="n">
        <v>0</v>
      </c>
      <c r="P535" t="n">
        <v>0</v>
      </c>
      <c r="Q535" t="n">
        <v>0</v>
      </c>
      <c r="R535" s="2" t="inlineStr"/>
    </row>
    <row r="536" ht="15" customHeight="1">
      <c r="A536" t="inlineStr">
        <is>
          <t>A 10655-2023</t>
        </is>
      </c>
      <c r="B536" s="1" t="n">
        <v>44988.49543981482</v>
      </c>
      <c r="C536" s="1" t="n">
        <v>45987</v>
      </c>
      <c r="D536" t="inlineStr">
        <is>
          <t>GOTLANDS LÄN</t>
        </is>
      </c>
      <c r="E536" t="inlineStr">
        <is>
          <t>GOTLAND</t>
        </is>
      </c>
      <c r="F536" t="inlineStr">
        <is>
          <t>Kyrkan</t>
        </is>
      </c>
      <c r="G536" t="n">
        <v>2</v>
      </c>
      <c r="H536" t="n">
        <v>0</v>
      </c>
      <c r="I536" t="n">
        <v>0</v>
      </c>
      <c r="J536" t="n">
        <v>0</v>
      </c>
      <c r="K536" t="n">
        <v>0</v>
      </c>
      <c r="L536" t="n">
        <v>0</v>
      </c>
      <c r="M536" t="n">
        <v>0</v>
      </c>
      <c r="N536" t="n">
        <v>0</v>
      </c>
      <c r="O536" t="n">
        <v>0</v>
      </c>
      <c r="P536" t="n">
        <v>0</v>
      </c>
      <c r="Q536" t="n">
        <v>0</v>
      </c>
      <c r="R536" s="2" t="inlineStr"/>
    </row>
    <row r="537" ht="15" customHeight="1">
      <c r="A537" t="inlineStr">
        <is>
          <t>A 2719-2023</t>
        </is>
      </c>
      <c r="B537" s="1" t="n">
        <v>44944.55361111111</v>
      </c>
      <c r="C537" s="1" t="n">
        <v>45987</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26891-2024</t>
        </is>
      </c>
      <c r="B538" s="1" t="n">
        <v>45470.65540509259</v>
      </c>
      <c r="C538" s="1" t="n">
        <v>45987</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42007-2023</t>
        </is>
      </c>
      <c r="B539" s="1" t="n">
        <v>45177</v>
      </c>
      <c r="C539" s="1" t="n">
        <v>45987</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9887-2025</t>
        </is>
      </c>
      <c r="B540" s="1" t="n">
        <v>45716</v>
      </c>
      <c r="C540" s="1" t="n">
        <v>45987</v>
      </c>
      <c r="D540" t="inlineStr">
        <is>
          <t>GOTLANDS LÄN</t>
        </is>
      </c>
      <c r="E540" t="inlineStr">
        <is>
          <t>GOTLAND</t>
        </is>
      </c>
      <c r="G540" t="n">
        <v>7.5</v>
      </c>
      <c r="H540" t="n">
        <v>0</v>
      </c>
      <c r="I540" t="n">
        <v>0</v>
      </c>
      <c r="J540" t="n">
        <v>0</v>
      </c>
      <c r="K540" t="n">
        <v>0</v>
      </c>
      <c r="L540" t="n">
        <v>0</v>
      </c>
      <c r="M540" t="n">
        <v>0</v>
      </c>
      <c r="N540" t="n">
        <v>0</v>
      </c>
      <c r="O540" t="n">
        <v>0</v>
      </c>
      <c r="P540" t="n">
        <v>0</v>
      </c>
      <c r="Q540" t="n">
        <v>0</v>
      </c>
      <c r="R540" s="2" t="inlineStr"/>
    </row>
    <row r="541" ht="15" customHeight="1">
      <c r="A541" t="inlineStr">
        <is>
          <t>A 38165-2023</t>
        </is>
      </c>
      <c r="B541" s="1" t="n">
        <v>45161</v>
      </c>
      <c r="C541" s="1" t="n">
        <v>45987</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27596-2023</t>
        </is>
      </c>
      <c r="B542" s="1" t="n">
        <v>45097</v>
      </c>
      <c r="C542" s="1" t="n">
        <v>45987</v>
      </c>
      <c r="D542" t="inlineStr">
        <is>
          <t>GOTLANDS LÄN</t>
        </is>
      </c>
      <c r="E542" t="inlineStr">
        <is>
          <t>GOTLAND</t>
        </is>
      </c>
      <c r="G542" t="n">
        <v>3.6</v>
      </c>
      <c r="H542" t="n">
        <v>0</v>
      </c>
      <c r="I542" t="n">
        <v>0</v>
      </c>
      <c r="J542" t="n">
        <v>0</v>
      </c>
      <c r="K542" t="n">
        <v>0</v>
      </c>
      <c r="L542" t="n">
        <v>0</v>
      </c>
      <c r="M542" t="n">
        <v>0</v>
      </c>
      <c r="N542" t="n">
        <v>0</v>
      </c>
      <c r="O542" t="n">
        <v>0</v>
      </c>
      <c r="P542" t="n">
        <v>0</v>
      </c>
      <c r="Q542" t="n">
        <v>0</v>
      </c>
      <c r="R542" s="2" t="inlineStr"/>
    </row>
    <row r="543" ht="15" customHeight="1">
      <c r="A543" t="inlineStr">
        <is>
          <t>A 24825-2024</t>
        </is>
      </c>
      <c r="B543" s="1" t="n">
        <v>45461</v>
      </c>
      <c r="C543" s="1" t="n">
        <v>45987</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6696-2023</t>
        </is>
      </c>
      <c r="B544" s="1" t="n">
        <v>44966.66425925926</v>
      </c>
      <c r="C544" s="1" t="n">
        <v>45987</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21247-2022</t>
        </is>
      </c>
      <c r="B545" s="1" t="n">
        <v>44705.38832175926</v>
      </c>
      <c r="C545" s="1" t="n">
        <v>45987</v>
      </c>
      <c r="D545" t="inlineStr">
        <is>
          <t>GOTLANDS LÄN</t>
        </is>
      </c>
      <c r="E545" t="inlineStr">
        <is>
          <t>GOTLAND</t>
        </is>
      </c>
      <c r="G545" t="n">
        <v>16.2</v>
      </c>
      <c r="H545" t="n">
        <v>0</v>
      </c>
      <c r="I545" t="n">
        <v>0</v>
      </c>
      <c r="J545" t="n">
        <v>0</v>
      </c>
      <c r="K545" t="n">
        <v>0</v>
      </c>
      <c r="L545" t="n">
        <v>0</v>
      </c>
      <c r="M545" t="n">
        <v>0</v>
      </c>
      <c r="N545" t="n">
        <v>0</v>
      </c>
      <c r="O545" t="n">
        <v>0</v>
      </c>
      <c r="P545" t="n">
        <v>0</v>
      </c>
      <c r="Q545" t="n">
        <v>0</v>
      </c>
      <c r="R545" s="2" t="inlineStr"/>
    </row>
    <row r="546" ht="15" customHeight="1">
      <c r="A546" t="inlineStr">
        <is>
          <t>A 456-2023</t>
        </is>
      </c>
      <c r="B546" s="1" t="n">
        <v>44929.87122685185</v>
      </c>
      <c r="C546" s="1" t="n">
        <v>45987</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44944.54896990741</v>
      </c>
      <c r="C547" s="1" t="n">
        <v>45987</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4421-2024</t>
        </is>
      </c>
      <c r="B548" s="1" t="n">
        <v>45327.45173611111</v>
      </c>
      <c r="C548" s="1" t="n">
        <v>45987</v>
      </c>
      <c r="D548" t="inlineStr">
        <is>
          <t>GOTLANDS LÄN</t>
        </is>
      </c>
      <c r="E548" t="inlineStr">
        <is>
          <t>GOTLAND</t>
        </is>
      </c>
      <c r="G548" t="n">
        <v>5.1</v>
      </c>
      <c r="H548" t="n">
        <v>0</v>
      </c>
      <c r="I548" t="n">
        <v>0</v>
      </c>
      <c r="J548" t="n">
        <v>0</v>
      </c>
      <c r="K548" t="n">
        <v>0</v>
      </c>
      <c r="L548" t="n">
        <v>0</v>
      </c>
      <c r="M548" t="n">
        <v>0</v>
      </c>
      <c r="N548" t="n">
        <v>0</v>
      </c>
      <c r="O548" t="n">
        <v>0</v>
      </c>
      <c r="P548" t="n">
        <v>0</v>
      </c>
      <c r="Q548" t="n">
        <v>0</v>
      </c>
      <c r="R548" s="2" t="inlineStr"/>
    </row>
    <row r="549" ht="15" customHeight="1">
      <c r="A549" t="inlineStr">
        <is>
          <t>A 51782-2023</t>
        </is>
      </c>
      <c r="B549" s="1" t="n">
        <v>45222.80952546297</v>
      </c>
      <c r="C549" s="1" t="n">
        <v>45987</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45987</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45987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25866-2022</t>
        </is>
      </c>
      <c r="B552" s="1" t="n">
        <v>44733</v>
      </c>
      <c r="C552" s="1" t="n">
        <v>45987</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43229-2023</t>
        </is>
      </c>
      <c r="B553" s="1" t="n">
        <v>45183.46704861111</v>
      </c>
      <c r="C553" s="1" t="n">
        <v>45987</v>
      </c>
      <c r="D553" t="inlineStr">
        <is>
          <t>GOTLANDS LÄN</t>
        </is>
      </c>
      <c r="E553" t="inlineStr">
        <is>
          <t>GOTLAND</t>
        </is>
      </c>
      <c r="G553" t="n">
        <v>7.1</v>
      </c>
      <c r="H553" t="n">
        <v>0</v>
      </c>
      <c r="I553" t="n">
        <v>0</v>
      </c>
      <c r="J553" t="n">
        <v>0</v>
      </c>
      <c r="K553" t="n">
        <v>0</v>
      </c>
      <c r="L553" t="n">
        <v>0</v>
      </c>
      <c r="M553" t="n">
        <v>0</v>
      </c>
      <c r="N553" t="n">
        <v>0</v>
      </c>
      <c r="O553" t="n">
        <v>0</v>
      </c>
      <c r="P553" t="n">
        <v>0</v>
      </c>
      <c r="Q553" t="n">
        <v>0</v>
      </c>
      <c r="R553" s="2" t="inlineStr"/>
    </row>
    <row r="554" ht="15" customHeight="1">
      <c r="A554" t="inlineStr">
        <is>
          <t>A 1175-2025</t>
        </is>
      </c>
      <c r="B554" s="1" t="n">
        <v>45667.34449074074</v>
      </c>
      <c r="C554" s="1" t="n">
        <v>45987</v>
      </c>
      <c r="D554" t="inlineStr">
        <is>
          <t>GOTLANDS LÄN</t>
        </is>
      </c>
      <c r="E554" t="inlineStr">
        <is>
          <t>GOTLAND</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27095-2022</t>
        </is>
      </c>
      <c r="B555" s="1" t="n">
        <v>44741</v>
      </c>
      <c r="C555" s="1" t="n">
        <v>45987</v>
      </c>
      <c r="D555" t="inlineStr">
        <is>
          <t>GOTLANDS LÄN</t>
        </is>
      </c>
      <c r="E555" t="inlineStr">
        <is>
          <t>GOTLAND</t>
        </is>
      </c>
      <c r="F555" t="inlineStr">
        <is>
          <t>Övriga Aktiebolag</t>
        </is>
      </c>
      <c r="G555" t="n">
        <v>2.9</v>
      </c>
      <c r="H555" t="n">
        <v>0</v>
      </c>
      <c r="I555" t="n">
        <v>0</v>
      </c>
      <c r="J555" t="n">
        <v>0</v>
      </c>
      <c r="K555" t="n">
        <v>0</v>
      </c>
      <c r="L555" t="n">
        <v>0</v>
      </c>
      <c r="M555" t="n">
        <v>0</v>
      </c>
      <c r="N555" t="n">
        <v>0</v>
      </c>
      <c r="O555" t="n">
        <v>0</v>
      </c>
      <c r="P555" t="n">
        <v>0</v>
      </c>
      <c r="Q555" t="n">
        <v>0</v>
      </c>
      <c r="R555" s="2" t="inlineStr"/>
    </row>
    <row r="556" ht="15" customHeight="1">
      <c r="A556" t="inlineStr">
        <is>
          <t>A 22899-2023</t>
        </is>
      </c>
      <c r="B556" s="1" t="n">
        <v>45072</v>
      </c>
      <c r="C556" s="1" t="n">
        <v>45987</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23978-2023</t>
        </is>
      </c>
      <c r="B557" s="1" t="n">
        <v>45078</v>
      </c>
      <c r="C557" s="1" t="n">
        <v>45987</v>
      </c>
      <c r="D557" t="inlineStr">
        <is>
          <t>GOTLANDS LÄN</t>
        </is>
      </c>
      <c r="E557" t="inlineStr">
        <is>
          <t>GOTLAND</t>
        </is>
      </c>
      <c r="F557" t="inlineStr">
        <is>
          <t>Naturvårdsverket</t>
        </is>
      </c>
      <c r="G557" t="n">
        <v>1.7</v>
      </c>
      <c r="H557" t="n">
        <v>0</v>
      </c>
      <c r="I557" t="n">
        <v>0</v>
      </c>
      <c r="J557" t="n">
        <v>0</v>
      </c>
      <c r="K557" t="n">
        <v>0</v>
      </c>
      <c r="L557" t="n">
        <v>0</v>
      </c>
      <c r="M557" t="n">
        <v>0</v>
      </c>
      <c r="N557" t="n">
        <v>0</v>
      </c>
      <c r="O557" t="n">
        <v>0</v>
      </c>
      <c r="P557" t="n">
        <v>0</v>
      </c>
      <c r="Q557" t="n">
        <v>0</v>
      </c>
      <c r="R557" s="2" t="inlineStr"/>
    </row>
    <row r="558" ht="15" customHeight="1">
      <c r="A558" t="inlineStr">
        <is>
          <t>A 34407-2023</t>
        </is>
      </c>
      <c r="B558" s="1" t="n">
        <v>45132</v>
      </c>
      <c r="C558" s="1" t="n">
        <v>45987</v>
      </c>
      <c r="D558" t="inlineStr">
        <is>
          <t>GOTLANDS LÄN</t>
        </is>
      </c>
      <c r="E558" t="inlineStr">
        <is>
          <t>GOTLAND</t>
        </is>
      </c>
      <c r="G558" t="n">
        <v>4.4</v>
      </c>
      <c r="H558" t="n">
        <v>0</v>
      </c>
      <c r="I558" t="n">
        <v>0</v>
      </c>
      <c r="J558" t="n">
        <v>0</v>
      </c>
      <c r="K558" t="n">
        <v>0</v>
      </c>
      <c r="L558" t="n">
        <v>0</v>
      </c>
      <c r="M558" t="n">
        <v>0</v>
      </c>
      <c r="N558" t="n">
        <v>0</v>
      </c>
      <c r="O558" t="n">
        <v>0</v>
      </c>
      <c r="P558" t="n">
        <v>0</v>
      </c>
      <c r="Q558" t="n">
        <v>0</v>
      </c>
      <c r="R558" s="2" t="inlineStr"/>
    </row>
    <row r="559" ht="15" customHeight="1">
      <c r="A559" t="inlineStr">
        <is>
          <t>A 11013-2024</t>
        </is>
      </c>
      <c r="B559" s="1" t="n">
        <v>45370</v>
      </c>
      <c r="C559" s="1" t="n">
        <v>45987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27694-2024</t>
        </is>
      </c>
      <c r="B560" s="1" t="n">
        <v>45475</v>
      </c>
      <c r="C560" s="1" t="n">
        <v>45987</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15083-2025</t>
        </is>
      </c>
      <c r="B561" s="1" t="n">
        <v>45743</v>
      </c>
      <c r="C561" s="1" t="n">
        <v>45987</v>
      </c>
      <c r="D561" t="inlineStr">
        <is>
          <t>GOTLANDS LÄN</t>
        </is>
      </c>
      <c r="E561" t="inlineStr">
        <is>
          <t>GOTLAND</t>
        </is>
      </c>
      <c r="G561" t="n">
        <v>2.3</v>
      </c>
      <c r="H561" t="n">
        <v>0</v>
      </c>
      <c r="I561" t="n">
        <v>0</v>
      </c>
      <c r="J561" t="n">
        <v>0</v>
      </c>
      <c r="K561" t="n">
        <v>0</v>
      </c>
      <c r="L561" t="n">
        <v>0</v>
      </c>
      <c r="M561" t="n">
        <v>0</v>
      </c>
      <c r="N561" t="n">
        <v>0</v>
      </c>
      <c r="O561" t="n">
        <v>0</v>
      </c>
      <c r="P561" t="n">
        <v>0</v>
      </c>
      <c r="Q561" t="n">
        <v>0</v>
      </c>
      <c r="R561" s="2" t="inlineStr"/>
    </row>
    <row r="562" ht="15" customHeight="1">
      <c r="A562" t="inlineStr">
        <is>
          <t>A 13037-2025</t>
        </is>
      </c>
      <c r="B562" s="1" t="n">
        <v>45734</v>
      </c>
      <c r="C562" s="1" t="n">
        <v>45987</v>
      </c>
      <c r="D562" t="inlineStr">
        <is>
          <t>GOTLANDS LÄN</t>
        </is>
      </c>
      <c r="E562" t="inlineStr">
        <is>
          <t>GOTLAND</t>
        </is>
      </c>
      <c r="G562" t="n">
        <v>9.5</v>
      </c>
      <c r="H562" t="n">
        <v>0</v>
      </c>
      <c r="I562" t="n">
        <v>0</v>
      </c>
      <c r="J562" t="n">
        <v>0</v>
      </c>
      <c r="K562" t="n">
        <v>0</v>
      </c>
      <c r="L562" t="n">
        <v>0</v>
      </c>
      <c r="M562" t="n">
        <v>0</v>
      </c>
      <c r="N562" t="n">
        <v>0</v>
      </c>
      <c r="O562" t="n">
        <v>0</v>
      </c>
      <c r="P562" t="n">
        <v>0</v>
      </c>
      <c r="Q562" t="n">
        <v>0</v>
      </c>
      <c r="R562" s="2" t="inlineStr"/>
    </row>
    <row r="563" ht="15" customHeight="1">
      <c r="A563" t="inlineStr">
        <is>
          <t>A 458-2023</t>
        </is>
      </c>
      <c r="B563" s="1" t="n">
        <v>44929</v>
      </c>
      <c r="C563" s="1" t="n">
        <v>45987</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44228-2022</t>
        </is>
      </c>
      <c r="B564" s="1" t="n">
        <v>44839.51599537037</v>
      </c>
      <c r="C564" s="1" t="n">
        <v>45987</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58132-2023</t>
        </is>
      </c>
      <c r="B565" s="1" t="n">
        <v>45250</v>
      </c>
      <c r="C565" s="1" t="n">
        <v>45987</v>
      </c>
      <c r="D565" t="inlineStr">
        <is>
          <t>GOTLANDS LÄN</t>
        </is>
      </c>
      <c r="E565" t="inlineStr">
        <is>
          <t>GOTLAND</t>
        </is>
      </c>
      <c r="G565" t="n">
        <v>3.1</v>
      </c>
      <c r="H565" t="n">
        <v>0</v>
      </c>
      <c r="I565" t="n">
        <v>0</v>
      </c>
      <c r="J565" t="n">
        <v>0</v>
      </c>
      <c r="K565" t="n">
        <v>0</v>
      </c>
      <c r="L565" t="n">
        <v>0</v>
      </c>
      <c r="M565" t="n">
        <v>0</v>
      </c>
      <c r="N565" t="n">
        <v>0</v>
      </c>
      <c r="O565" t="n">
        <v>0</v>
      </c>
      <c r="P565" t="n">
        <v>0</v>
      </c>
      <c r="Q565" t="n">
        <v>0</v>
      </c>
      <c r="R565" s="2" t="inlineStr"/>
    </row>
    <row r="566" ht="15" customHeight="1">
      <c r="A566" t="inlineStr">
        <is>
          <t>A 49884-2023</t>
        </is>
      </c>
      <c r="B566" s="1" t="n">
        <v>45213</v>
      </c>
      <c r="C566" s="1" t="n">
        <v>45987</v>
      </c>
      <c r="D566" t="inlineStr">
        <is>
          <t>GOTLANDS LÄN</t>
        </is>
      </c>
      <c r="E566" t="inlineStr">
        <is>
          <t>GOTLAND</t>
        </is>
      </c>
      <c r="G566" t="n">
        <v>8.9</v>
      </c>
      <c r="H566" t="n">
        <v>0</v>
      </c>
      <c r="I566" t="n">
        <v>0</v>
      </c>
      <c r="J566" t="n">
        <v>0</v>
      </c>
      <c r="K566" t="n">
        <v>0</v>
      </c>
      <c r="L566" t="n">
        <v>0</v>
      </c>
      <c r="M566" t="n">
        <v>0</v>
      </c>
      <c r="N566" t="n">
        <v>0</v>
      </c>
      <c r="O566" t="n">
        <v>0</v>
      </c>
      <c r="P566" t="n">
        <v>0</v>
      </c>
      <c r="Q566" t="n">
        <v>0</v>
      </c>
      <c r="R566" s="2" t="inlineStr"/>
    </row>
    <row r="567" ht="15" customHeight="1">
      <c r="A567" t="inlineStr">
        <is>
          <t>A 876-2024</t>
        </is>
      </c>
      <c r="B567" s="1" t="n">
        <v>45301</v>
      </c>
      <c r="C567" s="1" t="n">
        <v>45987</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22704-2023</t>
        </is>
      </c>
      <c r="B568" s="1" t="n">
        <v>45071</v>
      </c>
      <c r="C568" s="1" t="n">
        <v>45987</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28425-2023</t>
        </is>
      </c>
      <c r="B569" s="1" t="n">
        <v>45102</v>
      </c>
      <c r="C569" s="1" t="n">
        <v>45987</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58476-2022</t>
        </is>
      </c>
      <c r="B570" s="1" t="n">
        <v>44902</v>
      </c>
      <c r="C570" s="1" t="n">
        <v>45987</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43200-2023</t>
        </is>
      </c>
      <c r="B571" s="1" t="n">
        <v>45183</v>
      </c>
      <c r="C571" s="1" t="n">
        <v>45987</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43223-2023</t>
        </is>
      </c>
      <c r="B572" s="1" t="n">
        <v>45183.45642361111</v>
      </c>
      <c r="C572" s="1" t="n">
        <v>45987</v>
      </c>
      <c r="D572" t="inlineStr">
        <is>
          <t>GOTLANDS LÄN</t>
        </is>
      </c>
      <c r="E572" t="inlineStr">
        <is>
          <t>GOTLAND</t>
        </is>
      </c>
      <c r="G572" t="n">
        <v>1.8</v>
      </c>
      <c r="H572" t="n">
        <v>0</v>
      </c>
      <c r="I572" t="n">
        <v>0</v>
      </c>
      <c r="J572" t="n">
        <v>0</v>
      </c>
      <c r="K572" t="n">
        <v>0</v>
      </c>
      <c r="L572" t="n">
        <v>0</v>
      </c>
      <c r="M572" t="n">
        <v>0</v>
      </c>
      <c r="N572" t="n">
        <v>0</v>
      </c>
      <c r="O572" t="n">
        <v>0</v>
      </c>
      <c r="P572" t="n">
        <v>0</v>
      </c>
      <c r="Q572" t="n">
        <v>0</v>
      </c>
      <c r="R572" s="2" t="inlineStr"/>
    </row>
    <row r="573" ht="15" customHeight="1">
      <c r="A573" t="inlineStr">
        <is>
          <t>A 12327-2025</t>
        </is>
      </c>
      <c r="B573" s="1" t="n">
        <v>45730</v>
      </c>
      <c r="C573" s="1" t="n">
        <v>45987</v>
      </c>
      <c r="D573" t="inlineStr">
        <is>
          <t>GOTLANDS LÄN</t>
        </is>
      </c>
      <c r="E573" t="inlineStr">
        <is>
          <t>GOTLAND</t>
        </is>
      </c>
      <c r="G573" t="n">
        <v>1.8</v>
      </c>
      <c r="H573" t="n">
        <v>0</v>
      </c>
      <c r="I573" t="n">
        <v>0</v>
      </c>
      <c r="J573" t="n">
        <v>0</v>
      </c>
      <c r="K573" t="n">
        <v>0</v>
      </c>
      <c r="L573" t="n">
        <v>0</v>
      </c>
      <c r="M573" t="n">
        <v>0</v>
      </c>
      <c r="N573" t="n">
        <v>0</v>
      </c>
      <c r="O573" t="n">
        <v>0</v>
      </c>
      <c r="P573" t="n">
        <v>0</v>
      </c>
      <c r="Q573" t="n">
        <v>0</v>
      </c>
      <c r="R573" s="2" t="inlineStr"/>
    </row>
    <row r="574" ht="15" customHeight="1">
      <c r="A574" t="inlineStr">
        <is>
          <t>A 3431-2025</t>
        </is>
      </c>
      <c r="B574" s="1" t="n">
        <v>45680.42935185185</v>
      </c>
      <c r="C574" s="1" t="n">
        <v>45987</v>
      </c>
      <c r="D574" t="inlineStr">
        <is>
          <t>GOTLANDS LÄN</t>
        </is>
      </c>
      <c r="E574" t="inlineStr">
        <is>
          <t>GOTLAND</t>
        </is>
      </c>
      <c r="G574" t="n">
        <v>4.8</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45987</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45987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1364-2025</t>
        </is>
      </c>
      <c r="B577" s="1" t="n">
        <v>45667.63929398148</v>
      </c>
      <c r="C577" s="1" t="n">
        <v>45987</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15042-2025</t>
        </is>
      </c>
      <c r="B578" s="1" t="n">
        <v>45743</v>
      </c>
      <c r="C578" s="1" t="n">
        <v>45987</v>
      </c>
      <c r="D578" t="inlineStr">
        <is>
          <t>GOTLANDS LÄN</t>
        </is>
      </c>
      <c r="E578" t="inlineStr">
        <is>
          <t>GOTLAND</t>
        </is>
      </c>
      <c r="G578" t="n">
        <v>8.5</v>
      </c>
      <c r="H578" t="n">
        <v>0</v>
      </c>
      <c r="I578" t="n">
        <v>0</v>
      </c>
      <c r="J578" t="n">
        <v>0</v>
      </c>
      <c r="K578" t="n">
        <v>0</v>
      </c>
      <c r="L578" t="n">
        <v>0</v>
      </c>
      <c r="M578" t="n">
        <v>0</v>
      </c>
      <c r="N578" t="n">
        <v>0</v>
      </c>
      <c r="O578" t="n">
        <v>0</v>
      </c>
      <c r="P578" t="n">
        <v>0</v>
      </c>
      <c r="Q578" t="n">
        <v>0</v>
      </c>
      <c r="R578" s="2" t="inlineStr"/>
    </row>
    <row r="579" ht="15" customHeight="1">
      <c r="A579" t="inlineStr">
        <is>
          <t>A 2180-2025</t>
        </is>
      </c>
      <c r="B579" s="1" t="n">
        <v>45673</v>
      </c>
      <c r="C579" s="1" t="n">
        <v>45987</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15436-2025</t>
        </is>
      </c>
      <c r="B580" s="1" t="n">
        <v>45747.47462962963</v>
      </c>
      <c r="C580" s="1" t="n">
        <v>45987</v>
      </c>
      <c r="D580" t="inlineStr">
        <is>
          <t>GOTLANDS LÄN</t>
        </is>
      </c>
      <c r="E580" t="inlineStr">
        <is>
          <t>GOTLAND</t>
        </is>
      </c>
      <c r="G580" t="n">
        <v>4.1</v>
      </c>
      <c r="H580" t="n">
        <v>0</v>
      </c>
      <c r="I580" t="n">
        <v>0</v>
      </c>
      <c r="J580" t="n">
        <v>0</v>
      </c>
      <c r="K580" t="n">
        <v>0</v>
      </c>
      <c r="L580" t="n">
        <v>0</v>
      </c>
      <c r="M580" t="n">
        <v>0</v>
      </c>
      <c r="N580" t="n">
        <v>0</v>
      </c>
      <c r="O580" t="n">
        <v>0</v>
      </c>
      <c r="P580" t="n">
        <v>0</v>
      </c>
      <c r="Q580" t="n">
        <v>0</v>
      </c>
      <c r="R580" s="2" t="inlineStr"/>
    </row>
    <row r="581" ht="15" customHeight="1">
      <c r="A581" t="inlineStr">
        <is>
          <t>A 49257-2024</t>
        </is>
      </c>
      <c r="B581" s="1" t="n">
        <v>45595.47627314815</v>
      </c>
      <c r="C581" s="1" t="n">
        <v>45987</v>
      </c>
      <c r="D581" t="inlineStr">
        <is>
          <t>GOTLANDS LÄN</t>
        </is>
      </c>
      <c r="E581" t="inlineStr">
        <is>
          <t>GOTLAND</t>
        </is>
      </c>
      <c r="G581" t="n">
        <v>6.3</v>
      </c>
      <c r="H581" t="n">
        <v>0</v>
      </c>
      <c r="I581" t="n">
        <v>0</v>
      </c>
      <c r="J581" t="n">
        <v>0</v>
      </c>
      <c r="K581" t="n">
        <v>0</v>
      </c>
      <c r="L581" t="n">
        <v>0</v>
      </c>
      <c r="M581" t="n">
        <v>0</v>
      </c>
      <c r="N581" t="n">
        <v>0</v>
      </c>
      <c r="O581" t="n">
        <v>0</v>
      </c>
      <c r="P581" t="n">
        <v>0</v>
      </c>
      <c r="Q581" t="n">
        <v>0</v>
      </c>
      <c r="R581" s="2" t="inlineStr"/>
    </row>
    <row r="582" ht="15" customHeight="1">
      <c r="A582" t="inlineStr">
        <is>
          <t>A 37202-2024</t>
        </is>
      </c>
      <c r="B582" s="1" t="n">
        <v>45539.67310185185</v>
      </c>
      <c r="C582" s="1" t="n">
        <v>45987</v>
      </c>
      <c r="D582" t="inlineStr">
        <is>
          <t>GOTLANDS LÄN</t>
        </is>
      </c>
      <c r="E582" t="inlineStr">
        <is>
          <t>GOTLAND</t>
        </is>
      </c>
      <c r="G582" t="n">
        <v>0.3</v>
      </c>
      <c r="H582" t="n">
        <v>0</v>
      </c>
      <c r="I582" t="n">
        <v>0</v>
      </c>
      <c r="J582" t="n">
        <v>0</v>
      </c>
      <c r="K582" t="n">
        <v>0</v>
      </c>
      <c r="L582" t="n">
        <v>0</v>
      </c>
      <c r="M582" t="n">
        <v>0</v>
      </c>
      <c r="N582" t="n">
        <v>0</v>
      </c>
      <c r="O582" t="n">
        <v>0</v>
      </c>
      <c r="P582" t="n">
        <v>0</v>
      </c>
      <c r="Q582" t="n">
        <v>0</v>
      </c>
      <c r="R582" s="2" t="inlineStr"/>
    </row>
    <row r="583" ht="15" customHeight="1">
      <c r="A583" t="inlineStr">
        <is>
          <t>A 56115-2023</t>
        </is>
      </c>
      <c r="B583" s="1" t="n">
        <v>45236</v>
      </c>
      <c r="C583" s="1" t="n">
        <v>45987</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2774-2024</t>
        </is>
      </c>
      <c r="B584" s="1" t="n">
        <v>45314.62375</v>
      </c>
      <c r="C584" s="1" t="n">
        <v>45987</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60709-2023</t>
        </is>
      </c>
      <c r="B585" s="1" t="n">
        <v>45260</v>
      </c>
      <c r="C585" s="1" t="n">
        <v>45987</v>
      </c>
      <c r="D585" t="inlineStr">
        <is>
          <t>GOTLANDS LÄN</t>
        </is>
      </c>
      <c r="E585" t="inlineStr">
        <is>
          <t>GOTLAND</t>
        </is>
      </c>
      <c r="G585" t="n">
        <v>1.7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45987</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39764-2022</t>
        </is>
      </c>
      <c r="B587" s="1" t="n">
        <v>44819</v>
      </c>
      <c r="C587" s="1" t="n">
        <v>45987</v>
      </c>
      <c r="D587" t="inlineStr">
        <is>
          <t>GOTLANDS LÄN</t>
        </is>
      </c>
      <c r="E587" t="inlineStr">
        <is>
          <t>GOTLAND</t>
        </is>
      </c>
      <c r="F587" t="inlineStr">
        <is>
          <t>Kyrkan</t>
        </is>
      </c>
      <c r="G587" t="n">
        <v>3.7</v>
      </c>
      <c r="H587" t="n">
        <v>0</v>
      </c>
      <c r="I587" t="n">
        <v>0</v>
      </c>
      <c r="J587" t="n">
        <v>0</v>
      </c>
      <c r="K587" t="n">
        <v>0</v>
      </c>
      <c r="L587" t="n">
        <v>0</v>
      </c>
      <c r="M587" t="n">
        <v>0</v>
      </c>
      <c r="N587" t="n">
        <v>0</v>
      </c>
      <c r="O587" t="n">
        <v>0</v>
      </c>
      <c r="P587" t="n">
        <v>0</v>
      </c>
      <c r="Q587" t="n">
        <v>0</v>
      </c>
      <c r="R587" s="2" t="inlineStr"/>
    </row>
    <row r="588" ht="15" customHeight="1">
      <c r="A588" t="inlineStr">
        <is>
          <t>A 58211-2024</t>
        </is>
      </c>
      <c r="B588" s="1" t="n">
        <v>45632.49292824074</v>
      </c>
      <c r="C588" s="1" t="n">
        <v>45987</v>
      </c>
      <c r="D588" t="inlineStr">
        <is>
          <t>GOTLANDS LÄN</t>
        </is>
      </c>
      <c r="E588" t="inlineStr">
        <is>
          <t>GOTLAND</t>
        </is>
      </c>
      <c r="G588" t="n">
        <v>5.4</v>
      </c>
      <c r="H588" t="n">
        <v>0</v>
      </c>
      <c r="I588" t="n">
        <v>0</v>
      </c>
      <c r="J588" t="n">
        <v>0</v>
      </c>
      <c r="K588" t="n">
        <v>0</v>
      </c>
      <c r="L588" t="n">
        <v>0</v>
      </c>
      <c r="M588" t="n">
        <v>0</v>
      </c>
      <c r="N588" t="n">
        <v>0</v>
      </c>
      <c r="O588" t="n">
        <v>0</v>
      </c>
      <c r="P588" t="n">
        <v>0</v>
      </c>
      <c r="Q588" t="n">
        <v>0</v>
      </c>
      <c r="R588" s="2" t="inlineStr"/>
    </row>
    <row r="589" ht="15" customHeight="1">
      <c r="A589" t="inlineStr">
        <is>
          <t>A 30956-2024</t>
        </is>
      </c>
      <c r="B589" s="1" t="n">
        <v>45499.42527777778</v>
      </c>
      <c r="C589" s="1" t="n">
        <v>45987</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30892-2024</t>
        </is>
      </c>
      <c r="B590" s="1" t="n">
        <v>45491</v>
      </c>
      <c r="C590" s="1" t="n">
        <v>45987</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45013.69365740741</v>
      </c>
      <c r="C591" s="1" t="n">
        <v>45987</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59469-2024</t>
        </is>
      </c>
      <c r="B592" s="1" t="n">
        <v>45638</v>
      </c>
      <c r="C592" s="1" t="n">
        <v>45987</v>
      </c>
      <c r="D592" t="inlineStr">
        <is>
          <t>GOTLANDS LÄN</t>
        </is>
      </c>
      <c r="E592" t="inlineStr">
        <is>
          <t>GOTLAND</t>
        </is>
      </c>
      <c r="G592" t="n">
        <v>0.4</v>
      </c>
      <c r="H592" t="n">
        <v>0</v>
      </c>
      <c r="I592" t="n">
        <v>0</v>
      </c>
      <c r="J592" t="n">
        <v>0</v>
      </c>
      <c r="K592" t="n">
        <v>0</v>
      </c>
      <c r="L592" t="n">
        <v>0</v>
      </c>
      <c r="M592" t="n">
        <v>0</v>
      </c>
      <c r="N592" t="n">
        <v>0</v>
      </c>
      <c r="O592" t="n">
        <v>0</v>
      </c>
      <c r="P592" t="n">
        <v>0</v>
      </c>
      <c r="Q592" t="n">
        <v>0</v>
      </c>
      <c r="R592" s="2" t="inlineStr"/>
    </row>
    <row r="593" ht="15" customHeight="1">
      <c r="A593" t="inlineStr">
        <is>
          <t>A 7858-2025</t>
        </is>
      </c>
      <c r="B593" s="1" t="n">
        <v>45706.68633101852</v>
      </c>
      <c r="C593" s="1" t="n">
        <v>45987</v>
      </c>
      <c r="D593" t="inlineStr">
        <is>
          <t>GOTLANDS LÄN</t>
        </is>
      </c>
      <c r="E593" t="inlineStr">
        <is>
          <t>GOTLAND</t>
        </is>
      </c>
      <c r="G593" t="n">
        <v>3</v>
      </c>
      <c r="H593" t="n">
        <v>0</v>
      </c>
      <c r="I593" t="n">
        <v>0</v>
      </c>
      <c r="J593" t="n">
        <v>0</v>
      </c>
      <c r="K593" t="n">
        <v>0</v>
      </c>
      <c r="L593" t="n">
        <v>0</v>
      </c>
      <c r="M593" t="n">
        <v>0</v>
      </c>
      <c r="N593" t="n">
        <v>0</v>
      </c>
      <c r="O593" t="n">
        <v>0</v>
      </c>
      <c r="P593" t="n">
        <v>0</v>
      </c>
      <c r="Q593" t="n">
        <v>0</v>
      </c>
      <c r="R593" s="2" t="inlineStr"/>
    </row>
    <row r="594" ht="15" customHeight="1">
      <c r="A594" t="inlineStr">
        <is>
          <t>A 53935-2024</t>
        </is>
      </c>
      <c r="B594" s="1" t="n">
        <v>45615</v>
      </c>
      <c r="C594" s="1" t="n">
        <v>45987</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18223-2025</t>
        </is>
      </c>
      <c r="B595" s="1" t="n">
        <v>45761</v>
      </c>
      <c r="C595" s="1" t="n">
        <v>45987</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45987</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5891-2025</t>
        </is>
      </c>
      <c r="B597" s="1" t="n">
        <v>45695.38327546296</v>
      </c>
      <c r="C597" s="1" t="n">
        <v>45987</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7835-2024</t>
        </is>
      </c>
      <c r="B598" s="1" t="n">
        <v>45349.83138888889</v>
      </c>
      <c r="C598" s="1" t="n">
        <v>45987</v>
      </c>
      <c r="D598" t="inlineStr">
        <is>
          <t>GOTLANDS LÄN</t>
        </is>
      </c>
      <c r="E598" t="inlineStr">
        <is>
          <t>GOTLAND</t>
        </is>
      </c>
      <c r="G598" t="n">
        <v>3.8</v>
      </c>
      <c r="H598" t="n">
        <v>0</v>
      </c>
      <c r="I598" t="n">
        <v>0</v>
      </c>
      <c r="J598" t="n">
        <v>0</v>
      </c>
      <c r="K598" t="n">
        <v>0</v>
      </c>
      <c r="L598" t="n">
        <v>0</v>
      </c>
      <c r="M598" t="n">
        <v>0</v>
      </c>
      <c r="N598" t="n">
        <v>0</v>
      </c>
      <c r="O598" t="n">
        <v>0</v>
      </c>
      <c r="P598" t="n">
        <v>0</v>
      </c>
      <c r="Q598" t="n">
        <v>0</v>
      </c>
      <c r="R598" s="2" t="inlineStr"/>
    </row>
    <row r="599" ht="15" customHeight="1">
      <c r="A599" t="inlineStr">
        <is>
          <t>A 20794-2025</t>
        </is>
      </c>
      <c r="B599" s="1" t="n">
        <v>45776</v>
      </c>
      <c r="C599" s="1" t="n">
        <v>45987</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20805-2025</t>
        </is>
      </c>
      <c r="B600" s="1" t="n">
        <v>45776</v>
      </c>
      <c r="C600" s="1" t="n">
        <v>45987</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21389-2025</t>
        </is>
      </c>
      <c r="B601" s="1" t="n">
        <v>45782</v>
      </c>
      <c r="C601" s="1" t="n">
        <v>45987</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21651-2025</t>
        </is>
      </c>
      <c r="B602" s="1" t="n">
        <v>45783</v>
      </c>
      <c r="C602" s="1" t="n">
        <v>45987</v>
      </c>
      <c r="D602" t="inlineStr">
        <is>
          <t>GOTLANDS LÄN</t>
        </is>
      </c>
      <c r="E602" t="inlineStr">
        <is>
          <t>GOTLAND</t>
        </is>
      </c>
      <c r="G602" t="n">
        <v>4.2</v>
      </c>
      <c r="H602" t="n">
        <v>0</v>
      </c>
      <c r="I602" t="n">
        <v>0</v>
      </c>
      <c r="J602" t="n">
        <v>0</v>
      </c>
      <c r="K602" t="n">
        <v>0</v>
      </c>
      <c r="L602" t="n">
        <v>0</v>
      </c>
      <c r="M602" t="n">
        <v>0</v>
      </c>
      <c r="N602" t="n">
        <v>0</v>
      </c>
      <c r="O602" t="n">
        <v>0</v>
      </c>
      <c r="P602" t="n">
        <v>0</v>
      </c>
      <c r="Q602" t="n">
        <v>0</v>
      </c>
      <c r="R602" s="2" t="inlineStr"/>
    </row>
    <row r="603" ht="15" customHeight="1">
      <c r="A603" t="inlineStr">
        <is>
          <t>A 57356-2023</t>
        </is>
      </c>
      <c r="B603" s="1" t="n">
        <v>45240</v>
      </c>
      <c r="C603" s="1" t="n">
        <v>45987</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10656-2024</t>
        </is>
      </c>
      <c r="B604" s="1" t="n">
        <v>45368</v>
      </c>
      <c r="C604" s="1" t="n">
        <v>45987</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45987</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21420-2024</t>
        </is>
      </c>
      <c r="B606" s="1" t="n">
        <v>45441.38293981482</v>
      </c>
      <c r="C606" s="1" t="n">
        <v>45987</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23188-2025</t>
        </is>
      </c>
      <c r="B607" s="1" t="n">
        <v>45791</v>
      </c>
      <c r="C607" s="1" t="n">
        <v>45987</v>
      </c>
      <c r="D607" t="inlineStr">
        <is>
          <t>GOTLANDS LÄN</t>
        </is>
      </c>
      <c r="E607" t="inlineStr">
        <is>
          <t>GOTLAND</t>
        </is>
      </c>
      <c r="G607" t="n">
        <v>6.2</v>
      </c>
      <c r="H607" t="n">
        <v>0</v>
      </c>
      <c r="I607" t="n">
        <v>0</v>
      </c>
      <c r="J607" t="n">
        <v>0</v>
      </c>
      <c r="K607" t="n">
        <v>0</v>
      </c>
      <c r="L607" t="n">
        <v>0</v>
      </c>
      <c r="M607" t="n">
        <v>0</v>
      </c>
      <c r="N607" t="n">
        <v>0</v>
      </c>
      <c r="O607" t="n">
        <v>0</v>
      </c>
      <c r="P607" t="n">
        <v>0</v>
      </c>
      <c r="Q607" t="n">
        <v>0</v>
      </c>
      <c r="R607" s="2" t="inlineStr"/>
    </row>
    <row r="608" ht="15" customHeight="1">
      <c r="A608" t="inlineStr">
        <is>
          <t>A 23473-2025</t>
        </is>
      </c>
      <c r="B608" s="1" t="n">
        <v>45792</v>
      </c>
      <c r="C608" s="1" t="n">
        <v>45987</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c r="A609" t="inlineStr">
        <is>
          <t>A 23856-2025</t>
        </is>
      </c>
      <c r="B609" s="1" t="n">
        <v>45793</v>
      </c>
      <c r="C609" s="1" t="n">
        <v>45987</v>
      </c>
      <c r="D609" t="inlineStr">
        <is>
          <t>GOTLANDS LÄN</t>
        </is>
      </c>
      <c r="E609" t="inlineStr">
        <is>
          <t>GOTLAND</t>
        </is>
      </c>
      <c r="G609" t="n">
        <v>4.4</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2025-11-26T10:21:53Z</dcterms:created>
  <dcterms:modified xmlns:dcterms="http://purl.org/dc/terms/" xmlns:xsi="http://www.w3.org/2001/XMLSchema-instance" xsi:type="dcterms:W3CDTF">2025-11-26T10:21:53Z</dcterms:modified>
</cp:coreProperties>
</file>