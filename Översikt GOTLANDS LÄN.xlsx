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45973</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45973</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45973</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45973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45973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45973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45973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45973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45973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45973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45973</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45973</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45973</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45973</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45973</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45973</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45973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45973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45973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45973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45973</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45973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45973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45973</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45973</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35141-2022</t>
        </is>
      </c>
      <c r="B37" s="1" t="n">
        <v>44797.53318287037</v>
      </c>
      <c r="C37" s="1" t="n">
        <v>45973</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2804-2023</t>
        </is>
      </c>
      <c r="B38" s="1" t="n">
        <v>44944</v>
      </c>
      <c r="C38" s="1" t="n">
        <v>45973</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3324-2023</t>
        </is>
      </c>
      <c r="B39" s="1" t="n">
        <v>44949</v>
      </c>
      <c r="C39" s="1" t="n">
        <v>45973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45973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45973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45973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45973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45973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45973</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45973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45973</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45973</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584-2023</t>
        </is>
      </c>
      <c r="B50" s="1" t="n">
        <v>44930</v>
      </c>
      <c r="C50" s="1" t="n">
        <v>45973</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45973</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45973</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59132-2024</t>
        </is>
      </c>
      <c r="B53" s="1" t="n">
        <v>45637</v>
      </c>
      <c r="C53" s="1" t="n">
        <v>45973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45973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45973</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7039-2023</t>
        </is>
      </c>
      <c r="B56" s="1" t="n">
        <v>44968</v>
      </c>
      <c r="C56" s="1" t="n">
        <v>45973</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2649-2023</t>
        </is>
      </c>
      <c r="B57" s="1" t="n">
        <v>44943</v>
      </c>
      <c r="C57" s="1" t="n">
        <v>45973</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45973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45973</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27280-2023</t>
        </is>
      </c>
      <c r="B60" s="1" t="n">
        <v>45096</v>
      </c>
      <c r="C60" s="1" t="n">
        <v>45973</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34142-2024</t>
        </is>
      </c>
      <c r="B61" s="1" t="n">
        <v>45524.36521990741</v>
      </c>
      <c r="C61" s="1" t="n">
        <v>45973</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10419-2025</t>
        </is>
      </c>
      <c r="B62" s="1" t="n">
        <v>45720</v>
      </c>
      <c r="C62" s="1" t="n">
        <v>45973</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45973</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45248-2024</t>
        </is>
      </c>
      <c r="B64" s="1" t="n">
        <v>45576</v>
      </c>
      <c r="C64" s="1" t="n">
        <v>45973</v>
      </c>
      <c r="D64" t="inlineStr">
        <is>
          <t>GOTLANDS LÄN</t>
        </is>
      </c>
      <c r="E64" t="inlineStr">
        <is>
          <t>GOTLAND</t>
        </is>
      </c>
      <c r="G64" t="n">
        <v>9.4</v>
      </c>
      <c r="H64" t="n">
        <v>0</v>
      </c>
      <c r="I64" t="n">
        <v>3</v>
      </c>
      <c r="J64" t="n">
        <v>1</v>
      </c>
      <c r="K64" t="n">
        <v>1</v>
      </c>
      <c r="L64" t="n">
        <v>1</v>
      </c>
      <c r="M64" t="n">
        <v>1</v>
      </c>
      <c r="N64" t="n">
        <v>0</v>
      </c>
      <c r="O64" t="n">
        <v>4</v>
      </c>
      <c r="P64" t="n">
        <v>3</v>
      </c>
      <c r="Q64" t="n">
        <v>7</v>
      </c>
      <c r="R64" s="2" t="inlineStr">
        <is>
          <t>Lundalm
Ask
Mjölspindling
Oxtungssvamp
Myskmadra
Stinkbrosking
Underviol</t>
        </is>
      </c>
      <c r="S64">
        <f>HYPERLINK("https://klasma.github.io/Logging_0980/artfynd/A 45248-2024 artfynd.xlsx", "A 45248-2024")</f>
        <v/>
      </c>
      <c r="T64">
        <f>HYPERLINK("https://klasma.github.io/Logging_0980/kartor/A 45248-2024 karta.png", "A 45248-2024")</f>
        <v/>
      </c>
      <c r="V64">
        <f>HYPERLINK("https://klasma.github.io/Logging_0980/klagomål/A 45248-2024 FSC-klagomål.docx", "A 45248-2024")</f>
        <v/>
      </c>
      <c r="W64">
        <f>HYPERLINK("https://klasma.github.io/Logging_0980/klagomålsmail/A 45248-2024 FSC-klagomål mail.docx", "A 45248-2024")</f>
        <v/>
      </c>
      <c r="X64">
        <f>HYPERLINK("https://klasma.github.io/Logging_0980/tillsyn/A 45248-2024 tillsynsbegäran.docx", "A 45248-2024")</f>
        <v/>
      </c>
      <c r="Y64">
        <f>HYPERLINK("https://klasma.github.io/Logging_0980/tillsynsmail/A 45248-2024 tillsynsbegäran mail.docx", "A 45248-2024")</f>
        <v/>
      </c>
    </row>
    <row r="65" ht="15" customHeight="1">
      <c r="A65" t="inlineStr">
        <is>
          <t>A 18541-2024</t>
        </is>
      </c>
      <c r="B65" s="1" t="n">
        <v>45425</v>
      </c>
      <c r="C65" s="1" t="n">
        <v>45973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52223-2025</t>
        </is>
      </c>
      <c r="B66" s="1" t="n">
        <v>45953.44509259259</v>
      </c>
      <c r="C66" s="1" t="n">
        <v>45973</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45973</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45973</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45973</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65819-2020</t>
        </is>
      </c>
      <c r="B70" s="1" t="n">
        <v>44174</v>
      </c>
      <c r="C70" s="1" t="n">
        <v>45973</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7038-2023</t>
        </is>
      </c>
      <c r="B71" s="1" t="n">
        <v>44968</v>
      </c>
      <c r="C71" s="1" t="n">
        <v>45973</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45973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45973</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446-2023</t>
        </is>
      </c>
      <c r="B74" s="1" t="n">
        <v>44929</v>
      </c>
      <c r="C74" s="1" t="n">
        <v>45973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45973</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54055-2022</t>
        </is>
      </c>
      <c r="B76" s="1" t="n">
        <v>44881</v>
      </c>
      <c r="C76" s="1" t="n">
        <v>45973</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42936-2024</t>
        </is>
      </c>
      <c r="B77" s="1" t="n">
        <v>45567</v>
      </c>
      <c r="C77" s="1" t="n">
        <v>45973</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44944-2022</t>
        </is>
      </c>
      <c r="B78" s="1" t="n">
        <v>44841</v>
      </c>
      <c r="C78" s="1" t="n">
        <v>45973</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16375-2025</t>
        </is>
      </c>
      <c r="B79" s="1" t="n">
        <v>45751.41064814815</v>
      </c>
      <c r="C79" s="1" t="n">
        <v>45973</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39425-2023</t>
        </is>
      </c>
      <c r="B80" s="1" t="n">
        <v>45166</v>
      </c>
      <c r="C80" s="1" t="n">
        <v>45973</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45973</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32326-2024</t>
        </is>
      </c>
      <c r="B82" s="1" t="n">
        <v>45512</v>
      </c>
      <c r="C82" s="1" t="n">
        <v>45973</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45973</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45973</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54523-2023</t>
        </is>
      </c>
      <c r="B85" s="1" t="n">
        <v>45233</v>
      </c>
      <c r="C85" s="1" t="n">
        <v>45973</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44933-2022</t>
        </is>
      </c>
      <c r="B86" s="1" t="n">
        <v>44841</v>
      </c>
      <c r="C86" s="1" t="n">
        <v>45973</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6159-2023</t>
        </is>
      </c>
      <c r="B87" s="1" t="n">
        <v>44964</v>
      </c>
      <c r="C87" s="1" t="n">
        <v>45973</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45973</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1971-2023</t>
        </is>
      </c>
      <c r="B89" s="1" t="n">
        <v>44939</v>
      </c>
      <c r="C89" s="1" t="n">
        <v>45973</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64378-2020</t>
        </is>
      </c>
      <c r="B90" s="1" t="n">
        <v>44168</v>
      </c>
      <c r="C90" s="1" t="n">
        <v>45973</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2485-2025</t>
        </is>
      </c>
      <c r="B91" s="1" t="n">
        <v>45673</v>
      </c>
      <c r="C91" s="1" t="n">
        <v>45973</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45973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45973</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52309-2025</t>
        </is>
      </c>
      <c r="B94" s="1" t="n">
        <v>45953.64381944444</v>
      </c>
      <c r="C94" s="1" t="n">
        <v>45973</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53584-2025</t>
        </is>
      </c>
      <c r="B95" s="1" t="n">
        <v>45960.43130787037</v>
      </c>
      <c r="C95" s="1" t="n">
        <v>45973</v>
      </c>
      <c r="D95" t="inlineStr">
        <is>
          <t>GOTLANDS LÄN</t>
        </is>
      </c>
      <c r="E95" t="inlineStr">
        <is>
          <t>GOTLAND</t>
        </is>
      </c>
      <c r="F95" t="inlineStr">
        <is>
          <t>Övriga Aktiebolag</t>
        </is>
      </c>
      <c r="G95" t="n">
        <v>18.1</v>
      </c>
      <c r="H95" t="n">
        <v>1</v>
      </c>
      <c r="I95" t="n">
        <v>0</v>
      </c>
      <c r="J95" t="n">
        <v>4</v>
      </c>
      <c r="K95" t="n">
        <v>0</v>
      </c>
      <c r="L95" t="n">
        <v>0</v>
      </c>
      <c r="M95" t="n">
        <v>0</v>
      </c>
      <c r="N95" t="n">
        <v>0</v>
      </c>
      <c r="O95" t="n">
        <v>4</v>
      </c>
      <c r="P95" t="n">
        <v>0</v>
      </c>
      <c r="Q95" t="n">
        <v>4</v>
      </c>
      <c r="R95" s="2" t="inlineStr">
        <is>
          <t>Apollofjäril
Jordtistel
Klasefibbla
Majviva</t>
        </is>
      </c>
      <c r="S95">
        <f>HYPERLINK("https://klasma.github.io/Logging_0980/artfynd/A 53584-2025 artfynd.xlsx", "A 53584-2025")</f>
        <v/>
      </c>
      <c r="T95">
        <f>HYPERLINK("https://klasma.github.io/Logging_0980/kartor/A 53584-2025 karta.png", "A 53584-2025")</f>
        <v/>
      </c>
      <c r="V95">
        <f>HYPERLINK("https://klasma.github.io/Logging_0980/klagomål/A 53584-2025 FSC-klagomål.docx", "A 53584-2025")</f>
        <v/>
      </c>
      <c r="W95">
        <f>HYPERLINK("https://klasma.github.io/Logging_0980/klagomålsmail/A 53584-2025 FSC-klagomål mail.docx", "A 53584-2025")</f>
        <v/>
      </c>
      <c r="X95">
        <f>HYPERLINK("https://klasma.github.io/Logging_0980/tillsyn/A 53584-2025 tillsynsbegäran.docx", "A 53584-2025")</f>
        <v/>
      </c>
      <c r="Y95">
        <f>HYPERLINK("https://klasma.github.io/Logging_0980/tillsynsmail/A 53584-2025 tillsynsbegäran mail.docx", "A 53584-2025")</f>
        <v/>
      </c>
    </row>
    <row r="96" ht="15" customHeight="1">
      <c r="A96" t="inlineStr">
        <is>
          <t>A 8265-2023</t>
        </is>
      </c>
      <c r="B96" s="1" t="n">
        <v>44974</v>
      </c>
      <c r="C96" s="1" t="n">
        <v>45973</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186-2023</t>
        </is>
      </c>
      <c r="B97" s="1" t="n">
        <v>44928</v>
      </c>
      <c r="C97" s="1" t="n">
        <v>45973</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56717-2024</t>
        </is>
      </c>
      <c r="B98" s="1" t="n">
        <v>45628.3166550926</v>
      </c>
      <c r="C98" s="1" t="n">
        <v>45973</v>
      </c>
      <c r="D98" t="inlineStr">
        <is>
          <t>GOTLANDS LÄN</t>
        </is>
      </c>
      <c r="E98" t="inlineStr">
        <is>
          <t>GOTLAND</t>
        </is>
      </c>
      <c r="G98" t="n">
        <v>9.699999999999999</v>
      </c>
      <c r="H98" t="n">
        <v>0</v>
      </c>
      <c r="I98" t="n">
        <v>2</v>
      </c>
      <c r="J98" t="n">
        <v>2</v>
      </c>
      <c r="K98" t="n">
        <v>0</v>
      </c>
      <c r="L98" t="n">
        <v>0</v>
      </c>
      <c r="M98" t="n">
        <v>0</v>
      </c>
      <c r="N98" t="n">
        <v>0</v>
      </c>
      <c r="O98" t="n">
        <v>2</v>
      </c>
      <c r="P98" t="n">
        <v>0</v>
      </c>
      <c r="Q98" t="n">
        <v>4</v>
      </c>
      <c r="R98" s="2" t="inlineStr">
        <is>
          <t>Ekvaxskivling
Odörspindling
Fjällig taggsvamp s.str.
Kattfotslav</t>
        </is>
      </c>
      <c r="S98">
        <f>HYPERLINK("https://klasma.github.io/Logging_0980/artfynd/A 56717-2024 artfynd.xlsx", "A 56717-2024")</f>
        <v/>
      </c>
      <c r="T98">
        <f>HYPERLINK("https://klasma.github.io/Logging_0980/kartor/A 56717-2024 karta.png", "A 56717-2024")</f>
        <v/>
      </c>
      <c r="V98">
        <f>HYPERLINK("https://klasma.github.io/Logging_0980/klagomål/A 56717-2024 FSC-klagomål.docx", "A 56717-2024")</f>
        <v/>
      </c>
      <c r="W98">
        <f>HYPERLINK("https://klasma.github.io/Logging_0980/klagomålsmail/A 56717-2024 FSC-klagomål mail.docx", "A 56717-2024")</f>
        <v/>
      </c>
      <c r="X98">
        <f>HYPERLINK("https://klasma.github.io/Logging_0980/tillsyn/A 56717-2024 tillsynsbegäran.docx", "A 56717-2024")</f>
        <v/>
      </c>
      <c r="Y98">
        <f>HYPERLINK("https://klasma.github.io/Logging_0980/tillsynsmail/A 56717-2024 tillsynsbegäran mail.docx", "A 56717-2024")</f>
        <v/>
      </c>
    </row>
    <row r="99" ht="15" customHeight="1">
      <c r="A99" t="inlineStr">
        <is>
          <t>A 20833-2024</t>
        </is>
      </c>
      <c r="B99" s="1" t="n">
        <v>45439</v>
      </c>
      <c r="C99" s="1" t="n">
        <v>45973</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45973</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45973</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45973</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45973</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45973</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2332-2021</t>
        </is>
      </c>
      <c r="B105" s="1" t="n">
        <v>44214</v>
      </c>
      <c r="C105" s="1" t="n">
        <v>45973</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17982-2023</t>
        </is>
      </c>
      <c r="B106" s="1" t="n">
        <v>45040</v>
      </c>
      <c r="C106" s="1" t="n">
        <v>45973</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48126-2022</t>
        </is>
      </c>
      <c r="B107" s="1" t="n">
        <v>44857</v>
      </c>
      <c r="C107" s="1" t="n">
        <v>45973</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17975-2024</t>
        </is>
      </c>
      <c r="B108" s="1" t="n">
        <v>45419.85546296297</v>
      </c>
      <c r="C108" s="1" t="n">
        <v>45973</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13499-2022</t>
        </is>
      </c>
      <c r="B109" s="1" t="n">
        <v>44647.79203703703</v>
      </c>
      <c r="C109" s="1" t="n">
        <v>45973</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12315-2024</t>
        </is>
      </c>
      <c r="B110" s="1" t="n">
        <v>45378.6434837963</v>
      </c>
      <c r="C110" s="1" t="n">
        <v>45973</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49709-2025</t>
        </is>
      </c>
      <c r="B111" s="1" t="n">
        <v>45939.68228009259</v>
      </c>
      <c r="C111" s="1" t="n">
        <v>45973</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45973</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45973</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62326-2020</t>
        </is>
      </c>
      <c r="B114" s="1" t="n">
        <v>44160</v>
      </c>
      <c r="C114" s="1" t="n">
        <v>45973</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53552-2021</t>
        </is>
      </c>
      <c r="B115" s="1" t="n">
        <v>44468</v>
      </c>
      <c r="C115" s="1" t="n">
        <v>45973</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73144-2021</t>
        </is>
      </c>
      <c r="B116" s="1" t="n">
        <v>44550</v>
      </c>
      <c r="C116" s="1" t="n">
        <v>45973</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55334-2024</t>
        </is>
      </c>
      <c r="B117" s="1" t="n">
        <v>45621</v>
      </c>
      <c r="C117" s="1" t="n">
        <v>45973</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30490-2025</t>
        </is>
      </c>
      <c r="B118" s="1" t="n">
        <v>45830</v>
      </c>
      <c r="C118" s="1" t="n">
        <v>45973</v>
      </c>
      <c r="D118" t="inlineStr">
        <is>
          <t>GOTLANDS LÄN</t>
        </is>
      </c>
      <c r="E118" t="inlineStr">
        <is>
          <t>GOTLAND</t>
        </is>
      </c>
      <c r="G118" t="n">
        <v>7.9</v>
      </c>
      <c r="H118" t="n">
        <v>1</v>
      </c>
      <c r="I118" t="n">
        <v>0</v>
      </c>
      <c r="J118" t="n">
        <v>2</v>
      </c>
      <c r="K118" t="n">
        <v>0</v>
      </c>
      <c r="L118" t="n">
        <v>0</v>
      </c>
      <c r="M118" t="n">
        <v>0</v>
      </c>
      <c r="N118" t="n">
        <v>0</v>
      </c>
      <c r="O118" t="n">
        <v>2</v>
      </c>
      <c r="P118" t="n">
        <v>0</v>
      </c>
      <c r="Q118" t="n">
        <v>3</v>
      </c>
      <c r="R118" s="2" t="inlineStr">
        <is>
          <t>Klasefibbla
Majviva
Nattviol</t>
        </is>
      </c>
      <c r="S118">
        <f>HYPERLINK("https://klasma.github.io/Logging_0980/artfynd/A 30490-2025 artfynd.xlsx", "A 30490-2025")</f>
        <v/>
      </c>
      <c r="T118">
        <f>HYPERLINK("https://klasma.github.io/Logging_0980/kartor/A 30490-2025 karta.png", "A 30490-2025")</f>
        <v/>
      </c>
      <c r="V118">
        <f>HYPERLINK("https://klasma.github.io/Logging_0980/klagomål/A 30490-2025 FSC-klagomål.docx", "A 30490-2025")</f>
        <v/>
      </c>
      <c r="W118">
        <f>HYPERLINK("https://klasma.github.io/Logging_0980/klagomålsmail/A 30490-2025 FSC-klagomål mail.docx", "A 30490-2025")</f>
        <v/>
      </c>
      <c r="X118">
        <f>HYPERLINK("https://klasma.github.io/Logging_0980/tillsyn/A 30490-2025 tillsynsbegäran.docx", "A 30490-2025")</f>
        <v/>
      </c>
      <c r="Y118">
        <f>HYPERLINK("https://klasma.github.io/Logging_0980/tillsynsmail/A 30490-2025 tillsynsbegäran mail.docx", "A 30490-2025")</f>
        <v/>
      </c>
    </row>
    <row r="119" ht="15" customHeight="1">
      <c r="A119" t="inlineStr">
        <is>
          <t>A 20831-2024</t>
        </is>
      </c>
      <c r="B119" s="1" t="n">
        <v>45439</v>
      </c>
      <c r="C119" s="1" t="n">
        <v>45973</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45973</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45973</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45973</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60665-2021</t>
        </is>
      </c>
      <c r="B124" s="1" t="n">
        <v>44496</v>
      </c>
      <c r="C124" s="1" t="n">
        <v>45973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45973</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26077-2024</t>
        </is>
      </c>
      <c r="B126" s="1" t="n">
        <v>45467</v>
      </c>
      <c r="C126" s="1" t="n">
        <v>45973</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54357-2024</t>
        </is>
      </c>
      <c r="B127" s="1" t="n">
        <v>45617.40662037037</v>
      </c>
      <c r="C127" s="1" t="n">
        <v>45973</v>
      </c>
      <c r="D127" t="inlineStr">
        <is>
          <t>GOTLANDS LÄN</t>
        </is>
      </c>
      <c r="E127" t="inlineStr">
        <is>
          <t>GOTLAND</t>
        </is>
      </c>
      <c r="G127" t="n">
        <v>1.5</v>
      </c>
      <c r="H127" t="n">
        <v>1</v>
      </c>
      <c r="I127" t="n">
        <v>0</v>
      </c>
      <c r="J127" t="n">
        <v>1</v>
      </c>
      <c r="K127" t="n">
        <v>0</v>
      </c>
      <c r="L127" t="n">
        <v>0</v>
      </c>
      <c r="M127" t="n">
        <v>0</v>
      </c>
      <c r="N127" t="n">
        <v>0</v>
      </c>
      <c r="O127" t="n">
        <v>1</v>
      </c>
      <c r="P127" t="n">
        <v>0</v>
      </c>
      <c r="Q127" t="n">
        <v>2</v>
      </c>
      <c r="R127" s="2" t="inlineStr">
        <is>
          <t>Loppstarr
Fläcknycklar</t>
        </is>
      </c>
      <c r="S127">
        <f>HYPERLINK("https://klasma.github.io/Logging_0980/artfynd/A 54357-2024 artfynd.xlsx", "A 54357-2024")</f>
        <v/>
      </c>
      <c r="T127">
        <f>HYPERLINK("https://klasma.github.io/Logging_0980/kartor/A 54357-2024 karta.png", "A 54357-2024")</f>
        <v/>
      </c>
      <c r="V127">
        <f>HYPERLINK("https://klasma.github.io/Logging_0980/klagomål/A 54357-2024 FSC-klagomål.docx", "A 54357-2024")</f>
        <v/>
      </c>
      <c r="W127">
        <f>HYPERLINK("https://klasma.github.io/Logging_0980/klagomålsmail/A 54357-2024 FSC-klagomål mail.docx", "A 54357-2024")</f>
        <v/>
      </c>
      <c r="X127">
        <f>HYPERLINK("https://klasma.github.io/Logging_0980/tillsyn/A 54357-2024 tillsynsbegäran.docx", "A 54357-2024")</f>
        <v/>
      </c>
      <c r="Y127">
        <f>HYPERLINK("https://klasma.github.io/Logging_0980/tillsynsmail/A 54357-2024 tillsynsbegäran mail.docx", "A 54357-2024")</f>
        <v/>
      </c>
    </row>
    <row r="128" ht="15" customHeight="1">
      <c r="A128" t="inlineStr">
        <is>
          <t>A 21879-2025</t>
        </is>
      </c>
      <c r="B128" s="1" t="n">
        <v>45784.40533564815</v>
      </c>
      <c r="C128" s="1" t="n">
        <v>45973</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7070-2022</t>
        </is>
      </c>
      <c r="B129" s="1" t="n">
        <v>44603</v>
      </c>
      <c r="C129" s="1" t="n">
        <v>45973</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45973</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45973</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45973</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45973</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20838-2024</t>
        </is>
      </c>
      <c r="B134" s="1" t="n">
        <v>45439</v>
      </c>
      <c r="C134" s="1" t="n">
        <v>45973</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64263-2020</t>
        </is>
      </c>
      <c r="B135" s="1" t="n">
        <v>44168</v>
      </c>
      <c r="C135" s="1" t="n">
        <v>45973</v>
      </c>
      <c r="D135" t="inlineStr">
        <is>
          <t>GOTLANDS LÄN</t>
        </is>
      </c>
      <c r="E135" t="inlineStr">
        <is>
          <t>GOTLAND</t>
        </is>
      </c>
      <c r="G135" t="n">
        <v>10.9</v>
      </c>
      <c r="H135" t="n">
        <v>1</v>
      </c>
      <c r="I135" t="n">
        <v>0</v>
      </c>
      <c r="J135" t="n">
        <v>2</v>
      </c>
      <c r="K135" t="n">
        <v>0</v>
      </c>
      <c r="L135" t="n">
        <v>0</v>
      </c>
      <c r="M135" t="n">
        <v>0</v>
      </c>
      <c r="N135" t="n">
        <v>0</v>
      </c>
      <c r="O135" t="n">
        <v>2</v>
      </c>
      <c r="P135" t="n">
        <v>0</v>
      </c>
      <c r="Q135" t="n">
        <v>2</v>
      </c>
      <c r="R135" s="2" t="inlineStr">
        <is>
          <t>Mindre hackspett
Ullticka</t>
        </is>
      </c>
      <c r="S135">
        <f>HYPERLINK("https://klasma.github.io/Logging_0980/artfynd/A 64263-2020 artfynd.xlsx", "A 64263-2020")</f>
        <v/>
      </c>
      <c r="T135">
        <f>HYPERLINK("https://klasma.github.io/Logging_0980/kartor/A 64263-2020 karta.png", "A 64263-2020")</f>
        <v/>
      </c>
      <c r="V135">
        <f>HYPERLINK("https://klasma.github.io/Logging_0980/klagomål/A 64263-2020 FSC-klagomål.docx", "A 64263-2020")</f>
        <v/>
      </c>
      <c r="W135">
        <f>HYPERLINK("https://klasma.github.io/Logging_0980/klagomålsmail/A 64263-2020 FSC-klagomål mail.docx", "A 64263-2020")</f>
        <v/>
      </c>
      <c r="X135">
        <f>HYPERLINK("https://klasma.github.io/Logging_0980/tillsyn/A 64263-2020 tillsynsbegäran.docx", "A 64263-2020")</f>
        <v/>
      </c>
      <c r="Y135">
        <f>HYPERLINK("https://klasma.github.io/Logging_0980/tillsynsmail/A 64263-2020 tillsynsbegäran mail.docx", "A 64263-2020")</f>
        <v/>
      </c>
      <c r="Z135">
        <f>HYPERLINK("https://klasma.github.io/Logging_0980/fåglar/A 64263-2020 prioriterade fågelarter.docx", "A 64263-2020")</f>
        <v/>
      </c>
    </row>
    <row r="136" ht="15" customHeight="1">
      <c r="A136" t="inlineStr">
        <is>
          <t>A 52245-2025</t>
        </is>
      </c>
      <c r="B136" s="1" t="n">
        <v>45953.47115740741</v>
      </c>
      <c r="C136" s="1" t="n">
        <v>45973</v>
      </c>
      <c r="D136" t="inlineStr">
        <is>
          <t>GOTLANDS LÄN</t>
        </is>
      </c>
      <c r="E136" t="inlineStr">
        <is>
          <t>GOTLAND</t>
        </is>
      </c>
      <c r="F136" t="inlineStr">
        <is>
          <t>Övriga Aktiebolag</t>
        </is>
      </c>
      <c r="G136" t="n">
        <v>10.1</v>
      </c>
      <c r="H136" t="n">
        <v>0</v>
      </c>
      <c r="I136" t="n">
        <v>1</v>
      </c>
      <c r="J136" t="n">
        <v>0</v>
      </c>
      <c r="K136" t="n">
        <v>1</v>
      </c>
      <c r="L136" t="n">
        <v>0</v>
      </c>
      <c r="M136" t="n">
        <v>0</v>
      </c>
      <c r="N136" t="n">
        <v>0</v>
      </c>
      <c r="O136" t="n">
        <v>1</v>
      </c>
      <c r="P136" t="n">
        <v>1</v>
      </c>
      <c r="Q136" t="n">
        <v>2</v>
      </c>
      <c r="R136" s="2" t="inlineStr">
        <is>
          <t>Källnate
Underviol</t>
        </is>
      </c>
      <c r="S136">
        <f>HYPERLINK("https://klasma.github.io/Logging_0980/artfynd/A 52245-2025 artfynd.xlsx", "A 52245-2025")</f>
        <v/>
      </c>
      <c r="T136">
        <f>HYPERLINK("https://klasma.github.io/Logging_0980/kartor/A 52245-2025 karta.png", "A 52245-2025")</f>
        <v/>
      </c>
      <c r="V136">
        <f>HYPERLINK("https://klasma.github.io/Logging_0980/klagomål/A 52245-2025 FSC-klagomål.docx", "A 52245-2025")</f>
        <v/>
      </c>
      <c r="W136">
        <f>HYPERLINK("https://klasma.github.io/Logging_0980/klagomålsmail/A 52245-2025 FSC-klagomål mail.docx", "A 52245-2025")</f>
        <v/>
      </c>
      <c r="X136">
        <f>HYPERLINK("https://klasma.github.io/Logging_0980/tillsyn/A 52245-2025 tillsynsbegäran.docx", "A 52245-2025")</f>
        <v/>
      </c>
      <c r="Y136">
        <f>HYPERLINK("https://klasma.github.io/Logging_0980/tillsynsmail/A 52245-2025 tillsynsbegäran mail.docx", "A 52245-2025")</f>
        <v/>
      </c>
    </row>
    <row r="137" ht="15" customHeight="1">
      <c r="A137" t="inlineStr">
        <is>
          <t>A 28276-2024</t>
        </is>
      </c>
      <c r="B137" s="1" t="n">
        <v>45477</v>
      </c>
      <c r="C137" s="1" t="n">
        <v>45973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24-2021</t>
        </is>
      </c>
      <c r="B138" s="1" t="n">
        <v>44197</v>
      </c>
      <c r="C138" s="1" t="n">
        <v>45973</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45973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45973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45973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1477-2024</t>
        </is>
      </c>
      <c r="B142" s="1" t="n">
        <v>45305.37987268518</v>
      </c>
      <c r="C142" s="1" t="n">
        <v>45973</v>
      </c>
      <c r="D142" t="inlineStr">
        <is>
          <t>GOTLANDS LÄN</t>
        </is>
      </c>
      <c r="E142" t="inlineStr">
        <is>
          <t>GOTLAND</t>
        </is>
      </c>
      <c r="G142" t="n">
        <v>6.9</v>
      </c>
      <c r="H142" t="n">
        <v>0</v>
      </c>
      <c r="I142" t="n">
        <v>0</v>
      </c>
      <c r="J142" t="n">
        <v>1</v>
      </c>
      <c r="K142" t="n">
        <v>0</v>
      </c>
      <c r="L142" t="n">
        <v>0</v>
      </c>
      <c r="M142" t="n">
        <v>0</v>
      </c>
      <c r="N142" t="n">
        <v>0</v>
      </c>
      <c r="O142" t="n">
        <v>1</v>
      </c>
      <c r="P142" t="n">
        <v>0</v>
      </c>
      <c r="Q142" t="n">
        <v>1</v>
      </c>
      <c r="R142" s="2" t="inlineStr">
        <is>
          <t>Igelkott</t>
        </is>
      </c>
      <c r="S142">
        <f>HYPERLINK("https://klasma.github.io/Logging_0980/artfynd/A 1477-2024 artfynd.xlsx", "A 1477-2024")</f>
        <v/>
      </c>
      <c r="T142">
        <f>HYPERLINK("https://klasma.github.io/Logging_0980/kartor/A 1477-2024 karta.png", "A 1477-2024")</f>
        <v/>
      </c>
      <c r="V142">
        <f>HYPERLINK("https://klasma.github.io/Logging_0980/klagomål/A 1477-2024 FSC-klagomål.docx", "A 1477-2024")</f>
        <v/>
      </c>
      <c r="W142">
        <f>HYPERLINK("https://klasma.github.io/Logging_0980/klagomålsmail/A 1477-2024 FSC-klagomål mail.docx", "A 1477-2024")</f>
        <v/>
      </c>
      <c r="X142">
        <f>HYPERLINK("https://klasma.github.io/Logging_0980/tillsyn/A 1477-2024 tillsynsbegäran.docx", "A 1477-2024")</f>
        <v/>
      </c>
      <c r="Y142">
        <f>HYPERLINK("https://klasma.github.io/Logging_0980/tillsynsmail/A 1477-2024 tillsynsbegäran mail.docx", "A 1477-2024")</f>
        <v/>
      </c>
    </row>
    <row r="143" ht="15" customHeight="1">
      <c r="A143" t="inlineStr">
        <is>
          <t>A 37591-2023</t>
        </is>
      </c>
      <c r="B143" s="1" t="n">
        <v>45159</v>
      </c>
      <c r="C143" s="1" t="n">
        <v>45973</v>
      </c>
      <c r="D143" t="inlineStr">
        <is>
          <t>GOTLANDS LÄN</t>
        </is>
      </c>
      <c r="E143" t="inlineStr">
        <is>
          <t>GOTLAND</t>
        </is>
      </c>
      <c r="G143" t="n">
        <v>8.300000000000001</v>
      </c>
      <c r="H143" t="n">
        <v>0</v>
      </c>
      <c r="I143" t="n">
        <v>0</v>
      </c>
      <c r="J143" t="n">
        <v>1</v>
      </c>
      <c r="K143" t="n">
        <v>0</v>
      </c>
      <c r="L143" t="n">
        <v>0</v>
      </c>
      <c r="M143" t="n">
        <v>0</v>
      </c>
      <c r="N143" t="n">
        <v>0</v>
      </c>
      <c r="O143" t="n">
        <v>1</v>
      </c>
      <c r="P143" t="n">
        <v>0</v>
      </c>
      <c r="Q143" t="n">
        <v>1</v>
      </c>
      <c r="R143" s="2" t="inlineStr">
        <is>
          <t>Ängsstarr</t>
        </is>
      </c>
      <c r="S143">
        <f>HYPERLINK("https://klasma.github.io/Logging_0980/artfynd/A 37591-2023 artfynd.xlsx", "A 37591-2023")</f>
        <v/>
      </c>
      <c r="T143">
        <f>HYPERLINK("https://klasma.github.io/Logging_0980/kartor/A 37591-2023 karta.png", "A 37591-2023")</f>
        <v/>
      </c>
      <c r="V143">
        <f>HYPERLINK("https://klasma.github.io/Logging_0980/klagomål/A 37591-2023 FSC-klagomål.docx", "A 37591-2023")</f>
        <v/>
      </c>
      <c r="W143">
        <f>HYPERLINK("https://klasma.github.io/Logging_0980/klagomålsmail/A 37591-2023 FSC-klagomål mail.docx", "A 37591-2023")</f>
        <v/>
      </c>
      <c r="X143">
        <f>HYPERLINK("https://klasma.github.io/Logging_0980/tillsyn/A 37591-2023 tillsynsbegäran.docx", "A 37591-2023")</f>
        <v/>
      </c>
      <c r="Y143">
        <f>HYPERLINK("https://klasma.github.io/Logging_0980/tillsynsmail/A 37591-2023 tillsynsbegäran mail.docx", "A 37591-2023")</f>
        <v/>
      </c>
    </row>
    <row r="144" ht="15" customHeight="1">
      <c r="A144" t="inlineStr">
        <is>
          <t>A 35574-2024</t>
        </is>
      </c>
      <c r="B144" s="1" t="n">
        <v>45531</v>
      </c>
      <c r="C144" s="1" t="n">
        <v>45973</v>
      </c>
      <c r="D144" t="inlineStr">
        <is>
          <t>GOTLANDS LÄN</t>
        </is>
      </c>
      <c r="E144" t="inlineStr">
        <is>
          <t>GOTLAND</t>
        </is>
      </c>
      <c r="G144" t="n">
        <v>5.7</v>
      </c>
      <c r="H144" t="n">
        <v>0</v>
      </c>
      <c r="I144" t="n">
        <v>1</v>
      </c>
      <c r="J144" t="n">
        <v>0</v>
      </c>
      <c r="K144" t="n">
        <v>0</v>
      </c>
      <c r="L144" t="n">
        <v>0</v>
      </c>
      <c r="M144" t="n">
        <v>0</v>
      </c>
      <c r="N144" t="n">
        <v>0</v>
      </c>
      <c r="O144" t="n">
        <v>0</v>
      </c>
      <c r="P144" t="n">
        <v>0</v>
      </c>
      <c r="Q144" t="n">
        <v>1</v>
      </c>
      <c r="R144" s="2" t="inlineStr">
        <is>
          <t>Murgröna</t>
        </is>
      </c>
      <c r="S144">
        <f>HYPERLINK("https://klasma.github.io/Logging_0980/artfynd/A 35574-2024 artfynd.xlsx", "A 35574-2024")</f>
        <v/>
      </c>
      <c r="T144">
        <f>HYPERLINK("https://klasma.github.io/Logging_0980/kartor/A 35574-2024 karta.png", "A 35574-2024")</f>
        <v/>
      </c>
      <c r="V144">
        <f>HYPERLINK("https://klasma.github.io/Logging_0980/klagomål/A 35574-2024 FSC-klagomål.docx", "A 35574-2024")</f>
        <v/>
      </c>
      <c r="W144">
        <f>HYPERLINK("https://klasma.github.io/Logging_0980/klagomålsmail/A 35574-2024 FSC-klagomål mail.docx", "A 35574-2024")</f>
        <v/>
      </c>
      <c r="X144">
        <f>HYPERLINK("https://klasma.github.io/Logging_0980/tillsyn/A 35574-2024 tillsynsbegäran.docx", "A 35574-2024")</f>
        <v/>
      </c>
      <c r="Y144">
        <f>HYPERLINK("https://klasma.github.io/Logging_0980/tillsynsmail/A 35574-2024 tillsynsbegäran mail.docx", "A 35574-2024")</f>
        <v/>
      </c>
    </row>
    <row r="145" ht="15" customHeight="1">
      <c r="A145" t="inlineStr">
        <is>
          <t>A 10218-2025</t>
        </is>
      </c>
      <c r="B145" s="1" t="n">
        <v>45720</v>
      </c>
      <c r="C145" s="1" t="n">
        <v>45973</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7637-2025</t>
        </is>
      </c>
      <c r="B146" s="1" t="n">
        <v>45705.77181712963</v>
      </c>
      <c r="C146" s="1" t="n">
        <v>45973</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25977-2024</t>
        </is>
      </c>
      <c r="B147" s="1" t="n">
        <v>45467.69356481481</v>
      </c>
      <c r="C147" s="1" t="n">
        <v>45973</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12379-2024</t>
        </is>
      </c>
      <c r="B148" s="1" t="n">
        <v>45379.28155092592</v>
      </c>
      <c r="C148" s="1" t="n">
        <v>45973</v>
      </c>
      <c r="D148" t="inlineStr">
        <is>
          <t>GOTLANDS LÄN</t>
        </is>
      </c>
      <c r="E148" t="inlineStr">
        <is>
          <t>GOTLAND</t>
        </is>
      </c>
      <c r="G148" t="n">
        <v>4.4</v>
      </c>
      <c r="H148" t="n">
        <v>0</v>
      </c>
      <c r="I148" t="n">
        <v>0</v>
      </c>
      <c r="J148" t="n">
        <v>1</v>
      </c>
      <c r="K148" t="n">
        <v>0</v>
      </c>
      <c r="L148" t="n">
        <v>0</v>
      </c>
      <c r="M148" t="n">
        <v>0</v>
      </c>
      <c r="N148" t="n">
        <v>0</v>
      </c>
      <c r="O148" t="n">
        <v>1</v>
      </c>
      <c r="P148" t="n">
        <v>0</v>
      </c>
      <c r="Q148" t="n">
        <v>1</v>
      </c>
      <c r="R148" s="2" t="inlineStr">
        <is>
          <t>Svinrot</t>
        </is>
      </c>
      <c r="S148">
        <f>HYPERLINK("https://klasma.github.io/Logging_0980/artfynd/A 12379-2024 artfynd.xlsx", "A 12379-2024")</f>
        <v/>
      </c>
      <c r="T148">
        <f>HYPERLINK("https://klasma.github.io/Logging_0980/kartor/A 12379-2024 karta.png", "A 12379-2024")</f>
        <v/>
      </c>
      <c r="V148">
        <f>HYPERLINK("https://klasma.github.io/Logging_0980/klagomål/A 12379-2024 FSC-klagomål.docx", "A 12379-2024")</f>
        <v/>
      </c>
      <c r="W148">
        <f>HYPERLINK("https://klasma.github.io/Logging_0980/klagomålsmail/A 12379-2024 FSC-klagomål mail.docx", "A 12379-2024")</f>
        <v/>
      </c>
      <c r="X148">
        <f>HYPERLINK("https://klasma.github.io/Logging_0980/tillsyn/A 12379-2024 tillsynsbegäran.docx", "A 12379-2024")</f>
        <v/>
      </c>
      <c r="Y148">
        <f>HYPERLINK("https://klasma.github.io/Logging_0980/tillsynsmail/A 12379-2024 tillsynsbegäran mail.docx", "A 12379-2024")</f>
        <v/>
      </c>
    </row>
    <row r="149" ht="15" customHeight="1">
      <c r="A149" t="inlineStr">
        <is>
          <t>A 17723-2021</t>
        </is>
      </c>
      <c r="B149" s="1" t="n">
        <v>44300</v>
      </c>
      <c r="C149" s="1" t="n">
        <v>45973</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65927-2021</t>
        </is>
      </c>
      <c r="B150" s="1" t="n">
        <v>44516</v>
      </c>
      <c r="C150" s="1" t="n">
        <v>45973</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21466-2025</t>
        </is>
      </c>
      <c r="B151" s="1" t="n">
        <v>45782</v>
      </c>
      <c r="C151" s="1" t="n">
        <v>45973</v>
      </c>
      <c r="D151" t="inlineStr">
        <is>
          <t>GOTLANDS LÄN</t>
        </is>
      </c>
      <c r="E151" t="inlineStr">
        <is>
          <t>GOTLAND</t>
        </is>
      </c>
      <c r="F151" t="inlineStr">
        <is>
          <t>Övriga statliga verk och myndigheter</t>
        </is>
      </c>
      <c r="G151" t="n">
        <v>1.7</v>
      </c>
      <c r="H151" t="n">
        <v>1</v>
      </c>
      <c r="I151" t="n">
        <v>0</v>
      </c>
      <c r="J151" t="n">
        <v>0</v>
      </c>
      <c r="K151" t="n">
        <v>0</v>
      </c>
      <c r="L151" t="n">
        <v>0</v>
      </c>
      <c r="M151" t="n">
        <v>0</v>
      </c>
      <c r="N151" t="n">
        <v>0</v>
      </c>
      <c r="O151" t="n">
        <v>0</v>
      </c>
      <c r="P151" t="n">
        <v>0</v>
      </c>
      <c r="Q151" t="n">
        <v>1</v>
      </c>
      <c r="R151" s="2" t="inlineStr">
        <is>
          <t>Blåsippa</t>
        </is>
      </c>
      <c r="S151">
        <f>HYPERLINK("https://klasma.github.io/Logging_0980/artfynd/A 21466-2025 artfynd.xlsx", "A 21466-2025")</f>
        <v/>
      </c>
      <c r="T151">
        <f>HYPERLINK("https://klasma.github.io/Logging_0980/kartor/A 21466-2025 karta.png", "A 21466-2025")</f>
        <v/>
      </c>
      <c r="V151">
        <f>HYPERLINK("https://klasma.github.io/Logging_0980/klagomål/A 21466-2025 FSC-klagomål.docx", "A 21466-2025")</f>
        <v/>
      </c>
      <c r="W151">
        <f>HYPERLINK("https://klasma.github.io/Logging_0980/klagomålsmail/A 21466-2025 FSC-klagomål mail.docx", "A 21466-2025")</f>
        <v/>
      </c>
      <c r="X151">
        <f>HYPERLINK("https://klasma.github.io/Logging_0980/tillsyn/A 21466-2025 tillsynsbegäran.docx", "A 21466-2025")</f>
        <v/>
      </c>
      <c r="Y151">
        <f>HYPERLINK("https://klasma.github.io/Logging_0980/tillsynsmail/A 21466-2025 tillsynsbegäran mail.docx", "A 21466-2025")</f>
        <v/>
      </c>
    </row>
    <row r="152" ht="15" customHeight="1">
      <c r="A152" t="inlineStr">
        <is>
          <t>A 6303-2024</t>
        </is>
      </c>
      <c r="B152" s="1" t="n">
        <v>45338.35376157407</v>
      </c>
      <c r="C152" s="1" t="n">
        <v>45973</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61796-2022</t>
        </is>
      </c>
      <c r="B153" s="1" t="n">
        <v>44917</v>
      </c>
      <c r="C153" s="1" t="n">
        <v>45973</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13939-2021</t>
        </is>
      </c>
      <c r="B154" s="1" t="n">
        <v>44277</v>
      </c>
      <c r="C154" s="1" t="n">
        <v>45973</v>
      </c>
      <c r="D154" t="inlineStr">
        <is>
          <t>GOTLANDS LÄN</t>
        </is>
      </c>
      <c r="E154" t="inlineStr">
        <is>
          <t>GOTLAND</t>
        </is>
      </c>
      <c r="G154" t="n">
        <v>1</v>
      </c>
      <c r="H154" t="n">
        <v>0</v>
      </c>
      <c r="I154" t="n">
        <v>0</v>
      </c>
      <c r="J154" t="n">
        <v>1</v>
      </c>
      <c r="K154" t="n">
        <v>0</v>
      </c>
      <c r="L154" t="n">
        <v>0</v>
      </c>
      <c r="M154" t="n">
        <v>0</v>
      </c>
      <c r="N154" t="n">
        <v>0</v>
      </c>
      <c r="O154" t="n">
        <v>1</v>
      </c>
      <c r="P154" t="n">
        <v>0</v>
      </c>
      <c r="Q154" t="n">
        <v>1</v>
      </c>
      <c r="R154" s="2" t="inlineStr">
        <is>
          <t>Axveronika</t>
        </is>
      </c>
      <c r="S154">
        <f>HYPERLINK("https://klasma.github.io/Logging_0980/artfynd/A 13939-2021 artfynd.xlsx", "A 13939-2021")</f>
        <v/>
      </c>
      <c r="T154">
        <f>HYPERLINK("https://klasma.github.io/Logging_0980/kartor/A 13939-2021 karta.png", "A 13939-2021")</f>
        <v/>
      </c>
      <c r="V154">
        <f>HYPERLINK("https://klasma.github.io/Logging_0980/klagomål/A 13939-2021 FSC-klagomål.docx", "A 13939-2021")</f>
        <v/>
      </c>
      <c r="W154">
        <f>HYPERLINK("https://klasma.github.io/Logging_0980/klagomålsmail/A 13939-2021 FSC-klagomål mail.docx", "A 13939-2021")</f>
        <v/>
      </c>
      <c r="X154">
        <f>HYPERLINK("https://klasma.github.io/Logging_0980/tillsyn/A 13939-2021 tillsynsbegäran.docx", "A 13939-2021")</f>
        <v/>
      </c>
      <c r="Y154">
        <f>HYPERLINK("https://klasma.github.io/Logging_0980/tillsynsmail/A 13939-2021 tillsynsbegäran mail.docx", "A 13939-2021")</f>
        <v/>
      </c>
    </row>
    <row r="155" ht="15" customHeight="1">
      <c r="A155" t="inlineStr">
        <is>
          <t>A 34809-2024</t>
        </is>
      </c>
      <c r="B155" s="1" t="n">
        <v>45526</v>
      </c>
      <c r="C155" s="1" t="n">
        <v>45973</v>
      </c>
      <c r="D155" t="inlineStr">
        <is>
          <t>GOTLANDS LÄN</t>
        </is>
      </c>
      <c r="E155" t="inlineStr">
        <is>
          <t>GOTLAND</t>
        </is>
      </c>
      <c r="G155" t="n">
        <v>9.9</v>
      </c>
      <c r="H155" t="n">
        <v>1</v>
      </c>
      <c r="I155" t="n">
        <v>0</v>
      </c>
      <c r="J155" t="n">
        <v>1</v>
      </c>
      <c r="K155" t="n">
        <v>0</v>
      </c>
      <c r="L155" t="n">
        <v>0</v>
      </c>
      <c r="M155" t="n">
        <v>0</v>
      </c>
      <c r="N155" t="n">
        <v>0</v>
      </c>
      <c r="O155" t="n">
        <v>1</v>
      </c>
      <c r="P155" t="n">
        <v>0</v>
      </c>
      <c r="Q155" t="n">
        <v>1</v>
      </c>
      <c r="R155" s="2" t="inlineStr">
        <is>
          <t>Brun ögontröst</t>
        </is>
      </c>
      <c r="S155">
        <f>HYPERLINK("https://klasma.github.io/Logging_0980/artfynd/A 34809-2024 artfynd.xlsx", "A 34809-2024")</f>
        <v/>
      </c>
      <c r="T155">
        <f>HYPERLINK("https://klasma.github.io/Logging_0980/kartor/A 34809-2024 karta.png", "A 34809-2024")</f>
        <v/>
      </c>
      <c r="V155">
        <f>HYPERLINK("https://klasma.github.io/Logging_0980/klagomål/A 34809-2024 FSC-klagomål.docx", "A 34809-2024")</f>
        <v/>
      </c>
      <c r="W155">
        <f>HYPERLINK("https://klasma.github.io/Logging_0980/klagomålsmail/A 34809-2024 FSC-klagomål mail.docx", "A 34809-2024")</f>
        <v/>
      </c>
      <c r="X155">
        <f>HYPERLINK("https://klasma.github.io/Logging_0980/tillsyn/A 34809-2024 tillsynsbegäran.docx", "A 34809-2024")</f>
        <v/>
      </c>
      <c r="Y155">
        <f>HYPERLINK("https://klasma.github.io/Logging_0980/tillsynsmail/A 34809-2024 tillsynsbegäran mail.docx", "A 34809-2024")</f>
        <v/>
      </c>
    </row>
    <row r="156" ht="15" customHeight="1">
      <c r="A156" t="inlineStr">
        <is>
          <t>A 10440-2024</t>
        </is>
      </c>
      <c r="B156" s="1" t="n">
        <v>45366.32818287037</v>
      </c>
      <c r="C156" s="1" t="n">
        <v>45973</v>
      </c>
      <c r="D156" t="inlineStr">
        <is>
          <t>GOTLANDS LÄN</t>
        </is>
      </c>
      <c r="E156" t="inlineStr">
        <is>
          <t>GOTLAND</t>
        </is>
      </c>
      <c r="G156" t="n">
        <v>2.5</v>
      </c>
      <c r="H156" t="n">
        <v>1</v>
      </c>
      <c r="I156" t="n">
        <v>0</v>
      </c>
      <c r="J156" t="n">
        <v>1</v>
      </c>
      <c r="K156" t="n">
        <v>0</v>
      </c>
      <c r="L156" t="n">
        <v>0</v>
      </c>
      <c r="M156" t="n">
        <v>0</v>
      </c>
      <c r="N156" t="n">
        <v>0</v>
      </c>
      <c r="O156" t="n">
        <v>1</v>
      </c>
      <c r="P156" t="n">
        <v>0</v>
      </c>
      <c r="Q156" t="n">
        <v>1</v>
      </c>
      <c r="R156" s="2" t="inlineStr">
        <is>
          <t>Mindre hackspett</t>
        </is>
      </c>
      <c r="S156">
        <f>HYPERLINK("https://klasma.github.io/Logging_0980/artfynd/A 10440-2024 artfynd.xlsx", "A 10440-2024")</f>
        <v/>
      </c>
      <c r="T156">
        <f>HYPERLINK("https://klasma.github.io/Logging_0980/kartor/A 10440-2024 karta.png", "A 10440-2024")</f>
        <v/>
      </c>
      <c r="V156">
        <f>HYPERLINK("https://klasma.github.io/Logging_0980/klagomål/A 10440-2024 FSC-klagomål.docx", "A 10440-2024")</f>
        <v/>
      </c>
      <c r="W156">
        <f>HYPERLINK("https://klasma.github.io/Logging_0980/klagomålsmail/A 10440-2024 FSC-klagomål mail.docx", "A 10440-2024")</f>
        <v/>
      </c>
      <c r="X156">
        <f>HYPERLINK("https://klasma.github.io/Logging_0980/tillsyn/A 10440-2024 tillsynsbegäran.docx", "A 10440-2024")</f>
        <v/>
      </c>
      <c r="Y156">
        <f>HYPERLINK("https://klasma.github.io/Logging_0980/tillsynsmail/A 10440-2024 tillsynsbegäran mail.docx", "A 10440-2024")</f>
        <v/>
      </c>
      <c r="Z156">
        <f>HYPERLINK("https://klasma.github.io/Logging_0980/fåglar/A 10440-2024 prioriterade fågelarter.docx", "A 10440-2024")</f>
        <v/>
      </c>
    </row>
    <row r="157" ht="15" customHeight="1">
      <c r="A157" t="inlineStr">
        <is>
          <t>A 15637-2024</t>
        </is>
      </c>
      <c r="B157" s="1" t="n">
        <v>45403.6684837963</v>
      </c>
      <c r="C157" s="1" t="n">
        <v>45973</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20429-2025</t>
        </is>
      </c>
      <c r="B158" s="1" t="n">
        <v>45775.47728009259</v>
      </c>
      <c r="C158" s="1" t="n">
        <v>45973</v>
      </c>
      <c r="D158" t="inlineStr">
        <is>
          <t>GOTLANDS LÄN</t>
        </is>
      </c>
      <c r="E158" t="inlineStr">
        <is>
          <t>GOTLAND</t>
        </is>
      </c>
      <c r="G158" t="n">
        <v>1.4</v>
      </c>
      <c r="H158" t="n">
        <v>1</v>
      </c>
      <c r="I158" t="n">
        <v>0</v>
      </c>
      <c r="J158" t="n">
        <v>0</v>
      </c>
      <c r="K158" t="n">
        <v>0</v>
      </c>
      <c r="L158" t="n">
        <v>0</v>
      </c>
      <c r="M158" t="n">
        <v>0</v>
      </c>
      <c r="N158" t="n">
        <v>0</v>
      </c>
      <c r="O158" t="n">
        <v>0</v>
      </c>
      <c r="P158" t="n">
        <v>0</v>
      </c>
      <c r="Q158" t="n">
        <v>1</v>
      </c>
      <c r="R158" s="2" t="inlineStr">
        <is>
          <t>Äkta lopplummer</t>
        </is>
      </c>
      <c r="S158">
        <f>HYPERLINK("https://klasma.github.io/Logging_0980/artfynd/A 20429-2025 artfynd.xlsx", "A 20429-2025")</f>
        <v/>
      </c>
      <c r="T158">
        <f>HYPERLINK("https://klasma.github.io/Logging_0980/kartor/A 20429-2025 karta.png", "A 20429-2025")</f>
        <v/>
      </c>
      <c r="V158">
        <f>HYPERLINK("https://klasma.github.io/Logging_0980/klagomål/A 20429-2025 FSC-klagomål.docx", "A 20429-2025")</f>
        <v/>
      </c>
      <c r="W158">
        <f>HYPERLINK("https://klasma.github.io/Logging_0980/klagomålsmail/A 20429-2025 FSC-klagomål mail.docx", "A 20429-2025")</f>
        <v/>
      </c>
      <c r="X158">
        <f>HYPERLINK("https://klasma.github.io/Logging_0980/tillsyn/A 20429-2025 tillsynsbegäran.docx", "A 20429-2025")</f>
        <v/>
      </c>
      <c r="Y158">
        <f>HYPERLINK("https://klasma.github.io/Logging_0980/tillsynsmail/A 20429-2025 tillsynsbegäran mail.docx", "A 20429-2025")</f>
        <v/>
      </c>
    </row>
    <row r="159" ht="15" customHeight="1">
      <c r="A159" t="inlineStr">
        <is>
          <t>A 39812-2025</t>
        </is>
      </c>
      <c r="B159" s="1" t="n">
        <v>45891</v>
      </c>
      <c r="C159" s="1" t="n">
        <v>45973</v>
      </c>
      <c r="D159" t="inlineStr">
        <is>
          <t>GOTLANDS LÄN</t>
        </is>
      </c>
      <c r="E159" t="inlineStr">
        <is>
          <t>GOTLAND</t>
        </is>
      </c>
      <c r="G159" t="n">
        <v>6</v>
      </c>
      <c r="H159" t="n">
        <v>1</v>
      </c>
      <c r="I159" t="n">
        <v>0</v>
      </c>
      <c r="J159" t="n">
        <v>0</v>
      </c>
      <c r="K159" t="n">
        <v>0</v>
      </c>
      <c r="L159" t="n">
        <v>1</v>
      </c>
      <c r="M159" t="n">
        <v>0</v>
      </c>
      <c r="N159" t="n">
        <v>0</v>
      </c>
      <c r="O159" t="n">
        <v>1</v>
      </c>
      <c r="P159" t="n">
        <v>1</v>
      </c>
      <c r="Q159" t="n">
        <v>1</v>
      </c>
      <c r="R159" s="2" t="inlineStr">
        <is>
          <t>Nålkörvel</t>
        </is>
      </c>
      <c r="S159">
        <f>HYPERLINK("https://klasma.github.io/Logging_0980/artfynd/A 39812-2025 artfynd.xlsx", "A 39812-2025")</f>
        <v/>
      </c>
      <c r="T159">
        <f>HYPERLINK("https://klasma.github.io/Logging_0980/kartor/A 39812-2025 karta.png", "A 39812-2025")</f>
        <v/>
      </c>
      <c r="V159">
        <f>HYPERLINK("https://klasma.github.io/Logging_0980/klagomål/A 39812-2025 FSC-klagomål.docx", "A 39812-2025")</f>
        <v/>
      </c>
      <c r="W159">
        <f>HYPERLINK("https://klasma.github.io/Logging_0980/klagomålsmail/A 39812-2025 FSC-klagomål mail.docx", "A 39812-2025")</f>
        <v/>
      </c>
      <c r="X159">
        <f>HYPERLINK("https://klasma.github.io/Logging_0980/tillsyn/A 39812-2025 tillsynsbegäran.docx", "A 39812-2025")</f>
        <v/>
      </c>
      <c r="Y159">
        <f>HYPERLINK("https://klasma.github.io/Logging_0980/tillsynsmail/A 39812-2025 tillsynsbegäran mail.docx", "A 39812-2025")</f>
        <v/>
      </c>
    </row>
    <row r="160" ht="15" customHeight="1">
      <c r="A160" t="inlineStr">
        <is>
          <t>A 2476-2025</t>
        </is>
      </c>
      <c r="B160" s="1" t="n">
        <v>45673</v>
      </c>
      <c r="C160" s="1" t="n">
        <v>45973</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49726-2025</t>
        </is>
      </c>
      <c r="B161" s="1" t="n">
        <v>45939.84466435185</v>
      </c>
      <c r="C161" s="1" t="n">
        <v>45973</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61561-2023</t>
        </is>
      </c>
      <c r="B162" s="1" t="n">
        <v>45265</v>
      </c>
      <c r="C162" s="1" t="n">
        <v>45973</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10995-2023</t>
        </is>
      </c>
      <c r="B163" s="1" t="n">
        <v>44986</v>
      </c>
      <c r="C163" s="1" t="n">
        <v>45973</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62552-2022</t>
        </is>
      </c>
      <c r="B164" s="1" t="n">
        <v>44924</v>
      </c>
      <c r="C164" s="1" t="n">
        <v>45973</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45973</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63299-2020</t>
        </is>
      </c>
      <c r="B166" s="1" t="n">
        <v>44165</v>
      </c>
      <c r="C166" s="1" t="n">
        <v>45973</v>
      </c>
      <c r="D166" t="inlineStr">
        <is>
          <t>GOTLANDS LÄN</t>
        </is>
      </c>
      <c r="E166" t="inlineStr">
        <is>
          <t>GOTLAND</t>
        </is>
      </c>
      <c r="G166" t="n">
        <v>12.9</v>
      </c>
      <c r="H166" t="n">
        <v>1</v>
      </c>
      <c r="I166" t="n">
        <v>0</v>
      </c>
      <c r="J166" t="n">
        <v>1</v>
      </c>
      <c r="K166" t="n">
        <v>0</v>
      </c>
      <c r="L166" t="n">
        <v>0</v>
      </c>
      <c r="M166" t="n">
        <v>0</v>
      </c>
      <c r="N166" t="n">
        <v>0</v>
      </c>
      <c r="O166" t="n">
        <v>1</v>
      </c>
      <c r="P166" t="n">
        <v>0</v>
      </c>
      <c r="Q166" t="n">
        <v>1</v>
      </c>
      <c r="R166" s="2" t="inlineStr">
        <is>
          <t>Svartfläckig blåvinge</t>
        </is>
      </c>
      <c r="S166">
        <f>HYPERLINK("https://klasma.github.io/Logging_0980/artfynd/A 63299-2020 artfynd.xlsx", "A 63299-2020")</f>
        <v/>
      </c>
      <c r="T166">
        <f>HYPERLINK("https://klasma.github.io/Logging_0980/kartor/A 63299-2020 karta.png", "A 63299-2020")</f>
        <v/>
      </c>
      <c r="V166">
        <f>HYPERLINK("https://klasma.github.io/Logging_0980/klagomål/A 63299-2020 FSC-klagomål.docx", "A 63299-2020")</f>
        <v/>
      </c>
      <c r="W166">
        <f>HYPERLINK("https://klasma.github.io/Logging_0980/klagomålsmail/A 63299-2020 FSC-klagomål mail.docx", "A 63299-2020")</f>
        <v/>
      </c>
      <c r="X166">
        <f>HYPERLINK("https://klasma.github.io/Logging_0980/tillsyn/A 63299-2020 tillsynsbegäran.docx", "A 63299-2020")</f>
        <v/>
      </c>
      <c r="Y166">
        <f>HYPERLINK("https://klasma.github.io/Logging_0980/tillsynsmail/A 63299-2020 tillsynsbegäran mail.docx", "A 63299-2020")</f>
        <v/>
      </c>
    </row>
    <row r="167" ht="15" customHeight="1">
      <c r="A167" t="inlineStr">
        <is>
          <t>A 27168-2022</t>
        </is>
      </c>
      <c r="B167" s="1" t="n">
        <v>44741</v>
      </c>
      <c r="C167" s="1" t="n">
        <v>45973</v>
      </c>
      <c r="D167" t="inlineStr">
        <is>
          <t>GOTLANDS LÄN</t>
        </is>
      </c>
      <c r="E167" t="inlineStr">
        <is>
          <t>GOTLAND</t>
        </is>
      </c>
      <c r="G167" t="n">
        <v>2.2</v>
      </c>
      <c r="H167" t="n">
        <v>1</v>
      </c>
      <c r="I167" t="n">
        <v>1</v>
      </c>
      <c r="J167" t="n">
        <v>0</v>
      </c>
      <c r="K167" t="n">
        <v>0</v>
      </c>
      <c r="L167" t="n">
        <v>0</v>
      </c>
      <c r="M167" t="n">
        <v>0</v>
      </c>
      <c r="N167" t="n">
        <v>0</v>
      </c>
      <c r="O167" t="n">
        <v>0</v>
      </c>
      <c r="P167" t="n">
        <v>0</v>
      </c>
      <c r="Q167" t="n">
        <v>1</v>
      </c>
      <c r="R167" s="2" t="inlineStr">
        <is>
          <t>Purpurknipprot</t>
        </is>
      </c>
      <c r="S167">
        <f>HYPERLINK("https://klasma.github.io/Logging_0980/artfynd/A 27168-2022 artfynd.xlsx", "A 27168-2022")</f>
        <v/>
      </c>
      <c r="T167">
        <f>HYPERLINK("https://klasma.github.io/Logging_0980/kartor/A 27168-2022 karta.png", "A 27168-2022")</f>
        <v/>
      </c>
      <c r="V167">
        <f>HYPERLINK("https://klasma.github.io/Logging_0980/klagomål/A 27168-2022 FSC-klagomål.docx", "A 27168-2022")</f>
        <v/>
      </c>
      <c r="W167">
        <f>HYPERLINK("https://klasma.github.io/Logging_0980/klagomålsmail/A 27168-2022 FSC-klagomål mail.docx", "A 27168-2022")</f>
        <v/>
      </c>
      <c r="X167">
        <f>HYPERLINK("https://klasma.github.io/Logging_0980/tillsyn/A 27168-2022 tillsynsbegäran.docx", "A 27168-2022")</f>
        <v/>
      </c>
      <c r="Y167">
        <f>HYPERLINK("https://klasma.github.io/Logging_0980/tillsynsmail/A 27168-2022 tillsynsbegäran mail.docx", "A 27168-2022")</f>
        <v/>
      </c>
    </row>
    <row r="168" ht="15" customHeight="1">
      <c r="A168" t="inlineStr">
        <is>
          <t>A 22782-2023</t>
        </is>
      </c>
      <c r="B168" s="1" t="n">
        <v>45072</v>
      </c>
      <c r="C168" s="1" t="n">
        <v>45973</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44308-2021</t>
        </is>
      </c>
      <c r="B169" s="1" t="n">
        <v>44434</v>
      </c>
      <c r="C169" s="1" t="n">
        <v>45973</v>
      </c>
      <c r="D169" t="inlineStr">
        <is>
          <t>GOTLANDS LÄN</t>
        </is>
      </c>
      <c r="E169" t="inlineStr">
        <is>
          <t>GOTLAND</t>
        </is>
      </c>
      <c r="G169" t="n">
        <v>5.9</v>
      </c>
      <c r="H169" t="n">
        <v>0</v>
      </c>
      <c r="I169" t="n">
        <v>1</v>
      </c>
      <c r="J169" t="n">
        <v>0</v>
      </c>
      <c r="K169" t="n">
        <v>0</v>
      </c>
      <c r="L169" t="n">
        <v>0</v>
      </c>
      <c r="M169" t="n">
        <v>0</v>
      </c>
      <c r="N169" t="n">
        <v>0</v>
      </c>
      <c r="O169" t="n">
        <v>0</v>
      </c>
      <c r="P169" t="n">
        <v>0</v>
      </c>
      <c r="Q169" t="n">
        <v>1</v>
      </c>
      <c r="R169" s="2" t="inlineStr">
        <is>
          <t>Svavelriska</t>
        </is>
      </c>
      <c r="S169">
        <f>HYPERLINK("https://klasma.github.io/Logging_0980/artfynd/A 44308-2021 artfynd.xlsx", "A 44308-2021")</f>
        <v/>
      </c>
      <c r="T169">
        <f>HYPERLINK("https://klasma.github.io/Logging_0980/kartor/A 44308-2021 karta.png", "A 44308-2021")</f>
        <v/>
      </c>
      <c r="V169">
        <f>HYPERLINK("https://klasma.github.io/Logging_0980/klagomål/A 44308-2021 FSC-klagomål.docx", "A 44308-2021")</f>
        <v/>
      </c>
      <c r="W169">
        <f>HYPERLINK("https://klasma.github.io/Logging_0980/klagomålsmail/A 44308-2021 FSC-klagomål mail.docx", "A 44308-2021")</f>
        <v/>
      </c>
      <c r="X169">
        <f>HYPERLINK("https://klasma.github.io/Logging_0980/tillsyn/A 44308-2021 tillsynsbegäran.docx", "A 44308-2021")</f>
        <v/>
      </c>
      <c r="Y169">
        <f>HYPERLINK("https://klasma.github.io/Logging_0980/tillsynsmail/A 44308-2021 tillsynsbegäran mail.docx", "A 44308-2021")</f>
        <v/>
      </c>
    </row>
    <row r="170" ht="15" customHeight="1">
      <c r="A170" t="inlineStr">
        <is>
          <t>A 22883-2024</t>
        </is>
      </c>
      <c r="B170" s="1" t="n">
        <v>45448.66368055555</v>
      </c>
      <c r="C170" s="1" t="n">
        <v>45973</v>
      </c>
      <c r="D170" t="inlineStr">
        <is>
          <t>GOTLANDS LÄN</t>
        </is>
      </c>
      <c r="E170" t="inlineStr">
        <is>
          <t>GOTLAND</t>
        </is>
      </c>
      <c r="G170" t="n">
        <v>0.5</v>
      </c>
      <c r="H170" t="n">
        <v>0</v>
      </c>
      <c r="I170" t="n">
        <v>0</v>
      </c>
      <c r="J170" t="n">
        <v>0</v>
      </c>
      <c r="K170" t="n">
        <v>1</v>
      </c>
      <c r="L170" t="n">
        <v>0</v>
      </c>
      <c r="M170" t="n">
        <v>0</v>
      </c>
      <c r="N170" t="n">
        <v>0</v>
      </c>
      <c r="O170" t="n">
        <v>1</v>
      </c>
      <c r="P170" t="n">
        <v>1</v>
      </c>
      <c r="Q170" t="n">
        <v>1</v>
      </c>
      <c r="R170" s="2" t="inlineStr">
        <is>
          <t>Gotlandsmåra</t>
        </is>
      </c>
      <c r="S170">
        <f>HYPERLINK("https://klasma.github.io/Logging_0980/artfynd/A 22883-2024 artfynd.xlsx", "A 22883-2024")</f>
        <v/>
      </c>
      <c r="T170">
        <f>HYPERLINK("https://klasma.github.io/Logging_0980/kartor/A 22883-2024 karta.png", "A 22883-2024")</f>
        <v/>
      </c>
      <c r="V170">
        <f>HYPERLINK("https://klasma.github.io/Logging_0980/klagomål/A 22883-2024 FSC-klagomål.docx", "A 22883-2024")</f>
        <v/>
      </c>
      <c r="W170">
        <f>HYPERLINK("https://klasma.github.io/Logging_0980/klagomålsmail/A 22883-2024 FSC-klagomål mail.docx", "A 22883-2024")</f>
        <v/>
      </c>
      <c r="X170">
        <f>HYPERLINK("https://klasma.github.io/Logging_0980/tillsyn/A 22883-2024 tillsynsbegäran.docx", "A 22883-2024")</f>
        <v/>
      </c>
      <c r="Y170">
        <f>HYPERLINK("https://klasma.github.io/Logging_0980/tillsynsmail/A 22883-2024 tillsynsbegäran mail.docx", "A 22883-2024")</f>
        <v/>
      </c>
    </row>
    <row r="171" ht="15" customHeight="1">
      <c r="A171" t="inlineStr">
        <is>
          <t>A 447-2023</t>
        </is>
      </c>
      <c r="B171" s="1" t="n">
        <v>44929</v>
      </c>
      <c r="C171" s="1" t="n">
        <v>45973</v>
      </c>
      <c r="D171" t="inlineStr">
        <is>
          <t>GOTLANDS LÄN</t>
        </is>
      </c>
      <c r="E171" t="inlineStr">
        <is>
          <t>GOTLAND</t>
        </is>
      </c>
      <c r="G171" t="n">
        <v>5.1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447-2023 artfynd.xlsx", "A 447-2023")</f>
        <v/>
      </c>
      <c r="T171">
        <f>HYPERLINK("https://klasma.github.io/Logging_0980/kartor/A 447-2023 karta.png", "A 447-2023")</f>
        <v/>
      </c>
      <c r="V171">
        <f>HYPERLINK("https://klasma.github.io/Logging_0980/klagomål/A 447-2023 FSC-klagomål.docx", "A 447-2023")</f>
        <v/>
      </c>
      <c r="W171">
        <f>HYPERLINK("https://klasma.github.io/Logging_0980/klagomålsmail/A 447-2023 FSC-klagomål mail.docx", "A 447-2023")</f>
        <v/>
      </c>
      <c r="X171">
        <f>HYPERLINK("https://klasma.github.io/Logging_0980/tillsyn/A 447-2023 tillsynsbegäran.docx", "A 447-2023")</f>
        <v/>
      </c>
      <c r="Y171">
        <f>HYPERLINK("https://klasma.github.io/Logging_0980/tillsynsmail/A 447-2023 tillsynsbegäran mail.docx", "A 447-2023")</f>
        <v/>
      </c>
    </row>
    <row r="172" ht="15" customHeight="1">
      <c r="A172" t="inlineStr">
        <is>
          <t>A 35467-2021</t>
        </is>
      </c>
      <c r="B172" s="1" t="n">
        <v>44385</v>
      </c>
      <c r="C172" s="1" t="n">
        <v>45973</v>
      </c>
      <c r="D172" t="inlineStr">
        <is>
          <t>GOTLANDS LÄN</t>
        </is>
      </c>
      <c r="E172" t="inlineStr">
        <is>
          <t>GOTLAND</t>
        </is>
      </c>
      <c r="G172" t="n">
        <v>12.7</v>
      </c>
      <c r="H172" t="n">
        <v>0</v>
      </c>
      <c r="I172" t="n">
        <v>0</v>
      </c>
      <c r="J172" t="n">
        <v>1</v>
      </c>
      <c r="K172" t="n">
        <v>0</v>
      </c>
      <c r="L172" t="n">
        <v>0</v>
      </c>
      <c r="M172" t="n">
        <v>0</v>
      </c>
      <c r="N172" t="n">
        <v>0</v>
      </c>
      <c r="O172" t="n">
        <v>1</v>
      </c>
      <c r="P172" t="n">
        <v>0</v>
      </c>
      <c r="Q172" t="n">
        <v>1</v>
      </c>
      <c r="R172" s="2" t="inlineStr">
        <is>
          <t>Loppstarr</t>
        </is>
      </c>
      <c r="S172">
        <f>HYPERLINK("https://klasma.github.io/Logging_0980/artfynd/A 35467-2021 artfynd.xlsx", "A 35467-2021")</f>
        <v/>
      </c>
      <c r="T172">
        <f>HYPERLINK("https://klasma.github.io/Logging_0980/kartor/A 35467-2021 karta.png", "A 35467-2021")</f>
        <v/>
      </c>
      <c r="V172">
        <f>HYPERLINK("https://klasma.github.io/Logging_0980/klagomål/A 35467-2021 FSC-klagomål.docx", "A 35467-2021")</f>
        <v/>
      </c>
      <c r="W172">
        <f>HYPERLINK("https://klasma.github.io/Logging_0980/klagomålsmail/A 35467-2021 FSC-klagomål mail.docx", "A 35467-2021")</f>
        <v/>
      </c>
      <c r="X172">
        <f>HYPERLINK("https://klasma.github.io/Logging_0980/tillsyn/A 35467-2021 tillsynsbegäran.docx", "A 35467-2021")</f>
        <v/>
      </c>
      <c r="Y172">
        <f>HYPERLINK("https://klasma.github.io/Logging_0980/tillsynsmail/A 35467-2021 tillsynsbegäran mail.docx", "A 35467-2021")</f>
        <v/>
      </c>
    </row>
    <row r="173" ht="15" customHeight="1">
      <c r="A173" t="inlineStr">
        <is>
          <t>A 26461-2025</t>
        </is>
      </c>
      <c r="B173" s="1" t="n">
        <v>45807.43337962963</v>
      </c>
      <c r="C173" s="1" t="n">
        <v>45973</v>
      </c>
      <c r="D173" t="inlineStr">
        <is>
          <t>GOTLANDS LÄN</t>
        </is>
      </c>
      <c r="E173" t="inlineStr">
        <is>
          <t>GOTLAND</t>
        </is>
      </c>
      <c r="G173" t="n">
        <v>4.1</v>
      </c>
      <c r="H173" t="n">
        <v>0</v>
      </c>
      <c r="I173" t="n">
        <v>0</v>
      </c>
      <c r="J173" t="n">
        <v>0</v>
      </c>
      <c r="K173" t="n">
        <v>1</v>
      </c>
      <c r="L173" t="n">
        <v>0</v>
      </c>
      <c r="M173" t="n">
        <v>0</v>
      </c>
      <c r="N173" t="n">
        <v>0</v>
      </c>
      <c r="O173" t="n">
        <v>1</v>
      </c>
      <c r="P173" t="n">
        <v>1</v>
      </c>
      <c r="Q173" t="n">
        <v>1</v>
      </c>
      <c r="R173" s="2" t="inlineStr">
        <is>
          <t>Gotlandsmåra</t>
        </is>
      </c>
      <c r="S173">
        <f>HYPERLINK("https://klasma.github.io/Logging_0980/artfynd/A 26461-2025 artfynd.xlsx", "A 26461-2025")</f>
        <v/>
      </c>
      <c r="T173">
        <f>HYPERLINK("https://klasma.github.io/Logging_0980/kartor/A 26461-2025 karta.png", "A 26461-2025")</f>
        <v/>
      </c>
      <c r="V173">
        <f>HYPERLINK("https://klasma.github.io/Logging_0980/klagomål/A 26461-2025 FSC-klagomål.docx", "A 26461-2025")</f>
        <v/>
      </c>
      <c r="W173">
        <f>HYPERLINK("https://klasma.github.io/Logging_0980/klagomålsmail/A 26461-2025 FSC-klagomål mail.docx", "A 26461-2025")</f>
        <v/>
      </c>
      <c r="X173">
        <f>HYPERLINK("https://klasma.github.io/Logging_0980/tillsyn/A 26461-2025 tillsynsbegäran.docx", "A 26461-2025")</f>
        <v/>
      </c>
      <c r="Y173">
        <f>HYPERLINK("https://klasma.github.io/Logging_0980/tillsynsmail/A 26461-2025 tillsynsbegäran mail.docx", "A 26461-2025")</f>
        <v/>
      </c>
    </row>
    <row r="174" ht="15" customHeight="1">
      <c r="A174" t="inlineStr">
        <is>
          <t>A 947-2023</t>
        </is>
      </c>
      <c r="B174" s="1" t="n">
        <v>44934</v>
      </c>
      <c r="C174" s="1" t="n">
        <v>45973</v>
      </c>
      <c r="D174" t="inlineStr">
        <is>
          <t>GOTLANDS LÄN</t>
        </is>
      </c>
      <c r="E174" t="inlineStr">
        <is>
          <t>GOTLAND</t>
        </is>
      </c>
      <c r="G174" t="n">
        <v>0.7</v>
      </c>
      <c r="H174" t="n">
        <v>1</v>
      </c>
      <c r="I174" t="n">
        <v>0</v>
      </c>
      <c r="J174" t="n">
        <v>0</v>
      </c>
      <c r="K174" t="n">
        <v>1</v>
      </c>
      <c r="L174" t="n">
        <v>0</v>
      </c>
      <c r="M174" t="n">
        <v>0</v>
      </c>
      <c r="N174" t="n">
        <v>0</v>
      </c>
      <c r="O174" t="n">
        <v>1</v>
      </c>
      <c r="P174" t="n">
        <v>1</v>
      </c>
      <c r="Q174" t="n">
        <v>1</v>
      </c>
      <c r="R174" s="2" t="inlineStr">
        <is>
          <t>Garderönn</t>
        </is>
      </c>
      <c r="S174">
        <f>HYPERLINK("https://klasma.github.io/Logging_0980/artfynd/A 947-2023 artfynd.xlsx", "A 947-2023")</f>
        <v/>
      </c>
      <c r="T174">
        <f>HYPERLINK("https://klasma.github.io/Logging_0980/kartor/A 947-2023 karta.png", "A 947-2023")</f>
        <v/>
      </c>
      <c r="V174">
        <f>HYPERLINK("https://klasma.github.io/Logging_0980/klagomål/A 947-2023 FSC-klagomål.docx", "A 947-2023")</f>
        <v/>
      </c>
      <c r="W174">
        <f>HYPERLINK("https://klasma.github.io/Logging_0980/klagomålsmail/A 947-2023 FSC-klagomål mail.docx", "A 947-2023")</f>
        <v/>
      </c>
      <c r="X174">
        <f>HYPERLINK("https://klasma.github.io/Logging_0980/tillsyn/A 947-2023 tillsynsbegäran.docx", "A 947-2023")</f>
        <v/>
      </c>
      <c r="Y174">
        <f>HYPERLINK("https://klasma.github.io/Logging_0980/tillsynsmail/A 947-2023 tillsynsbegäran mail.docx", "A 947-2023")</f>
        <v/>
      </c>
    </row>
    <row r="175" ht="15" customHeight="1">
      <c r="A175" t="inlineStr">
        <is>
          <t>A 44619-2025</t>
        </is>
      </c>
      <c r="B175" s="1" t="n">
        <v>45917</v>
      </c>
      <c r="C175" s="1" t="n">
        <v>45973</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49304-2024</t>
        </is>
      </c>
      <c r="B176" s="1" t="n">
        <v>45595.54996527778</v>
      </c>
      <c r="C176" s="1" t="n">
        <v>45973</v>
      </c>
      <c r="D176" t="inlineStr">
        <is>
          <t>GOTLANDS LÄN</t>
        </is>
      </c>
      <c r="E176" t="inlineStr">
        <is>
          <t>GOTLAND</t>
        </is>
      </c>
      <c r="G176" t="n">
        <v>10.8</v>
      </c>
      <c r="H176" t="n">
        <v>0</v>
      </c>
      <c r="I176" t="n">
        <v>0</v>
      </c>
      <c r="J176" t="n">
        <v>1</v>
      </c>
      <c r="K176" t="n">
        <v>0</v>
      </c>
      <c r="L176" t="n">
        <v>0</v>
      </c>
      <c r="M176" t="n">
        <v>0</v>
      </c>
      <c r="N176" t="n">
        <v>0</v>
      </c>
      <c r="O176" t="n">
        <v>1</v>
      </c>
      <c r="P176" t="n">
        <v>0</v>
      </c>
      <c r="Q176" t="n">
        <v>1</v>
      </c>
      <c r="R176" s="2" t="inlineStr">
        <is>
          <t>Åkerranunkel</t>
        </is>
      </c>
      <c r="S176">
        <f>HYPERLINK("https://klasma.github.io/Logging_0980/artfynd/A 49304-2024 artfynd.xlsx", "A 49304-2024")</f>
        <v/>
      </c>
      <c r="T176">
        <f>HYPERLINK("https://klasma.github.io/Logging_0980/kartor/A 49304-2024 karta.png", "A 49304-2024")</f>
        <v/>
      </c>
      <c r="V176">
        <f>HYPERLINK("https://klasma.github.io/Logging_0980/klagomål/A 49304-2024 FSC-klagomål.docx", "A 49304-2024")</f>
        <v/>
      </c>
      <c r="W176">
        <f>HYPERLINK("https://klasma.github.io/Logging_0980/klagomålsmail/A 49304-2024 FSC-klagomål mail.docx", "A 49304-2024")</f>
        <v/>
      </c>
      <c r="X176">
        <f>HYPERLINK("https://klasma.github.io/Logging_0980/tillsyn/A 49304-2024 tillsynsbegäran.docx", "A 49304-2024")</f>
        <v/>
      </c>
      <c r="Y176">
        <f>HYPERLINK("https://klasma.github.io/Logging_0980/tillsynsmail/A 49304-2024 tillsynsbegäran mail.docx", "A 49304-2024")</f>
        <v/>
      </c>
    </row>
    <row r="177" ht="15" customHeight="1">
      <c r="A177" t="inlineStr">
        <is>
          <t>A 63576-2021</t>
        </is>
      </c>
      <c r="B177" s="1" t="n">
        <v>44508</v>
      </c>
      <c r="C177" s="1" t="n">
        <v>45973</v>
      </c>
      <c r="D177" t="inlineStr">
        <is>
          <t>GOTLANDS LÄN</t>
        </is>
      </c>
      <c r="E177" t="inlineStr">
        <is>
          <t>GOTLAND</t>
        </is>
      </c>
      <c r="F177" t="inlineStr">
        <is>
          <t>Kyrkan</t>
        </is>
      </c>
      <c r="G177" t="n">
        <v>4.1</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63576-2021 artfynd.xlsx", "A 63576-2021")</f>
        <v/>
      </c>
      <c r="T177">
        <f>HYPERLINK("https://klasma.github.io/Logging_0980/kartor/A 63576-2021 karta.png", "A 63576-2021")</f>
        <v/>
      </c>
      <c r="V177">
        <f>HYPERLINK("https://klasma.github.io/Logging_0980/klagomål/A 63576-2021 FSC-klagomål.docx", "A 63576-2021")</f>
        <v/>
      </c>
      <c r="W177">
        <f>HYPERLINK("https://klasma.github.io/Logging_0980/klagomålsmail/A 63576-2021 FSC-klagomål mail.docx", "A 63576-2021")</f>
        <v/>
      </c>
      <c r="X177">
        <f>HYPERLINK("https://klasma.github.io/Logging_0980/tillsyn/A 63576-2021 tillsynsbegäran.docx", "A 63576-2021")</f>
        <v/>
      </c>
      <c r="Y177">
        <f>HYPERLINK("https://klasma.github.io/Logging_0980/tillsynsmail/A 63576-2021 tillsynsbegäran mail.docx", "A 63576-2021")</f>
        <v/>
      </c>
    </row>
    <row r="178" ht="15" customHeight="1">
      <c r="A178" t="inlineStr">
        <is>
          <t>A 64700-2021</t>
        </is>
      </c>
      <c r="B178" s="1" t="n">
        <v>44511</v>
      </c>
      <c r="C178" s="1" t="n">
        <v>45973</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24245-2022</t>
        </is>
      </c>
      <c r="B179" s="1" t="n">
        <v>44725</v>
      </c>
      <c r="C179" s="1" t="n">
        <v>45973</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27589-2023</t>
        </is>
      </c>
      <c r="B180" s="1" t="n">
        <v>45097</v>
      </c>
      <c r="C180" s="1" t="n">
        <v>45973</v>
      </c>
      <c r="D180" t="inlineStr">
        <is>
          <t>GOTLANDS LÄN</t>
        </is>
      </c>
      <c r="E180" t="inlineStr">
        <is>
          <t>GOTLAND</t>
        </is>
      </c>
      <c r="G180" t="n">
        <v>5.4</v>
      </c>
      <c r="H180" t="n">
        <v>0</v>
      </c>
      <c r="I180" t="n">
        <v>0</v>
      </c>
      <c r="J180" t="n">
        <v>0</v>
      </c>
      <c r="K180" t="n">
        <v>0</v>
      </c>
      <c r="L180" t="n">
        <v>0</v>
      </c>
      <c r="M180" t="n">
        <v>1</v>
      </c>
      <c r="N180" t="n">
        <v>0</v>
      </c>
      <c r="O180" t="n">
        <v>1</v>
      </c>
      <c r="P180" t="n">
        <v>1</v>
      </c>
      <c r="Q180" t="n">
        <v>1</v>
      </c>
      <c r="R180" s="2" t="inlineStr">
        <is>
          <t>Skogsalm</t>
        </is>
      </c>
      <c r="S180">
        <f>HYPERLINK("https://klasma.github.io/Logging_0980/artfynd/A 27589-2023 artfynd.xlsx", "A 27589-2023")</f>
        <v/>
      </c>
      <c r="T180">
        <f>HYPERLINK("https://klasma.github.io/Logging_0980/kartor/A 27589-2023 karta.png", "A 27589-2023")</f>
        <v/>
      </c>
      <c r="V180">
        <f>HYPERLINK("https://klasma.github.io/Logging_0980/klagomål/A 27589-2023 FSC-klagomål.docx", "A 27589-2023")</f>
        <v/>
      </c>
      <c r="W180">
        <f>HYPERLINK("https://klasma.github.io/Logging_0980/klagomålsmail/A 27589-2023 FSC-klagomål mail.docx", "A 27589-2023")</f>
        <v/>
      </c>
      <c r="X180">
        <f>HYPERLINK("https://klasma.github.io/Logging_0980/tillsyn/A 27589-2023 tillsynsbegäran.docx", "A 27589-2023")</f>
        <v/>
      </c>
      <c r="Y180">
        <f>HYPERLINK("https://klasma.github.io/Logging_0980/tillsynsmail/A 27589-2023 tillsynsbegäran mail.docx", "A 27589-2023")</f>
        <v/>
      </c>
    </row>
    <row r="181" ht="15" customHeight="1">
      <c r="A181" t="inlineStr">
        <is>
          <t>A 49847-2023</t>
        </is>
      </c>
      <c r="B181" s="1" t="n">
        <v>45212</v>
      </c>
      <c r="C181" s="1" t="n">
        <v>45973</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45973</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45973</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34141-2024</t>
        </is>
      </c>
      <c r="B184" s="1" t="n">
        <v>45524.36229166666</v>
      </c>
      <c r="C184" s="1" t="n">
        <v>45973</v>
      </c>
      <c r="D184" t="inlineStr">
        <is>
          <t>GOTLANDS LÄN</t>
        </is>
      </c>
      <c r="E184" t="inlineStr">
        <is>
          <t>GOTLAND</t>
        </is>
      </c>
      <c r="G184" t="n">
        <v>0.9</v>
      </c>
      <c r="H184" t="n">
        <v>0</v>
      </c>
      <c r="I184" t="n">
        <v>1</v>
      </c>
      <c r="J184" t="n">
        <v>0</v>
      </c>
      <c r="K184" t="n">
        <v>0</v>
      </c>
      <c r="L184" t="n">
        <v>0</v>
      </c>
      <c r="M184" t="n">
        <v>0</v>
      </c>
      <c r="N184" t="n">
        <v>0</v>
      </c>
      <c r="O184" t="n">
        <v>0</v>
      </c>
      <c r="P184" t="n">
        <v>0</v>
      </c>
      <c r="Q184" t="n">
        <v>1</v>
      </c>
      <c r="R184" s="2" t="inlineStr">
        <is>
          <t>Strävlosta</t>
        </is>
      </c>
      <c r="S184">
        <f>HYPERLINK("https://klasma.github.io/Logging_0980/artfynd/A 34141-2024 artfynd.xlsx", "A 34141-2024")</f>
        <v/>
      </c>
      <c r="T184">
        <f>HYPERLINK("https://klasma.github.io/Logging_0980/kartor/A 34141-2024 karta.png", "A 34141-2024")</f>
        <v/>
      </c>
      <c r="V184">
        <f>HYPERLINK("https://klasma.github.io/Logging_0980/klagomål/A 34141-2024 FSC-klagomål.docx", "A 34141-2024")</f>
        <v/>
      </c>
      <c r="W184">
        <f>HYPERLINK("https://klasma.github.io/Logging_0980/klagomålsmail/A 34141-2024 FSC-klagomål mail.docx", "A 34141-2024")</f>
        <v/>
      </c>
      <c r="X184">
        <f>HYPERLINK("https://klasma.github.io/Logging_0980/tillsyn/A 34141-2024 tillsynsbegäran.docx", "A 34141-2024")</f>
        <v/>
      </c>
      <c r="Y184">
        <f>HYPERLINK("https://klasma.github.io/Logging_0980/tillsynsmail/A 34141-2024 tillsynsbegäran mail.docx", "A 34141-2024")</f>
        <v/>
      </c>
    </row>
    <row r="185" ht="15" customHeight="1">
      <c r="A185" t="inlineStr">
        <is>
          <t>A 9862-2024</t>
        </is>
      </c>
      <c r="B185" s="1" t="n">
        <v>45363</v>
      </c>
      <c r="C185" s="1" t="n">
        <v>45973</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12924-2025</t>
        </is>
      </c>
      <c r="B186" s="1" t="n">
        <v>45734</v>
      </c>
      <c r="C186" s="1" t="n">
        <v>45973</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19901-2021</t>
        </is>
      </c>
      <c r="B187" s="1" t="n">
        <v>44312</v>
      </c>
      <c r="C187" s="1" t="n">
        <v>45973</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45973</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45973</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45973</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45973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45973</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45973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45973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45973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45973</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45973</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45973</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45973</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45973</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45973</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45973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45973</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45973</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45973</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45973</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45973</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45973</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45973</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45973</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45973</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45973</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45973</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45973</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45973</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45973</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45973</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22495-2022</t>
        </is>
      </c>
      <c r="B218" s="1" t="n">
        <v>44713.6452199074</v>
      </c>
      <c r="C218" s="1" t="n">
        <v>45973</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45973</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45973</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64380-2020</t>
        </is>
      </c>
      <c r="B221" s="1" t="n">
        <v>44168.60128472222</v>
      </c>
      <c r="C221" s="1" t="n">
        <v>45973</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2608-2021</t>
        </is>
      </c>
      <c r="B222" s="1" t="n">
        <v>44214</v>
      </c>
      <c r="C222" s="1" t="n">
        <v>45973</v>
      </c>
      <c r="D222" t="inlineStr">
        <is>
          <t>GOTLANDS LÄN</t>
        </is>
      </c>
      <c r="E222" t="inlineStr">
        <is>
          <t>GOTLAND</t>
        </is>
      </c>
      <c r="G222" t="n">
        <v>3.9</v>
      </c>
      <c r="H222" t="n">
        <v>0</v>
      </c>
      <c r="I222" t="n">
        <v>0</v>
      </c>
      <c r="J222" t="n">
        <v>0</v>
      </c>
      <c r="K222" t="n">
        <v>0</v>
      </c>
      <c r="L222" t="n">
        <v>0</v>
      </c>
      <c r="M222" t="n">
        <v>0</v>
      </c>
      <c r="N222" t="n">
        <v>0</v>
      </c>
      <c r="O222" t="n">
        <v>0</v>
      </c>
      <c r="P222" t="n">
        <v>0</v>
      </c>
      <c r="Q222" t="n">
        <v>0</v>
      </c>
      <c r="R222" s="2" t="inlineStr"/>
    </row>
    <row r="223" ht="15" customHeight="1">
      <c r="A223" t="inlineStr">
        <is>
          <t>A 11029-2022</t>
        </is>
      </c>
      <c r="B223" s="1" t="n">
        <v>44628</v>
      </c>
      <c r="C223" s="1" t="n">
        <v>45973</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45973</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45973</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31239-2022</t>
        </is>
      </c>
      <c r="B226" s="1" t="n">
        <v>44771.49383101852</v>
      </c>
      <c r="C226" s="1" t="n">
        <v>45973</v>
      </c>
      <c r="D226" t="inlineStr">
        <is>
          <t>GOTLANDS LÄN</t>
        </is>
      </c>
      <c r="E226" t="inlineStr">
        <is>
          <t>GOTLAND</t>
        </is>
      </c>
      <c r="G226" t="n">
        <v>1.9</v>
      </c>
      <c r="H226" t="n">
        <v>0</v>
      </c>
      <c r="I226" t="n">
        <v>0</v>
      </c>
      <c r="J226" t="n">
        <v>0</v>
      </c>
      <c r="K226" t="n">
        <v>0</v>
      </c>
      <c r="L226" t="n">
        <v>0</v>
      </c>
      <c r="M226" t="n">
        <v>0</v>
      </c>
      <c r="N226" t="n">
        <v>0</v>
      </c>
      <c r="O226" t="n">
        <v>0</v>
      </c>
      <c r="P226" t="n">
        <v>0</v>
      </c>
      <c r="Q226" t="n">
        <v>0</v>
      </c>
      <c r="R226" s="2" t="inlineStr"/>
    </row>
    <row r="227" ht="15" customHeight="1">
      <c r="A227" t="inlineStr">
        <is>
          <t>A 58224-2021</t>
        </is>
      </c>
      <c r="B227" s="1" t="n">
        <v>44487</v>
      </c>
      <c r="C227" s="1" t="n">
        <v>45973</v>
      </c>
      <c r="D227" t="inlineStr">
        <is>
          <t>GOTLANDS LÄN</t>
        </is>
      </c>
      <c r="E227" t="inlineStr">
        <is>
          <t>GOTLAND</t>
        </is>
      </c>
      <c r="G227" t="n">
        <v>1.4</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45973</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45973</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58815-2021</t>
        </is>
      </c>
      <c r="B230" s="1" t="n">
        <v>44489</v>
      </c>
      <c r="C230" s="1" t="n">
        <v>45973</v>
      </c>
      <c r="D230" t="inlineStr">
        <is>
          <t>GOTLANDS LÄN</t>
        </is>
      </c>
      <c r="E230" t="inlineStr">
        <is>
          <t>GOTLAND</t>
        </is>
      </c>
      <c r="G230" t="n">
        <v>4.1</v>
      </c>
      <c r="H230" t="n">
        <v>0</v>
      </c>
      <c r="I230" t="n">
        <v>0</v>
      </c>
      <c r="J230" t="n">
        <v>0</v>
      </c>
      <c r="K230" t="n">
        <v>0</v>
      </c>
      <c r="L230" t="n">
        <v>0</v>
      </c>
      <c r="M230" t="n">
        <v>0</v>
      </c>
      <c r="N230" t="n">
        <v>0</v>
      </c>
      <c r="O230" t="n">
        <v>0</v>
      </c>
      <c r="P230" t="n">
        <v>0</v>
      </c>
      <c r="Q230" t="n">
        <v>0</v>
      </c>
      <c r="R230" s="2" t="inlineStr"/>
    </row>
    <row r="231" ht="15" customHeight="1">
      <c r="A231" t="inlineStr">
        <is>
          <t>A 22155-2021</t>
        </is>
      </c>
      <c r="B231" s="1" t="n">
        <v>44325.49369212963</v>
      </c>
      <c r="C231" s="1" t="n">
        <v>45973</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65393-2021</t>
        </is>
      </c>
      <c r="B232" s="1" t="n">
        <v>44515</v>
      </c>
      <c r="C232" s="1" t="n">
        <v>45973</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45973</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23910-2021</t>
        </is>
      </c>
      <c r="B234" s="1" t="n">
        <v>44335</v>
      </c>
      <c r="C234" s="1" t="n">
        <v>45973</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71010-2021</t>
        </is>
      </c>
      <c r="B235" s="1" t="n">
        <v>44538.63775462963</v>
      </c>
      <c r="C235" s="1" t="n">
        <v>45973</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45973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45973</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27593-2023</t>
        </is>
      </c>
      <c r="B238" s="1" t="n">
        <v>45097</v>
      </c>
      <c r="C238" s="1" t="n">
        <v>45973</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21507-2021</t>
        </is>
      </c>
      <c r="B239" s="1" t="n">
        <v>44321</v>
      </c>
      <c r="C239" s="1" t="n">
        <v>45973</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1229-2021</t>
        </is>
      </c>
      <c r="B240" s="1" t="n">
        <v>44208</v>
      </c>
      <c r="C240" s="1" t="n">
        <v>45973</v>
      </c>
      <c r="D240" t="inlineStr">
        <is>
          <t>GOTLANDS LÄN</t>
        </is>
      </c>
      <c r="E240" t="inlineStr">
        <is>
          <t>GOTLAND</t>
        </is>
      </c>
      <c r="G240" t="n">
        <v>5.3</v>
      </c>
      <c r="H240" t="n">
        <v>0</v>
      </c>
      <c r="I240" t="n">
        <v>0</v>
      </c>
      <c r="J240" t="n">
        <v>0</v>
      </c>
      <c r="K240" t="n">
        <v>0</v>
      </c>
      <c r="L240" t="n">
        <v>0</v>
      </c>
      <c r="M240" t="n">
        <v>0</v>
      </c>
      <c r="N240" t="n">
        <v>0</v>
      </c>
      <c r="O240" t="n">
        <v>0</v>
      </c>
      <c r="P240" t="n">
        <v>0</v>
      </c>
      <c r="Q240" t="n">
        <v>0</v>
      </c>
      <c r="R240" s="2" t="inlineStr"/>
    </row>
    <row r="241" ht="15" customHeight="1">
      <c r="A241" t="inlineStr">
        <is>
          <t>A 1677-2023</t>
        </is>
      </c>
      <c r="B241" s="1" t="n">
        <v>44938</v>
      </c>
      <c r="C241" s="1" t="n">
        <v>45973</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57219-2021</t>
        </is>
      </c>
      <c r="B242" s="1" t="n">
        <v>44483</v>
      </c>
      <c r="C242" s="1" t="n">
        <v>45973</v>
      </c>
      <c r="D242" t="inlineStr">
        <is>
          <t>GOTLANDS LÄN</t>
        </is>
      </c>
      <c r="E242" t="inlineStr">
        <is>
          <t>GOTLAND</t>
        </is>
      </c>
      <c r="F242" t="inlineStr">
        <is>
          <t>Kyrkan</t>
        </is>
      </c>
      <c r="G242" t="n">
        <v>4</v>
      </c>
      <c r="H242" t="n">
        <v>0</v>
      </c>
      <c r="I242" t="n">
        <v>0</v>
      </c>
      <c r="J242" t="n">
        <v>0</v>
      </c>
      <c r="K242" t="n">
        <v>0</v>
      </c>
      <c r="L242" t="n">
        <v>0</v>
      </c>
      <c r="M242" t="n">
        <v>0</v>
      </c>
      <c r="N242" t="n">
        <v>0</v>
      </c>
      <c r="O242" t="n">
        <v>0</v>
      </c>
      <c r="P242" t="n">
        <v>0</v>
      </c>
      <c r="Q242" t="n">
        <v>0</v>
      </c>
      <c r="R242" s="2" t="inlineStr"/>
    </row>
    <row r="243" ht="15" customHeight="1">
      <c r="A243" t="inlineStr">
        <is>
          <t>A 62120-2020</t>
        </is>
      </c>
      <c r="B243" s="1" t="n">
        <v>44158</v>
      </c>
      <c r="C243" s="1" t="n">
        <v>45973</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3271-2021</t>
        </is>
      </c>
      <c r="B244" s="1" t="n">
        <v>44217</v>
      </c>
      <c r="C244" s="1" t="n">
        <v>45973</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53935-2024</t>
        </is>
      </c>
      <c r="B245" s="1" t="n">
        <v>45615</v>
      </c>
      <c r="C245" s="1" t="n">
        <v>45973</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45973</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45244-2024</t>
        </is>
      </c>
      <c r="B247" s="1" t="n">
        <v>45576</v>
      </c>
      <c r="C247" s="1" t="n">
        <v>45973</v>
      </c>
      <c r="D247" t="inlineStr">
        <is>
          <t>GOTLANDS LÄN</t>
        </is>
      </c>
      <c r="E247" t="inlineStr">
        <is>
          <t>GOTLAND</t>
        </is>
      </c>
      <c r="G247" t="n">
        <v>2.4</v>
      </c>
      <c r="H247" t="n">
        <v>0</v>
      </c>
      <c r="I247" t="n">
        <v>0</v>
      </c>
      <c r="J247" t="n">
        <v>0</v>
      </c>
      <c r="K247" t="n">
        <v>0</v>
      </c>
      <c r="L247" t="n">
        <v>0</v>
      </c>
      <c r="M247" t="n">
        <v>0</v>
      </c>
      <c r="N247" t="n">
        <v>0</v>
      </c>
      <c r="O247" t="n">
        <v>0</v>
      </c>
      <c r="P247" t="n">
        <v>0</v>
      </c>
      <c r="Q247" t="n">
        <v>0</v>
      </c>
      <c r="R247" s="2" t="inlineStr"/>
    </row>
    <row r="248" ht="15" customHeight="1">
      <c r="A248" t="inlineStr">
        <is>
          <t>A 24001-2021</t>
        </is>
      </c>
      <c r="B248" s="1" t="n">
        <v>44335</v>
      </c>
      <c r="C248" s="1" t="n">
        <v>45973</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8260-2023</t>
        </is>
      </c>
      <c r="B249" s="1" t="n">
        <v>44974.61608796296</v>
      </c>
      <c r="C249" s="1" t="n">
        <v>45973</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64969-2023</t>
        </is>
      </c>
      <c r="B250" s="1" t="n">
        <v>45284.54009259259</v>
      </c>
      <c r="C250" s="1" t="n">
        <v>45973</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18223-2025</t>
        </is>
      </c>
      <c r="B251" s="1" t="n">
        <v>45761</v>
      </c>
      <c r="C251" s="1" t="n">
        <v>45973</v>
      </c>
      <c r="D251" t="inlineStr">
        <is>
          <t>GOTLANDS LÄN</t>
        </is>
      </c>
      <c r="E251" t="inlineStr">
        <is>
          <t>GOTLAND</t>
        </is>
      </c>
      <c r="G251" t="n">
        <v>0.7</v>
      </c>
      <c r="H251" t="n">
        <v>0</v>
      </c>
      <c r="I251" t="n">
        <v>0</v>
      </c>
      <c r="J251" t="n">
        <v>0</v>
      </c>
      <c r="K251" t="n">
        <v>0</v>
      </c>
      <c r="L251" t="n">
        <v>0</v>
      </c>
      <c r="M251" t="n">
        <v>0</v>
      </c>
      <c r="N251" t="n">
        <v>0</v>
      </c>
      <c r="O251" t="n">
        <v>0</v>
      </c>
      <c r="P251" t="n">
        <v>0</v>
      </c>
      <c r="Q251" t="n">
        <v>0</v>
      </c>
      <c r="R251" s="2" t="inlineStr"/>
    </row>
    <row r="252" ht="15" customHeight="1">
      <c r="A252" t="inlineStr">
        <is>
          <t>A 4420-2025</t>
        </is>
      </c>
      <c r="B252" s="1" t="n">
        <v>45686.47157407407</v>
      </c>
      <c r="C252" s="1" t="n">
        <v>45973</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48843-2024</t>
        </is>
      </c>
      <c r="B253" s="1" t="n">
        <v>45593</v>
      </c>
      <c r="C253" s="1" t="n">
        <v>45973</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17541-2024</t>
        </is>
      </c>
      <c r="B254" s="1" t="n">
        <v>45415</v>
      </c>
      <c r="C254" s="1" t="n">
        <v>45973</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30282-2022</t>
        </is>
      </c>
      <c r="B255" s="1" t="n">
        <v>44760</v>
      </c>
      <c r="C255" s="1" t="n">
        <v>45973</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30365-2024</t>
        </is>
      </c>
      <c r="B256" s="1" t="n">
        <v>45491.3716087963</v>
      </c>
      <c r="C256" s="1" t="n">
        <v>45973</v>
      </c>
      <c r="D256" t="inlineStr">
        <is>
          <t>GOTLANDS LÄN</t>
        </is>
      </c>
      <c r="E256" t="inlineStr">
        <is>
          <t>GOTLAND</t>
        </is>
      </c>
      <c r="G256" t="n">
        <v>0.5</v>
      </c>
      <c r="H256" t="n">
        <v>0</v>
      </c>
      <c r="I256" t="n">
        <v>0</v>
      </c>
      <c r="J256" t="n">
        <v>0</v>
      </c>
      <c r="K256" t="n">
        <v>0</v>
      </c>
      <c r="L256" t="n">
        <v>0</v>
      </c>
      <c r="M256" t="n">
        <v>0</v>
      </c>
      <c r="N256" t="n">
        <v>0</v>
      </c>
      <c r="O256" t="n">
        <v>0</v>
      </c>
      <c r="P256" t="n">
        <v>0</v>
      </c>
      <c r="Q256" t="n">
        <v>0</v>
      </c>
      <c r="R256" s="2" t="inlineStr"/>
    </row>
    <row r="257" ht="15" customHeight="1">
      <c r="A257" t="inlineStr">
        <is>
          <t>A 4868-2024</t>
        </is>
      </c>
      <c r="B257" s="1" t="n">
        <v>45329</v>
      </c>
      <c r="C257" s="1" t="n">
        <v>45973</v>
      </c>
      <c r="D257" t="inlineStr">
        <is>
          <t>GOTLANDS LÄN</t>
        </is>
      </c>
      <c r="E257" t="inlineStr">
        <is>
          <t>GOTLAND</t>
        </is>
      </c>
      <c r="G257" t="n">
        <v>7.1</v>
      </c>
      <c r="H257" t="n">
        <v>0</v>
      </c>
      <c r="I257" t="n">
        <v>0</v>
      </c>
      <c r="J257" t="n">
        <v>0</v>
      </c>
      <c r="K257" t="n">
        <v>0</v>
      </c>
      <c r="L257" t="n">
        <v>0</v>
      </c>
      <c r="M257" t="n">
        <v>0</v>
      </c>
      <c r="N257" t="n">
        <v>0</v>
      </c>
      <c r="O257" t="n">
        <v>0</v>
      </c>
      <c r="P257" t="n">
        <v>0</v>
      </c>
      <c r="Q257" t="n">
        <v>0</v>
      </c>
      <c r="R257" s="2" t="inlineStr"/>
    </row>
    <row r="258" ht="15" customHeight="1">
      <c r="A258" t="inlineStr">
        <is>
          <t>A 2241-2025</t>
        </is>
      </c>
      <c r="B258" s="1" t="n">
        <v>45673.48710648148</v>
      </c>
      <c r="C258" s="1" t="n">
        <v>45973</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1681-2023</t>
        </is>
      </c>
      <c r="B259" s="1" t="n">
        <v>44938.39715277778</v>
      </c>
      <c r="C259" s="1" t="n">
        <v>45973</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32330-2024</t>
        </is>
      </c>
      <c r="B260" s="1" t="n">
        <v>45512</v>
      </c>
      <c r="C260" s="1" t="n">
        <v>45973</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15434-2024</t>
        </is>
      </c>
      <c r="B261" s="1" t="n">
        <v>45401.38836805556</v>
      </c>
      <c r="C261" s="1" t="n">
        <v>45973</v>
      </c>
      <c r="D261" t="inlineStr">
        <is>
          <t>GOTLANDS LÄN</t>
        </is>
      </c>
      <c r="E261" t="inlineStr">
        <is>
          <t>GOTLAND</t>
        </is>
      </c>
      <c r="G261" t="n">
        <v>2.5</v>
      </c>
      <c r="H261" t="n">
        <v>0</v>
      </c>
      <c r="I261" t="n">
        <v>0</v>
      </c>
      <c r="J261" t="n">
        <v>0</v>
      </c>
      <c r="K261" t="n">
        <v>0</v>
      </c>
      <c r="L261" t="n">
        <v>0</v>
      </c>
      <c r="M261" t="n">
        <v>0</v>
      </c>
      <c r="N261" t="n">
        <v>0</v>
      </c>
      <c r="O261" t="n">
        <v>0</v>
      </c>
      <c r="P261" t="n">
        <v>0</v>
      </c>
      <c r="Q261" t="n">
        <v>0</v>
      </c>
      <c r="R261" s="2" t="inlineStr"/>
    </row>
    <row r="262" ht="15" customHeight="1">
      <c r="A262" t="inlineStr">
        <is>
          <t>A 6099-2024</t>
        </is>
      </c>
      <c r="B262" s="1" t="n">
        <v>45337</v>
      </c>
      <c r="C262" s="1" t="n">
        <v>45973</v>
      </c>
      <c r="D262" t="inlineStr">
        <is>
          <t>GOTLANDS LÄN</t>
        </is>
      </c>
      <c r="E262" t="inlineStr">
        <is>
          <t>GOTLAND</t>
        </is>
      </c>
      <c r="G262" t="n">
        <v>12.6</v>
      </c>
      <c r="H262" t="n">
        <v>0</v>
      </c>
      <c r="I262" t="n">
        <v>0</v>
      </c>
      <c r="J262" t="n">
        <v>0</v>
      </c>
      <c r="K262" t="n">
        <v>0</v>
      </c>
      <c r="L262" t="n">
        <v>0</v>
      </c>
      <c r="M262" t="n">
        <v>0</v>
      </c>
      <c r="N262" t="n">
        <v>0</v>
      </c>
      <c r="O262" t="n">
        <v>0</v>
      </c>
      <c r="P262" t="n">
        <v>0</v>
      </c>
      <c r="Q262" t="n">
        <v>0</v>
      </c>
      <c r="R262" s="2" t="inlineStr"/>
    </row>
    <row r="263" ht="15" customHeight="1">
      <c r="A263" t="inlineStr">
        <is>
          <t>A 9613-2025</t>
        </is>
      </c>
      <c r="B263" s="1" t="n">
        <v>45715</v>
      </c>
      <c r="C263" s="1" t="n">
        <v>45973</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1273-2023</t>
        </is>
      </c>
      <c r="B264" s="1" t="n">
        <v>44936</v>
      </c>
      <c r="C264" s="1" t="n">
        <v>45973</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15595-2024</t>
        </is>
      </c>
      <c r="B265" s="1" t="n">
        <v>45401.81480324074</v>
      </c>
      <c r="C265" s="1" t="n">
        <v>45973</v>
      </c>
      <c r="D265" t="inlineStr">
        <is>
          <t>GOTLANDS LÄN</t>
        </is>
      </c>
      <c r="E265" t="inlineStr">
        <is>
          <t>GOTLAND</t>
        </is>
      </c>
      <c r="G265" t="n">
        <v>6.4</v>
      </c>
      <c r="H265" t="n">
        <v>0</v>
      </c>
      <c r="I265" t="n">
        <v>0</v>
      </c>
      <c r="J265" t="n">
        <v>0</v>
      </c>
      <c r="K265" t="n">
        <v>0</v>
      </c>
      <c r="L265" t="n">
        <v>0</v>
      </c>
      <c r="M265" t="n">
        <v>0</v>
      </c>
      <c r="N265" t="n">
        <v>0</v>
      </c>
      <c r="O265" t="n">
        <v>0</v>
      </c>
      <c r="P265" t="n">
        <v>0</v>
      </c>
      <c r="Q265" t="n">
        <v>0</v>
      </c>
      <c r="R265" s="2" t="inlineStr"/>
    </row>
    <row r="266" ht="15" customHeight="1">
      <c r="A266" t="inlineStr">
        <is>
          <t>A 5943-2024</t>
        </is>
      </c>
      <c r="B266" s="1" t="n">
        <v>45336</v>
      </c>
      <c r="C266" s="1" t="n">
        <v>45973</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45973</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58780-2024</t>
        </is>
      </c>
      <c r="B268" s="1" t="n">
        <v>45635.84113425926</v>
      </c>
      <c r="C268" s="1" t="n">
        <v>45973</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54073-2022</t>
        </is>
      </c>
      <c r="B269" s="1" t="n">
        <v>44881.50380787037</v>
      </c>
      <c r="C269" s="1" t="n">
        <v>45973</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16361-2024</t>
        </is>
      </c>
      <c r="B270" s="1" t="n">
        <v>45407</v>
      </c>
      <c r="C270" s="1" t="n">
        <v>45973</v>
      </c>
      <c r="D270" t="inlineStr">
        <is>
          <t>GOTLANDS LÄN</t>
        </is>
      </c>
      <c r="E270" t="inlineStr">
        <is>
          <t>GOTLAND</t>
        </is>
      </c>
      <c r="G270" t="n">
        <v>6</v>
      </c>
      <c r="H270" t="n">
        <v>0</v>
      </c>
      <c r="I270" t="n">
        <v>0</v>
      </c>
      <c r="J270" t="n">
        <v>0</v>
      </c>
      <c r="K270" t="n">
        <v>0</v>
      </c>
      <c r="L270" t="n">
        <v>0</v>
      </c>
      <c r="M270" t="n">
        <v>0</v>
      </c>
      <c r="N270" t="n">
        <v>0</v>
      </c>
      <c r="O270" t="n">
        <v>0</v>
      </c>
      <c r="P270" t="n">
        <v>0</v>
      </c>
      <c r="Q270" t="n">
        <v>0</v>
      </c>
      <c r="R270" s="2" t="inlineStr"/>
    </row>
    <row r="271" ht="15" customHeight="1">
      <c r="A271" t="inlineStr">
        <is>
          <t>A 45692-2023</t>
        </is>
      </c>
      <c r="B271" s="1" t="n">
        <v>45195</v>
      </c>
      <c r="C271" s="1" t="n">
        <v>45973</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41038-2023</t>
        </is>
      </c>
      <c r="B272" s="1" t="n">
        <v>45173.60959490741</v>
      </c>
      <c r="C272" s="1" t="n">
        <v>45973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33876-2024</t>
        </is>
      </c>
      <c r="B273" s="1" t="n">
        <v>45521.87988425926</v>
      </c>
      <c r="C273" s="1" t="n">
        <v>45973</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28285-2024</t>
        </is>
      </c>
      <c r="B274" s="1" t="n">
        <v>45477</v>
      </c>
      <c r="C274" s="1" t="n">
        <v>45973</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61100-2022</t>
        </is>
      </c>
      <c r="B275" s="1" t="n">
        <v>44915</v>
      </c>
      <c r="C275" s="1" t="n">
        <v>45973</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61682-2024</t>
        </is>
      </c>
      <c r="B276" s="1" t="n">
        <v>45647.48824074074</v>
      </c>
      <c r="C276" s="1" t="n">
        <v>45973</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14427-2024</t>
        </is>
      </c>
      <c r="B277" s="1" t="n">
        <v>45394</v>
      </c>
      <c r="C277" s="1" t="n">
        <v>45973</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24966-2023</t>
        </is>
      </c>
      <c r="B278" s="1" t="n">
        <v>45085</v>
      </c>
      <c r="C278" s="1" t="n">
        <v>45973</v>
      </c>
      <c r="D278" t="inlineStr">
        <is>
          <t>GOTLANDS LÄN</t>
        </is>
      </c>
      <c r="E278" t="inlineStr">
        <is>
          <t>GOTLAND</t>
        </is>
      </c>
      <c r="G278" t="n">
        <v>7</v>
      </c>
      <c r="H278" t="n">
        <v>0</v>
      </c>
      <c r="I278" t="n">
        <v>0</v>
      </c>
      <c r="J278" t="n">
        <v>0</v>
      </c>
      <c r="K278" t="n">
        <v>0</v>
      </c>
      <c r="L278" t="n">
        <v>0</v>
      </c>
      <c r="M278" t="n">
        <v>0</v>
      </c>
      <c r="N278" t="n">
        <v>0</v>
      </c>
      <c r="O278" t="n">
        <v>0</v>
      </c>
      <c r="P278" t="n">
        <v>0</v>
      </c>
      <c r="Q278" t="n">
        <v>0</v>
      </c>
      <c r="R278" s="2" t="inlineStr"/>
    </row>
    <row r="279" ht="15" customHeight="1">
      <c r="A279" t="inlineStr">
        <is>
          <t>A 46189-2022</t>
        </is>
      </c>
      <c r="B279" s="1" t="n">
        <v>44847</v>
      </c>
      <c r="C279" s="1" t="n">
        <v>45973</v>
      </c>
      <c r="D279" t="inlineStr">
        <is>
          <t>GOTLANDS LÄN</t>
        </is>
      </c>
      <c r="E279" t="inlineStr">
        <is>
          <t>GOTLAND</t>
        </is>
      </c>
      <c r="G279" t="n">
        <v>0.4</v>
      </c>
      <c r="H279" t="n">
        <v>0</v>
      </c>
      <c r="I279" t="n">
        <v>0</v>
      </c>
      <c r="J279" t="n">
        <v>0</v>
      </c>
      <c r="K279" t="n">
        <v>0</v>
      </c>
      <c r="L279" t="n">
        <v>0</v>
      </c>
      <c r="M279" t="n">
        <v>0</v>
      </c>
      <c r="N279" t="n">
        <v>0</v>
      </c>
      <c r="O279" t="n">
        <v>0</v>
      </c>
      <c r="P279" t="n">
        <v>0</v>
      </c>
      <c r="Q279" t="n">
        <v>0</v>
      </c>
      <c r="R279" s="2" t="inlineStr"/>
    </row>
    <row r="280" ht="15" customHeight="1">
      <c r="A280" t="inlineStr">
        <is>
          <t>A 5891-2025</t>
        </is>
      </c>
      <c r="B280" s="1" t="n">
        <v>45695.38327546296</v>
      </c>
      <c r="C280" s="1" t="n">
        <v>45973</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31802-2024</t>
        </is>
      </c>
      <c r="B281" s="1" t="n">
        <v>45509</v>
      </c>
      <c r="C281" s="1" t="n">
        <v>45973</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7835-2024</t>
        </is>
      </c>
      <c r="B282" s="1" t="n">
        <v>45349.83138888889</v>
      </c>
      <c r="C282" s="1" t="n">
        <v>45973</v>
      </c>
      <c r="D282" t="inlineStr">
        <is>
          <t>GOTLANDS LÄN</t>
        </is>
      </c>
      <c r="E282" t="inlineStr">
        <is>
          <t>GOTLAND</t>
        </is>
      </c>
      <c r="G282" t="n">
        <v>3.8</v>
      </c>
      <c r="H282" t="n">
        <v>0</v>
      </c>
      <c r="I282" t="n">
        <v>0</v>
      </c>
      <c r="J282" t="n">
        <v>0</v>
      </c>
      <c r="K282" t="n">
        <v>0</v>
      </c>
      <c r="L282" t="n">
        <v>0</v>
      </c>
      <c r="M282" t="n">
        <v>0</v>
      </c>
      <c r="N282" t="n">
        <v>0</v>
      </c>
      <c r="O282" t="n">
        <v>0</v>
      </c>
      <c r="P282" t="n">
        <v>0</v>
      </c>
      <c r="Q282" t="n">
        <v>0</v>
      </c>
      <c r="R282" s="2" t="inlineStr"/>
    </row>
    <row r="283" ht="15" customHeight="1">
      <c r="A283" t="inlineStr">
        <is>
          <t>A 20794-2025</t>
        </is>
      </c>
      <c r="B283" s="1" t="n">
        <v>45776</v>
      </c>
      <c r="C283" s="1" t="n">
        <v>45973</v>
      </c>
      <c r="D283" t="inlineStr">
        <is>
          <t>GOTLANDS LÄN</t>
        </is>
      </c>
      <c r="E283" t="inlineStr">
        <is>
          <t>GOTLAND</t>
        </is>
      </c>
      <c r="G283" t="n">
        <v>6</v>
      </c>
      <c r="H283" t="n">
        <v>0</v>
      </c>
      <c r="I283" t="n">
        <v>0</v>
      </c>
      <c r="J283" t="n">
        <v>0</v>
      </c>
      <c r="K283" t="n">
        <v>0</v>
      </c>
      <c r="L283" t="n">
        <v>0</v>
      </c>
      <c r="M283" t="n">
        <v>0</v>
      </c>
      <c r="N283" t="n">
        <v>0</v>
      </c>
      <c r="O283" t="n">
        <v>0</v>
      </c>
      <c r="P283" t="n">
        <v>0</v>
      </c>
      <c r="Q283" t="n">
        <v>0</v>
      </c>
      <c r="R283" s="2" t="inlineStr"/>
    </row>
    <row r="284" ht="15" customHeight="1">
      <c r="A284" t="inlineStr">
        <is>
          <t>A 20805-2025</t>
        </is>
      </c>
      <c r="B284" s="1" t="n">
        <v>45776</v>
      </c>
      <c r="C284" s="1" t="n">
        <v>45973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8036-2022</t>
        </is>
      </c>
      <c r="B285" s="1" t="n">
        <v>44609.44362268518</v>
      </c>
      <c r="C285" s="1" t="n">
        <v>45973</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12846-2025</t>
        </is>
      </c>
      <c r="B286" s="1" t="n">
        <v>45733.65049768519</v>
      </c>
      <c r="C286" s="1" t="n">
        <v>45973</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21389-2025</t>
        </is>
      </c>
      <c r="B287" s="1" t="n">
        <v>45782</v>
      </c>
      <c r="C287" s="1" t="n">
        <v>45973</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21651-2025</t>
        </is>
      </c>
      <c r="B288" s="1" t="n">
        <v>45783</v>
      </c>
      <c r="C288" s="1" t="n">
        <v>45973</v>
      </c>
      <c r="D288" t="inlineStr">
        <is>
          <t>GOTLANDS LÄN</t>
        </is>
      </c>
      <c r="E288" t="inlineStr">
        <is>
          <t>GOTLAND</t>
        </is>
      </c>
      <c r="G288" t="n">
        <v>4.2</v>
      </c>
      <c r="H288" t="n">
        <v>0</v>
      </c>
      <c r="I288" t="n">
        <v>0</v>
      </c>
      <c r="J288" t="n">
        <v>0</v>
      </c>
      <c r="K288" t="n">
        <v>0</v>
      </c>
      <c r="L288" t="n">
        <v>0</v>
      </c>
      <c r="M288" t="n">
        <v>0</v>
      </c>
      <c r="N288" t="n">
        <v>0</v>
      </c>
      <c r="O288" t="n">
        <v>0</v>
      </c>
      <c r="P288" t="n">
        <v>0</v>
      </c>
      <c r="Q288" t="n">
        <v>0</v>
      </c>
      <c r="R288" s="2" t="inlineStr"/>
    </row>
    <row r="289" ht="15" customHeight="1">
      <c r="A289" t="inlineStr">
        <is>
          <t>A 46949-2024</t>
        </is>
      </c>
      <c r="B289" s="1" t="n">
        <v>45585</v>
      </c>
      <c r="C289" s="1" t="n">
        <v>45973</v>
      </c>
      <c r="D289" t="inlineStr">
        <is>
          <t>GOTLANDS LÄN</t>
        </is>
      </c>
      <c r="E289" t="inlineStr">
        <is>
          <t>GOTLAND</t>
        </is>
      </c>
      <c r="G289" t="n">
        <v>0.6</v>
      </c>
      <c r="H289" t="n">
        <v>0</v>
      </c>
      <c r="I289" t="n">
        <v>0</v>
      </c>
      <c r="J289" t="n">
        <v>0</v>
      </c>
      <c r="K289" t="n">
        <v>0</v>
      </c>
      <c r="L289" t="n">
        <v>0</v>
      </c>
      <c r="M289" t="n">
        <v>0</v>
      </c>
      <c r="N289" t="n">
        <v>0</v>
      </c>
      <c r="O289" t="n">
        <v>0</v>
      </c>
      <c r="P289" t="n">
        <v>0</v>
      </c>
      <c r="Q289" t="n">
        <v>0</v>
      </c>
      <c r="R289" s="2" t="inlineStr"/>
    </row>
    <row r="290" ht="15" customHeight="1">
      <c r="A290" t="inlineStr">
        <is>
          <t>A 58388-2022</t>
        </is>
      </c>
      <c r="B290" s="1" t="n">
        <v>44894</v>
      </c>
      <c r="C290" s="1" t="n">
        <v>45973</v>
      </c>
      <c r="D290" t="inlineStr">
        <is>
          <t>GOTLANDS LÄN</t>
        </is>
      </c>
      <c r="E290" t="inlineStr">
        <is>
          <t>GOTLAND</t>
        </is>
      </c>
      <c r="F290" t="inlineStr">
        <is>
          <t>Övriga statliga verk och myndigheter</t>
        </is>
      </c>
      <c r="G290" t="n">
        <v>3.1</v>
      </c>
      <c r="H290" t="n">
        <v>0</v>
      </c>
      <c r="I290" t="n">
        <v>0</v>
      </c>
      <c r="J290" t="n">
        <v>0</v>
      </c>
      <c r="K290" t="n">
        <v>0</v>
      </c>
      <c r="L290" t="n">
        <v>0</v>
      </c>
      <c r="M290" t="n">
        <v>0</v>
      </c>
      <c r="N290" t="n">
        <v>0</v>
      </c>
      <c r="O290" t="n">
        <v>0</v>
      </c>
      <c r="P290" t="n">
        <v>0</v>
      </c>
      <c r="Q290" t="n">
        <v>0</v>
      </c>
      <c r="R290" s="2" t="inlineStr"/>
    </row>
    <row r="291" ht="15" customHeight="1">
      <c r="A291" t="inlineStr">
        <is>
          <t>A 22031-2024</t>
        </is>
      </c>
      <c r="B291" s="1" t="n">
        <v>45443.60075231481</v>
      </c>
      <c r="C291" s="1" t="n">
        <v>45973</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10650-2022</t>
        </is>
      </c>
      <c r="B292" s="1" t="n">
        <v>44624.57945601852</v>
      </c>
      <c r="C292" s="1" t="n">
        <v>45973</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49314-2024</t>
        </is>
      </c>
      <c r="B293" s="1" t="n">
        <v>45595.55893518519</v>
      </c>
      <c r="C293" s="1" t="n">
        <v>45973</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21792-2024</t>
        </is>
      </c>
      <c r="B294" s="1" t="n">
        <v>45442.64326388889</v>
      </c>
      <c r="C294" s="1" t="n">
        <v>45973</v>
      </c>
      <c r="D294" t="inlineStr">
        <is>
          <t>GOTLANDS LÄN</t>
        </is>
      </c>
      <c r="E294" t="inlineStr">
        <is>
          <t>GOTLAND</t>
        </is>
      </c>
      <c r="G294" t="n">
        <v>1</v>
      </c>
      <c r="H294" t="n">
        <v>0</v>
      </c>
      <c r="I294" t="n">
        <v>0</v>
      </c>
      <c r="J294" t="n">
        <v>0</v>
      </c>
      <c r="K294" t="n">
        <v>0</v>
      </c>
      <c r="L294" t="n">
        <v>0</v>
      </c>
      <c r="M294" t="n">
        <v>0</v>
      </c>
      <c r="N294" t="n">
        <v>0</v>
      </c>
      <c r="O294" t="n">
        <v>0</v>
      </c>
      <c r="P294" t="n">
        <v>0</v>
      </c>
      <c r="Q294" t="n">
        <v>0</v>
      </c>
      <c r="R294" s="2" t="inlineStr"/>
    </row>
    <row r="295" ht="15" customHeight="1">
      <c r="A295" t="inlineStr">
        <is>
          <t>A 44919-2022</t>
        </is>
      </c>
      <c r="B295" s="1" t="n">
        <v>44841</v>
      </c>
      <c r="C295" s="1" t="n">
        <v>45973</v>
      </c>
      <c r="D295" t="inlineStr">
        <is>
          <t>GOTLANDS LÄN</t>
        </is>
      </c>
      <c r="E295" t="inlineStr">
        <is>
          <t>GOTLAND</t>
        </is>
      </c>
      <c r="G295" t="n">
        <v>2.2</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45973</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17688-2024</t>
        </is>
      </c>
      <c r="B297" s="1" t="n">
        <v>45418.43575231481</v>
      </c>
      <c r="C297" s="1" t="n">
        <v>45973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7837-2024</t>
        </is>
      </c>
      <c r="B298" s="1" t="n">
        <v>45349.83787037037</v>
      </c>
      <c r="C298" s="1" t="n">
        <v>45973</v>
      </c>
      <c r="D298" t="inlineStr">
        <is>
          <t>GOTLANDS LÄN</t>
        </is>
      </c>
      <c r="E298" t="inlineStr">
        <is>
          <t>GOTLAND</t>
        </is>
      </c>
      <c r="G298" t="n">
        <v>5</v>
      </c>
      <c r="H298" t="n">
        <v>0</v>
      </c>
      <c r="I298" t="n">
        <v>0</v>
      </c>
      <c r="J298" t="n">
        <v>0</v>
      </c>
      <c r="K298" t="n">
        <v>0</v>
      </c>
      <c r="L298" t="n">
        <v>0</v>
      </c>
      <c r="M298" t="n">
        <v>0</v>
      </c>
      <c r="N298" t="n">
        <v>0</v>
      </c>
      <c r="O298" t="n">
        <v>0</v>
      </c>
      <c r="P298" t="n">
        <v>0</v>
      </c>
      <c r="Q298" t="n">
        <v>0</v>
      </c>
      <c r="R298" s="2" t="inlineStr"/>
    </row>
    <row r="299" ht="15" customHeight="1">
      <c r="A299" t="inlineStr">
        <is>
          <t>A 65901-2021</t>
        </is>
      </c>
      <c r="B299" s="1" t="n">
        <v>44516</v>
      </c>
      <c r="C299" s="1" t="n">
        <v>45973</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11634-2024</t>
        </is>
      </c>
      <c r="B300" s="1" t="n">
        <v>45373</v>
      </c>
      <c r="C300" s="1" t="n">
        <v>45973</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1351-2025</t>
        </is>
      </c>
      <c r="B301" s="1" t="n">
        <v>45667.62246527777</v>
      </c>
      <c r="C301" s="1" t="n">
        <v>45973</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39496-2022</t>
        </is>
      </c>
      <c r="B302" s="1" t="n">
        <v>44818</v>
      </c>
      <c r="C302" s="1" t="n">
        <v>45973</v>
      </c>
      <c r="D302" t="inlineStr">
        <is>
          <t>GOTLANDS LÄN</t>
        </is>
      </c>
      <c r="E302" t="inlineStr">
        <is>
          <t>GOTLAND</t>
        </is>
      </c>
      <c r="G302" t="n">
        <v>2.4</v>
      </c>
      <c r="H302" t="n">
        <v>0</v>
      </c>
      <c r="I302" t="n">
        <v>0</v>
      </c>
      <c r="J302" t="n">
        <v>0</v>
      </c>
      <c r="K302" t="n">
        <v>0</v>
      </c>
      <c r="L302" t="n">
        <v>0</v>
      </c>
      <c r="M302" t="n">
        <v>0</v>
      </c>
      <c r="N302" t="n">
        <v>0</v>
      </c>
      <c r="O302" t="n">
        <v>0</v>
      </c>
      <c r="P302" t="n">
        <v>0</v>
      </c>
      <c r="Q302" t="n">
        <v>0</v>
      </c>
      <c r="R302" s="2" t="inlineStr"/>
    </row>
    <row r="303" ht="15" customHeight="1">
      <c r="A303" t="inlineStr">
        <is>
          <t>A 49874-2024</t>
        </is>
      </c>
      <c r="B303" s="1" t="n">
        <v>45597.49274305555</v>
      </c>
      <c r="C303" s="1" t="n">
        <v>45973</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4568-2025</t>
        </is>
      </c>
      <c r="B304" s="1" t="n">
        <v>45687</v>
      </c>
      <c r="C304" s="1" t="n">
        <v>45973</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44649-2021</t>
        </is>
      </c>
      <c r="B305" s="1" t="n">
        <v>44437</v>
      </c>
      <c r="C305" s="1" t="n">
        <v>45973</v>
      </c>
      <c r="D305" t="inlineStr">
        <is>
          <t>GOTLANDS LÄN</t>
        </is>
      </c>
      <c r="E305" t="inlineStr">
        <is>
          <t>GOTLAND</t>
        </is>
      </c>
      <c r="G305" t="n">
        <v>8.1</v>
      </c>
      <c r="H305" t="n">
        <v>0</v>
      </c>
      <c r="I305" t="n">
        <v>0</v>
      </c>
      <c r="J305" t="n">
        <v>0</v>
      </c>
      <c r="K305" t="n">
        <v>0</v>
      </c>
      <c r="L305" t="n">
        <v>0</v>
      </c>
      <c r="M305" t="n">
        <v>0</v>
      </c>
      <c r="N305" t="n">
        <v>0</v>
      </c>
      <c r="O305" t="n">
        <v>0</v>
      </c>
      <c r="P305" t="n">
        <v>0</v>
      </c>
      <c r="Q305" t="n">
        <v>0</v>
      </c>
      <c r="R305" s="2" t="inlineStr"/>
    </row>
    <row r="306" ht="15" customHeight="1">
      <c r="A306" t="inlineStr">
        <is>
          <t>A 42201-2023</t>
        </is>
      </c>
      <c r="B306" s="1" t="n">
        <v>45179</v>
      </c>
      <c r="C306" s="1" t="n">
        <v>45973</v>
      </c>
      <c r="D306" t="inlineStr">
        <is>
          <t>GOTLANDS LÄN</t>
        </is>
      </c>
      <c r="E306" t="inlineStr">
        <is>
          <t>GOTLAND</t>
        </is>
      </c>
      <c r="G306" t="n">
        <v>11.9</v>
      </c>
      <c r="H306" t="n">
        <v>0</v>
      </c>
      <c r="I306" t="n">
        <v>0</v>
      </c>
      <c r="J306" t="n">
        <v>0</v>
      </c>
      <c r="K306" t="n">
        <v>0</v>
      </c>
      <c r="L306" t="n">
        <v>0</v>
      </c>
      <c r="M306" t="n">
        <v>0</v>
      </c>
      <c r="N306" t="n">
        <v>0</v>
      </c>
      <c r="O306" t="n">
        <v>0</v>
      </c>
      <c r="P306" t="n">
        <v>0</v>
      </c>
      <c r="Q306" t="n">
        <v>0</v>
      </c>
      <c r="R306" s="2" t="inlineStr"/>
    </row>
    <row r="307" ht="15" customHeight="1">
      <c r="A307" t="inlineStr">
        <is>
          <t>A 9947-2024</t>
        </is>
      </c>
      <c r="B307" s="1" t="n">
        <v>45363</v>
      </c>
      <c r="C307" s="1" t="n">
        <v>45973</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44304-2021</t>
        </is>
      </c>
      <c r="B308" s="1" t="n">
        <v>44434</v>
      </c>
      <c r="C308" s="1" t="n">
        <v>45973</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46400-2023</t>
        </is>
      </c>
      <c r="B309" s="1" t="n">
        <v>45197.49290509259</v>
      </c>
      <c r="C309" s="1" t="n">
        <v>45973</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9875-2025</t>
        </is>
      </c>
      <c r="B310" s="1" t="n">
        <v>45716</v>
      </c>
      <c r="C310" s="1" t="n">
        <v>45973</v>
      </c>
      <c r="D310" t="inlineStr">
        <is>
          <t>GOTLANDS LÄN</t>
        </is>
      </c>
      <c r="E310" t="inlineStr">
        <is>
          <t>GOTLAND</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17682-2024</t>
        </is>
      </c>
      <c r="B311" s="1" t="n">
        <v>45418.42966435185</v>
      </c>
      <c r="C311" s="1" t="n">
        <v>45973</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35512-2023</t>
        </is>
      </c>
      <c r="B312" s="1" t="n">
        <v>45147.25623842593</v>
      </c>
      <c r="C312" s="1" t="n">
        <v>45973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57522-2022</t>
        </is>
      </c>
      <c r="B313" s="1" t="n">
        <v>44896</v>
      </c>
      <c r="C313" s="1" t="n">
        <v>45973</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5905-2024</t>
        </is>
      </c>
      <c r="B314" s="1" t="n">
        <v>45335.88993055555</v>
      </c>
      <c r="C314" s="1" t="n">
        <v>45973</v>
      </c>
      <c r="D314" t="inlineStr">
        <is>
          <t>GOTLANDS LÄN</t>
        </is>
      </c>
      <c r="E314" t="inlineStr">
        <is>
          <t>GOTLAND</t>
        </is>
      </c>
      <c r="G314" t="n">
        <v>3</v>
      </c>
      <c r="H314" t="n">
        <v>0</v>
      </c>
      <c r="I314" t="n">
        <v>0</v>
      </c>
      <c r="J314" t="n">
        <v>0</v>
      </c>
      <c r="K314" t="n">
        <v>0</v>
      </c>
      <c r="L314" t="n">
        <v>0</v>
      </c>
      <c r="M314" t="n">
        <v>0</v>
      </c>
      <c r="N314" t="n">
        <v>0</v>
      </c>
      <c r="O314" t="n">
        <v>0</v>
      </c>
      <c r="P314" t="n">
        <v>0</v>
      </c>
      <c r="Q314" t="n">
        <v>0</v>
      </c>
      <c r="R314" s="2" t="inlineStr"/>
    </row>
    <row r="315" ht="15" customHeight="1">
      <c r="A315" t="inlineStr">
        <is>
          <t>A 21164-2024</t>
        </is>
      </c>
      <c r="B315" s="1" t="n">
        <v>45440</v>
      </c>
      <c r="C315" s="1" t="n">
        <v>45973</v>
      </c>
      <c r="D315" t="inlineStr">
        <is>
          <t>GOTLANDS LÄN</t>
        </is>
      </c>
      <c r="E315" t="inlineStr">
        <is>
          <t>GOTLAND</t>
        </is>
      </c>
      <c r="G315" t="n">
        <v>6.3</v>
      </c>
      <c r="H315" t="n">
        <v>0</v>
      </c>
      <c r="I315" t="n">
        <v>0</v>
      </c>
      <c r="J315" t="n">
        <v>0</v>
      </c>
      <c r="K315" t="n">
        <v>0</v>
      </c>
      <c r="L315" t="n">
        <v>0</v>
      </c>
      <c r="M315" t="n">
        <v>0</v>
      </c>
      <c r="N315" t="n">
        <v>0</v>
      </c>
      <c r="O315" t="n">
        <v>0</v>
      </c>
      <c r="P315" t="n">
        <v>0</v>
      </c>
      <c r="Q315" t="n">
        <v>0</v>
      </c>
      <c r="R315" s="2" t="inlineStr"/>
    </row>
    <row r="316" ht="15" customHeight="1">
      <c r="A316" t="inlineStr">
        <is>
          <t>A 8045-2022</t>
        </is>
      </c>
      <c r="B316" s="1" t="n">
        <v>44609</v>
      </c>
      <c r="C316" s="1" t="n">
        <v>45973</v>
      </c>
      <c r="D316" t="inlineStr">
        <is>
          <t>GOTLANDS LÄN</t>
        </is>
      </c>
      <c r="E316" t="inlineStr">
        <is>
          <t>GOTLAND</t>
        </is>
      </c>
      <c r="G316" t="n">
        <v>7</v>
      </c>
      <c r="H316" t="n">
        <v>0</v>
      </c>
      <c r="I316" t="n">
        <v>0</v>
      </c>
      <c r="J316" t="n">
        <v>0</v>
      </c>
      <c r="K316" t="n">
        <v>0</v>
      </c>
      <c r="L316" t="n">
        <v>0</v>
      </c>
      <c r="M316" t="n">
        <v>0</v>
      </c>
      <c r="N316" t="n">
        <v>0</v>
      </c>
      <c r="O316" t="n">
        <v>0</v>
      </c>
      <c r="P316" t="n">
        <v>0</v>
      </c>
      <c r="Q316" t="n">
        <v>0</v>
      </c>
      <c r="R316" s="2" t="inlineStr"/>
    </row>
    <row r="317" ht="15" customHeight="1">
      <c r="A317" t="inlineStr">
        <is>
          <t>A 1291-2023</t>
        </is>
      </c>
      <c r="B317" s="1" t="n">
        <v>44936.47561342592</v>
      </c>
      <c r="C317" s="1" t="n">
        <v>45973</v>
      </c>
      <c r="D317" t="inlineStr">
        <is>
          <t>GOTLANDS LÄN</t>
        </is>
      </c>
      <c r="E317" t="inlineStr">
        <is>
          <t>GOTLAND</t>
        </is>
      </c>
      <c r="G317" t="n">
        <v>7.4</v>
      </c>
      <c r="H317" t="n">
        <v>0</v>
      </c>
      <c r="I317" t="n">
        <v>0</v>
      </c>
      <c r="J317" t="n">
        <v>0</v>
      </c>
      <c r="K317" t="n">
        <v>0</v>
      </c>
      <c r="L317" t="n">
        <v>0</v>
      </c>
      <c r="M317" t="n">
        <v>0</v>
      </c>
      <c r="N317" t="n">
        <v>0</v>
      </c>
      <c r="O317" t="n">
        <v>0</v>
      </c>
      <c r="P317" t="n">
        <v>0</v>
      </c>
      <c r="Q317" t="n">
        <v>0</v>
      </c>
      <c r="R317" s="2" t="inlineStr"/>
    </row>
    <row r="318" ht="15" customHeight="1">
      <c r="A318" t="inlineStr">
        <is>
          <t>A 2292-2021</t>
        </is>
      </c>
      <c r="B318" s="1" t="n">
        <v>44212</v>
      </c>
      <c r="C318" s="1" t="n">
        <v>45973</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57652-2023</t>
        </is>
      </c>
      <c r="B319" s="1" t="n">
        <v>45246</v>
      </c>
      <c r="C319" s="1" t="n">
        <v>45973</v>
      </c>
      <c r="D319" t="inlineStr">
        <is>
          <t>GOTLANDS LÄN</t>
        </is>
      </c>
      <c r="E319" t="inlineStr">
        <is>
          <t>GOTLAND</t>
        </is>
      </c>
      <c r="G319" t="n">
        <v>7.2</v>
      </c>
      <c r="H319" t="n">
        <v>0</v>
      </c>
      <c r="I319" t="n">
        <v>0</v>
      </c>
      <c r="J319" t="n">
        <v>0</v>
      </c>
      <c r="K319" t="n">
        <v>0</v>
      </c>
      <c r="L319" t="n">
        <v>0</v>
      </c>
      <c r="M319" t="n">
        <v>0</v>
      </c>
      <c r="N319" t="n">
        <v>0</v>
      </c>
      <c r="O319" t="n">
        <v>0</v>
      </c>
      <c r="P319" t="n">
        <v>0</v>
      </c>
      <c r="Q319" t="n">
        <v>0</v>
      </c>
      <c r="R319" s="2" t="inlineStr"/>
    </row>
    <row r="320" ht="15" customHeight="1">
      <c r="A320" t="inlineStr">
        <is>
          <t>A 22897-2023</t>
        </is>
      </c>
      <c r="B320" s="1" t="n">
        <v>45072.55239583334</v>
      </c>
      <c r="C320" s="1" t="n">
        <v>45973</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61897-2024</t>
        </is>
      </c>
      <c r="B321" s="1" t="n">
        <v>45652.75685185185</v>
      </c>
      <c r="C321" s="1" t="n">
        <v>45973</v>
      </c>
      <c r="D321" t="inlineStr">
        <is>
          <t>GOTLANDS LÄN</t>
        </is>
      </c>
      <c r="E321" t="inlineStr">
        <is>
          <t>GOTLAND</t>
        </is>
      </c>
      <c r="G321" t="n">
        <v>6.4</v>
      </c>
      <c r="H321" t="n">
        <v>0</v>
      </c>
      <c r="I321" t="n">
        <v>0</v>
      </c>
      <c r="J321" t="n">
        <v>0</v>
      </c>
      <c r="K321" t="n">
        <v>0</v>
      </c>
      <c r="L321" t="n">
        <v>0</v>
      </c>
      <c r="M321" t="n">
        <v>0</v>
      </c>
      <c r="N321" t="n">
        <v>0</v>
      </c>
      <c r="O321" t="n">
        <v>0</v>
      </c>
      <c r="P321" t="n">
        <v>0</v>
      </c>
      <c r="Q321" t="n">
        <v>0</v>
      </c>
      <c r="R321" s="2" t="inlineStr"/>
    </row>
    <row r="322" ht="15" customHeight="1">
      <c r="A322" t="inlineStr">
        <is>
          <t>A 49315-2024</t>
        </is>
      </c>
      <c r="B322" s="1" t="n">
        <v>45595</v>
      </c>
      <c r="C322" s="1" t="n">
        <v>45973</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45106-2024</t>
        </is>
      </c>
      <c r="B323" s="1" t="n">
        <v>45575</v>
      </c>
      <c r="C323" s="1" t="n">
        <v>45973</v>
      </c>
      <c r="D323" t="inlineStr">
        <is>
          <t>GOTLANDS LÄN</t>
        </is>
      </c>
      <c r="E323" t="inlineStr">
        <is>
          <t>GOTLAND</t>
        </is>
      </c>
      <c r="G323" t="n">
        <v>10</v>
      </c>
      <c r="H323" t="n">
        <v>0</v>
      </c>
      <c r="I323" t="n">
        <v>0</v>
      </c>
      <c r="J323" t="n">
        <v>0</v>
      </c>
      <c r="K323" t="n">
        <v>0</v>
      </c>
      <c r="L323" t="n">
        <v>0</v>
      </c>
      <c r="M323" t="n">
        <v>0</v>
      </c>
      <c r="N323" t="n">
        <v>0</v>
      </c>
      <c r="O323" t="n">
        <v>0</v>
      </c>
      <c r="P323" t="n">
        <v>0</v>
      </c>
      <c r="Q323" t="n">
        <v>0</v>
      </c>
      <c r="R323" s="2" t="inlineStr"/>
    </row>
    <row r="324" ht="15" customHeight="1">
      <c r="A324" t="inlineStr">
        <is>
          <t>A 45112-2024</t>
        </is>
      </c>
      <c r="B324" s="1" t="n">
        <v>45575</v>
      </c>
      <c r="C324" s="1" t="n">
        <v>45973</v>
      </c>
      <c r="D324" t="inlineStr">
        <is>
          <t>GOTLANDS LÄN</t>
        </is>
      </c>
      <c r="E324" t="inlineStr">
        <is>
          <t>GOTLAND</t>
        </is>
      </c>
      <c r="G324" t="n">
        <v>5.1</v>
      </c>
      <c r="H324" t="n">
        <v>0</v>
      </c>
      <c r="I324" t="n">
        <v>0</v>
      </c>
      <c r="J324" t="n">
        <v>0</v>
      </c>
      <c r="K324" t="n">
        <v>0</v>
      </c>
      <c r="L324" t="n">
        <v>0</v>
      </c>
      <c r="M324" t="n">
        <v>0</v>
      </c>
      <c r="N324" t="n">
        <v>0</v>
      </c>
      <c r="O324" t="n">
        <v>0</v>
      </c>
      <c r="P324" t="n">
        <v>0</v>
      </c>
      <c r="Q324" t="n">
        <v>0</v>
      </c>
      <c r="R324" s="2" t="inlineStr"/>
    </row>
    <row r="325" ht="15" customHeight="1">
      <c r="A325" t="inlineStr">
        <is>
          <t>A 49962-2023</t>
        </is>
      </c>
      <c r="B325" s="1" t="n">
        <v>45215.38775462963</v>
      </c>
      <c r="C325" s="1" t="n">
        <v>45973</v>
      </c>
      <c r="D325" t="inlineStr">
        <is>
          <t>GOTLANDS LÄN</t>
        </is>
      </c>
      <c r="E325" t="inlineStr">
        <is>
          <t>GOTLAND</t>
        </is>
      </c>
      <c r="G325" t="n">
        <v>1.4</v>
      </c>
      <c r="H325" t="n">
        <v>0</v>
      </c>
      <c r="I325" t="n">
        <v>0</v>
      </c>
      <c r="J325" t="n">
        <v>0</v>
      </c>
      <c r="K325" t="n">
        <v>0</v>
      </c>
      <c r="L325" t="n">
        <v>0</v>
      </c>
      <c r="M325" t="n">
        <v>0</v>
      </c>
      <c r="N325" t="n">
        <v>0</v>
      </c>
      <c r="O325" t="n">
        <v>0</v>
      </c>
      <c r="P325" t="n">
        <v>0</v>
      </c>
      <c r="Q325" t="n">
        <v>0</v>
      </c>
      <c r="R325" s="2" t="inlineStr"/>
    </row>
    <row r="326" ht="15" customHeight="1">
      <c r="A326" t="inlineStr">
        <is>
          <t>A 2676-2023</t>
        </is>
      </c>
      <c r="B326" s="1" t="n">
        <v>44944</v>
      </c>
      <c r="C326" s="1" t="n">
        <v>45973</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20356-2022</t>
        </is>
      </c>
      <c r="B327" s="1" t="n">
        <v>44699</v>
      </c>
      <c r="C327" s="1" t="n">
        <v>45973</v>
      </c>
      <c r="D327" t="inlineStr">
        <is>
          <t>GOTLANDS LÄN</t>
        </is>
      </c>
      <c r="E327" t="inlineStr">
        <is>
          <t>GOTLAND</t>
        </is>
      </c>
      <c r="F327" t="inlineStr">
        <is>
          <t>Övriga Aktiebolag</t>
        </is>
      </c>
      <c r="G327" t="n">
        <v>4.4</v>
      </c>
      <c r="H327" t="n">
        <v>0</v>
      </c>
      <c r="I327" t="n">
        <v>0</v>
      </c>
      <c r="J327" t="n">
        <v>0</v>
      </c>
      <c r="K327" t="n">
        <v>0</v>
      </c>
      <c r="L327" t="n">
        <v>0</v>
      </c>
      <c r="M327" t="n">
        <v>0</v>
      </c>
      <c r="N327" t="n">
        <v>0</v>
      </c>
      <c r="O327" t="n">
        <v>0</v>
      </c>
      <c r="P327" t="n">
        <v>0</v>
      </c>
      <c r="Q327" t="n">
        <v>0</v>
      </c>
      <c r="R327" s="2" t="inlineStr"/>
    </row>
    <row r="328" ht="15" customHeight="1">
      <c r="A328" t="inlineStr">
        <is>
          <t>A 3150-2025</t>
        </is>
      </c>
      <c r="B328" s="1" t="n">
        <v>45679.28974537037</v>
      </c>
      <c r="C328" s="1" t="n">
        <v>45973</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20165-2022</t>
        </is>
      </c>
      <c r="B329" s="1" t="n">
        <v>44698.49854166667</v>
      </c>
      <c r="C329" s="1" t="n">
        <v>45973</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8484-2025</t>
        </is>
      </c>
      <c r="B330" s="1" t="n">
        <v>45709</v>
      </c>
      <c r="C330" s="1" t="n">
        <v>45973</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7635-2025</t>
        </is>
      </c>
      <c r="B331" s="1" t="n">
        <v>45705</v>
      </c>
      <c r="C331" s="1" t="n">
        <v>45973</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7636-2025</t>
        </is>
      </c>
      <c r="B332" s="1" t="n">
        <v>45705.7687962963</v>
      </c>
      <c r="C332" s="1" t="n">
        <v>45973</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7639-2025</t>
        </is>
      </c>
      <c r="B333" s="1" t="n">
        <v>45705.77465277778</v>
      </c>
      <c r="C333" s="1" t="n">
        <v>45973</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40294-2022</t>
        </is>
      </c>
      <c r="B334" s="1" t="n">
        <v>44821</v>
      </c>
      <c r="C334" s="1" t="n">
        <v>45973</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12032-2025</t>
        </is>
      </c>
      <c r="B335" s="1" t="n">
        <v>45728.64472222222</v>
      </c>
      <c r="C335" s="1" t="n">
        <v>45973</v>
      </c>
      <c r="D335" t="inlineStr">
        <is>
          <t>GOTLANDS LÄN</t>
        </is>
      </c>
      <c r="E335" t="inlineStr">
        <is>
          <t>GOTLAND</t>
        </is>
      </c>
      <c r="G335" t="n">
        <v>1.4</v>
      </c>
      <c r="H335" t="n">
        <v>0</v>
      </c>
      <c r="I335" t="n">
        <v>0</v>
      </c>
      <c r="J335" t="n">
        <v>0</v>
      </c>
      <c r="K335" t="n">
        <v>0</v>
      </c>
      <c r="L335" t="n">
        <v>0</v>
      </c>
      <c r="M335" t="n">
        <v>0</v>
      </c>
      <c r="N335" t="n">
        <v>0</v>
      </c>
      <c r="O335" t="n">
        <v>0</v>
      </c>
      <c r="P335" t="n">
        <v>0</v>
      </c>
      <c r="Q335" t="n">
        <v>0</v>
      </c>
      <c r="R335" s="2" t="inlineStr"/>
    </row>
    <row r="336" ht="15" customHeight="1">
      <c r="A336" t="inlineStr">
        <is>
          <t>A 38787-2023</t>
        </is>
      </c>
      <c r="B336" s="1" t="n">
        <v>45163</v>
      </c>
      <c r="C336" s="1" t="n">
        <v>45973</v>
      </c>
      <c r="D336" t="inlineStr">
        <is>
          <t>GOTLANDS LÄN</t>
        </is>
      </c>
      <c r="E336" t="inlineStr">
        <is>
          <t>GOTLAND</t>
        </is>
      </c>
      <c r="G336" t="n">
        <v>0.4</v>
      </c>
      <c r="H336" t="n">
        <v>0</v>
      </c>
      <c r="I336" t="n">
        <v>0</v>
      </c>
      <c r="J336" t="n">
        <v>0</v>
      </c>
      <c r="K336" t="n">
        <v>0</v>
      </c>
      <c r="L336" t="n">
        <v>0</v>
      </c>
      <c r="M336" t="n">
        <v>0</v>
      </c>
      <c r="N336" t="n">
        <v>0</v>
      </c>
      <c r="O336" t="n">
        <v>0</v>
      </c>
      <c r="P336" t="n">
        <v>0</v>
      </c>
      <c r="Q336" t="n">
        <v>0</v>
      </c>
      <c r="R336" s="2" t="inlineStr"/>
    </row>
    <row r="337" ht="15" customHeight="1">
      <c r="A337" t="inlineStr">
        <is>
          <t>A 20356-2022</t>
        </is>
      </c>
      <c r="B337" s="1" t="n">
        <v>44699</v>
      </c>
      <c r="C337" s="1" t="n">
        <v>45973</v>
      </c>
      <c r="D337" t="inlineStr">
        <is>
          <t>GOTLANDS LÄN</t>
        </is>
      </c>
      <c r="E337" t="inlineStr">
        <is>
          <t>GOTLAND</t>
        </is>
      </c>
      <c r="F337" t="inlineStr">
        <is>
          <t>Övriga Aktiebolag</t>
        </is>
      </c>
      <c r="G337" t="n">
        <v>4.4</v>
      </c>
      <c r="H337" t="n">
        <v>0</v>
      </c>
      <c r="I337" t="n">
        <v>0</v>
      </c>
      <c r="J337" t="n">
        <v>0</v>
      </c>
      <c r="K337" t="n">
        <v>0</v>
      </c>
      <c r="L337" t="n">
        <v>0</v>
      </c>
      <c r="M337" t="n">
        <v>0</v>
      </c>
      <c r="N337" t="n">
        <v>0</v>
      </c>
      <c r="O337" t="n">
        <v>0</v>
      </c>
      <c r="P337" t="n">
        <v>0</v>
      </c>
      <c r="Q337" t="n">
        <v>0</v>
      </c>
      <c r="R337" s="2" t="inlineStr"/>
    </row>
    <row r="338" ht="15" customHeight="1">
      <c r="A338" t="inlineStr">
        <is>
          <t>A 48734-2022</t>
        </is>
      </c>
      <c r="B338" s="1" t="n">
        <v>44855</v>
      </c>
      <c r="C338" s="1" t="n">
        <v>45973</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14141-2024</t>
        </is>
      </c>
      <c r="B339" s="1" t="n">
        <v>45392.85193287037</v>
      </c>
      <c r="C339" s="1" t="n">
        <v>45973</v>
      </c>
      <c r="D339" t="inlineStr">
        <is>
          <t>GOTLANDS LÄN</t>
        </is>
      </c>
      <c r="E339" t="inlineStr">
        <is>
          <t>GOTLAND</t>
        </is>
      </c>
      <c r="G339" t="n">
        <v>5.3</v>
      </c>
      <c r="H339" t="n">
        <v>0</v>
      </c>
      <c r="I339" t="n">
        <v>0</v>
      </c>
      <c r="J339" t="n">
        <v>0</v>
      </c>
      <c r="K339" t="n">
        <v>0</v>
      </c>
      <c r="L339" t="n">
        <v>0</v>
      </c>
      <c r="M339" t="n">
        <v>0</v>
      </c>
      <c r="N339" t="n">
        <v>0</v>
      </c>
      <c r="O339" t="n">
        <v>0</v>
      </c>
      <c r="P339" t="n">
        <v>0</v>
      </c>
      <c r="Q339" t="n">
        <v>0</v>
      </c>
      <c r="R339" s="2" t="inlineStr"/>
    </row>
    <row r="340" ht="15" customHeight="1">
      <c r="A340" t="inlineStr">
        <is>
          <t>A 29809-2022</t>
        </is>
      </c>
      <c r="B340" s="1" t="n">
        <v>44755.8713425926</v>
      </c>
      <c r="C340" s="1" t="n">
        <v>45973</v>
      </c>
      <c r="D340" t="inlineStr">
        <is>
          <t>GOTLANDS LÄN</t>
        </is>
      </c>
      <c r="E340" t="inlineStr">
        <is>
          <t>GOTLAND</t>
        </is>
      </c>
      <c r="G340" t="n">
        <v>11.5</v>
      </c>
      <c r="H340" t="n">
        <v>0</v>
      </c>
      <c r="I340" t="n">
        <v>0</v>
      </c>
      <c r="J340" t="n">
        <v>0</v>
      </c>
      <c r="K340" t="n">
        <v>0</v>
      </c>
      <c r="L340" t="n">
        <v>0</v>
      </c>
      <c r="M340" t="n">
        <v>0</v>
      </c>
      <c r="N340" t="n">
        <v>0</v>
      </c>
      <c r="O340" t="n">
        <v>0</v>
      </c>
      <c r="P340" t="n">
        <v>0</v>
      </c>
      <c r="Q340" t="n">
        <v>0</v>
      </c>
      <c r="R340" s="2" t="inlineStr"/>
    </row>
    <row r="341" ht="15" customHeight="1">
      <c r="A341" t="inlineStr">
        <is>
          <t>A 57356-2023</t>
        </is>
      </c>
      <c r="B341" s="1" t="n">
        <v>45240</v>
      </c>
      <c r="C341" s="1" t="n">
        <v>45973</v>
      </c>
      <c r="D341" t="inlineStr">
        <is>
          <t>GOTLANDS LÄN</t>
        </is>
      </c>
      <c r="E341" t="inlineStr">
        <is>
          <t>GOTLAND</t>
        </is>
      </c>
      <c r="G341" t="n">
        <v>6.4</v>
      </c>
      <c r="H341" t="n">
        <v>0</v>
      </c>
      <c r="I341" t="n">
        <v>0</v>
      </c>
      <c r="J341" t="n">
        <v>0</v>
      </c>
      <c r="K341" t="n">
        <v>0</v>
      </c>
      <c r="L341" t="n">
        <v>0</v>
      </c>
      <c r="M341" t="n">
        <v>0</v>
      </c>
      <c r="N341" t="n">
        <v>0</v>
      </c>
      <c r="O341" t="n">
        <v>0</v>
      </c>
      <c r="P341" t="n">
        <v>0</v>
      </c>
      <c r="Q341" t="n">
        <v>0</v>
      </c>
      <c r="R341" s="2" t="inlineStr"/>
    </row>
    <row r="342" ht="15" customHeight="1">
      <c r="A342" t="inlineStr">
        <is>
          <t>A 10656-2024</t>
        </is>
      </c>
      <c r="B342" s="1" t="n">
        <v>45368</v>
      </c>
      <c r="C342" s="1" t="n">
        <v>45973</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43231-2023</t>
        </is>
      </c>
      <c r="B343" s="1" t="n">
        <v>45183.47025462963</v>
      </c>
      <c r="C343" s="1" t="n">
        <v>45973</v>
      </c>
      <c r="D343" t="inlineStr">
        <is>
          <t>GOTLANDS LÄN</t>
        </is>
      </c>
      <c r="E343" t="inlineStr">
        <is>
          <t>GOTLAND</t>
        </is>
      </c>
      <c r="G343" t="n">
        <v>3.6</v>
      </c>
      <c r="H343" t="n">
        <v>0</v>
      </c>
      <c r="I343" t="n">
        <v>0</v>
      </c>
      <c r="J343" t="n">
        <v>0</v>
      </c>
      <c r="K343" t="n">
        <v>0</v>
      </c>
      <c r="L343" t="n">
        <v>0</v>
      </c>
      <c r="M343" t="n">
        <v>0</v>
      </c>
      <c r="N343" t="n">
        <v>0</v>
      </c>
      <c r="O343" t="n">
        <v>0</v>
      </c>
      <c r="P343" t="n">
        <v>0</v>
      </c>
      <c r="Q343" t="n">
        <v>0</v>
      </c>
      <c r="R343" s="2" t="inlineStr"/>
    </row>
    <row r="344" ht="15" customHeight="1">
      <c r="A344" t="inlineStr">
        <is>
          <t>A 17532-2024</t>
        </is>
      </c>
      <c r="B344" s="1" t="n">
        <v>45415</v>
      </c>
      <c r="C344" s="1" t="n">
        <v>45973</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28506-2023</t>
        </is>
      </c>
      <c r="B345" s="1" t="n">
        <v>45103</v>
      </c>
      <c r="C345" s="1" t="n">
        <v>45973</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21420-2024</t>
        </is>
      </c>
      <c r="B346" s="1" t="n">
        <v>45441.38293981482</v>
      </c>
      <c r="C346" s="1" t="n">
        <v>45973</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23188-2025</t>
        </is>
      </c>
      <c r="B347" s="1" t="n">
        <v>45791</v>
      </c>
      <c r="C347" s="1" t="n">
        <v>45973</v>
      </c>
      <c r="D347" t="inlineStr">
        <is>
          <t>GOTLANDS LÄN</t>
        </is>
      </c>
      <c r="E347" t="inlineStr">
        <is>
          <t>GOTLAND</t>
        </is>
      </c>
      <c r="G347" t="n">
        <v>6.2</v>
      </c>
      <c r="H347" t="n">
        <v>0</v>
      </c>
      <c r="I347" t="n">
        <v>0</v>
      </c>
      <c r="J347" t="n">
        <v>0</v>
      </c>
      <c r="K347" t="n">
        <v>0</v>
      </c>
      <c r="L347" t="n">
        <v>0</v>
      </c>
      <c r="M347" t="n">
        <v>0</v>
      </c>
      <c r="N347" t="n">
        <v>0</v>
      </c>
      <c r="O347" t="n">
        <v>0</v>
      </c>
      <c r="P347" t="n">
        <v>0</v>
      </c>
      <c r="Q347" t="n">
        <v>0</v>
      </c>
      <c r="R347" s="2" t="inlineStr"/>
    </row>
    <row r="348" ht="15" customHeight="1">
      <c r="A348" t="inlineStr">
        <is>
          <t>A 3935-2025</t>
        </is>
      </c>
      <c r="B348" s="1" t="n">
        <v>45684.46070601852</v>
      </c>
      <c r="C348" s="1" t="n">
        <v>45973</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23473-2025</t>
        </is>
      </c>
      <c r="B349" s="1" t="n">
        <v>45792</v>
      </c>
      <c r="C349" s="1" t="n">
        <v>45973</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57685-2022</t>
        </is>
      </c>
      <c r="B350" s="1" t="n">
        <v>44897.4777662037</v>
      </c>
      <c r="C350" s="1" t="n">
        <v>45973</v>
      </c>
      <c r="D350" t="inlineStr">
        <is>
          <t>GOTLANDS LÄN</t>
        </is>
      </c>
      <c r="E350" t="inlineStr">
        <is>
          <t>GOTLAND</t>
        </is>
      </c>
      <c r="G350" t="n">
        <v>3.7</v>
      </c>
      <c r="H350" t="n">
        <v>0</v>
      </c>
      <c r="I350" t="n">
        <v>0</v>
      </c>
      <c r="J350" t="n">
        <v>0</v>
      </c>
      <c r="K350" t="n">
        <v>0</v>
      </c>
      <c r="L350" t="n">
        <v>0</v>
      </c>
      <c r="M350" t="n">
        <v>0</v>
      </c>
      <c r="N350" t="n">
        <v>0</v>
      </c>
      <c r="O350" t="n">
        <v>0</v>
      </c>
      <c r="P350" t="n">
        <v>0</v>
      </c>
      <c r="Q350" t="n">
        <v>0</v>
      </c>
      <c r="R350" s="2" t="inlineStr"/>
    </row>
    <row r="351" ht="15" customHeight="1">
      <c r="A351" t="inlineStr">
        <is>
          <t>A 18993-2025</t>
        </is>
      </c>
      <c r="B351" s="1" t="n">
        <v>45764</v>
      </c>
      <c r="C351" s="1" t="n">
        <v>45973</v>
      </c>
      <c r="D351" t="inlineStr">
        <is>
          <t>GOTLANDS LÄN</t>
        </is>
      </c>
      <c r="E351" t="inlineStr">
        <is>
          <t>GOTLAND</t>
        </is>
      </c>
      <c r="G351" t="n">
        <v>3</v>
      </c>
      <c r="H351" t="n">
        <v>0</v>
      </c>
      <c r="I351" t="n">
        <v>0</v>
      </c>
      <c r="J351" t="n">
        <v>0</v>
      </c>
      <c r="K351" t="n">
        <v>0</v>
      </c>
      <c r="L351" t="n">
        <v>0</v>
      </c>
      <c r="M351" t="n">
        <v>0</v>
      </c>
      <c r="N351" t="n">
        <v>0</v>
      </c>
      <c r="O351" t="n">
        <v>0</v>
      </c>
      <c r="P351" t="n">
        <v>0</v>
      </c>
      <c r="Q351" t="n">
        <v>0</v>
      </c>
      <c r="R351" s="2" t="inlineStr"/>
    </row>
    <row r="352" ht="15" customHeight="1">
      <c r="A352" t="inlineStr">
        <is>
          <t>A 23856-2025</t>
        </is>
      </c>
      <c r="B352" s="1" t="n">
        <v>45793</v>
      </c>
      <c r="C352" s="1" t="n">
        <v>45973</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30815-2023</t>
        </is>
      </c>
      <c r="B353" s="1" t="n">
        <v>45112</v>
      </c>
      <c r="C353" s="1" t="n">
        <v>45973</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15073-2025</t>
        </is>
      </c>
      <c r="B354" s="1" t="n">
        <v>45743</v>
      </c>
      <c r="C354" s="1" t="n">
        <v>45973</v>
      </c>
      <c r="D354" t="inlineStr">
        <is>
          <t>GOTLANDS LÄN</t>
        </is>
      </c>
      <c r="E354" t="inlineStr">
        <is>
          <t>GOTLAND</t>
        </is>
      </c>
      <c r="G354" t="n">
        <v>12.1</v>
      </c>
      <c r="H354" t="n">
        <v>0</v>
      </c>
      <c r="I354" t="n">
        <v>0</v>
      </c>
      <c r="J354" t="n">
        <v>0</v>
      </c>
      <c r="K354" t="n">
        <v>0</v>
      </c>
      <c r="L354" t="n">
        <v>0</v>
      </c>
      <c r="M354" t="n">
        <v>0</v>
      </c>
      <c r="N354" t="n">
        <v>0</v>
      </c>
      <c r="O354" t="n">
        <v>0</v>
      </c>
      <c r="P354" t="n">
        <v>0</v>
      </c>
      <c r="Q354" t="n">
        <v>0</v>
      </c>
      <c r="R354" s="2" t="inlineStr"/>
    </row>
    <row r="355" ht="15" customHeight="1">
      <c r="A355" t="inlineStr">
        <is>
          <t>A 30135-2025</t>
        </is>
      </c>
      <c r="B355" s="1" t="n">
        <v>45826</v>
      </c>
      <c r="C355" s="1" t="n">
        <v>45973</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20225-2025</t>
        </is>
      </c>
      <c r="B356" s="1" t="n">
        <v>45772.65802083333</v>
      </c>
      <c r="C356" s="1" t="n">
        <v>45973</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883-2025</t>
        </is>
      </c>
      <c r="B357" s="1" t="n">
        <v>45665</v>
      </c>
      <c r="C357" s="1" t="n">
        <v>45973</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12599-2025</t>
        </is>
      </c>
      <c r="B358" s="1" t="n">
        <v>45733.29546296296</v>
      </c>
      <c r="C358" s="1" t="n">
        <v>45973</v>
      </c>
      <c r="D358" t="inlineStr">
        <is>
          <t>GOTLANDS LÄN</t>
        </is>
      </c>
      <c r="E358" t="inlineStr">
        <is>
          <t>GOTLAND</t>
        </is>
      </c>
      <c r="G358" t="n">
        <v>4.7</v>
      </c>
      <c r="H358" t="n">
        <v>0</v>
      </c>
      <c r="I358" t="n">
        <v>0</v>
      </c>
      <c r="J358" t="n">
        <v>0</v>
      </c>
      <c r="K358" t="n">
        <v>0</v>
      </c>
      <c r="L358" t="n">
        <v>0</v>
      </c>
      <c r="M358" t="n">
        <v>0</v>
      </c>
      <c r="N358" t="n">
        <v>0</v>
      </c>
      <c r="O358" t="n">
        <v>0</v>
      </c>
      <c r="P358" t="n">
        <v>0</v>
      </c>
      <c r="Q358" t="n">
        <v>0</v>
      </c>
      <c r="R358" s="2" t="inlineStr"/>
    </row>
    <row r="359" ht="15" customHeight="1">
      <c r="A359" t="inlineStr">
        <is>
          <t>A 35141-2025</t>
        </is>
      </c>
      <c r="B359" s="1" t="n">
        <v>45852.65206018519</v>
      </c>
      <c r="C359" s="1" t="n">
        <v>45973</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35142-2025</t>
        </is>
      </c>
      <c r="B360" s="1" t="n">
        <v>45852.65532407408</v>
      </c>
      <c r="C360" s="1" t="n">
        <v>45973</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6749-2025</t>
        </is>
      </c>
      <c r="B361" s="1" t="n">
        <v>45700</v>
      </c>
      <c r="C361" s="1" t="n">
        <v>45973</v>
      </c>
      <c r="D361" t="inlineStr">
        <is>
          <t>GOTLANDS LÄN</t>
        </is>
      </c>
      <c r="E361" t="inlineStr">
        <is>
          <t>GOTLAND</t>
        </is>
      </c>
      <c r="G361" t="n">
        <v>4.5</v>
      </c>
      <c r="H361" t="n">
        <v>0</v>
      </c>
      <c r="I361" t="n">
        <v>0</v>
      </c>
      <c r="J361" t="n">
        <v>0</v>
      </c>
      <c r="K361" t="n">
        <v>0</v>
      </c>
      <c r="L361" t="n">
        <v>0</v>
      </c>
      <c r="M361" t="n">
        <v>0</v>
      </c>
      <c r="N361" t="n">
        <v>0</v>
      </c>
      <c r="O361" t="n">
        <v>0</v>
      </c>
      <c r="P361" t="n">
        <v>0</v>
      </c>
      <c r="Q361" t="n">
        <v>0</v>
      </c>
      <c r="R361" s="2" t="inlineStr"/>
    </row>
    <row r="362" ht="15" customHeight="1">
      <c r="A362" t="inlineStr">
        <is>
          <t>A 7034-2023</t>
        </is>
      </c>
      <c r="B362" s="1" t="n">
        <v>44968.32108796296</v>
      </c>
      <c r="C362" s="1" t="n">
        <v>45973</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7042-2023</t>
        </is>
      </c>
      <c r="B363" s="1" t="n">
        <v>44968</v>
      </c>
      <c r="C363" s="1" t="n">
        <v>45973</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23516-2023</t>
        </is>
      </c>
      <c r="B364" s="1" t="n">
        <v>45076.93391203704</v>
      </c>
      <c r="C364" s="1" t="n">
        <v>45973</v>
      </c>
      <c r="D364" t="inlineStr">
        <is>
          <t>GOTLANDS LÄN</t>
        </is>
      </c>
      <c r="E364" t="inlineStr">
        <is>
          <t>GOTLAND</t>
        </is>
      </c>
      <c r="G364" t="n">
        <v>1.4</v>
      </c>
      <c r="H364" t="n">
        <v>0</v>
      </c>
      <c r="I364" t="n">
        <v>0</v>
      </c>
      <c r="J364" t="n">
        <v>0</v>
      </c>
      <c r="K364" t="n">
        <v>0</v>
      </c>
      <c r="L364" t="n">
        <v>0</v>
      </c>
      <c r="M364" t="n">
        <v>0</v>
      </c>
      <c r="N364" t="n">
        <v>0</v>
      </c>
      <c r="O364" t="n">
        <v>0</v>
      </c>
      <c r="P364" t="n">
        <v>0</v>
      </c>
      <c r="Q364" t="n">
        <v>0</v>
      </c>
      <c r="R364" s="2" t="inlineStr"/>
    </row>
    <row r="365" ht="15" customHeight="1">
      <c r="A365" t="inlineStr">
        <is>
          <t>A 64660-2023</t>
        </is>
      </c>
      <c r="B365" s="1" t="n">
        <v>45281.60122685185</v>
      </c>
      <c r="C365" s="1" t="n">
        <v>45973</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23698-2025</t>
        </is>
      </c>
      <c r="B366" s="1" t="n">
        <v>45793</v>
      </c>
      <c r="C366" s="1" t="n">
        <v>45973</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63763-2023</t>
        </is>
      </c>
      <c r="B367" s="1" t="n">
        <v>45278.33944444444</v>
      </c>
      <c r="C367" s="1" t="n">
        <v>45973</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47637-2025</t>
        </is>
      </c>
      <c r="B368" s="1" t="n">
        <v>45931.49753472222</v>
      </c>
      <c r="C368" s="1" t="n">
        <v>45973</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1066-2024</t>
        </is>
      </c>
      <c r="B369" s="1" t="n">
        <v>45302.285</v>
      </c>
      <c r="C369" s="1" t="n">
        <v>45973</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47578-2025</t>
        </is>
      </c>
      <c r="B370" s="1" t="n">
        <v>45931</v>
      </c>
      <c r="C370" s="1" t="n">
        <v>45973</v>
      </c>
      <c r="D370" t="inlineStr">
        <is>
          <t>GOTLANDS LÄN</t>
        </is>
      </c>
      <c r="E370" t="inlineStr">
        <is>
          <t>GOTLAND</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17144-2025</t>
        </is>
      </c>
      <c r="B371" s="1" t="n">
        <v>45755.9499537037</v>
      </c>
      <c r="C371" s="1" t="n">
        <v>45973</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63229-2021</t>
        </is>
      </c>
      <c r="B372" s="1" t="n">
        <v>44508.34518518519</v>
      </c>
      <c r="C372" s="1" t="n">
        <v>45973</v>
      </c>
      <c r="D372" t="inlineStr">
        <is>
          <t>GOTLANDS LÄN</t>
        </is>
      </c>
      <c r="E372" t="inlineStr">
        <is>
          <t>GOTLAND</t>
        </is>
      </c>
      <c r="F372" t="inlineStr">
        <is>
          <t>Kyrkan</t>
        </is>
      </c>
      <c r="G372" t="n">
        <v>3.8</v>
      </c>
      <c r="H372" t="n">
        <v>0</v>
      </c>
      <c r="I372" t="n">
        <v>0</v>
      </c>
      <c r="J372" t="n">
        <v>0</v>
      </c>
      <c r="K372" t="n">
        <v>0</v>
      </c>
      <c r="L372" t="n">
        <v>0</v>
      </c>
      <c r="M372" t="n">
        <v>0</v>
      </c>
      <c r="N372" t="n">
        <v>0</v>
      </c>
      <c r="O372" t="n">
        <v>0</v>
      </c>
      <c r="P372" t="n">
        <v>0</v>
      </c>
      <c r="Q372" t="n">
        <v>0</v>
      </c>
      <c r="R372" s="2" t="inlineStr"/>
    </row>
    <row r="373" ht="15" customHeight="1">
      <c r="A373" t="inlineStr">
        <is>
          <t>A 46375-2024</t>
        </is>
      </c>
      <c r="B373" s="1" t="n">
        <v>45582</v>
      </c>
      <c r="C373" s="1" t="n">
        <v>45973</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39819-2025</t>
        </is>
      </c>
      <c r="B374" s="1" t="n">
        <v>45891.53418981482</v>
      </c>
      <c r="C374" s="1" t="n">
        <v>45973</v>
      </c>
      <c r="D374" t="inlineStr">
        <is>
          <t>GOTLANDS LÄN</t>
        </is>
      </c>
      <c r="E374" t="inlineStr">
        <is>
          <t>GOTLAND</t>
        </is>
      </c>
      <c r="G374" t="n">
        <v>3.1</v>
      </c>
      <c r="H374" t="n">
        <v>0</v>
      </c>
      <c r="I374" t="n">
        <v>0</v>
      </c>
      <c r="J374" t="n">
        <v>0</v>
      </c>
      <c r="K374" t="n">
        <v>0</v>
      </c>
      <c r="L374" t="n">
        <v>0</v>
      </c>
      <c r="M374" t="n">
        <v>0</v>
      </c>
      <c r="N374" t="n">
        <v>0</v>
      </c>
      <c r="O374" t="n">
        <v>0</v>
      </c>
      <c r="P374" t="n">
        <v>0</v>
      </c>
      <c r="Q374" t="n">
        <v>0</v>
      </c>
      <c r="R374" s="2" t="inlineStr"/>
    </row>
    <row r="375" ht="15" customHeight="1">
      <c r="A375" t="inlineStr">
        <is>
          <t>A 39814-2025</t>
        </is>
      </c>
      <c r="B375" s="1" t="n">
        <v>45891.52694444444</v>
      </c>
      <c r="C375" s="1" t="n">
        <v>45973</v>
      </c>
      <c r="D375" t="inlineStr">
        <is>
          <t>GOTLANDS LÄN</t>
        </is>
      </c>
      <c r="E375" t="inlineStr">
        <is>
          <t>GOTLAND</t>
        </is>
      </c>
      <c r="G375" t="n">
        <v>4.5</v>
      </c>
      <c r="H375" t="n">
        <v>0</v>
      </c>
      <c r="I375" t="n">
        <v>0</v>
      </c>
      <c r="J375" t="n">
        <v>0</v>
      </c>
      <c r="K375" t="n">
        <v>0</v>
      </c>
      <c r="L375" t="n">
        <v>0</v>
      </c>
      <c r="M375" t="n">
        <v>0</v>
      </c>
      <c r="N375" t="n">
        <v>0</v>
      </c>
      <c r="O375" t="n">
        <v>0</v>
      </c>
      <c r="P375" t="n">
        <v>0</v>
      </c>
      <c r="Q375" t="n">
        <v>0</v>
      </c>
      <c r="R375" s="2" t="inlineStr"/>
    </row>
    <row r="376" ht="15" customHeight="1">
      <c r="A376" t="inlineStr">
        <is>
          <t>A 56009-2024</t>
        </is>
      </c>
      <c r="B376" s="1" t="n">
        <v>45623.80864583333</v>
      </c>
      <c r="C376" s="1" t="n">
        <v>45973</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39849-2025</t>
        </is>
      </c>
      <c r="B377" s="1" t="n">
        <v>45891.58502314815</v>
      </c>
      <c r="C377" s="1" t="n">
        <v>45973</v>
      </c>
      <c r="D377" t="inlineStr">
        <is>
          <t>GOTLANDS LÄN</t>
        </is>
      </c>
      <c r="E377" t="inlineStr">
        <is>
          <t>GOTLAND</t>
        </is>
      </c>
      <c r="G377" t="n">
        <v>6.1</v>
      </c>
      <c r="H377" t="n">
        <v>0</v>
      </c>
      <c r="I377" t="n">
        <v>0</v>
      </c>
      <c r="J377" t="n">
        <v>0</v>
      </c>
      <c r="K377" t="n">
        <v>0</v>
      </c>
      <c r="L377" t="n">
        <v>0</v>
      </c>
      <c r="M377" t="n">
        <v>0</v>
      </c>
      <c r="N377" t="n">
        <v>0</v>
      </c>
      <c r="O377" t="n">
        <v>0</v>
      </c>
      <c r="P377" t="n">
        <v>0</v>
      </c>
      <c r="Q377" t="n">
        <v>0</v>
      </c>
      <c r="R377" s="2" t="inlineStr"/>
    </row>
    <row r="378" ht="15" customHeight="1">
      <c r="A378" t="inlineStr">
        <is>
          <t>A 42338-2023</t>
        </is>
      </c>
      <c r="B378" s="1" t="n">
        <v>45180</v>
      </c>
      <c r="C378" s="1" t="n">
        <v>45973</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39752-2025</t>
        </is>
      </c>
      <c r="B379" s="1" t="n">
        <v>45891</v>
      </c>
      <c r="C379" s="1" t="n">
        <v>45973</v>
      </c>
      <c r="D379" t="inlineStr">
        <is>
          <t>GOTLANDS LÄN</t>
        </is>
      </c>
      <c r="E379" t="inlineStr">
        <is>
          <t>GOTLAND</t>
        </is>
      </c>
      <c r="G379" t="n">
        <v>5.3</v>
      </c>
      <c r="H379" t="n">
        <v>0</v>
      </c>
      <c r="I379" t="n">
        <v>0</v>
      </c>
      <c r="J379" t="n">
        <v>0</v>
      </c>
      <c r="K379" t="n">
        <v>0</v>
      </c>
      <c r="L379" t="n">
        <v>0</v>
      </c>
      <c r="M379" t="n">
        <v>0</v>
      </c>
      <c r="N379" t="n">
        <v>0</v>
      </c>
      <c r="O379" t="n">
        <v>0</v>
      </c>
      <c r="P379" t="n">
        <v>0</v>
      </c>
      <c r="Q379" t="n">
        <v>0</v>
      </c>
      <c r="R379" s="2" t="inlineStr"/>
    </row>
    <row r="380" ht="15" customHeight="1">
      <c r="A380" t="inlineStr">
        <is>
          <t>A 1734-2025</t>
        </is>
      </c>
      <c r="B380" s="1" t="n">
        <v>45671.3840625</v>
      </c>
      <c r="C380" s="1" t="n">
        <v>45973</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38649-2025</t>
        </is>
      </c>
      <c r="B381" s="1" t="n">
        <v>45884</v>
      </c>
      <c r="C381" s="1" t="n">
        <v>45973</v>
      </c>
      <c r="D381" t="inlineStr">
        <is>
          <t>GOTLANDS LÄN</t>
        </is>
      </c>
      <c r="E381" t="inlineStr">
        <is>
          <t>GOTLAND</t>
        </is>
      </c>
      <c r="G381" t="n">
        <v>1.5</v>
      </c>
      <c r="H381" t="n">
        <v>0</v>
      </c>
      <c r="I381" t="n">
        <v>0</v>
      </c>
      <c r="J381" t="n">
        <v>0</v>
      </c>
      <c r="K381" t="n">
        <v>0</v>
      </c>
      <c r="L381" t="n">
        <v>0</v>
      </c>
      <c r="M381" t="n">
        <v>0</v>
      </c>
      <c r="N381" t="n">
        <v>0</v>
      </c>
      <c r="O381" t="n">
        <v>0</v>
      </c>
      <c r="P381" t="n">
        <v>0</v>
      </c>
      <c r="Q381" t="n">
        <v>0</v>
      </c>
      <c r="R381" s="2" t="inlineStr"/>
    </row>
    <row r="382" ht="15" customHeight="1">
      <c r="A382" t="inlineStr">
        <is>
          <t>A 39816-2025</t>
        </is>
      </c>
      <c r="B382" s="1" t="n">
        <v>45891</v>
      </c>
      <c r="C382" s="1" t="n">
        <v>45973</v>
      </c>
      <c r="D382" t="inlineStr">
        <is>
          <t>GOTLANDS LÄN</t>
        </is>
      </c>
      <c r="E382" t="inlineStr">
        <is>
          <t>GOTLAND</t>
        </is>
      </c>
      <c r="G382" t="n">
        <v>0.9</v>
      </c>
      <c r="H382" t="n">
        <v>0</v>
      </c>
      <c r="I382" t="n">
        <v>0</v>
      </c>
      <c r="J382" t="n">
        <v>0</v>
      </c>
      <c r="K382" t="n">
        <v>0</v>
      </c>
      <c r="L382" t="n">
        <v>0</v>
      </c>
      <c r="M382" t="n">
        <v>0</v>
      </c>
      <c r="N382" t="n">
        <v>0</v>
      </c>
      <c r="O382" t="n">
        <v>0</v>
      </c>
      <c r="P382" t="n">
        <v>0</v>
      </c>
      <c r="Q382" t="n">
        <v>0</v>
      </c>
      <c r="R382" s="2" t="inlineStr"/>
    </row>
    <row r="383" ht="15" customHeight="1">
      <c r="A383" t="inlineStr">
        <is>
          <t>A 40103-2025</t>
        </is>
      </c>
      <c r="B383" s="1" t="n">
        <v>45894.4880324074</v>
      </c>
      <c r="C383" s="1" t="n">
        <v>45973</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20993-2023</t>
        </is>
      </c>
      <c r="B384" s="1" t="n">
        <v>45056</v>
      </c>
      <c r="C384" s="1" t="n">
        <v>45973</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40373-2025</t>
        </is>
      </c>
      <c r="B385" s="1" t="n">
        <v>45895.51821759259</v>
      </c>
      <c r="C385" s="1" t="n">
        <v>45973</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40499-2025</t>
        </is>
      </c>
      <c r="B386" s="1" t="n">
        <v>45896.32517361111</v>
      </c>
      <c r="C386" s="1" t="n">
        <v>45973</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40372-2025</t>
        </is>
      </c>
      <c r="B387" s="1" t="n">
        <v>45895.5162037037</v>
      </c>
      <c r="C387" s="1" t="n">
        <v>45973</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12596-2023</t>
        </is>
      </c>
      <c r="B388" s="1" t="n">
        <v>45000.43310185185</v>
      </c>
      <c r="C388" s="1" t="n">
        <v>45973</v>
      </c>
      <c r="D388" t="inlineStr">
        <is>
          <t>GOTLANDS LÄN</t>
        </is>
      </c>
      <c r="E388" t="inlineStr">
        <is>
          <t>GOTLAND</t>
        </is>
      </c>
      <c r="G388" t="n">
        <v>4.1</v>
      </c>
      <c r="H388" t="n">
        <v>0</v>
      </c>
      <c r="I388" t="n">
        <v>0</v>
      </c>
      <c r="J388" t="n">
        <v>0</v>
      </c>
      <c r="K388" t="n">
        <v>0</v>
      </c>
      <c r="L388" t="n">
        <v>0</v>
      </c>
      <c r="M388" t="n">
        <v>0</v>
      </c>
      <c r="N388" t="n">
        <v>0</v>
      </c>
      <c r="O388" t="n">
        <v>0</v>
      </c>
      <c r="P388" t="n">
        <v>0</v>
      </c>
      <c r="Q388" t="n">
        <v>0</v>
      </c>
      <c r="R388" s="2" t="inlineStr"/>
    </row>
    <row r="389" ht="15" customHeight="1">
      <c r="A389" t="inlineStr">
        <is>
          <t>A 2125-2025</t>
        </is>
      </c>
      <c r="B389" s="1" t="n">
        <v>45672.64940972222</v>
      </c>
      <c r="C389" s="1" t="n">
        <v>45973</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12155-2023</t>
        </is>
      </c>
      <c r="B390" s="1" t="n">
        <v>44998.49106481481</v>
      </c>
      <c r="C390" s="1" t="n">
        <v>45973</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457-2023</t>
        </is>
      </c>
      <c r="B391" s="1" t="n">
        <v>44929.87238425926</v>
      </c>
      <c r="C391" s="1" t="n">
        <v>45973</v>
      </c>
      <c r="D391" t="inlineStr">
        <is>
          <t>GOTLANDS LÄN</t>
        </is>
      </c>
      <c r="E391" t="inlineStr">
        <is>
          <t>GOTLAND</t>
        </is>
      </c>
      <c r="G391" t="n">
        <v>2.4</v>
      </c>
      <c r="H391" t="n">
        <v>0</v>
      </c>
      <c r="I391" t="n">
        <v>0</v>
      </c>
      <c r="J391" t="n">
        <v>0</v>
      </c>
      <c r="K391" t="n">
        <v>0</v>
      </c>
      <c r="L391" t="n">
        <v>0</v>
      </c>
      <c r="M391" t="n">
        <v>0</v>
      </c>
      <c r="N391" t="n">
        <v>0</v>
      </c>
      <c r="O391" t="n">
        <v>0</v>
      </c>
      <c r="P391" t="n">
        <v>0</v>
      </c>
      <c r="Q391" t="n">
        <v>0</v>
      </c>
      <c r="R391" s="2" t="inlineStr"/>
    </row>
    <row r="392" ht="15" customHeight="1">
      <c r="A392" t="inlineStr">
        <is>
          <t>A 459-2023</t>
        </is>
      </c>
      <c r="B392" s="1" t="n">
        <v>44929.87423611111</v>
      </c>
      <c r="C392" s="1" t="n">
        <v>45973</v>
      </c>
      <c r="D392" t="inlineStr">
        <is>
          <t>GOTLANDS LÄN</t>
        </is>
      </c>
      <c r="E392" t="inlineStr">
        <is>
          <t>GOTLAND</t>
        </is>
      </c>
      <c r="G392" t="n">
        <v>4.2</v>
      </c>
      <c r="H392" t="n">
        <v>0</v>
      </c>
      <c r="I392" t="n">
        <v>0</v>
      </c>
      <c r="J392" t="n">
        <v>0</v>
      </c>
      <c r="K392" t="n">
        <v>0</v>
      </c>
      <c r="L392" t="n">
        <v>0</v>
      </c>
      <c r="M392" t="n">
        <v>0</v>
      </c>
      <c r="N392" t="n">
        <v>0</v>
      </c>
      <c r="O392" t="n">
        <v>0</v>
      </c>
      <c r="P392" t="n">
        <v>0</v>
      </c>
      <c r="Q392" t="n">
        <v>0</v>
      </c>
      <c r="R392" s="2" t="inlineStr"/>
    </row>
    <row r="393" ht="15" customHeight="1">
      <c r="A393" t="inlineStr">
        <is>
          <t>A 38234-2023</t>
        </is>
      </c>
      <c r="B393" s="1" t="n">
        <v>45161.56663194444</v>
      </c>
      <c r="C393" s="1" t="n">
        <v>45973</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581-2023</t>
        </is>
      </c>
      <c r="B394" s="1" t="n">
        <v>44930</v>
      </c>
      <c r="C394" s="1" t="n">
        <v>45973</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50744-2024</t>
        </is>
      </c>
      <c r="B395" s="1" t="n">
        <v>45602.4187037037</v>
      </c>
      <c r="C395" s="1" t="n">
        <v>45973</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61386-2023</t>
        </is>
      </c>
      <c r="B396" s="1" t="n">
        <v>45264</v>
      </c>
      <c r="C396" s="1" t="n">
        <v>45973</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873-2024</t>
        </is>
      </c>
      <c r="B397" s="1" t="n">
        <v>45301</v>
      </c>
      <c r="C397" s="1" t="n">
        <v>45973</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49411-2023</t>
        </is>
      </c>
      <c r="B398" s="1" t="n">
        <v>45205</v>
      </c>
      <c r="C398" s="1" t="n">
        <v>45973</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45973</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22275-2023</t>
        </is>
      </c>
      <c r="B400" s="1" t="n">
        <v>45070.39875</v>
      </c>
      <c r="C400" s="1" t="n">
        <v>45973</v>
      </c>
      <c r="D400" t="inlineStr">
        <is>
          <t>GOTLANDS LÄN</t>
        </is>
      </c>
      <c r="E400" t="inlineStr">
        <is>
          <t>GOTLAND</t>
        </is>
      </c>
      <c r="G400" t="n">
        <v>7.2</v>
      </c>
      <c r="H400" t="n">
        <v>0</v>
      </c>
      <c r="I400" t="n">
        <v>0</v>
      </c>
      <c r="J400" t="n">
        <v>0</v>
      </c>
      <c r="K400" t="n">
        <v>0</v>
      </c>
      <c r="L400" t="n">
        <v>0</v>
      </c>
      <c r="M400" t="n">
        <v>0</v>
      </c>
      <c r="N400" t="n">
        <v>0</v>
      </c>
      <c r="O400" t="n">
        <v>0</v>
      </c>
      <c r="P400" t="n">
        <v>0</v>
      </c>
      <c r="Q400" t="n">
        <v>0</v>
      </c>
      <c r="R400" s="2" t="inlineStr"/>
    </row>
    <row r="401" ht="15" customHeight="1">
      <c r="A401" t="inlineStr">
        <is>
          <t>A 12322-2025</t>
        </is>
      </c>
      <c r="B401" s="1" t="n">
        <v>45730</v>
      </c>
      <c r="C401" s="1" t="n">
        <v>45973</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39278-2025</t>
        </is>
      </c>
      <c r="B402" s="1" t="n">
        <v>45889</v>
      </c>
      <c r="C402" s="1" t="n">
        <v>45973</v>
      </c>
      <c r="D402" t="inlineStr">
        <is>
          <t>GOTLANDS LÄN</t>
        </is>
      </c>
      <c r="E402" t="inlineStr">
        <is>
          <t>GOTLAND</t>
        </is>
      </c>
      <c r="G402" t="n">
        <v>3.7</v>
      </c>
      <c r="H402" t="n">
        <v>0</v>
      </c>
      <c r="I402" t="n">
        <v>0</v>
      </c>
      <c r="J402" t="n">
        <v>0</v>
      </c>
      <c r="K402" t="n">
        <v>0</v>
      </c>
      <c r="L402" t="n">
        <v>0</v>
      </c>
      <c r="M402" t="n">
        <v>0</v>
      </c>
      <c r="N402" t="n">
        <v>0</v>
      </c>
      <c r="O402" t="n">
        <v>0</v>
      </c>
      <c r="P402" t="n">
        <v>0</v>
      </c>
      <c r="Q402" t="n">
        <v>0</v>
      </c>
      <c r="R402" s="2" t="inlineStr"/>
    </row>
    <row r="403" ht="15" customHeight="1">
      <c r="A403" t="inlineStr">
        <is>
          <t>A 14797-2024</t>
        </is>
      </c>
      <c r="B403" s="1" t="n">
        <v>45397.87030092593</v>
      </c>
      <c r="C403" s="1" t="n">
        <v>45973</v>
      </c>
      <c r="D403" t="inlineStr">
        <is>
          <t>GOTLANDS LÄN</t>
        </is>
      </c>
      <c r="E403" t="inlineStr">
        <is>
          <t>GOTLAND</t>
        </is>
      </c>
      <c r="G403" t="n">
        <v>8.1</v>
      </c>
      <c r="H403" t="n">
        <v>0</v>
      </c>
      <c r="I403" t="n">
        <v>0</v>
      </c>
      <c r="J403" t="n">
        <v>0</v>
      </c>
      <c r="K403" t="n">
        <v>0</v>
      </c>
      <c r="L403" t="n">
        <v>0</v>
      </c>
      <c r="M403" t="n">
        <v>0</v>
      </c>
      <c r="N403" t="n">
        <v>0</v>
      </c>
      <c r="O403" t="n">
        <v>0</v>
      </c>
      <c r="P403" t="n">
        <v>0</v>
      </c>
      <c r="Q403" t="n">
        <v>0</v>
      </c>
      <c r="R403" s="2" t="inlineStr"/>
    </row>
    <row r="404" ht="15" customHeight="1">
      <c r="A404" t="inlineStr">
        <is>
          <t>A 999-2024</t>
        </is>
      </c>
      <c r="B404" s="1" t="n">
        <v>45301</v>
      </c>
      <c r="C404" s="1" t="n">
        <v>45973</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61596-2023</t>
        </is>
      </c>
      <c r="B405" s="1" t="n">
        <v>45265</v>
      </c>
      <c r="C405" s="1" t="n">
        <v>45973</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14638-2025</t>
        </is>
      </c>
      <c r="B406" s="1" t="n">
        <v>45742</v>
      </c>
      <c r="C406" s="1" t="n">
        <v>45973</v>
      </c>
      <c r="D406" t="inlineStr">
        <is>
          <t>GOTLANDS LÄN</t>
        </is>
      </c>
      <c r="E406" t="inlineStr">
        <is>
          <t>GOTLAND</t>
        </is>
      </c>
      <c r="G406" t="n">
        <v>13.4</v>
      </c>
      <c r="H406" t="n">
        <v>0</v>
      </c>
      <c r="I406" t="n">
        <v>0</v>
      </c>
      <c r="J406" t="n">
        <v>0</v>
      </c>
      <c r="K406" t="n">
        <v>0</v>
      </c>
      <c r="L406" t="n">
        <v>0</v>
      </c>
      <c r="M406" t="n">
        <v>0</v>
      </c>
      <c r="N406" t="n">
        <v>0</v>
      </c>
      <c r="O406" t="n">
        <v>0</v>
      </c>
      <c r="P406" t="n">
        <v>0</v>
      </c>
      <c r="Q406" t="n">
        <v>0</v>
      </c>
      <c r="R406" s="2" t="inlineStr"/>
    </row>
    <row r="407" ht="15" customHeight="1">
      <c r="A407" t="inlineStr">
        <is>
          <t>A 49690-2025</t>
        </is>
      </c>
      <c r="B407" s="1" t="n">
        <v>45939.66730324074</v>
      </c>
      <c r="C407" s="1" t="n">
        <v>45973</v>
      </c>
      <c r="D407" t="inlineStr">
        <is>
          <t>GOTLANDS LÄN</t>
        </is>
      </c>
      <c r="E407" t="inlineStr">
        <is>
          <t>GOTLAND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60675-2021</t>
        </is>
      </c>
      <c r="B408" s="1" t="n">
        <v>44496.64855324074</v>
      </c>
      <c r="C408" s="1" t="n">
        <v>45973</v>
      </c>
      <c r="D408" t="inlineStr">
        <is>
          <t>GOTLANDS LÄN</t>
        </is>
      </c>
      <c r="E408" t="inlineStr">
        <is>
          <t>GOTLAND</t>
        </is>
      </c>
      <c r="G408" t="n">
        <v>4.6</v>
      </c>
      <c r="H408" t="n">
        <v>0</v>
      </c>
      <c r="I408" t="n">
        <v>0</v>
      </c>
      <c r="J408" t="n">
        <v>0</v>
      </c>
      <c r="K408" t="n">
        <v>0</v>
      </c>
      <c r="L408" t="n">
        <v>0</v>
      </c>
      <c r="M408" t="n">
        <v>0</v>
      </c>
      <c r="N408" t="n">
        <v>0</v>
      </c>
      <c r="O408" t="n">
        <v>0</v>
      </c>
      <c r="P408" t="n">
        <v>0</v>
      </c>
      <c r="Q408" t="n">
        <v>0</v>
      </c>
      <c r="R408" s="2" t="inlineStr"/>
    </row>
    <row r="409" ht="15" customHeight="1">
      <c r="A409" t="inlineStr">
        <is>
          <t>A 37728-2024</t>
        </is>
      </c>
      <c r="B409" s="1" t="n">
        <v>45541</v>
      </c>
      <c r="C409" s="1" t="n">
        <v>45973</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49724-2025</t>
        </is>
      </c>
      <c r="B410" s="1" t="n">
        <v>45939.83730324074</v>
      </c>
      <c r="C410" s="1" t="n">
        <v>45973</v>
      </c>
      <c r="D410" t="inlineStr">
        <is>
          <t>GOTLANDS LÄN</t>
        </is>
      </c>
      <c r="E410" t="inlineStr">
        <is>
          <t>GOTLAND</t>
        </is>
      </c>
      <c r="F410" t="inlineStr">
        <is>
          <t>Kyrkan</t>
        </is>
      </c>
      <c r="G410" t="n">
        <v>3.1</v>
      </c>
      <c r="H410" t="n">
        <v>0</v>
      </c>
      <c r="I410" t="n">
        <v>0</v>
      </c>
      <c r="J410" t="n">
        <v>0</v>
      </c>
      <c r="K410" t="n">
        <v>0</v>
      </c>
      <c r="L410" t="n">
        <v>0</v>
      </c>
      <c r="M410" t="n">
        <v>0</v>
      </c>
      <c r="N410" t="n">
        <v>0</v>
      </c>
      <c r="O410" t="n">
        <v>0</v>
      </c>
      <c r="P410" t="n">
        <v>0</v>
      </c>
      <c r="Q410" t="n">
        <v>0</v>
      </c>
      <c r="R410" s="2" t="inlineStr"/>
    </row>
    <row r="411" ht="15" customHeight="1">
      <c r="A411" t="inlineStr">
        <is>
          <t>A 49730-2025</t>
        </is>
      </c>
      <c r="B411" s="1" t="n">
        <v>45939.87613425926</v>
      </c>
      <c r="C411" s="1" t="n">
        <v>45973</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1446-2025</t>
        </is>
      </c>
      <c r="B412" s="1" t="n">
        <v>45669.86035879629</v>
      </c>
      <c r="C412" s="1" t="n">
        <v>45973</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22287-2022</t>
        </is>
      </c>
      <c r="B413" s="1" t="n">
        <v>44712</v>
      </c>
      <c r="C413" s="1" t="n">
        <v>45973</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31264-2021</t>
        </is>
      </c>
      <c r="B414" s="1" t="n">
        <v>44368</v>
      </c>
      <c r="C414" s="1" t="n">
        <v>45973</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54074-2022</t>
        </is>
      </c>
      <c r="B415" s="1" t="n">
        <v>44881</v>
      </c>
      <c r="C415" s="1" t="n">
        <v>45973</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43901-2023</t>
        </is>
      </c>
      <c r="B416" s="1" t="n">
        <v>45187</v>
      </c>
      <c r="C416" s="1" t="n">
        <v>45973</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10746-2025</t>
        </is>
      </c>
      <c r="B417" s="1" t="n">
        <v>45722.42766203704</v>
      </c>
      <c r="C417" s="1" t="n">
        <v>45973</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16501-2023</t>
        </is>
      </c>
      <c r="B418" s="1" t="n">
        <v>45029</v>
      </c>
      <c r="C418" s="1" t="n">
        <v>45973</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50421-2025</t>
        </is>
      </c>
      <c r="B419" s="1" t="n">
        <v>45944.66049768519</v>
      </c>
      <c r="C419" s="1" t="n">
        <v>45973</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65249-2023</t>
        </is>
      </c>
      <c r="B420" s="1" t="n">
        <v>45290</v>
      </c>
      <c r="C420" s="1" t="n">
        <v>45973</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41435-2025</t>
        </is>
      </c>
      <c r="B421" s="1" t="n">
        <v>45901.39974537037</v>
      </c>
      <c r="C421" s="1" t="n">
        <v>45973</v>
      </c>
      <c r="D421" t="inlineStr">
        <is>
          <t>GOTLANDS LÄN</t>
        </is>
      </c>
      <c r="E421" t="inlineStr">
        <is>
          <t>GOTLAND</t>
        </is>
      </c>
      <c r="G421" t="n">
        <v>4.9</v>
      </c>
      <c r="H421" t="n">
        <v>0</v>
      </c>
      <c r="I421" t="n">
        <v>0</v>
      </c>
      <c r="J421" t="n">
        <v>0</v>
      </c>
      <c r="K421" t="n">
        <v>0</v>
      </c>
      <c r="L421" t="n">
        <v>0</v>
      </c>
      <c r="M421" t="n">
        <v>0</v>
      </c>
      <c r="N421" t="n">
        <v>0</v>
      </c>
      <c r="O421" t="n">
        <v>0</v>
      </c>
      <c r="P421" t="n">
        <v>0</v>
      </c>
      <c r="Q421" t="n">
        <v>0</v>
      </c>
      <c r="R421" s="2" t="inlineStr"/>
    </row>
    <row r="422" ht="15" customHeight="1">
      <c r="A422" t="inlineStr">
        <is>
          <t>A 33011-2025</t>
        </is>
      </c>
      <c r="B422" s="1" t="n">
        <v>45840</v>
      </c>
      <c r="C422" s="1" t="n">
        <v>45973</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45973</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50431-2025</t>
        </is>
      </c>
      <c r="B424" s="1" t="n">
        <v>45944.68453703704</v>
      </c>
      <c r="C424" s="1" t="n">
        <v>45973</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61962-2024</t>
        </is>
      </c>
      <c r="B425" s="1" t="n">
        <v>45653.54340277778</v>
      </c>
      <c r="C425" s="1" t="n">
        <v>45973</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41551-2025</t>
        </is>
      </c>
      <c r="B426" s="1" t="n">
        <v>45901.58854166666</v>
      </c>
      <c r="C426" s="1" t="n">
        <v>45973</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10492-2023</t>
        </is>
      </c>
      <c r="B427" s="1" t="n">
        <v>44987</v>
      </c>
      <c r="C427" s="1" t="n">
        <v>45973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13910-2025</t>
        </is>
      </c>
      <c r="B428" s="1" t="n">
        <v>45737</v>
      </c>
      <c r="C428" s="1" t="n">
        <v>45973</v>
      </c>
      <c r="D428" t="inlineStr">
        <is>
          <t>GOTLANDS LÄN</t>
        </is>
      </c>
      <c r="E428" t="inlineStr">
        <is>
          <t>GOTLAND</t>
        </is>
      </c>
      <c r="F428" t="inlineStr">
        <is>
          <t>Kommuner</t>
        </is>
      </c>
      <c r="G428" t="n">
        <v>3.2</v>
      </c>
      <c r="H428" t="n">
        <v>0</v>
      </c>
      <c r="I428" t="n">
        <v>0</v>
      </c>
      <c r="J428" t="n">
        <v>0</v>
      </c>
      <c r="K428" t="n">
        <v>0</v>
      </c>
      <c r="L428" t="n">
        <v>0</v>
      </c>
      <c r="M428" t="n">
        <v>0</v>
      </c>
      <c r="N428" t="n">
        <v>0</v>
      </c>
      <c r="O428" t="n">
        <v>0</v>
      </c>
      <c r="P428" t="n">
        <v>0</v>
      </c>
      <c r="Q428" t="n">
        <v>0</v>
      </c>
      <c r="R428" s="2" t="inlineStr"/>
    </row>
    <row r="429" ht="15" customHeight="1">
      <c r="A429" t="inlineStr">
        <is>
          <t>A 5909-2025</t>
        </is>
      </c>
      <c r="B429" s="1" t="n">
        <v>45695.40634259259</v>
      </c>
      <c r="C429" s="1" t="n">
        <v>45973</v>
      </c>
      <c r="D429" t="inlineStr">
        <is>
          <t>GOTLANDS LÄN</t>
        </is>
      </c>
      <c r="E429" t="inlineStr">
        <is>
          <t>GOTLAND</t>
        </is>
      </c>
      <c r="G429" t="n">
        <v>2.9</v>
      </c>
      <c r="H429" t="n">
        <v>0</v>
      </c>
      <c r="I429" t="n">
        <v>0</v>
      </c>
      <c r="J429" t="n">
        <v>0</v>
      </c>
      <c r="K429" t="n">
        <v>0</v>
      </c>
      <c r="L429" t="n">
        <v>0</v>
      </c>
      <c r="M429" t="n">
        <v>0</v>
      </c>
      <c r="N429" t="n">
        <v>0</v>
      </c>
      <c r="O429" t="n">
        <v>0</v>
      </c>
      <c r="P429" t="n">
        <v>0</v>
      </c>
      <c r="Q429" t="n">
        <v>0</v>
      </c>
      <c r="R429" s="2" t="inlineStr"/>
    </row>
    <row r="430" ht="15" customHeight="1">
      <c r="A430" t="inlineStr">
        <is>
          <t>A 50928-2025</t>
        </is>
      </c>
      <c r="B430" s="1" t="n">
        <v>45946.67896990741</v>
      </c>
      <c r="C430" s="1" t="n">
        <v>45973</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10653-2023</t>
        </is>
      </c>
      <c r="B431" s="1" t="n">
        <v>44988.48859953704</v>
      </c>
      <c r="C431" s="1" t="n">
        <v>45973</v>
      </c>
      <c r="D431" t="inlineStr">
        <is>
          <t>GOTLANDS LÄN</t>
        </is>
      </c>
      <c r="E431" t="inlineStr">
        <is>
          <t>GOTLAND</t>
        </is>
      </c>
      <c r="F431" t="inlineStr">
        <is>
          <t>Kyrkan</t>
        </is>
      </c>
      <c r="G431" t="n">
        <v>3</v>
      </c>
      <c r="H431" t="n">
        <v>0</v>
      </c>
      <c r="I431" t="n">
        <v>0</v>
      </c>
      <c r="J431" t="n">
        <v>0</v>
      </c>
      <c r="K431" t="n">
        <v>0</v>
      </c>
      <c r="L431" t="n">
        <v>0</v>
      </c>
      <c r="M431" t="n">
        <v>0</v>
      </c>
      <c r="N431" t="n">
        <v>0</v>
      </c>
      <c r="O431" t="n">
        <v>0</v>
      </c>
      <c r="P431" t="n">
        <v>0</v>
      </c>
      <c r="Q431" t="n">
        <v>0</v>
      </c>
      <c r="R431" s="2" t="inlineStr"/>
    </row>
    <row r="432" ht="15" customHeight="1">
      <c r="A432" t="inlineStr">
        <is>
          <t>A 17780-2022</t>
        </is>
      </c>
      <c r="B432" s="1" t="n">
        <v>44682.82622685185</v>
      </c>
      <c r="C432" s="1" t="n">
        <v>45973</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4990-2025</t>
        </is>
      </c>
      <c r="B433" s="1" t="n">
        <v>45691</v>
      </c>
      <c r="C433" s="1" t="n">
        <v>45973</v>
      </c>
      <c r="D433" t="inlineStr">
        <is>
          <t>GOTLANDS LÄN</t>
        </is>
      </c>
      <c r="E433" t="inlineStr">
        <is>
          <t>GOTLAND</t>
        </is>
      </c>
      <c r="G433" t="n">
        <v>7.7</v>
      </c>
      <c r="H433" t="n">
        <v>0</v>
      </c>
      <c r="I433" t="n">
        <v>0</v>
      </c>
      <c r="J433" t="n">
        <v>0</v>
      </c>
      <c r="K433" t="n">
        <v>0</v>
      </c>
      <c r="L433" t="n">
        <v>0</v>
      </c>
      <c r="M433" t="n">
        <v>0</v>
      </c>
      <c r="N433" t="n">
        <v>0</v>
      </c>
      <c r="O433" t="n">
        <v>0</v>
      </c>
      <c r="P433" t="n">
        <v>0</v>
      </c>
      <c r="Q433" t="n">
        <v>0</v>
      </c>
      <c r="R433" s="2" t="inlineStr"/>
    </row>
    <row r="434" ht="15" customHeight="1">
      <c r="A434" t="inlineStr">
        <is>
          <t>A 59986-2022</t>
        </is>
      </c>
      <c r="B434" s="1" t="n">
        <v>44909</v>
      </c>
      <c r="C434" s="1" t="n">
        <v>45973</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44279.66168981481</v>
      </c>
      <c r="C435" s="1" t="n">
        <v>45973</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5462-2025</t>
        </is>
      </c>
      <c r="B436" s="1" t="n">
        <v>45693.29331018519</v>
      </c>
      <c r="C436" s="1" t="n">
        <v>45973</v>
      </c>
      <c r="D436" t="inlineStr">
        <is>
          <t>GOTLANDS LÄN</t>
        </is>
      </c>
      <c r="E436" t="inlineStr">
        <is>
          <t>GOTLAND</t>
        </is>
      </c>
      <c r="G436" t="n">
        <v>2.6</v>
      </c>
      <c r="H436" t="n">
        <v>0</v>
      </c>
      <c r="I436" t="n">
        <v>0</v>
      </c>
      <c r="J436" t="n">
        <v>0</v>
      </c>
      <c r="K436" t="n">
        <v>0</v>
      </c>
      <c r="L436" t="n">
        <v>0</v>
      </c>
      <c r="M436" t="n">
        <v>0</v>
      </c>
      <c r="N436" t="n">
        <v>0</v>
      </c>
      <c r="O436" t="n">
        <v>0</v>
      </c>
      <c r="P436" t="n">
        <v>0</v>
      </c>
      <c r="Q436" t="n">
        <v>0</v>
      </c>
      <c r="R436" s="2" t="inlineStr"/>
    </row>
    <row r="437" ht="15" customHeight="1">
      <c r="A437" t="inlineStr">
        <is>
          <t>A 43081-2022</t>
        </is>
      </c>
      <c r="B437" s="1" t="n">
        <v>44833</v>
      </c>
      <c r="C437" s="1" t="n">
        <v>45973</v>
      </c>
      <c r="D437" t="inlineStr">
        <is>
          <t>GOTLANDS LÄN</t>
        </is>
      </c>
      <c r="E437" t="inlineStr">
        <is>
          <t>GOTLAND</t>
        </is>
      </c>
      <c r="G437" t="n">
        <v>6.8</v>
      </c>
      <c r="H437" t="n">
        <v>0</v>
      </c>
      <c r="I437" t="n">
        <v>0</v>
      </c>
      <c r="J437" t="n">
        <v>0</v>
      </c>
      <c r="K437" t="n">
        <v>0</v>
      </c>
      <c r="L437" t="n">
        <v>0</v>
      </c>
      <c r="M437" t="n">
        <v>0</v>
      </c>
      <c r="N437" t="n">
        <v>0</v>
      </c>
      <c r="O437" t="n">
        <v>0</v>
      </c>
      <c r="P437" t="n">
        <v>0</v>
      </c>
      <c r="Q437" t="n">
        <v>0</v>
      </c>
      <c r="R437" s="2" t="inlineStr"/>
    </row>
    <row r="438" ht="15" customHeight="1">
      <c r="A438" t="inlineStr">
        <is>
          <t>A 51262-2025</t>
        </is>
      </c>
      <c r="B438" s="1" t="n">
        <v>45949.49872685185</v>
      </c>
      <c r="C438" s="1" t="n">
        <v>45973</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45973</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5884-2025</t>
        </is>
      </c>
      <c r="B440" s="1" t="n">
        <v>45695.37482638889</v>
      </c>
      <c r="C440" s="1" t="n">
        <v>45973</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5897-2025</t>
        </is>
      </c>
      <c r="B441" s="1" t="n">
        <v>45695.39273148148</v>
      </c>
      <c r="C441" s="1" t="n">
        <v>45973</v>
      </c>
      <c r="D441" t="inlineStr">
        <is>
          <t>GOTLANDS LÄN</t>
        </is>
      </c>
      <c r="E441" t="inlineStr">
        <is>
          <t>GOTLAND</t>
        </is>
      </c>
      <c r="G441" t="n">
        <v>3.7</v>
      </c>
      <c r="H441" t="n">
        <v>0</v>
      </c>
      <c r="I441" t="n">
        <v>0</v>
      </c>
      <c r="J441" t="n">
        <v>0</v>
      </c>
      <c r="K441" t="n">
        <v>0</v>
      </c>
      <c r="L441" t="n">
        <v>0</v>
      </c>
      <c r="M441" t="n">
        <v>0</v>
      </c>
      <c r="N441" t="n">
        <v>0</v>
      </c>
      <c r="O441" t="n">
        <v>0</v>
      </c>
      <c r="P441" t="n">
        <v>0</v>
      </c>
      <c r="Q441" t="n">
        <v>0</v>
      </c>
      <c r="R441" s="2" t="inlineStr"/>
    </row>
    <row r="442" ht="15" customHeight="1">
      <c r="A442" t="inlineStr">
        <is>
          <t>A 11874-2024</t>
        </is>
      </c>
      <c r="B442" s="1" t="n">
        <v>45376.46956018519</v>
      </c>
      <c r="C442" s="1" t="n">
        <v>45973</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49693-2023</t>
        </is>
      </c>
      <c r="B443" s="1" t="n">
        <v>45212.38138888889</v>
      </c>
      <c r="C443" s="1" t="n">
        <v>45973</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49697-2023</t>
        </is>
      </c>
      <c r="B444" s="1" t="n">
        <v>45212.38909722222</v>
      </c>
      <c r="C444" s="1" t="n">
        <v>45973</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42041-2024</t>
        </is>
      </c>
      <c r="B445" s="1" t="n">
        <v>45561</v>
      </c>
      <c r="C445" s="1" t="n">
        <v>45973</v>
      </c>
      <c r="D445" t="inlineStr">
        <is>
          <t>GOTLANDS LÄN</t>
        </is>
      </c>
      <c r="E445" t="inlineStr">
        <is>
          <t>GOTLAND</t>
        </is>
      </c>
      <c r="G445" t="n">
        <v>3.2</v>
      </c>
      <c r="H445" t="n">
        <v>0</v>
      </c>
      <c r="I445" t="n">
        <v>0</v>
      </c>
      <c r="J445" t="n">
        <v>0</v>
      </c>
      <c r="K445" t="n">
        <v>0</v>
      </c>
      <c r="L445" t="n">
        <v>0</v>
      </c>
      <c r="M445" t="n">
        <v>0</v>
      </c>
      <c r="N445" t="n">
        <v>0</v>
      </c>
      <c r="O445" t="n">
        <v>0</v>
      </c>
      <c r="P445" t="n">
        <v>0</v>
      </c>
      <c r="Q445" t="n">
        <v>0</v>
      </c>
      <c r="R445" s="2" t="inlineStr"/>
    </row>
    <row r="446" ht="15" customHeight="1">
      <c r="A446" t="inlineStr">
        <is>
          <t>A 42608-2025</t>
        </is>
      </c>
      <c r="B446" s="1" t="n">
        <v>45905</v>
      </c>
      <c r="C446" s="1" t="n">
        <v>45973</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61694-2023</t>
        </is>
      </c>
      <c r="B447" s="1" t="n">
        <v>45264</v>
      </c>
      <c r="C447" s="1" t="n">
        <v>45973</v>
      </c>
      <c r="D447" t="inlineStr">
        <is>
          <t>GOTLANDS LÄN</t>
        </is>
      </c>
      <c r="E447" t="inlineStr">
        <is>
          <t>GOTLAND</t>
        </is>
      </c>
      <c r="G447" t="n">
        <v>4.6</v>
      </c>
      <c r="H447" t="n">
        <v>0</v>
      </c>
      <c r="I447" t="n">
        <v>0</v>
      </c>
      <c r="J447" t="n">
        <v>0</v>
      </c>
      <c r="K447" t="n">
        <v>0</v>
      </c>
      <c r="L447" t="n">
        <v>0</v>
      </c>
      <c r="M447" t="n">
        <v>0</v>
      </c>
      <c r="N447" t="n">
        <v>0</v>
      </c>
      <c r="O447" t="n">
        <v>0</v>
      </c>
      <c r="P447" t="n">
        <v>0</v>
      </c>
      <c r="Q447" t="n">
        <v>0</v>
      </c>
      <c r="R447" s="2" t="inlineStr"/>
    </row>
    <row r="448" ht="15" customHeight="1">
      <c r="A448" t="inlineStr">
        <is>
          <t>A 17901-2023</t>
        </is>
      </c>
      <c r="B448" s="1" t="n">
        <v>45039</v>
      </c>
      <c r="C448" s="1" t="n">
        <v>45973</v>
      </c>
      <c r="D448" t="inlineStr">
        <is>
          <t>GOTLANDS LÄN</t>
        </is>
      </c>
      <c r="E448" t="inlineStr">
        <is>
          <t>GOTLAND</t>
        </is>
      </c>
      <c r="F448" t="inlineStr">
        <is>
          <t>Kyrkan</t>
        </is>
      </c>
      <c r="G448" t="n">
        <v>0.6</v>
      </c>
      <c r="H448" t="n">
        <v>0</v>
      </c>
      <c r="I448" t="n">
        <v>0</v>
      </c>
      <c r="J448" t="n">
        <v>0</v>
      </c>
      <c r="K448" t="n">
        <v>0</v>
      </c>
      <c r="L448" t="n">
        <v>0</v>
      </c>
      <c r="M448" t="n">
        <v>0</v>
      </c>
      <c r="N448" t="n">
        <v>0</v>
      </c>
      <c r="O448" t="n">
        <v>0</v>
      </c>
      <c r="P448" t="n">
        <v>0</v>
      </c>
      <c r="Q448" t="n">
        <v>0</v>
      </c>
      <c r="R448" s="2" t="inlineStr"/>
    </row>
    <row r="449" ht="15" customHeight="1">
      <c r="A449" t="inlineStr">
        <is>
          <t>A 25796-2025</t>
        </is>
      </c>
      <c r="B449" s="1" t="n">
        <v>45804.39543981481</v>
      </c>
      <c r="C449" s="1" t="n">
        <v>45973</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44467.49048611111</v>
      </c>
      <c r="C450" s="1" t="n">
        <v>45973</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64555-2023</t>
        </is>
      </c>
      <c r="B451" s="1" t="n">
        <v>45281</v>
      </c>
      <c r="C451" s="1" t="n">
        <v>45973</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64831-2023</t>
        </is>
      </c>
      <c r="B452" s="1" t="n">
        <v>45282.44924768519</v>
      </c>
      <c r="C452" s="1" t="n">
        <v>45973</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14804-2021</t>
        </is>
      </c>
      <c r="B453" s="1" t="n">
        <v>44280</v>
      </c>
      <c r="C453" s="1" t="n">
        <v>45973</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999-2023</t>
        </is>
      </c>
      <c r="B454" s="1" t="n">
        <v>44935</v>
      </c>
      <c r="C454" s="1" t="n">
        <v>45973</v>
      </c>
      <c r="D454" t="inlineStr">
        <is>
          <t>GOTLANDS LÄN</t>
        </is>
      </c>
      <c r="E454" t="inlineStr">
        <is>
          <t>GOTLAND</t>
        </is>
      </c>
      <c r="G454" t="n">
        <v>4.7</v>
      </c>
      <c r="H454" t="n">
        <v>0</v>
      </c>
      <c r="I454" t="n">
        <v>0</v>
      </c>
      <c r="J454" t="n">
        <v>0</v>
      </c>
      <c r="K454" t="n">
        <v>0</v>
      </c>
      <c r="L454" t="n">
        <v>0</v>
      </c>
      <c r="M454" t="n">
        <v>0</v>
      </c>
      <c r="N454" t="n">
        <v>0</v>
      </c>
      <c r="O454" t="n">
        <v>0</v>
      </c>
      <c r="P454" t="n">
        <v>0</v>
      </c>
      <c r="Q454" t="n">
        <v>0</v>
      </c>
      <c r="R454" s="2" t="inlineStr"/>
    </row>
    <row r="455" ht="15" customHeight="1">
      <c r="A455" t="inlineStr">
        <is>
          <t>A 46396-2023</t>
        </is>
      </c>
      <c r="B455" s="1" t="n">
        <v>45197</v>
      </c>
      <c r="C455" s="1" t="n">
        <v>45973</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27602-2023</t>
        </is>
      </c>
      <c r="B456" s="1" t="n">
        <v>45097</v>
      </c>
      <c r="C456" s="1" t="n">
        <v>45973</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16373-2025</t>
        </is>
      </c>
      <c r="B457" s="1" t="n">
        <v>45751</v>
      </c>
      <c r="C457" s="1" t="n">
        <v>45973</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17724-2024</t>
        </is>
      </c>
      <c r="B458" s="1" t="n">
        <v>45418.55096064815</v>
      </c>
      <c r="C458" s="1" t="n">
        <v>45973</v>
      </c>
      <c r="D458" t="inlineStr">
        <is>
          <t>GOTLANDS LÄN</t>
        </is>
      </c>
      <c r="E458" t="inlineStr">
        <is>
          <t>GOTLAND</t>
        </is>
      </c>
      <c r="G458" t="n">
        <v>2</v>
      </c>
      <c r="H458" t="n">
        <v>0</v>
      </c>
      <c r="I458" t="n">
        <v>0</v>
      </c>
      <c r="J458" t="n">
        <v>0</v>
      </c>
      <c r="K458" t="n">
        <v>0</v>
      </c>
      <c r="L458" t="n">
        <v>0</v>
      </c>
      <c r="M458" t="n">
        <v>0</v>
      </c>
      <c r="N458" t="n">
        <v>0</v>
      </c>
      <c r="O458" t="n">
        <v>0</v>
      </c>
      <c r="P458" t="n">
        <v>0</v>
      </c>
      <c r="Q458" t="n">
        <v>0</v>
      </c>
      <c r="R458" s="2" t="inlineStr"/>
    </row>
    <row r="459" ht="15" customHeight="1">
      <c r="A459" t="inlineStr">
        <is>
          <t>A 34312-2024</t>
        </is>
      </c>
      <c r="B459" s="1" t="n">
        <v>45524.69703703704</v>
      </c>
      <c r="C459" s="1" t="n">
        <v>45973</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4377-2023</t>
        </is>
      </c>
      <c r="B460" s="1" t="n">
        <v>44955.5502662037</v>
      </c>
      <c r="C460" s="1" t="n">
        <v>45973</v>
      </c>
      <c r="D460" t="inlineStr">
        <is>
          <t>GOTLANDS LÄN</t>
        </is>
      </c>
      <c r="E460" t="inlineStr">
        <is>
          <t>GOTLAND</t>
        </is>
      </c>
      <c r="F460" t="inlineStr">
        <is>
          <t>Kyrkan</t>
        </is>
      </c>
      <c r="G460" t="n">
        <v>0.6</v>
      </c>
      <c r="H460" t="n">
        <v>0</v>
      </c>
      <c r="I460" t="n">
        <v>0</v>
      </c>
      <c r="J460" t="n">
        <v>0</v>
      </c>
      <c r="K460" t="n">
        <v>0</v>
      </c>
      <c r="L460" t="n">
        <v>0</v>
      </c>
      <c r="M460" t="n">
        <v>0</v>
      </c>
      <c r="N460" t="n">
        <v>0</v>
      </c>
      <c r="O460" t="n">
        <v>0</v>
      </c>
      <c r="P460" t="n">
        <v>0</v>
      </c>
      <c r="Q460" t="n">
        <v>0</v>
      </c>
      <c r="R460" s="2" t="inlineStr"/>
    </row>
    <row r="461" ht="15" customHeight="1">
      <c r="A461" t="inlineStr">
        <is>
          <t>A 4387-2023</t>
        </is>
      </c>
      <c r="B461" s="1" t="n">
        <v>44955.73359953704</v>
      </c>
      <c r="C461" s="1" t="n">
        <v>45973</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45973</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51963-2024</t>
        </is>
      </c>
      <c r="B463" s="1" t="n">
        <v>45607.64833333333</v>
      </c>
      <c r="C463" s="1" t="n">
        <v>45973</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52637-2025</t>
        </is>
      </c>
      <c r="B464" s="1" t="n">
        <v>45954.75099537037</v>
      </c>
      <c r="C464" s="1" t="n">
        <v>45973</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811-2023</t>
        </is>
      </c>
      <c r="B465" s="1" t="n">
        <v>44931</v>
      </c>
      <c r="C465" s="1" t="n">
        <v>45973</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52249-2025</t>
        </is>
      </c>
      <c r="B466" s="1" t="n">
        <v>45953.48637731482</v>
      </c>
      <c r="C466" s="1" t="n">
        <v>45973</v>
      </c>
      <c r="D466" t="inlineStr">
        <is>
          <t>GOTLANDS LÄN</t>
        </is>
      </c>
      <c r="E466" t="inlineStr">
        <is>
          <t>GOTLAND</t>
        </is>
      </c>
      <c r="F466" t="inlineStr">
        <is>
          <t>Övriga Aktiebolag</t>
        </is>
      </c>
      <c r="G466" t="n">
        <v>1</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45973</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45973</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10158-2025</t>
        </is>
      </c>
      <c r="B469" s="1" t="n">
        <v>45719</v>
      </c>
      <c r="C469" s="1" t="n">
        <v>45973</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26810-2021</t>
        </is>
      </c>
      <c r="B470" s="1" t="n">
        <v>44349.55087962963</v>
      </c>
      <c r="C470" s="1" t="n">
        <v>45973</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7638-2025</t>
        </is>
      </c>
      <c r="B471" s="1" t="n">
        <v>45705.77306712963</v>
      </c>
      <c r="C471" s="1" t="n">
        <v>45973</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50482-2024</t>
        </is>
      </c>
      <c r="B472" s="1" t="n">
        <v>45601.48114583334</v>
      </c>
      <c r="C472" s="1" t="n">
        <v>45973</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1394-2023</t>
        </is>
      </c>
      <c r="B473" s="1" t="n">
        <v>44936.72997685185</v>
      </c>
      <c r="C473" s="1" t="n">
        <v>45973</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5923-2023</t>
        </is>
      </c>
      <c r="B474" s="1" t="n">
        <v>44963.69503472222</v>
      </c>
      <c r="C474" s="1" t="n">
        <v>45973</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33853-2024</t>
        </is>
      </c>
      <c r="B475" s="1" t="n">
        <v>45520.64298611111</v>
      </c>
      <c r="C475" s="1" t="n">
        <v>45973</v>
      </c>
      <c r="D475" t="inlineStr">
        <is>
          <t>GOTLANDS LÄN</t>
        </is>
      </c>
      <c r="E475" t="inlineStr">
        <is>
          <t>GOTLAND</t>
        </is>
      </c>
      <c r="G475" t="n">
        <v>3.9</v>
      </c>
      <c r="H475" t="n">
        <v>0</v>
      </c>
      <c r="I475" t="n">
        <v>0</v>
      </c>
      <c r="J475" t="n">
        <v>0</v>
      </c>
      <c r="K475" t="n">
        <v>0</v>
      </c>
      <c r="L475" t="n">
        <v>0</v>
      </c>
      <c r="M475" t="n">
        <v>0</v>
      </c>
      <c r="N475" t="n">
        <v>0</v>
      </c>
      <c r="O475" t="n">
        <v>0</v>
      </c>
      <c r="P475" t="n">
        <v>0</v>
      </c>
      <c r="Q475" t="n">
        <v>0</v>
      </c>
      <c r="R475" s="2" t="inlineStr"/>
    </row>
    <row r="476" ht="15" customHeight="1">
      <c r="A476" t="inlineStr">
        <is>
          <t>A 18918-2025</t>
        </is>
      </c>
      <c r="B476" s="1" t="n">
        <v>45764</v>
      </c>
      <c r="C476" s="1" t="n">
        <v>45973</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2674-2023</t>
        </is>
      </c>
      <c r="B477" s="1" t="n">
        <v>44944</v>
      </c>
      <c r="C477" s="1" t="n">
        <v>45973</v>
      </c>
      <c r="D477" t="inlineStr">
        <is>
          <t>GOTLANDS LÄN</t>
        </is>
      </c>
      <c r="E477" t="inlineStr">
        <is>
          <t>GOTLAND</t>
        </is>
      </c>
      <c r="G477" t="n">
        <v>2.5</v>
      </c>
      <c r="H477" t="n">
        <v>0</v>
      </c>
      <c r="I477" t="n">
        <v>0</v>
      </c>
      <c r="J477" t="n">
        <v>0</v>
      </c>
      <c r="K477" t="n">
        <v>0</v>
      </c>
      <c r="L477" t="n">
        <v>0</v>
      </c>
      <c r="M477" t="n">
        <v>0</v>
      </c>
      <c r="N477" t="n">
        <v>0</v>
      </c>
      <c r="O477" t="n">
        <v>0</v>
      </c>
      <c r="P477" t="n">
        <v>0</v>
      </c>
      <c r="Q477" t="n">
        <v>0</v>
      </c>
      <c r="R477" s="2" t="inlineStr"/>
    </row>
    <row r="478" ht="15" customHeight="1">
      <c r="A478" t="inlineStr">
        <is>
          <t>A 43911-2025</t>
        </is>
      </c>
      <c r="B478" s="1" t="n">
        <v>45914.3881712963</v>
      </c>
      <c r="C478" s="1" t="n">
        <v>45973</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58230-2024</t>
        </is>
      </c>
      <c r="B479" s="1" t="n">
        <v>45632.51625</v>
      </c>
      <c r="C479" s="1" t="n">
        <v>45973</v>
      </c>
      <c r="D479" t="inlineStr">
        <is>
          <t>GOTLANDS LÄN</t>
        </is>
      </c>
      <c r="E479" t="inlineStr">
        <is>
          <t>GOTLAND</t>
        </is>
      </c>
      <c r="G479" t="n">
        <v>7.3</v>
      </c>
      <c r="H479" t="n">
        <v>0</v>
      </c>
      <c r="I479" t="n">
        <v>0</v>
      </c>
      <c r="J479" t="n">
        <v>0</v>
      </c>
      <c r="K479" t="n">
        <v>0</v>
      </c>
      <c r="L479" t="n">
        <v>0</v>
      </c>
      <c r="M479" t="n">
        <v>0</v>
      </c>
      <c r="N479" t="n">
        <v>0</v>
      </c>
      <c r="O479" t="n">
        <v>0</v>
      </c>
      <c r="P479" t="n">
        <v>0</v>
      </c>
      <c r="Q479" t="n">
        <v>0</v>
      </c>
      <c r="R479" s="2" t="inlineStr"/>
    </row>
    <row r="480" ht="15" customHeight="1">
      <c r="A480" t="inlineStr">
        <is>
          <t>A 1462-2025</t>
        </is>
      </c>
      <c r="B480" s="1" t="n">
        <v>45670.36319444444</v>
      </c>
      <c r="C480" s="1" t="n">
        <v>45973</v>
      </c>
      <c r="D480" t="inlineStr">
        <is>
          <t>GOTLANDS LÄN</t>
        </is>
      </c>
      <c r="E480" t="inlineStr">
        <is>
          <t>GOTLAND</t>
        </is>
      </c>
      <c r="G480" t="n">
        <v>2.8</v>
      </c>
      <c r="H480" t="n">
        <v>0</v>
      </c>
      <c r="I480" t="n">
        <v>0</v>
      </c>
      <c r="J480" t="n">
        <v>0</v>
      </c>
      <c r="K480" t="n">
        <v>0</v>
      </c>
      <c r="L480" t="n">
        <v>0</v>
      </c>
      <c r="M480" t="n">
        <v>0</v>
      </c>
      <c r="N480" t="n">
        <v>0</v>
      </c>
      <c r="O480" t="n">
        <v>0</v>
      </c>
      <c r="P480" t="n">
        <v>0</v>
      </c>
      <c r="Q480" t="n">
        <v>0</v>
      </c>
      <c r="R480" s="2" t="inlineStr"/>
    </row>
    <row r="481" ht="15" customHeight="1">
      <c r="A481" t="inlineStr">
        <is>
          <t>A 44410-2025</t>
        </is>
      </c>
      <c r="B481" s="1" t="n">
        <v>45916.53699074074</v>
      </c>
      <c r="C481" s="1" t="n">
        <v>45973</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43951-2025</t>
        </is>
      </c>
      <c r="B482" s="1" t="n">
        <v>45915.38119212963</v>
      </c>
      <c r="C482" s="1" t="n">
        <v>45973</v>
      </c>
      <c r="D482" t="inlineStr">
        <is>
          <t>GOTLANDS LÄN</t>
        </is>
      </c>
      <c r="E482" t="inlineStr">
        <is>
          <t>GOTLAND</t>
        </is>
      </c>
      <c r="G482" t="n">
        <v>4.4</v>
      </c>
      <c r="H482" t="n">
        <v>0</v>
      </c>
      <c r="I482" t="n">
        <v>0</v>
      </c>
      <c r="J482" t="n">
        <v>0</v>
      </c>
      <c r="K482" t="n">
        <v>0</v>
      </c>
      <c r="L482" t="n">
        <v>0</v>
      </c>
      <c r="M482" t="n">
        <v>0</v>
      </c>
      <c r="N482" t="n">
        <v>0</v>
      </c>
      <c r="O482" t="n">
        <v>0</v>
      </c>
      <c r="P482" t="n">
        <v>0</v>
      </c>
      <c r="Q482" t="n">
        <v>0</v>
      </c>
      <c r="R482" s="2" t="inlineStr"/>
    </row>
    <row r="483" ht="15" customHeight="1">
      <c r="A483" t="inlineStr">
        <is>
          <t>A 10655-2023</t>
        </is>
      </c>
      <c r="B483" s="1" t="n">
        <v>44988.49543981482</v>
      </c>
      <c r="C483" s="1" t="n">
        <v>45973</v>
      </c>
      <c r="D483" t="inlineStr">
        <is>
          <t>GOTLANDS LÄN</t>
        </is>
      </c>
      <c r="E483" t="inlineStr">
        <is>
          <t>GOTLAND</t>
        </is>
      </c>
      <c r="F483" t="inlineStr">
        <is>
          <t>Kyrkan</t>
        </is>
      </c>
      <c r="G483" t="n">
        <v>2</v>
      </c>
      <c r="H483" t="n">
        <v>0</v>
      </c>
      <c r="I483" t="n">
        <v>0</v>
      </c>
      <c r="J483" t="n">
        <v>0</v>
      </c>
      <c r="K483" t="n">
        <v>0</v>
      </c>
      <c r="L483" t="n">
        <v>0</v>
      </c>
      <c r="M483" t="n">
        <v>0</v>
      </c>
      <c r="N483" t="n">
        <v>0</v>
      </c>
      <c r="O483" t="n">
        <v>0</v>
      </c>
      <c r="P483" t="n">
        <v>0</v>
      </c>
      <c r="Q483" t="n">
        <v>0</v>
      </c>
      <c r="R483" s="2" t="inlineStr"/>
    </row>
    <row r="484" ht="15" customHeight="1">
      <c r="A484" t="inlineStr">
        <is>
          <t>A 44405-2025</t>
        </is>
      </c>
      <c r="B484" s="1" t="n">
        <v>45916.52405092592</v>
      </c>
      <c r="C484" s="1" t="n">
        <v>45973</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45973</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25129-2023</t>
        </is>
      </c>
      <c r="B486" s="1" t="n">
        <v>45086.44261574074</v>
      </c>
      <c r="C486" s="1" t="n">
        <v>45973</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24192-2023</t>
        </is>
      </c>
      <c r="B487" s="1" t="n">
        <v>45079</v>
      </c>
      <c r="C487" s="1" t="n">
        <v>45973</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26891-2024</t>
        </is>
      </c>
      <c r="B488" s="1" t="n">
        <v>45470.65540509259</v>
      </c>
      <c r="C488" s="1" t="n">
        <v>45973</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42007-2023</t>
        </is>
      </c>
      <c r="B489" s="1" t="n">
        <v>45177</v>
      </c>
      <c r="C489" s="1" t="n">
        <v>45973</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9887-2025</t>
        </is>
      </c>
      <c r="B490" s="1" t="n">
        <v>45716</v>
      </c>
      <c r="C490" s="1" t="n">
        <v>45973</v>
      </c>
      <c r="D490" t="inlineStr">
        <is>
          <t>GOTLANDS LÄN</t>
        </is>
      </c>
      <c r="E490" t="inlineStr">
        <is>
          <t>GOTLAND</t>
        </is>
      </c>
      <c r="G490" t="n">
        <v>7.5</v>
      </c>
      <c r="H490" t="n">
        <v>0</v>
      </c>
      <c r="I490" t="n">
        <v>0</v>
      </c>
      <c r="J490" t="n">
        <v>0</v>
      </c>
      <c r="K490" t="n">
        <v>0</v>
      </c>
      <c r="L490" t="n">
        <v>0</v>
      </c>
      <c r="M490" t="n">
        <v>0</v>
      </c>
      <c r="N490" t="n">
        <v>0</v>
      </c>
      <c r="O490" t="n">
        <v>0</v>
      </c>
      <c r="P490" t="n">
        <v>0</v>
      </c>
      <c r="Q490" t="n">
        <v>0</v>
      </c>
      <c r="R490" s="2" t="inlineStr"/>
    </row>
    <row r="491" ht="15" customHeight="1">
      <c r="A491" t="inlineStr">
        <is>
          <t>A 53561-2025</t>
        </is>
      </c>
      <c r="B491" s="1" t="n">
        <v>45960.4059375</v>
      </c>
      <c r="C491" s="1" t="n">
        <v>45973</v>
      </c>
      <c r="D491" t="inlineStr">
        <is>
          <t>GOTLANDS LÄN</t>
        </is>
      </c>
      <c r="E491" t="inlineStr">
        <is>
          <t>GOTLAND</t>
        </is>
      </c>
      <c r="F491" t="inlineStr">
        <is>
          <t>Övriga Aktiebolag</t>
        </is>
      </c>
      <c r="G491" t="n">
        <v>2.4</v>
      </c>
      <c r="H491" t="n">
        <v>0</v>
      </c>
      <c r="I491" t="n">
        <v>0</v>
      </c>
      <c r="J491" t="n">
        <v>0</v>
      </c>
      <c r="K491" t="n">
        <v>0</v>
      </c>
      <c r="L491" t="n">
        <v>0</v>
      </c>
      <c r="M491" t="n">
        <v>0</v>
      </c>
      <c r="N491" t="n">
        <v>0</v>
      </c>
      <c r="O491" t="n">
        <v>0</v>
      </c>
      <c r="P491" t="n">
        <v>0</v>
      </c>
      <c r="Q491" t="n">
        <v>0</v>
      </c>
      <c r="R491" s="2" t="inlineStr"/>
    </row>
    <row r="492" ht="15" customHeight="1">
      <c r="A492" t="inlineStr">
        <is>
          <t>A 5386-2023</t>
        </is>
      </c>
      <c r="B492" s="1" t="n">
        <v>44959</v>
      </c>
      <c r="C492" s="1" t="n">
        <v>45973</v>
      </c>
      <c r="D492" t="inlineStr">
        <is>
          <t>GOTLANDS LÄN</t>
        </is>
      </c>
      <c r="E492" t="inlineStr">
        <is>
          <t>GOTLAND</t>
        </is>
      </c>
      <c r="G492" t="n">
        <v>5.4</v>
      </c>
      <c r="H492" t="n">
        <v>0</v>
      </c>
      <c r="I492" t="n">
        <v>0</v>
      </c>
      <c r="J492" t="n">
        <v>0</v>
      </c>
      <c r="K492" t="n">
        <v>0</v>
      </c>
      <c r="L492" t="n">
        <v>0</v>
      </c>
      <c r="M492" t="n">
        <v>0</v>
      </c>
      <c r="N492" t="n">
        <v>0</v>
      </c>
      <c r="O492" t="n">
        <v>0</v>
      </c>
      <c r="P492" t="n">
        <v>0</v>
      </c>
      <c r="Q492" t="n">
        <v>0</v>
      </c>
      <c r="R492" s="2" t="inlineStr"/>
    </row>
    <row r="493" ht="15" customHeight="1">
      <c r="A493" t="inlineStr">
        <is>
          <t>A 53569-2025</t>
        </is>
      </c>
      <c r="B493" s="1" t="n">
        <v>45960.41155092593</v>
      </c>
      <c r="C493" s="1" t="n">
        <v>45973</v>
      </c>
      <c r="D493" t="inlineStr">
        <is>
          <t>GOTLANDS LÄN</t>
        </is>
      </c>
      <c r="E493" t="inlineStr">
        <is>
          <t>GOTLAND</t>
        </is>
      </c>
      <c r="F493" t="inlineStr">
        <is>
          <t>Övriga Aktiebolag</t>
        </is>
      </c>
      <c r="G493" t="n">
        <v>11.3</v>
      </c>
      <c r="H493" t="n">
        <v>0</v>
      </c>
      <c r="I493" t="n">
        <v>0</v>
      </c>
      <c r="J493" t="n">
        <v>0</v>
      </c>
      <c r="K493" t="n">
        <v>0</v>
      </c>
      <c r="L493" t="n">
        <v>0</v>
      </c>
      <c r="M493" t="n">
        <v>0</v>
      </c>
      <c r="N493" t="n">
        <v>0</v>
      </c>
      <c r="O493" t="n">
        <v>0</v>
      </c>
      <c r="P493" t="n">
        <v>0</v>
      </c>
      <c r="Q493" t="n">
        <v>0</v>
      </c>
      <c r="R493" s="2" t="inlineStr"/>
    </row>
    <row r="494" ht="15" customHeight="1">
      <c r="A494" t="inlineStr">
        <is>
          <t>A 38165-2023</t>
        </is>
      </c>
      <c r="B494" s="1" t="n">
        <v>45161</v>
      </c>
      <c r="C494" s="1" t="n">
        <v>45973</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53577-2025</t>
        </is>
      </c>
      <c r="B495" s="1" t="n">
        <v>45960.42224537037</v>
      </c>
      <c r="C495" s="1" t="n">
        <v>45973</v>
      </c>
      <c r="D495" t="inlineStr">
        <is>
          <t>GOTLANDS LÄN</t>
        </is>
      </c>
      <c r="E495" t="inlineStr">
        <is>
          <t>GOTLAND</t>
        </is>
      </c>
      <c r="F495" t="inlineStr">
        <is>
          <t>Övriga Aktiebolag</t>
        </is>
      </c>
      <c r="G495" t="n">
        <v>3.3</v>
      </c>
      <c r="H495" t="n">
        <v>0</v>
      </c>
      <c r="I495" t="n">
        <v>0</v>
      </c>
      <c r="J495" t="n">
        <v>0</v>
      </c>
      <c r="K495" t="n">
        <v>0</v>
      </c>
      <c r="L495" t="n">
        <v>0</v>
      </c>
      <c r="M495" t="n">
        <v>0</v>
      </c>
      <c r="N495" t="n">
        <v>0</v>
      </c>
      <c r="O495" t="n">
        <v>0</v>
      </c>
      <c r="P495" t="n">
        <v>0</v>
      </c>
      <c r="Q495" t="n">
        <v>0</v>
      </c>
      <c r="R495" s="2" t="inlineStr"/>
    </row>
    <row r="496" ht="15" customHeight="1">
      <c r="A496" t="inlineStr">
        <is>
          <t>A 53587-2025</t>
        </is>
      </c>
      <c r="B496" s="1" t="n">
        <v>45960.43681712963</v>
      </c>
      <c r="C496" s="1" t="n">
        <v>45973</v>
      </c>
      <c r="D496" t="inlineStr">
        <is>
          <t>GOTLANDS LÄN</t>
        </is>
      </c>
      <c r="E496" t="inlineStr">
        <is>
          <t>GOTLAND</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26457-2025</t>
        </is>
      </c>
      <c r="B497" s="1" t="n">
        <v>45807.42773148148</v>
      </c>
      <c r="C497" s="1" t="n">
        <v>45973</v>
      </c>
      <c r="D497" t="inlineStr">
        <is>
          <t>GOTLANDS LÄN</t>
        </is>
      </c>
      <c r="E497" t="inlineStr">
        <is>
          <t>GOTLAND</t>
        </is>
      </c>
      <c r="G497" t="n">
        <v>5.7</v>
      </c>
      <c r="H497" t="n">
        <v>0</v>
      </c>
      <c r="I497" t="n">
        <v>0</v>
      </c>
      <c r="J497" t="n">
        <v>0</v>
      </c>
      <c r="K497" t="n">
        <v>0</v>
      </c>
      <c r="L497" t="n">
        <v>0</v>
      </c>
      <c r="M497" t="n">
        <v>0</v>
      </c>
      <c r="N497" t="n">
        <v>0</v>
      </c>
      <c r="O497" t="n">
        <v>0</v>
      </c>
      <c r="P497" t="n">
        <v>0</v>
      </c>
      <c r="Q497" t="n">
        <v>0</v>
      </c>
      <c r="R497" s="2" t="inlineStr"/>
    </row>
    <row r="498" ht="15" customHeight="1">
      <c r="A498" t="inlineStr">
        <is>
          <t>A 26467-2025</t>
        </is>
      </c>
      <c r="B498" s="1" t="n">
        <v>45807.44640046296</v>
      </c>
      <c r="C498" s="1" t="n">
        <v>45973</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7026-2023</t>
        </is>
      </c>
      <c r="B499" s="1" t="n">
        <v>44968.30340277778</v>
      </c>
      <c r="C499" s="1" t="n">
        <v>45973</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26465-2025</t>
        </is>
      </c>
      <c r="B500" s="1" t="n">
        <v>45807.44377314814</v>
      </c>
      <c r="C500" s="1" t="n">
        <v>45973</v>
      </c>
      <c r="D500" t="inlineStr">
        <is>
          <t>GOTLANDS LÄN</t>
        </is>
      </c>
      <c r="E500" t="inlineStr">
        <is>
          <t>GOTLAND</t>
        </is>
      </c>
      <c r="G500" t="n">
        <v>4.5</v>
      </c>
      <c r="H500" t="n">
        <v>0</v>
      </c>
      <c r="I500" t="n">
        <v>0</v>
      </c>
      <c r="J500" t="n">
        <v>0</v>
      </c>
      <c r="K500" t="n">
        <v>0</v>
      </c>
      <c r="L500" t="n">
        <v>0</v>
      </c>
      <c r="M500" t="n">
        <v>0</v>
      </c>
      <c r="N500" t="n">
        <v>0</v>
      </c>
      <c r="O500" t="n">
        <v>0</v>
      </c>
      <c r="P500" t="n">
        <v>0</v>
      </c>
      <c r="Q500" t="n">
        <v>0</v>
      </c>
      <c r="R500" s="2" t="inlineStr"/>
    </row>
    <row r="501" ht="15" customHeight="1">
      <c r="A501" t="inlineStr">
        <is>
          <t>A 20855-2023</t>
        </is>
      </c>
      <c r="B501" s="1" t="n">
        <v>45058.82172453704</v>
      </c>
      <c r="C501" s="1" t="n">
        <v>45973</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26660-2025</t>
        </is>
      </c>
      <c r="B502" s="1" t="n">
        <v>45810.39737268518</v>
      </c>
      <c r="C502" s="1" t="n">
        <v>45973</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27596-2023</t>
        </is>
      </c>
      <c r="B503" s="1" t="n">
        <v>45097</v>
      </c>
      <c r="C503" s="1" t="n">
        <v>45973</v>
      </c>
      <c r="D503" t="inlineStr">
        <is>
          <t>GOTLANDS LÄN</t>
        </is>
      </c>
      <c r="E503" t="inlineStr">
        <is>
          <t>GOTLAND</t>
        </is>
      </c>
      <c r="G503" t="n">
        <v>3.6</v>
      </c>
      <c r="H503" t="n">
        <v>0</v>
      </c>
      <c r="I503" t="n">
        <v>0</v>
      </c>
      <c r="J503" t="n">
        <v>0</v>
      </c>
      <c r="K503" t="n">
        <v>0</v>
      </c>
      <c r="L503" t="n">
        <v>0</v>
      </c>
      <c r="M503" t="n">
        <v>0</v>
      </c>
      <c r="N503" t="n">
        <v>0</v>
      </c>
      <c r="O503" t="n">
        <v>0</v>
      </c>
      <c r="P503" t="n">
        <v>0</v>
      </c>
      <c r="Q503" t="n">
        <v>0</v>
      </c>
      <c r="R503" s="2" t="inlineStr"/>
    </row>
    <row r="504" ht="15" customHeight="1">
      <c r="A504" t="inlineStr">
        <is>
          <t>A 24825-2024</t>
        </is>
      </c>
      <c r="B504" s="1" t="n">
        <v>45461</v>
      </c>
      <c r="C504" s="1" t="n">
        <v>45973</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6696-2023</t>
        </is>
      </c>
      <c r="B505" s="1" t="n">
        <v>44966.66425925926</v>
      </c>
      <c r="C505" s="1" t="n">
        <v>45973</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27371-2025</t>
        </is>
      </c>
      <c r="B506" s="1" t="n">
        <v>45812</v>
      </c>
      <c r="C506" s="1" t="n">
        <v>45973</v>
      </c>
      <c r="D506" t="inlineStr">
        <is>
          <t>GOTLANDS LÄN</t>
        </is>
      </c>
      <c r="E506" t="inlineStr">
        <is>
          <t>GOTLAND</t>
        </is>
      </c>
      <c r="G506" t="n">
        <v>8</v>
      </c>
      <c r="H506" t="n">
        <v>0</v>
      </c>
      <c r="I506" t="n">
        <v>0</v>
      </c>
      <c r="J506" t="n">
        <v>0</v>
      </c>
      <c r="K506" t="n">
        <v>0</v>
      </c>
      <c r="L506" t="n">
        <v>0</v>
      </c>
      <c r="M506" t="n">
        <v>0</v>
      </c>
      <c r="N506" t="n">
        <v>0</v>
      </c>
      <c r="O506" t="n">
        <v>0</v>
      </c>
      <c r="P506" t="n">
        <v>0</v>
      </c>
      <c r="Q506" t="n">
        <v>0</v>
      </c>
      <c r="R506" s="2" t="inlineStr"/>
    </row>
    <row r="507" ht="15" customHeight="1">
      <c r="A507" t="inlineStr">
        <is>
          <t>A 1000-2024</t>
        </is>
      </c>
      <c r="B507" s="1" t="n">
        <v>45301.63371527778</v>
      </c>
      <c r="C507" s="1" t="n">
        <v>45973</v>
      </c>
      <c r="D507" t="inlineStr">
        <is>
          <t>GOTLANDS LÄN</t>
        </is>
      </c>
      <c r="E507" t="inlineStr">
        <is>
          <t>GOTLAND</t>
        </is>
      </c>
      <c r="G507" t="n">
        <v>1</v>
      </c>
      <c r="H507" t="n">
        <v>0</v>
      </c>
      <c r="I507" t="n">
        <v>0</v>
      </c>
      <c r="J507" t="n">
        <v>0</v>
      </c>
      <c r="K507" t="n">
        <v>0</v>
      </c>
      <c r="L507" t="n">
        <v>0</v>
      </c>
      <c r="M507" t="n">
        <v>0</v>
      </c>
      <c r="N507" t="n">
        <v>0</v>
      </c>
      <c r="O507" t="n">
        <v>0</v>
      </c>
      <c r="P507" t="n">
        <v>0</v>
      </c>
      <c r="Q507" t="n">
        <v>0</v>
      </c>
      <c r="R507" s="2" t="inlineStr"/>
    </row>
    <row r="508" ht="15" customHeight="1">
      <c r="A508" t="inlineStr">
        <is>
          <t>A 1010-2024</t>
        </is>
      </c>
      <c r="B508" s="1" t="n">
        <v>45301</v>
      </c>
      <c r="C508" s="1" t="n">
        <v>45973</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27355-2025</t>
        </is>
      </c>
      <c r="B509" s="1" t="n">
        <v>45812</v>
      </c>
      <c r="C509" s="1" t="n">
        <v>45973</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44705.38832175926</v>
      </c>
      <c r="C510" s="1" t="n">
        <v>45973</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456-2023</t>
        </is>
      </c>
      <c r="B511" s="1" t="n">
        <v>44929.87122685185</v>
      </c>
      <c r="C511" s="1" t="n">
        <v>45973</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2714-2023</t>
        </is>
      </c>
      <c r="B512" s="1" t="n">
        <v>44944.54896990741</v>
      </c>
      <c r="C512" s="1" t="n">
        <v>45973</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4421-2024</t>
        </is>
      </c>
      <c r="B513" s="1" t="n">
        <v>45327.45173611111</v>
      </c>
      <c r="C513" s="1" t="n">
        <v>45973</v>
      </c>
      <c r="D513" t="inlineStr">
        <is>
          <t>GOTLANDS LÄN</t>
        </is>
      </c>
      <c r="E513" t="inlineStr">
        <is>
          <t>GOTLAND</t>
        </is>
      </c>
      <c r="G513" t="n">
        <v>5.1</v>
      </c>
      <c r="H513" t="n">
        <v>0</v>
      </c>
      <c r="I513" t="n">
        <v>0</v>
      </c>
      <c r="J513" t="n">
        <v>0</v>
      </c>
      <c r="K513" t="n">
        <v>0</v>
      </c>
      <c r="L513" t="n">
        <v>0</v>
      </c>
      <c r="M513" t="n">
        <v>0</v>
      </c>
      <c r="N513" t="n">
        <v>0</v>
      </c>
      <c r="O513" t="n">
        <v>0</v>
      </c>
      <c r="P513" t="n">
        <v>0</v>
      </c>
      <c r="Q513" t="n">
        <v>0</v>
      </c>
      <c r="R513" s="2" t="inlineStr"/>
    </row>
    <row r="514" ht="15" customHeight="1">
      <c r="A514" t="inlineStr">
        <is>
          <t>A 47762-2023</t>
        </is>
      </c>
      <c r="B514" s="1" t="n">
        <v>45203.86256944444</v>
      </c>
      <c r="C514" s="1" t="n">
        <v>45973</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52250-2025</t>
        </is>
      </c>
      <c r="B515" s="1" t="n">
        <v>45953.48998842593</v>
      </c>
      <c r="C515" s="1" t="n">
        <v>45973</v>
      </c>
      <c r="D515" t="inlineStr">
        <is>
          <t>GOTLANDS LÄN</t>
        </is>
      </c>
      <c r="E515" t="inlineStr">
        <is>
          <t>GOTLAND</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51782-2023</t>
        </is>
      </c>
      <c r="B516" s="1" t="n">
        <v>45222.80952546297</v>
      </c>
      <c r="C516" s="1" t="n">
        <v>45973</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54268-2022</t>
        </is>
      </c>
      <c r="B517" s="1" t="n">
        <v>44882</v>
      </c>
      <c r="C517" s="1" t="n">
        <v>45973</v>
      </c>
      <c r="D517" t="inlineStr">
        <is>
          <t>GOTLANDS LÄN</t>
        </is>
      </c>
      <c r="E517" t="inlineStr">
        <is>
          <t>GOTLAND</t>
        </is>
      </c>
      <c r="G517" t="n">
        <v>2.7</v>
      </c>
      <c r="H517" t="n">
        <v>0</v>
      </c>
      <c r="I517" t="n">
        <v>0</v>
      </c>
      <c r="J517" t="n">
        <v>0</v>
      </c>
      <c r="K517" t="n">
        <v>0</v>
      </c>
      <c r="L517" t="n">
        <v>0</v>
      </c>
      <c r="M517" t="n">
        <v>0</v>
      </c>
      <c r="N517" t="n">
        <v>0</v>
      </c>
      <c r="O517" t="n">
        <v>0</v>
      </c>
      <c r="P517" t="n">
        <v>0</v>
      </c>
      <c r="Q517" t="n">
        <v>0</v>
      </c>
      <c r="R517" s="2" t="inlineStr"/>
    </row>
    <row r="518" ht="15" customHeight="1">
      <c r="A518" t="inlineStr">
        <is>
          <t>A 46545-2024</t>
        </is>
      </c>
      <c r="B518" s="1" t="n">
        <v>45582.65831018519</v>
      </c>
      <c r="C518" s="1" t="n">
        <v>45973</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57534-2022</t>
        </is>
      </c>
      <c r="B519" s="1" t="n">
        <v>44896</v>
      </c>
      <c r="C519" s="1" t="n">
        <v>45973</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6739-2025</t>
        </is>
      </c>
      <c r="B520" s="1" t="n">
        <v>45700</v>
      </c>
      <c r="C520" s="1" t="n">
        <v>45973</v>
      </c>
      <c r="D520" t="inlineStr">
        <is>
          <t>GOTLANDS LÄN</t>
        </is>
      </c>
      <c r="E520" t="inlineStr">
        <is>
          <t>GOTLAND</t>
        </is>
      </c>
      <c r="G520" t="n">
        <v>4.5</v>
      </c>
      <c r="H520" t="n">
        <v>0</v>
      </c>
      <c r="I520" t="n">
        <v>0</v>
      </c>
      <c r="J520" t="n">
        <v>0</v>
      </c>
      <c r="K520" t="n">
        <v>0</v>
      </c>
      <c r="L520" t="n">
        <v>0</v>
      </c>
      <c r="M520" t="n">
        <v>0</v>
      </c>
      <c r="N520" t="n">
        <v>0</v>
      </c>
      <c r="O520" t="n">
        <v>0</v>
      </c>
      <c r="P520" t="n">
        <v>0</v>
      </c>
      <c r="Q520" t="n">
        <v>0</v>
      </c>
      <c r="R520" s="2" t="inlineStr"/>
    </row>
    <row r="521" ht="15" customHeight="1">
      <c r="A521" t="inlineStr">
        <is>
          <t>A 7850-2025</t>
        </is>
      </c>
      <c r="B521" s="1" t="n">
        <v>45706</v>
      </c>
      <c r="C521" s="1" t="n">
        <v>45973</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60086-2022</t>
        </is>
      </c>
      <c r="B522" s="1" t="n">
        <v>44909</v>
      </c>
      <c r="C522" s="1" t="n">
        <v>45973</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25866-2022</t>
        </is>
      </c>
      <c r="B523" s="1" t="n">
        <v>44733</v>
      </c>
      <c r="C523" s="1" t="n">
        <v>45973</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28480-2023</t>
        </is>
      </c>
      <c r="B524" s="1" t="n">
        <v>45103</v>
      </c>
      <c r="C524" s="1" t="n">
        <v>45973</v>
      </c>
      <c r="D524" t="inlineStr">
        <is>
          <t>GOTLANDS LÄN</t>
        </is>
      </c>
      <c r="E524" t="inlineStr">
        <is>
          <t>GOTLAND</t>
        </is>
      </c>
      <c r="G524" t="n">
        <v>5.7</v>
      </c>
      <c r="H524" t="n">
        <v>0</v>
      </c>
      <c r="I524" t="n">
        <v>0</v>
      </c>
      <c r="J524" t="n">
        <v>0</v>
      </c>
      <c r="K524" t="n">
        <v>0</v>
      </c>
      <c r="L524" t="n">
        <v>0</v>
      </c>
      <c r="M524" t="n">
        <v>0</v>
      </c>
      <c r="N524" t="n">
        <v>0</v>
      </c>
      <c r="O524" t="n">
        <v>0</v>
      </c>
      <c r="P524" t="n">
        <v>0</v>
      </c>
      <c r="Q524" t="n">
        <v>0</v>
      </c>
      <c r="R524" s="2" t="inlineStr"/>
    </row>
    <row r="525" ht="15" customHeight="1">
      <c r="A525" t="inlineStr">
        <is>
          <t>A 28485-2023</t>
        </is>
      </c>
      <c r="B525" s="1" t="n">
        <v>45103.43731481482</v>
      </c>
      <c r="C525" s="1" t="n">
        <v>45973</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43229-2023</t>
        </is>
      </c>
      <c r="B526" s="1" t="n">
        <v>45183.46704861111</v>
      </c>
      <c r="C526" s="1" t="n">
        <v>45973</v>
      </c>
      <c r="D526" t="inlineStr">
        <is>
          <t>GOTLANDS LÄN</t>
        </is>
      </c>
      <c r="E526" t="inlineStr">
        <is>
          <t>GOTLAND</t>
        </is>
      </c>
      <c r="G526" t="n">
        <v>7.1</v>
      </c>
      <c r="H526" t="n">
        <v>0</v>
      </c>
      <c r="I526" t="n">
        <v>0</v>
      </c>
      <c r="J526" t="n">
        <v>0</v>
      </c>
      <c r="K526" t="n">
        <v>0</v>
      </c>
      <c r="L526" t="n">
        <v>0</v>
      </c>
      <c r="M526" t="n">
        <v>0</v>
      </c>
      <c r="N526" t="n">
        <v>0</v>
      </c>
      <c r="O526" t="n">
        <v>0</v>
      </c>
      <c r="P526" t="n">
        <v>0</v>
      </c>
      <c r="Q526" t="n">
        <v>0</v>
      </c>
      <c r="R526" s="2" t="inlineStr"/>
    </row>
    <row r="527" ht="15" customHeight="1">
      <c r="A527" t="inlineStr">
        <is>
          <t>A 1175-2025</t>
        </is>
      </c>
      <c r="B527" s="1" t="n">
        <v>45667.34449074074</v>
      </c>
      <c r="C527" s="1" t="n">
        <v>45973</v>
      </c>
      <c r="D527" t="inlineStr">
        <is>
          <t>GOTLANDS LÄN</t>
        </is>
      </c>
      <c r="E527" t="inlineStr">
        <is>
          <t>GOTLAND</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27095-2022</t>
        </is>
      </c>
      <c r="B528" s="1" t="n">
        <v>44741</v>
      </c>
      <c r="C528" s="1" t="n">
        <v>45973</v>
      </c>
      <c r="D528" t="inlineStr">
        <is>
          <t>GOTLANDS LÄN</t>
        </is>
      </c>
      <c r="E528" t="inlineStr">
        <is>
          <t>GOTLAND</t>
        </is>
      </c>
      <c r="F528" t="inlineStr">
        <is>
          <t>Övriga Aktiebolag</t>
        </is>
      </c>
      <c r="G528" t="n">
        <v>2.9</v>
      </c>
      <c r="H528" t="n">
        <v>0</v>
      </c>
      <c r="I528" t="n">
        <v>0</v>
      </c>
      <c r="J528" t="n">
        <v>0</v>
      </c>
      <c r="K528" t="n">
        <v>0</v>
      </c>
      <c r="L528" t="n">
        <v>0</v>
      </c>
      <c r="M528" t="n">
        <v>0</v>
      </c>
      <c r="N528" t="n">
        <v>0</v>
      </c>
      <c r="O528" t="n">
        <v>0</v>
      </c>
      <c r="P528" t="n">
        <v>0</v>
      </c>
      <c r="Q528" t="n">
        <v>0</v>
      </c>
      <c r="R528" s="2" t="inlineStr"/>
    </row>
    <row r="529" ht="15" customHeight="1">
      <c r="A529" t="inlineStr">
        <is>
          <t>A 22899-2023</t>
        </is>
      </c>
      <c r="B529" s="1" t="n">
        <v>45072</v>
      </c>
      <c r="C529" s="1" t="n">
        <v>45973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62915-2021</t>
        </is>
      </c>
      <c r="B530" s="1" t="n">
        <v>44504</v>
      </c>
      <c r="C530" s="1" t="n">
        <v>45973</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23978-2023</t>
        </is>
      </c>
      <c r="B531" s="1" t="n">
        <v>45078</v>
      </c>
      <c r="C531" s="1" t="n">
        <v>45973</v>
      </c>
      <c r="D531" t="inlineStr">
        <is>
          <t>GOTLANDS LÄN</t>
        </is>
      </c>
      <c r="E531" t="inlineStr">
        <is>
          <t>GOTLAND</t>
        </is>
      </c>
      <c r="F531" t="inlineStr">
        <is>
          <t>Naturvårdsverket</t>
        </is>
      </c>
      <c r="G531" t="n">
        <v>1.7</v>
      </c>
      <c r="H531" t="n">
        <v>0</v>
      </c>
      <c r="I531" t="n">
        <v>0</v>
      </c>
      <c r="J531" t="n">
        <v>0</v>
      </c>
      <c r="K531" t="n">
        <v>0</v>
      </c>
      <c r="L531" t="n">
        <v>0</v>
      </c>
      <c r="M531" t="n">
        <v>0</v>
      </c>
      <c r="N531" t="n">
        <v>0</v>
      </c>
      <c r="O531" t="n">
        <v>0</v>
      </c>
      <c r="P531" t="n">
        <v>0</v>
      </c>
      <c r="Q531" t="n">
        <v>0</v>
      </c>
      <c r="R531" s="2" t="inlineStr"/>
    </row>
    <row r="532" ht="15" customHeight="1">
      <c r="A532" t="inlineStr">
        <is>
          <t>A 34407-2023</t>
        </is>
      </c>
      <c r="B532" s="1" t="n">
        <v>45132</v>
      </c>
      <c r="C532" s="1" t="n">
        <v>45973</v>
      </c>
      <c r="D532" t="inlineStr">
        <is>
          <t>GOTLANDS LÄN</t>
        </is>
      </c>
      <c r="E532" t="inlineStr">
        <is>
          <t>GOTLAND</t>
        </is>
      </c>
      <c r="G532" t="n">
        <v>4.4</v>
      </c>
      <c r="H532" t="n">
        <v>0</v>
      </c>
      <c r="I532" t="n">
        <v>0</v>
      </c>
      <c r="J532" t="n">
        <v>0</v>
      </c>
      <c r="K532" t="n">
        <v>0</v>
      </c>
      <c r="L532" t="n">
        <v>0</v>
      </c>
      <c r="M532" t="n">
        <v>0</v>
      </c>
      <c r="N532" t="n">
        <v>0</v>
      </c>
      <c r="O532" t="n">
        <v>0</v>
      </c>
      <c r="P532" t="n">
        <v>0</v>
      </c>
      <c r="Q532" t="n">
        <v>0</v>
      </c>
      <c r="R532" s="2" t="inlineStr"/>
    </row>
    <row r="533" ht="15" customHeight="1">
      <c r="A533" t="inlineStr">
        <is>
          <t>A 44949-2023</t>
        </is>
      </c>
      <c r="B533" s="1" t="n">
        <v>45190.69520833333</v>
      </c>
      <c r="C533" s="1" t="n">
        <v>45973</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11013-2024</t>
        </is>
      </c>
      <c r="B534" s="1" t="n">
        <v>45370</v>
      </c>
      <c r="C534" s="1" t="n">
        <v>45973</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27694-2024</t>
        </is>
      </c>
      <c r="B535" s="1" t="n">
        <v>45475</v>
      </c>
      <c r="C535" s="1" t="n">
        <v>45973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54584-2025</t>
        </is>
      </c>
      <c r="B536" s="1" t="n">
        <v>45965.71788194445</v>
      </c>
      <c r="C536" s="1" t="n">
        <v>45973</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15083-2025</t>
        </is>
      </c>
      <c r="B537" s="1" t="n">
        <v>45743</v>
      </c>
      <c r="C537" s="1" t="n">
        <v>45973</v>
      </c>
      <c r="D537" t="inlineStr">
        <is>
          <t>GOTLANDS LÄN</t>
        </is>
      </c>
      <c r="E537" t="inlineStr">
        <is>
          <t>GOTLAND</t>
        </is>
      </c>
      <c r="G537" t="n">
        <v>2.3</v>
      </c>
      <c r="H537" t="n">
        <v>0</v>
      </c>
      <c r="I537" t="n">
        <v>0</v>
      </c>
      <c r="J537" t="n">
        <v>0</v>
      </c>
      <c r="K537" t="n">
        <v>0</v>
      </c>
      <c r="L537" t="n">
        <v>0</v>
      </c>
      <c r="M537" t="n">
        <v>0</v>
      </c>
      <c r="N537" t="n">
        <v>0</v>
      </c>
      <c r="O537" t="n">
        <v>0</v>
      </c>
      <c r="P537" t="n">
        <v>0</v>
      </c>
      <c r="Q537" t="n">
        <v>0</v>
      </c>
      <c r="R537" s="2" t="inlineStr"/>
    </row>
    <row r="538" ht="15" customHeight="1">
      <c r="A538" t="inlineStr">
        <is>
          <t>A 37222-2021</t>
        </is>
      </c>
      <c r="B538" s="1" t="n">
        <v>44396</v>
      </c>
      <c r="C538" s="1" t="n">
        <v>45973</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13037-2025</t>
        </is>
      </c>
      <c r="B539" s="1" t="n">
        <v>45734</v>
      </c>
      <c r="C539" s="1" t="n">
        <v>45973</v>
      </c>
      <c r="D539" t="inlineStr">
        <is>
          <t>GOTLANDS LÄN</t>
        </is>
      </c>
      <c r="E539" t="inlineStr">
        <is>
          <t>GOTLAND</t>
        </is>
      </c>
      <c r="G539" t="n">
        <v>9.5</v>
      </c>
      <c r="H539" t="n">
        <v>0</v>
      </c>
      <c r="I539" t="n">
        <v>0</v>
      </c>
      <c r="J539" t="n">
        <v>0</v>
      </c>
      <c r="K539" t="n">
        <v>0</v>
      </c>
      <c r="L539" t="n">
        <v>0</v>
      </c>
      <c r="M539" t="n">
        <v>0</v>
      </c>
      <c r="N539" t="n">
        <v>0</v>
      </c>
      <c r="O539" t="n">
        <v>0</v>
      </c>
      <c r="P539" t="n">
        <v>0</v>
      </c>
      <c r="Q539" t="n">
        <v>0</v>
      </c>
      <c r="R539" s="2" t="inlineStr"/>
    </row>
    <row r="540" ht="15" customHeight="1">
      <c r="A540" t="inlineStr">
        <is>
          <t>A 458-2023</t>
        </is>
      </c>
      <c r="B540" s="1" t="n">
        <v>44929</v>
      </c>
      <c r="C540" s="1" t="n">
        <v>45973</v>
      </c>
      <c r="D540" t="inlineStr">
        <is>
          <t>GOTLANDS LÄN</t>
        </is>
      </c>
      <c r="E540" t="inlineStr">
        <is>
          <t>GOTLAND</t>
        </is>
      </c>
      <c r="G540" t="n">
        <v>3.6</v>
      </c>
      <c r="H540" t="n">
        <v>0</v>
      </c>
      <c r="I540" t="n">
        <v>0</v>
      </c>
      <c r="J540" t="n">
        <v>0</v>
      </c>
      <c r="K540" t="n">
        <v>0</v>
      </c>
      <c r="L540" t="n">
        <v>0</v>
      </c>
      <c r="M540" t="n">
        <v>0</v>
      </c>
      <c r="N540" t="n">
        <v>0</v>
      </c>
      <c r="O540" t="n">
        <v>0</v>
      </c>
      <c r="P540" t="n">
        <v>0</v>
      </c>
      <c r="Q540" t="n">
        <v>0</v>
      </c>
      <c r="R540" s="2" t="inlineStr"/>
    </row>
    <row r="541" ht="15" customHeight="1">
      <c r="A541" t="inlineStr">
        <is>
          <t>A 3964-2024</t>
        </is>
      </c>
      <c r="B541" s="1" t="n">
        <v>45322</v>
      </c>
      <c r="C541" s="1" t="n">
        <v>45973</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45084-2024</t>
        </is>
      </c>
      <c r="B542" s="1" t="n">
        <v>45575</v>
      </c>
      <c r="C542" s="1" t="n">
        <v>45973</v>
      </c>
      <c r="D542" t="inlineStr">
        <is>
          <t>GOTLANDS LÄN</t>
        </is>
      </c>
      <c r="E542" t="inlineStr">
        <is>
          <t>GOTLAND</t>
        </is>
      </c>
      <c r="G542" t="n">
        <v>6.8</v>
      </c>
      <c r="H542" t="n">
        <v>0</v>
      </c>
      <c r="I542" t="n">
        <v>0</v>
      </c>
      <c r="J542" t="n">
        <v>0</v>
      </c>
      <c r="K542" t="n">
        <v>0</v>
      </c>
      <c r="L542" t="n">
        <v>0</v>
      </c>
      <c r="M542" t="n">
        <v>0</v>
      </c>
      <c r="N542" t="n">
        <v>0</v>
      </c>
      <c r="O542" t="n">
        <v>0</v>
      </c>
      <c r="P542" t="n">
        <v>0</v>
      </c>
      <c r="Q542" t="n">
        <v>0</v>
      </c>
      <c r="R542" s="2" t="inlineStr"/>
    </row>
    <row r="543" ht="15" customHeight="1">
      <c r="A543" t="inlineStr">
        <is>
          <t>A 44228-2022</t>
        </is>
      </c>
      <c r="B543" s="1" t="n">
        <v>44839.51599537037</v>
      </c>
      <c r="C543" s="1" t="n">
        <v>45973</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58132-2023</t>
        </is>
      </c>
      <c r="B544" s="1" t="n">
        <v>45250</v>
      </c>
      <c r="C544" s="1" t="n">
        <v>45973</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49884-2023</t>
        </is>
      </c>
      <c r="B545" s="1" t="n">
        <v>45213</v>
      </c>
      <c r="C545" s="1" t="n">
        <v>45973</v>
      </c>
      <c r="D545" t="inlineStr">
        <is>
          <t>GOTLANDS LÄN</t>
        </is>
      </c>
      <c r="E545" t="inlineStr">
        <is>
          <t>GOTLAND</t>
        </is>
      </c>
      <c r="G545" t="n">
        <v>8.9</v>
      </c>
      <c r="H545" t="n">
        <v>0</v>
      </c>
      <c r="I545" t="n">
        <v>0</v>
      </c>
      <c r="J545" t="n">
        <v>0</v>
      </c>
      <c r="K545" t="n">
        <v>0</v>
      </c>
      <c r="L545" t="n">
        <v>0</v>
      </c>
      <c r="M545" t="n">
        <v>0</v>
      </c>
      <c r="N545" t="n">
        <v>0</v>
      </c>
      <c r="O545" t="n">
        <v>0</v>
      </c>
      <c r="P545" t="n">
        <v>0</v>
      </c>
      <c r="Q545" t="n">
        <v>0</v>
      </c>
      <c r="R545" s="2" t="inlineStr"/>
    </row>
    <row r="546" ht="15" customHeight="1">
      <c r="A546" t="inlineStr">
        <is>
          <t>A 26391-2025</t>
        </is>
      </c>
      <c r="B546" s="1" t="n">
        <v>45806</v>
      </c>
      <c r="C546" s="1" t="n">
        <v>45973</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5217-2023</t>
        </is>
      </c>
      <c r="B547" s="1" t="n">
        <v>44959.39582175926</v>
      </c>
      <c r="C547" s="1" t="n">
        <v>45973</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876-2024</t>
        </is>
      </c>
      <c r="B548" s="1" t="n">
        <v>45301</v>
      </c>
      <c r="C548" s="1" t="n">
        <v>45973</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22704-2023</t>
        </is>
      </c>
      <c r="B549" s="1" t="n">
        <v>45071</v>
      </c>
      <c r="C549" s="1" t="n">
        <v>45973</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28425-2023</t>
        </is>
      </c>
      <c r="B550" s="1" t="n">
        <v>45102</v>
      </c>
      <c r="C550" s="1" t="n">
        <v>45973</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8444-2025</t>
        </is>
      </c>
      <c r="B551" s="1" t="n">
        <v>45709</v>
      </c>
      <c r="C551" s="1" t="n">
        <v>45973</v>
      </c>
      <c r="D551" t="inlineStr">
        <is>
          <t>GOTLANDS LÄN</t>
        </is>
      </c>
      <c r="E551" t="inlineStr">
        <is>
          <t>GOTLAND</t>
        </is>
      </c>
      <c r="G551" t="n">
        <v>5.2</v>
      </c>
      <c r="H551" t="n">
        <v>0</v>
      </c>
      <c r="I551" t="n">
        <v>0</v>
      </c>
      <c r="J551" t="n">
        <v>0</v>
      </c>
      <c r="K551" t="n">
        <v>0</v>
      </c>
      <c r="L551" t="n">
        <v>0</v>
      </c>
      <c r="M551" t="n">
        <v>0</v>
      </c>
      <c r="N551" t="n">
        <v>0</v>
      </c>
      <c r="O551" t="n">
        <v>0</v>
      </c>
      <c r="P551" t="n">
        <v>0</v>
      </c>
      <c r="Q551" t="n">
        <v>0</v>
      </c>
      <c r="R551" s="2" t="inlineStr"/>
    </row>
    <row r="552" ht="15" customHeight="1">
      <c r="A552" t="inlineStr">
        <is>
          <t>A 58476-2022</t>
        </is>
      </c>
      <c r="B552" s="1" t="n">
        <v>44902</v>
      </c>
      <c r="C552" s="1" t="n">
        <v>45973</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43200-2023</t>
        </is>
      </c>
      <c r="B553" s="1" t="n">
        <v>45183</v>
      </c>
      <c r="C553" s="1" t="n">
        <v>45973</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46836-2025</t>
        </is>
      </c>
      <c r="B554" s="1" t="n">
        <v>45928.31511574074</v>
      </c>
      <c r="C554" s="1" t="n">
        <v>45973</v>
      </c>
      <c r="D554" t="inlineStr">
        <is>
          <t>GOTLANDS LÄN</t>
        </is>
      </c>
      <c r="E554" t="inlineStr">
        <is>
          <t>GOTLAND</t>
        </is>
      </c>
      <c r="G554" t="n">
        <v>2.8</v>
      </c>
      <c r="H554" t="n">
        <v>0</v>
      </c>
      <c r="I554" t="n">
        <v>0</v>
      </c>
      <c r="J554" t="n">
        <v>0</v>
      </c>
      <c r="K554" t="n">
        <v>0</v>
      </c>
      <c r="L554" t="n">
        <v>0</v>
      </c>
      <c r="M554" t="n">
        <v>0</v>
      </c>
      <c r="N554" t="n">
        <v>0</v>
      </c>
      <c r="O554" t="n">
        <v>0</v>
      </c>
      <c r="P554" t="n">
        <v>0</v>
      </c>
      <c r="Q554" t="n">
        <v>0</v>
      </c>
      <c r="R554" s="2" t="inlineStr"/>
    </row>
    <row r="555" ht="15" customHeight="1">
      <c r="A555" t="inlineStr">
        <is>
          <t>A 43223-2023</t>
        </is>
      </c>
      <c r="B555" s="1" t="n">
        <v>45183.45642361111</v>
      </c>
      <c r="C555" s="1" t="n">
        <v>45973</v>
      </c>
      <c r="D555" t="inlineStr">
        <is>
          <t>GOTLANDS LÄN</t>
        </is>
      </c>
      <c r="E555" t="inlineStr">
        <is>
          <t>GOTLAND</t>
        </is>
      </c>
      <c r="G555" t="n">
        <v>1.8</v>
      </c>
      <c r="H555" t="n">
        <v>0</v>
      </c>
      <c r="I555" t="n">
        <v>0</v>
      </c>
      <c r="J555" t="n">
        <v>0</v>
      </c>
      <c r="K555" t="n">
        <v>0</v>
      </c>
      <c r="L555" t="n">
        <v>0</v>
      </c>
      <c r="M555" t="n">
        <v>0</v>
      </c>
      <c r="N555" t="n">
        <v>0</v>
      </c>
      <c r="O555" t="n">
        <v>0</v>
      </c>
      <c r="P555" t="n">
        <v>0</v>
      </c>
      <c r="Q555" t="n">
        <v>0</v>
      </c>
      <c r="R555" s="2" t="inlineStr"/>
    </row>
    <row r="556" ht="15" customHeight="1">
      <c r="A556" t="inlineStr">
        <is>
          <t>A 12327-2025</t>
        </is>
      </c>
      <c r="B556" s="1" t="n">
        <v>45730</v>
      </c>
      <c r="C556" s="1" t="n">
        <v>45973</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3431-2025</t>
        </is>
      </c>
      <c r="B557" s="1" t="n">
        <v>45680.42935185185</v>
      </c>
      <c r="C557" s="1" t="n">
        <v>45973</v>
      </c>
      <c r="D557" t="inlineStr">
        <is>
          <t>GOTLANDS LÄN</t>
        </is>
      </c>
      <c r="E557" t="inlineStr">
        <is>
          <t>GOTLAND</t>
        </is>
      </c>
      <c r="G557" t="n">
        <v>4.8</v>
      </c>
      <c r="H557" t="n">
        <v>0</v>
      </c>
      <c r="I557" t="n">
        <v>0</v>
      </c>
      <c r="J557" t="n">
        <v>0</v>
      </c>
      <c r="K557" t="n">
        <v>0</v>
      </c>
      <c r="L557" t="n">
        <v>0</v>
      </c>
      <c r="M557" t="n">
        <v>0</v>
      </c>
      <c r="N557" t="n">
        <v>0</v>
      </c>
      <c r="O557" t="n">
        <v>0</v>
      </c>
      <c r="P557" t="n">
        <v>0</v>
      </c>
      <c r="Q557" t="n">
        <v>0</v>
      </c>
      <c r="R557" s="2" t="inlineStr"/>
    </row>
    <row r="558" ht="15" customHeight="1">
      <c r="A558" t="inlineStr">
        <is>
          <t>A 12209-2024</t>
        </is>
      </c>
      <c r="B558" s="1" t="n">
        <v>45378</v>
      </c>
      <c r="C558" s="1" t="n">
        <v>45973</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12210-2024</t>
        </is>
      </c>
      <c r="B559" s="1" t="n">
        <v>45378</v>
      </c>
      <c r="C559" s="1" t="n">
        <v>45973</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1364-2025</t>
        </is>
      </c>
      <c r="B560" s="1" t="n">
        <v>45667.63929398148</v>
      </c>
      <c r="C560" s="1" t="n">
        <v>45973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47147-2025</t>
        </is>
      </c>
      <c r="B561" s="1" t="n">
        <v>45929</v>
      </c>
      <c r="C561" s="1" t="n">
        <v>45973</v>
      </c>
      <c r="D561" t="inlineStr">
        <is>
          <t>GOTLANDS LÄN</t>
        </is>
      </c>
      <c r="E561" t="inlineStr">
        <is>
          <t>GOTLAND</t>
        </is>
      </c>
      <c r="G561" t="n">
        <v>2.3</v>
      </c>
      <c r="H561" t="n">
        <v>0</v>
      </c>
      <c r="I561" t="n">
        <v>0</v>
      </c>
      <c r="J561" t="n">
        <v>0</v>
      </c>
      <c r="K561" t="n">
        <v>0</v>
      </c>
      <c r="L561" t="n">
        <v>0</v>
      </c>
      <c r="M561" t="n">
        <v>0</v>
      </c>
      <c r="N561" t="n">
        <v>0</v>
      </c>
      <c r="O561" t="n">
        <v>0</v>
      </c>
      <c r="P561" t="n">
        <v>0</v>
      </c>
      <c r="Q561" t="n">
        <v>0</v>
      </c>
      <c r="R561" s="2" t="inlineStr"/>
    </row>
    <row r="562" ht="15" customHeight="1">
      <c r="A562" t="inlineStr">
        <is>
          <t>A 15042-2025</t>
        </is>
      </c>
      <c r="B562" s="1" t="n">
        <v>45743</v>
      </c>
      <c r="C562" s="1" t="n">
        <v>45973</v>
      </c>
      <c r="D562" t="inlineStr">
        <is>
          <t>GOTLANDS LÄN</t>
        </is>
      </c>
      <c r="E562" t="inlineStr">
        <is>
          <t>GOTLAND</t>
        </is>
      </c>
      <c r="G562" t="n">
        <v>8.5</v>
      </c>
      <c r="H562" t="n">
        <v>0</v>
      </c>
      <c r="I562" t="n">
        <v>0</v>
      </c>
      <c r="J562" t="n">
        <v>0</v>
      </c>
      <c r="K562" t="n">
        <v>0</v>
      </c>
      <c r="L562" t="n">
        <v>0</v>
      </c>
      <c r="M562" t="n">
        <v>0</v>
      </c>
      <c r="N562" t="n">
        <v>0</v>
      </c>
      <c r="O562" t="n">
        <v>0</v>
      </c>
      <c r="P562" t="n">
        <v>0</v>
      </c>
      <c r="Q562" t="n">
        <v>0</v>
      </c>
      <c r="R562" s="2" t="inlineStr"/>
    </row>
    <row r="563" ht="15" customHeight="1">
      <c r="A563" t="inlineStr">
        <is>
          <t>A 2180-2025</t>
        </is>
      </c>
      <c r="B563" s="1" t="n">
        <v>45673</v>
      </c>
      <c r="C563" s="1" t="n">
        <v>45973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15436-2025</t>
        </is>
      </c>
      <c r="B564" s="1" t="n">
        <v>45747.47462962963</v>
      </c>
      <c r="C564" s="1" t="n">
        <v>45973</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49257-2024</t>
        </is>
      </c>
      <c r="B565" s="1" t="n">
        <v>45595.47627314815</v>
      </c>
      <c r="C565" s="1" t="n">
        <v>45973</v>
      </c>
      <c r="D565" t="inlineStr">
        <is>
          <t>GOTLANDS LÄN</t>
        </is>
      </c>
      <c r="E565" t="inlineStr">
        <is>
          <t>GOTLAND</t>
        </is>
      </c>
      <c r="G565" t="n">
        <v>6.3</v>
      </c>
      <c r="H565" t="n">
        <v>0</v>
      </c>
      <c r="I565" t="n">
        <v>0</v>
      </c>
      <c r="J565" t="n">
        <v>0</v>
      </c>
      <c r="K565" t="n">
        <v>0</v>
      </c>
      <c r="L565" t="n">
        <v>0</v>
      </c>
      <c r="M565" t="n">
        <v>0</v>
      </c>
      <c r="N565" t="n">
        <v>0</v>
      </c>
      <c r="O565" t="n">
        <v>0</v>
      </c>
      <c r="P565" t="n">
        <v>0</v>
      </c>
      <c r="Q565" t="n">
        <v>0</v>
      </c>
      <c r="R565" s="2" t="inlineStr"/>
    </row>
    <row r="566" ht="15" customHeight="1">
      <c r="A566" t="inlineStr">
        <is>
          <t>A 37202-2024</t>
        </is>
      </c>
      <c r="B566" s="1" t="n">
        <v>45539.67310185185</v>
      </c>
      <c r="C566" s="1" t="n">
        <v>45973</v>
      </c>
      <c r="D566" t="inlineStr">
        <is>
          <t>GOTLANDS LÄN</t>
        </is>
      </c>
      <c r="E566" t="inlineStr">
        <is>
          <t>GOTLAND</t>
        </is>
      </c>
      <c r="G566" t="n">
        <v>0.3</v>
      </c>
      <c r="H566" t="n">
        <v>0</v>
      </c>
      <c r="I566" t="n">
        <v>0</v>
      </c>
      <c r="J566" t="n">
        <v>0</v>
      </c>
      <c r="K566" t="n">
        <v>0</v>
      </c>
      <c r="L566" t="n">
        <v>0</v>
      </c>
      <c r="M566" t="n">
        <v>0</v>
      </c>
      <c r="N566" t="n">
        <v>0</v>
      </c>
      <c r="O566" t="n">
        <v>0</v>
      </c>
      <c r="P566" t="n">
        <v>0</v>
      </c>
      <c r="Q566" t="n">
        <v>0</v>
      </c>
      <c r="R566" s="2" t="inlineStr"/>
    </row>
    <row r="567" ht="15" customHeight="1">
      <c r="A567" t="inlineStr">
        <is>
          <t>A 19905-2025</t>
        </is>
      </c>
      <c r="B567" s="1" t="n">
        <v>45771</v>
      </c>
      <c r="C567" s="1" t="n">
        <v>45973</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56115-2023</t>
        </is>
      </c>
      <c r="B568" s="1" t="n">
        <v>45236</v>
      </c>
      <c r="C568" s="1" t="n">
        <v>45973</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29196-2025</t>
        </is>
      </c>
      <c r="B569" s="1" t="n">
        <v>45822</v>
      </c>
      <c r="C569" s="1" t="n">
        <v>45973</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29207-2025</t>
        </is>
      </c>
      <c r="B570" s="1" t="n">
        <v>45823</v>
      </c>
      <c r="C570" s="1" t="n">
        <v>45973</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2774-2024</t>
        </is>
      </c>
      <c r="B571" s="1" t="n">
        <v>45314.62375</v>
      </c>
      <c r="C571" s="1" t="n">
        <v>45973</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30061-2025</t>
        </is>
      </c>
      <c r="B572" s="1" t="n">
        <v>45826.61488425926</v>
      </c>
      <c r="C572" s="1" t="n">
        <v>45973</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60709-2023</t>
        </is>
      </c>
      <c r="B573" s="1" t="n">
        <v>45260</v>
      </c>
      <c r="C573" s="1" t="n">
        <v>45973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58160-2024</t>
        </is>
      </c>
      <c r="B574" s="1" t="n">
        <v>45632.44927083333</v>
      </c>
      <c r="C574" s="1" t="n">
        <v>45973</v>
      </c>
      <c r="D574" t="inlineStr">
        <is>
          <t>GOTLANDS LÄN</t>
        </is>
      </c>
      <c r="E574" t="inlineStr">
        <is>
          <t>GOTLAND</t>
        </is>
      </c>
      <c r="G574" t="n">
        <v>5.6</v>
      </c>
      <c r="H574" t="n">
        <v>0</v>
      </c>
      <c r="I574" t="n">
        <v>0</v>
      </c>
      <c r="J574" t="n">
        <v>0</v>
      </c>
      <c r="K574" t="n">
        <v>0</v>
      </c>
      <c r="L574" t="n">
        <v>0</v>
      </c>
      <c r="M574" t="n">
        <v>0</v>
      </c>
      <c r="N574" t="n">
        <v>0</v>
      </c>
      <c r="O574" t="n">
        <v>0</v>
      </c>
      <c r="P574" t="n">
        <v>0</v>
      </c>
      <c r="Q574" t="n">
        <v>0</v>
      </c>
      <c r="R574" s="2" t="inlineStr"/>
    </row>
    <row r="575" ht="15" customHeight="1">
      <c r="A575" t="inlineStr">
        <is>
          <t>A 64208-2021</t>
        </is>
      </c>
      <c r="B575" s="1" t="n">
        <v>44510</v>
      </c>
      <c r="C575" s="1" t="n">
        <v>45973</v>
      </c>
      <c r="D575" t="inlineStr">
        <is>
          <t>GOTLANDS LÄN</t>
        </is>
      </c>
      <c r="E575" t="inlineStr">
        <is>
          <t>GOTLAND</t>
        </is>
      </c>
      <c r="G575" t="n">
        <v>4.7</v>
      </c>
      <c r="H575" t="n">
        <v>0</v>
      </c>
      <c r="I575" t="n">
        <v>0</v>
      </c>
      <c r="J575" t="n">
        <v>0</v>
      </c>
      <c r="K575" t="n">
        <v>0</v>
      </c>
      <c r="L575" t="n">
        <v>0</v>
      </c>
      <c r="M575" t="n">
        <v>0</v>
      </c>
      <c r="N575" t="n">
        <v>0</v>
      </c>
      <c r="O575" t="n">
        <v>0</v>
      </c>
      <c r="P575" t="n">
        <v>0</v>
      </c>
      <c r="Q575" t="n">
        <v>0</v>
      </c>
      <c r="R575" s="2" t="inlineStr"/>
    </row>
    <row r="576" ht="15" customHeight="1">
      <c r="A576" t="inlineStr">
        <is>
          <t>A 39764-2022</t>
        </is>
      </c>
      <c r="B576" s="1" t="n">
        <v>44819</v>
      </c>
      <c r="C576" s="1" t="n">
        <v>45973</v>
      </c>
      <c r="D576" t="inlineStr">
        <is>
          <t>GOTLANDS LÄN</t>
        </is>
      </c>
      <c r="E576" t="inlineStr">
        <is>
          <t>GOTLAND</t>
        </is>
      </c>
      <c r="F576" t="inlineStr">
        <is>
          <t>Kyrkan</t>
        </is>
      </c>
      <c r="G576" t="n">
        <v>3.7</v>
      </c>
      <c r="H576" t="n">
        <v>0</v>
      </c>
      <c r="I576" t="n">
        <v>0</v>
      </c>
      <c r="J576" t="n">
        <v>0</v>
      </c>
      <c r="K576" t="n">
        <v>0</v>
      </c>
      <c r="L576" t="n">
        <v>0</v>
      </c>
      <c r="M576" t="n">
        <v>0</v>
      </c>
      <c r="N576" t="n">
        <v>0</v>
      </c>
      <c r="O576" t="n">
        <v>0</v>
      </c>
      <c r="P576" t="n">
        <v>0</v>
      </c>
      <c r="Q576" t="n">
        <v>0</v>
      </c>
      <c r="R576" s="2" t="inlineStr"/>
    </row>
    <row r="577" ht="15" customHeight="1">
      <c r="A577" t="inlineStr">
        <is>
          <t>A 58211-2024</t>
        </is>
      </c>
      <c r="B577" s="1" t="n">
        <v>45632.49292824074</v>
      </c>
      <c r="C577" s="1" t="n">
        <v>45973</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30956-2024</t>
        </is>
      </c>
      <c r="B578" s="1" t="n">
        <v>45499.42527777778</v>
      </c>
      <c r="C578" s="1" t="n">
        <v>45973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30892-2024</t>
        </is>
      </c>
      <c r="B579" s="1" t="n">
        <v>45491</v>
      </c>
      <c r="C579" s="1" t="n">
        <v>45973</v>
      </c>
      <c r="D579" t="inlineStr">
        <is>
          <t>GOTLANDS LÄN</t>
        </is>
      </c>
      <c r="E579" t="inlineStr">
        <is>
          <t>GOTLAND</t>
        </is>
      </c>
      <c r="G579" t="n">
        <v>6.1</v>
      </c>
      <c r="H579" t="n">
        <v>0</v>
      </c>
      <c r="I579" t="n">
        <v>0</v>
      </c>
      <c r="J579" t="n">
        <v>0</v>
      </c>
      <c r="K579" t="n">
        <v>0</v>
      </c>
      <c r="L579" t="n">
        <v>0</v>
      </c>
      <c r="M579" t="n">
        <v>0</v>
      </c>
      <c r="N579" t="n">
        <v>0</v>
      </c>
      <c r="O579" t="n">
        <v>0</v>
      </c>
      <c r="P579" t="n">
        <v>0</v>
      </c>
      <c r="Q579" t="n">
        <v>0</v>
      </c>
      <c r="R579" s="2" t="inlineStr"/>
    </row>
    <row r="580" ht="15" customHeight="1">
      <c r="A580" t="inlineStr">
        <is>
          <t>A 14635-2023</t>
        </is>
      </c>
      <c r="B580" s="1" t="n">
        <v>45013.69365740741</v>
      </c>
      <c r="C580" s="1" t="n">
        <v>45973</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59469-2024</t>
        </is>
      </c>
      <c r="B581" s="1" t="n">
        <v>45638</v>
      </c>
      <c r="C581" s="1" t="n">
        <v>45973</v>
      </c>
      <c r="D581" t="inlineStr">
        <is>
          <t>GOTLANDS LÄN</t>
        </is>
      </c>
      <c r="E581" t="inlineStr">
        <is>
          <t>GOTLAND</t>
        </is>
      </c>
      <c r="G581" t="n">
        <v>0.4</v>
      </c>
      <c r="H581" t="n">
        <v>0</v>
      </c>
      <c r="I581" t="n">
        <v>0</v>
      </c>
      <c r="J581" t="n">
        <v>0</v>
      </c>
      <c r="K581" t="n">
        <v>0</v>
      </c>
      <c r="L581" t="n">
        <v>0</v>
      </c>
      <c r="M581" t="n">
        <v>0</v>
      </c>
      <c r="N581" t="n">
        <v>0</v>
      </c>
      <c r="O581" t="n">
        <v>0</v>
      </c>
      <c r="P581" t="n">
        <v>0</v>
      </c>
      <c r="Q581" t="n">
        <v>0</v>
      </c>
      <c r="R581" s="2" t="inlineStr"/>
    </row>
    <row r="582" ht="15" customHeight="1">
      <c r="A582" t="inlineStr">
        <is>
          <t>A 7858-2025</t>
        </is>
      </c>
      <c r="B582" s="1" t="n">
        <v>45706.68633101852</v>
      </c>
      <c r="C582" s="1" t="n">
        <v>45973</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32379-2025</t>
        </is>
      </c>
      <c r="B583" s="1" t="n">
        <v>45837</v>
      </c>
      <c r="C583" s="1" t="n">
        <v>45973</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32467-2025</t>
        </is>
      </c>
      <c r="B584" s="1" t="n">
        <v>45838.42111111111</v>
      </c>
      <c r="C584" s="1" t="n">
        <v>45973</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32378-2025</t>
        </is>
      </c>
      <c r="B585" s="1" t="n">
        <v>45837</v>
      </c>
      <c r="C585" s="1" t="n">
        <v>45973</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16109-2025</t>
        </is>
      </c>
      <c r="B586" s="1" t="n">
        <v>45750</v>
      </c>
      <c r="C586" s="1" t="n">
        <v>45973</v>
      </c>
      <c r="D586" t="inlineStr">
        <is>
          <t>GOTLANDS LÄN</t>
        </is>
      </c>
      <c r="E586" t="inlineStr">
        <is>
          <t>GOTLAND</t>
        </is>
      </c>
      <c r="G586" t="n">
        <v>4.9</v>
      </c>
      <c r="H586" t="n">
        <v>0</v>
      </c>
      <c r="I586" t="n">
        <v>0</v>
      </c>
      <c r="J586" t="n">
        <v>0</v>
      </c>
      <c r="K586" t="n">
        <v>0</v>
      </c>
      <c r="L586" t="n">
        <v>0</v>
      </c>
      <c r="M586" t="n">
        <v>0</v>
      </c>
      <c r="N586" t="n">
        <v>0</v>
      </c>
      <c r="O586" t="n">
        <v>0</v>
      </c>
      <c r="P586" t="n">
        <v>0</v>
      </c>
      <c r="Q586" t="n">
        <v>0</v>
      </c>
      <c r="R586" s="2" t="inlineStr"/>
    </row>
    <row r="587" ht="15" customHeight="1">
      <c r="A587" t="inlineStr">
        <is>
          <t>A 33007-2025</t>
        </is>
      </c>
      <c r="B587" s="1" t="n">
        <v>45840</v>
      </c>
      <c r="C587" s="1" t="n">
        <v>45973</v>
      </c>
      <c r="D587" t="inlineStr">
        <is>
          <t>GOTLANDS LÄN</t>
        </is>
      </c>
      <c r="E587" t="inlineStr">
        <is>
          <t>GOTLAND</t>
        </is>
      </c>
      <c r="G587" t="n">
        <v>4.9</v>
      </c>
      <c r="H587" t="n">
        <v>0</v>
      </c>
      <c r="I587" t="n">
        <v>0</v>
      </c>
      <c r="J587" t="n">
        <v>0</v>
      </c>
      <c r="K587" t="n">
        <v>0</v>
      </c>
      <c r="L587" t="n">
        <v>0</v>
      </c>
      <c r="M587" t="n">
        <v>0</v>
      </c>
      <c r="N587" t="n">
        <v>0</v>
      </c>
      <c r="O587" t="n">
        <v>0</v>
      </c>
      <c r="P587" t="n">
        <v>0</v>
      </c>
      <c r="Q587" t="n">
        <v>0</v>
      </c>
      <c r="R587" s="2" t="inlineStr"/>
    </row>
    <row r="588" ht="15" customHeight="1">
      <c r="A588" t="inlineStr">
        <is>
          <t>A 15413-2025</t>
        </is>
      </c>
      <c r="B588" s="1" t="n">
        <v>45747.451875</v>
      </c>
      <c r="C588" s="1" t="n">
        <v>45973</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35123-2025</t>
        </is>
      </c>
      <c r="B589" s="1" t="n">
        <v>45852.614375</v>
      </c>
      <c r="C589" s="1" t="n">
        <v>45973</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35096-2025</t>
        </is>
      </c>
      <c r="B590" s="1" t="n">
        <v>45852.54356481481</v>
      </c>
      <c r="C590" s="1" t="n">
        <v>45973</v>
      </c>
      <c r="D590" t="inlineStr">
        <is>
          <t>GOTLANDS LÄN</t>
        </is>
      </c>
      <c r="E590" t="inlineStr">
        <is>
          <t>GOTLAND</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30104-2025</t>
        </is>
      </c>
      <c r="B591" s="1" t="n">
        <v>45826.68806712963</v>
      </c>
      <c r="C591" s="1" t="n">
        <v>45973</v>
      </c>
      <c r="D591" t="inlineStr">
        <is>
          <t>GOTLANDS LÄN</t>
        </is>
      </c>
      <c r="E591" t="inlineStr">
        <is>
          <t>GOTLAND</t>
        </is>
      </c>
      <c r="G591" t="n">
        <v>15.4</v>
      </c>
      <c r="H591" t="n">
        <v>0</v>
      </c>
      <c r="I591" t="n">
        <v>0</v>
      </c>
      <c r="J591" t="n">
        <v>0</v>
      </c>
      <c r="K591" t="n">
        <v>0</v>
      </c>
      <c r="L591" t="n">
        <v>0</v>
      </c>
      <c r="M591" t="n">
        <v>0</v>
      </c>
      <c r="N591" t="n">
        <v>0</v>
      </c>
      <c r="O591" t="n">
        <v>0</v>
      </c>
      <c r="P591" t="n">
        <v>0</v>
      </c>
      <c r="Q591" t="n">
        <v>0</v>
      </c>
      <c r="R591" s="2" t="inlineStr"/>
    </row>
    <row r="592" ht="15" customHeight="1">
      <c r="A592" t="inlineStr">
        <is>
          <t>A 35290-2025</t>
        </is>
      </c>
      <c r="B592" s="1" t="n">
        <v>45854.38502314815</v>
      </c>
      <c r="C592" s="1" t="n">
        <v>45973</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32669-2024</t>
        </is>
      </c>
      <c r="B593" s="1" t="n">
        <v>45514</v>
      </c>
      <c r="C593" s="1" t="n">
        <v>45973</v>
      </c>
      <c r="D593" t="inlineStr">
        <is>
          <t>GOTLANDS LÄN</t>
        </is>
      </c>
      <c r="E593" t="inlineStr">
        <is>
          <t>GOTLAND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35537-2025</t>
        </is>
      </c>
      <c r="B594" s="1" t="n">
        <v>45856</v>
      </c>
      <c r="C594" s="1" t="n">
        <v>45973</v>
      </c>
      <c r="D594" t="inlineStr">
        <is>
          <t>GOTLANDS LÄN</t>
        </is>
      </c>
      <c r="E594" t="inlineStr">
        <is>
          <t>GOTLAND</t>
        </is>
      </c>
      <c r="G594" t="n">
        <v>16.8</v>
      </c>
      <c r="H594" t="n">
        <v>0</v>
      </c>
      <c r="I594" t="n">
        <v>0</v>
      </c>
      <c r="J594" t="n">
        <v>0</v>
      </c>
      <c r="K594" t="n">
        <v>0</v>
      </c>
      <c r="L594" t="n">
        <v>0</v>
      </c>
      <c r="M594" t="n">
        <v>0</v>
      </c>
      <c r="N594" t="n">
        <v>0</v>
      </c>
      <c r="O594" t="n">
        <v>0</v>
      </c>
      <c r="P594" t="n">
        <v>0</v>
      </c>
      <c r="Q594" t="n">
        <v>0</v>
      </c>
      <c r="R594" s="2" t="inlineStr"/>
    </row>
    <row r="595" ht="15" customHeight="1">
      <c r="A595" t="inlineStr">
        <is>
          <t>A 35550-2025</t>
        </is>
      </c>
      <c r="B595" s="1" t="n">
        <v>45856.49324074074</v>
      </c>
      <c r="C595" s="1" t="n">
        <v>45973</v>
      </c>
      <c r="D595" t="inlineStr">
        <is>
          <t>GOTLANDS LÄN</t>
        </is>
      </c>
      <c r="E595" t="inlineStr">
        <is>
          <t>GOTLAND</t>
        </is>
      </c>
      <c r="G595" t="n">
        <v>3.2</v>
      </c>
      <c r="H595" t="n">
        <v>0</v>
      </c>
      <c r="I595" t="n">
        <v>0</v>
      </c>
      <c r="J595" t="n">
        <v>0</v>
      </c>
      <c r="K595" t="n">
        <v>0</v>
      </c>
      <c r="L595" t="n">
        <v>0</v>
      </c>
      <c r="M595" t="n">
        <v>0</v>
      </c>
      <c r="N595" t="n">
        <v>0</v>
      </c>
      <c r="O595" t="n">
        <v>0</v>
      </c>
      <c r="P595" t="n">
        <v>0</v>
      </c>
      <c r="Q595" t="n">
        <v>0</v>
      </c>
      <c r="R595" s="2" t="inlineStr"/>
    </row>
    <row r="596" ht="15" customHeight="1">
      <c r="A596" t="inlineStr">
        <is>
          <t>A 15216-2025</t>
        </is>
      </c>
      <c r="B596" s="1" t="n">
        <v>45744</v>
      </c>
      <c r="C596" s="1" t="n">
        <v>45973</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43790-2024</t>
        </is>
      </c>
      <c r="B597" s="1" t="n">
        <v>45571</v>
      </c>
      <c r="C597" s="1" t="n">
        <v>45973</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15001-2025</t>
        </is>
      </c>
      <c r="B598" s="1" t="n">
        <v>45743</v>
      </c>
      <c r="C598" s="1" t="n">
        <v>45973</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30488-2025</t>
        </is>
      </c>
      <c r="B599" s="1" t="n">
        <v>45830</v>
      </c>
      <c r="C599" s="1" t="n">
        <v>45973</v>
      </c>
      <c r="D599" t="inlineStr">
        <is>
          <t>GOTLANDS LÄN</t>
        </is>
      </c>
      <c r="E599" t="inlineStr">
        <is>
          <t>GOTLAND</t>
        </is>
      </c>
      <c r="F599" t="inlineStr">
        <is>
          <t>Kyrkan</t>
        </is>
      </c>
      <c r="G599" t="n">
        <v>3.9</v>
      </c>
      <c r="H599" t="n">
        <v>0</v>
      </c>
      <c r="I599" t="n">
        <v>0</v>
      </c>
      <c r="J599" t="n">
        <v>0</v>
      </c>
      <c r="K599" t="n">
        <v>0</v>
      </c>
      <c r="L599" t="n">
        <v>0</v>
      </c>
      <c r="M599" t="n">
        <v>0</v>
      </c>
      <c r="N599" t="n">
        <v>0</v>
      </c>
      <c r="O599" t="n">
        <v>0</v>
      </c>
      <c r="P599" t="n">
        <v>0</v>
      </c>
      <c r="Q599" t="n">
        <v>0</v>
      </c>
      <c r="R599" s="2" t="inlineStr"/>
    </row>
    <row r="600" ht="15" customHeight="1">
      <c r="A600" t="inlineStr">
        <is>
          <t>A 17847-2025</t>
        </is>
      </c>
      <c r="B600" s="1" t="n">
        <v>45758</v>
      </c>
      <c r="C600" s="1" t="n">
        <v>45973</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18742-2025</t>
        </is>
      </c>
      <c r="B601" s="1" t="n">
        <v>45763</v>
      </c>
      <c r="C601" s="1" t="n">
        <v>45973</v>
      </c>
      <c r="D601" t="inlineStr">
        <is>
          <t>GOTLANDS LÄN</t>
        </is>
      </c>
      <c r="E601" t="inlineStr">
        <is>
          <t>GOTLAND</t>
        </is>
      </c>
      <c r="G601" t="n">
        <v>3.4</v>
      </c>
      <c r="H601" t="n">
        <v>0</v>
      </c>
      <c r="I601" t="n">
        <v>0</v>
      </c>
      <c r="J601" t="n">
        <v>0</v>
      </c>
      <c r="K601" t="n">
        <v>0</v>
      </c>
      <c r="L601" t="n">
        <v>0</v>
      </c>
      <c r="M601" t="n">
        <v>0</v>
      </c>
      <c r="N601" t="n">
        <v>0</v>
      </c>
      <c r="O601" t="n">
        <v>0</v>
      </c>
      <c r="P601" t="n">
        <v>0</v>
      </c>
      <c r="Q601" t="n">
        <v>0</v>
      </c>
      <c r="R601" s="2" t="inlineStr"/>
    </row>
    <row r="602" ht="15" customHeight="1">
      <c r="A602" t="inlineStr">
        <is>
          <t>A 36319-2025</t>
        </is>
      </c>
      <c r="B602" s="1" t="n">
        <v>45868</v>
      </c>
      <c r="C602" s="1" t="n">
        <v>45973</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35129-2025</t>
        </is>
      </c>
      <c r="B603" s="1" t="n">
        <v>45852.63224537037</v>
      </c>
      <c r="C603" s="1" t="n">
        <v>45973</v>
      </c>
      <c r="D603" t="inlineStr">
        <is>
          <t>GOTLANDS LÄN</t>
        </is>
      </c>
      <c r="E603" t="inlineStr">
        <is>
          <t>GOTLAND</t>
        </is>
      </c>
      <c r="G603" t="n">
        <v>3.2</v>
      </c>
      <c r="H603" t="n">
        <v>0</v>
      </c>
      <c r="I603" t="n">
        <v>0</v>
      </c>
      <c r="J603" t="n">
        <v>0</v>
      </c>
      <c r="K603" t="n">
        <v>0</v>
      </c>
      <c r="L603" t="n">
        <v>0</v>
      </c>
      <c r="M603" t="n">
        <v>0</v>
      </c>
      <c r="N603" t="n">
        <v>0</v>
      </c>
      <c r="O603" t="n">
        <v>0</v>
      </c>
      <c r="P603" t="n">
        <v>0</v>
      </c>
      <c r="Q603" t="n">
        <v>0</v>
      </c>
      <c r="R603" s="2" t="inlineStr"/>
    </row>
    <row r="604" ht="15" customHeight="1">
      <c r="A604" t="inlineStr">
        <is>
          <t>A 6108-2025</t>
        </is>
      </c>
      <c r="B604" s="1" t="n">
        <v>45698.29880787037</v>
      </c>
      <c r="C604" s="1" t="n">
        <v>45973</v>
      </c>
      <c r="D604" t="inlineStr">
        <is>
          <t>GOTLANDS LÄN</t>
        </is>
      </c>
      <c r="E604" t="inlineStr">
        <is>
          <t>GOTLAND</t>
        </is>
      </c>
      <c r="G604" t="n">
        <v>2.8</v>
      </c>
      <c r="H604" t="n">
        <v>0</v>
      </c>
      <c r="I604" t="n">
        <v>0</v>
      </c>
      <c r="J604" t="n">
        <v>0</v>
      </c>
      <c r="K604" t="n">
        <v>0</v>
      </c>
      <c r="L604" t="n">
        <v>0</v>
      </c>
      <c r="M604" t="n">
        <v>0</v>
      </c>
      <c r="N604" t="n">
        <v>0</v>
      </c>
      <c r="O604" t="n">
        <v>0</v>
      </c>
      <c r="P604" t="n">
        <v>0</v>
      </c>
      <c r="Q604" t="n">
        <v>0</v>
      </c>
      <c r="R604" s="2" t="inlineStr"/>
    </row>
    <row r="605" ht="15" customHeight="1">
      <c r="A605" t="inlineStr">
        <is>
          <t>A 21142-2025</t>
        </is>
      </c>
      <c r="B605" s="1" t="n">
        <v>45779</v>
      </c>
      <c r="C605" s="1" t="n">
        <v>45973</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17343-2025</t>
        </is>
      </c>
      <c r="B606" s="1" t="n">
        <v>45756.6687037037</v>
      </c>
      <c r="C606" s="1" t="n">
        <v>45973</v>
      </c>
      <c r="D606" t="inlineStr">
        <is>
          <t>GOTLANDS LÄN</t>
        </is>
      </c>
      <c r="E606" t="inlineStr">
        <is>
          <t>GOTLAND</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18938-2025</t>
        </is>
      </c>
      <c r="B607" s="1" t="n">
        <v>45764.49172453704</v>
      </c>
      <c r="C607" s="1" t="n">
        <v>45973</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30489-2025</t>
        </is>
      </c>
      <c r="B608" s="1" t="n">
        <v>45830</v>
      </c>
      <c r="C608" s="1" t="n">
        <v>45973</v>
      </c>
      <c r="D608" t="inlineStr">
        <is>
          <t>GOTLANDS LÄN</t>
        </is>
      </c>
      <c r="E608" t="inlineStr">
        <is>
          <t>GOTLAND</t>
        </is>
      </c>
      <c r="G608" t="n">
        <v>4.6</v>
      </c>
      <c r="H608" t="n">
        <v>0</v>
      </c>
      <c r="I608" t="n">
        <v>0</v>
      </c>
      <c r="J608" t="n">
        <v>0</v>
      </c>
      <c r="K608" t="n">
        <v>0</v>
      </c>
      <c r="L608" t="n">
        <v>0</v>
      </c>
      <c r="M608" t="n">
        <v>0</v>
      </c>
      <c r="N608" t="n">
        <v>0</v>
      </c>
      <c r="O608" t="n">
        <v>0</v>
      </c>
      <c r="P608" t="n">
        <v>0</v>
      </c>
      <c r="Q608" t="n">
        <v>0</v>
      </c>
      <c r="R608" s="2" t="inlineStr"/>
    </row>
    <row r="609">
      <c r="A609" t="inlineStr">
        <is>
          <t>A 20307-2025</t>
        </is>
      </c>
      <c r="B609" s="1" t="n">
        <v>45774.95546296296</v>
      </c>
      <c r="C609" s="1" t="n">
        <v>45973</v>
      </c>
      <c r="D609" t="inlineStr">
        <is>
          <t>GOTLANDS LÄN</t>
        </is>
      </c>
      <c r="E609" t="inlineStr">
        <is>
          <t>GOTLAND</t>
        </is>
      </c>
      <c r="G609" t="n">
        <v>6.8</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2025-11-12T10:08:43Z</dcterms:created>
  <dcterms:modified xmlns:dcterms="http://purl.org/dc/terms/" xmlns:xsi="http://www.w3.org/2001/XMLSchema-instance" xsi:type="dcterms:W3CDTF">2025-11-12T10:08:44Z</dcterms:modified>
</cp:coreProperties>
</file>