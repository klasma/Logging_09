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45795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45795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45795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45795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45795</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45795</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45795</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45795</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45795</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45795</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45795</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45795</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45795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45795</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45795</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45795</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45795</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45795</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45795</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45795</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45795</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45795</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45795</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45795</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45795</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45795</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45795</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45795</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45795</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45795</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45795</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45795</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45795</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45795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45795</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45795</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45795</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45795</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45795</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45795</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45795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45795</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45795</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45795</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45795</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45795</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45795</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45795</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45795</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45795</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45795</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45795</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45795</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45795</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45795</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45795</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45795</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45795</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45795</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45795</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45795</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45795</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45795</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45795</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45795</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45795</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45795</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45795</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45795</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45795</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45795</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45795</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45795</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45795</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45795</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45795</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45795</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45795</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45795</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45795</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45795</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45795</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45795</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45795</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45795</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45795</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45795</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45795</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45795</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45795</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45795</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45795</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45795</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45795</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45795</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45795</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45795</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45795</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45795</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45795</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45795</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45795</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45795</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45795</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45795</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45795</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45795</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45795</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45795</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45795</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45795</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45795</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45795</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45795</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45795</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45795</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45795</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45795</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45795</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45795</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45795</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45795</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45795</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45795</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45795</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45795</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45795</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45795</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45795</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45795</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45795</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45795</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45795</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45795</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45795</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45795</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45795</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45795</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45795</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45795</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45795</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45795</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45795</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45795</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45795</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45795</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45795</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12315-2024</t>
        </is>
      </c>
      <c r="B149" s="1" t="n">
        <v>45378</v>
      </c>
      <c r="C149" s="1" t="n">
        <v>45795</v>
      </c>
      <c r="D149" t="inlineStr">
        <is>
          <t>GOTLANDS LÄN</t>
        </is>
      </c>
      <c r="E149" t="inlineStr">
        <is>
          <t>GOTLAND</t>
        </is>
      </c>
      <c r="G149" t="n">
        <v>6</v>
      </c>
      <c r="H149" t="n">
        <v>3</v>
      </c>
      <c r="I149" t="n">
        <v>1</v>
      </c>
      <c r="J149" t="n">
        <v>1</v>
      </c>
      <c r="K149" t="n">
        <v>0</v>
      </c>
      <c r="L149" t="n">
        <v>0</v>
      </c>
      <c r="M149" t="n">
        <v>0</v>
      </c>
      <c r="N149" t="n">
        <v>0</v>
      </c>
      <c r="O149" t="n">
        <v>1</v>
      </c>
      <c r="P149" t="n">
        <v>0</v>
      </c>
      <c r="Q149" t="n">
        <v>3</v>
      </c>
      <c r="R149" s="2" t="inlineStr">
        <is>
          <t>Buskskvätta
Tvåblad
Fläcknycklar</t>
        </is>
      </c>
      <c r="S149">
        <f>HYPERLINK("https://klasma.github.io/Logging_0980/artfynd/A 12315-2024 artfynd.xlsx", "A 12315-2024")</f>
        <v/>
      </c>
      <c r="T149">
        <f>HYPERLINK("https://klasma.github.io/Logging_0980/kartor/A 12315-2024 karta.png", "A 12315-2024")</f>
        <v/>
      </c>
      <c r="V149">
        <f>HYPERLINK("https://klasma.github.io/Logging_0980/klagomål/A 12315-2024 FSC-klagomål.docx", "A 12315-2024")</f>
        <v/>
      </c>
      <c r="W149">
        <f>HYPERLINK("https://klasma.github.io/Logging_0980/klagomålsmail/A 12315-2024 FSC-klagomål mail.docx", "A 12315-2024")</f>
        <v/>
      </c>
      <c r="X149">
        <f>HYPERLINK("https://klasma.github.io/Logging_0980/tillsyn/A 12315-2024 tillsynsbegäran.docx", "A 12315-2024")</f>
        <v/>
      </c>
      <c r="Y149">
        <f>HYPERLINK("https://klasma.github.io/Logging_0980/tillsynsmail/A 12315-2024 tillsynsbegäran mail.docx", "A 12315-2024")</f>
        <v/>
      </c>
      <c r="Z149">
        <f>HYPERLINK("https://klasma.github.io/Logging_0980/fåglar/A 12315-2024 prioriterade fågelarter.docx", "A 12315-2024")</f>
        <v/>
      </c>
    </row>
    <row r="150" ht="15" customHeight="1">
      <c r="A150" t="inlineStr">
        <is>
          <t>A 16542-2024</t>
        </is>
      </c>
      <c r="B150" s="1" t="n">
        <v>45408</v>
      </c>
      <c r="C150" s="1" t="n">
        <v>45795</v>
      </c>
      <c r="D150" t="inlineStr">
        <is>
          <t>GOTLANDS LÄN</t>
        </is>
      </c>
      <c r="E150" t="inlineStr">
        <is>
          <t>GOTLAND</t>
        </is>
      </c>
      <c r="G150" t="n">
        <v>1.6</v>
      </c>
      <c r="H150" t="n">
        <v>2</v>
      </c>
      <c r="I150" t="n">
        <v>2</v>
      </c>
      <c r="J150" t="n">
        <v>1</v>
      </c>
      <c r="K150" t="n">
        <v>0</v>
      </c>
      <c r="L150" t="n">
        <v>0</v>
      </c>
      <c r="M150" t="n">
        <v>0</v>
      </c>
      <c r="N150" t="n">
        <v>0</v>
      </c>
      <c r="O150" t="n">
        <v>1</v>
      </c>
      <c r="P150" t="n">
        <v>0</v>
      </c>
      <c r="Q150" t="n">
        <v>3</v>
      </c>
      <c r="R150" s="2" t="inlineStr">
        <is>
          <t>Tallticka
Nästrot
Tvåblad</t>
        </is>
      </c>
      <c r="S150">
        <f>HYPERLINK("https://klasma.github.io/Logging_0980/artfynd/A 16542-2024 artfynd.xlsx", "A 16542-2024")</f>
        <v/>
      </c>
      <c r="T150">
        <f>HYPERLINK("https://klasma.github.io/Logging_0980/kartor/A 16542-2024 karta.png", "A 16542-2024")</f>
        <v/>
      </c>
      <c r="V150">
        <f>HYPERLINK("https://klasma.github.io/Logging_0980/klagomål/A 16542-2024 FSC-klagomål.docx", "A 16542-2024")</f>
        <v/>
      </c>
      <c r="W150">
        <f>HYPERLINK("https://klasma.github.io/Logging_0980/klagomålsmail/A 16542-2024 FSC-klagomål mail.docx", "A 16542-2024")</f>
        <v/>
      </c>
      <c r="X150">
        <f>HYPERLINK("https://klasma.github.io/Logging_0980/tillsyn/A 16542-2024 tillsynsbegäran.docx", "A 16542-2024")</f>
        <v/>
      </c>
      <c r="Y150">
        <f>HYPERLINK("https://klasma.github.io/Logging_0980/tillsynsmail/A 16542-2024 tillsynsbegäran mail.docx", "A 16542-2024")</f>
        <v/>
      </c>
    </row>
    <row r="151" ht="15" customHeight="1">
      <c r="A151" t="inlineStr">
        <is>
          <t>A 17975-2024</t>
        </is>
      </c>
      <c r="B151" s="1" t="n">
        <v>45419</v>
      </c>
      <c r="C151" s="1" t="n">
        <v>45795</v>
      </c>
      <c r="D151" t="inlineStr">
        <is>
          <t>GOTLANDS LÄN</t>
        </is>
      </c>
      <c r="E151" t="inlineStr">
        <is>
          <t>GOTLAND</t>
        </is>
      </c>
      <c r="G151" t="n">
        <v>7.9</v>
      </c>
      <c r="H151" t="n">
        <v>0</v>
      </c>
      <c r="I151" t="n">
        <v>1</v>
      </c>
      <c r="J151" t="n">
        <v>1</v>
      </c>
      <c r="K151" t="n">
        <v>0</v>
      </c>
      <c r="L151" t="n">
        <v>1</v>
      </c>
      <c r="M151" t="n">
        <v>0</v>
      </c>
      <c r="N151" t="n">
        <v>0</v>
      </c>
      <c r="O151" t="n">
        <v>2</v>
      </c>
      <c r="P151" t="n">
        <v>1</v>
      </c>
      <c r="Q151" t="n">
        <v>3</v>
      </c>
      <c r="R151" s="2" t="inlineStr">
        <is>
          <t>Ask
Skugglosta
Strävlosta</t>
        </is>
      </c>
      <c r="S151">
        <f>HYPERLINK("https://klasma.github.io/Logging_0980/artfynd/A 17975-2024 artfynd.xlsx", "A 17975-2024")</f>
        <v/>
      </c>
      <c r="T151">
        <f>HYPERLINK("https://klasma.github.io/Logging_0980/kartor/A 17975-2024 karta.png", "A 17975-2024")</f>
        <v/>
      </c>
      <c r="V151">
        <f>HYPERLINK("https://klasma.github.io/Logging_0980/klagomål/A 17975-2024 FSC-klagomål.docx", "A 17975-2024")</f>
        <v/>
      </c>
      <c r="W151">
        <f>HYPERLINK("https://klasma.github.io/Logging_0980/klagomålsmail/A 17975-2024 FSC-klagomål mail.docx", "A 17975-2024")</f>
        <v/>
      </c>
      <c r="X151">
        <f>HYPERLINK("https://klasma.github.io/Logging_0980/tillsyn/A 17975-2024 tillsynsbegäran.docx", "A 17975-2024")</f>
        <v/>
      </c>
      <c r="Y151">
        <f>HYPERLINK("https://klasma.github.io/Logging_0980/tillsynsmail/A 17975-2024 tillsynsbegäran mail.docx", "A 17975-2024")</f>
        <v/>
      </c>
    </row>
    <row r="152" ht="15" customHeight="1">
      <c r="A152" t="inlineStr">
        <is>
          <t>A 24345-2024</t>
        </is>
      </c>
      <c r="B152" s="1" t="n">
        <v>45457</v>
      </c>
      <c r="C152" s="1" t="n">
        <v>45795</v>
      </c>
      <c r="D152" t="inlineStr">
        <is>
          <t>GOTLANDS LÄN</t>
        </is>
      </c>
      <c r="E152" t="inlineStr">
        <is>
          <t>GOTLAND</t>
        </is>
      </c>
      <c r="G152" t="n">
        <v>5.2</v>
      </c>
      <c r="H152" t="n">
        <v>1</v>
      </c>
      <c r="I152" t="n">
        <v>1</v>
      </c>
      <c r="J152" t="n">
        <v>2</v>
      </c>
      <c r="K152" t="n">
        <v>0</v>
      </c>
      <c r="L152" t="n">
        <v>0</v>
      </c>
      <c r="M152" t="n">
        <v>0</v>
      </c>
      <c r="N152" t="n">
        <v>0</v>
      </c>
      <c r="O152" t="n">
        <v>2</v>
      </c>
      <c r="P152" t="n">
        <v>0</v>
      </c>
      <c r="Q152" t="n">
        <v>3</v>
      </c>
      <c r="R152" s="2" t="inlineStr">
        <is>
          <t>Backtimjan
Dårgräsfjäril
Rödgul trumpetsvamp</t>
        </is>
      </c>
      <c r="S152">
        <f>HYPERLINK("https://klasma.github.io/Logging_0980/artfynd/A 24345-2024 artfynd.xlsx", "A 24345-2024")</f>
        <v/>
      </c>
      <c r="T152">
        <f>HYPERLINK("https://klasma.github.io/Logging_0980/kartor/A 24345-2024 karta.png", "A 24345-2024")</f>
        <v/>
      </c>
      <c r="V152">
        <f>HYPERLINK("https://klasma.github.io/Logging_0980/klagomål/A 24345-2024 FSC-klagomål.docx", "A 24345-2024")</f>
        <v/>
      </c>
      <c r="W152">
        <f>HYPERLINK("https://klasma.github.io/Logging_0980/klagomålsmail/A 24345-2024 FSC-klagomål mail.docx", "A 24345-2024")</f>
        <v/>
      </c>
      <c r="X152">
        <f>HYPERLINK("https://klasma.github.io/Logging_0980/tillsyn/A 24345-2024 tillsynsbegäran.docx", "A 24345-2024")</f>
        <v/>
      </c>
      <c r="Y152">
        <f>HYPERLINK("https://klasma.github.io/Logging_0980/tillsynsmail/A 24345-2024 tillsynsbegäran mail.docx", "A 24345-2024")</f>
        <v/>
      </c>
    </row>
    <row r="153" ht="15" customHeight="1">
      <c r="A153" t="inlineStr">
        <is>
          <t>A 25981-2024</t>
        </is>
      </c>
      <c r="B153" s="1" t="n">
        <v>45467</v>
      </c>
      <c r="C153" s="1" t="n">
        <v>45795</v>
      </c>
      <c r="D153" t="inlineStr">
        <is>
          <t>GOTLANDS LÄN</t>
        </is>
      </c>
      <c r="E153" t="inlineStr">
        <is>
          <t>GOTLAND</t>
        </is>
      </c>
      <c r="G153" t="n">
        <v>5.9</v>
      </c>
      <c r="H153" t="n">
        <v>3</v>
      </c>
      <c r="I153" t="n">
        <v>2</v>
      </c>
      <c r="J153" t="n">
        <v>0</v>
      </c>
      <c r="K153" t="n">
        <v>0</v>
      </c>
      <c r="L153" t="n">
        <v>0</v>
      </c>
      <c r="M153" t="n">
        <v>0</v>
      </c>
      <c r="N153" t="n">
        <v>0</v>
      </c>
      <c r="O153" t="n">
        <v>0</v>
      </c>
      <c r="P153" t="n">
        <v>0</v>
      </c>
      <c r="Q153" t="n">
        <v>3</v>
      </c>
      <c r="R153" s="2" t="inlineStr">
        <is>
          <t>Purpurknipprot
Skogsknipprot
Fläcknycklar</t>
        </is>
      </c>
      <c r="S153">
        <f>HYPERLINK("https://klasma.github.io/Logging_0980/artfynd/A 25981-2024 artfynd.xlsx", "A 25981-2024")</f>
        <v/>
      </c>
      <c r="T153">
        <f>HYPERLINK("https://klasma.github.io/Logging_0980/kartor/A 25981-2024 karta.png", "A 25981-2024")</f>
        <v/>
      </c>
      <c r="V153">
        <f>HYPERLINK("https://klasma.github.io/Logging_0980/klagomål/A 25981-2024 FSC-klagomål.docx", "A 25981-2024")</f>
        <v/>
      </c>
      <c r="W153">
        <f>HYPERLINK("https://klasma.github.io/Logging_0980/klagomålsmail/A 25981-2024 FSC-klagomål mail.docx", "A 25981-2024")</f>
        <v/>
      </c>
      <c r="X153">
        <f>HYPERLINK("https://klasma.github.io/Logging_0980/tillsyn/A 25981-2024 tillsynsbegäran.docx", "A 25981-2024")</f>
        <v/>
      </c>
      <c r="Y153">
        <f>HYPERLINK("https://klasma.github.io/Logging_0980/tillsynsmail/A 25981-2024 tillsynsbegäran mail.docx", "A 25981-2024")</f>
        <v/>
      </c>
    </row>
    <row r="154" ht="15" customHeight="1">
      <c r="A154" t="inlineStr">
        <is>
          <t>A 54940-2024</t>
        </is>
      </c>
      <c r="B154" s="1" t="n">
        <v>45618</v>
      </c>
      <c r="C154" s="1" t="n">
        <v>45795</v>
      </c>
      <c r="D154" t="inlineStr">
        <is>
          <t>GOTLANDS LÄN</t>
        </is>
      </c>
      <c r="E154" t="inlineStr">
        <is>
          <t>GOTLAND</t>
        </is>
      </c>
      <c r="G154" t="n">
        <v>1.2</v>
      </c>
      <c r="H154" t="n">
        <v>2</v>
      </c>
      <c r="I154" t="n">
        <v>0</v>
      </c>
      <c r="J154" t="n">
        <v>1</v>
      </c>
      <c r="K154" t="n">
        <v>0</v>
      </c>
      <c r="L154" t="n">
        <v>0</v>
      </c>
      <c r="M154" t="n">
        <v>0</v>
      </c>
      <c r="N154" t="n">
        <v>0</v>
      </c>
      <c r="O154" t="n">
        <v>1</v>
      </c>
      <c r="P154" t="n">
        <v>0</v>
      </c>
      <c r="Q154" t="n">
        <v>3</v>
      </c>
      <c r="R154" s="2" t="inlineStr">
        <is>
          <t>Ängsstarr
Brudsporre
Dactylorhiza incarnata subsp. incarnata</t>
        </is>
      </c>
      <c r="S154">
        <f>HYPERLINK("https://klasma.github.io/Logging_0980/artfynd/A 54940-2024 artfynd.xlsx", "A 54940-2024")</f>
        <v/>
      </c>
      <c r="T154">
        <f>HYPERLINK("https://klasma.github.io/Logging_0980/kartor/A 54940-2024 karta.png", "A 54940-2024")</f>
        <v/>
      </c>
      <c r="V154">
        <f>HYPERLINK("https://klasma.github.io/Logging_0980/klagomål/A 54940-2024 FSC-klagomål.docx", "A 54940-2024")</f>
        <v/>
      </c>
      <c r="W154">
        <f>HYPERLINK("https://klasma.github.io/Logging_0980/klagomålsmail/A 54940-2024 FSC-klagomål mail.docx", "A 54940-2024")</f>
        <v/>
      </c>
      <c r="X154">
        <f>HYPERLINK("https://klasma.github.io/Logging_0980/tillsyn/A 54940-2024 tillsynsbegäran.docx", "A 54940-2024")</f>
        <v/>
      </c>
      <c r="Y154">
        <f>HYPERLINK("https://klasma.github.io/Logging_0980/tillsynsmail/A 54940-2024 tillsynsbegäran mail.docx", "A 54940-2024")</f>
        <v/>
      </c>
    </row>
    <row r="155" ht="15" customHeight="1">
      <c r="A155" t="inlineStr">
        <is>
          <t>A 2318-2025</t>
        </is>
      </c>
      <c r="B155" s="1" t="n">
        <v>45673</v>
      </c>
      <c r="C155" s="1" t="n">
        <v>45795</v>
      </c>
      <c r="D155" t="inlineStr">
        <is>
          <t>GOTLANDS LÄN</t>
        </is>
      </c>
      <c r="E155" t="inlineStr">
        <is>
          <t>GOTLAND</t>
        </is>
      </c>
      <c r="G155" t="n">
        <v>26.3</v>
      </c>
      <c r="H155" t="n">
        <v>0</v>
      </c>
      <c r="I155" t="n">
        <v>1</v>
      </c>
      <c r="J155" t="n">
        <v>1</v>
      </c>
      <c r="K155" t="n">
        <v>1</v>
      </c>
      <c r="L155" t="n">
        <v>0</v>
      </c>
      <c r="M155" t="n">
        <v>0</v>
      </c>
      <c r="N155" t="n">
        <v>0</v>
      </c>
      <c r="O155" t="n">
        <v>2</v>
      </c>
      <c r="P155" t="n">
        <v>1</v>
      </c>
      <c r="Q155" t="n">
        <v>3</v>
      </c>
      <c r="R155" s="2" t="inlineStr">
        <is>
          <t>Strandviol
Lunglav
Strävlosta</t>
        </is>
      </c>
      <c r="S155">
        <f>HYPERLINK("https://klasma.github.io/Logging_0980/artfynd/A 2318-2025 artfynd.xlsx", "A 2318-2025")</f>
        <v/>
      </c>
      <c r="T155">
        <f>HYPERLINK("https://klasma.github.io/Logging_0980/kartor/A 2318-2025 karta.png", "A 2318-2025")</f>
        <v/>
      </c>
      <c r="V155">
        <f>HYPERLINK("https://klasma.github.io/Logging_0980/klagomål/A 2318-2025 FSC-klagomål.docx", "A 2318-2025")</f>
        <v/>
      </c>
      <c r="W155">
        <f>HYPERLINK("https://klasma.github.io/Logging_0980/klagomålsmail/A 2318-2025 FSC-klagomål mail.docx", "A 2318-2025")</f>
        <v/>
      </c>
      <c r="X155">
        <f>HYPERLINK("https://klasma.github.io/Logging_0980/tillsyn/A 2318-2025 tillsynsbegäran.docx", "A 2318-2025")</f>
        <v/>
      </c>
      <c r="Y155">
        <f>HYPERLINK("https://klasma.github.io/Logging_0980/tillsynsmail/A 2318-2025 tillsynsbegäran mail.docx", "A 2318-2025")</f>
        <v/>
      </c>
    </row>
    <row r="156" ht="15" customHeight="1">
      <c r="A156" t="inlineStr">
        <is>
          <t>A 21897-2019</t>
        </is>
      </c>
      <c r="B156" s="1" t="n">
        <v>43584</v>
      </c>
      <c r="C156" s="1" t="n">
        <v>45795</v>
      </c>
      <c r="D156" t="inlineStr">
        <is>
          <t>GOTLANDS LÄN</t>
        </is>
      </c>
      <c r="E156" t="inlineStr">
        <is>
          <t>GOTLAND</t>
        </is>
      </c>
      <c r="G156" t="n">
        <v>7.4</v>
      </c>
      <c r="H156" t="n">
        <v>2</v>
      </c>
      <c r="I156" t="n">
        <v>1</v>
      </c>
      <c r="J156" t="n">
        <v>0</v>
      </c>
      <c r="K156" t="n">
        <v>0</v>
      </c>
      <c r="L156" t="n">
        <v>0</v>
      </c>
      <c r="M156" t="n">
        <v>0</v>
      </c>
      <c r="N156" t="n">
        <v>0</v>
      </c>
      <c r="O156" t="n">
        <v>0</v>
      </c>
      <c r="P156" t="n">
        <v>0</v>
      </c>
      <c r="Q156" t="n">
        <v>2</v>
      </c>
      <c r="R156" s="2" t="inlineStr">
        <is>
          <t>Korallrot
Nattviol</t>
        </is>
      </c>
      <c r="S156">
        <f>HYPERLINK("https://klasma.github.io/Logging_0980/artfynd/A 21897-2019 artfynd.xlsx", "A 21897-2019")</f>
        <v/>
      </c>
      <c r="T156">
        <f>HYPERLINK("https://klasma.github.io/Logging_0980/kartor/A 21897-2019 karta.png", "A 21897-2019")</f>
        <v/>
      </c>
      <c r="V156">
        <f>HYPERLINK("https://klasma.github.io/Logging_0980/klagomål/A 21897-2019 FSC-klagomål.docx", "A 21897-2019")</f>
        <v/>
      </c>
      <c r="W156">
        <f>HYPERLINK("https://klasma.github.io/Logging_0980/klagomålsmail/A 21897-2019 FSC-klagomål mail.docx", "A 21897-2019")</f>
        <v/>
      </c>
      <c r="X156">
        <f>HYPERLINK("https://klasma.github.io/Logging_0980/tillsyn/A 21897-2019 tillsynsbegäran.docx", "A 21897-2019")</f>
        <v/>
      </c>
      <c r="Y156">
        <f>HYPERLINK("https://klasma.github.io/Logging_0980/tillsynsmail/A 21897-2019 tillsynsbegäran mail.docx", "A 21897-2019")</f>
        <v/>
      </c>
    </row>
    <row r="157" ht="15" customHeight="1">
      <c r="A157" t="inlineStr">
        <is>
          <t>A 32969-2019</t>
        </is>
      </c>
      <c r="B157" s="1" t="n">
        <v>43648</v>
      </c>
      <c r="C157" s="1" t="n">
        <v>45795</v>
      </c>
      <c r="D157" t="inlineStr">
        <is>
          <t>GOTLANDS LÄN</t>
        </is>
      </c>
      <c r="E157" t="inlineStr">
        <is>
          <t>GOTLAND</t>
        </is>
      </c>
      <c r="G157" t="n">
        <v>5.1</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32969-2019 artfynd.xlsx", "A 32969-2019")</f>
        <v/>
      </c>
      <c r="T157">
        <f>HYPERLINK("https://klasma.github.io/Logging_0980/kartor/A 32969-2019 karta.png", "A 32969-2019")</f>
        <v/>
      </c>
      <c r="V157">
        <f>HYPERLINK("https://klasma.github.io/Logging_0980/klagomål/A 32969-2019 FSC-klagomål.docx", "A 32969-2019")</f>
        <v/>
      </c>
      <c r="W157">
        <f>HYPERLINK("https://klasma.github.io/Logging_0980/klagomålsmail/A 32969-2019 FSC-klagomål mail.docx", "A 32969-2019")</f>
        <v/>
      </c>
      <c r="X157">
        <f>HYPERLINK("https://klasma.github.io/Logging_0980/tillsyn/A 32969-2019 tillsynsbegäran.docx", "A 32969-2019")</f>
        <v/>
      </c>
      <c r="Y157">
        <f>HYPERLINK("https://klasma.github.io/Logging_0980/tillsynsmail/A 32969-2019 tillsynsbegäran mail.docx", "A 32969-2019")</f>
        <v/>
      </c>
    </row>
    <row r="158" ht="15" customHeight="1">
      <c r="A158" t="inlineStr">
        <is>
          <t>A 32966-2019</t>
        </is>
      </c>
      <c r="B158" s="1" t="n">
        <v>43648</v>
      </c>
      <c r="C158" s="1" t="n">
        <v>45795</v>
      </c>
      <c r="D158" t="inlineStr">
        <is>
          <t>GOTLANDS LÄN</t>
        </is>
      </c>
      <c r="E158" t="inlineStr">
        <is>
          <t>GOTLAND</t>
        </is>
      </c>
      <c r="G158" t="n">
        <v>4</v>
      </c>
      <c r="H158" t="n">
        <v>1</v>
      </c>
      <c r="I158" t="n">
        <v>1</v>
      </c>
      <c r="J158" t="n">
        <v>0</v>
      </c>
      <c r="K158" t="n">
        <v>0</v>
      </c>
      <c r="L158" t="n">
        <v>0</v>
      </c>
      <c r="M158" t="n">
        <v>0</v>
      </c>
      <c r="N158" t="n">
        <v>0</v>
      </c>
      <c r="O158" t="n">
        <v>0</v>
      </c>
      <c r="P158" t="n">
        <v>0</v>
      </c>
      <c r="Q158" t="n">
        <v>2</v>
      </c>
      <c r="R158" s="2" t="inlineStr">
        <is>
          <t>Kattfotslav
Blåsippa</t>
        </is>
      </c>
      <c r="S158">
        <f>HYPERLINK("https://klasma.github.io/Logging_0980/artfynd/A 32966-2019 artfynd.xlsx", "A 32966-2019")</f>
        <v/>
      </c>
      <c r="T158">
        <f>HYPERLINK("https://klasma.github.io/Logging_0980/kartor/A 32966-2019 karta.png", "A 32966-2019")</f>
        <v/>
      </c>
      <c r="V158">
        <f>HYPERLINK("https://klasma.github.io/Logging_0980/klagomål/A 32966-2019 FSC-klagomål.docx", "A 32966-2019")</f>
        <v/>
      </c>
      <c r="W158">
        <f>HYPERLINK("https://klasma.github.io/Logging_0980/klagomålsmail/A 32966-2019 FSC-klagomål mail.docx", "A 32966-2019")</f>
        <v/>
      </c>
      <c r="X158">
        <f>HYPERLINK("https://klasma.github.io/Logging_0980/tillsyn/A 32966-2019 tillsynsbegäran.docx", "A 32966-2019")</f>
        <v/>
      </c>
      <c r="Y158">
        <f>HYPERLINK("https://klasma.github.io/Logging_0980/tillsynsmail/A 32966-2019 tillsynsbegäran mail.docx", "A 32966-2019")</f>
        <v/>
      </c>
    </row>
    <row r="159" ht="15" customHeight="1">
      <c r="A159" t="inlineStr">
        <is>
          <t>A 43304-2019</t>
        </is>
      </c>
      <c r="B159" s="1" t="n">
        <v>43706</v>
      </c>
      <c r="C159" s="1" t="n">
        <v>45795</v>
      </c>
      <c r="D159" t="inlineStr">
        <is>
          <t>GOTLANDS LÄN</t>
        </is>
      </c>
      <c r="E159" t="inlineStr">
        <is>
          <t>GOTLAND</t>
        </is>
      </c>
      <c r="G159" t="n">
        <v>3.2</v>
      </c>
      <c r="H159" t="n">
        <v>2</v>
      </c>
      <c r="I159" t="n">
        <v>1</v>
      </c>
      <c r="J159" t="n">
        <v>0</v>
      </c>
      <c r="K159" t="n">
        <v>0</v>
      </c>
      <c r="L159" t="n">
        <v>0</v>
      </c>
      <c r="M159" t="n">
        <v>0</v>
      </c>
      <c r="N159" t="n">
        <v>0</v>
      </c>
      <c r="O159" t="n">
        <v>0</v>
      </c>
      <c r="P159" t="n">
        <v>0</v>
      </c>
      <c r="Q159" t="n">
        <v>2</v>
      </c>
      <c r="R159" s="2" t="inlineStr">
        <is>
          <t>Skogsknipprot
Blåsippa</t>
        </is>
      </c>
      <c r="S159">
        <f>HYPERLINK("https://klasma.github.io/Logging_0980/artfynd/A 43304-2019 artfynd.xlsx", "A 43304-2019")</f>
        <v/>
      </c>
      <c r="T159">
        <f>HYPERLINK("https://klasma.github.io/Logging_0980/kartor/A 43304-2019 karta.png", "A 43304-2019")</f>
        <v/>
      </c>
      <c r="V159">
        <f>HYPERLINK("https://klasma.github.io/Logging_0980/klagomål/A 43304-2019 FSC-klagomål.docx", "A 43304-2019")</f>
        <v/>
      </c>
      <c r="W159">
        <f>HYPERLINK("https://klasma.github.io/Logging_0980/klagomålsmail/A 43304-2019 FSC-klagomål mail.docx", "A 43304-2019")</f>
        <v/>
      </c>
      <c r="X159">
        <f>HYPERLINK("https://klasma.github.io/Logging_0980/tillsyn/A 43304-2019 tillsynsbegäran.docx", "A 43304-2019")</f>
        <v/>
      </c>
      <c r="Y159">
        <f>HYPERLINK("https://klasma.github.io/Logging_0980/tillsynsmail/A 43304-2019 tillsynsbegäran mail.docx", "A 43304-2019")</f>
        <v/>
      </c>
    </row>
    <row r="160" ht="15" customHeight="1">
      <c r="A160" t="inlineStr">
        <is>
          <t>A 334-2020</t>
        </is>
      </c>
      <c r="B160" s="1" t="n">
        <v>43837</v>
      </c>
      <c r="C160" s="1" t="n">
        <v>45795</v>
      </c>
      <c r="D160" t="inlineStr">
        <is>
          <t>GOTLANDS LÄN</t>
        </is>
      </c>
      <c r="E160" t="inlineStr">
        <is>
          <t>GOTLAND</t>
        </is>
      </c>
      <c r="G160" t="n">
        <v>5.3</v>
      </c>
      <c r="H160" t="n">
        <v>2</v>
      </c>
      <c r="I160" t="n">
        <v>0</v>
      </c>
      <c r="J160" t="n">
        <v>1</v>
      </c>
      <c r="K160" t="n">
        <v>0</v>
      </c>
      <c r="L160" t="n">
        <v>0</v>
      </c>
      <c r="M160" t="n">
        <v>0</v>
      </c>
      <c r="N160" t="n">
        <v>0</v>
      </c>
      <c r="O160" t="n">
        <v>1</v>
      </c>
      <c r="P160" t="n">
        <v>0</v>
      </c>
      <c r="Q160" t="n">
        <v>2</v>
      </c>
      <c r="R160" s="2" t="inlineStr">
        <is>
          <t>Smådopping
Mindre vattensalamander</t>
        </is>
      </c>
      <c r="S160">
        <f>HYPERLINK("https://klasma.github.io/Logging_0980/artfynd/A 334-2020 artfynd.xlsx", "A 334-2020")</f>
        <v/>
      </c>
      <c r="T160">
        <f>HYPERLINK("https://klasma.github.io/Logging_0980/kartor/A 334-2020 karta.png", "A 334-2020")</f>
        <v/>
      </c>
      <c r="V160">
        <f>HYPERLINK("https://klasma.github.io/Logging_0980/klagomål/A 334-2020 FSC-klagomål.docx", "A 334-2020")</f>
        <v/>
      </c>
      <c r="W160">
        <f>HYPERLINK("https://klasma.github.io/Logging_0980/klagomålsmail/A 334-2020 FSC-klagomål mail.docx", "A 334-2020")</f>
        <v/>
      </c>
      <c r="X160">
        <f>HYPERLINK("https://klasma.github.io/Logging_0980/tillsyn/A 334-2020 tillsynsbegäran.docx", "A 334-2020")</f>
        <v/>
      </c>
      <c r="Y160">
        <f>HYPERLINK("https://klasma.github.io/Logging_0980/tillsynsmail/A 334-2020 tillsynsbegäran mail.docx", "A 334-2020")</f>
        <v/>
      </c>
    </row>
    <row r="161" ht="15" customHeight="1">
      <c r="A161" t="inlineStr">
        <is>
          <t>A 4812-2020</t>
        </is>
      </c>
      <c r="B161" s="1" t="n">
        <v>43852</v>
      </c>
      <c r="C161" s="1" t="n">
        <v>45795</v>
      </c>
      <c r="D161" t="inlineStr">
        <is>
          <t>GOTLANDS LÄN</t>
        </is>
      </c>
      <c r="E161" t="inlineStr">
        <is>
          <t>GOTLAND</t>
        </is>
      </c>
      <c r="G161" t="n">
        <v>3.9</v>
      </c>
      <c r="H161" t="n">
        <v>1</v>
      </c>
      <c r="I161" t="n">
        <v>1</v>
      </c>
      <c r="J161" t="n">
        <v>0</v>
      </c>
      <c r="K161" t="n">
        <v>1</v>
      </c>
      <c r="L161" t="n">
        <v>0</v>
      </c>
      <c r="M161" t="n">
        <v>0</v>
      </c>
      <c r="N161" t="n">
        <v>0</v>
      </c>
      <c r="O161" t="n">
        <v>1</v>
      </c>
      <c r="P161" t="n">
        <v>1</v>
      </c>
      <c r="Q161" t="n">
        <v>2</v>
      </c>
      <c r="R161" s="2" t="inlineStr">
        <is>
          <t>Gotlandsmåra
Nästrot</t>
        </is>
      </c>
      <c r="S161">
        <f>HYPERLINK("https://klasma.github.io/Logging_0980/artfynd/A 4812-2020 artfynd.xlsx", "A 4812-2020")</f>
        <v/>
      </c>
      <c r="T161">
        <f>HYPERLINK("https://klasma.github.io/Logging_0980/kartor/A 4812-2020 karta.png", "A 4812-2020")</f>
        <v/>
      </c>
      <c r="V161">
        <f>HYPERLINK("https://klasma.github.io/Logging_0980/klagomål/A 4812-2020 FSC-klagomål.docx", "A 4812-2020")</f>
        <v/>
      </c>
      <c r="W161">
        <f>HYPERLINK("https://klasma.github.io/Logging_0980/klagomålsmail/A 4812-2020 FSC-klagomål mail.docx", "A 4812-2020")</f>
        <v/>
      </c>
      <c r="X161">
        <f>HYPERLINK("https://klasma.github.io/Logging_0980/tillsyn/A 4812-2020 tillsynsbegäran.docx", "A 4812-2020")</f>
        <v/>
      </c>
      <c r="Y161">
        <f>HYPERLINK("https://klasma.github.io/Logging_0980/tillsynsmail/A 4812-2020 tillsynsbegäran mail.docx", "A 4812-2020")</f>
        <v/>
      </c>
    </row>
    <row r="162" ht="15" customHeight="1">
      <c r="A162" t="inlineStr">
        <is>
          <t>A 40879-2020</t>
        </is>
      </c>
      <c r="B162" s="1" t="n">
        <v>44070</v>
      </c>
      <c r="C162" s="1" t="n">
        <v>45795</v>
      </c>
      <c r="D162" t="inlineStr">
        <is>
          <t>GOTLANDS LÄN</t>
        </is>
      </c>
      <c r="E162" t="inlineStr">
        <is>
          <t>GOTLAND</t>
        </is>
      </c>
      <c r="G162" t="n">
        <v>6.4</v>
      </c>
      <c r="H162" t="n">
        <v>0</v>
      </c>
      <c r="I162" t="n">
        <v>1</v>
      </c>
      <c r="J162" t="n">
        <v>1</v>
      </c>
      <c r="K162" t="n">
        <v>0</v>
      </c>
      <c r="L162" t="n">
        <v>0</v>
      </c>
      <c r="M162" t="n">
        <v>0</v>
      </c>
      <c r="N162" t="n">
        <v>0</v>
      </c>
      <c r="O162" t="n">
        <v>1</v>
      </c>
      <c r="P162" t="n">
        <v>0</v>
      </c>
      <c r="Q162" t="n">
        <v>2</v>
      </c>
      <c r="R162" s="2" t="inlineStr">
        <is>
          <t>Odörspindling
Olivspindling</t>
        </is>
      </c>
      <c r="S162">
        <f>HYPERLINK("https://klasma.github.io/Logging_0980/artfynd/A 40879-2020 artfynd.xlsx", "A 40879-2020")</f>
        <v/>
      </c>
      <c r="T162">
        <f>HYPERLINK("https://klasma.github.io/Logging_0980/kartor/A 40879-2020 karta.png", "A 40879-2020")</f>
        <v/>
      </c>
      <c r="V162">
        <f>HYPERLINK("https://klasma.github.io/Logging_0980/klagomål/A 40879-2020 FSC-klagomål.docx", "A 40879-2020")</f>
        <v/>
      </c>
      <c r="W162">
        <f>HYPERLINK("https://klasma.github.io/Logging_0980/klagomålsmail/A 40879-2020 FSC-klagomål mail.docx", "A 40879-2020")</f>
        <v/>
      </c>
      <c r="X162">
        <f>HYPERLINK("https://klasma.github.io/Logging_0980/tillsyn/A 40879-2020 tillsynsbegäran.docx", "A 40879-2020")</f>
        <v/>
      </c>
      <c r="Y162">
        <f>HYPERLINK("https://klasma.github.io/Logging_0980/tillsynsmail/A 40879-2020 tillsynsbegäran mail.docx", "A 40879-2020")</f>
        <v/>
      </c>
    </row>
    <row r="163" ht="15" customHeight="1">
      <c r="A163" t="inlineStr">
        <is>
          <t>A 43321-2020</t>
        </is>
      </c>
      <c r="B163" s="1" t="n">
        <v>44081</v>
      </c>
      <c r="C163" s="1" t="n">
        <v>45795</v>
      </c>
      <c r="D163" t="inlineStr">
        <is>
          <t>GOTLANDS LÄN</t>
        </is>
      </c>
      <c r="E163" t="inlineStr">
        <is>
          <t>GOTLAND</t>
        </is>
      </c>
      <c r="G163" t="n">
        <v>10</v>
      </c>
      <c r="H163" t="n">
        <v>1</v>
      </c>
      <c r="I163" t="n">
        <v>0</v>
      </c>
      <c r="J163" t="n">
        <v>2</v>
      </c>
      <c r="K163" t="n">
        <v>0</v>
      </c>
      <c r="L163" t="n">
        <v>0</v>
      </c>
      <c r="M163" t="n">
        <v>0</v>
      </c>
      <c r="N163" t="n">
        <v>0</v>
      </c>
      <c r="O163" t="n">
        <v>2</v>
      </c>
      <c r="P163" t="n">
        <v>0</v>
      </c>
      <c r="Q163" t="n">
        <v>2</v>
      </c>
      <c r="R163" s="2" t="inlineStr">
        <is>
          <t>Buskskvätta
Ängsnätfjäril</t>
        </is>
      </c>
      <c r="S163">
        <f>HYPERLINK("https://klasma.github.io/Logging_0980/artfynd/A 43321-2020 artfynd.xlsx", "A 43321-2020")</f>
        <v/>
      </c>
      <c r="T163">
        <f>HYPERLINK("https://klasma.github.io/Logging_0980/kartor/A 43321-2020 karta.png", "A 43321-2020")</f>
        <v/>
      </c>
      <c r="V163">
        <f>HYPERLINK("https://klasma.github.io/Logging_0980/klagomål/A 43321-2020 FSC-klagomål.docx", "A 43321-2020")</f>
        <v/>
      </c>
      <c r="W163">
        <f>HYPERLINK("https://klasma.github.io/Logging_0980/klagomålsmail/A 43321-2020 FSC-klagomål mail.docx", "A 43321-2020")</f>
        <v/>
      </c>
      <c r="X163">
        <f>HYPERLINK("https://klasma.github.io/Logging_0980/tillsyn/A 43321-2020 tillsynsbegäran.docx", "A 43321-2020")</f>
        <v/>
      </c>
      <c r="Y163">
        <f>HYPERLINK("https://klasma.github.io/Logging_0980/tillsynsmail/A 43321-2020 tillsynsbegäran mail.docx", "A 43321-2020")</f>
        <v/>
      </c>
      <c r="Z163">
        <f>HYPERLINK("https://klasma.github.io/Logging_0980/fåglar/A 43321-2020 prioriterade fågelarter.docx", "A 43321-2020")</f>
        <v/>
      </c>
    </row>
    <row r="164" ht="15" customHeight="1">
      <c r="A164" t="inlineStr">
        <is>
          <t>A 58701-2020</t>
        </is>
      </c>
      <c r="B164" s="1" t="n">
        <v>44146</v>
      </c>
      <c r="C164" s="1" t="n">
        <v>45795</v>
      </c>
      <c r="D164" t="inlineStr">
        <is>
          <t>GOTLANDS LÄN</t>
        </is>
      </c>
      <c r="E164" t="inlineStr">
        <is>
          <t>GOTLAND</t>
        </is>
      </c>
      <c r="G164" t="n">
        <v>5.5</v>
      </c>
      <c r="H164" t="n">
        <v>0</v>
      </c>
      <c r="I164" t="n">
        <v>0</v>
      </c>
      <c r="J164" t="n">
        <v>1</v>
      </c>
      <c r="K164" t="n">
        <v>1</v>
      </c>
      <c r="L164" t="n">
        <v>0</v>
      </c>
      <c r="M164" t="n">
        <v>0</v>
      </c>
      <c r="N164" t="n">
        <v>0</v>
      </c>
      <c r="O164" t="n">
        <v>2</v>
      </c>
      <c r="P164" t="n">
        <v>1</v>
      </c>
      <c r="Q164" t="n">
        <v>2</v>
      </c>
      <c r="R164" s="2" t="inlineStr">
        <is>
          <t>Vit taggsvamp
Odörspindling</t>
        </is>
      </c>
      <c r="S164">
        <f>HYPERLINK("https://klasma.github.io/Logging_0980/artfynd/A 58701-2020 artfynd.xlsx", "A 58701-2020")</f>
        <v/>
      </c>
      <c r="T164">
        <f>HYPERLINK("https://klasma.github.io/Logging_0980/kartor/A 58701-2020 karta.png", "A 58701-2020")</f>
        <v/>
      </c>
      <c r="V164">
        <f>HYPERLINK("https://klasma.github.io/Logging_0980/klagomål/A 58701-2020 FSC-klagomål.docx", "A 58701-2020")</f>
        <v/>
      </c>
      <c r="W164">
        <f>HYPERLINK("https://klasma.github.io/Logging_0980/klagomålsmail/A 58701-2020 FSC-klagomål mail.docx", "A 58701-2020")</f>
        <v/>
      </c>
      <c r="X164">
        <f>HYPERLINK("https://klasma.github.io/Logging_0980/tillsyn/A 58701-2020 tillsynsbegäran.docx", "A 58701-2020")</f>
        <v/>
      </c>
      <c r="Y164">
        <f>HYPERLINK("https://klasma.github.io/Logging_0980/tillsynsmail/A 58701-2020 tillsynsbegäran mail.docx", "A 58701-2020")</f>
        <v/>
      </c>
    </row>
    <row r="165" ht="15" customHeight="1">
      <c r="A165" t="inlineStr">
        <is>
          <t>A 64263-2020</t>
        </is>
      </c>
      <c r="B165" s="1" t="n">
        <v>44168</v>
      </c>
      <c r="C165" s="1" t="n">
        <v>45795</v>
      </c>
      <c r="D165" t="inlineStr">
        <is>
          <t>GOTLANDS LÄN</t>
        </is>
      </c>
      <c r="E165" t="inlineStr">
        <is>
          <t>GOTLAND</t>
        </is>
      </c>
      <c r="G165" t="n">
        <v>10.9</v>
      </c>
      <c r="H165" t="n">
        <v>1</v>
      </c>
      <c r="I165" t="n">
        <v>0</v>
      </c>
      <c r="J165" t="n">
        <v>2</v>
      </c>
      <c r="K165" t="n">
        <v>0</v>
      </c>
      <c r="L165" t="n">
        <v>0</v>
      </c>
      <c r="M165" t="n">
        <v>0</v>
      </c>
      <c r="N165" t="n">
        <v>0</v>
      </c>
      <c r="O165" t="n">
        <v>2</v>
      </c>
      <c r="P165" t="n">
        <v>0</v>
      </c>
      <c r="Q165" t="n">
        <v>2</v>
      </c>
      <c r="R165" s="2" t="inlineStr">
        <is>
          <t>Mindre hackspett
Ullticka</t>
        </is>
      </c>
      <c r="S165">
        <f>HYPERLINK("https://klasma.github.io/Logging_0980/artfynd/A 64263-2020 artfynd.xlsx", "A 64263-2020")</f>
        <v/>
      </c>
      <c r="T165">
        <f>HYPERLINK("https://klasma.github.io/Logging_0980/kartor/A 64263-2020 karta.png", "A 64263-2020")</f>
        <v/>
      </c>
      <c r="V165">
        <f>HYPERLINK("https://klasma.github.io/Logging_0980/klagomål/A 64263-2020 FSC-klagomål.docx", "A 64263-2020")</f>
        <v/>
      </c>
      <c r="W165">
        <f>HYPERLINK("https://klasma.github.io/Logging_0980/klagomålsmail/A 64263-2020 FSC-klagomål mail.docx", "A 64263-2020")</f>
        <v/>
      </c>
      <c r="X165">
        <f>HYPERLINK("https://klasma.github.io/Logging_0980/tillsyn/A 64263-2020 tillsynsbegäran.docx", "A 64263-2020")</f>
        <v/>
      </c>
      <c r="Y165">
        <f>HYPERLINK("https://klasma.github.io/Logging_0980/tillsynsmail/A 64263-2020 tillsynsbegäran mail.docx", "A 64263-2020")</f>
        <v/>
      </c>
      <c r="Z165">
        <f>HYPERLINK("https://klasma.github.io/Logging_0980/fåglar/A 64263-2020 prioriterade fågelarter.docx", "A 64263-2020")</f>
        <v/>
      </c>
    </row>
    <row r="166" ht="15" customHeight="1">
      <c r="A166" t="inlineStr">
        <is>
          <t>A 9930-2021</t>
        </is>
      </c>
      <c r="B166" s="1" t="n">
        <v>44252</v>
      </c>
      <c r="C166" s="1" t="n">
        <v>45795</v>
      </c>
      <c r="D166" t="inlineStr">
        <is>
          <t>GOTLANDS LÄN</t>
        </is>
      </c>
      <c r="E166" t="inlineStr">
        <is>
          <t>GOTLAND</t>
        </is>
      </c>
      <c r="G166" t="n">
        <v>1.9</v>
      </c>
      <c r="H166" t="n">
        <v>0</v>
      </c>
      <c r="I166" t="n">
        <v>0</v>
      </c>
      <c r="J166" t="n">
        <v>0</v>
      </c>
      <c r="K166" t="n">
        <v>0</v>
      </c>
      <c r="L166" t="n">
        <v>1</v>
      </c>
      <c r="M166" t="n">
        <v>1</v>
      </c>
      <c r="N166" t="n">
        <v>0</v>
      </c>
      <c r="O166" t="n">
        <v>2</v>
      </c>
      <c r="P166" t="n">
        <v>2</v>
      </c>
      <c r="Q166" t="n">
        <v>2</v>
      </c>
      <c r="R166" s="2" t="inlineStr">
        <is>
          <t>Lundalm
Ask</t>
        </is>
      </c>
      <c r="S166">
        <f>HYPERLINK("https://klasma.github.io/Logging_0980/artfynd/A 9930-2021 artfynd.xlsx", "A 9930-2021")</f>
        <v/>
      </c>
      <c r="T166">
        <f>HYPERLINK("https://klasma.github.io/Logging_0980/kartor/A 9930-2021 karta.png", "A 9930-2021")</f>
        <v/>
      </c>
      <c r="V166">
        <f>HYPERLINK("https://klasma.github.io/Logging_0980/klagomål/A 9930-2021 FSC-klagomål.docx", "A 9930-2021")</f>
        <v/>
      </c>
      <c r="W166">
        <f>HYPERLINK("https://klasma.github.io/Logging_0980/klagomålsmail/A 9930-2021 FSC-klagomål mail.docx", "A 9930-2021")</f>
        <v/>
      </c>
      <c r="X166">
        <f>HYPERLINK("https://klasma.github.io/Logging_0980/tillsyn/A 9930-2021 tillsynsbegäran.docx", "A 9930-2021")</f>
        <v/>
      </c>
      <c r="Y166">
        <f>HYPERLINK("https://klasma.github.io/Logging_0980/tillsynsmail/A 9930-2021 tillsynsbegäran mail.docx", "A 9930-2021")</f>
        <v/>
      </c>
    </row>
    <row r="167" ht="15" customHeight="1">
      <c r="A167" t="inlineStr">
        <is>
          <t>A 16429-2021</t>
        </is>
      </c>
      <c r="B167" s="1" t="n">
        <v>44293</v>
      </c>
      <c r="C167" s="1" t="n">
        <v>45795</v>
      </c>
      <c r="D167" t="inlineStr">
        <is>
          <t>GOTLANDS LÄN</t>
        </is>
      </c>
      <c r="E167" t="inlineStr">
        <is>
          <t>GOTLAND</t>
        </is>
      </c>
      <c r="G167" t="n">
        <v>3.4</v>
      </c>
      <c r="H167" t="n">
        <v>0</v>
      </c>
      <c r="I167" t="n">
        <v>0</v>
      </c>
      <c r="J167" t="n">
        <v>1</v>
      </c>
      <c r="K167" t="n">
        <v>1</v>
      </c>
      <c r="L167" t="n">
        <v>0</v>
      </c>
      <c r="M167" t="n">
        <v>0</v>
      </c>
      <c r="N167" t="n">
        <v>0</v>
      </c>
      <c r="O167" t="n">
        <v>2</v>
      </c>
      <c r="P167" t="n">
        <v>1</v>
      </c>
      <c r="Q167" t="n">
        <v>2</v>
      </c>
      <c r="R167" s="2" t="inlineStr">
        <is>
          <t>Gotlandsmåra
Barrviolspindling</t>
        </is>
      </c>
      <c r="S167">
        <f>HYPERLINK("https://klasma.github.io/Logging_0980/artfynd/A 16429-2021 artfynd.xlsx", "A 16429-2021")</f>
        <v/>
      </c>
      <c r="T167">
        <f>HYPERLINK("https://klasma.github.io/Logging_0980/kartor/A 16429-2021 karta.png", "A 16429-2021")</f>
        <v/>
      </c>
      <c r="V167">
        <f>HYPERLINK("https://klasma.github.io/Logging_0980/klagomål/A 16429-2021 FSC-klagomål.docx", "A 16429-2021")</f>
        <v/>
      </c>
      <c r="W167">
        <f>HYPERLINK("https://klasma.github.io/Logging_0980/klagomålsmail/A 16429-2021 FSC-klagomål mail.docx", "A 16429-2021")</f>
        <v/>
      </c>
      <c r="X167">
        <f>HYPERLINK("https://klasma.github.io/Logging_0980/tillsyn/A 16429-2021 tillsynsbegäran.docx", "A 16429-2021")</f>
        <v/>
      </c>
      <c r="Y167">
        <f>HYPERLINK("https://klasma.github.io/Logging_0980/tillsynsmail/A 16429-2021 tillsynsbegäran mail.docx", "A 16429-2021")</f>
        <v/>
      </c>
    </row>
    <row r="168" ht="15" customHeight="1">
      <c r="A168" t="inlineStr">
        <is>
          <t>A 29870-2021</t>
        </is>
      </c>
      <c r="B168" s="1" t="n">
        <v>44362</v>
      </c>
      <c r="C168" s="1" t="n">
        <v>45795</v>
      </c>
      <c r="D168" t="inlineStr">
        <is>
          <t>GOTLANDS LÄN</t>
        </is>
      </c>
      <c r="E168" t="inlineStr">
        <is>
          <t>GOTLAND</t>
        </is>
      </c>
      <c r="G168" t="n">
        <v>2.4</v>
      </c>
      <c r="H168" t="n">
        <v>0</v>
      </c>
      <c r="I168" t="n">
        <v>1</v>
      </c>
      <c r="J168" t="n">
        <v>0</v>
      </c>
      <c r="K168" t="n">
        <v>1</v>
      </c>
      <c r="L168" t="n">
        <v>0</v>
      </c>
      <c r="M168" t="n">
        <v>0</v>
      </c>
      <c r="N168" t="n">
        <v>0</v>
      </c>
      <c r="O168" t="n">
        <v>1</v>
      </c>
      <c r="P168" t="n">
        <v>1</v>
      </c>
      <c r="Q168" t="n">
        <v>2</v>
      </c>
      <c r="R168" s="2" t="inlineStr">
        <is>
          <t>Blåfotad fagerspindling
Olivspindling</t>
        </is>
      </c>
      <c r="S168">
        <f>HYPERLINK("https://klasma.github.io/Logging_0980/artfynd/A 29870-2021 artfynd.xlsx", "A 29870-2021")</f>
        <v/>
      </c>
      <c r="T168">
        <f>HYPERLINK("https://klasma.github.io/Logging_0980/kartor/A 29870-2021 karta.png", "A 29870-2021")</f>
        <v/>
      </c>
      <c r="V168">
        <f>HYPERLINK("https://klasma.github.io/Logging_0980/klagomål/A 29870-2021 FSC-klagomål.docx", "A 29870-2021")</f>
        <v/>
      </c>
      <c r="W168">
        <f>HYPERLINK("https://klasma.github.io/Logging_0980/klagomålsmail/A 29870-2021 FSC-klagomål mail.docx", "A 29870-2021")</f>
        <v/>
      </c>
      <c r="X168">
        <f>HYPERLINK("https://klasma.github.io/Logging_0980/tillsyn/A 29870-2021 tillsynsbegäran.docx", "A 29870-2021")</f>
        <v/>
      </c>
      <c r="Y168">
        <f>HYPERLINK("https://klasma.github.io/Logging_0980/tillsynsmail/A 29870-2021 tillsynsbegäran mail.docx", "A 29870-2021")</f>
        <v/>
      </c>
    </row>
    <row r="169" ht="15" customHeight="1">
      <c r="A169" t="inlineStr">
        <is>
          <t>A 41346-2021</t>
        </is>
      </c>
      <c r="B169" s="1" t="n">
        <v>44424</v>
      </c>
      <c r="C169" s="1" t="n">
        <v>45795</v>
      </c>
      <c r="D169" t="inlineStr">
        <is>
          <t>GOTLANDS LÄN</t>
        </is>
      </c>
      <c r="E169" t="inlineStr">
        <is>
          <t>GOTLAND</t>
        </is>
      </c>
      <c r="G169" t="n">
        <v>0.9</v>
      </c>
      <c r="H169" t="n">
        <v>0</v>
      </c>
      <c r="I169" t="n">
        <v>1</v>
      </c>
      <c r="J169" t="n">
        <v>0</v>
      </c>
      <c r="K169" t="n">
        <v>1</v>
      </c>
      <c r="L169" t="n">
        <v>0</v>
      </c>
      <c r="M169" t="n">
        <v>0</v>
      </c>
      <c r="N169" t="n">
        <v>0</v>
      </c>
      <c r="O169" t="n">
        <v>1</v>
      </c>
      <c r="P169" t="n">
        <v>1</v>
      </c>
      <c r="Q169" t="n">
        <v>2</v>
      </c>
      <c r="R169" s="2" t="inlineStr">
        <is>
          <t>Vit taggsvamp
Fjällig taggsvamp s.str.</t>
        </is>
      </c>
      <c r="S169">
        <f>HYPERLINK("https://klasma.github.io/Logging_0980/artfynd/A 41346-2021 artfynd.xlsx", "A 41346-2021")</f>
        <v/>
      </c>
      <c r="T169">
        <f>HYPERLINK("https://klasma.github.io/Logging_0980/kartor/A 41346-2021 karta.png", "A 41346-2021")</f>
        <v/>
      </c>
      <c r="V169">
        <f>HYPERLINK("https://klasma.github.io/Logging_0980/klagomål/A 41346-2021 FSC-klagomål.docx", "A 41346-2021")</f>
        <v/>
      </c>
      <c r="W169">
        <f>HYPERLINK("https://klasma.github.io/Logging_0980/klagomålsmail/A 41346-2021 FSC-klagomål mail.docx", "A 41346-2021")</f>
        <v/>
      </c>
      <c r="X169">
        <f>HYPERLINK("https://klasma.github.io/Logging_0980/tillsyn/A 41346-2021 tillsynsbegäran.docx", "A 41346-2021")</f>
        <v/>
      </c>
      <c r="Y169">
        <f>HYPERLINK("https://klasma.github.io/Logging_0980/tillsynsmail/A 41346-2021 tillsynsbegäran mail.docx", "A 41346-2021")</f>
        <v/>
      </c>
    </row>
    <row r="170" ht="15" customHeight="1">
      <c r="A170" t="inlineStr">
        <is>
          <t>A 51737-2021</t>
        </is>
      </c>
      <c r="B170" s="1" t="n">
        <v>44462</v>
      </c>
      <c r="C170" s="1" t="n">
        <v>45795</v>
      </c>
      <c r="D170" t="inlineStr">
        <is>
          <t>GOTLANDS LÄN</t>
        </is>
      </c>
      <c r="E170" t="inlineStr">
        <is>
          <t>GOTLAND</t>
        </is>
      </c>
      <c r="G170" t="n">
        <v>8.6</v>
      </c>
      <c r="H170" t="n">
        <v>0</v>
      </c>
      <c r="I170" t="n">
        <v>1</v>
      </c>
      <c r="J170" t="n">
        <v>1</v>
      </c>
      <c r="K170" t="n">
        <v>0</v>
      </c>
      <c r="L170" t="n">
        <v>0</v>
      </c>
      <c r="M170" t="n">
        <v>0</v>
      </c>
      <c r="N170" t="n">
        <v>0</v>
      </c>
      <c r="O170" t="n">
        <v>1</v>
      </c>
      <c r="P170" t="n">
        <v>0</v>
      </c>
      <c r="Q170" t="n">
        <v>2</v>
      </c>
      <c r="R170" s="2" t="inlineStr">
        <is>
          <t>Igelkott
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60665-2021</t>
        </is>
      </c>
      <c r="B171" s="1" t="n">
        <v>44496</v>
      </c>
      <c r="C171" s="1" t="n">
        <v>45795</v>
      </c>
      <c r="D171" t="inlineStr">
        <is>
          <t>GOTLANDS LÄN</t>
        </is>
      </c>
      <c r="E171" t="inlineStr">
        <is>
          <t>GOTLAND</t>
        </is>
      </c>
      <c r="G171" t="n">
        <v>1.6</v>
      </c>
      <c r="H171" t="n">
        <v>0</v>
      </c>
      <c r="I171" t="n">
        <v>0</v>
      </c>
      <c r="J171" t="n">
        <v>0</v>
      </c>
      <c r="K171" t="n">
        <v>1</v>
      </c>
      <c r="L171" t="n">
        <v>1</v>
      </c>
      <c r="M171" t="n">
        <v>0</v>
      </c>
      <c r="N171" t="n">
        <v>0</v>
      </c>
      <c r="O171" t="n">
        <v>2</v>
      </c>
      <c r="P171" t="n">
        <v>2</v>
      </c>
      <c r="Q171" t="n">
        <v>2</v>
      </c>
      <c r="R171" s="2" t="inlineStr">
        <is>
          <t>Ädellav
Skogskorn</t>
        </is>
      </c>
      <c r="S171">
        <f>HYPERLINK("https://klasma.github.io/Logging_0980/artfynd/A 60665-2021 artfynd.xlsx", "A 60665-2021")</f>
        <v/>
      </c>
      <c r="T171">
        <f>HYPERLINK("https://klasma.github.io/Logging_0980/kartor/A 60665-2021 karta.png", "A 60665-2021")</f>
        <v/>
      </c>
      <c r="V171">
        <f>HYPERLINK("https://klasma.github.io/Logging_0980/klagomål/A 60665-2021 FSC-klagomål.docx", "A 60665-2021")</f>
        <v/>
      </c>
      <c r="W171">
        <f>HYPERLINK("https://klasma.github.io/Logging_0980/klagomålsmail/A 60665-2021 FSC-klagomål mail.docx", "A 60665-2021")</f>
        <v/>
      </c>
      <c r="X171">
        <f>HYPERLINK("https://klasma.github.io/Logging_0980/tillsyn/A 60665-2021 tillsynsbegäran.docx", "A 60665-2021")</f>
        <v/>
      </c>
      <c r="Y171">
        <f>HYPERLINK("https://klasma.github.io/Logging_0980/tillsynsmail/A 60665-2021 tillsynsbegäran mail.docx", "A 60665-2021")</f>
        <v/>
      </c>
    </row>
    <row r="172" ht="15" customHeight="1">
      <c r="A172" t="inlineStr">
        <is>
          <t>A 73144-2021</t>
        </is>
      </c>
      <c r="B172" s="1" t="n">
        <v>44550</v>
      </c>
      <c r="C172" s="1" t="n">
        <v>45795</v>
      </c>
      <c r="D172" t="inlineStr">
        <is>
          <t>GOTLANDS LÄN</t>
        </is>
      </c>
      <c r="E172" t="inlineStr">
        <is>
          <t>GOTLAND</t>
        </is>
      </c>
      <c r="G172" t="n">
        <v>1.9</v>
      </c>
      <c r="H172" t="n">
        <v>0</v>
      </c>
      <c r="I172" t="n">
        <v>1</v>
      </c>
      <c r="J172" t="n">
        <v>0</v>
      </c>
      <c r="K172" t="n">
        <v>1</v>
      </c>
      <c r="L172" t="n">
        <v>0</v>
      </c>
      <c r="M172" t="n">
        <v>0</v>
      </c>
      <c r="N172" t="n">
        <v>0</v>
      </c>
      <c r="O172" t="n">
        <v>1</v>
      </c>
      <c r="P172" t="n">
        <v>1</v>
      </c>
      <c r="Q172" t="n">
        <v>2</v>
      </c>
      <c r="R172" s="2" t="inlineStr">
        <is>
          <t>Skogskorn
Kambräken</t>
        </is>
      </c>
      <c r="S172">
        <f>HYPERLINK("https://klasma.github.io/Logging_0980/artfynd/A 73144-2021 artfynd.xlsx", "A 73144-2021")</f>
        <v/>
      </c>
      <c r="T172">
        <f>HYPERLINK("https://klasma.github.io/Logging_0980/kartor/A 73144-2021 karta.png", "A 73144-2021")</f>
        <v/>
      </c>
      <c r="V172">
        <f>HYPERLINK("https://klasma.github.io/Logging_0980/klagomål/A 73144-2021 FSC-klagomål.docx", "A 73144-2021")</f>
        <v/>
      </c>
      <c r="W172">
        <f>HYPERLINK("https://klasma.github.io/Logging_0980/klagomålsmail/A 73144-2021 FSC-klagomål mail.docx", "A 73144-2021")</f>
        <v/>
      </c>
      <c r="X172">
        <f>HYPERLINK("https://klasma.github.io/Logging_0980/tillsyn/A 73144-2021 tillsynsbegäran.docx", "A 73144-2021")</f>
        <v/>
      </c>
      <c r="Y172">
        <f>HYPERLINK("https://klasma.github.io/Logging_0980/tillsynsmail/A 73144-2021 tillsynsbegäran mail.docx", "A 73144-2021")</f>
        <v/>
      </c>
    </row>
    <row r="173" ht="15" customHeight="1">
      <c r="A173" t="inlineStr">
        <is>
          <t>A 7070-2022</t>
        </is>
      </c>
      <c r="B173" s="1" t="n">
        <v>44603</v>
      </c>
      <c r="C173" s="1" t="n">
        <v>45795</v>
      </c>
      <c r="D173" t="inlineStr">
        <is>
          <t>GOTLANDS LÄN</t>
        </is>
      </c>
      <c r="E173" t="inlineStr">
        <is>
          <t>GOTLAND</t>
        </is>
      </c>
      <c r="G173" t="n">
        <v>2.6</v>
      </c>
      <c r="H173" t="n">
        <v>0</v>
      </c>
      <c r="I173" t="n">
        <v>2</v>
      </c>
      <c r="J173" t="n">
        <v>0</v>
      </c>
      <c r="K173" t="n">
        <v>0</v>
      </c>
      <c r="L173" t="n">
        <v>0</v>
      </c>
      <c r="M173" t="n">
        <v>0</v>
      </c>
      <c r="N173" t="n">
        <v>0</v>
      </c>
      <c r="O173" t="n">
        <v>0</v>
      </c>
      <c r="P173" t="n">
        <v>0</v>
      </c>
      <c r="Q173" t="n">
        <v>2</v>
      </c>
      <c r="R173" s="2" t="inlineStr">
        <is>
          <t>Blåmossa
Kattfotslav</t>
        </is>
      </c>
      <c r="S173">
        <f>HYPERLINK("https://klasma.github.io/Logging_0980/artfynd/A 7070-2022 artfynd.xlsx", "A 7070-2022")</f>
        <v/>
      </c>
      <c r="T173">
        <f>HYPERLINK("https://klasma.github.io/Logging_0980/kartor/A 7070-2022 karta.png", "A 7070-2022")</f>
        <v/>
      </c>
      <c r="V173">
        <f>HYPERLINK("https://klasma.github.io/Logging_0980/klagomål/A 7070-2022 FSC-klagomål.docx", "A 7070-2022")</f>
        <v/>
      </c>
      <c r="W173">
        <f>HYPERLINK("https://klasma.github.io/Logging_0980/klagomålsmail/A 7070-2022 FSC-klagomål mail.docx", "A 7070-2022")</f>
        <v/>
      </c>
      <c r="X173">
        <f>HYPERLINK("https://klasma.github.io/Logging_0980/tillsyn/A 7070-2022 tillsynsbegäran.docx", "A 7070-2022")</f>
        <v/>
      </c>
      <c r="Y173">
        <f>HYPERLINK("https://klasma.github.io/Logging_0980/tillsynsmail/A 7070-2022 tillsynsbegäran mail.docx", "A 7070-2022")</f>
        <v/>
      </c>
    </row>
    <row r="174" ht="15" customHeight="1">
      <c r="A174" t="inlineStr">
        <is>
          <t>A 19175-2022</t>
        </is>
      </c>
      <c r="B174" s="1" t="n">
        <v>44691</v>
      </c>
      <c r="C174" s="1" t="n">
        <v>45795</v>
      </c>
      <c r="D174" t="inlineStr">
        <is>
          <t>GOTLANDS LÄN</t>
        </is>
      </c>
      <c r="E174" t="inlineStr">
        <is>
          <t>GOTLAND</t>
        </is>
      </c>
      <c r="G174" t="n">
        <v>8.5</v>
      </c>
      <c r="H174" t="n">
        <v>1</v>
      </c>
      <c r="I174" t="n">
        <v>0</v>
      </c>
      <c r="J174" t="n">
        <v>2</v>
      </c>
      <c r="K174" t="n">
        <v>0</v>
      </c>
      <c r="L174" t="n">
        <v>0</v>
      </c>
      <c r="M174" t="n">
        <v>0</v>
      </c>
      <c r="N174" t="n">
        <v>0</v>
      </c>
      <c r="O174" t="n">
        <v>2</v>
      </c>
      <c r="P174" t="n">
        <v>0</v>
      </c>
      <c r="Q174" t="n">
        <v>2</v>
      </c>
      <c r="R174" s="2" t="inlineStr">
        <is>
          <t>Jordtistel
Spillkråka</t>
        </is>
      </c>
      <c r="S174">
        <f>HYPERLINK("https://klasma.github.io/Logging_0980/artfynd/A 19175-2022 artfynd.xlsx", "A 19175-2022")</f>
        <v/>
      </c>
      <c r="T174">
        <f>HYPERLINK("https://klasma.github.io/Logging_0980/kartor/A 19175-2022 karta.png", "A 19175-2022")</f>
        <v/>
      </c>
      <c r="V174">
        <f>HYPERLINK("https://klasma.github.io/Logging_0980/klagomål/A 19175-2022 FSC-klagomål.docx", "A 19175-2022")</f>
        <v/>
      </c>
      <c r="W174">
        <f>HYPERLINK("https://klasma.github.io/Logging_0980/klagomålsmail/A 19175-2022 FSC-klagomål mail.docx", "A 19175-2022")</f>
        <v/>
      </c>
      <c r="X174">
        <f>HYPERLINK("https://klasma.github.io/Logging_0980/tillsyn/A 19175-2022 tillsynsbegäran.docx", "A 19175-2022")</f>
        <v/>
      </c>
      <c r="Y174">
        <f>HYPERLINK("https://klasma.github.io/Logging_0980/tillsynsmail/A 19175-2022 tillsynsbegäran mail.docx", "A 19175-2022")</f>
        <v/>
      </c>
      <c r="Z174">
        <f>HYPERLINK("https://klasma.github.io/Logging_0980/fåglar/A 19175-2022 prioriterade fågelarter.docx", "A 19175-2022")</f>
        <v/>
      </c>
    </row>
    <row r="175" ht="15" customHeight="1">
      <c r="A175" t="inlineStr">
        <is>
          <t>A 20218-2022</t>
        </is>
      </c>
      <c r="B175" s="1" t="n">
        <v>44698</v>
      </c>
      <c r="C175" s="1" t="n">
        <v>45795</v>
      </c>
      <c r="D175" t="inlineStr">
        <is>
          <t>GOTLANDS LÄN</t>
        </is>
      </c>
      <c r="E175" t="inlineStr">
        <is>
          <t>GOTLAND</t>
        </is>
      </c>
      <c r="G175" t="n">
        <v>4.3</v>
      </c>
      <c r="H175" t="n">
        <v>0</v>
      </c>
      <c r="I175" t="n">
        <v>1</v>
      </c>
      <c r="J175" t="n">
        <v>1</v>
      </c>
      <c r="K175" t="n">
        <v>0</v>
      </c>
      <c r="L175" t="n">
        <v>0</v>
      </c>
      <c r="M175" t="n">
        <v>0</v>
      </c>
      <c r="N175" t="n">
        <v>0</v>
      </c>
      <c r="O175" t="n">
        <v>1</v>
      </c>
      <c r="P175" t="n">
        <v>0</v>
      </c>
      <c r="Q175" t="n">
        <v>2</v>
      </c>
      <c r="R175" s="2" t="inlineStr">
        <is>
          <t>Flattoppad klubbsvamp
Rödgul trumpetsvamp</t>
        </is>
      </c>
      <c r="S175">
        <f>HYPERLINK("https://klasma.github.io/Logging_0980/artfynd/A 20218-2022 artfynd.xlsx", "A 20218-2022")</f>
        <v/>
      </c>
      <c r="T175">
        <f>HYPERLINK("https://klasma.github.io/Logging_0980/kartor/A 20218-2022 karta.png", "A 20218-2022")</f>
        <v/>
      </c>
      <c r="V175">
        <f>HYPERLINK("https://klasma.github.io/Logging_0980/klagomål/A 20218-2022 FSC-klagomål.docx", "A 20218-2022")</f>
        <v/>
      </c>
      <c r="W175">
        <f>HYPERLINK("https://klasma.github.io/Logging_0980/klagomålsmail/A 20218-2022 FSC-klagomål mail.docx", "A 20218-2022")</f>
        <v/>
      </c>
      <c r="X175">
        <f>HYPERLINK("https://klasma.github.io/Logging_0980/tillsyn/A 20218-2022 tillsynsbegäran.docx", "A 20218-2022")</f>
        <v/>
      </c>
      <c r="Y175">
        <f>HYPERLINK("https://klasma.github.io/Logging_0980/tillsynsmail/A 20218-2022 tillsynsbegäran mail.docx", "A 20218-2022")</f>
        <v/>
      </c>
    </row>
    <row r="176" ht="15" customHeight="1">
      <c r="A176" t="inlineStr">
        <is>
          <t>A 48126-2022</t>
        </is>
      </c>
      <c r="B176" s="1" t="n">
        <v>44857</v>
      </c>
      <c r="C176" s="1" t="n">
        <v>45795</v>
      </c>
      <c r="D176" t="inlineStr">
        <is>
          <t>GOTLANDS LÄN</t>
        </is>
      </c>
      <c r="E176" t="inlineStr">
        <is>
          <t>GOTLAND</t>
        </is>
      </c>
      <c r="G176" t="n">
        <v>9.800000000000001</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48126-2022 artfynd.xlsx", "A 48126-2022")</f>
        <v/>
      </c>
      <c r="T176">
        <f>HYPERLINK("https://klasma.github.io/Logging_0980/kartor/A 48126-2022 karta.png", "A 48126-2022")</f>
        <v/>
      </c>
      <c r="V176">
        <f>HYPERLINK("https://klasma.github.io/Logging_0980/klagomål/A 48126-2022 FSC-klagomål.docx", "A 48126-2022")</f>
        <v/>
      </c>
      <c r="W176">
        <f>HYPERLINK("https://klasma.github.io/Logging_0980/klagomålsmail/A 48126-2022 FSC-klagomål mail.docx", "A 48126-2022")</f>
        <v/>
      </c>
      <c r="X176">
        <f>HYPERLINK("https://klasma.github.io/Logging_0980/tillsyn/A 48126-2022 tillsynsbegäran.docx", "A 48126-2022")</f>
        <v/>
      </c>
      <c r="Y176">
        <f>HYPERLINK("https://klasma.github.io/Logging_0980/tillsynsmail/A 48126-2022 tillsynsbegäran mail.docx", "A 48126-2022")</f>
        <v/>
      </c>
      <c r="Z176">
        <f>HYPERLINK("https://klasma.github.io/Logging_0980/fåglar/A 48126-2022 prioriterade fågelarter.docx", "A 48126-2022")</f>
        <v/>
      </c>
    </row>
    <row r="177" ht="15" customHeight="1">
      <c r="A177" t="inlineStr">
        <is>
          <t>A 62193-2022</t>
        </is>
      </c>
      <c r="B177" s="1" t="n">
        <v>44922</v>
      </c>
      <c r="C177" s="1" t="n">
        <v>45795</v>
      </c>
      <c r="D177" t="inlineStr">
        <is>
          <t>GOTLANDS LÄN</t>
        </is>
      </c>
      <c r="E177" t="inlineStr">
        <is>
          <t>GOTLAND</t>
        </is>
      </c>
      <c r="G177" t="n">
        <v>5.6</v>
      </c>
      <c r="H177" t="n">
        <v>2</v>
      </c>
      <c r="I177" t="n">
        <v>0</v>
      </c>
      <c r="J177" t="n">
        <v>1</v>
      </c>
      <c r="K177" t="n">
        <v>0</v>
      </c>
      <c r="L177" t="n">
        <v>0</v>
      </c>
      <c r="M177" t="n">
        <v>0</v>
      </c>
      <c r="N177" t="n">
        <v>0</v>
      </c>
      <c r="O177" t="n">
        <v>1</v>
      </c>
      <c r="P177" t="n">
        <v>0</v>
      </c>
      <c r="Q177" t="n">
        <v>2</v>
      </c>
      <c r="R177" s="2" t="inlineStr">
        <is>
          <t>Grönsångare
Gullviva</t>
        </is>
      </c>
      <c r="S177">
        <f>HYPERLINK("https://klasma.github.io/Logging_0980/artfynd/A 62193-2022 artfynd.xlsx", "A 62193-2022")</f>
        <v/>
      </c>
      <c r="T177">
        <f>HYPERLINK("https://klasma.github.io/Logging_0980/kartor/A 62193-2022 karta.png", "A 62193-2022")</f>
        <v/>
      </c>
      <c r="V177">
        <f>HYPERLINK("https://klasma.github.io/Logging_0980/klagomål/A 62193-2022 FSC-klagomål.docx", "A 62193-2022")</f>
        <v/>
      </c>
      <c r="W177">
        <f>HYPERLINK("https://klasma.github.io/Logging_0980/klagomålsmail/A 62193-2022 FSC-klagomål mail.docx", "A 62193-2022")</f>
        <v/>
      </c>
      <c r="X177">
        <f>HYPERLINK("https://klasma.github.io/Logging_0980/tillsyn/A 62193-2022 tillsynsbegäran.docx", "A 62193-2022")</f>
        <v/>
      </c>
      <c r="Y177">
        <f>HYPERLINK("https://klasma.github.io/Logging_0980/tillsynsmail/A 62193-2022 tillsynsbegäran mail.docx", "A 62193-2022")</f>
        <v/>
      </c>
      <c r="Z177">
        <f>HYPERLINK("https://klasma.github.io/Logging_0980/fåglar/A 62193-2022 prioriterade fågelarter.docx", "A 62193-2022")</f>
        <v/>
      </c>
    </row>
    <row r="178" ht="15" customHeight="1">
      <c r="A178" t="inlineStr">
        <is>
          <t>A 3779-2023</t>
        </is>
      </c>
      <c r="B178" s="1" t="n">
        <v>44951</v>
      </c>
      <c r="C178" s="1" t="n">
        <v>45795</v>
      </c>
      <c r="D178" t="inlineStr">
        <is>
          <t>GOTLANDS LÄN</t>
        </is>
      </c>
      <c r="E178" t="inlineStr">
        <is>
          <t>GOTLAND</t>
        </is>
      </c>
      <c r="G178" t="n">
        <v>5.2</v>
      </c>
      <c r="H178" t="n">
        <v>0</v>
      </c>
      <c r="I178" t="n">
        <v>2</v>
      </c>
      <c r="J178" t="n">
        <v>0</v>
      </c>
      <c r="K178" t="n">
        <v>0</v>
      </c>
      <c r="L178" t="n">
        <v>0</v>
      </c>
      <c r="M178" t="n">
        <v>0</v>
      </c>
      <c r="N178" t="n">
        <v>0</v>
      </c>
      <c r="O178" t="n">
        <v>0</v>
      </c>
      <c r="P178" t="n">
        <v>0</v>
      </c>
      <c r="Q178" t="n">
        <v>2</v>
      </c>
      <c r="R178" s="2" t="inlineStr">
        <is>
          <t>Blå slemspindling
Olivspindling</t>
        </is>
      </c>
      <c r="S178">
        <f>HYPERLINK("https://klasma.github.io/Logging_0980/artfynd/A 3779-2023 artfynd.xlsx", "A 3779-2023")</f>
        <v/>
      </c>
      <c r="T178">
        <f>HYPERLINK("https://klasma.github.io/Logging_0980/kartor/A 3779-2023 karta.png", "A 3779-2023")</f>
        <v/>
      </c>
      <c r="V178">
        <f>HYPERLINK("https://klasma.github.io/Logging_0980/klagomål/A 3779-2023 FSC-klagomål.docx", "A 3779-2023")</f>
        <v/>
      </c>
      <c r="W178">
        <f>HYPERLINK("https://klasma.github.io/Logging_0980/klagomålsmail/A 3779-2023 FSC-klagomål mail.docx", "A 3779-2023")</f>
        <v/>
      </c>
      <c r="X178">
        <f>HYPERLINK("https://klasma.github.io/Logging_0980/tillsyn/A 3779-2023 tillsynsbegäran.docx", "A 3779-2023")</f>
        <v/>
      </c>
      <c r="Y178">
        <f>HYPERLINK("https://klasma.github.io/Logging_0980/tillsynsmail/A 3779-2023 tillsynsbegäran mail.docx", "A 3779-2023")</f>
        <v/>
      </c>
    </row>
    <row r="179" ht="15" customHeight="1">
      <c r="A179" t="inlineStr">
        <is>
          <t>A 35028-2023</t>
        </is>
      </c>
      <c r="B179" s="1" t="n">
        <v>45145</v>
      </c>
      <c r="C179" s="1" t="n">
        <v>45795</v>
      </c>
      <c r="D179" t="inlineStr">
        <is>
          <t>GOTLANDS LÄN</t>
        </is>
      </c>
      <c r="E179" t="inlineStr">
        <is>
          <t>GOTLAND</t>
        </is>
      </c>
      <c r="G179" t="n">
        <v>1.1</v>
      </c>
      <c r="H179" t="n">
        <v>0</v>
      </c>
      <c r="I179" t="n">
        <v>1</v>
      </c>
      <c r="J179" t="n">
        <v>0</v>
      </c>
      <c r="K179" t="n">
        <v>1</v>
      </c>
      <c r="L179" t="n">
        <v>0</v>
      </c>
      <c r="M179" t="n">
        <v>0</v>
      </c>
      <c r="N179" t="n">
        <v>0</v>
      </c>
      <c r="O179" t="n">
        <v>1</v>
      </c>
      <c r="P179" t="n">
        <v>1</v>
      </c>
      <c r="Q179" t="n">
        <v>2</v>
      </c>
      <c r="R179" s="2" t="inlineStr">
        <is>
          <t>Tät korallorangelav
Guldlockmossa</t>
        </is>
      </c>
      <c r="S179">
        <f>HYPERLINK("https://klasma.github.io/Logging_0980/artfynd/A 35028-2023 artfynd.xlsx", "A 35028-2023")</f>
        <v/>
      </c>
      <c r="T179">
        <f>HYPERLINK("https://klasma.github.io/Logging_0980/kartor/A 35028-2023 karta.png", "A 35028-2023")</f>
        <v/>
      </c>
      <c r="V179">
        <f>HYPERLINK("https://klasma.github.io/Logging_0980/klagomål/A 35028-2023 FSC-klagomål.docx", "A 35028-2023")</f>
        <v/>
      </c>
      <c r="W179">
        <f>HYPERLINK("https://klasma.github.io/Logging_0980/klagomålsmail/A 35028-2023 FSC-klagomål mail.docx", "A 35028-2023")</f>
        <v/>
      </c>
      <c r="X179">
        <f>HYPERLINK("https://klasma.github.io/Logging_0980/tillsyn/A 35028-2023 tillsynsbegäran.docx", "A 35028-2023")</f>
        <v/>
      </c>
      <c r="Y179">
        <f>HYPERLINK("https://klasma.github.io/Logging_0980/tillsynsmail/A 35028-2023 tillsynsbegäran mail.docx", "A 35028-2023")</f>
        <v/>
      </c>
    </row>
    <row r="180" ht="15" customHeight="1">
      <c r="A180" t="inlineStr">
        <is>
          <t>A 35029-2023</t>
        </is>
      </c>
      <c r="B180" s="1" t="n">
        <v>45145</v>
      </c>
      <c r="C180" s="1" t="n">
        <v>45795</v>
      </c>
      <c r="D180" t="inlineStr">
        <is>
          <t>GOTLANDS LÄN</t>
        </is>
      </c>
      <c r="E180" t="inlineStr">
        <is>
          <t>GOTLAND</t>
        </is>
      </c>
      <c r="G180" t="n">
        <v>1.7</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35029-2023 artfynd.xlsx", "A 35029-2023")</f>
        <v/>
      </c>
      <c r="T180">
        <f>HYPERLINK("https://klasma.github.io/Logging_0980/kartor/A 35029-2023 karta.png", "A 35029-2023")</f>
        <v/>
      </c>
      <c r="V180">
        <f>HYPERLINK("https://klasma.github.io/Logging_0980/klagomål/A 35029-2023 FSC-klagomål.docx", "A 35029-2023")</f>
        <v/>
      </c>
      <c r="W180">
        <f>HYPERLINK("https://klasma.github.io/Logging_0980/klagomålsmail/A 35029-2023 FSC-klagomål mail.docx", "A 35029-2023")</f>
        <v/>
      </c>
      <c r="X180">
        <f>HYPERLINK("https://klasma.github.io/Logging_0980/tillsyn/A 35029-2023 tillsynsbegäran.docx", "A 35029-2023")</f>
        <v/>
      </c>
      <c r="Y180">
        <f>HYPERLINK("https://klasma.github.io/Logging_0980/tillsynsmail/A 35029-2023 tillsynsbegäran mail.docx", "A 35029-2023")</f>
        <v/>
      </c>
    </row>
    <row r="181" ht="15" customHeight="1">
      <c r="A181" t="inlineStr">
        <is>
          <t>A 39430-2023</t>
        </is>
      </c>
      <c r="B181" s="1" t="n">
        <v>45166</v>
      </c>
      <c r="C181" s="1" t="n">
        <v>45795</v>
      </c>
      <c r="D181" t="inlineStr">
        <is>
          <t>GOTLANDS LÄN</t>
        </is>
      </c>
      <c r="E181" t="inlineStr">
        <is>
          <t>GOTLAND</t>
        </is>
      </c>
      <c r="G181" t="n">
        <v>2.3</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39430-2023 artfynd.xlsx", "A 39430-2023")</f>
        <v/>
      </c>
      <c r="T181">
        <f>HYPERLINK("https://klasma.github.io/Logging_0980/kartor/A 39430-2023 karta.png", "A 39430-2023")</f>
        <v/>
      </c>
      <c r="V181">
        <f>HYPERLINK("https://klasma.github.io/Logging_0980/klagomål/A 39430-2023 FSC-klagomål.docx", "A 39430-2023")</f>
        <v/>
      </c>
      <c r="W181">
        <f>HYPERLINK("https://klasma.github.io/Logging_0980/klagomålsmail/A 39430-2023 FSC-klagomål mail.docx", "A 39430-2023")</f>
        <v/>
      </c>
      <c r="X181">
        <f>HYPERLINK("https://klasma.github.io/Logging_0980/tillsyn/A 39430-2023 tillsynsbegäran.docx", "A 39430-2023")</f>
        <v/>
      </c>
      <c r="Y181">
        <f>HYPERLINK("https://klasma.github.io/Logging_0980/tillsynsmail/A 39430-2023 tillsynsbegäran mail.docx", "A 39430-2023")</f>
        <v/>
      </c>
    </row>
    <row r="182" ht="15" customHeight="1">
      <c r="A182" t="inlineStr">
        <is>
          <t>A 39749-2023</t>
        </is>
      </c>
      <c r="B182" s="1" t="n">
        <v>45167</v>
      </c>
      <c r="C182" s="1" t="n">
        <v>45795</v>
      </c>
      <c r="D182" t="inlineStr">
        <is>
          <t>GOTLANDS LÄN</t>
        </is>
      </c>
      <c r="E182" t="inlineStr">
        <is>
          <t>GOTLAND</t>
        </is>
      </c>
      <c r="G182" t="n">
        <v>8.300000000000001</v>
      </c>
      <c r="H182" t="n">
        <v>0</v>
      </c>
      <c r="I182" t="n">
        <v>1</v>
      </c>
      <c r="J182" t="n">
        <v>1</v>
      </c>
      <c r="K182" t="n">
        <v>0</v>
      </c>
      <c r="L182" t="n">
        <v>0</v>
      </c>
      <c r="M182" t="n">
        <v>0</v>
      </c>
      <c r="N182" t="n">
        <v>0</v>
      </c>
      <c r="O182" t="n">
        <v>1</v>
      </c>
      <c r="P182" t="n">
        <v>0</v>
      </c>
      <c r="Q182" t="n">
        <v>2</v>
      </c>
      <c r="R182" s="2" t="inlineStr">
        <is>
          <t>Majviva
Axag</t>
        </is>
      </c>
      <c r="S182">
        <f>HYPERLINK("https://klasma.github.io/Logging_0980/artfynd/A 39749-2023 artfynd.xlsx", "A 39749-2023")</f>
        <v/>
      </c>
      <c r="T182">
        <f>HYPERLINK("https://klasma.github.io/Logging_0980/kartor/A 39749-2023 karta.png", "A 39749-2023")</f>
        <v/>
      </c>
      <c r="V182">
        <f>HYPERLINK("https://klasma.github.io/Logging_0980/klagomål/A 39749-2023 FSC-klagomål.docx", "A 39749-2023")</f>
        <v/>
      </c>
      <c r="W182">
        <f>HYPERLINK("https://klasma.github.io/Logging_0980/klagomålsmail/A 39749-2023 FSC-klagomål mail.docx", "A 39749-2023")</f>
        <v/>
      </c>
      <c r="X182">
        <f>HYPERLINK("https://klasma.github.io/Logging_0980/tillsyn/A 39749-2023 tillsynsbegäran.docx", "A 39749-2023")</f>
        <v/>
      </c>
      <c r="Y182">
        <f>HYPERLINK("https://klasma.github.io/Logging_0980/tillsynsmail/A 39749-2023 tillsynsbegäran mail.docx", "A 39749-2023")</f>
        <v/>
      </c>
    </row>
    <row r="183" ht="15" customHeight="1">
      <c r="A183" t="inlineStr">
        <is>
          <t>A 2818-2024</t>
        </is>
      </c>
      <c r="B183" s="1" t="n">
        <v>45314</v>
      </c>
      <c r="C183" s="1" t="n">
        <v>45795</v>
      </c>
      <c r="D183" t="inlineStr">
        <is>
          <t>GOTLANDS LÄN</t>
        </is>
      </c>
      <c r="E183" t="inlineStr">
        <is>
          <t>GOTLAND</t>
        </is>
      </c>
      <c r="G183" t="n">
        <v>2.4</v>
      </c>
      <c r="H183" t="n">
        <v>1</v>
      </c>
      <c r="I183" t="n">
        <v>0</v>
      </c>
      <c r="J183" t="n">
        <v>1</v>
      </c>
      <c r="K183" t="n">
        <v>0</v>
      </c>
      <c r="L183" t="n">
        <v>0</v>
      </c>
      <c r="M183" t="n">
        <v>0</v>
      </c>
      <c r="N183" t="n">
        <v>0</v>
      </c>
      <c r="O183" t="n">
        <v>1</v>
      </c>
      <c r="P183" t="n">
        <v>0</v>
      </c>
      <c r="Q183" t="n">
        <v>2</v>
      </c>
      <c r="R183" s="2" t="inlineStr">
        <is>
          <t>Solvända
Gullviva</t>
        </is>
      </c>
      <c r="S183">
        <f>HYPERLINK("https://klasma.github.io/Logging_0980/artfynd/A 2818-2024 artfynd.xlsx", "A 2818-2024")</f>
        <v/>
      </c>
      <c r="T183">
        <f>HYPERLINK("https://klasma.github.io/Logging_0980/kartor/A 2818-2024 karta.png", "A 2818-2024")</f>
        <v/>
      </c>
      <c r="V183">
        <f>HYPERLINK("https://klasma.github.io/Logging_0980/klagomål/A 2818-2024 FSC-klagomål.docx", "A 2818-2024")</f>
        <v/>
      </c>
      <c r="W183">
        <f>HYPERLINK("https://klasma.github.io/Logging_0980/klagomålsmail/A 2818-2024 FSC-klagomål mail.docx", "A 2818-2024")</f>
        <v/>
      </c>
      <c r="X183">
        <f>HYPERLINK("https://klasma.github.io/Logging_0980/tillsyn/A 2818-2024 tillsynsbegäran.docx", "A 2818-2024")</f>
        <v/>
      </c>
      <c r="Y183">
        <f>HYPERLINK("https://klasma.github.io/Logging_0980/tillsynsmail/A 2818-2024 tillsynsbegäran mail.docx", "A 2818-2024")</f>
        <v/>
      </c>
    </row>
    <row r="184" ht="15" customHeight="1">
      <c r="A184" t="inlineStr">
        <is>
          <t>A 16331-2024</t>
        </is>
      </c>
      <c r="B184" s="1" t="n">
        <v>45407</v>
      </c>
      <c r="C184" s="1" t="n">
        <v>45795</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45795</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45795</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45795</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45795</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45795</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45795</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45795</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45795</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45795</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45795</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45795</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45795</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45795</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45795</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45795</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45795</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45795</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45795</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45795</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45795</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45795</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45795</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45795</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45795</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45795</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45795</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45795</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45795</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45795</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45795</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45795</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45795</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45795</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45795</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45795</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45795</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45795</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45795</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45795</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45795</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45795</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45795</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45795</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45795</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45795</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45795</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45795</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45795</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45795</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45795</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45795</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45795</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45795</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45795</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45795</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45795</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45795</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45795</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45795</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45795</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45795</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45795</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45795</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45795</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45795</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45795</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45795</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45795</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45795</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45795</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45795</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45795</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45795</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45795</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45795</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45795</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45795</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45795</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45795</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45795</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45795</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45795</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45795</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45795</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45795</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45795</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45795</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45795</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45795</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45795</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45795</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45795</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45795</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45795</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45795</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45795</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45795</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45795</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45795</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45795</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45795</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45795</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45795</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45795</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45795</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45795</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19159-2019</t>
        </is>
      </c>
      <c r="B291" s="1" t="n">
        <v>43564</v>
      </c>
      <c r="C291" s="1" t="n">
        <v>45795</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21380-2019</t>
        </is>
      </c>
      <c r="B292" s="1" t="n">
        <v>43579</v>
      </c>
      <c r="C292" s="1" t="n">
        <v>45795</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21894-2019</t>
        </is>
      </c>
      <c r="B293" s="1" t="n">
        <v>43584</v>
      </c>
      <c r="C293" s="1" t="n">
        <v>45795</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21925-2019</t>
        </is>
      </c>
      <c r="B294" s="1" t="n">
        <v>43584</v>
      </c>
      <c r="C294" s="1" t="n">
        <v>45795</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22457-2019</t>
        </is>
      </c>
      <c r="B295" s="1" t="n">
        <v>43587</v>
      </c>
      <c r="C295" s="1" t="n">
        <v>45795</v>
      </c>
      <c r="D295" t="inlineStr">
        <is>
          <t>GOTLANDS LÄN</t>
        </is>
      </c>
      <c r="E295" t="inlineStr">
        <is>
          <t>GOTLAND</t>
        </is>
      </c>
      <c r="G295" t="n">
        <v>0.3</v>
      </c>
      <c r="H295" t="n">
        <v>0</v>
      </c>
      <c r="I295" t="n">
        <v>0</v>
      </c>
      <c r="J295" t="n">
        <v>0</v>
      </c>
      <c r="K295" t="n">
        <v>0</v>
      </c>
      <c r="L295" t="n">
        <v>0</v>
      </c>
      <c r="M295" t="n">
        <v>0</v>
      </c>
      <c r="N295" t="n">
        <v>0</v>
      </c>
      <c r="O295" t="n">
        <v>0</v>
      </c>
      <c r="P295" t="n">
        <v>0</v>
      </c>
      <c r="Q295" t="n">
        <v>0</v>
      </c>
      <c r="R295" s="2" t="inlineStr"/>
    </row>
    <row r="296" ht="15" customHeight="1">
      <c r="A296" t="inlineStr">
        <is>
          <t>A 23044-2019</t>
        </is>
      </c>
      <c r="B296" s="1" t="n">
        <v>43591</v>
      </c>
      <c r="C296" s="1" t="n">
        <v>45795</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26595-2019</t>
        </is>
      </c>
      <c r="B297" s="1" t="n">
        <v>43612</v>
      </c>
      <c r="C297" s="1" t="n">
        <v>45795</v>
      </c>
      <c r="D297" t="inlineStr">
        <is>
          <t>GOTLANDS LÄN</t>
        </is>
      </c>
      <c r="E297" t="inlineStr">
        <is>
          <t>GOTLAND</t>
        </is>
      </c>
      <c r="G297" t="n">
        <v>0.2</v>
      </c>
      <c r="H297" t="n">
        <v>0</v>
      </c>
      <c r="I297" t="n">
        <v>0</v>
      </c>
      <c r="J297" t="n">
        <v>0</v>
      </c>
      <c r="K297" t="n">
        <v>0</v>
      </c>
      <c r="L297" t="n">
        <v>0</v>
      </c>
      <c r="M297" t="n">
        <v>0</v>
      </c>
      <c r="N297" t="n">
        <v>0</v>
      </c>
      <c r="O297" t="n">
        <v>0</v>
      </c>
      <c r="P297" t="n">
        <v>0</v>
      </c>
      <c r="Q297" t="n">
        <v>0</v>
      </c>
      <c r="R297" s="2" t="inlineStr"/>
    </row>
    <row r="298" ht="15" customHeight="1">
      <c r="A298" t="inlineStr">
        <is>
          <t>A 27795-2019</t>
        </is>
      </c>
      <c r="B298" s="1" t="n">
        <v>43612</v>
      </c>
      <c r="C298" s="1" t="n">
        <v>45795</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28977-2019</t>
        </is>
      </c>
      <c r="B299" s="1" t="n">
        <v>43628</v>
      </c>
      <c r="C299" s="1" t="n">
        <v>45795</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29470-2019</t>
        </is>
      </c>
      <c r="B300" s="1" t="n">
        <v>43629</v>
      </c>
      <c r="C300" s="1" t="n">
        <v>45795</v>
      </c>
      <c r="D300" t="inlineStr">
        <is>
          <t>GOTLANDS LÄN</t>
        </is>
      </c>
      <c r="E300" t="inlineStr">
        <is>
          <t>GOTLAND</t>
        </is>
      </c>
      <c r="G300" t="n">
        <v>2.7</v>
      </c>
      <c r="H300" t="n">
        <v>0</v>
      </c>
      <c r="I300" t="n">
        <v>0</v>
      </c>
      <c r="J300" t="n">
        <v>0</v>
      </c>
      <c r="K300" t="n">
        <v>0</v>
      </c>
      <c r="L300" t="n">
        <v>0</v>
      </c>
      <c r="M300" t="n">
        <v>0</v>
      </c>
      <c r="N300" t="n">
        <v>0</v>
      </c>
      <c r="O300" t="n">
        <v>0</v>
      </c>
      <c r="P300" t="n">
        <v>0</v>
      </c>
      <c r="Q300" t="n">
        <v>0</v>
      </c>
      <c r="R300" s="2" t="inlineStr"/>
    </row>
    <row r="301" ht="15" customHeight="1">
      <c r="A301" t="inlineStr">
        <is>
          <t>A 29469-2019</t>
        </is>
      </c>
      <c r="B301" s="1" t="n">
        <v>43629</v>
      </c>
      <c r="C301" s="1" t="n">
        <v>45795</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30033-2019</t>
        </is>
      </c>
      <c r="B302" s="1" t="n">
        <v>43630</v>
      </c>
      <c r="C302" s="1" t="n">
        <v>45795</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31396-2019</t>
        </is>
      </c>
      <c r="B303" s="1" t="n">
        <v>43636</v>
      </c>
      <c r="C303" s="1" t="n">
        <v>45795</v>
      </c>
      <c r="D303" t="inlineStr">
        <is>
          <t>GOTLANDS LÄN</t>
        </is>
      </c>
      <c r="E303" t="inlineStr">
        <is>
          <t>GOTLAND</t>
        </is>
      </c>
      <c r="G303" t="n">
        <v>5.8</v>
      </c>
      <c r="H303" t="n">
        <v>0</v>
      </c>
      <c r="I303" t="n">
        <v>0</v>
      </c>
      <c r="J303" t="n">
        <v>0</v>
      </c>
      <c r="K303" t="n">
        <v>0</v>
      </c>
      <c r="L303" t="n">
        <v>0</v>
      </c>
      <c r="M303" t="n">
        <v>0</v>
      </c>
      <c r="N303" t="n">
        <v>0</v>
      </c>
      <c r="O303" t="n">
        <v>0</v>
      </c>
      <c r="P303" t="n">
        <v>0</v>
      </c>
      <c r="Q303" t="n">
        <v>0</v>
      </c>
      <c r="R303" s="2" t="inlineStr"/>
    </row>
    <row r="304" ht="15" customHeight="1">
      <c r="A304" t="inlineStr">
        <is>
          <t>A 32061-2019</t>
        </is>
      </c>
      <c r="B304" s="1" t="n">
        <v>43643</v>
      </c>
      <c r="C304" s="1" t="n">
        <v>45795</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32949-2019</t>
        </is>
      </c>
      <c r="B305" s="1" t="n">
        <v>43648</v>
      </c>
      <c r="C305" s="1" t="n">
        <v>45795</v>
      </c>
      <c r="D305" t="inlineStr">
        <is>
          <t>GOTLANDS LÄN</t>
        </is>
      </c>
      <c r="E305" t="inlineStr">
        <is>
          <t>GOTLAND</t>
        </is>
      </c>
      <c r="G305" t="n">
        <v>0.9</v>
      </c>
      <c r="H305" t="n">
        <v>0</v>
      </c>
      <c r="I305" t="n">
        <v>0</v>
      </c>
      <c r="J305" t="n">
        <v>0</v>
      </c>
      <c r="K305" t="n">
        <v>0</v>
      </c>
      <c r="L305" t="n">
        <v>0</v>
      </c>
      <c r="M305" t="n">
        <v>0</v>
      </c>
      <c r="N305" t="n">
        <v>0</v>
      </c>
      <c r="O305" t="n">
        <v>0</v>
      </c>
      <c r="P305" t="n">
        <v>0</v>
      </c>
      <c r="Q305" t="n">
        <v>0</v>
      </c>
      <c r="R305" s="2" t="inlineStr"/>
    </row>
    <row r="306" ht="15" customHeight="1">
      <c r="A306" t="inlineStr">
        <is>
          <t>A 32964-2019</t>
        </is>
      </c>
      <c r="B306" s="1" t="n">
        <v>43648</v>
      </c>
      <c r="C306" s="1" t="n">
        <v>45795</v>
      </c>
      <c r="D306" t="inlineStr">
        <is>
          <t>GOTLANDS LÄN</t>
        </is>
      </c>
      <c r="E306" t="inlineStr">
        <is>
          <t>GOTLAND</t>
        </is>
      </c>
      <c r="G306" t="n">
        <v>8.9</v>
      </c>
      <c r="H306" t="n">
        <v>0</v>
      </c>
      <c r="I306" t="n">
        <v>0</v>
      </c>
      <c r="J306" t="n">
        <v>0</v>
      </c>
      <c r="K306" t="n">
        <v>0</v>
      </c>
      <c r="L306" t="n">
        <v>0</v>
      </c>
      <c r="M306" t="n">
        <v>0</v>
      </c>
      <c r="N306" t="n">
        <v>0</v>
      </c>
      <c r="O306" t="n">
        <v>0</v>
      </c>
      <c r="P306" t="n">
        <v>0</v>
      </c>
      <c r="Q306" t="n">
        <v>0</v>
      </c>
      <c r="R306" s="2" t="inlineStr"/>
    </row>
    <row r="307" ht="15" customHeight="1">
      <c r="A307" t="inlineStr">
        <is>
          <t>A 32970-2019</t>
        </is>
      </c>
      <c r="B307" s="1" t="n">
        <v>43648</v>
      </c>
      <c r="C307" s="1" t="n">
        <v>45795</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33673-2019</t>
        </is>
      </c>
      <c r="B308" s="1" t="n">
        <v>43651</v>
      </c>
      <c r="C308" s="1" t="n">
        <v>45795</v>
      </c>
      <c r="D308" t="inlineStr">
        <is>
          <t>GOTLANDS LÄN</t>
        </is>
      </c>
      <c r="E308" t="inlineStr">
        <is>
          <t>GOTLAND</t>
        </is>
      </c>
      <c r="G308" t="n">
        <v>3.8</v>
      </c>
      <c r="H308" t="n">
        <v>0</v>
      </c>
      <c r="I308" t="n">
        <v>0</v>
      </c>
      <c r="J308" t="n">
        <v>0</v>
      </c>
      <c r="K308" t="n">
        <v>0</v>
      </c>
      <c r="L308" t="n">
        <v>0</v>
      </c>
      <c r="M308" t="n">
        <v>0</v>
      </c>
      <c r="N308" t="n">
        <v>0</v>
      </c>
      <c r="O308" t="n">
        <v>0</v>
      </c>
      <c r="P308" t="n">
        <v>0</v>
      </c>
      <c r="Q308" t="n">
        <v>0</v>
      </c>
      <c r="R308" s="2" t="inlineStr"/>
    </row>
    <row r="309" ht="15" customHeight="1">
      <c r="A309" t="inlineStr">
        <is>
          <t>A 33668-2019</t>
        </is>
      </c>
      <c r="B309" s="1" t="n">
        <v>43651</v>
      </c>
      <c r="C309" s="1" t="n">
        <v>45795</v>
      </c>
      <c r="D309" t="inlineStr">
        <is>
          <t>GOTLANDS LÄN</t>
        </is>
      </c>
      <c r="E309" t="inlineStr">
        <is>
          <t>GOTLAND</t>
        </is>
      </c>
      <c r="G309" t="n">
        <v>9.4</v>
      </c>
      <c r="H309" t="n">
        <v>0</v>
      </c>
      <c r="I309" t="n">
        <v>0</v>
      </c>
      <c r="J309" t="n">
        <v>0</v>
      </c>
      <c r="K309" t="n">
        <v>0</v>
      </c>
      <c r="L309" t="n">
        <v>0</v>
      </c>
      <c r="M309" t="n">
        <v>0</v>
      </c>
      <c r="N309" t="n">
        <v>0</v>
      </c>
      <c r="O309" t="n">
        <v>0</v>
      </c>
      <c r="P309" t="n">
        <v>0</v>
      </c>
      <c r="Q309" t="n">
        <v>0</v>
      </c>
      <c r="R309" s="2" t="inlineStr"/>
    </row>
    <row r="310" ht="15" customHeight="1">
      <c r="A310" t="inlineStr">
        <is>
          <t>A 33674-2019</t>
        </is>
      </c>
      <c r="B310" s="1" t="n">
        <v>43651</v>
      </c>
      <c r="C310" s="1" t="n">
        <v>45795</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33646-2019</t>
        </is>
      </c>
      <c r="B311" s="1" t="n">
        <v>43651</v>
      </c>
      <c r="C311" s="1" t="n">
        <v>45795</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34790-2019</t>
        </is>
      </c>
      <c r="B312" s="1" t="n">
        <v>43658</v>
      </c>
      <c r="C312" s="1" t="n">
        <v>45795</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36344-2019</t>
        </is>
      </c>
      <c r="B313" s="1" t="n">
        <v>43661</v>
      </c>
      <c r="C313" s="1" t="n">
        <v>45795</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36072-2019</t>
        </is>
      </c>
      <c r="B314" s="1" t="n">
        <v>43668</v>
      </c>
      <c r="C314" s="1" t="n">
        <v>45795</v>
      </c>
      <c r="D314" t="inlineStr">
        <is>
          <t>GOTLANDS LÄN</t>
        </is>
      </c>
      <c r="E314" t="inlineStr">
        <is>
          <t>GOTLAND</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37028-2019</t>
        </is>
      </c>
      <c r="B315" s="1" t="n">
        <v>43675</v>
      </c>
      <c r="C315" s="1" t="n">
        <v>45795</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40205-2019</t>
        </is>
      </c>
      <c r="B316" s="1" t="n">
        <v>43693</v>
      </c>
      <c r="C316" s="1" t="n">
        <v>45795</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46423-2019</t>
        </is>
      </c>
      <c r="B317" s="1" t="n">
        <v>43719</v>
      </c>
      <c r="C317" s="1" t="n">
        <v>45795</v>
      </c>
      <c r="D317" t="inlineStr">
        <is>
          <t>GOTLANDS LÄN</t>
        </is>
      </c>
      <c r="E317" t="inlineStr">
        <is>
          <t>GOTLAND</t>
        </is>
      </c>
      <c r="F317" t="inlineStr">
        <is>
          <t>Kyrkan</t>
        </is>
      </c>
      <c r="G317" t="n">
        <v>1.6</v>
      </c>
      <c r="H317" t="n">
        <v>0</v>
      </c>
      <c r="I317" t="n">
        <v>0</v>
      </c>
      <c r="J317" t="n">
        <v>0</v>
      </c>
      <c r="K317" t="n">
        <v>0</v>
      </c>
      <c r="L317" t="n">
        <v>0</v>
      </c>
      <c r="M317" t="n">
        <v>0</v>
      </c>
      <c r="N317" t="n">
        <v>0</v>
      </c>
      <c r="O317" t="n">
        <v>0</v>
      </c>
      <c r="P317" t="n">
        <v>0</v>
      </c>
      <c r="Q317" t="n">
        <v>0</v>
      </c>
      <c r="R317" s="2" t="inlineStr"/>
    </row>
    <row r="318" ht="15" customHeight="1">
      <c r="A318" t="inlineStr">
        <is>
          <t>A 47141-2019</t>
        </is>
      </c>
      <c r="B318" s="1" t="n">
        <v>43721</v>
      </c>
      <c r="C318" s="1" t="n">
        <v>45795</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48459-2019</t>
        </is>
      </c>
      <c r="B319" s="1" t="n">
        <v>43727</v>
      </c>
      <c r="C319" s="1" t="n">
        <v>45795</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49769-2019</t>
        </is>
      </c>
      <c r="B320" s="1" t="n">
        <v>43733</v>
      </c>
      <c r="C320" s="1" t="n">
        <v>45795</v>
      </c>
      <c r="D320" t="inlineStr">
        <is>
          <t>GOTLANDS LÄN</t>
        </is>
      </c>
      <c r="E320" t="inlineStr">
        <is>
          <t>GOTLAND</t>
        </is>
      </c>
      <c r="G320" t="n">
        <v>22.3</v>
      </c>
      <c r="H320" t="n">
        <v>0</v>
      </c>
      <c r="I320" t="n">
        <v>0</v>
      </c>
      <c r="J320" t="n">
        <v>0</v>
      </c>
      <c r="K320" t="n">
        <v>0</v>
      </c>
      <c r="L320" t="n">
        <v>0</v>
      </c>
      <c r="M320" t="n">
        <v>0</v>
      </c>
      <c r="N320" t="n">
        <v>0</v>
      </c>
      <c r="O320" t="n">
        <v>0</v>
      </c>
      <c r="P320" t="n">
        <v>0</v>
      </c>
      <c r="Q320" t="n">
        <v>0</v>
      </c>
      <c r="R320" s="2" t="inlineStr"/>
    </row>
    <row r="321" ht="15" customHeight="1">
      <c r="A321" t="inlineStr">
        <is>
          <t>A 50463-2019</t>
        </is>
      </c>
      <c r="B321" s="1" t="n">
        <v>43735</v>
      </c>
      <c r="C321" s="1" t="n">
        <v>45795</v>
      </c>
      <c r="D321" t="inlineStr">
        <is>
          <t>GOTLANDS LÄN</t>
        </is>
      </c>
      <c r="E321" t="inlineStr">
        <is>
          <t>GOTLAND</t>
        </is>
      </c>
      <c r="F321" t="inlineStr">
        <is>
          <t>Kyrkan</t>
        </is>
      </c>
      <c r="G321" t="n">
        <v>1.3</v>
      </c>
      <c r="H321" t="n">
        <v>0</v>
      </c>
      <c r="I321" t="n">
        <v>0</v>
      </c>
      <c r="J321" t="n">
        <v>0</v>
      </c>
      <c r="K321" t="n">
        <v>0</v>
      </c>
      <c r="L321" t="n">
        <v>0</v>
      </c>
      <c r="M321" t="n">
        <v>0</v>
      </c>
      <c r="N321" t="n">
        <v>0</v>
      </c>
      <c r="O321" t="n">
        <v>0</v>
      </c>
      <c r="P321" t="n">
        <v>0</v>
      </c>
      <c r="Q321" t="n">
        <v>0</v>
      </c>
      <c r="R321" s="2" t="inlineStr"/>
    </row>
    <row r="322" ht="15" customHeight="1">
      <c r="A322" t="inlineStr">
        <is>
          <t>A 50632-2019</t>
        </is>
      </c>
      <c r="B322" s="1" t="n">
        <v>43737</v>
      </c>
      <c r="C322" s="1" t="n">
        <v>45795</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51577-2019</t>
        </is>
      </c>
      <c r="B323" s="1" t="n">
        <v>43740</v>
      </c>
      <c r="C323" s="1" t="n">
        <v>45795</v>
      </c>
      <c r="D323" t="inlineStr">
        <is>
          <t>GOTLANDS LÄN</t>
        </is>
      </c>
      <c r="E323" t="inlineStr">
        <is>
          <t>GOTLAND</t>
        </is>
      </c>
      <c r="G323" t="n">
        <v>6.5</v>
      </c>
      <c r="H323" t="n">
        <v>0</v>
      </c>
      <c r="I323" t="n">
        <v>0</v>
      </c>
      <c r="J323" t="n">
        <v>0</v>
      </c>
      <c r="K323" t="n">
        <v>0</v>
      </c>
      <c r="L323" t="n">
        <v>0</v>
      </c>
      <c r="M323" t="n">
        <v>0</v>
      </c>
      <c r="N323" t="n">
        <v>0</v>
      </c>
      <c r="O323" t="n">
        <v>0</v>
      </c>
      <c r="P323" t="n">
        <v>0</v>
      </c>
      <c r="Q323" t="n">
        <v>0</v>
      </c>
      <c r="R323" s="2" t="inlineStr"/>
    </row>
    <row r="324" ht="15" customHeight="1">
      <c r="A324" t="inlineStr">
        <is>
          <t>A 53783-2019</t>
        </is>
      </c>
      <c r="B324" s="1" t="n">
        <v>43750</v>
      </c>
      <c r="C324" s="1" t="n">
        <v>45795</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56238-2019</t>
        </is>
      </c>
      <c r="B325" s="1" t="n">
        <v>43762</v>
      </c>
      <c r="C325" s="1" t="n">
        <v>45795</v>
      </c>
      <c r="D325" t="inlineStr">
        <is>
          <t>GOTLANDS LÄN</t>
        </is>
      </c>
      <c r="E325" t="inlineStr">
        <is>
          <t>GOTLAND</t>
        </is>
      </c>
      <c r="G325" t="n">
        <v>5.8</v>
      </c>
      <c r="H325" t="n">
        <v>0</v>
      </c>
      <c r="I325" t="n">
        <v>0</v>
      </c>
      <c r="J325" t="n">
        <v>0</v>
      </c>
      <c r="K325" t="n">
        <v>0</v>
      </c>
      <c r="L325" t="n">
        <v>0</v>
      </c>
      <c r="M325" t="n">
        <v>0</v>
      </c>
      <c r="N325" t="n">
        <v>0</v>
      </c>
      <c r="O325" t="n">
        <v>0</v>
      </c>
      <c r="P325" t="n">
        <v>0</v>
      </c>
      <c r="Q325" t="n">
        <v>0</v>
      </c>
      <c r="R325" s="2" t="inlineStr"/>
    </row>
    <row r="326" ht="15" customHeight="1">
      <c r="A326" t="inlineStr">
        <is>
          <t>A 56845-2019</t>
        </is>
      </c>
      <c r="B326" s="1" t="n">
        <v>43765</v>
      </c>
      <c r="C326" s="1" t="n">
        <v>45795</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62212-2019</t>
        </is>
      </c>
      <c r="B327" s="1" t="n">
        <v>43788</v>
      </c>
      <c r="C327" s="1" t="n">
        <v>45795</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62209-2019</t>
        </is>
      </c>
      <c r="B328" s="1" t="n">
        <v>43788</v>
      </c>
      <c r="C328" s="1" t="n">
        <v>45795</v>
      </c>
      <c r="D328" t="inlineStr">
        <is>
          <t>GOTLANDS LÄN</t>
        </is>
      </c>
      <c r="E328" t="inlineStr">
        <is>
          <t>GOTLAND</t>
        </is>
      </c>
      <c r="G328" t="n">
        <v>4.8</v>
      </c>
      <c r="H328" t="n">
        <v>0</v>
      </c>
      <c r="I328" t="n">
        <v>0</v>
      </c>
      <c r="J328" t="n">
        <v>0</v>
      </c>
      <c r="K328" t="n">
        <v>0</v>
      </c>
      <c r="L328" t="n">
        <v>0</v>
      </c>
      <c r="M328" t="n">
        <v>0</v>
      </c>
      <c r="N328" t="n">
        <v>0</v>
      </c>
      <c r="O328" t="n">
        <v>0</v>
      </c>
      <c r="P328" t="n">
        <v>0</v>
      </c>
      <c r="Q328" t="n">
        <v>0</v>
      </c>
      <c r="R328" s="2" t="inlineStr"/>
    </row>
    <row r="329" ht="15" customHeight="1">
      <c r="A329" t="inlineStr">
        <is>
          <t>A 62218-2019</t>
        </is>
      </c>
      <c r="B329" s="1" t="n">
        <v>43788</v>
      </c>
      <c r="C329" s="1" t="n">
        <v>45795</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63366-2019</t>
        </is>
      </c>
      <c r="B330" s="1" t="n">
        <v>43794</v>
      </c>
      <c r="C330" s="1" t="n">
        <v>45795</v>
      </c>
      <c r="D330" t="inlineStr">
        <is>
          <t>GOTLANDS LÄN</t>
        </is>
      </c>
      <c r="E330" t="inlineStr">
        <is>
          <t>GOTLAND</t>
        </is>
      </c>
      <c r="G330" t="n">
        <v>16.4</v>
      </c>
      <c r="H330" t="n">
        <v>0</v>
      </c>
      <c r="I330" t="n">
        <v>0</v>
      </c>
      <c r="J330" t="n">
        <v>0</v>
      </c>
      <c r="K330" t="n">
        <v>0</v>
      </c>
      <c r="L330" t="n">
        <v>0</v>
      </c>
      <c r="M330" t="n">
        <v>0</v>
      </c>
      <c r="N330" t="n">
        <v>0</v>
      </c>
      <c r="O330" t="n">
        <v>0</v>
      </c>
      <c r="P330" t="n">
        <v>0</v>
      </c>
      <c r="Q330" t="n">
        <v>0</v>
      </c>
      <c r="R330" s="2" t="inlineStr"/>
    </row>
    <row r="331" ht="15" customHeight="1">
      <c r="A331" t="inlineStr">
        <is>
          <t>A 63747-2019</t>
        </is>
      </c>
      <c r="B331" s="1" t="n">
        <v>43795</v>
      </c>
      <c r="C331" s="1" t="n">
        <v>45795</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63751-2019</t>
        </is>
      </c>
      <c r="B332" s="1" t="n">
        <v>43795</v>
      </c>
      <c r="C332" s="1" t="n">
        <v>45795</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66960-2019</t>
        </is>
      </c>
      <c r="B333" s="1" t="n">
        <v>43810</v>
      </c>
      <c r="C333" s="1" t="n">
        <v>45795</v>
      </c>
      <c r="D333" t="inlineStr">
        <is>
          <t>GOTLANDS LÄN</t>
        </is>
      </c>
      <c r="E333" t="inlineStr">
        <is>
          <t>GOTLAND</t>
        </is>
      </c>
      <c r="G333" t="n">
        <v>4.6</v>
      </c>
      <c r="H333" t="n">
        <v>0</v>
      </c>
      <c r="I333" t="n">
        <v>0</v>
      </c>
      <c r="J333" t="n">
        <v>0</v>
      </c>
      <c r="K333" t="n">
        <v>0</v>
      </c>
      <c r="L333" t="n">
        <v>0</v>
      </c>
      <c r="M333" t="n">
        <v>0</v>
      </c>
      <c r="N333" t="n">
        <v>0</v>
      </c>
      <c r="O333" t="n">
        <v>0</v>
      </c>
      <c r="P333" t="n">
        <v>0</v>
      </c>
      <c r="Q333" t="n">
        <v>0</v>
      </c>
      <c r="R333" s="2" t="inlineStr"/>
    </row>
    <row r="334" ht="15" customHeight="1">
      <c r="A334" t="inlineStr">
        <is>
          <t>A 67079-2019</t>
        </is>
      </c>
      <c r="B334" s="1" t="n">
        <v>43811</v>
      </c>
      <c r="C334" s="1" t="n">
        <v>45795</v>
      </c>
      <c r="D334" t="inlineStr">
        <is>
          <t>GOTLANDS LÄN</t>
        </is>
      </c>
      <c r="E334" t="inlineStr">
        <is>
          <t>GOTLAND</t>
        </is>
      </c>
      <c r="G334" t="n">
        <v>18.7</v>
      </c>
      <c r="H334" t="n">
        <v>0</v>
      </c>
      <c r="I334" t="n">
        <v>0</v>
      </c>
      <c r="J334" t="n">
        <v>0</v>
      </c>
      <c r="K334" t="n">
        <v>0</v>
      </c>
      <c r="L334" t="n">
        <v>0</v>
      </c>
      <c r="M334" t="n">
        <v>0</v>
      </c>
      <c r="N334" t="n">
        <v>0</v>
      </c>
      <c r="O334" t="n">
        <v>0</v>
      </c>
      <c r="P334" t="n">
        <v>0</v>
      </c>
      <c r="Q334" t="n">
        <v>0</v>
      </c>
      <c r="R334" s="2" t="inlineStr"/>
    </row>
    <row r="335" ht="15" customHeight="1">
      <c r="A335" t="inlineStr">
        <is>
          <t>A 67737-2019</t>
        </is>
      </c>
      <c r="B335" s="1" t="n">
        <v>43815</v>
      </c>
      <c r="C335" s="1" t="n">
        <v>45795</v>
      </c>
      <c r="D335" t="inlineStr">
        <is>
          <t>GOTLANDS LÄN</t>
        </is>
      </c>
      <c r="E335" t="inlineStr">
        <is>
          <t>GOTLAND</t>
        </is>
      </c>
      <c r="G335" t="n">
        <v>22.1</v>
      </c>
      <c r="H335" t="n">
        <v>0</v>
      </c>
      <c r="I335" t="n">
        <v>0</v>
      </c>
      <c r="J335" t="n">
        <v>0</v>
      </c>
      <c r="K335" t="n">
        <v>0</v>
      </c>
      <c r="L335" t="n">
        <v>0</v>
      </c>
      <c r="M335" t="n">
        <v>0</v>
      </c>
      <c r="N335" t="n">
        <v>0</v>
      </c>
      <c r="O335" t="n">
        <v>0</v>
      </c>
      <c r="P335" t="n">
        <v>0</v>
      </c>
      <c r="Q335" t="n">
        <v>0</v>
      </c>
      <c r="R335" s="2" t="inlineStr"/>
    </row>
    <row r="336" ht="15" customHeight="1">
      <c r="A336" t="inlineStr">
        <is>
          <t>A 67791-2019</t>
        </is>
      </c>
      <c r="B336" s="1" t="n">
        <v>43815</v>
      </c>
      <c r="C336" s="1" t="n">
        <v>45795</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67743-2019</t>
        </is>
      </c>
      <c r="B337" s="1" t="n">
        <v>43815</v>
      </c>
      <c r="C337" s="1" t="n">
        <v>45795</v>
      </c>
      <c r="D337" t="inlineStr">
        <is>
          <t>GOTLANDS LÄN</t>
        </is>
      </c>
      <c r="E337" t="inlineStr">
        <is>
          <t>GOTLAND</t>
        </is>
      </c>
      <c r="G337" t="n">
        <v>1.5</v>
      </c>
      <c r="H337" t="n">
        <v>0</v>
      </c>
      <c r="I337" t="n">
        <v>0</v>
      </c>
      <c r="J337" t="n">
        <v>0</v>
      </c>
      <c r="K337" t="n">
        <v>0</v>
      </c>
      <c r="L337" t="n">
        <v>0</v>
      </c>
      <c r="M337" t="n">
        <v>0</v>
      </c>
      <c r="N337" t="n">
        <v>0</v>
      </c>
      <c r="O337" t="n">
        <v>0</v>
      </c>
      <c r="P337" t="n">
        <v>0</v>
      </c>
      <c r="Q337" t="n">
        <v>0</v>
      </c>
      <c r="R337" s="2" t="inlineStr"/>
    </row>
    <row r="338" ht="15" customHeight="1">
      <c r="A338" t="inlineStr">
        <is>
          <t>A 972-2020</t>
        </is>
      </c>
      <c r="B338" s="1" t="n">
        <v>43819</v>
      </c>
      <c r="C338" s="1" t="n">
        <v>45795</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68750-2019</t>
        </is>
      </c>
      <c r="B339" s="1" t="n">
        <v>43819</v>
      </c>
      <c r="C339" s="1" t="n">
        <v>45795</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164-2020</t>
        </is>
      </c>
      <c r="B340" s="1" t="n">
        <v>43833</v>
      </c>
      <c r="C340" s="1" t="n">
        <v>45795</v>
      </c>
      <c r="D340" t="inlineStr">
        <is>
          <t>GOTLANDS LÄN</t>
        </is>
      </c>
      <c r="E340" t="inlineStr">
        <is>
          <t>GOTLAND</t>
        </is>
      </c>
      <c r="F340" t="inlineStr">
        <is>
          <t>Kyrkan</t>
        </is>
      </c>
      <c r="G340" t="n">
        <v>6.2</v>
      </c>
      <c r="H340" t="n">
        <v>0</v>
      </c>
      <c r="I340" t="n">
        <v>0</v>
      </c>
      <c r="J340" t="n">
        <v>0</v>
      </c>
      <c r="K340" t="n">
        <v>0</v>
      </c>
      <c r="L340" t="n">
        <v>0</v>
      </c>
      <c r="M340" t="n">
        <v>0</v>
      </c>
      <c r="N340" t="n">
        <v>0</v>
      </c>
      <c r="O340" t="n">
        <v>0</v>
      </c>
      <c r="P340" t="n">
        <v>0</v>
      </c>
      <c r="Q340" t="n">
        <v>0</v>
      </c>
      <c r="R340" s="2" t="inlineStr"/>
    </row>
    <row r="341" ht="15" customHeight="1">
      <c r="A341" t="inlineStr">
        <is>
          <t>A 768-2020</t>
        </is>
      </c>
      <c r="B341" s="1" t="n">
        <v>43838</v>
      </c>
      <c r="C341" s="1" t="n">
        <v>45795</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1384-2020</t>
        </is>
      </c>
      <c r="B342" s="1" t="n">
        <v>43843</v>
      </c>
      <c r="C342" s="1" t="n">
        <v>45795</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1541-2020</t>
        </is>
      </c>
      <c r="B343" s="1" t="n">
        <v>43843</v>
      </c>
      <c r="C343" s="1" t="n">
        <v>45795</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2675-2020</t>
        </is>
      </c>
      <c r="B344" s="1" t="n">
        <v>43849</v>
      </c>
      <c r="C344" s="1" t="n">
        <v>45795</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4409-2020</t>
        </is>
      </c>
      <c r="B345" s="1" t="n">
        <v>43850</v>
      </c>
      <c r="C345" s="1" t="n">
        <v>45795</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5724-2020</t>
        </is>
      </c>
      <c r="B346" s="1" t="n">
        <v>43862</v>
      </c>
      <c r="C346" s="1" t="n">
        <v>45795</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5731-2020</t>
        </is>
      </c>
      <c r="B347" s="1" t="n">
        <v>43862</v>
      </c>
      <c r="C347" s="1" t="n">
        <v>45795</v>
      </c>
      <c r="D347" t="inlineStr">
        <is>
          <t>GOTLANDS LÄN</t>
        </is>
      </c>
      <c r="E347" t="inlineStr">
        <is>
          <t>GOTLAND</t>
        </is>
      </c>
      <c r="G347" t="n">
        <v>2.2</v>
      </c>
      <c r="H347" t="n">
        <v>0</v>
      </c>
      <c r="I347" t="n">
        <v>0</v>
      </c>
      <c r="J347" t="n">
        <v>0</v>
      </c>
      <c r="K347" t="n">
        <v>0</v>
      </c>
      <c r="L347" t="n">
        <v>0</v>
      </c>
      <c r="M347" t="n">
        <v>0</v>
      </c>
      <c r="N347" t="n">
        <v>0</v>
      </c>
      <c r="O347" t="n">
        <v>0</v>
      </c>
      <c r="P347" t="n">
        <v>0</v>
      </c>
      <c r="Q347" t="n">
        <v>0</v>
      </c>
      <c r="R347" s="2" t="inlineStr"/>
    </row>
    <row r="348" ht="15" customHeight="1">
      <c r="A348" t="inlineStr">
        <is>
          <t>A 5723-2020</t>
        </is>
      </c>
      <c r="B348" s="1" t="n">
        <v>43862</v>
      </c>
      <c r="C348" s="1" t="n">
        <v>45795</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5727-2020</t>
        </is>
      </c>
      <c r="B349" s="1" t="n">
        <v>43862</v>
      </c>
      <c r="C349" s="1" t="n">
        <v>45795</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6226-2020</t>
        </is>
      </c>
      <c r="B350" s="1" t="n">
        <v>43865</v>
      </c>
      <c r="C350" s="1" t="n">
        <v>45795</v>
      </c>
      <c r="D350" t="inlineStr">
        <is>
          <t>GOTLANDS LÄN</t>
        </is>
      </c>
      <c r="E350" t="inlineStr">
        <is>
          <t>GOTLAND</t>
        </is>
      </c>
      <c r="G350" t="n">
        <v>3.1</v>
      </c>
      <c r="H350" t="n">
        <v>0</v>
      </c>
      <c r="I350" t="n">
        <v>0</v>
      </c>
      <c r="J350" t="n">
        <v>0</v>
      </c>
      <c r="K350" t="n">
        <v>0</v>
      </c>
      <c r="L350" t="n">
        <v>0</v>
      </c>
      <c r="M350" t="n">
        <v>0</v>
      </c>
      <c r="N350" t="n">
        <v>0</v>
      </c>
      <c r="O350" t="n">
        <v>0</v>
      </c>
      <c r="P350" t="n">
        <v>0</v>
      </c>
      <c r="Q350" t="n">
        <v>0</v>
      </c>
      <c r="R350" s="2" t="inlineStr"/>
    </row>
    <row r="351" ht="15" customHeight="1">
      <c r="A351" t="inlineStr">
        <is>
          <t>A 6611-2020</t>
        </is>
      </c>
      <c r="B351" s="1" t="n">
        <v>43867</v>
      </c>
      <c r="C351" s="1" t="n">
        <v>45795</v>
      </c>
      <c r="D351" t="inlineStr">
        <is>
          <t>GOTLANDS LÄN</t>
        </is>
      </c>
      <c r="E351" t="inlineStr">
        <is>
          <t>GOTLAND</t>
        </is>
      </c>
      <c r="G351" t="n">
        <v>3.3</v>
      </c>
      <c r="H351" t="n">
        <v>0</v>
      </c>
      <c r="I351" t="n">
        <v>0</v>
      </c>
      <c r="J351" t="n">
        <v>0</v>
      </c>
      <c r="K351" t="n">
        <v>0</v>
      </c>
      <c r="L351" t="n">
        <v>0</v>
      </c>
      <c r="M351" t="n">
        <v>0</v>
      </c>
      <c r="N351" t="n">
        <v>0</v>
      </c>
      <c r="O351" t="n">
        <v>0</v>
      </c>
      <c r="P351" t="n">
        <v>0</v>
      </c>
      <c r="Q351" t="n">
        <v>0</v>
      </c>
      <c r="R351" s="2" t="inlineStr"/>
    </row>
    <row r="352" ht="15" customHeight="1">
      <c r="A352" t="inlineStr">
        <is>
          <t>A 8217-2020</t>
        </is>
      </c>
      <c r="B352" s="1" t="n">
        <v>43874</v>
      </c>
      <c r="C352" s="1" t="n">
        <v>45795</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8872-2020</t>
        </is>
      </c>
      <c r="B353" s="1" t="n">
        <v>43878</v>
      </c>
      <c r="C353" s="1" t="n">
        <v>45795</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9502-2020</t>
        </is>
      </c>
      <c r="B354" s="1" t="n">
        <v>43880</v>
      </c>
      <c r="C354" s="1" t="n">
        <v>45795</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10932-2020</t>
        </is>
      </c>
      <c r="B355" s="1" t="n">
        <v>43889</v>
      </c>
      <c r="C355" s="1" t="n">
        <v>45795</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10931-2020</t>
        </is>
      </c>
      <c r="B356" s="1" t="n">
        <v>43889</v>
      </c>
      <c r="C356" s="1" t="n">
        <v>45795</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12309-2020</t>
        </is>
      </c>
      <c r="B357" s="1" t="n">
        <v>43895</v>
      </c>
      <c r="C357" s="1" t="n">
        <v>45795</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13940-2020</t>
        </is>
      </c>
      <c r="B358" s="1" t="n">
        <v>43903</v>
      </c>
      <c r="C358" s="1" t="n">
        <v>45795</v>
      </c>
      <c r="D358" t="inlineStr">
        <is>
          <t>GOTLANDS LÄN</t>
        </is>
      </c>
      <c r="E358" t="inlineStr">
        <is>
          <t>GOTLAND</t>
        </is>
      </c>
      <c r="G358" t="n">
        <v>0.8</v>
      </c>
      <c r="H358" t="n">
        <v>0</v>
      </c>
      <c r="I358" t="n">
        <v>0</v>
      </c>
      <c r="J358" t="n">
        <v>0</v>
      </c>
      <c r="K358" t="n">
        <v>0</v>
      </c>
      <c r="L358" t="n">
        <v>0</v>
      </c>
      <c r="M358" t="n">
        <v>0</v>
      </c>
      <c r="N358" t="n">
        <v>0</v>
      </c>
      <c r="O358" t="n">
        <v>0</v>
      </c>
      <c r="P358" t="n">
        <v>0</v>
      </c>
      <c r="Q358" t="n">
        <v>0</v>
      </c>
      <c r="R358" s="2" t="inlineStr"/>
    </row>
    <row r="359" ht="15" customHeight="1">
      <c r="A359" t="inlineStr">
        <is>
          <t>A 13930-2020</t>
        </is>
      </c>
      <c r="B359" s="1" t="n">
        <v>43906</v>
      </c>
      <c r="C359" s="1" t="n">
        <v>45795</v>
      </c>
      <c r="D359" t="inlineStr">
        <is>
          <t>GOTLANDS LÄN</t>
        </is>
      </c>
      <c r="E359" t="inlineStr">
        <is>
          <t>GOTLAND</t>
        </is>
      </c>
      <c r="G359" t="n">
        <v>4</v>
      </c>
      <c r="H359" t="n">
        <v>0</v>
      </c>
      <c r="I359" t="n">
        <v>0</v>
      </c>
      <c r="J359" t="n">
        <v>0</v>
      </c>
      <c r="K359" t="n">
        <v>0</v>
      </c>
      <c r="L359" t="n">
        <v>0</v>
      </c>
      <c r="M359" t="n">
        <v>0</v>
      </c>
      <c r="N359" t="n">
        <v>0</v>
      </c>
      <c r="O359" t="n">
        <v>0</v>
      </c>
      <c r="P359" t="n">
        <v>0</v>
      </c>
      <c r="Q359" t="n">
        <v>0</v>
      </c>
      <c r="R359" s="2" t="inlineStr"/>
    </row>
    <row r="360" ht="15" customHeight="1">
      <c r="A360" t="inlineStr">
        <is>
          <t>A 13995-2020</t>
        </is>
      </c>
      <c r="B360" s="1" t="n">
        <v>43906</v>
      </c>
      <c r="C360" s="1" t="n">
        <v>45795</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13987-2020</t>
        </is>
      </c>
      <c r="B361" s="1" t="n">
        <v>43906</v>
      </c>
      <c r="C361" s="1" t="n">
        <v>45795</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14073-2020</t>
        </is>
      </c>
      <c r="B362" s="1" t="n">
        <v>43907</v>
      </c>
      <c r="C362" s="1" t="n">
        <v>45795</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14074-2020</t>
        </is>
      </c>
      <c r="B363" s="1" t="n">
        <v>43907</v>
      </c>
      <c r="C363" s="1" t="n">
        <v>45795</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16452-2020</t>
        </is>
      </c>
      <c r="B364" s="1" t="n">
        <v>43909</v>
      </c>
      <c r="C364" s="1" t="n">
        <v>45795</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14995-2020</t>
        </is>
      </c>
      <c r="B365" s="1" t="n">
        <v>43910</v>
      </c>
      <c r="C365" s="1" t="n">
        <v>45795</v>
      </c>
      <c r="D365" t="inlineStr">
        <is>
          <t>GOTLANDS LÄN</t>
        </is>
      </c>
      <c r="E365" t="inlineStr">
        <is>
          <t>GOTLAND</t>
        </is>
      </c>
      <c r="G365" t="n">
        <v>6.3</v>
      </c>
      <c r="H365" t="n">
        <v>0</v>
      </c>
      <c r="I365" t="n">
        <v>0</v>
      </c>
      <c r="J365" t="n">
        <v>0</v>
      </c>
      <c r="K365" t="n">
        <v>0</v>
      </c>
      <c r="L365" t="n">
        <v>0</v>
      </c>
      <c r="M365" t="n">
        <v>0</v>
      </c>
      <c r="N365" t="n">
        <v>0</v>
      </c>
      <c r="O365" t="n">
        <v>0</v>
      </c>
      <c r="P365" t="n">
        <v>0</v>
      </c>
      <c r="Q365" t="n">
        <v>0</v>
      </c>
      <c r="R365" s="2" t="inlineStr"/>
    </row>
    <row r="366" ht="15" customHeight="1">
      <c r="A366" t="inlineStr">
        <is>
          <t>A 15202-2020</t>
        </is>
      </c>
      <c r="B366" s="1" t="n">
        <v>43913</v>
      </c>
      <c r="C366" s="1" t="n">
        <v>45795</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15197-2020</t>
        </is>
      </c>
      <c r="B367" s="1" t="n">
        <v>43913</v>
      </c>
      <c r="C367" s="1" t="n">
        <v>45795</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15888-2020</t>
        </is>
      </c>
      <c r="B368" s="1" t="n">
        <v>43915</v>
      </c>
      <c r="C368" s="1" t="n">
        <v>45795</v>
      </c>
      <c r="D368" t="inlineStr">
        <is>
          <t>GOTLANDS LÄN</t>
        </is>
      </c>
      <c r="E368" t="inlineStr">
        <is>
          <t>GOTLAND</t>
        </is>
      </c>
      <c r="G368" t="n">
        <v>1.8</v>
      </c>
      <c r="H368" t="n">
        <v>0</v>
      </c>
      <c r="I368" t="n">
        <v>0</v>
      </c>
      <c r="J368" t="n">
        <v>0</v>
      </c>
      <c r="K368" t="n">
        <v>0</v>
      </c>
      <c r="L368" t="n">
        <v>0</v>
      </c>
      <c r="M368" t="n">
        <v>0</v>
      </c>
      <c r="N368" t="n">
        <v>0</v>
      </c>
      <c r="O368" t="n">
        <v>0</v>
      </c>
      <c r="P368" t="n">
        <v>0</v>
      </c>
      <c r="Q368" t="n">
        <v>0</v>
      </c>
      <c r="R368" s="2" t="inlineStr"/>
    </row>
    <row r="369" ht="15" customHeight="1">
      <c r="A369" t="inlineStr">
        <is>
          <t>A 16133-2020</t>
        </is>
      </c>
      <c r="B369" s="1" t="n">
        <v>43916</v>
      </c>
      <c r="C369" s="1" t="n">
        <v>45795</v>
      </c>
      <c r="D369" t="inlineStr">
        <is>
          <t>GOTLANDS LÄN</t>
        </is>
      </c>
      <c r="E369" t="inlineStr">
        <is>
          <t>GOTLAND</t>
        </is>
      </c>
      <c r="G369" t="n">
        <v>6.7</v>
      </c>
      <c r="H369" t="n">
        <v>0</v>
      </c>
      <c r="I369" t="n">
        <v>0</v>
      </c>
      <c r="J369" t="n">
        <v>0</v>
      </c>
      <c r="K369" t="n">
        <v>0</v>
      </c>
      <c r="L369" t="n">
        <v>0</v>
      </c>
      <c r="M369" t="n">
        <v>0</v>
      </c>
      <c r="N369" t="n">
        <v>0</v>
      </c>
      <c r="O369" t="n">
        <v>0</v>
      </c>
      <c r="P369" t="n">
        <v>0</v>
      </c>
      <c r="Q369" t="n">
        <v>0</v>
      </c>
      <c r="R369" s="2" t="inlineStr"/>
    </row>
    <row r="370" ht="15" customHeight="1">
      <c r="A370" t="inlineStr">
        <is>
          <t>A 17403-2020</t>
        </is>
      </c>
      <c r="B370" s="1" t="n">
        <v>43917</v>
      </c>
      <c r="C370" s="1" t="n">
        <v>45795</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17869-2020</t>
        </is>
      </c>
      <c r="B371" s="1" t="n">
        <v>43924</v>
      </c>
      <c r="C371" s="1" t="n">
        <v>45795</v>
      </c>
      <c r="D371" t="inlineStr">
        <is>
          <t>GOTLANDS LÄN</t>
        </is>
      </c>
      <c r="E371" t="inlineStr">
        <is>
          <t>GOTLAND</t>
        </is>
      </c>
      <c r="G371" t="n">
        <v>2.7</v>
      </c>
      <c r="H371" t="n">
        <v>0</v>
      </c>
      <c r="I371" t="n">
        <v>0</v>
      </c>
      <c r="J371" t="n">
        <v>0</v>
      </c>
      <c r="K371" t="n">
        <v>0</v>
      </c>
      <c r="L371" t="n">
        <v>0</v>
      </c>
      <c r="M371" t="n">
        <v>0</v>
      </c>
      <c r="N371" t="n">
        <v>0</v>
      </c>
      <c r="O371" t="n">
        <v>0</v>
      </c>
      <c r="P371" t="n">
        <v>0</v>
      </c>
      <c r="Q371" t="n">
        <v>0</v>
      </c>
      <c r="R371" s="2" t="inlineStr"/>
    </row>
    <row r="372" ht="15" customHeight="1">
      <c r="A372" t="inlineStr">
        <is>
          <t>A 19900-2020</t>
        </is>
      </c>
      <c r="B372" s="1" t="n">
        <v>43942</v>
      </c>
      <c r="C372" s="1" t="n">
        <v>45795</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21568-2020</t>
        </is>
      </c>
      <c r="B373" s="1" t="n">
        <v>43956</v>
      </c>
      <c r="C373" s="1" t="n">
        <v>45795</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22093-2020</t>
        </is>
      </c>
      <c r="B374" s="1" t="n">
        <v>43959</v>
      </c>
      <c r="C374" s="1" t="n">
        <v>45795</v>
      </c>
      <c r="D374" t="inlineStr">
        <is>
          <t>GOTLANDS LÄN</t>
        </is>
      </c>
      <c r="E374" t="inlineStr">
        <is>
          <t>GOTLAND</t>
        </is>
      </c>
      <c r="F374" t="inlineStr">
        <is>
          <t>Kommuner</t>
        </is>
      </c>
      <c r="G374" t="n">
        <v>0.6</v>
      </c>
      <c r="H374" t="n">
        <v>0</v>
      </c>
      <c r="I374" t="n">
        <v>0</v>
      </c>
      <c r="J374" t="n">
        <v>0</v>
      </c>
      <c r="K374" t="n">
        <v>0</v>
      </c>
      <c r="L374" t="n">
        <v>0</v>
      </c>
      <c r="M374" t="n">
        <v>0</v>
      </c>
      <c r="N374" t="n">
        <v>0</v>
      </c>
      <c r="O374" t="n">
        <v>0</v>
      </c>
      <c r="P374" t="n">
        <v>0</v>
      </c>
      <c r="Q374" t="n">
        <v>0</v>
      </c>
      <c r="R374" s="2" t="inlineStr"/>
    </row>
    <row r="375" ht="15" customHeight="1">
      <c r="A375" t="inlineStr">
        <is>
          <t>A 22329-2020</t>
        </is>
      </c>
      <c r="B375" s="1" t="n">
        <v>43962</v>
      </c>
      <c r="C375" s="1" t="n">
        <v>45795</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22333-2020</t>
        </is>
      </c>
      <c r="B376" s="1" t="n">
        <v>43962</v>
      </c>
      <c r="C376" s="1" t="n">
        <v>45795</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23498-2020</t>
        </is>
      </c>
      <c r="B377" s="1" t="n">
        <v>43969</v>
      </c>
      <c r="C377" s="1" t="n">
        <v>45795</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23728-2020</t>
        </is>
      </c>
      <c r="B378" s="1" t="n">
        <v>43970</v>
      </c>
      <c r="C378" s="1" t="n">
        <v>45795</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24537-2020</t>
        </is>
      </c>
      <c r="B379" s="1" t="n">
        <v>43977</v>
      </c>
      <c r="C379" s="1" t="n">
        <v>45795</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25039-2020</t>
        </is>
      </c>
      <c r="B380" s="1" t="n">
        <v>43979</v>
      </c>
      <c r="C380" s="1" t="n">
        <v>45795</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26117-2020</t>
        </is>
      </c>
      <c r="B381" s="1" t="n">
        <v>43985</v>
      </c>
      <c r="C381" s="1" t="n">
        <v>45795</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27322-2020</t>
        </is>
      </c>
      <c r="B382" s="1" t="n">
        <v>43992</v>
      </c>
      <c r="C382" s="1" t="n">
        <v>45795</v>
      </c>
      <c r="D382" t="inlineStr">
        <is>
          <t>GOTLANDS LÄN</t>
        </is>
      </c>
      <c r="E382" t="inlineStr">
        <is>
          <t>GOTLAND</t>
        </is>
      </c>
      <c r="F382" t="inlineStr">
        <is>
          <t>Övriga statliga verk och myndigheter</t>
        </is>
      </c>
      <c r="G382" t="n">
        <v>7.4</v>
      </c>
      <c r="H382" t="n">
        <v>0</v>
      </c>
      <c r="I382" t="n">
        <v>0</v>
      </c>
      <c r="J382" t="n">
        <v>0</v>
      </c>
      <c r="K382" t="n">
        <v>0</v>
      </c>
      <c r="L382" t="n">
        <v>0</v>
      </c>
      <c r="M382" t="n">
        <v>0</v>
      </c>
      <c r="N382" t="n">
        <v>0</v>
      </c>
      <c r="O382" t="n">
        <v>0</v>
      </c>
      <c r="P382" t="n">
        <v>0</v>
      </c>
      <c r="Q382" t="n">
        <v>0</v>
      </c>
      <c r="R382" s="2" t="inlineStr"/>
    </row>
    <row r="383" ht="15" customHeight="1">
      <c r="A383" t="inlineStr">
        <is>
          <t>A 27334-2020</t>
        </is>
      </c>
      <c r="B383" s="1" t="n">
        <v>43992</v>
      </c>
      <c r="C383" s="1" t="n">
        <v>45795</v>
      </c>
      <c r="D383" t="inlineStr">
        <is>
          <t>GOTLANDS LÄN</t>
        </is>
      </c>
      <c r="E383" t="inlineStr">
        <is>
          <t>GOTLAND</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27723-2020</t>
        </is>
      </c>
      <c r="B384" s="1" t="n">
        <v>43994</v>
      </c>
      <c r="C384" s="1" t="n">
        <v>45795</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27719-2020</t>
        </is>
      </c>
      <c r="B385" s="1" t="n">
        <v>43994</v>
      </c>
      <c r="C385" s="1" t="n">
        <v>45795</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27713-2020</t>
        </is>
      </c>
      <c r="B386" s="1" t="n">
        <v>43994</v>
      </c>
      <c r="C386" s="1" t="n">
        <v>45795</v>
      </c>
      <c r="D386" t="inlineStr">
        <is>
          <t>GOTLANDS LÄN</t>
        </is>
      </c>
      <c r="E386" t="inlineStr">
        <is>
          <t>GOTLAND</t>
        </is>
      </c>
      <c r="F386" t="inlineStr">
        <is>
          <t>Övriga statliga verk och myndigheter</t>
        </is>
      </c>
      <c r="G386" t="n">
        <v>0.8</v>
      </c>
      <c r="H386" t="n">
        <v>0</v>
      </c>
      <c r="I386" t="n">
        <v>0</v>
      </c>
      <c r="J386" t="n">
        <v>0</v>
      </c>
      <c r="K386" t="n">
        <v>0</v>
      </c>
      <c r="L386" t="n">
        <v>0</v>
      </c>
      <c r="M386" t="n">
        <v>0</v>
      </c>
      <c r="N386" t="n">
        <v>0</v>
      </c>
      <c r="O386" t="n">
        <v>0</v>
      </c>
      <c r="P386" t="n">
        <v>0</v>
      </c>
      <c r="Q386" t="n">
        <v>0</v>
      </c>
      <c r="R386" s="2" t="inlineStr"/>
    </row>
    <row r="387" ht="15" customHeight="1">
      <c r="A387" t="inlineStr">
        <is>
          <t>A 29529-2020</t>
        </is>
      </c>
      <c r="B387" s="1" t="n">
        <v>44005</v>
      </c>
      <c r="C387" s="1" t="n">
        <v>45795</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29915-2020</t>
        </is>
      </c>
      <c r="B388" s="1" t="n">
        <v>44006</v>
      </c>
      <c r="C388" s="1" t="n">
        <v>45795</v>
      </c>
      <c r="D388" t="inlineStr">
        <is>
          <t>GOTLANDS LÄN</t>
        </is>
      </c>
      <c r="E388" t="inlineStr">
        <is>
          <t>GOTLAND</t>
        </is>
      </c>
      <c r="F388" t="inlineStr">
        <is>
          <t>Kommuner</t>
        </is>
      </c>
      <c r="G388" t="n">
        <v>5.8</v>
      </c>
      <c r="H388" t="n">
        <v>0</v>
      </c>
      <c r="I388" t="n">
        <v>0</v>
      </c>
      <c r="J388" t="n">
        <v>0</v>
      </c>
      <c r="K388" t="n">
        <v>0</v>
      </c>
      <c r="L388" t="n">
        <v>0</v>
      </c>
      <c r="M388" t="n">
        <v>0</v>
      </c>
      <c r="N388" t="n">
        <v>0</v>
      </c>
      <c r="O388" t="n">
        <v>0</v>
      </c>
      <c r="P388" t="n">
        <v>0</v>
      </c>
      <c r="Q388" t="n">
        <v>0</v>
      </c>
      <c r="R388" s="2" t="inlineStr"/>
    </row>
    <row r="389" ht="15" customHeight="1">
      <c r="A389" t="inlineStr">
        <is>
          <t>A 30980-2020</t>
        </is>
      </c>
      <c r="B389" s="1" t="n">
        <v>44011</v>
      </c>
      <c r="C389" s="1" t="n">
        <v>45795</v>
      </c>
      <c r="D389" t="inlineStr">
        <is>
          <t>GOTLANDS LÄN</t>
        </is>
      </c>
      <c r="E389" t="inlineStr">
        <is>
          <t>GOTLAND</t>
        </is>
      </c>
      <c r="G389" t="n">
        <v>17.9</v>
      </c>
      <c r="H389" t="n">
        <v>0</v>
      </c>
      <c r="I389" t="n">
        <v>0</v>
      </c>
      <c r="J389" t="n">
        <v>0</v>
      </c>
      <c r="K389" t="n">
        <v>0</v>
      </c>
      <c r="L389" t="n">
        <v>0</v>
      </c>
      <c r="M389" t="n">
        <v>0</v>
      </c>
      <c r="N389" t="n">
        <v>0</v>
      </c>
      <c r="O389" t="n">
        <v>0</v>
      </c>
      <c r="P389" t="n">
        <v>0</v>
      </c>
      <c r="Q389" t="n">
        <v>0</v>
      </c>
      <c r="R389" s="2" t="inlineStr"/>
    </row>
    <row r="390" ht="15" customHeight="1">
      <c r="A390" t="inlineStr">
        <is>
          <t>A 32804-2020</t>
        </is>
      </c>
      <c r="B390" s="1" t="n">
        <v>44018</v>
      </c>
      <c r="C390" s="1" t="n">
        <v>45795</v>
      </c>
      <c r="D390" t="inlineStr">
        <is>
          <t>GOTLANDS LÄN</t>
        </is>
      </c>
      <c r="E390" t="inlineStr">
        <is>
          <t>GOTLAND</t>
        </is>
      </c>
      <c r="G390" t="n">
        <v>19.3</v>
      </c>
      <c r="H390" t="n">
        <v>0</v>
      </c>
      <c r="I390" t="n">
        <v>0</v>
      </c>
      <c r="J390" t="n">
        <v>0</v>
      </c>
      <c r="K390" t="n">
        <v>0</v>
      </c>
      <c r="L390" t="n">
        <v>0</v>
      </c>
      <c r="M390" t="n">
        <v>0</v>
      </c>
      <c r="N390" t="n">
        <v>0</v>
      </c>
      <c r="O390" t="n">
        <v>0</v>
      </c>
      <c r="P390" t="n">
        <v>0</v>
      </c>
      <c r="Q390" t="n">
        <v>0</v>
      </c>
      <c r="R390" s="2" t="inlineStr"/>
    </row>
    <row r="391" ht="15" customHeight="1">
      <c r="A391" t="inlineStr">
        <is>
          <t>A 32974-2020</t>
        </is>
      </c>
      <c r="B391" s="1" t="n">
        <v>44020</v>
      </c>
      <c r="C391" s="1" t="n">
        <v>45795</v>
      </c>
      <c r="D391" t="inlineStr">
        <is>
          <t>GOTLANDS LÄN</t>
        </is>
      </c>
      <c r="E391" t="inlineStr">
        <is>
          <t>GOTLAND</t>
        </is>
      </c>
      <c r="F391" t="inlineStr">
        <is>
          <t>Kyrkan</t>
        </is>
      </c>
      <c r="G391" t="n">
        <v>0.7</v>
      </c>
      <c r="H391" t="n">
        <v>0</v>
      </c>
      <c r="I391" t="n">
        <v>0</v>
      </c>
      <c r="J391" t="n">
        <v>0</v>
      </c>
      <c r="K391" t="n">
        <v>0</v>
      </c>
      <c r="L391" t="n">
        <v>0</v>
      </c>
      <c r="M391" t="n">
        <v>0</v>
      </c>
      <c r="N391" t="n">
        <v>0</v>
      </c>
      <c r="O391" t="n">
        <v>0</v>
      </c>
      <c r="P391" t="n">
        <v>0</v>
      </c>
      <c r="Q391" t="n">
        <v>0</v>
      </c>
      <c r="R391" s="2" t="inlineStr"/>
    </row>
    <row r="392" ht="15" customHeight="1">
      <c r="A392" t="inlineStr">
        <is>
          <t>A 35074-2020</t>
        </is>
      </c>
      <c r="B392" s="1" t="n">
        <v>44039</v>
      </c>
      <c r="C392" s="1" t="n">
        <v>45795</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36073-2020</t>
        </is>
      </c>
      <c r="B393" s="1" t="n">
        <v>44048</v>
      </c>
      <c r="C393" s="1" t="n">
        <v>45795</v>
      </c>
      <c r="D393" t="inlineStr">
        <is>
          <t>GOTLANDS LÄN</t>
        </is>
      </c>
      <c r="E393" t="inlineStr">
        <is>
          <t>GOTLAND</t>
        </is>
      </c>
      <c r="G393" t="n">
        <v>10.1</v>
      </c>
      <c r="H393" t="n">
        <v>0</v>
      </c>
      <c r="I393" t="n">
        <v>0</v>
      </c>
      <c r="J393" t="n">
        <v>0</v>
      </c>
      <c r="K393" t="n">
        <v>0</v>
      </c>
      <c r="L393" t="n">
        <v>0</v>
      </c>
      <c r="M393" t="n">
        <v>0</v>
      </c>
      <c r="N393" t="n">
        <v>0</v>
      </c>
      <c r="O393" t="n">
        <v>0</v>
      </c>
      <c r="P393" t="n">
        <v>0</v>
      </c>
      <c r="Q393" t="n">
        <v>0</v>
      </c>
      <c r="R393" s="2" t="inlineStr"/>
    </row>
    <row r="394" ht="15" customHeight="1">
      <c r="A394" t="inlineStr">
        <is>
          <t>A 36076-2020</t>
        </is>
      </c>
      <c r="B394" s="1" t="n">
        <v>44048</v>
      </c>
      <c r="C394" s="1" t="n">
        <v>45795</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36284-2020</t>
        </is>
      </c>
      <c r="B395" s="1" t="n">
        <v>44049</v>
      </c>
      <c r="C395" s="1" t="n">
        <v>45795</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37204-2020</t>
        </is>
      </c>
      <c r="B396" s="1" t="n">
        <v>44054</v>
      </c>
      <c r="C396" s="1" t="n">
        <v>45795</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38709-2020</t>
        </is>
      </c>
      <c r="B397" s="1" t="n">
        <v>44061</v>
      </c>
      <c r="C397" s="1" t="n">
        <v>45795</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39477-2020</t>
        </is>
      </c>
      <c r="B398" s="1" t="n">
        <v>44064</v>
      </c>
      <c r="C398" s="1" t="n">
        <v>45795</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41109-2020</t>
        </is>
      </c>
      <c r="B399" s="1" t="n">
        <v>44069</v>
      </c>
      <c r="C399" s="1" t="n">
        <v>45795</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41576-2020</t>
        </is>
      </c>
      <c r="B400" s="1" t="n">
        <v>44074</v>
      </c>
      <c r="C400" s="1" t="n">
        <v>45795</v>
      </c>
      <c r="D400" t="inlineStr">
        <is>
          <t>GOTLANDS LÄN</t>
        </is>
      </c>
      <c r="E400" t="inlineStr">
        <is>
          <t>GOTLAND</t>
        </is>
      </c>
      <c r="G400" t="n">
        <v>8.4</v>
      </c>
      <c r="H400" t="n">
        <v>0</v>
      </c>
      <c r="I400" t="n">
        <v>0</v>
      </c>
      <c r="J400" t="n">
        <v>0</v>
      </c>
      <c r="K400" t="n">
        <v>0</v>
      </c>
      <c r="L400" t="n">
        <v>0</v>
      </c>
      <c r="M400" t="n">
        <v>0</v>
      </c>
      <c r="N400" t="n">
        <v>0</v>
      </c>
      <c r="O400" t="n">
        <v>0</v>
      </c>
      <c r="P400" t="n">
        <v>0</v>
      </c>
      <c r="Q400" t="n">
        <v>0</v>
      </c>
      <c r="R400" s="2" t="inlineStr"/>
    </row>
    <row r="401" ht="15" customHeight="1">
      <c r="A401" t="inlineStr">
        <is>
          <t>A 45921-2020</t>
        </is>
      </c>
      <c r="B401" s="1" t="n">
        <v>44088</v>
      </c>
      <c r="C401" s="1" t="n">
        <v>45795</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46019-2020</t>
        </is>
      </c>
      <c r="B402" s="1" t="n">
        <v>44091</v>
      </c>
      <c r="C402" s="1" t="n">
        <v>45795</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46778-2020</t>
        </is>
      </c>
      <c r="B403" s="1" t="n">
        <v>44096</v>
      </c>
      <c r="C403" s="1" t="n">
        <v>45795</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53641-2020</t>
        </is>
      </c>
      <c r="B404" s="1" t="n">
        <v>44124</v>
      </c>
      <c r="C404" s="1" t="n">
        <v>45795</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53665-2020</t>
        </is>
      </c>
      <c r="B405" s="1" t="n">
        <v>44124</v>
      </c>
      <c r="C405" s="1" t="n">
        <v>45795</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59052-2020</t>
        </is>
      </c>
      <c r="B406" s="1" t="n">
        <v>44147</v>
      </c>
      <c r="C406" s="1" t="n">
        <v>45795</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59630-2020</t>
        </is>
      </c>
      <c r="B407" s="1" t="n">
        <v>44150</v>
      </c>
      <c r="C407" s="1" t="n">
        <v>45795</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60356-2020</t>
        </is>
      </c>
      <c r="B408" s="1" t="n">
        <v>44152</v>
      </c>
      <c r="C408" s="1" t="n">
        <v>45795</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62120-2020</t>
        </is>
      </c>
      <c r="B409" s="1" t="n">
        <v>44158</v>
      </c>
      <c r="C409" s="1" t="n">
        <v>45795</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64380-2020</t>
        </is>
      </c>
      <c r="B410" s="1" t="n">
        <v>44168</v>
      </c>
      <c r="C410" s="1" t="n">
        <v>45795</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65126-2020</t>
        </is>
      </c>
      <c r="B411" s="1" t="n">
        <v>44168</v>
      </c>
      <c r="C411" s="1" t="n">
        <v>45795</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65537-2020</t>
        </is>
      </c>
      <c r="B412" s="1" t="n">
        <v>44173</v>
      </c>
      <c r="C412" s="1" t="n">
        <v>45795</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69643-2020</t>
        </is>
      </c>
      <c r="B413" s="1" t="n">
        <v>44195</v>
      </c>
      <c r="C413" s="1" t="n">
        <v>45795</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14-2021</t>
        </is>
      </c>
      <c r="B414" s="1" t="n">
        <v>44197</v>
      </c>
      <c r="C414" s="1" t="n">
        <v>45795</v>
      </c>
      <c r="D414" t="inlineStr">
        <is>
          <t>GOTLANDS LÄN</t>
        </is>
      </c>
      <c r="E414" t="inlineStr">
        <is>
          <t>GOTLAND</t>
        </is>
      </c>
      <c r="F414" t="inlineStr">
        <is>
          <t>Kyrkan</t>
        </is>
      </c>
      <c r="G414" t="n">
        <v>1.3</v>
      </c>
      <c r="H414" t="n">
        <v>0</v>
      </c>
      <c r="I414" t="n">
        <v>0</v>
      </c>
      <c r="J414" t="n">
        <v>0</v>
      </c>
      <c r="K414" t="n">
        <v>0</v>
      </c>
      <c r="L414" t="n">
        <v>0</v>
      </c>
      <c r="M414" t="n">
        <v>0</v>
      </c>
      <c r="N414" t="n">
        <v>0</v>
      </c>
      <c r="O414" t="n">
        <v>0</v>
      </c>
      <c r="P414" t="n">
        <v>0</v>
      </c>
      <c r="Q414" t="n">
        <v>0</v>
      </c>
      <c r="R414" s="2" t="inlineStr"/>
    </row>
    <row r="415" ht="15" customHeight="1">
      <c r="A415" t="inlineStr">
        <is>
          <t>A 1229-2021</t>
        </is>
      </c>
      <c r="B415" s="1" t="n">
        <v>44208</v>
      </c>
      <c r="C415" s="1" t="n">
        <v>45795</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2292-2021</t>
        </is>
      </c>
      <c r="B416" s="1" t="n">
        <v>44212</v>
      </c>
      <c r="C416" s="1" t="n">
        <v>45795</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2608-2021</t>
        </is>
      </c>
      <c r="B417" s="1" t="n">
        <v>44214</v>
      </c>
      <c r="C417" s="1" t="n">
        <v>45795</v>
      </c>
      <c r="D417" t="inlineStr">
        <is>
          <t>GOTLANDS LÄN</t>
        </is>
      </c>
      <c r="E417" t="inlineStr">
        <is>
          <t>GOTLAND</t>
        </is>
      </c>
      <c r="G417" t="n">
        <v>3.9</v>
      </c>
      <c r="H417" t="n">
        <v>0</v>
      </c>
      <c r="I417" t="n">
        <v>0</v>
      </c>
      <c r="J417" t="n">
        <v>0</v>
      </c>
      <c r="K417" t="n">
        <v>0</v>
      </c>
      <c r="L417" t="n">
        <v>0</v>
      </c>
      <c r="M417" t="n">
        <v>0</v>
      </c>
      <c r="N417" t="n">
        <v>0</v>
      </c>
      <c r="O417" t="n">
        <v>0</v>
      </c>
      <c r="P417" t="n">
        <v>0</v>
      </c>
      <c r="Q417" t="n">
        <v>0</v>
      </c>
      <c r="R417" s="2" t="inlineStr"/>
    </row>
    <row r="418" ht="15" customHeight="1">
      <c r="A418" t="inlineStr">
        <is>
          <t>A 3319-2021</t>
        </is>
      </c>
      <c r="B418" s="1" t="n">
        <v>44216</v>
      </c>
      <c r="C418" s="1" t="n">
        <v>45795</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3172-2021</t>
        </is>
      </c>
      <c r="B419" s="1" t="n">
        <v>44217</v>
      </c>
      <c r="C419" s="1" t="n">
        <v>45795</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3271-2021</t>
        </is>
      </c>
      <c r="B420" s="1" t="n">
        <v>44217</v>
      </c>
      <c r="C420" s="1" t="n">
        <v>45795</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8329-2021</t>
        </is>
      </c>
      <c r="B421" s="1" t="n">
        <v>44244</v>
      </c>
      <c r="C421" s="1" t="n">
        <v>45795</v>
      </c>
      <c r="D421" t="inlineStr">
        <is>
          <t>GOTLANDS LÄN</t>
        </is>
      </c>
      <c r="E421" t="inlineStr">
        <is>
          <t>GOTLAND</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8700-2021</t>
        </is>
      </c>
      <c r="B422" s="1" t="n">
        <v>44246</v>
      </c>
      <c r="C422" s="1" t="n">
        <v>45795</v>
      </c>
      <c r="D422" t="inlineStr">
        <is>
          <t>GOTLANDS LÄN</t>
        </is>
      </c>
      <c r="E422" t="inlineStr">
        <is>
          <t>GOTLAND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11400-2021</t>
        </is>
      </c>
      <c r="B423" s="1" t="n">
        <v>44263</v>
      </c>
      <c r="C423" s="1" t="n">
        <v>45795</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11402-2021</t>
        </is>
      </c>
      <c r="B424" s="1" t="n">
        <v>44263</v>
      </c>
      <c r="C424" s="1" t="n">
        <v>45795</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12318-2021</t>
        </is>
      </c>
      <c r="B425" s="1" t="n">
        <v>44266</v>
      </c>
      <c r="C425" s="1" t="n">
        <v>45795</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13274-2021</t>
        </is>
      </c>
      <c r="B426" s="1" t="n">
        <v>44272</v>
      </c>
      <c r="C426" s="1" t="n">
        <v>45795</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14536-2021</t>
        </is>
      </c>
      <c r="B427" s="1" t="n">
        <v>44279</v>
      </c>
      <c r="C427" s="1" t="n">
        <v>45795</v>
      </c>
      <c r="D427" t="inlineStr">
        <is>
          <t>GOTLANDS LÄN</t>
        </is>
      </c>
      <c r="E427" t="inlineStr">
        <is>
          <t>GOTLAND</t>
        </is>
      </c>
      <c r="G427" t="n">
        <v>8.5</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45795</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15127-2021</t>
        </is>
      </c>
      <c r="B429" s="1" t="n">
        <v>44283</v>
      </c>
      <c r="C429" s="1" t="n">
        <v>45795</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16435-2021</t>
        </is>
      </c>
      <c r="B430" s="1" t="n">
        <v>44293</v>
      </c>
      <c r="C430" s="1" t="n">
        <v>45795</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17254-2021</t>
        </is>
      </c>
      <c r="B431" s="1" t="n">
        <v>44298</v>
      </c>
      <c r="C431" s="1" t="n">
        <v>45795</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17227-2021</t>
        </is>
      </c>
      <c r="B432" s="1" t="n">
        <v>44298</v>
      </c>
      <c r="C432" s="1" t="n">
        <v>45795</v>
      </c>
      <c r="D432" t="inlineStr">
        <is>
          <t>GOTLANDS LÄN</t>
        </is>
      </c>
      <c r="E432" t="inlineStr">
        <is>
          <t>GOTLAND</t>
        </is>
      </c>
      <c r="G432" t="n">
        <v>6.2</v>
      </c>
      <c r="H432" t="n">
        <v>0</v>
      </c>
      <c r="I432" t="n">
        <v>0</v>
      </c>
      <c r="J432" t="n">
        <v>0</v>
      </c>
      <c r="K432" t="n">
        <v>0</v>
      </c>
      <c r="L432" t="n">
        <v>0</v>
      </c>
      <c r="M432" t="n">
        <v>0</v>
      </c>
      <c r="N432" t="n">
        <v>0</v>
      </c>
      <c r="O432" t="n">
        <v>0</v>
      </c>
      <c r="P432" t="n">
        <v>0</v>
      </c>
      <c r="Q432" t="n">
        <v>0</v>
      </c>
      <c r="R432" s="2" t="inlineStr"/>
    </row>
    <row r="433" ht="15" customHeight="1">
      <c r="A433" t="inlineStr">
        <is>
          <t>A 17199-2021</t>
        </is>
      </c>
      <c r="B433" s="1" t="n">
        <v>44298</v>
      </c>
      <c r="C433" s="1" t="n">
        <v>45795</v>
      </c>
      <c r="D433" t="inlineStr">
        <is>
          <t>GOTLANDS LÄN</t>
        </is>
      </c>
      <c r="E433" t="inlineStr">
        <is>
          <t>GOTLAND</t>
        </is>
      </c>
      <c r="G433" t="n">
        <v>9.6</v>
      </c>
      <c r="H433" t="n">
        <v>0</v>
      </c>
      <c r="I433" t="n">
        <v>0</v>
      </c>
      <c r="J433" t="n">
        <v>0</v>
      </c>
      <c r="K433" t="n">
        <v>0</v>
      </c>
      <c r="L433" t="n">
        <v>0</v>
      </c>
      <c r="M433" t="n">
        <v>0</v>
      </c>
      <c r="N433" t="n">
        <v>0</v>
      </c>
      <c r="O433" t="n">
        <v>0</v>
      </c>
      <c r="P433" t="n">
        <v>0</v>
      </c>
      <c r="Q433" t="n">
        <v>0</v>
      </c>
      <c r="R433" s="2" t="inlineStr"/>
    </row>
    <row r="434" ht="15" customHeight="1">
      <c r="A434" t="inlineStr">
        <is>
          <t>A 17585-2021</t>
        </is>
      </c>
      <c r="B434" s="1" t="n">
        <v>44299</v>
      </c>
      <c r="C434" s="1" t="n">
        <v>45795</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17920-2021</t>
        </is>
      </c>
      <c r="B435" s="1" t="n">
        <v>44301</v>
      </c>
      <c r="C435" s="1" t="n">
        <v>45795</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18038-2021</t>
        </is>
      </c>
      <c r="B436" s="1" t="n">
        <v>44302</v>
      </c>
      <c r="C436" s="1" t="n">
        <v>45795</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19447-2021</t>
        </is>
      </c>
      <c r="B437" s="1" t="n">
        <v>44310</v>
      </c>
      <c r="C437" s="1" t="n">
        <v>45795</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19448-2021</t>
        </is>
      </c>
      <c r="B438" s="1" t="n">
        <v>44310</v>
      </c>
      <c r="C438" s="1" t="n">
        <v>45795</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19892-2021</t>
        </is>
      </c>
      <c r="B439" s="1" t="n">
        <v>44312</v>
      </c>
      <c r="C439" s="1" t="n">
        <v>45795</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19901-2021</t>
        </is>
      </c>
      <c r="B440" s="1" t="n">
        <v>44312</v>
      </c>
      <c r="C440" s="1" t="n">
        <v>45795</v>
      </c>
      <c r="D440" t="inlineStr">
        <is>
          <t>GOTLANDS LÄN</t>
        </is>
      </c>
      <c r="E440" t="inlineStr">
        <is>
          <t>GOTLAND</t>
        </is>
      </c>
      <c r="G440" t="n">
        <v>4.5</v>
      </c>
      <c r="H440" t="n">
        <v>0</v>
      </c>
      <c r="I440" t="n">
        <v>0</v>
      </c>
      <c r="J440" t="n">
        <v>0</v>
      </c>
      <c r="K440" t="n">
        <v>0</v>
      </c>
      <c r="L440" t="n">
        <v>0</v>
      </c>
      <c r="M440" t="n">
        <v>0</v>
      </c>
      <c r="N440" t="n">
        <v>0</v>
      </c>
      <c r="O440" t="n">
        <v>0</v>
      </c>
      <c r="P440" t="n">
        <v>0</v>
      </c>
      <c r="Q440" t="n">
        <v>0</v>
      </c>
      <c r="R440" s="2" t="inlineStr"/>
    </row>
    <row r="441" ht="15" customHeight="1">
      <c r="A441" t="inlineStr">
        <is>
          <t>A 19939-2021</t>
        </is>
      </c>
      <c r="B441" s="1" t="n">
        <v>44313</v>
      </c>
      <c r="C441" s="1" t="n">
        <v>45795</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20111-2021</t>
        </is>
      </c>
      <c r="B442" s="1" t="n">
        <v>44314</v>
      </c>
      <c r="C442" s="1" t="n">
        <v>45795</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21507-2021</t>
        </is>
      </c>
      <c r="B443" s="1" t="n">
        <v>44321</v>
      </c>
      <c r="C443" s="1" t="n">
        <v>45795</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22155-2021</t>
        </is>
      </c>
      <c r="B444" s="1" t="n">
        <v>44325</v>
      </c>
      <c r="C444" s="1" t="n">
        <v>45795</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23910-2021</t>
        </is>
      </c>
      <c r="B445" s="1" t="n">
        <v>44335</v>
      </c>
      <c r="C445" s="1" t="n">
        <v>45795</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24001-2021</t>
        </is>
      </c>
      <c r="B446" s="1" t="n">
        <v>44335</v>
      </c>
      <c r="C446" s="1" t="n">
        <v>45795</v>
      </c>
      <c r="D446" t="inlineStr">
        <is>
          <t>GOTLANDS LÄN</t>
        </is>
      </c>
      <c r="E446" t="inlineStr">
        <is>
          <t>GOTLAND</t>
        </is>
      </c>
      <c r="G446" t="n">
        <v>3.4</v>
      </c>
      <c r="H446" t="n">
        <v>0</v>
      </c>
      <c r="I446" t="n">
        <v>0</v>
      </c>
      <c r="J446" t="n">
        <v>0</v>
      </c>
      <c r="K446" t="n">
        <v>0</v>
      </c>
      <c r="L446" t="n">
        <v>0</v>
      </c>
      <c r="M446" t="n">
        <v>0</v>
      </c>
      <c r="N446" t="n">
        <v>0</v>
      </c>
      <c r="O446" t="n">
        <v>0</v>
      </c>
      <c r="P446" t="n">
        <v>0</v>
      </c>
      <c r="Q446" t="n">
        <v>0</v>
      </c>
      <c r="R446" s="2" t="inlineStr"/>
    </row>
    <row r="447" ht="15" customHeight="1">
      <c r="A447" t="inlineStr">
        <is>
          <t>A 26810-2021</t>
        </is>
      </c>
      <c r="B447" s="1" t="n">
        <v>44349</v>
      </c>
      <c r="C447" s="1" t="n">
        <v>45795</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26857-2021</t>
        </is>
      </c>
      <c r="B448" s="1" t="n">
        <v>44349</v>
      </c>
      <c r="C448" s="1" t="n">
        <v>45795</v>
      </c>
      <c r="D448" t="inlineStr">
        <is>
          <t>GOTLANDS LÄN</t>
        </is>
      </c>
      <c r="E448" t="inlineStr">
        <is>
          <t>GOTLAND</t>
        </is>
      </c>
      <c r="G448" t="n">
        <v>1.9</v>
      </c>
      <c r="H448" t="n">
        <v>0</v>
      </c>
      <c r="I448" t="n">
        <v>0</v>
      </c>
      <c r="J448" t="n">
        <v>0</v>
      </c>
      <c r="K448" t="n">
        <v>0</v>
      </c>
      <c r="L448" t="n">
        <v>0</v>
      </c>
      <c r="M448" t="n">
        <v>0</v>
      </c>
      <c r="N448" t="n">
        <v>0</v>
      </c>
      <c r="O448" t="n">
        <v>0</v>
      </c>
      <c r="P448" t="n">
        <v>0</v>
      </c>
      <c r="Q448" t="n">
        <v>0</v>
      </c>
      <c r="R448" s="2" t="inlineStr"/>
    </row>
    <row r="449" ht="15" customHeight="1">
      <c r="A449" t="inlineStr">
        <is>
          <t>A 26867-2021</t>
        </is>
      </c>
      <c r="B449" s="1" t="n">
        <v>44349</v>
      </c>
      <c r="C449" s="1" t="n">
        <v>45795</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27930-2021</t>
        </is>
      </c>
      <c r="B450" s="1" t="n">
        <v>44354</v>
      </c>
      <c r="C450" s="1" t="n">
        <v>45795</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30055-2021</t>
        </is>
      </c>
      <c r="B451" s="1" t="n">
        <v>44363</v>
      </c>
      <c r="C451" s="1" t="n">
        <v>45795</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31264-2021</t>
        </is>
      </c>
      <c r="B452" s="1" t="n">
        <v>44368</v>
      </c>
      <c r="C452" s="1" t="n">
        <v>45795</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31981-2021</t>
        </is>
      </c>
      <c r="B453" s="1" t="n">
        <v>44370</v>
      </c>
      <c r="C453" s="1" t="n">
        <v>45795</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32647-2021</t>
        </is>
      </c>
      <c r="B454" s="1" t="n">
        <v>44375</v>
      </c>
      <c r="C454" s="1" t="n">
        <v>45795</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32691-2021</t>
        </is>
      </c>
      <c r="B455" s="1" t="n">
        <v>44375</v>
      </c>
      <c r="C455" s="1" t="n">
        <v>45795</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32958-2021</t>
        </is>
      </c>
      <c r="B456" s="1" t="n">
        <v>44376</v>
      </c>
      <c r="C456" s="1" t="n">
        <v>45795</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36313-2021</t>
        </is>
      </c>
      <c r="B457" s="1" t="n">
        <v>44390</v>
      </c>
      <c r="C457" s="1" t="n">
        <v>45795</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37037-2021</t>
        </is>
      </c>
      <c r="B458" s="1" t="n">
        <v>44393</v>
      </c>
      <c r="C458" s="1" t="n">
        <v>45795</v>
      </c>
      <c r="D458" t="inlineStr">
        <is>
          <t>GOTLANDS LÄN</t>
        </is>
      </c>
      <c r="E458" t="inlineStr">
        <is>
          <t>GOTLAND</t>
        </is>
      </c>
      <c r="G458" t="n">
        <v>10.2</v>
      </c>
      <c r="H458" t="n">
        <v>0</v>
      </c>
      <c r="I458" t="n">
        <v>0</v>
      </c>
      <c r="J458" t="n">
        <v>0</v>
      </c>
      <c r="K458" t="n">
        <v>0</v>
      </c>
      <c r="L458" t="n">
        <v>0</v>
      </c>
      <c r="M458" t="n">
        <v>0</v>
      </c>
      <c r="N458" t="n">
        <v>0</v>
      </c>
      <c r="O458" t="n">
        <v>0</v>
      </c>
      <c r="P458" t="n">
        <v>0</v>
      </c>
      <c r="Q458" t="n">
        <v>0</v>
      </c>
      <c r="R458" s="2" t="inlineStr"/>
    </row>
    <row r="459" ht="15" customHeight="1">
      <c r="A459" t="inlineStr">
        <is>
          <t>A 37222-2021</t>
        </is>
      </c>
      <c r="B459" s="1" t="n">
        <v>44396</v>
      </c>
      <c r="C459" s="1" t="n">
        <v>45795</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45795</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45795</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45795</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45795</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45795</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45795</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45795</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45795</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45795</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45795</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45795</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45795</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45795</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45795</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45795</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45795</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45795</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45795</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45795</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45795</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45795</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45795</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45795</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45795</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45795</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45795</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45795</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45795</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45795</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45795</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45795</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45795</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45795</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45795</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45795</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45795</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45795</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45795</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45795</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45795</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45795</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45795</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45795</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45795</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45795</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45795</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45795</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45795</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45795</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45795</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45795</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45795</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45795</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45795</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45795</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45795</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45795</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45795</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45795</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45795</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45795</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45795</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45795</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45795</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45795</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45795</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45795</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45795</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45795</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45795</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45795</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45795</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45795</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45795</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45795</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45795</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45795</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45795</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45795</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45795</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45795</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45795</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45795</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45795</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45795</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45795</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45795</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45795</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45795</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45795</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45795</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45795</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45795</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45795</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45795</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45795</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45795</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45795</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45795</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45795</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45795</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45795</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45795</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45795</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62155-2022</t>
        </is>
      </c>
      <c r="B564" s="1" t="n">
        <v>44922</v>
      </c>
      <c r="C564" s="1" t="n">
        <v>45795</v>
      </c>
      <c r="D564" t="inlineStr">
        <is>
          <t>GOTLANDS LÄN</t>
        </is>
      </c>
      <c r="E564" t="inlineStr">
        <is>
          <t>GOTLAND</t>
        </is>
      </c>
      <c r="G564" t="n">
        <v>4.1</v>
      </c>
      <c r="H564" t="n">
        <v>0</v>
      </c>
      <c r="I564" t="n">
        <v>0</v>
      </c>
      <c r="J564" t="n">
        <v>0</v>
      </c>
      <c r="K564" t="n">
        <v>0</v>
      </c>
      <c r="L564" t="n">
        <v>0</v>
      </c>
      <c r="M564" t="n">
        <v>0</v>
      </c>
      <c r="N564" t="n">
        <v>0</v>
      </c>
      <c r="O564" t="n">
        <v>0</v>
      </c>
      <c r="P564" t="n">
        <v>0</v>
      </c>
      <c r="Q564" t="n">
        <v>0</v>
      </c>
      <c r="R564" s="2" t="inlineStr"/>
    </row>
    <row r="565" ht="15" customHeight="1">
      <c r="A565" t="inlineStr">
        <is>
          <t>A 62164-2022</t>
        </is>
      </c>
      <c r="B565" s="1" t="n">
        <v>44922</v>
      </c>
      <c r="C565" s="1" t="n">
        <v>45795</v>
      </c>
      <c r="D565" t="inlineStr">
        <is>
          <t>GOTLANDS LÄN</t>
        </is>
      </c>
      <c r="E565" t="inlineStr">
        <is>
          <t>GOTLAND</t>
        </is>
      </c>
      <c r="G565" t="n">
        <v>3.8</v>
      </c>
      <c r="H565" t="n">
        <v>0</v>
      </c>
      <c r="I565" t="n">
        <v>0</v>
      </c>
      <c r="J565" t="n">
        <v>0</v>
      </c>
      <c r="K565" t="n">
        <v>0</v>
      </c>
      <c r="L565" t="n">
        <v>0</v>
      </c>
      <c r="M565" t="n">
        <v>0</v>
      </c>
      <c r="N565" t="n">
        <v>0</v>
      </c>
      <c r="O565" t="n">
        <v>0</v>
      </c>
      <c r="P565" t="n">
        <v>0</v>
      </c>
      <c r="Q565" t="n">
        <v>0</v>
      </c>
      <c r="R565" s="2" t="inlineStr"/>
    </row>
    <row r="566" ht="15" customHeight="1">
      <c r="A566" t="inlineStr">
        <is>
          <t>A 62182-2022</t>
        </is>
      </c>
      <c r="B566" s="1" t="n">
        <v>44922</v>
      </c>
      <c r="C566" s="1" t="n">
        <v>45795</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62151-2022</t>
        </is>
      </c>
      <c r="B567" s="1" t="n">
        <v>44922</v>
      </c>
      <c r="C567" s="1" t="n">
        <v>45795</v>
      </c>
      <c r="D567" t="inlineStr">
        <is>
          <t>GOTLANDS LÄN</t>
        </is>
      </c>
      <c r="E567" t="inlineStr">
        <is>
          <t>GOTLAND</t>
        </is>
      </c>
      <c r="G567" t="n">
        <v>6.5</v>
      </c>
      <c r="H567" t="n">
        <v>0</v>
      </c>
      <c r="I567" t="n">
        <v>0</v>
      </c>
      <c r="J567" t="n">
        <v>0</v>
      </c>
      <c r="K567" t="n">
        <v>0</v>
      </c>
      <c r="L567" t="n">
        <v>0</v>
      </c>
      <c r="M567" t="n">
        <v>0</v>
      </c>
      <c r="N567" t="n">
        <v>0</v>
      </c>
      <c r="O567" t="n">
        <v>0</v>
      </c>
      <c r="P567" t="n">
        <v>0</v>
      </c>
      <c r="Q567" t="n">
        <v>0</v>
      </c>
      <c r="R567" s="2" t="inlineStr"/>
    </row>
    <row r="568" ht="15" customHeight="1">
      <c r="A568" t="inlineStr">
        <is>
          <t>A 62186-2022</t>
        </is>
      </c>
      <c r="B568" s="1" t="n">
        <v>44922</v>
      </c>
      <c r="C568" s="1" t="n">
        <v>45795</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62184-2022</t>
        </is>
      </c>
      <c r="B569" s="1" t="n">
        <v>44922</v>
      </c>
      <c r="C569" s="1" t="n">
        <v>45795</v>
      </c>
      <c r="D569" t="inlineStr">
        <is>
          <t>GOTLANDS LÄN</t>
        </is>
      </c>
      <c r="E569" t="inlineStr">
        <is>
          <t>GOTLAND</t>
        </is>
      </c>
      <c r="G569" t="n">
        <v>4.9</v>
      </c>
      <c r="H569" t="n">
        <v>0</v>
      </c>
      <c r="I569" t="n">
        <v>0</v>
      </c>
      <c r="J569" t="n">
        <v>0</v>
      </c>
      <c r="K569" t="n">
        <v>0</v>
      </c>
      <c r="L569" t="n">
        <v>0</v>
      </c>
      <c r="M569" t="n">
        <v>0</v>
      </c>
      <c r="N569" t="n">
        <v>0</v>
      </c>
      <c r="O569" t="n">
        <v>0</v>
      </c>
      <c r="P569" t="n">
        <v>0</v>
      </c>
      <c r="Q569" t="n">
        <v>0</v>
      </c>
      <c r="R569" s="2" t="inlineStr"/>
    </row>
    <row r="570" ht="15" customHeight="1">
      <c r="A570" t="inlineStr">
        <is>
          <t>A 163-2023</t>
        </is>
      </c>
      <c r="B570" s="1" t="n">
        <v>44928</v>
      </c>
      <c r="C570" s="1" t="n">
        <v>45795</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45795</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457-2023</t>
        </is>
      </c>
      <c r="B572" s="1" t="n">
        <v>44929</v>
      </c>
      <c r="C572" s="1" t="n">
        <v>45795</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456-2023</t>
        </is>
      </c>
      <c r="B573" s="1" t="n">
        <v>44929</v>
      </c>
      <c r="C573" s="1" t="n">
        <v>45795</v>
      </c>
      <c r="D573" t="inlineStr">
        <is>
          <t>GOTLANDS LÄN</t>
        </is>
      </c>
      <c r="E573" t="inlineStr">
        <is>
          <t>GOTLAND</t>
        </is>
      </c>
      <c r="G573" t="n">
        <v>3.2</v>
      </c>
      <c r="H573" t="n">
        <v>0</v>
      </c>
      <c r="I573" t="n">
        <v>0</v>
      </c>
      <c r="J573" t="n">
        <v>0</v>
      </c>
      <c r="K573" t="n">
        <v>0</v>
      </c>
      <c r="L573" t="n">
        <v>0</v>
      </c>
      <c r="M573" t="n">
        <v>0</v>
      </c>
      <c r="N573" t="n">
        <v>0</v>
      </c>
      <c r="O573" t="n">
        <v>0</v>
      </c>
      <c r="P573" t="n">
        <v>0</v>
      </c>
      <c r="Q573" t="n">
        <v>0</v>
      </c>
      <c r="R573" s="2" t="inlineStr"/>
    </row>
    <row r="574" ht="15" customHeight="1">
      <c r="A574" t="inlineStr">
        <is>
          <t>A 459-2023</t>
        </is>
      </c>
      <c r="B574" s="1" t="n">
        <v>44929</v>
      </c>
      <c r="C574" s="1" t="n">
        <v>45795</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581-2023</t>
        </is>
      </c>
      <c r="B575" s="1" t="n">
        <v>44930</v>
      </c>
      <c r="C575" s="1" t="n">
        <v>45795</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811-2023</t>
        </is>
      </c>
      <c r="B576" s="1" t="n">
        <v>44931</v>
      </c>
      <c r="C576" s="1" t="n">
        <v>45795</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999-2023</t>
        </is>
      </c>
      <c r="B577" s="1" t="n">
        <v>44935</v>
      </c>
      <c r="C577" s="1" t="n">
        <v>45795</v>
      </c>
      <c r="D577" t="inlineStr">
        <is>
          <t>GOTLANDS LÄN</t>
        </is>
      </c>
      <c r="E577" t="inlineStr">
        <is>
          <t>GOTLAND</t>
        </is>
      </c>
      <c r="G577" t="n">
        <v>4.7</v>
      </c>
      <c r="H577" t="n">
        <v>0</v>
      </c>
      <c r="I577" t="n">
        <v>0</v>
      </c>
      <c r="J577" t="n">
        <v>0</v>
      </c>
      <c r="K577" t="n">
        <v>0</v>
      </c>
      <c r="L577" t="n">
        <v>0</v>
      </c>
      <c r="M577" t="n">
        <v>0</v>
      </c>
      <c r="N577" t="n">
        <v>0</v>
      </c>
      <c r="O577" t="n">
        <v>0</v>
      </c>
      <c r="P577" t="n">
        <v>0</v>
      </c>
      <c r="Q577" t="n">
        <v>0</v>
      </c>
      <c r="R577" s="2" t="inlineStr"/>
    </row>
    <row r="578" ht="15" customHeight="1">
      <c r="A578" t="inlineStr">
        <is>
          <t>A 1284-2023</t>
        </is>
      </c>
      <c r="B578" s="1" t="n">
        <v>44936</v>
      </c>
      <c r="C578" s="1" t="n">
        <v>45795</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1273-2023</t>
        </is>
      </c>
      <c r="B579" s="1" t="n">
        <v>44936</v>
      </c>
      <c r="C579" s="1" t="n">
        <v>45795</v>
      </c>
      <c r="D579" t="inlineStr">
        <is>
          <t>GOTLANDS LÄN</t>
        </is>
      </c>
      <c r="E579" t="inlineStr">
        <is>
          <t>GOTLAND</t>
        </is>
      </c>
      <c r="G579" t="n">
        <v>4.5</v>
      </c>
      <c r="H579" t="n">
        <v>0</v>
      </c>
      <c r="I579" t="n">
        <v>0</v>
      </c>
      <c r="J579" t="n">
        <v>0</v>
      </c>
      <c r="K579" t="n">
        <v>0</v>
      </c>
      <c r="L579" t="n">
        <v>0</v>
      </c>
      <c r="M579" t="n">
        <v>0</v>
      </c>
      <c r="N579" t="n">
        <v>0</v>
      </c>
      <c r="O579" t="n">
        <v>0</v>
      </c>
      <c r="P579" t="n">
        <v>0</v>
      </c>
      <c r="Q579" t="n">
        <v>0</v>
      </c>
      <c r="R579" s="2" t="inlineStr"/>
    </row>
    <row r="580" ht="15" customHeight="1">
      <c r="A580" t="inlineStr">
        <is>
          <t>A 1291-2023</t>
        </is>
      </c>
      <c r="B580" s="1" t="n">
        <v>44936</v>
      </c>
      <c r="C580" s="1" t="n">
        <v>45795</v>
      </c>
      <c r="D580" t="inlineStr">
        <is>
          <t>GOTLANDS LÄN</t>
        </is>
      </c>
      <c r="E580" t="inlineStr">
        <is>
          <t>GOTLAND</t>
        </is>
      </c>
      <c r="G580" t="n">
        <v>7.4</v>
      </c>
      <c r="H580" t="n">
        <v>0</v>
      </c>
      <c r="I580" t="n">
        <v>0</v>
      </c>
      <c r="J580" t="n">
        <v>0</v>
      </c>
      <c r="K580" t="n">
        <v>0</v>
      </c>
      <c r="L580" t="n">
        <v>0</v>
      </c>
      <c r="M580" t="n">
        <v>0</v>
      </c>
      <c r="N580" t="n">
        <v>0</v>
      </c>
      <c r="O580" t="n">
        <v>0</v>
      </c>
      <c r="P580" t="n">
        <v>0</v>
      </c>
      <c r="Q580" t="n">
        <v>0</v>
      </c>
      <c r="R580" s="2" t="inlineStr"/>
    </row>
    <row r="581" ht="15" customHeight="1">
      <c r="A581" t="inlineStr">
        <is>
          <t>A 1394-2023</t>
        </is>
      </c>
      <c r="B581" s="1" t="n">
        <v>44936</v>
      </c>
      <c r="C581" s="1" t="n">
        <v>45795</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1677-2023</t>
        </is>
      </c>
      <c r="B582" s="1" t="n">
        <v>44938</v>
      </c>
      <c r="C582" s="1" t="n">
        <v>45795</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1681-2023</t>
        </is>
      </c>
      <c r="B583" s="1" t="n">
        <v>44938</v>
      </c>
      <c r="C583" s="1" t="n">
        <v>45795</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45795</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2676-2023</t>
        </is>
      </c>
      <c r="B585" s="1" t="n">
        <v>44944</v>
      </c>
      <c r="C585" s="1" t="n">
        <v>45795</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v>
      </c>
      <c r="C586" s="1" t="n">
        <v>45795</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2727-2023</t>
        </is>
      </c>
      <c r="B587" s="1" t="n">
        <v>44944</v>
      </c>
      <c r="C587" s="1" t="n">
        <v>45795</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2719-2023</t>
        </is>
      </c>
      <c r="B588" s="1" t="n">
        <v>44944</v>
      </c>
      <c r="C588" s="1" t="n">
        <v>45795</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2805-2023</t>
        </is>
      </c>
      <c r="B589" s="1" t="n">
        <v>44944</v>
      </c>
      <c r="C589" s="1" t="n">
        <v>45795</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2815-2023</t>
        </is>
      </c>
      <c r="B590" s="1" t="n">
        <v>44944</v>
      </c>
      <c r="C590" s="1" t="n">
        <v>45795</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3230-2023</t>
        </is>
      </c>
      <c r="B591" s="1" t="n">
        <v>44946</v>
      </c>
      <c r="C591" s="1" t="n">
        <v>45795</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4378-2023</t>
        </is>
      </c>
      <c r="B592" s="1" t="n">
        <v>44955</v>
      </c>
      <c r="C592" s="1" t="n">
        <v>45795</v>
      </c>
      <c r="D592" t="inlineStr">
        <is>
          <t>GOTLANDS LÄN</t>
        </is>
      </c>
      <c r="E592" t="inlineStr">
        <is>
          <t>GOTLAND</t>
        </is>
      </c>
      <c r="F592" t="inlineStr">
        <is>
          <t>Kyrkan</t>
        </is>
      </c>
      <c r="G592" t="n">
        <v>1.5</v>
      </c>
      <c r="H592" t="n">
        <v>0</v>
      </c>
      <c r="I592" t="n">
        <v>0</v>
      </c>
      <c r="J592" t="n">
        <v>0</v>
      </c>
      <c r="K592" t="n">
        <v>0</v>
      </c>
      <c r="L592" t="n">
        <v>0</v>
      </c>
      <c r="M592" t="n">
        <v>0</v>
      </c>
      <c r="N592" t="n">
        <v>0</v>
      </c>
      <c r="O592" t="n">
        <v>0</v>
      </c>
      <c r="P592" t="n">
        <v>0</v>
      </c>
      <c r="Q592" t="n">
        <v>0</v>
      </c>
      <c r="R592" s="2" t="inlineStr"/>
    </row>
    <row r="593" ht="15" customHeight="1">
      <c r="A593" t="inlineStr">
        <is>
          <t>A 4377-2023</t>
        </is>
      </c>
      <c r="B593" s="1" t="n">
        <v>44955</v>
      </c>
      <c r="C593" s="1" t="n">
        <v>45795</v>
      </c>
      <c r="D593" t="inlineStr">
        <is>
          <t>GOTLANDS LÄN</t>
        </is>
      </c>
      <c r="E593" t="inlineStr">
        <is>
          <t>GOTLAND</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4387-2023</t>
        </is>
      </c>
      <c r="B594" s="1" t="n">
        <v>44955</v>
      </c>
      <c r="C594" s="1" t="n">
        <v>45795</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4565-2023</t>
        </is>
      </c>
      <c r="B595" s="1" t="n">
        <v>44956</v>
      </c>
      <c r="C595" s="1" t="n">
        <v>45795</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5217-2023</t>
        </is>
      </c>
      <c r="B596" s="1" t="n">
        <v>44959</v>
      </c>
      <c r="C596" s="1" t="n">
        <v>45795</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5379-2023</t>
        </is>
      </c>
      <c r="B597" s="1" t="n">
        <v>44959</v>
      </c>
      <c r="C597" s="1" t="n">
        <v>45795</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5386-2023</t>
        </is>
      </c>
      <c r="B598" s="1" t="n">
        <v>44959</v>
      </c>
      <c r="C598" s="1" t="n">
        <v>45795</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5923-2023</t>
        </is>
      </c>
      <c r="B599" s="1" t="n">
        <v>44963</v>
      </c>
      <c r="C599" s="1" t="n">
        <v>45795</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6721-2023</t>
        </is>
      </c>
      <c r="B600" s="1" t="n">
        <v>44966</v>
      </c>
      <c r="C600" s="1" t="n">
        <v>45795</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6717-2023</t>
        </is>
      </c>
      <c r="B601" s="1" t="n">
        <v>44966</v>
      </c>
      <c r="C601" s="1" t="n">
        <v>45795</v>
      </c>
      <c r="D601" t="inlineStr">
        <is>
          <t>GOTLANDS LÄN</t>
        </is>
      </c>
      <c r="E601" t="inlineStr">
        <is>
          <t>GOTLAND</t>
        </is>
      </c>
      <c r="F601" t="inlineStr">
        <is>
          <t>Naturvårdsverket</t>
        </is>
      </c>
      <c r="G601" t="n">
        <v>1.4</v>
      </c>
      <c r="H601" t="n">
        <v>0</v>
      </c>
      <c r="I601" t="n">
        <v>0</v>
      </c>
      <c r="J601" t="n">
        <v>0</v>
      </c>
      <c r="K601" t="n">
        <v>0</v>
      </c>
      <c r="L601" t="n">
        <v>0</v>
      </c>
      <c r="M601" t="n">
        <v>0</v>
      </c>
      <c r="N601" t="n">
        <v>0</v>
      </c>
      <c r="O601" t="n">
        <v>0</v>
      </c>
      <c r="P601" t="n">
        <v>0</v>
      </c>
      <c r="Q601" t="n">
        <v>0</v>
      </c>
      <c r="R601" s="2" t="inlineStr"/>
    </row>
    <row r="602" ht="15" customHeight="1">
      <c r="A602" t="inlineStr">
        <is>
          <t>A 7041-2023</t>
        </is>
      </c>
      <c r="B602" s="1" t="n">
        <v>44968</v>
      </c>
      <c r="C602" s="1" t="n">
        <v>45795</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7026-2023</t>
        </is>
      </c>
      <c r="B603" s="1" t="n">
        <v>44968</v>
      </c>
      <c r="C603" s="1" t="n">
        <v>45795</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7034-2023</t>
        </is>
      </c>
      <c r="B604" s="1" t="n">
        <v>44968</v>
      </c>
      <c r="C604" s="1" t="n">
        <v>45795</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7040-2023</t>
        </is>
      </c>
      <c r="B605" s="1" t="n">
        <v>44968</v>
      </c>
      <c r="C605" s="1" t="n">
        <v>45795</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7042-2023</t>
        </is>
      </c>
      <c r="B606" s="1" t="n">
        <v>44968</v>
      </c>
      <c r="C606" s="1" t="n">
        <v>45795</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8260-2023</t>
        </is>
      </c>
      <c r="B607" s="1" t="n">
        <v>44974</v>
      </c>
      <c r="C607" s="1" t="n">
        <v>45795</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8962-2023</t>
        </is>
      </c>
      <c r="B608" s="1" t="n">
        <v>44979</v>
      </c>
      <c r="C608" s="1" t="n">
        <v>45795</v>
      </c>
      <c r="D608" t="inlineStr">
        <is>
          <t>GOTLANDS LÄN</t>
        </is>
      </c>
      <c r="E608" t="inlineStr">
        <is>
          <t>GOTLAND</t>
        </is>
      </c>
      <c r="G608" t="n">
        <v>5.5</v>
      </c>
      <c r="H608" t="n">
        <v>0</v>
      </c>
      <c r="I608" t="n">
        <v>0</v>
      </c>
      <c r="J608" t="n">
        <v>0</v>
      </c>
      <c r="K608" t="n">
        <v>0</v>
      </c>
      <c r="L608" t="n">
        <v>0</v>
      </c>
      <c r="M608" t="n">
        <v>0</v>
      </c>
      <c r="N608" t="n">
        <v>0</v>
      </c>
      <c r="O608" t="n">
        <v>0</v>
      </c>
      <c r="P608" t="n">
        <v>0</v>
      </c>
      <c r="Q608" t="n">
        <v>0</v>
      </c>
      <c r="R608" s="2" t="inlineStr"/>
    </row>
    <row r="609" ht="15" customHeight="1">
      <c r="A609" t="inlineStr">
        <is>
          <t>A 10492-2023</t>
        </is>
      </c>
      <c r="B609" s="1" t="n">
        <v>44987</v>
      </c>
      <c r="C609" s="1" t="n">
        <v>45795</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10655-2023</t>
        </is>
      </c>
      <c r="B610" s="1" t="n">
        <v>44988</v>
      </c>
      <c r="C610" s="1" t="n">
        <v>45795</v>
      </c>
      <c r="D610" t="inlineStr">
        <is>
          <t>GOTLANDS LÄN</t>
        </is>
      </c>
      <c r="E610" t="inlineStr">
        <is>
          <t>GOTLAND</t>
        </is>
      </c>
      <c r="F610" t="inlineStr">
        <is>
          <t>Kyrkan</t>
        </is>
      </c>
      <c r="G610" t="n">
        <v>2</v>
      </c>
      <c r="H610" t="n">
        <v>0</v>
      </c>
      <c r="I610" t="n">
        <v>0</v>
      </c>
      <c r="J610" t="n">
        <v>0</v>
      </c>
      <c r="K610" t="n">
        <v>0</v>
      </c>
      <c r="L610" t="n">
        <v>0</v>
      </c>
      <c r="M610" t="n">
        <v>0</v>
      </c>
      <c r="N610" t="n">
        <v>0</v>
      </c>
      <c r="O610" t="n">
        <v>0</v>
      </c>
      <c r="P610" t="n">
        <v>0</v>
      </c>
      <c r="Q610" t="n">
        <v>0</v>
      </c>
      <c r="R610" s="2" t="inlineStr"/>
    </row>
    <row r="611" ht="15" customHeight="1">
      <c r="A611" t="inlineStr">
        <is>
          <t>A 10657-2023</t>
        </is>
      </c>
      <c r="B611" s="1" t="n">
        <v>44988</v>
      </c>
      <c r="C611" s="1" t="n">
        <v>45795</v>
      </c>
      <c r="D611" t="inlineStr">
        <is>
          <t>GOTLANDS LÄN</t>
        </is>
      </c>
      <c r="E611" t="inlineStr">
        <is>
          <t>GOTLAND</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10653-2023</t>
        </is>
      </c>
      <c r="B612" s="1" t="n">
        <v>44988</v>
      </c>
      <c r="C612" s="1" t="n">
        <v>45795</v>
      </c>
      <c r="D612" t="inlineStr">
        <is>
          <t>GOTLANDS LÄN</t>
        </is>
      </c>
      <c r="E612" t="inlineStr">
        <is>
          <t>GOTLAND</t>
        </is>
      </c>
      <c r="F612" t="inlineStr">
        <is>
          <t>Kyrkan</t>
        </is>
      </c>
      <c r="G612" t="n">
        <v>3</v>
      </c>
      <c r="H612" t="n">
        <v>0</v>
      </c>
      <c r="I612" t="n">
        <v>0</v>
      </c>
      <c r="J612" t="n">
        <v>0</v>
      </c>
      <c r="K612" t="n">
        <v>0</v>
      </c>
      <c r="L612" t="n">
        <v>0</v>
      </c>
      <c r="M612" t="n">
        <v>0</v>
      </c>
      <c r="N612" t="n">
        <v>0</v>
      </c>
      <c r="O612" t="n">
        <v>0</v>
      </c>
      <c r="P612" t="n">
        <v>0</v>
      </c>
      <c r="Q612" t="n">
        <v>0</v>
      </c>
      <c r="R612" s="2" t="inlineStr"/>
    </row>
    <row r="613" ht="15" customHeight="1">
      <c r="A613" t="inlineStr">
        <is>
          <t>A 11115-2023</t>
        </is>
      </c>
      <c r="B613" s="1" t="n">
        <v>44992</v>
      </c>
      <c r="C613" s="1" t="n">
        <v>45795</v>
      </c>
      <c r="D613" t="inlineStr">
        <is>
          <t>GOTLANDS LÄN</t>
        </is>
      </c>
      <c r="E613" t="inlineStr">
        <is>
          <t>GOTLAND</t>
        </is>
      </c>
      <c r="G613" t="n">
        <v>3.5</v>
      </c>
      <c r="H613" t="n">
        <v>0</v>
      </c>
      <c r="I613" t="n">
        <v>0</v>
      </c>
      <c r="J613" t="n">
        <v>0</v>
      </c>
      <c r="K613" t="n">
        <v>0</v>
      </c>
      <c r="L613" t="n">
        <v>0</v>
      </c>
      <c r="M613" t="n">
        <v>0</v>
      </c>
      <c r="N613" t="n">
        <v>0</v>
      </c>
      <c r="O613" t="n">
        <v>0</v>
      </c>
      <c r="P613" t="n">
        <v>0</v>
      </c>
      <c r="Q613" t="n">
        <v>0</v>
      </c>
      <c r="R613" s="2" t="inlineStr"/>
    </row>
    <row r="614" ht="15" customHeight="1">
      <c r="A614" t="inlineStr">
        <is>
          <t>A 12161-2023</t>
        </is>
      </c>
      <c r="B614" s="1" t="n">
        <v>44998</v>
      </c>
      <c r="C614" s="1" t="n">
        <v>45795</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12155-2023</t>
        </is>
      </c>
      <c r="B615" s="1" t="n">
        <v>44998</v>
      </c>
      <c r="C615" s="1" t="n">
        <v>45795</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12596-2023</t>
        </is>
      </c>
      <c r="B616" s="1" t="n">
        <v>45000</v>
      </c>
      <c r="C616" s="1" t="n">
        <v>45795</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13627-2023</t>
        </is>
      </c>
      <c r="B617" s="1" t="n">
        <v>45006</v>
      </c>
      <c r="C617" s="1" t="n">
        <v>45795</v>
      </c>
      <c r="D617" t="inlineStr">
        <is>
          <t>GOTLANDS LÄN</t>
        </is>
      </c>
      <c r="E617" t="inlineStr">
        <is>
          <t>GOTLAND</t>
        </is>
      </c>
      <c r="G617" t="n">
        <v>10.7</v>
      </c>
      <c r="H617" t="n">
        <v>0</v>
      </c>
      <c r="I617" t="n">
        <v>0</v>
      </c>
      <c r="J617" t="n">
        <v>0</v>
      </c>
      <c r="K617" t="n">
        <v>0</v>
      </c>
      <c r="L617" t="n">
        <v>0</v>
      </c>
      <c r="M617" t="n">
        <v>0</v>
      </c>
      <c r="N617" t="n">
        <v>0</v>
      </c>
      <c r="O617" t="n">
        <v>0</v>
      </c>
      <c r="P617" t="n">
        <v>0</v>
      </c>
      <c r="Q617" t="n">
        <v>0</v>
      </c>
      <c r="R617" s="2" t="inlineStr"/>
    </row>
    <row r="618" ht="15" customHeight="1">
      <c r="A618" t="inlineStr">
        <is>
          <t>A 13910-2023</t>
        </is>
      </c>
      <c r="B618" s="1" t="n">
        <v>45008</v>
      </c>
      <c r="C618" s="1" t="n">
        <v>45795</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v>
      </c>
      <c r="C619" s="1" t="n">
        <v>45795</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14704-2023</t>
        </is>
      </c>
      <c r="B620" s="1" t="n">
        <v>45014</v>
      </c>
      <c r="C620" s="1" t="n">
        <v>45795</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row r="621" ht="15" customHeight="1">
      <c r="A621" t="inlineStr">
        <is>
          <t>A 15182-2023</t>
        </is>
      </c>
      <c r="B621" s="1" t="n">
        <v>45016</v>
      </c>
      <c r="C621" s="1" t="n">
        <v>45795</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15216-2023</t>
        </is>
      </c>
      <c r="B622" s="1" t="n">
        <v>45019</v>
      </c>
      <c r="C622" s="1" t="n">
        <v>45795</v>
      </c>
      <c r="D622" t="inlineStr">
        <is>
          <t>GOTLANDS LÄN</t>
        </is>
      </c>
      <c r="E622" t="inlineStr">
        <is>
          <t>GOTLAND</t>
        </is>
      </c>
      <c r="G622" t="n">
        <v>5</v>
      </c>
      <c r="H622" t="n">
        <v>0</v>
      </c>
      <c r="I622" t="n">
        <v>0</v>
      </c>
      <c r="J622" t="n">
        <v>0</v>
      </c>
      <c r="K622" t="n">
        <v>0</v>
      </c>
      <c r="L622" t="n">
        <v>0</v>
      </c>
      <c r="M622" t="n">
        <v>0</v>
      </c>
      <c r="N622" t="n">
        <v>0</v>
      </c>
      <c r="O622" t="n">
        <v>0</v>
      </c>
      <c r="P622" t="n">
        <v>0</v>
      </c>
      <c r="Q622" t="n">
        <v>0</v>
      </c>
      <c r="R622" s="2" t="inlineStr"/>
    </row>
    <row r="623" ht="15" customHeight="1">
      <c r="A623" t="inlineStr">
        <is>
          <t>A 15617-2023</t>
        </is>
      </c>
      <c r="B623" s="1" t="n">
        <v>45020</v>
      </c>
      <c r="C623" s="1" t="n">
        <v>45795</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16501-2023</t>
        </is>
      </c>
      <c r="B624" s="1" t="n">
        <v>45029</v>
      </c>
      <c r="C624" s="1" t="n">
        <v>45795</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17080-2023</t>
        </is>
      </c>
      <c r="B625" s="1" t="n">
        <v>45033</v>
      </c>
      <c r="C625" s="1" t="n">
        <v>45795</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17901-2023</t>
        </is>
      </c>
      <c r="B626" s="1" t="n">
        <v>45039</v>
      </c>
      <c r="C626" s="1" t="n">
        <v>45795</v>
      </c>
      <c r="D626" t="inlineStr">
        <is>
          <t>GOTLANDS LÄN</t>
        </is>
      </c>
      <c r="E626" t="inlineStr">
        <is>
          <t>GOTLAND</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18889-2023</t>
        </is>
      </c>
      <c r="B627" s="1" t="n">
        <v>45044</v>
      </c>
      <c r="C627" s="1" t="n">
        <v>45795</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20993-2023</t>
        </is>
      </c>
      <c r="B628" s="1" t="n">
        <v>45056</v>
      </c>
      <c r="C628" s="1" t="n">
        <v>45795</v>
      </c>
      <c r="D628" t="inlineStr">
        <is>
          <t>GOTLANDS LÄN</t>
        </is>
      </c>
      <c r="E628" t="inlineStr">
        <is>
          <t>GOTLAND</t>
        </is>
      </c>
      <c r="G628" t="n">
        <v>7.1</v>
      </c>
      <c r="H628" t="n">
        <v>0</v>
      </c>
      <c r="I628" t="n">
        <v>0</v>
      </c>
      <c r="J628" t="n">
        <v>0</v>
      </c>
      <c r="K628" t="n">
        <v>0</v>
      </c>
      <c r="L628" t="n">
        <v>0</v>
      </c>
      <c r="M628" t="n">
        <v>0</v>
      </c>
      <c r="N628" t="n">
        <v>0</v>
      </c>
      <c r="O628" t="n">
        <v>0</v>
      </c>
      <c r="P628" t="n">
        <v>0</v>
      </c>
      <c r="Q628" t="n">
        <v>0</v>
      </c>
      <c r="R628" s="2" t="inlineStr"/>
    </row>
    <row r="629" ht="15" customHeight="1">
      <c r="A629" t="inlineStr">
        <is>
          <t>A 20855-2023</t>
        </is>
      </c>
      <c r="B629" s="1" t="n">
        <v>45058</v>
      </c>
      <c r="C629" s="1" t="n">
        <v>45795</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20856-2023</t>
        </is>
      </c>
      <c r="B630" s="1" t="n">
        <v>45058</v>
      </c>
      <c r="C630" s="1" t="n">
        <v>45795</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20857-2023</t>
        </is>
      </c>
      <c r="B631" s="1" t="n">
        <v>45058</v>
      </c>
      <c r="C631" s="1" t="n">
        <v>45795</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20854-2023</t>
        </is>
      </c>
      <c r="B632" s="1" t="n">
        <v>45058</v>
      </c>
      <c r="C632" s="1" t="n">
        <v>45795</v>
      </c>
      <c r="D632" t="inlineStr">
        <is>
          <t>GOTLANDS LÄN</t>
        </is>
      </c>
      <c r="E632" t="inlineStr">
        <is>
          <t>GOTLAND</t>
        </is>
      </c>
      <c r="G632" t="n">
        <v>2.6</v>
      </c>
      <c r="H632" t="n">
        <v>0</v>
      </c>
      <c r="I632" t="n">
        <v>0</v>
      </c>
      <c r="J632" t="n">
        <v>0</v>
      </c>
      <c r="K632" t="n">
        <v>0</v>
      </c>
      <c r="L632" t="n">
        <v>0</v>
      </c>
      <c r="M632" t="n">
        <v>0</v>
      </c>
      <c r="N632" t="n">
        <v>0</v>
      </c>
      <c r="O632" t="n">
        <v>0</v>
      </c>
      <c r="P632" t="n">
        <v>0</v>
      </c>
      <c r="Q632" t="n">
        <v>0</v>
      </c>
      <c r="R632" s="2" t="inlineStr"/>
    </row>
    <row r="633" ht="15" customHeight="1">
      <c r="A633" t="inlineStr">
        <is>
          <t>A 22275-2023</t>
        </is>
      </c>
      <c r="B633" s="1" t="n">
        <v>45070</v>
      </c>
      <c r="C633" s="1" t="n">
        <v>45795</v>
      </c>
      <c r="D633" t="inlineStr">
        <is>
          <t>GOTLANDS LÄN</t>
        </is>
      </c>
      <c r="E633" t="inlineStr">
        <is>
          <t>GOTLAND</t>
        </is>
      </c>
      <c r="G633" t="n">
        <v>7.2</v>
      </c>
      <c r="H633" t="n">
        <v>0</v>
      </c>
      <c r="I633" t="n">
        <v>0</v>
      </c>
      <c r="J633" t="n">
        <v>0</v>
      </c>
      <c r="K633" t="n">
        <v>0</v>
      </c>
      <c r="L633" t="n">
        <v>0</v>
      </c>
      <c r="M633" t="n">
        <v>0</v>
      </c>
      <c r="N633" t="n">
        <v>0</v>
      </c>
      <c r="O633" t="n">
        <v>0</v>
      </c>
      <c r="P633" t="n">
        <v>0</v>
      </c>
      <c r="Q633" t="n">
        <v>0</v>
      </c>
      <c r="R633" s="2" t="inlineStr"/>
    </row>
    <row r="634" ht="15" customHeight="1">
      <c r="A634" t="inlineStr">
        <is>
          <t>A 22412-2023</t>
        </is>
      </c>
      <c r="B634" s="1" t="n">
        <v>45070</v>
      </c>
      <c r="C634" s="1" t="n">
        <v>45795</v>
      </c>
      <c r="D634" t="inlineStr">
        <is>
          <t>GOTLANDS LÄN</t>
        </is>
      </c>
      <c r="E634" t="inlineStr">
        <is>
          <t>GOTLAND</t>
        </is>
      </c>
      <c r="G634" t="n">
        <v>7.3</v>
      </c>
      <c r="H634" t="n">
        <v>0</v>
      </c>
      <c r="I634" t="n">
        <v>0</v>
      </c>
      <c r="J634" t="n">
        <v>0</v>
      </c>
      <c r="K634" t="n">
        <v>0</v>
      </c>
      <c r="L634" t="n">
        <v>0</v>
      </c>
      <c r="M634" t="n">
        <v>0</v>
      </c>
      <c r="N634" t="n">
        <v>0</v>
      </c>
      <c r="O634" t="n">
        <v>0</v>
      </c>
      <c r="P634" t="n">
        <v>0</v>
      </c>
      <c r="Q634" t="n">
        <v>0</v>
      </c>
      <c r="R634" s="2" t="inlineStr"/>
    </row>
    <row r="635" ht="15" customHeight="1">
      <c r="A635" t="inlineStr">
        <is>
          <t>A 22709-2023</t>
        </is>
      </c>
      <c r="B635" s="1" t="n">
        <v>45071</v>
      </c>
      <c r="C635" s="1" t="n">
        <v>45795</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22704-2023</t>
        </is>
      </c>
      <c r="B636" s="1" t="n">
        <v>45071</v>
      </c>
      <c r="C636" s="1" t="n">
        <v>45795</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22708-2023</t>
        </is>
      </c>
      <c r="B637" s="1" t="n">
        <v>45071</v>
      </c>
      <c r="C637" s="1" t="n">
        <v>45795</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22707-2023</t>
        </is>
      </c>
      <c r="B638" s="1" t="n">
        <v>45071</v>
      </c>
      <c r="C638" s="1" t="n">
        <v>45795</v>
      </c>
      <c r="D638" t="inlineStr">
        <is>
          <t>GOTLANDS LÄN</t>
        </is>
      </c>
      <c r="E638" t="inlineStr">
        <is>
          <t>GOTLAND</t>
        </is>
      </c>
      <c r="G638" t="n">
        <v>2.2</v>
      </c>
      <c r="H638" t="n">
        <v>0</v>
      </c>
      <c r="I638" t="n">
        <v>0</v>
      </c>
      <c r="J638" t="n">
        <v>0</v>
      </c>
      <c r="K638" t="n">
        <v>0</v>
      </c>
      <c r="L638" t="n">
        <v>0</v>
      </c>
      <c r="M638" t="n">
        <v>0</v>
      </c>
      <c r="N638" t="n">
        <v>0</v>
      </c>
      <c r="O638" t="n">
        <v>0</v>
      </c>
      <c r="P638" t="n">
        <v>0</v>
      </c>
      <c r="Q638" t="n">
        <v>0</v>
      </c>
      <c r="R638" s="2" t="inlineStr"/>
    </row>
    <row r="639" ht="15" customHeight="1">
      <c r="A639" t="inlineStr">
        <is>
          <t>A 22723-2023</t>
        </is>
      </c>
      <c r="B639" s="1" t="n">
        <v>45071</v>
      </c>
      <c r="C639" s="1" t="n">
        <v>45795</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22706-2023</t>
        </is>
      </c>
      <c r="B640" s="1" t="n">
        <v>45071</v>
      </c>
      <c r="C640" s="1" t="n">
        <v>45795</v>
      </c>
      <c r="D640" t="inlineStr">
        <is>
          <t>GOTLANDS LÄN</t>
        </is>
      </c>
      <c r="E640" t="inlineStr">
        <is>
          <t>GOTLAND</t>
        </is>
      </c>
      <c r="G640" t="n">
        <v>1.7</v>
      </c>
      <c r="H640" t="n">
        <v>0</v>
      </c>
      <c r="I640" t="n">
        <v>0</v>
      </c>
      <c r="J640" t="n">
        <v>0</v>
      </c>
      <c r="K640" t="n">
        <v>0</v>
      </c>
      <c r="L640" t="n">
        <v>0</v>
      </c>
      <c r="M640" t="n">
        <v>0</v>
      </c>
      <c r="N640" t="n">
        <v>0</v>
      </c>
      <c r="O640" t="n">
        <v>0</v>
      </c>
      <c r="P640" t="n">
        <v>0</v>
      </c>
      <c r="Q640" t="n">
        <v>0</v>
      </c>
      <c r="R640" s="2" t="inlineStr"/>
    </row>
    <row r="641" ht="15" customHeight="1">
      <c r="A641" t="inlineStr">
        <is>
          <t>A 22890-2023</t>
        </is>
      </c>
      <c r="B641" s="1" t="n">
        <v>45072</v>
      </c>
      <c r="C641" s="1" t="n">
        <v>45795</v>
      </c>
      <c r="D641" t="inlineStr">
        <is>
          <t>GOTLANDS LÄN</t>
        </is>
      </c>
      <c r="E641" t="inlineStr">
        <is>
          <t>GOTLAND</t>
        </is>
      </c>
      <c r="G641" t="n">
        <v>7.5</v>
      </c>
      <c r="H641" t="n">
        <v>0</v>
      </c>
      <c r="I641" t="n">
        <v>0</v>
      </c>
      <c r="J641" t="n">
        <v>0</v>
      </c>
      <c r="K641" t="n">
        <v>0</v>
      </c>
      <c r="L641" t="n">
        <v>0</v>
      </c>
      <c r="M641" t="n">
        <v>0</v>
      </c>
      <c r="N641" t="n">
        <v>0</v>
      </c>
      <c r="O641" t="n">
        <v>0</v>
      </c>
      <c r="P641" t="n">
        <v>0</v>
      </c>
      <c r="Q641" t="n">
        <v>0</v>
      </c>
      <c r="R641" s="2" t="inlineStr"/>
    </row>
    <row r="642" ht="15" customHeight="1">
      <c r="A642" t="inlineStr">
        <is>
          <t>A 22899-2023</t>
        </is>
      </c>
      <c r="B642" s="1" t="n">
        <v>45072</v>
      </c>
      <c r="C642" s="1" t="n">
        <v>45795</v>
      </c>
      <c r="D642" t="inlineStr">
        <is>
          <t>GOTLANDS LÄN</t>
        </is>
      </c>
      <c r="E642" t="inlineStr">
        <is>
          <t>GOTLAND</t>
        </is>
      </c>
      <c r="G642" t="n">
        <v>0.7</v>
      </c>
      <c r="H642" t="n">
        <v>0</v>
      </c>
      <c r="I642" t="n">
        <v>0</v>
      </c>
      <c r="J642" t="n">
        <v>0</v>
      </c>
      <c r="K642" t="n">
        <v>0</v>
      </c>
      <c r="L642" t="n">
        <v>0</v>
      </c>
      <c r="M642" t="n">
        <v>0</v>
      </c>
      <c r="N642" t="n">
        <v>0</v>
      </c>
      <c r="O642" t="n">
        <v>0</v>
      </c>
      <c r="P642" t="n">
        <v>0</v>
      </c>
      <c r="Q642" t="n">
        <v>0</v>
      </c>
      <c r="R642" s="2" t="inlineStr"/>
    </row>
    <row r="643" ht="15" customHeight="1">
      <c r="A643" t="inlineStr">
        <is>
          <t>A 22903-2023</t>
        </is>
      </c>
      <c r="B643" s="1" t="n">
        <v>45072</v>
      </c>
      <c r="C643" s="1" t="n">
        <v>45795</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22897-2023</t>
        </is>
      </c>
      <c r="B644" s="1" t="n">
        <v>45072</v>
      </c>
      <c r="C644" s="1" t="n">
        <v>45795</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23511-2023</t>
        </is>
      </c>
      <c r="B645" s="1" t="n">
        <v>45077</v>
      </c>
      <c r="C645" s="1" t="n">
        <v>45795</v>
      </c>
      <c r="D645" t="inlineStr">
        <is>
          <t>GOTLANDS LÄN</t>
        </is>
      </c>
      <c r="E645" t="inlineStr">
        <is>
          <t>GOTLAND</t>
        </is>
      </c>
      <c r="G645" t="n">
        <v>11.2</v>
      </c>
      <c r="H645" t="n">
        <v>0</v>
      </c>
      <c r="I645" t="n">
        <v>0</v>
      </c>
      <c r="J645" t="n">
        <v>0</v>
      </c>
      <c r="K645" t="n">
        <v>0</v>
      </c>
      <c r="L645" t="n">
        <v>0</v>
      </c>
      <c r="M645" t="n">
        <v>0</v>
      </c>
      <c r="N645" t="n">
        <v>0</v>
      </c>
      <c r="O645" t="n">
        <v>0</v>
      </c>
      <c r="P645" t="n">
        <v>0</v>
      </c>
      <c r="Q645" t="n">
        <v>0</v>
      </c>
      <c r="R645" s="2" t="inlineStr"/>
    </row>
    <row r="646" ht="15" customHeight="1">
      <c r="A646" t="inlineStr">
        <is>
          <t>A 23516-2023</t>
        </is>
      </c>
      <c r="B646" s="1" t="n">
        <v>45077</v>
      </c>
      <c r="C646" s="1" t="n">
        <v>45795</v>
      </c>
      <c r="D646" t="inlineStr">
        <is>
          <t>GOTLANDS LÄN</t>
        </is>
      </c>
      <c r="E646" t="inlineStr">
        <is>
          <t>GOTLAND</t>
        </is>
      </c>
      <c r="G646" t="n">
        <v>1.4</v>
      </c>
      <c r="H646" t="n">
        <v>0</v>
      </c>
      <c r="I646" t="n">
        <v>0</v>
      </c>
      <c r="J646" t="n">
        <v>0</v>
      </c>
      <c r="K646" t="n">
        <v>0</v>
      </c>
      <c r="L646" t="n">
        <v>0</v>
      </c>
      <c r="M646" t="n">
        <v>0</v>
      </c>
      <c r="N646" t="n">
        <v>0</v>
      </c>
      <c r="O646" t="n">
        <v>0</v>
      </c>
      <c r="P646" t="n">
        <v>0</v>
      </c>
      <c r="Q646" t="n">
        <v>0</v>
      </c>
      <c r="R646" s="2" t="inlineStr"/>
    </row>
    <row r="647" ht="15" customHeight="1">
      <c r="A647" t="inlineStr">
        <is>
          <t>A 23858-2023</t>
        </is>
      </c>
      <c r="B647" s="1" t="n">
        <v>45078</v>
      </c>
      <c r="C647" s="1" t="n">
        <v>45795</v>
      </c>
      <c r="D647" t="inlineStr">
        <is>
          <t>GOTLANDS LÄN</t>
        </is>
      </c>
      <c r="E647" t="inlineStr">
        <is>
          <t>GOTLAND</t>
        </is>
      </c>
      <c r="F647" t="inlineStr">
        <is>
          <t>Naturvårdsverket</t>
        </is>
      </c>
      <c r="G647" t="n">
        <v>4.2</v>
      </c>
      <c r="H647" t="n">
        <v>0</v>
      </c>
      <c r="I647" t="n">
        <v>0</v>
      </c>
      <c r="J647" t="n">
        <v>0</v>
      </c>
      <c r="K647" t="n">
        <v>0</v>
      </c>
      <c r="L647" t="n">
        <v>0</v>
      </c>
      <c r="M647" t="n">
        <v>0</v>
      </c>
      <c r="N647" t="n">
        <v>0</v>
      </c>
      <c r="O647" t="n">
        <v>0</v>
      </c>
      <c r="P647" t="n">
        <v>0</v>
      </c>
      <c r="Q647" t="n">
        <v>0</v>
      </c>
      <c r="R647" s="2" t="inlineStr"/>
    </row>
    <row r="648" ht="15" customHeight="1">
      <c r="A648" t="inlineStr">
        <is>
          <t>A 23966-2023</t>
        </is>
      </c>
      <c r="B648" s="1" t="n">
        <v>45078</v>
      </c>
      <c r="C648" s="1" t="n">
        <v>45795</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23978-2023</t>
        </is>
      </c>
      <c r="B649" s="1" t="n">
        <v>45078</v>
      </c>
      <c r="C649" s="1" t="n">
        <v>45795</v>
      </c>
      <c r="D649" t="inlineStr">
        <is>
          <t>GOTLANDS LÄN</t>
        </is>
      </c>
      <c r="E649" t="inlineStr">
        <is>
          <t>GOTLAND</t>
        </is>
      </c>
      <c r="F649" t="inlineStr">
        <is>
          <t>Naturvårdsverket</t>
        </is>
      </c>
      <c r="G649" t="n">
        <v>1.7</v>
      </c>
      <c r="H649" t="n">
        <v>0</v>
      </c>
      <c r="I649" t="n">
        <v>0</v>
      </c>
      <c r="J649" t="n">
        <v>0</v>
      </c>
      <c r="K649" t="n">
        <v>0</v>
      </c>
      <c r="L649" t="n">
        <v>0</v>
      </c>
      <c r="M649" t="n">
        <v>0</v>
      </c>
      <c r="N649" t="n">
        <v>0</v>
      </c>
      <c r="O649" t="n">
        <v>0</v>
      </c>
      <c r="P649" t="n">
        <v>0</v>
      </c>
      <c r="Q649" t="n">
        <v>0</v>
      </c>
      <c r="R649" s="2" t="inlineStr"/>
    </row>
    <row r="650" ht="15" customHeight="1">
      <c r="A650" t="inlineStr">
        <is>
          <t>A 24192-2023</t>
        </is>
      </c>
      <c r="B650" s="1" t="n">
        <v>45079</v>
      </c>
      <c r="C650" s="1" t="n">
        <v>45795</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24719-2023</t>
        </is>
      </c>
      <c r="B651" s="1" t="n">
        <v>45084</v>
      </c>
      <c r="C651" s="1" t="n">
        <v>45795</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24966-2023</t>
        </is>
      </c>
      <c r="B652" s="1" t="n">
        <v>45085</v>
      </c>
      <c r="C652" s="1" t="n">
        <v>45795</v>
      </c>
      <c r="D652" t="inlineStr">
        <is>
          <t>GOTLANDS LÄN</t>
        </is>
      </c>
      <c r="E652" t="inlineStr">
        <is>
          <t>GOTLAND</t>
        </is>
      </c>
      <c r="G652" t="n">
        <v>7</v>
      </c>
      <c r="H652" t="n">
        <v>0</v>
      </c>
      <c r="I652" t="n">
        <v>0</v>
      </c>
      <c r="J652" t="n">
        <v>0</v>
      </c>
      <c r="K652" t="n">
        <v>0</v>
      </c>
      <c r="L652" t="n">
        <v>0</v>
      </c>
      <c r="M652" t="n">
        <v>0</v>
      </c>
      <c r="N652" t="n">
        <v>0</v>
      </c>
      <c r="O652" t="n">
        <v>0</v>
      </c>
      <c r="P652" t="n">
        <v>0</v>
      </c>
      <c r="Q652" t="n">
        <v>0</v>
      </c>
      <c r="R652" s="2" t="inlineStr"/>
    </row>
    <row r="653" ht="15" customHeight="1">
      <c r="A653" t="inlineStr">
        <is>
          <t>A 25129-2023</t>
        </is>
      </c>
      <c r="B653" s="1" t="n">
        <v>45086</v>
      </c>
      <c r="C653" s="1" t="n">
        <v>45795</v>
      </c>
      <c r="D653" t="inlineStr">
        <is>
          <t>GOTLANDS LÄN</t>
        </is>
      </c>
      <c r="E653" t="inlineStr">
        <is>
          <t>GOTLAND</t>
        </is>
      </c>
      <c r="G653" t="n">
        <v>1.5</v>
      </c>
      <c r="H653" t="n">
        <v>0</v>
      </c>
      <c r="I653" t="n">
        <v>0</v>
      </c>
      <c r="J653" t="n">
        <v>0</v>
      </c>
      <c r="K653" t="n">
        <v>0</v>
      </c>
      <c r="L653" t="n">
        <v>0</v>
      </c>
      <c r="M653" t="n">
        <v>0</v>
      </c>
      <c r="N653" t="n">
        <v>0</v>
      </c>
      <c r="O653" t="n">
        <v>0</v>
      </c>
      <c r="P653" t="n">
        <v>0</v>
      </c>
      <c r="Q653" t="n">
        <v>0</v>
      </c>
      <c r="R653" s="2" t="inlineStr"/>
    </row>
    <row r="654" ht="15" customHeight="1">
      <c r="A654" t="inlineStr">
        <is>
          <t>A 27593-2023</t>
        </is>
      </c>
      <c r="B654" s="1" t="n">
        <v>45097</v>
      </c>
      <c r="C654" s="1" t="n">
        <v>45795</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27597-2023</t>
        </is>
      </c>
      <c r="B655" s="1" t="n">
        <v>45097</v>
      </c>
      <c r="C655" s="1" t="n">
        <v>45795</v>
      </c>
      <c r="D655" t="inlineStr">
        <is>
          <t>GOTLANDS LÄN</t>
        </is>
      </c>
      <c r="E655" t="inlineStr">
        <is>
          <t>GOTLAND</t>
        </is>
      </c>
      <c r="G655" t="n">
        <v>1.9</v>
      </c>
      <c r="H655" t="n">
        <v>0</v>
      </c>
      <c r="I655" t="n">
        <v>0</v>
      </c>
      <c r="J655" t="n">
        <v>0</v>
      </c>
      <c r="K655" t="n">
        <v>0</v>
      </c>
      <c r="L655" t="n">
        <v>0</v>
      </c>
      <c r="M655" t="n">
        <v>0</v>
      </c>
      <c r="N655" t="n">
        <v>0</v>
      </c>
      <c r="O655" t="n">
        <v>0</v>
      </c>
      <c r="P655" t="n">
        <v>0</v>
      </c>
      <c r="Q655" t="n">
        <v>0</v>
      </c>
      <c r="R655" s="2" t="inlineStr"/>
    </row>
    <row r="656" ht="15" customHeight="1">
      <c r="A656" t="inlineStr">
        <is>
          <t>A 27602-2023</t>
        </is>
      </c>
      <c r="B656" s="1" t="n">
        <v>45097</v>
      </c>
      <c r="C656" s="1" t="n">
        <v>45795</v>
      </c>
      <c r="D656" t="inlineStr">
        <is>
          <t>GOTLANDS LÄN</t>
        </is>
      </c>
      <c r="E656" t="inlineStr">
        <is>
          <t>GOTLAND</t>
        </is>
      </c>
      <c r="G656" t="n">
        <v>2.7</v>
      </c>
      <c r="H656" t="n">
        <v>0</v>
      </c>
      <c r="I656" t="n">
        <v>0</v>
      </c>
      <c r="J656" t="n">
        <v>0</v>
      </c>
      <c r="K656" t="n">
        <v>0</v>
      </c>
      <c r="L656" t="n">
        <v>0</v>
      </c>
      <c r="M656" t="n">
        <v>0</v>
      </c>
      <c r="N656" t="n">
        <v>0</v>
      </c>
      <c r="O656" t="n">
        <v>0</v>
      </c>
      <c r="P656" t="n">
        <v>0</v>
      </c>
      <c r="Q656" t="n">
        <v>0</v>
      </c>
      <c r="R656" s="2" t="inlineStr"/>
    </row>
    <row r="657" ht="15" customHeight="1">
      <c r="A657" t="inlineStr">
        <is>
          <t>A 27596-2023</t>
        </is>
      </c>
      <c r="B657" s="1" t="n">
        <v>45097</v>
      </c>
      <c r="C657" s="1" t="n">
        <v>45795</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28228-2023</t>
        </is>
      </c>
      <c r="B658" s="1" t="n">
        <v>45099</v>
      </c>
      <c r="C658" s="1" t="n">
        <v>45795</v>
      </c>
      <c r="D658" t="inlineStr">
        <is>
          <t>GOTLANDS LÄN</t>
        </is>
      </c>
      <c r="E658" t="inlineStr">
        <is>
          <t>GOTLAND</t>
        </is>
      </c>
      <c r="G658" t="n">
        <v>1</v>
      </c>
      <c r="H658" t="n">
        <v>0</v>
      </c>
      <c r="I658" t="n">
        <v>0</v>
      </c>
      <c r="J658" t="n">
        <v>0</v>
      </c>
      <c r="K658" t="n">
        <v>0</v>
      </c>
      <c r="L658" t="n">
        <v>0</v>
      </c>
      <c r="M658" t="n">
        <v>0</v>
      </c>
      <c r="N658" t="n">
        <v>0</v>
      </c>
      <c r="O658" t="n">
        <v>0</v>
      </c>
      <c r="P658" t="n">
        <v>0</v>
      </c>
      <c r="Q658" t="n">
        <v>0</v>
      </c>
      <c r="R658" s="2" t="inlineStr"/>
    </row>
    <row r="659" ht="15" customHeight="1">
      <c r="A659" t="inlineStr">
        <is>
          <t>A 28425-2023</t>
        </is>
      </c>
      <c r="B659" s="1" t="n">
        <v>45102</v>
      </c>
      <c r="C659" s="1" t="n">
        <v>45795</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28486-2023</t>
        </is>
      </c>
      <c r="B660" s="1" t="n">
        <v>45103</v>
      </c>
      <c r="C660" s="1" t="n">
        <v>45795</v>
      </c>
      <c r="D660" t="inlineStr">
        <is>
          <t>GOTLANDS LÄN</t>
        </is>
      </c>
      <c r="E660" t="inlineStr">
        <is>
          <t>GOTLAND</t>
        </is>
      </c>
      <c r="G660" t="n">
        <v>7.7</v>
      </c>
      <c r="H660" t="n">
        <v>0</v>
      </c>
      <c r="I660" t="n">
        <v>0</v>
      </c>
      <c r="J660" t="n">
        <v>0</v>
      </c>
      <c r="K660" t="n">
        <v>0</v>
      </c>
      <c r="L660" t="n">
        <v>0</v>
      </c>
      <c r="M660" t="n">
        <v>0</v>
      </c>
      <c r="N660" t="n">
        <v>0</v>
      </c>
      <c r="O660" t="n">
        <v>0</v>
      </c>
      <c r="P660" t="n">
        <v>0</v>
      </c>
      <c r="Q660" t="n">
        <v>0</v>
      </c>
      <c r="R660" s="2" t="inlineStr"/>
    </row>
    <row r="661" ht="15" customHeight="1">
      <c r="A661" t="inlineStr">
        <is>
          <t>A 28485-2023</t>
        </is>
      </c>
      <c r="B661" s="1" t="n">
        <v>45103</v>
      </c>
      <c r="C661" s="1" t="n">
        <v>45795</v>
      </c>
      <c r="D661" t="inlineStr">
        <is>
          <t>GOTLANDS LÄN</t>
        </is>
      </c>
      <c r="E661" t="inlineStr">
        <is>
          <t>GOTLAND</t>
        </is>
      </c>
      <c r="G661" t="n">
        <v>2.3</v>
      </c>
      <c r="H661" t="n">
        <v>0</v>
      </c>
      <c r="I661" t="n">
        <v>0</v>
      </c>
      <c r="J661" t="n">
        <v>0</v>
      </c>
      <c r="K661" t="n">
        <v>0</v>
      </c>
      <c r="L661" t="n">
        <v>0</v>
      </c>
      <c r="M661" t="n">
        <v>0</v>
      </c>
      <c r="N661" t="n">
        <v>0</v>
      </c>
      <c r="O661" t="n">
        <v>0</v>
      </c>
      <c r="P661" t="n">
        <v>0</v>
      </c>
      <c r="Q661" t="n">
        <v>0</v>
      </c>
      <c r="R661" s="2" t="inlineStr"/>
    </row>
    <row r="662" ht="15" customHeight="1">
      <c r="A662" t="inlineStr">
        <is>
          <t>A 28480-2023</t>
        </is>
      </c>
      <c r="B662" s="1" t="n">
        <v>45103</v>
      </c>
      <c r="C662" s="1" t="n">
        <v>45795</v>
      </c>
      <c r="D662" t="inlineStr">
        <is>
          <t>GOTLANDS LÄN</t>
        </is>
      </c>
      <c r="E662" t="inlineStr">
        <is>
          <t>GOTLAND</t>
        </is>
      </c>
      <c r="G662" t="n">
        <v>5.7</v>
      </c>
      <c r="H662" t="n">
        <v>0</v>
      </c>
      <c r="I662" t="n">
        <v>0</v>
      </c>
      <c r="J662" t="n">
        <v>0</v>
      </c>
      <c r="K662" t="n">
        <v>0</v>
      </c>
      <c r="L662" t="n">
        <v>0</v>
      </c>
      <c r="M662" t="n">
        <v>0</v>
      </c>
      <c r="N662" t="n">
        <v>0</v>
      </c>
      <c r="O662" t="n">
        <v>0</v>
      </c>
      <c r="P662" t="n">
        <v>0</v>
      </c>
      <c r="Q662" t="n">
        <v>0</v>
      </c>
      <c r="R662" s="2" t="inlineStr"/>
    </row>
    <row r="663" ht="15" customHeight="1">
      <c r="A663" t="inlineStr">
        <is>
          <t>A 28506-2023</t>
        </is>
      </c>
      <c r="B663" s="1" t="n">
        <v>45103</v>
      </c>
      <c r="C663" s="1" t="n">
        <v>45795</v>
      </c>
      <c r="D663" t="inlineStr">
        <is>
          <t>GOTLANDS LÄN</t>
        </is>
      </c>
      <c r="E663" t="inlineStr">
        <is>
          <t>GOTLAND</t>
        </is>
      </c>
      <c r="G663" t="n">
        <v>3.2</v>
      </c>
      <c r="H663" t="n">
        <v>0</v>
      </c>
      <c r="I663" t="n">
        <v>0</v>
      </c>
      <c r="J663" t="n">
        <v>0</v>
      </c>
      <c r="K663" t="n">
        <v>0</v>
      </c>
      <c r="L663" t="n">
        <v>0</v>
      </c>
      <c r="M663" t="n">
        <v>0</v>
      </c>
      <c r="N663" t="n">
        <v>0</v>
      </c>
      <c r="O663" t="n">
        <v>0</v>
      </c>
      <c r="P663" t="n">
        <v>0</v>
      </c>
      <c r="Q663" t="n">
        <v>0</v>
      </c>
      <c r="R663" s="2" t="inlineStr"/>
    </row>
    <row r="664" ht="15" customHeight="1">
      <c r="A664" t="inlineStr">
        <is>
          <t>A 28560-2023</t>
        </is>
      </c>
      <c r="B664" s="1" t="n">
        <v>45103</v>
      </c>
      <c r="C664" s="1" t="n">
        <v>45795</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29126-2023</t>
        </is>
      </c>
      <c r="B665" s="1" t="n">
        <v>45105</v>
      </c>
      <c r="C665" s="1" t="n">
        <v>45795</v>
      </c>
      <c r="D665" t="inlineStr">
        <is>
          <t>GOTLANDS LÄN</t>
        </is>
      </c>
      <c r="E665" t="inlineStr">
        <is>
          <t>GOTLAND</t>
        </is>
      </c>
      <c r="G665" t="n">
        <v>3.1</v>
      </c>
      <c r="H665" t="n">
        <v>0</v>
      </c>
      <c r="I665" t="n">
        <v>0</v>
      </c>
      <c r="J665" t="n">
        <v>0</v>
      </c>
      <c r="K665" t="n">
        <v>0</v>
      </c>
      <c r="L665" t="n">
        <v>0</v>
      </c>
      <c r="M665" t="n">
        <v>0</v>
      </c>
      <c r="N665" t="n">
        <v>0</v>
      </c>
      <c r="O665" t="n">
        <v>0</v>
      </c>
      <c r="P665" t="n">
        <v>0</v>
      </c>
      <c r="Q665" t="n">
        <v>0</v>
      </c>
      <c r="R665" s="2" t="inlineStr"/>
    </row>
    <row r="666" ht="15" customHeight="1">
      <c r="A666" t="inlineStr">
        <is>
          <t>A 29499-2023</t>
        </is>
      </c>
      <c r="B666" s="1" t="n">
        <v>45106</v>
      </c>
      <c r="C666" s="1" t="n">
        <v>45795</v>
      </c>
      <c r="D666" t="inlineStr">
        <is>
          <t>GOTLANDS LÄN</t>
        </is>
      </c>
      <c r="E666" t="inlineStr">
        <is>
          <t>GOTLAND</t>
        </is>
      </c>
      <c r="G666" t="n">
        <v>2.5</v>
      </c>
      <c r="H666" t="n">
        <v>0</v>
      </c>
      <c r="I666" t="n">
        <v>0</v>
      </c>
      <c r="J666" t="n">
        <v>0</v>
      </c>
      <c r="K666" t="n">
        <v>0</v>
      </c>
      <c r="L666" t="n">
        <v>0</v>
      </c>
      <c r="M666" t="n">
        <v>0</v>
      </c>
      <c r="N666" t="n">
        <v>0</v>
      </c>
      <c r="O666" t="n">
        <v>0</v>
      </c>
      <c r="P666" t="n">
        <v>0</v>
      </c>
      <c r="Q666" t="n">
        <v>0</v>
      </c>
      <c r="R666" s="2" t="inlineStr"/>
    </row>
    <row r="667" ht="15" customHeight="1">
      <c r="A667" t="inlineStr">
        <is>
          <t>A 30164-2023</t>
        </is>
      </c>
      <c r="B667" s="1" t="n">
        <v>45110</v>
      </c>
      <c r="C667" s="1" t="n">
        <v>45795</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30815-2023</t>
        </is>
      </c>
      <c r="B668" s="1" t="n">
        <v>45112</v>
      </c>
      <c r="C668" s="1" t="n">
        <v>45795</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32737-2023</t>
        </is>
      </c>
      <c r="B669" s="1" t="n">
        <v>45122</v>
      </c>
      <c r="C669" s="1" t="n">
        <v>45795</v>
      </c>
      <c r="D669" t="inlineStr">
        <is>
          <t>GOTLANDS LÄN</t>
        </is>
      </c>
      <c r="E669" t="inlineStr">
        <is>
          <t>GOTLAND</t>
        </is>
      </c>
      <c r="F669" t="inlineStr">
        <is>
          <t>Kyrkan</t>
        </is>
      </c>
      <c r="G669" t="n">
        <v>15.4</v>
      </c>
      <c r="H669" t="n">
        <v>0</v>
      </c>
      <c r="I669" t="n">
        <v>0</v>
      </c>
      <c r="J669" t="n">
        <v>0</v>
      </c>
      <c r="K669" t="n">
        <v>0</v>
      </c>
      <c r="L669" t="n">
        <v>0</v>
      </c>
      <c r="M669" t="n">
        <v>0</v>
      </c>
      <c r="N669" t="n">
        <v>0</v>
      </c>
      <c r="O669" t="n">
        <v>0</v>
      </c>
      <c r="P669" t="n">
        <v>0</v>
      </c>
      <c r="Q669" t="n">
        <v>0</v>
      </c>
      <c r="R669" s="2" t="inlineStr"/>
    </row>
    <row r="670" ht="15" customHeight="1">
      <c r="A670" t="inlineStr">
        <is>
          <t>A 32783-2023</t>
        </is>
      </c>
      <c r="B670" s="1" t="n">
        <v>45124</v>
      </c>
      <c r="C670" s="1" t="n">
        <v>45795</v>
      </c>
      <c r="D670" t="inlineStr">
        <is>
          <t>GOTLANDS LÄN</t>
        </is>
      </c>
      <c r="E670" t="inlineStr">
        <is>
          <t>GOTLAND</t>
        </is>
      </c>
      <c r="G670" t="n">
        <v>17.8</v>
      </c>
      <c r="H670" t="n">
        <v>0</v>
      </c>
      <c r="I670" t="n">
        <v>0</v>
      </c>
      <c r="J670" t="n">
        <v>0</v>
      </c>
      <c r="K670" t="n">
        <v>0</v>
      </c>
      <c r="L670" t="n">
        <v>0</v>
      </c>
      <c r="M670" t="n">
        <v>0</v>
      </c>
      <c r="N670" t="n">
        <v>0</v>
      </c>
      <c r="O670" t="n">
        <v>0</v>
      </c>
      <c r="P670" t="n">
        <v>0</v>
      </c>
      <c r="Q670" t="n">
        <v>0</v>
      </c>
      <c r="R670" s="2" t="inlineStr"/>
    </row>
    <row r="671" ht="15" customHeight="1">
      <c r="A671" t="inlineStr">
        <is>
          <t>A 34081-2023</t>
        </is>
      </c>
      <c r="B671" s="1" t="n">
        <v>45125</v>
      </c>
      <c r="C671" s="1" t="n">
        <v>45795</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34407-2023</t>
        </is>
      </c>
      <c r="B672" s="1" t="n">
        <v>45132</v>
      </c>
      <c r="C672" s="1" t="n">
        <v>45795</v>
      </c>
      <c r="D672" t="inlineStr">
        <is>
          <t>GOTLANDS LÄN</t>
        </is>
      </c>
      <c r="E672" t="inlineStr">
        <is>
          <t>GOTLAND</t>
        </is>
      </c>
      <c r="G672" t="n">
        <v>4.4</v>
      </c>
      <c r="H672" t="n">
        <v>0</v>
      </c>
      <c r="I672" t="n">
        <v>0</v>
      </c>
      <c r="J672" t="n">
        <v>0</v>
      </c>
      <c r="K672" t="n">
        <v>0</v>
      </c>
      <c r="L672" t="n">
        <v>0</v>
      </c>
      <c r="M672" t="n">
        <v>0</v>
      </c>
      <c r="N672" t="n">
        <v>0</v>
      </c>
      <c r="O672" t="n">
        <v>0</v>
      </c>
      <c r="P672" t="n">
        <v>0</v>
      </c>
      <c r="Q672" t="n">
        <v>0</v>
      </c>
      <c r="R672" s="2" t="inlineStr"/>
    </row>
    <row r="673" ht="15" customHeight="1">
      <c r="A673" t="inlineStr">
        <is>
          <t>A 35478-2023</t>
        </is>
      </c>
      <c r="B673" s="1" t="n">
        <v>45146</v>
      </c>
      <c r="C673" s="1" t="n">
        <v>45795</v>
      </c>
      <c r="D673" t="inlineStr">
        <is>
          <t>GOTLANDS LÄN</t>
        </is>
      </c>
      <c r="E673" t="inlineStr">
        <is>
          <t>GOTLAND</t>
        </is>
      </c>
      <c r="G673" t="n">
        <v>0.9</v>
      </c>
      <c r="H673" t="n">
        <v>0</v>
      </c>
      <c r="I673" t="n">
        <v>0</v>
      </c>
      <c r="J673" t="n">
        <v>0</v>
      </c>
      <c r="K673" t="n">
        <v>0</v>
      </c>
      <c r="L673" t="n">
        <v>0</v>
      </c>
      <c r="M673" t="n">
        <v>0</v>
      </c>
      <c r="N673" t="n">
        <v>0</v>
      </c>
      <c r="O673" t="n">
        <v>0</v>
      </c>
      <c r="P673" t="n">
        <v>0</v>
      </c>
      <c r="Q673" t="n">
        <v>0</v>
      </c>
      <c r="R673" s="2" t="inlineStr"/>
    </row>
    <row r="674" ht="15" customHeight="1">
      <c r="A674" t="inlineStr">
        <is>
          <t>A 35512-2023</t>
        </is>
      </c>
      <c r="B674" s="1" t="n">
        <v>45147</v>
      </c>
      <c r="C674" s="1" t="n">
        <v>45795</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35595-2023</t>
        </is>
      </c>
      <c r="B675" s="1" t="n">
        <v>45147</v>
      </c>
      <c r="C675" s="1" t="n">
        <v>45795</v>
      </c>
      <c r="D675" t="inlineStr">
        <is>
          <t>GOTLANDS LÄN</t>
        </is>
      </c>
      <c r="E675" t="inlineStr">
        <is>
          <t>GOTLAND</t>
        </is>
      </c>
      <c r="G675" t="n">
        <v>4.2</v>
      </c>
      <c r="H675" t="n">
        <v>0</v>
      </c>
      <c r="I675" t="n">
        <v>0</v>
      </c>
      <c r="J675" t="n">
        <v>0</v>
      </c>
      <c r="K675" t="n">
        <v>0</v>
      </c>
      <c r="L675" t="n">
        <v>0</v>
      </c>
      <c r="M675" t="n">
        <v>0</v>
      </c>
      <c r="N675" t="n">
        <v>0</v>
      </c>
      <c r="O675" t="n">
        <v>0</v>
      </c>
      <c r="P675" t="n">
        <v>0</v>
      </c>
      <c r="Q675" t="n">
        <v>0</v>
      </c>
      <c r="R675" s="2" t="inlineStr"/>
    </row>
    <row r="676" ht="15" customHeight="1">
      <c r="A676" t="inlineStr">
        <is>
          <t>A 35592-2023</t>
        </is>
      </c>
      <c r="B676" s="1" t="n">
        <v>45147</v>
      </c>
      <c r="C676" s="1" t="n">
        <v>45795</v>
      </c>
      <c r="D676" t="inlineStr">
        <is>
          <t>GOTLANDS LÄN</t>
        </is>
      </c>
      <c r="E676" t="inlineStr">
        <is>
          <t>GOTLAND</t>
        </is>
      </c>
      <c r="G676" t="n">
        <v>5.1</v>
      </c>
      <c r="H676" t="n">
        <v>0</v>
      </c>
      <c r="I676" t="n">
        <v>0</v>
      </c>
      <c r="J676" t="n">
        <v>0</v>
      </c>
      <c r="K676" t="n">
        <v>0</v>
      </c>
      <c r="L676" t="n">
        <v>0</v>
      </c>
      <c r="M676" t="n">
        <v>0</v>
      </c>
      <c r="N676" t="n">
        <v>0</v>
      </c>
      <c r="O676" t="n">
        <v>0</v>
      </c>
      <c r="P676" t="n">
        <v>0</v>
      </c>
      <c r="Q676" t="n">
        <v>0</v>
      </c>
      <c r="R676" s="2" t="inlineStr"/>
    </row>
    <row r="677" ht="15" customHeight="1">
      <c r="A677" t="inlineStr">
        <is>
          <t>A 37591-2023</t>
        </is>
      </c>
      <c r="B677" s="1" t="n">
        <v>45159</v>
      </c>
      <c r="C677" s="1" t="n">
        <v>45795</v>
      </c>
      <c r="D677" t="inlineStr">
        <is>
          <t>GOTLANDS LÄN</t>
        </is>
      </c>
      <c r="E677" t="inlineStr">
        <is>
          <t>GOTLAND</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38234-2023</t>
        </is>
      </c>
      <c r="B678" s="1" t="n">
        <v>45161</v>
      </c>
      <c r="C678" s="1" t="n">
        <v>45795</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38237-2023</t>
        </is>
      </c>
      <c r="B679" s="1" t="n">
        <v>45161</v>
      </c>
      <c r="C679" s="1" t="n">
        <v>45795</v>
      </c>
      <c r="D679" t="inlineStr">
        <is>
          <t>GOTLANDS LÄN</t>
        </is>
      </c>
      <c r="E679" t="inlineStr">
        <is>
          <t>GOTLAND</t>
        </is>
      </c>
      <c r="G679" t="n">
        <v>2.8</v>
      </c>
      <c r="H679" t="n">
        <v>0</v>
      </c>
      <c r="I679" t="n">
        <v>0</v>
      </c>
      <c r="J679" t="n">
        <v>0</v>
      </c>
      <c r="K679" t="n">
        <v>0</v>
      </c>
      <c r="L679" t="n">
        <v>0</v>
      </c>
      <c r="M679" t="n">
        <v>0</v>
      </c>
      <c r="N679" t="n">
        <v>0</v>
      </c>
      <c r="O679" t="n">
        <v>0</v>
      </c>
      <c r="P679" t="n">
        <v>0</v>
      </c>
      <c r="Q679" t="n">
        <v>0</v>
      </c>
      <c r="R679" s="2" t="inlineStr"/>
    </row>
    <row r="680" ht="15" customHeight="1">
      <c r="A680" t="inlineStr">
        <is>
          <t>A 38165-2023</t>
        </is>
      </c>
      <c r="B680" s="1" t="n">
        <v>45161</v>
      </c>
      <c r="C680" s="1" t="n">
        <v>45795</v>
      </c>
      <c r="D680" t="inlineStr">
        <is>
          <t>GOTLANDS LÄN</t>
        </is>
      </c>
      <c r="E680" t="inlineStr">
        <is>
          <t>GOTLAND</t>
        </is>
      </c>
      <c r="G680" t="n">
        <v>2.6</v>
      </c>
      <c r="H680" t="n">
        <v>0</v>
      </c>
      <c r="I680" t="n">
        <v>0</v>
      </c>
      <c r="J680" t="n">
        <v>0</v>
      </c>
      <c r="K680" t="n">
        <v>0</v>
      </c>
      <c r="L680" t="n">
        <v>0</v>
      </c>
      <c r="M680" t="n">
        <v>0</v>
      </c>
      <c r="N680" t="n">
        <v>0</v>
      </c>
      <c r="O680" t="n">
        <v>0</v>
      </c>
      <c r="P680" t="n">
        <v>0</v>
      </c>
      <c r="Q680" t="n">
        <v>0</v>
      </c>
      <c r="R680" s="2" t="inlineStr"/>
    </row>
    <row r="681" ht="15" customHeight="1">
      <c r="A681" t="inlineStr">
        <is>
          <t>A 38787-2023</t>
        </is>
      </c>
      <c r="B681" s="1" t="n">
        <v>45163</v>
      </c>
      <c r="C681" s="1" t="n">
        <v>45795</v>
      </c>
      <c r="D681" t="inlineStr">
        <is>
          <t>GOTLANDS LÄN</t>
        </is>
      </c>
      <c r="E681" t="inlineStr">
        <is>
          <t>GOTLAND</t>
        </is>
      </c>
      <c r="G681" t="n">
        <v>0.4</v>
      </c>
      <c r="H681" t="n">
        <v>0</v>
      </c>
      <c r="I681" t="n">
        <v>0</v>
      </c>
      <c r="J681" t="n">
        <v>0</v>
      </c>
      <c r="K681" t="n">
        <v>0</v>
      </c>
      <c r="L681" t="n">
        <v>0</v>
      </c>
      <c r="M681" t="n">
        <v>0</v>
      </c>
      <c r="N681" t="n">
        <v>0</v>
      </c>
      <c r="O681" t="n">
        <v>0</v>
      </c>
      <c r="P681" t="n">
        <v>0</v>
      </c>
      <c r="Q681" t="n">
        <v>0</v>
      </c>
      <c r="R681" s="2" t="inlineStr"/>
    </row>
    <row r="682" ht="15" customHeight="1">
      <c r="A682" t="inlineStr">
        <is>
          <t>A 39436-2023</t>
        </is>
      </c>
      <c r="B682" s="1" t="n">
        <v>45166</v>
      </c>
      <c r="C682" s="1" t="n">
        <v>45795</v>
      </c>
      <c r="D682" t="inlineStr">
        <is>
          <t>GOTLANDS LÄN</t>
        </is>
      </c>
      <c r="E682" t="inlineStr">
        <is>
          <t>GOTLAND</t>
        </is>
      </c>
      <c r="G682" t="n">
        <v>7</v>
      </c>
      <c r="H682" t="n">
        <v>0</v>
      </c>
      <c r="I682" t="n">
        <v>0</v>
      </c>
      <c r="J682" t="n">
        <v>0</v>
      </c>
      <c r="K682" t="n">
        <v>0</v>
      </c>
      <c r="L682" t="n">
        <v>0</v>
      </c>
      <c r="M682" t="n">
        <v>0</v>
      </c>
      <c r="N682" t="n">
        <v>0</v>
      </c>
      <c r="O682" t="n">
        <v>0</v>
      </c>
      <c r="P682" t="n">
        <v>0</v>
      </c>
      <c r="Q682" t="n">
        <v>0</v>
      </c>
      <c r="R682" s="2" t="inlineStr"/>
    </row>
    <row r="683" ht="15" customHeight="1">
      <c r="A683" t="inlineStr">
        <is>
          <t>A 39371-2023</t>
        </is>
      </c>
      <c r="B683" s="1" t="n">
        <v>45166</v>
      </c>
      <c r="C683" s="1" t="n">
        <v>45795</v>
      </c>
      <c r="D683" t="inlineStr">
        <is>
          <t>GOTLANDS LÄN</t>
        </is>
      </c>
      <c r="E683" t="inlineStr">
        <is>
          <t>GOTLAND</t>
        </is>
      </c>
      <c r="G683" t="n">
        <v>8.4</v>
      </c>
      <c r="H683" t="n">
        <v>0</v>
      </c>
      <c r="I683" t="n">
        <v>0</v>
      </c>
      <c r="J683" t="n">
        <v>0</v>
      </c>
      <c r="K683" t="n">
        <v>0</v>
      </c>
      <c r="L683" t="n">
        <v>0</v>
      </c>
      <c r="M683" t="n">
        <v>0</v>
      </c>
      <c r="N683" t="n">
        <v>0</v>
      </c>
      <c r="O683" t="n">
        <v>0</v>
      </c>
      <c r="P683" t="n">
        <v>0</v>
      </c>
      <c r="Q683" t="n">
        <v>0</v>
      </c>
      <c r="R683" s="2" t="inlineStr"/>
    </row>
    <row r="684" ht="15" customHeight="1">
      <c r="A684" t="inlineStr">
        <is>
          <t>A 39711-2023</t>
        </is>
      </c>
      <c r="B684" s="1" t="n">
        <v>45166</v>
      </c>
      <c r="C684" s="1" t="n">
        <v>45795</v>
      </c>
      <c r="D684" t="inlineStr">
        <is>
          <t>GOTLANDS LÄN</t>
        </is>
      </c>
      <c r="E684" t="inlineStr">
        <is>
          <t>GOTLAND</t>
        </is>
      </c>
      <c r="G684" t="n">
        <v>5.5</v>
      </c>
      <c r="H684" t="n">
        <v>0</v>
      </c>
      <c r="I684" t="n">
        <v>0</v>
      </c>
      <c r="J684" t="n">
        <v>0</v>
      </c>
      <c r="K684" t="n">
        <v>0</v>
      </c>
      <c r="L684" t="n">
        <v>0</v>
      </c>
      <c r="M684" t="n">
        <v>0</v>
      </c>
      <c r="N684" t="n">
        <v>0</v>
      </c>
      <c r="O684" t="n">
        <v>0</v>
      </c>
      <c r="P684" t="n">
        <v>0</v>
      </c>
      <c r="Q684" t="n">
        <v>0</v>
      </c>
      <c r="R684" s="2" t="inlineStr"/>
    </row>
    <row r="685" ht="15" customHeight="1">
      <c r="A685" t="inlineStr">
        <is>
          <t>A 41038-2023</t>
        </is>
      </c>
      <c r="B685" s="1" t="n">
        <v>45173</v>
      </c>
      <c r="C685" s="1" t="n">
        <v>45795</v>
      </c>
      <c r="D685" t="inlineStr">
        <is>
          <t>GOTLANDS LÄN</t>
        </is>
      </c>
      <c r="E685" t="inlineStr">
        <is>
          <t>GOTLAND</t>
        </is>
      </c>
      <c r="G685" t="n">
        <v>2.7</v>
      </c>
      <c r="H685" t="n">
        <v>0</v>
      </c>
      <c r="I685" t="n">
        <v>0</v>
      </c>
      <c r="J685" t="n">
        <v>0</v>
      </c>
      <c r="K685" t="n">
        <v>0</v>
      </c>
      <c r="L685" t="n">
        <v>0</v>
      </c>
      <c r="M685" t="n">
        <v>0</v>
      </c>
      <c r="N685" t="n">
        <v>0</v>
      </c>
      <c r="O685" t="n">
        <v>0</v>
      </c>
      <c r="P685" t="n">
        <v>0</v>
      </c>
      <c r="Q685" t="n">
        <v>0</v>
      </c>
      <c r="R685" s="2" t="inlineStr"/>
    </row>
    <row r="686" ht="15" customHeight="1">
      <c r="A686" t="inlineStr">
        <is>
          <t>A 41378-2023</t>
        </is>
      </c>
      <c r="B686" s="1" t="n">
        <v>45174</v>
      </c>
      <c r="C686" s="1" t="n">
        <v>45795</v>
      </c>
      <c r="D686" t="inlineStr">
        <is>
          <t>GOTLANDS LÄN</t>
        </is>
      </c>
      <c r="E686" t="inlineStr">
        <is>
          <t>GOTLAND</t>
        </is>
      </c>
      <c r="G686" t="n">
        <v>1.6</v>
      </c>
      <c r="H686" t="n">
        <v>0</v>
      </c>
      <c r="I686" t="n">
        <v>0</v>
      </c>
      <c r="J686" t="n">
        <v>0</v>
      </c>
      <c r="K686" t="n">
        <v>0</v>
      </c>
      <c r="L686" t="n">
        <v>0</v>
      </c>
      <c r="M686" t="n">
        <v>0</v>
      </c>
      <c r="N686" t="n">
        <v>0</v>
      </c>
      <c r="O686" t="n">
        <v>0</v>
      </c>
      <c r="P686" t="n">
        <v>0</v>
      </c>
      <c r="Q686" t="n">
        <v>0</v>
      </c>
      <c r="R686" s="2" t="inlineStr"/>
    </row>
    <row r="687" ht="15" customHeight="1">
      <c r="A687" t="inlineStr">
        <is>
          <t>A 41336-2023</t>
        </is>
      </c>
      <c r="B687" s="1" t="n">
        <v>45174</v>
      </c>
      <c r="C687" s="1" t="n">
        <v>45795</v>
      </c>
      <c r="D687" t="inlineStr">
        <is>
          <t>GOTLANDS LÄN</t>
        </is>
      </c>
      <c r="E687" t="inlineStr">
        <is>
          <t>GOTLAND</t>
        </is>
      </c>
      <c r="G687" t="n">
        <v>2.1</v>
      </c>
      <c r="H687" t="n">
        <v>0</v>
      </c>
      <c r="I687" t="n">
        <v>0</v>
      </c>
      <c r="J687" t="n">
        <v>0</v>
      </c>
      <c r="K687" t="n">
        <v>0</v>
      </c>
      <c r="L687" t="n">
        <v>0</v>
      </c>
      <c r="M687" t="n">
        <v>0</v>
      </c>
      <c r="N687" t="n">
        <v>0</v>
      </c>
      <c r="O687" t="n">
        <v>0</v>
      </c>
      <c r="P687" t="n">
        <v>0</v>
      </c>
      <c r="Q687" t="n">
        <v>0</v>
      </c>
      <c r="R687" s="2" t="inlineStr"/>
    </row>
    <row r="688" ht="15" customHeight="1">
      <c r="A688" t="inlineStr">
        <is>
          <t>A 41697-2023</t>
        </is>
      </c>
      <c r="B688" s="1" t="n">
        <v>45176</v>
      </c>
      <c r="C688" s="1" t="n">
        <v>45795</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41893-2023</t>
        </is>
      </c>
      <c r="B689" s="1" t="n">
        <v>45176</v>
      </c>
      <c r="C689" s="1" t="n">
        <v>45795</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42007-2023</t>
        </is>
      </c>
      <c r="B690" s="1" t="n">
        <v>45177</v>
      </c>
      <c r="C690" s="1" t="n">
        <v>45795</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42097-2023</t>
        </is>
      </c>
      <c r="B691" s="1" t="n">
        <v>45177</v>
      </c>
      <c r="C691" s="1" t="n">
        <v>45795</v>
      </c>
      <c r="D691" t="inlineStr">
        <is>
          <t>GOTLANDS LÄN</t>
        </is>
      </c>
      <c r="E691" t="inlineStr">
        <is>
          <t>GOTLAND</t>
        </is>
      </c>
      <c r="G691" t="n">
        <v>3.9</v>
      </c>
      <c r="H691" t="n">
        <v>0</v>
      </c>
      <c r="I691" t="n">
        <v>0</v>
      </c>
      <c r="J691" t="n">
        <v>0</v>
      </c>
      <c r="K691" t="n">
        <v>0</v>
      </c>
      <c r="L691" t="n">
        <v>0</v>
      </c>
      <c r="M691" t="n">
        <v>0</v>
      </c>
      <c r="N691" t="n">
        <v>0</v>
      </c>
      <c r="O691" t="n">
        <v>0</v>
      </c>
      <c r="P691" t="n">
        <v>0</v>
      </c>
      <c r="Q691" t="n">
        <v>0</v>
      </c>
      <c r="R691" s="2" t="inlineStr"/>
    </row>
    <row r="692" ht="15" customHeight="1">
      <c r="A692" t="inlineStr">
        <is>
          <t>A 42201-2023</t>
        </is>
      </c>
      <c r="B692" s="1" t="n">
        <v>45179</v>
      </c>
      <c r="C692" s="1" t="n">
        <v>45795</v>
      </c>
      <c r="D692" t="inlineStr">
        <is>
          <t>GOTLANDS LÄN</t>
        </is>
      </c>
      <c r="E692" t="inlineStr">
        <is>
          <t>GOTLAND</t>
        </is>
      </c>
      <c r="G692" t="n">
        <v>11.9</v>
      </c>
      <c r="H692" t="n">
        <v>0</v>
      </c>
      <c r="I692" t="n">
        <v>0</v>
      </c>
      <c r="J692" t="n">
        <v>0</v>
      </c>
      <c r="K692" t="n">
        <v>0</v>
      </c>
      <c r="L692" t="n">
        <v>0</v>
      </c>
      <c r="M692" t="n">
        <v>0</v>
      </c>
      <c r="N692" t="n">
        <v>0</v>
      </c>
      <c r="O692" t="n">
        <v>0</v>
      </c>
      <c r="P692" t="n">
        <v>0</v>
      </c>
      <c r="Q692" t="n">
        <v>0</v>
      </c>
      <c r="R692" s="2" t="inlineStr"/>
    </row>
    <row r="693" ht="15" customHeight="1">
      <c r="A693" t="inlineStr">
        <is>
          <t>A 42338-2023</t>
        </is>
      </c>
      <c r="B693" s="1" t="n">
        <v>45180</v>
      </c>
      <c r="C693" s="1" t="n">
        <v>45795</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42465-2023</t>
        </is>
      </c>
      <c r="B694" s="1" t="n">
        <v>45180</v>
      </c>
      <c r="C694" s="1" t="n">
        <v>45795</v>
      </c>
      <c r="D694" t="inlineStr">
        <is>
          <t>GOTLANDS LÄN</t>
        </is>
      </c>
      <c r="E694" t="inlineStr">
        <is>
          <t>GOTLAND</t>
        </is>
      </c>
      <c r="G694" t="n">
        <v>0.9</v>
      </c>
      <c r="H694" t="n">
        <v>0</v>
      </c>
      <c r="I694" t="n">
        <v>0</v>
      </c>
      <c r="J694" t="n">
        <v>0</v>
      </c>
      <c r="K694" t="n">
        <v>0</v>
      </c>
      <c r="L694" t="n">
        <v>0</v>
      </c>
      <c r="M694" t="n">
        <v>0</v>
      </c>
      <c r="N694" t="n">
        <v>0</v>
      </c>
      <c r="O694" t="n">
        <v>0</v>
      </c>
      <c r="P694" t="n">
        <v>0</v>
      </c>
      <c r="Q694" t="n">
        <v>0</v>
      </c>
      <c r="R694" s="2" t="inlineStr"/>
    </row>
    <row r="695" ht="15" customHeight="1">
      <c r="A695" t="inlineStr">
        <is>
          <t>A 43223-2023</t>
        </is>
      </c>
      <c r="B695" s="1" t="n">
        <v>45183</v>
      </c>
      <c r="C695" s="1" t="n">
        <v>45795</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43200-2023</t>
        </is>
      </c>
      <c r="B696" s="1" t="n">
        <v>45183</v>
      </c>
      <c r="C696" s="1" t="n">
        <v>45795</v>
      </c>
      <c r="D696" t="inlineStr">
        <is>
          <t>GOTLANDS LÄN</t>
        </is>
      </c>
      <c r="E696" t="inlineStr">
        <is>
          <t>GOTLAND</t>
        </is>
      </c>
      <c r="G696" t="n">
        <v>0.5</v>
      </c>
      <c r="H696" t="n">
        <v>0</v>
      </c>
      <c r="I696" t="n">
        <v>0</v>
      </c>
      <c r="J696" t="n">
        <v>0</v>
      </c>
      <c r="K696" t="n">
        <v>0</v>
      </c>
      <c r="L696" t="n">
        <v>0</v>
      </c>
      <c r="M696" t="n">
        <v>0</v>
      </c>
      <c r="N696" t="n">
        <v>0</v>
      </c>
      <c r="O696" t="n">
        <v>0</v>
      </c>
      <c r="P696" t="n">
        <v>0</v>
      </c>
      <c r="Q696" t="n">
        <v>0</v>
      </c>
      <c r="R696" s="2" t="inlineStr"/>
    </row>
    <row r="697" ht="15" customHeight="1">
      <c r="A697" t="inlineStr">
        <is>
          <t>A 43226-2023</t>
        </is>
      </c>
      <c r="B697" s="1" t="n">
        <v>45183</v>
      </c>
      <c r="C697" s="1" t="n">
        <v>45795</v>
      </c>
      <c r="D697" t="inlineStr">
        <is>
          <t>GOTLANDS LÄN</t>
        </is>
      </c>
      <c r="E697" t="inlineStr">
        <is>
          <t>GOTLAND</t>
        </is>
      </c>
      <c r="G697" t="n">
        <v>1.5</v>
      </c>
      <c r="H697" t="n">
        <v>0</v>
      </c>
      <c r="I697" t="n">
        <v>0</v>
      </c>
      <c r="J697" t="n">
        <v>0</v>
      </c>
      <c r="K697" t="n">
        <v>0</v>
      </c>
      <c r="L697" t="n">
        <v>0</v>
      </c>
      <c r="M697" t="n">
        <v>0</v>
      </c>
      <c r="N697" t="n">
        <v>0</v>
      </c>
      <c r="O697" t="n">
        <v>0</v>
      </c>
      <c r="P697" t="n">
        <v>0</v>
      </c>
      <c r="Q697" t="n">
        <v>0</v>
      </c>
      <c r="R697" s="2" t="inlineStr"/>
    </row>
    <row r="698" ht="15" customHeight="1">
      <c r="A698" t="inlineStr">
        <is>
          <t>A 43231-2023</t>
        </is>
      </c>
      <c r="B698" s="1" t="n">
        <v>45183</v>
      </c>
      <c r="C698" s="1" t="n">
        <v>45795</v>
      </c>
      <c r="D698" t="inlineStr">
        <is>
          <t>GOTLANDS LÄN</t>
        </is>
      </c>
      <c r="E698" t="inlineStr">
        <is>
          <t>GOTLAND</t>
        </is>
      </c>
      <c r="G698" t="n">
        <v>3.6</v>
      </c>
      <c r="H698" t="n">
        <v>0</v>
      </c>
      <c r="I698" t="n">
        <v>0</v>
      </c>
      <c r="J698" t="n">
        <v>0</v>
      </c>
      <c r="K698" t="n">
        <v>0</v>
      </c>
      <c r="L698" t="n">
        <v>0</v>
      </c>
      <c r="M698" t="n">
        <v>0</v>
      </c>
      <c r="N698" t="n">
        <v>0</v>
      </c>
      <c r="O698" t="n">
        <v>0</v>
      </c>
      <c r="P698" t="n">
        <v>0</v>
      </c>
      <c r="Q698" t="n">
        <v>0</v>
      </c>
      <c r="R698" s="2" t="inlineStr"/>
    </row>
    <row r="699" ht="15" customHeight="1">
      <c r="A699" t="inlineStr">
        <is>
          <t>A 43220-2023</t>
        </is>
      </c>
      <c r="B699" s="1" t="n">
        <v>45183</v>
      </c>
      <c r="C699" s="1" t="n">
        <v>45795</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43224-2023</t>
        </is>
      </c>
      <c r="B700" s="1" t="n">
        <v>45183</v>
      </c>
      <c r="C700" s="1" t="n">
        <v>45795</v>
      </c>
      <c r="D700" t="inlineStr">
        <is>
          <t>GOTLANDS LÄN</t>
        </is>
      </c>
      <c r="E700" t="inlineStr">
        <is>
          <t>GOTLAND</t>
        </is>
      </c>
      <c r="G700" t="n">
        <v>1.1</v>
      </c>
      <c r="H700" t="n">
        <v>0</v>
      </c>
      <c r="I700" t="n">
        <v>0</v>
      </c>
      <c r="J700" t="n">
        <v>0</v>
      </c>
      <c r="K700" t="n">
        <v>0</v>
      </c>
      <c r="L700" t="n">
        <v>0</v>
      </c>
      <c r="M700" t="n">
        <v>0</v>
      </c>
      <c r="N700" t="n">
        <v>0</v>
      </c>
      <c r="O700" t="n">
        <v>0</v>
      </c>
      <c r="P700" t="n">
        <v>0</v>
      </c>
      <c r="Q700" t="n">
        <v>0</v>
      </c>
      <c r="R700" s="2" t="inlineStr"/>
    </row>
    <row r="701" ht="15" customHeight="1">
      <c r="A701" t="inlineStr">
        <is>
          <t>A 43229-2023</t>
        </is>
      </c>
      <c r="B701" s="1" t="n">
        <v>45183</v>
      </c>
      <c r="C701" s="1" t="n">
        <v>45795</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43901-2023</t>
        </is>
      </c>
      <c r="B702" s="1" t="n">
        <v>45187</v>
      </c>
      <c r="C702" s="1" t="n">
        <v>45795</v>
      </c>
      <c r="D702" t="inlineStr">
        <is>
          <t>GOTLANDS LÄN</t>
        </is>
      </c>
      <c r="E702" t="inlineStr">
        <is>
          <t>GOTLAND</t>
        </is>
      </c>
      <c r="G702" t="n">
        <v>5.4</v>
      </c>
      <c r="H702" t="n">
        <v>0</v>
      </c>
      <c r="I702" t="n">
        <v>0</v>
      </c>
      <c r="J702" t="n">
        <v>0</v>
      </c>
      <c r="K702" t="n">
        <v>0</v>
      </c>
      <c r="L702" t="n">
        <v>0</v>
      </c>
      <c r="M702" t="n">
        <v>0</v>
      </c>
      <c r="N702" t="n">
        <v>0</v>
      </c>
      <c r="O702" t="n">
        <v>0</v>
      </c>
      <c r="P702" t="n">
        <v>0</v>
      </c>
      <c r="Q702" t="n">
        <v>0</v>
      </c>
      <c r="R702" s="2" t="inlineStr"/>
    </row>
    <row r="703" ht="15" customHeight="1">
      <c r="A703" t="inlineStr">
        <is>
          <t>A 44189-2023</t>
        </is>
      </c>
      <c r="B703" s="1" t="n">
        <v>45188</v>
      </c>
      <c r="C703" s="1" t="n">
        <v>45795</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44888-2023</t>
        </is>
      </c>
      <c r="B704" s="1" t="n">
        <v>45190</v>
      </c>
      <c r="C704" s="1" t="n">
        <v>45795</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44941-2023</t>
        </is>
      </c>
      <c r="B705" s="1" t="n">
        <v>45190</v>
      </c>
      <c r="C705" s="1" t="n">
        <v>45795</v>
      </c>
      <c r="D705" t="inlineStr">
        <is>
          <t>GOTLANDS LÄN</t>
        </is>
      </c>
      <c r="E705" t="inlineStr">
        <is>
          <t>GOTLAND</t>
        </is>
      </c>
      <c r="G705" t="n">
        <v>2.7</v>
      </c>
      <c r="H705" t="n">
        <v>0</v>
      </c>
      <c r="I705" t="n">
        <v>0</v>
      </c>
      <c r="J705" t="n">
        <v>0</v>
      </c>
      <c r="K705" t="n">
        <v>0</v>
      </c>
      <c r="L705" t="n">
        <v>0</v>
      </c>
      <c r="M705" t="n">
        <v>0</v>
      </c>
      <c r="N705" t="n">
        <v>0</v>
      </c>
      <c r="O705" t="n">
        <v>0</v>
      </c>
      <c r="P705" t="n">
        <v>0</v>
      </c>
      <c r="Q705" t="n">
        <v>0</v>
      </c>
      <c r="R705" s="2" t="inlineStr"/>
    </row>
    <row r="706" ht="15" customHeight="1">
      <c r="A706" t="inlineStr">
        <is>
          <t>A 44953-2023</t>
        </is>
      </c>
      <c r="B706" s="1" t="n">
        <v>45190</v>
      </c>
      <c r="C706" s="1" t="n">
        <v>45795</v>
      </c>
      <c r="D706" t="inlineStr">
        <is>
          <t>GOTLANDS LÄN</t>
        </is>
      </c>
      <c r="E706" t="inlineStr">
        <is>
          <t>GOTLAND</t>
        </is>
      </c>
      <c r="G706" t="n">
        <v>3.7</v>
      </c>
      <c r="H706" t="n">
        <v>0</v>
      </c>
      <c r="I706" t="n">
        <v>0</v>
      </c>
      <c r="J706" t="n">
        <v>0</v>
      </c>
      <c r="K706" t="n">
        <v>0</v>
      </c>
      <c r="L706" t="n">
        <v>0</v>
      </c>
      <c r="M706" t="n">
        <v>0</v>
      </c>
      <c r="N706" t="n">
        <v>0</v>
      </c>
      <c r="O706" t="n">
        <v>0</v>
      </c>
      <c r="P706" t="n">
        <v>0</v>
      </c>
      <c r="Q706" t="n">
        <v>0</v>
      </c>
      <c r="R706" s="2" t="inlineStr"/>
    </row>
    <row r="707" ht="15" customHeight="1">
      <c r="A707" t="inlineStr">
        <is>
          <t>A 44918-2023</t>
        </is>
      </c>
      <c r="B707" s="1" t="n">
        <v>45190</v>
      </c>
      <c r="C707" s="1" t="n">
        <v>45795</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44949-2023</t>
        </is>
      </c>
      <c r="B708" s="1" t="n">
        <v>45190</v>
      </c>
      <c r="C708" s="1" t="n">
        <v>45795</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45168-2023</t>
        </is>
      </c>
      <c r="B709" s="1" t="n">
        <v>45191</v>
      </c>
      <c r="C709" s="1" t="n">
        <v>45795</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45600-2023</t>
        </is>
      </c>
      <c r="B710" s="1" t="n">
        <v>45194</v>
      </c>
      <c r="C710" s="1" t="n">
        <v>45795</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45692-2023</t>
        </is>
      </c>
      <c r="B711" s="1" t="n">
        <v>45195</v>
      </c>
      <c r="C711" s="1" t="n">
        <v>45795</v>
      </c>
      <c r="D711" t="inlineStr">
        <is>
          <t>GOTLANDS LÄN</t>
        </is>
      </c>
      <c r="E711" t="inlineStr">
        <is>
          <t>GOTLAND</t>
        </is>
      </c>
      <c r="G711" t="n">
        <v>5.3</v>
      </c>
      <c r="H711" t="n">
        <v>0</v>
      </c>
      <c r="I711" t="n">
        <v>0</v>
      </c>
      <c r="J711" t="n">
        <v>0</v>
      </c>
      <c r="K711" t="n">
        <v>0</v>
      </c>
      <c r="L711" t="n">
        <v>0</v>
      </c>
      <c r="M711" t="n">
        <v>0</v>
      </c>
      <c r="N711" t="n">
        <v>0</v>
      </c>
      <c r="O711" t="n">
        <v>0</v>
      </c>
      <c r="P711" t="n">
        <v>0</v>
      </c>
      <c r="Q711" t="n">
        <v>0</v>
      </c>
      <c r="R711" s="2" t="inlineStr"/>
    </row>
    <row r="712" ht="15" customHeight="1">
      <c r="A712" t="inlineStr">
        <is>
          <t>A 46402-2023</t>
        </is>
      </c>
      <c r="B712" s="1" t="n">
        <v>45197</v>
      </c>
      <c r="C712" s="1" t="n">
        <v>45795</v>
      </c>
      <c r="D712" t="inlineStr">
        <is>
          <t>GOTLANDS LÄN</t>
        </is>
      </c>
      <c r="E712" t="inlineStr">
        <is>
          <t>GOTLAND</t>
        </is>
      </c>
      <c r="G712" t="n">
        <v>2.5</v>
      </c>
      <c r="H712" t="n">
        <v>0</v>
      </c>
      <c r="I712" t="n">
        <v>0</v>
      </c>
      <c r="J712" t="n">
        <v>0</v>
      </c>
      <c r="K712" t="n">
        <v>0</v>
      </c>
      <c r="L712" t="n">
        <v>0</v>
      </c>
      <c r="M712" t="n">
        <v>0</v>
      </c>
      <c r="N712" t="n">
        <v>0</v>
      </c>
      <c r="O712" t="n">
        <v>0</v>
      </c>
      <c r="P712" t="n">
        <v>0</v>
      </c>
      <c r="Q712" t="n">
        <v>0</v>
      </c>
      <c r="R712" s="2" t="inlineStr"/>
    </row>
    <row r="713" ht="15" customHeight="1">
      <c r="A713" t="inlineStr">
        <is>
          <t>A 46396-2023</t>
        </is>
      </c>
      <c r="B713" s="1" t="n">
        <v>45197</v>
      </c>
      <c r="C713" s="1" t="n">
        <v>45795</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46400-2023</t>
        </is>
      </c>
      <c r="B714" s="1" t="n">
        <v>45197</v>
      </c>
      <c r="C714" s="1" t="n">
        <v>45795</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47322-2023</t>
        </is>
      </c>
      <c r="B715" s="1" t="n">
        <v>45202</v>
      </c>
      <c r="C715" s="1" t="n">
        <v>45795</v>
      </c>
      <c r="D715" t="inlineStr">
        <is>
          <t>GOTLANDS LÄN</t>
        </is>
      </c>
      <c r="E715" t="inlineStr">
        <is>
          <t>GOTLAND</t>
        </is>
      </c>
      <c r="G715" t="n">
        <v>3.9</v>
      </c>
      <c r="H715" t="n">
        <v>0</v>
      </c>
      <c r="I715" t="n">
        <v>0</v>
      </c>
      <c r="J715" t="n">
        <v>0</v>
      </c>
      <c r="K715" t="n">
        <v>0</v>
      </c>
      <c r="L715" t="n">
        <v>0</v>
      </c>
      <c r="M715" t="n">
        <v>0</v>
      </c>
      <c r="N715" t="n">
        <v>0</v>
      </c>
      <c r="O715" t="n">
        <v>0</v>
      </c>
      <c r="P715" t="n">
        <v>0</v>
      </c>
      <c r="Q715" t="n">
        <v>0</v>
      </c>
      <c r="R715" s="2" t="inlineStr"/>
    </row>
    <row r="716" ht="15" customHeight="1">
      <c r="A716" t="inlineStr">
        <is>
          <t>A 47762-2023</t>
        </is>
      </c>
      <c r="B716" s="1" t="n">
        <v>45203</v>
      </c>
      <c r="C716" s="1" t="n">
        <v>45795</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49411-2023</t>
        </is>
      </c>
      <c r="B717" s="1" t="n">
        <v>45205</v>
      </c>
      <c r="C717" s="1" t="n">
        <v>45795</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48503-2023</t>
        </is>
      </c>
      <c r="B718" s="1" t="n">
        <v>45207</v>
      </c>
      <c r="C718" s="1" t="n">
        <v>45795</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48504-2023</t>
        </is>
      </c>
      <c r="B719" s="1" t="n">
        <v>45207</v>
      </c>
      <c r="C719" s="1" t="n">
        <v>45795</v>
      </c>
      <c r="D719" t="inlineStr">
        <is>
          <t>GOTLANDS LÄN</t>
        </is>
      </c>
      <c r="E719" t="inlineStr">
        <is>
          <t>GOTLAND</t>
        </is>
      </c>
      <c r="G719" t="n">
        <v>2.3</v>
      </c>
      <c r="H719" t="n">
        <v>0</v>
      </c>
      <c r="I719" t="n">
        <v>0</v>
      </c>
      <c r="J719" t="n">
        <v>0</v>
      </c>
      <c r="K719" t="n">
        <v>0</v>
      </c>
      <c r="L719" t="n">
        <v>0</v>
      </c>
      <c r="M719" t="n">
        <v>0</v>
      </c>
      <c r="N719" t="n">
        <v>0</v>
      </c>
      <c r="O719" t="n">
        <v>0</v>
      </c>
      <c r="P719" t="n">
        <v>0</v>
      </c>
      <c r="Q719" t="n">
        <v>0</v>
      </c>
      <c r="R719" s="2" t="inlineStr"/>
    </row>
    <row r="720" ht="15" customHeight="1">
      <c r="A720" t="inlineStr">
        <is>
          <t>A 48745-2023</t>
        </is>
      </c>
      <c r="B720" s="1" t="n">
        <v>45208</v>
      </c>
      <c r="C720" s="1" t="n">
        <v>45795</v>
      </c>
      <c r="D720" t="inlineStr">
        <is>
          <t>GOTLANDS LÄN</t>
        </is>
      </c>
      <c r="E720" t="inlineStr">
        <is>
          <t>GOTLAND</t>
        </is>
      </c>
      <c r="G720" t="n">
        <v>3.6</v>
      </c>
      <c r="H720" t="n">
        <v>0</v>
      </c>
      <c r="I720" t="n">
        <v>0</v>
      </c>
      <c r="J720" t="n">
        <v>0</v>
      </c>
      <c r="K720" t="n">
        <v>0</v>
      </c>
      <c r="L720" t="n">
        <v>0</v>
      </c>
      <c r="M720" t="n">
        <v>0</v>
      </c>
      <c r="N720" t="n">
        <v>0</v>
      </c>
      <c r="O720" t="n">
        <v>0</v>
      </c>
      <c r="P720" t="n">
        <v>0</v>
      </c>
      <c r="Q720" t="n">
        <v>0</v>
      </c>
      <c r="R720" s="2" t="inlineStr"/>
    </row>
    <row r="721" ht="15" customHeight="1">
      <c r="A721" t="inlineStr">
        <is>
          <t>A 49693-2023</t>
        </is>
      </c>
      <c r="B721" s="1" t="n">
        <v>45212</v>
      </c>
      <c r="C721" s="1" t="n">
        <v>45795</v>
      </c>
      <c r="D721" t="inlineStr">
        <is>
          <t>GOTLANDS LÄN</t>
        </is>
      </c>
      <c r="E721" t="inlineStr">
        <is>
          <t>GOTLAND</t>
        </is>
      </c>
      <c r="G721" t="n">
        <v>2.4</v>
      </c>
      <c r="H721" t="n">
        <v>0</v>
      </c>
      <c r="I721" t="n">
        <v>0</v>
      </c>
      <c r="J721" t="n">
        <v>0</v>
      </c>
      <c r="K721" t="n">
        <v>0</v>
      </c>
      <c r="L721" t="n">
        <v>0</v>
      </c>
      <c r="M721" t="n">
        <v>0</v>
      </c>
      <c r="N721" t="n">
        <v>0</v>
      </c>
      <c r="O721" t="n">
        <v>0</v>
      </c>
      <c r="P721" t="n">
        <v>0</v>
      </c>
      <c r="Q721" t="n">
        <v>0</v>
      </c>
      <c r="R721" s="2" t="inlineStr"/>
    </row>
    <row r="722" ht="15" customHeight="1">
      <c r="A722" t="inlineStr">
        <is>
          <t>A 49697-2023</t>
        </is>
      </c>
      <c r="B722" s="1" t="n">
        <v>45212</v>
      </c>
      <c r="C722" s="1" t="n">
        <v>45795</v>
      </c>
      <c r="D722" t="inlineStr">
        <is>
          <t>GOTLANDS LÄN</t>
        </is>
      </c>
      <c r="E722" t="inlineStr">
        <is>
          <t>GOTLAND</t>
        </is>
      </c>
      <c r="G722" t="n">
        <v>4.4</v>
      </c>
      <c r="H722" t="n">
        <v>0</v>
      </c>
      <c r="I722" t="n">
        <v>0</v>
      </c>
      <c r="J722" t="n">
        <v>0</v>
      </c>
      <c r="K722" t="n">
        <v>0</v>
      </c>
      <c r="L722" t="n">
        <v>0</v>
      </c>
      <c r="M722" t="n">
        <v>0</v>
      </c>
      <c r="N722" t="n">
        <v>0</v>
      </c>
      <c r="O722" t="n">
        <v>0</v>
      </c>
      <c r="P722" t="n">
        <v>0</v>
      </c>
      <c r="Q722" t="n">
        <v>0</v>
      </c>
      <c r="R722" s="2" t="inlineStr"/>
    </row>
    <row r="723" ht="15" customHeight="1">
      <c r="A723" t="inlineStr">
        <is>
          <t>A 49846-2023</t>
        </is>
      </c>
      <c r="B723" s="1" t="n">
        <v>45212</v>
      </c>
      <c r="C723" s="1" t="n">
        <v>45795</v>
      </c>
      <c r="D723" t="inlineStr">
        <is>
          <t>GOTLANDS LÄN</t>
        </is>
      </c>
      <c r="E723" t="inlineStr">
        <is>
          <t>GOTLAND</t>
        </is>
      </c>
      <c r="G723" t="n">
        <v>16.9</v>
      </c>
      <c r="H723" t="n">
        <v>0</v>
      </c>
      <c r="I723" t="n">
        <v>0</v>
      </c>
      <c r="J723" t="n">
        <v>0</v>
      </c>
      <c r="K723" t="n">
        <v>0</v>
      </c>
      <c r="L723" t="n">
        <v>0</v>
      </c>
      <c r="M723" t="n">
        <v>0</v>
      </c>
      <c r="N723" t="n">
        <v>0</v>
      </c>
      <c r="O723" t="n">
        <v>0</v>
      </c>
      <c r="P723" t="n">
        <v>0</v>
      </c>
      <c r="Q723" t="n">
        <v>0</v>
      </c>
      <c r="R723" s="2" t="inlineStr"/>
    </row>
    <row r="724" ht="15" customHeight="1">
      <c r="A724" t="inlineStr">
        <is>
          <t>A 49884-2023</t>
        </is>
      </c>
      <c r="B724" s="1" t="n">
        <v>45213</v>
      </c>
      <c r="C724" s="1" t="n">
        <v>45795</v>
      </c>
      <c r="D724" t="inlineStr">
        <is>
          <t>GOTLANDS LÄN</t>
        </is>
      </c>
      <c r="E724" t="inlineStr">
        <is>
          <t>GOTLAND</t>
        </is>
      </c>
      <c r="G724" t="n">
        <v>8.9</v>
      </c>
      <c r="H724" t="n">
        <v>0</v>
      </c>
      <c r="I724" t="n">
        <v>0</v>
      </c>
      <c r="J724" t="n">
        <v>0</v>
      </c>
      <c r="K724" t="n">
        <v>0</v>
      </c>
      <c r="L724" t="n">
        <v>0</v>
      </c>
      <c r="M724" t="n">
        <v>0</v>
      </c>
      <c r="N724" t="n">
        <v>0</v>
      </c>
      <c r="O724" t="n">
        <v>0</v>
      </c>
      <c r="P724" t="n">
        <v>0</v>
      </c>
      <c r="Q724" t="n">
        <v>0</v>
      </c>
      <c r="R724" s="2" t="inlineStr"/>
    </row>
    <row r="725" ht="15" customHeight="1">
      <c r="A725" t="inlineStr">
        <is>
          <t>A 49962-2023</t>
        </is>
      </c>
      <c r="B725" s="1" t="n">
        <v>45215</v>
      </c>
      <c r="C725" s="1" t="n">
        <v>45795</v>
      </c>
      <c r="D725" t="inlineStr">
        <is>
          <t>GOTLANDS LÄN</t>
        </is>
      </c>
      <c r="E725" t="inlineStr">
        <is>
          <t>GOTLAND</t>
        </is>
      </c>
      <c r="G725" t="n">
        <v>1.4</v>
      </c>
      <c r="H725" t="n">
        <v>0</v>
      </c>
      <c r="I725" t="n">
        <v>0</v>
      </c>
      <c r="J725" t="n">
        <v>0</v>
      </c>
      <c r="K725" t="n">
        <v>0</v>
      </c>
      <c r="L725" t="n">
        <v>0</v>
      </c>
      <c r="M725" t="n">
        <v>0</v>
      </c>
      <c r="N725" t="n">
        <v>0</v>
      </c>
      <c r="O725" t="n">
        <v>0</v>
      </c>
      <c r="P725" t="n">
        <v>0</v>
      </c>
      <c r="Q725" t="n">
        <v>0</v>
      </c>
      <c r="R725" s="2" t="inlineStr"/>
    </row>
    <row r="726" ht="15" customHeight="1">
      <c r="A726" t="inlineStr">
        <is>
          <t>A 49966-2023</t>
        </is>
      </c>
      <c r="B726" s="1" t="n">
        <v>45215</v>
      </c>
      <c r="C726" s="1" t="n">
        <v>45795</v>
      </c>
      <c r="D726" t="inlineStr">
        <is>
          <t>GOTLANDS LÄN</t>
        </is>
      </c>
      <c r="E726" t="inlineStr">
        <is>
          <t>GOTLAND</t>
        </is>
      </c>
      <c r="G726" t="n">
        <v>5</v>
      </c>
      <c r="H726" t="n">
        <v>0</v>
      </c>
      <c r="I726" t="n">
        <v>0</v>
      </c>
      <c r="J726" t="n">
        <v>0</v>
      </c>
      <c r="K726" t="n">
        <v>0</v>
      </c>
      <c r="L726" t="n">
        <v>0</v>
      </c>
      <c r="M726" t="n">
        <v>0</v>
      </c>
      <c r="N726" t="n">
        <v>0</v>
      </c>
      <c r="O726" t="n">
        <v>0</v>
      </c>
      <c r="P726" t="n">
        <v>0</v>
      </c>
      <c r="Q726" t="n">
        <v>0</v>
      </c>
      <c r="R726" s="2" t="inlineStr"/>
    </row>
    <row r="727" ht="15" customHeight="1">
      <c r="A727" t="inlineStr">
        <is>
          <t>A 49964-2023</t>
        </is>
      </c>
      <c r="B727" s="1" t="n">
        <v>45215</v>
      </c>
      <c r="C727" s="1" t="n">
        <v>45795</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49968-2023</t>
        </is>
      </c>
      <c r="B728" s="1" t="n">
        <v>45215</v>
      </c>
      <c r="C728" s="1" t="n">
        <v>45795</v>
      </c>
      <c r="D728" t="inlineStr">
        <is>
          <t>GOTLANDS LÄN</t>
        </is>
      </c>
      <c r="E728" t="inlineStr">
        <is>
          <t>GOTLAND</t>
        </is>
      </c>
      <c r="G728" t="n">
        <v>0.8</v>
      </c>
      <c r="H728" t="n">
        <v>0</v>
      </c>
      <c r="I728" t="n">
        <v>0</v>
      </c>
      <c r="J728" t="n">
        <v>0</v>
      </c>
      <c r="K728" t="n">
        <v>0</v>
      </c>
      <c r="L728" t="n">
        <v>0</v>
      </c>
      <c r="M728" t="n">
        <v>0</v>
      </c>
      <c r="N728" t="n">
        <v>0</v>
      </c>
      <c r="O728" t="n">
        <v>0</v>
      </c>
      <c r="P728" t="n">
        <v>0</v>
      </c>
      <c r="Q728" t="n">
        <v>0</v>
      </c>
      <c r="R728" s="2" t="inlineStr"/>
    </row>
    <row r="729" ht="15" customHeight="1">
      <c r="A729" t="inlineStr">
        <is>
          <t>A 50566-2023</t>
        </is>
      </c>
      <c r="B729" s="1" t="n">
        <v>45217</v>
      </c>
      <c r="C729" s="1" t="n">
        <v>45795</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51035-2023</t>
        </is>
      </c>
      <c r="B730" s="1" t="n">
        <v>45218</v>
      </c>
      <c r="C730" s="1" t="n">
        <v>45795</v>
      </c>
      <c r="D730" t="inlineStr">
        <is>
          <t>GOTLANDS LÄN</t>
        </is>
      </c>
      <c r="E730" t="inlineStr">
        <is>
          <t>GOTLAND</t>
        </is>
      </c>
      <c r="G730" t="n">
        <v>1.3</v>
      </c>
      <c r="H730" t="n">
        <v>0</v>
      </c>
      <c r="I730" t="n">
        <v>0</v>
      </c>
      <c r="J730" t="n">
        <v>0</v>
      </c>
      <c r="K730" t="n">
        <v>0</v>
      </c>
      <c r="L730" t="n">
        <v>0</v>
      </c>
      <c r="M730" t="n">
        <v>0</v>
      </c>
      <c r="N730" t="n">
        <v>0</v>
      </c>
      <c r="O730" t="n">
        <v>0</v>
      </c>
      <c r="P730" t="n">
        <v>0</v>
      </c>
      <c r="Q730" t="n">
        <v>0</v>
      </c>
      <c r="R730" s="2" t="inlineStr"/>
    </row>
    <row r="731" ht="15" customHeight="1">
      <c r="A731" t="inlineStr">
        <is>
          <t>A 51782-2023</t>
        </is>
      </c>
      <c r="B731" s="1" t="n">
        <v>45222</v>
      </c>
      <c r="C731" s="1" t="n">
        <v>45795</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52684-2023</t>
        </is>
      </c>
      <c r="B732" s="1" t="n">
        <v>45225</v>
      </c>
      <c r="C732" s="1" t="n">
        <v>45795</v>
      </c>
      <c r="D732" t="inlineStr">
        <is>
          <t>GOTLANDS LÄN</t>
        </is>
      </c>
      <c r="E732" t="inlineStr">
        <is>
          <t>GOTLAND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53913-2023</t>
        </is>
      </c>
      <c r="B733" s="1" t="n">
        <v>45231</v>
      </c>
      <c r="C733" s="1" t="n">
        <v>45795</v>
      </c>
      <c r="D733" t="inlineStr">
        <is>
          <t>GOTLANDS LÄN</t>
        </is>
      </c>
      <c r="E733" t="inlineStr">
        <is>
          <t>GOTLAND</t>
        </is>
      </c>
      <c r="G733" t="n">
        <v>6.2</v>
      </c>
      <c r="H733" t="n">
        <v>0</v>
      </c>
      <c r="I733" t="n">
        <v>0</v>
      </c>
      <c r="J733" t="n">
        <v>0</v>
      </c>
      <c r="K733" t="n">
        <v>0</v>
      </c>
      <c r="L733" t="n">
        <v>0</v>
      </c>
      <c r="M733" t="n">
        <v>0</v>
      </c>
      <c r="N733" t="n">
        <v>0</v>
      </c>
      <c r="O733" t="n">
        <v>0</v>
      </c>
      <c r="P733" t="n">
        <v>0</v>
      </c>
      <c r="Q733" t="n">
        <v>0</v>
      </c>
      <c r="R733" s="2" t="inlineStr"/>
    </row>
    <row r="734" ht="15" customHeight="1">
      <c r="A734" t="inlineStr">
        <is>
          <t>A 56115-2023</t>
        </is>
      </c>
      <c r="B734" s="1" t="n">
        <v>45236</v>
      </c>
      <c r="C734" s="1" t="n">
        <v>45795</v>
      </c>
      <c r="D734" t="inlineStr">
        <is>
          <t>GOTLANDS LÄN</t>
        </is>
      </c>
      <c r="E734" t="inlineStr">
        <is>
          <t>GOTLAND</t>
        </is>
      </c>
      <c r="G734" t="n">
        <v>2</v>
      </c>
      <c r="H734" t="n">
        <v>0</v>
      </c>
      <c r="I734" t="n">
        <v>0</v>
      </c>
      <c r="J734" t="n">
        <v>0</v>
      </c>
      <c r="K734" t="n">
        <v>0</v>
      </c>
      <c r="L734" t="n">
        <v>0</v>
      </c>
      <c r="M734" t="n">
        <v>0</v>
      </c>
      <c r="N734" t="n">
        <v>0</v>
      </c>
      <c r="O734" t="n">
        <v>0</v>
      </c>
      <c r="P734" t="n">
        <v>0</v>
      </c>
      <c r="Q734" t="n">
        <v>0</v>
      </c>
      <c r="R734" s="2" t="inlineStr"/>
    </row>
    <row r="735" ht="15" customHeight="1">
      <c r="A735" t="inlineStr">
        <is>
          <t>A 57356-2023</t>
        </is>
      </c>
      <c r="B735" s="1" t="n">
        <v>45240</v>
      </c>
      <c r="C735" s="1" t="n">
        <v>45795</v>
      </c>
      <c r="D735" t="inlineStr">
        <is>
          <t>GOTLANDS LÄN</t>
        </is>
      </c>
      <c r="E735" t="inlineStr">
        <is>
          <t>GOTLAND</t>
        </is>
      </c>
      <c r="G735" t="n">
        <v>6.4</v>
      </c>
      <c r="H735" t="n">
        <v>0</v>
      </c>
      <c r="I735" t="n">
        <v>0</v>
      </c>
      <c r="J735" t="n">
        <v>0</v>
      </c>
      <c r="K735" t="n">
        <v>0</v>
      </c>
      <c r="L735" t="n">
        <v>0</v>
      </c>
      <c r="M735" t="n">
        <v>0</v>
      </c>
      <c r="N735" t="n">
        <v>0</v>
      </c>
      <c r="O735" t="n">
        <v>0</v>
      </c>
      <c r="P735" t="n">
        <v>0</v>
      </c>
      <c r="Q735" t="n">
        <v>0</v>
      </c>
      <c r="R735" s="2" t="inlineStr"/>
    </row>
    <row r="736" ht="15" customHeight="1">
      <c r="A736" t="inlineStr">
        <is>
          <t>A 56303-2023</t>
        </is>
      </c>
      <c r="B736" s="1" t="n">
        <v>45242</v>
      </c>
      <c r="C736" s="1" t="n">
        <v>45795</v>
      </c>
      <c r="D736" t="inlineStr">
        <is>
          <t>GOTLANDS LÄN</t>
        </is>
      </c>
      <c r="E736" t="inlineStr">
        <is>
          <t>GOTLAND</t>
        </is>
      </c>
      <c r="G736" t="n">
        <v>1.6</v>
      </c>
      <c r="H736" t="n">
        <v>0</v>
      </c>
      <c r="I736" t="n">
        <v>0</v>
      </c>
      <c r="J736" t="n">
        <v>0</v>
      </c>
      <c r="K736" t="n">
        <v>0</v>
      </c>
      <c r="L736" t="n">
        <v>0</v>
      </c>
      <c r="M736" t="n">
        <v>0</v>
      </c>
      <c r="N736" t="n">
        <v>0</v>
      </c>
      <c r="O736" t="n">
        <v>0</v>
      </c>
      <c r="P736" t="n">
        <v>0</v>
      </c>
      <c r="Q736" t="n">
        <v>0</v>
      </c>
      <c r="R736" s="2" t="inlineStr"/>
    </row>
    <row r="737" ht="15" customHeight="1">
      <c r="A737" t="inlineStr">
        <is>
          <t>A 56568-2023</t>
        </is>
      </c>
      <c r="B737" s="1" t="n">
        <v>45243</v>
      </c>
      <c r="C737" s="1" t="n">
        <v>45795</v>
      </c>
      <c r="D737" t="inlineStr">
        <is>
          <t>GOTLANDS LÄN</t>
        </is>
      </c>
      <c r="E737" t="inlineStr">
        <is>
          <t>GOTLAND</t>
        </is>
      </c>
      <c r="G737" t="n">
        <v>3.3</v>
      </c>
      <c r="H737" t="n">
        <v>0</v>
      </c>
      <c r="I737" t="n">
        <v>0</v>
      </c>
      <c r="J737" t="n">
        <v>0</v>
      </c>
      <c r="K737" t="n">
        <v>0</v>
      </c>
      <c r="L737" t="n">
        <v>0</v>
      </c>
      <c r="M737" t="n">
        <v>0</v>
      </c>
      <c r="N737" t="n">
        <v>0</v>
      </c>
      <c r="O737" t="n">
        <v>0</v>
      </c>
      <c r="P737" t="n">
        <v>0</v>
      </c>
      <c r="Q737" t="n">
        <v>0</v>
      </c>
      <c r="R737" s="2" t="inlineStr"/>
    </row>
    <row r="738" ht="15" customHeight="1">
      <c r="A738" t="inlineStr">
        <is>
          <t>A 56877-2023</t>
        </is>
      </c>
      <c r="B738" s="1" t="n">
        <v>45244</v>
      </c>
      <c r="C738" s="1" t="n">
        <v>45795</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57573-2023</t>
        </is>
      </c>
      <c r="B739" s="1" t="n">
        <v>45246</v>
      </c>
      <c r="C739" s="1" t="n">
        <v>45795</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57652-2023</t>
        </is>
      </c>
      <c r="B740" s="1" t="n">
        <v>45246</v>
      </c>
      <c r="C740" s="1" t="n">
        <v>45795</v>
      </c>
      <c r="D740" t="inlineStr">
        <is>
          <t>GOTLANDS LÄN</t>
        </is>
      </c>
      <c r="E740" t="inlineStr">
        <is>
          <t>GOTLAND</t>
        </is>
      </c>
      <c r="G740" t="n">
        <v>7.2</v>
      </c>
      <c r="H740" t="n">
        <v>0</v>
      </c>
      <c r="I740" t="n">
        <v>0</v>
      </c>
      <c r="J740" t="n">
        <v>0</v>
      </c>
      <c r="K740" t="n">
        <v>0</v>
      </c>
      <c r="L740" t="n">
        <v>0</v>
      </c>
      <c r="M740" t="n">
        <v>0</v>
      </c>
      <c r="N740" t="n">
        <v>0</v>
      </c>
      <c r="O740" t="n">
        <v>0</v>
      </c>
      <c r="P740" t="n">
        <v>0</v>
      </c>
      <c r="Q740" t="n">
        <v>0</v>
      </c>
      <c r="R740" s="2" t="inlineStr"/>
    </row>
    <row r="741" ht="15" customHeight="1">
      <c r="A741" t="inlineStr">
        <is>
          <t>A 57765-2023</t>
        </is>
      </c>
      <c r="B741" s="1" t="n">
        <v>45246</v>
      </c>
      <c r="C741" s="1" t="n">
        <v>45795</v>
      </c>
      <c r="D741" t="inlineStr">
        <is>
          <t>GOTLANDS LÄN</t>
        </is>
      </c>
      <c r="E741" t="inlineStr">
        <is>
          <t>GOTLAND</t>
        </is>
      </c>
      <c r="G741" t="n">
        <v>1.8</v>
      </c>
      <c r="H741" t="n">
        <v>0</v>
      </c>
      <c r="I741" t="n">
        <v>0</v>
      </c>
      <c r="J741" t="n">
        <v>0</v>
      </c>
      <c r="K741" t="n">
        <v>0</v>
      </c>
      <c r="L741" t="n">
        <v>0</v>
      </c>
      <c r="M741" t="n">
        <v>0</v>
      </c>
      <c r="N741" t="n">
        <v>0</v>
      </c>
      <c r="O741" t="n">
        <v>0</v>
      </c>
      <c r="P741" t="n">
        <v>0</v>
      </c>
      <c r="Q741" t="n">
        <v>0</v>
      </c>
      <c r="R741" s="2" t="inlineStr"/>
    </row>
    <row r="742" ht="15" customHeight="1">
      <c r="A742" t="inlineStr">
        <is>
          <t>A 58132-2023</t>
        </is>
      </c>
      <c r="B742" s="1" t="n">
        <v>45250</v>
      </c>
      <c r="C742" s="1" t="n">
        <v>45795</v>
      </c>
      <c r="D742" t="inlineStr">
        <is>
          <t>GOTLANDS LÄN</t>
        </is>
      </c>
      <c r="E742" t="inlineStr">
        <is>
          <t>GOTLAND</t>
        </is>
      </c>
      <c r="G742" t="n">
        <v>3.1</v>
      </c>
      <c r="H742" t="n">
        <v>0</v>
      </c>
      <c r="I742" t="n">
        <v>0</v>
      </c>
      <c r="J742" t="n">
        <v>0</v>
      </c>
      <c r="K742" t="n">
        <v>0</v>
      </c>
      <c r="L742" t="n">
        <v>0</v>
      </c>
      <c r="M742" t="n">
        <v>0</v>
      </c>
      <c r="N742" t="n">
        <v>0</v>
      </c>
      <c r="O742" t="n">
        <v>0</v>
      </c>
      <c r="P742" t="n">
        <v>0</v>
      </c>
      <c r="Q742" t="n">
        <v>0</v>
      </c>
      <c r="R742" s="2" t="inlineStr"/>
    </row>
    <row r="743" ht="15" customHeight="1">
      <c r="A743" t="inlineStr">
        <is>
          <t>A 59559-2023</t>
        </is>
      </c>
      <c r="B743" s="1" t="n">
        <v>45254</v>
      </c>
      <c r="C743" s="1" t="n">
        <v>45795</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59554-2023</t>
        </is>
      </c>
      <c r="B744" s="1" t="n">
        <v>45254</v>
      </c>
      <c r="C744" s="1" t="n">
        <v>45795</v>
      </c>
      <c r="D744" t="inlineStr">
        <is>
          <t>GOTLANDS LÄN</t>
        </is>
      </c>
      <c r="E744" t="inlineStr">
        <is>
          <t>GOTLAND</t>
        </is>
      </c>
      <c r="G744" t="n">
        <v>2.4</v>
      </c>
      <c r="H744" t="n">
        <v>0</v>
      </c>
      <c r="I744" t="n">
        <v>0</v>
      </c>
      <c r="J744" t="n">
        <v>0</v>
      </c>
      <c r="K744" t="n">
        <v>0</v>
      </c>
      <c r="L744" t="n">
        <v>0</v>
      </c>
      <c r="M744" t="n">
        <v>0</v>
      </c>
      <c r="N744" t="n">
        <v>0</v>
      </c>
      <c r="O744" t="n">
        <v>0</v>
      </c>
      <c r="P744" t="n">
        <v>0</v>
      </c>
      <c r="Q744" t="n">
        <v>0</v>
      </c>
      <c r="R744" s="2" t="inlineStr"/>
    </row>
    <row r="745" ht="15" customHeight="1">
      <c r="A745" t="inlineStr">
        <is>
          <t>A 60269-2023</t>
        </is>
      </c>
      <c r="B745" s="1" t="n">
        <v>45258</v>
      </c>
      <c r="C745" s="1" t="n">
        <v>45795</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60273-2023</t>
        </is>
      </c>
      <c r="B746" s="1" t="n">
        <v>45258</v>
      </c>
      <c r="C746" s="1" t="n">
        <v>45795</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60709-2023</t>
        </is>
      </c>
      <c r="B747" s="1" t="n">
        <v>45260</v>
      </c>
      <c r="C747" s="1" t="n">
        <v>45795</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61175-2023</t>
        </is>
      </c>
      <c r="B748" s="1" t="n">
        <v>45263</v>
      </c>
      <c r="C748" s="1" t="n">
        <v>45795</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61386-2023</t>
        </is>
      </c>
      <c r="B749" s="1" t="n">
        <v>45264</v>
      </c>
      <c r="C749" s="1" t="n">
        <v>45795</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61694-2023</t>
        </is>
      </c>
      <c r="B750" s="1" t="n">
        <v>45264</v>
      </c>
      <c r="C750" s="1" t="n">
        <v>45795</v>
      </c>
      <c r="D750" t="inlineStr">
        <is>
          <t>GOTLANDS LÄN</t>
        </is>
      </c>
      <c r="E750" t="inlineStr">
        <is>
          <t>GOTLAND</t>
        </is>
      </c>
      <c r="G750" t="n">
        <v>4.6</v>
      </c>
      <c r="H750" t="n">
        <v>0</v>
      </c>
      <c r="I750" t="n">
        <v>0</v>
      </c>
      <c r="J750" t="n">
        <v>0</v>
      </c>
      <c r="K750" t="n">
        <v>0</v>
      </c>
      <c r="L750" t="n">
        <v>0</v>
      </c>
      <c r="M750" t="n">
        <v>0</v>
      </c>
      <c r="N750" t="n">
        <v>0</v>
      </c>
      <c r="O750" t="n">
        <v>0</v>
      </c>
      <c r="P750" t="n">
        <v>0</v>
      </c>
      <c r="Q750" t="n">
        <v>0</v>
      </c>
      <c r="R750" s="2" t="inlineStr"/>
    </row>
    <row r="751" ht="15" customHeight="1">
      <c r="A751" t="inlineStr">
        <is>
          <t>A 61596-2023</t>
        </is>
      </c>
      <c r="B751" s="1" t="n">
        <v>45265</v>
      </c>
      <c r="C751" s="1" t="n">
        <v>45795</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61634-2023</t>
        </is>
      </c>
      <c r="B752" s="1" t="n">
        <v>45265</v>
      </c>
      <c r="C752" s="1" t="n">
        <v>45795</v>
      </c>
      <c r="D752" t="inlineStr">
        <is>
          <t>GOTLANDS LÄN</t>
        </is>
      </c>
      <c r="E752" t="inlineStr">
        <is>
          <t>GOTLAND</t>
        </is>
      </c>
      <c r="G752" t="n">
        <v>7.4</v>
      </c>
      <c r="H752" t="n">
        <v>0</v>
      </c>
      <c r="I752" t="n">
        <v>0</v>
      </c>
      <c r="J752" t="n">
        <v>0</v>
      </c>
      <c r="K752" t="n">
        <v>0</v>
      </c>
      <c r="L752" t="n">
        <v>0</v>
      </c>
      <c r="M752" t="n">
        <v>0</v>
      </c>
      <c r="N752" t="n">
        <v>0</v>
      </c>
      <c r="O752" t="n">
        <v>0</v>
      </c>
      <c r="P752" t="n">
        <v>0</v>
      </c>
      <c r="Q752" t="n">
        <v>0</v>
      </c>
      <c r="R752" s="2" t="inlineStr"/>
    </row>
    <row r="753" ht="15" customHeight="1">
      <c r="A753" t="inlineStr">
        <is>
          <t>A 63246-2023</t>
        </is>
      </c>
      <c r="B753" s="1" t="n">
        <v>45273</v>
      </c>
      <c r="C753" s="1" t="n">
        <v>45795</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63303-2023</t>
        </is>
      </c>
      <c r="B754" s="1" t="n">
        <v>45274</v>
      </c>
      <c r="C754" s="1" t="n">
        <v>45795</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63516-2023</t>
        </is>
      </c>
      <c r="B755" s="1" t="n">
        <v>45274</v>
      </c>
      <c r="C755" s="1" t="n">
        <v>45795</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63773-2023</t>
        </is>
      </c>
      <c r="B756" s="1" t="n">
        <v>45278</v>
      </c>
      <c r="C756" s="1" t="n">
        <v>45795</v>
      </c>
      <c r="D756" t="inlineStr">
        <is>
          <t>GOTLANDS LÄN</t>
        </is>
      </c>
      <c r="E756" t="inlineStr">
        <is>
          <t>GOTLAND</t>
        </is>
      </c>
      <c r="G756" t="n">
        <v>8.5</v>
      </c>
      <c r="H756" t="n">
        <v>0</v>
      </c>
      <c r="I756" t="n">
        <v>0</v>
      </c>
      <c r="J756" t="n">
        <v>0</v>
      </c>
      <c r="K756" t="n">
        <v>0</v>
      </c>
      <c r="L756" t="n">
        <v>0</v>
      </c>
      <c r="M756" t="n">
        <v>0</v>
      </c>
      <c r="N756" t="n">
        <v>0</v>
      </c>
      <c r="O756" t="n">
        <v>0</v>
      </c>
      <c r="P756" t="n">
        <v>0</v>
      </c>
      <c r="Q756" t="n">
        <v>0</v>
      </c>
      <c r="R756" s="2" t="inlineStr"/>
    </row>
    <row r="757" ht="15" customHeight="1">
      <c r="A757" t="inlineStr">
        <is>
          <t>A 63763-2023</t>
        </is>
      </c>
      <c r="B757" s="1" t="n">
        <v>45278</v>
      </c>
      <c r="C757" s="1" t="n">
        <v>45795</v>
      </c>
      <c r="D757" t="inlineStr">
        <is>
          <t>GOTLANDS LÄN</t>
        </is>
      </c>
      <c r="E757" t="inlineStr">
        <is>
          <t>GOTLAND</t>
        </is>
      </c>
      <c r="G757" t="n">
        <v>0.5</v>
      </c>
      <c r="H757" t="n">
        <v>0</v>
      </c>
      <c r="I757" t="n">
        <v>0</v>
      </c>
      <c r="J757" t="n">
        <v>0</v>
      </c>
      <c r="K757" t="n">
        <v>0</v>
      </c>
      <c r="L757" t="n">
        <v>0</v>
      </c>
      <c r="M757" t="n">
        <v>0</v>
      </c>
      <c r="N757" t="n">
        <v>0</v>
      </c>
      <c r="O757" t="n">
        <v>0</v>
      </c>
      <c r="P757" t="n">
        <v>0</v>
      </c>
      <c r="Q757" t="n">
        <v>0</v>
      </c>
      <c r="R757" s="2" t="inlineStr"/>
    </row>
    <row r="758" ht="15" customHeight="1">
      <c r="A758" t="inlineStr">
        <is>
          <t>A 63996-2023</t>
        </is>
      </c>
      <c r="B758" s="1" t="n">
        <v>45278</v>
      </c>
      <c r="C758" s="1" t="n">
        <v>45795</v>
      </c>
      <c r="D758" t="inlineStr">
        <is>
          <t>GOTLANDS LÄN</t>
        </is>
      </c>
      <c r="E758" t="inlineStr">
        <is>
          <t>GOTLAND</t>
        </is>
      </c>
      <c r="G758" t="n">
        <v>3.8</v>
      </c>
      <c r="H758" t="n">
        <v>0</v>
      </c>
      <c r="I758" t="n">
        <v>0</v>
      </c>
      <c r="J758" t="n">
        <v>0</v>
      </c>
      <c r="K758" t="n">
        <v>0</v>
      </c>
      <c r="L758" t="n">
        <v>0</v>
      </c>
      <c r="M758" t="n">
        <v>0</v>
      </c>
      <c r="N758" t="n">
        <v>0</v>
      </c>
      <c r="O758" t="n">
        <v>0</v>
      </c>
      <c r="P758" t="n">
        <v>0</v>
      </c>
      <c r="Q758" t="n">
        <v>0</v>
      </c>
      <c r="R758" s="2" t="inlineStr"/>
    </row>
    <row r="759" ht="15" customHeight="1">
      <c r="A759" t="inlineStr">
        <is>
          <t>A 64555-2023</t>
        </is>
      </c>
      <c r="B759" s="1" t="n">
        <v>45281</v>
      </c>
      <c r="C759" s="1" t="n">
        <v>45795</v>
      </c>
      <c r="D759" t="inlineStr">
        <is>
          <t>GOTLANDS LÄN</t>
        </is>
      </c>
      <c r="E759" t="inlineStr">
        <is>
          <t>GOTLAND</t>
        </is>
      </c>
      <c r="G759" t="n">
        <v>3.5</v>
      </c>
      <c r="H759" t="n">
        <v>0</v>
      </c>
      <c r="I759" t="n">
        <v>0</v>
      </c>
      <c r="J759" t="n">
        <v>0</v>
      </c>
      <c r="K759" t="n">
        <v>0</v>
      </c>
      <c r="L759" t="n">
        <v>0</v>
      </c>
      <c r="M759" t="n">
        <v>0</v>
      </c>
      <c r="N759" t="n">
        <v>0</v>
      </c>
      <c r="O759" t="n">
        <v>0</v>
      </c>
      <c r="P759" t="n">
        <v>0</v>
      </c>
      <c r="Q759" t="n">
        <v>0</v>
      </c>
      <c r="R759" s="2" t="inlineStr"/>
    </row>
    <row r="760" ht="15" customHeight="1">
      <c r="A760" t="inlineStr">
        <is>
          <t>A 64660-2023</t>
        </is>
      </c>
      <c r="B760" s="1" t="n">
        <v>45281</v>
      </c>
      <c r="C760" s="1" t="n">
        <v>45795</v>
      </c>
      <c r="D760" t="inlineStr">
        <is>
          <t>GOTLANDS LÄN</t>
        </is>
      </c>
      <c r="E760" t="inlineStr">
        <is>
          <t>GOTLAND</t>
        </is>
      </c>
      <c r="G760" t="n">
        <v>6.3</v>
      </c>
      <c r="H760" t="n">
        <v>0</v>
      </c>
      <c r="I760" t="n">
        <v>0</v>
      </c>
      <c r="J760" t="n">
        <v>0</v>
      </c>
      <c r="K760" t="n">
        <v>0</v>
      </c>
      <c r="L760" t="n">
        <v>0</v>
      </c>
      <c r="M760" t="n">
        <v>0</v>
      </c>
      <c r="N760" t="n">
        <v>0</v>
      </c>
      <c r="O760" t="n">
        <v>0</v>
      </c>
      <c r="P760" t="n">
        <v>0</v>
      </c>
      <c r="Q760" t="n">
        <v>0</v>
      </c>
      <c r="R760" s="2" t="inlineStr"/>
    </row>
    <row r="761" ht="15" customHeight="1">
      <c r="A761" t="inlineStr">
        <is>
          <t>A 64831-2023</t>
        </is>
      </c>
      <c r="B761" s="1" t="n">
        <v>45282</v>
      </c>
      <c r="C761" s="1" t="n">
        <v>45795</v>
      </c>
      <c r="D761" t="inlineStr">
        <is>
          <t>GOTLANDS LÄN</t>
        </is>
      </c>
      <c r="E761" t="inlineStr">
        <is>
          <t>GOTLAND</t>
        </is>
      </c>
      <c r="G761" t="n">
        <v>1.9</v>
      </c>
      <c r="H761" t="n">
        <v>0</v>
      </c>
      <c r="I761" t="n">
        <v>0</v>
      </c>
      <c r="J761" t="n">
        <v>0</v>
      </c>
      <c r="K761" t="n">
        <v>0</v>
      </c>
      <c r="L761" t="n">
        <v>0</v>
      </c>
      <c r="M761" t="n">
        <v>0</v>
      </c>
      <c r="N761" t="n">
        <v>0</v>
      </c>
      <c r="O761" t="n">
        <v>0</v>
      </c>
      <c r="P761" t="n">
        <v>0</v>
      </c>
      <c r="Q761" t="n">
        <v>0</v>
      </c>
      <c r="R761" s="2" t="inlineStr"/>
    </row>
    <row r="762" ht="15" customHeight="1">
      <c r="A762" t="inlineStr">
        <is>
          <t>A 64838-2023</t>
        </is>
      </c>
      <c r="B762" s="1" t="n">
        <v>45282</v>
      </c>
      <c r="C762" s="1" t="n">
        <v>45795</v>
      </c>
      <c r="D762" t="inlineStr">
        <is>
          <t>GOTLANDS LÄN</t>
        </is>
      </c>
      <c r="E762" t="inlineStr">
        <is>
          <t>GOTLAND</t>
        </is>
      </c>
      <c r="G762" t="n">
        <v>7.5</v>
      </c>
      <c r="H762" t="n">
        <v>0</v>
      </c>
      <c r="I762" t="n">
        <v>0</v>
      </c>
      <c r="J762" t="n">
        <v>0</v>
      </c>
      <c r="K762" t="n">
        <v>0</v>
      </c>
      <c r="L762" t="n">
        <v>0</v>
      </c>
      <c r="M762" t="n">
        <v>0</v>
      </c>
      <c r="N762" t="n">
        <v>0</v>
      </c>
      <c r="O762" t="n">
        <v>0</v>
      </c>
      <c r="P762" t="n">
        <v>0</v>
      </c>
      <c r="Q762" t="n">
        <v>0</v>
      </c>
      <c r="R762" s="2" t="inlineStr"/>
    </row>
    <row r="763" ht="15" customHeight="1">
      <c r="A763" t="inlineStr">
        <is>
          <t>A 64969-2023</t>
        </is>
      </c>
      <c r="B763" s="1" t="n">
        <v>45284</v>
      </c>
      <c r="C763" s="1" t="n">
        <v>45795</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65088-2023</t>
        </is>
      </c>
      <c r="B764" s="1" t="n">
        <v>45287</v>
      </c>
      <c r="C764" s="1" t="n">
        <v>45795</v>
      </c>
      <c r="D764" t="inlineStr">
        <is>
          <t>GOTLANDS LÄN</t>
        </is>
      </c>
      <c r="E764" t="inlineStr">
        <is>
          <t>GOTLAND</t>
        </is>
      </c>
      <c r="G764" t="n">
        <v>2.5</v>
      </c>
      <c r="H764" t="n">
        <v>0</v>
      </c>
      <c r="I764" t="n">
        <v>0</v>
      </c>
      <c r="J764" t="n">
        <v>0</v>
      </c>
      <c r="K764" t="n">
        <v>0</v>
      </c>
      <c r="L764" t="n">
        <v>0</v>
      </c>
      <c r="M764" t="n">
        <v>0</v>
      </c>
      <c r="N764" t="n">
        <v>0</v>
      </c>
      <c r="O764" t="n">
        <v>0</v>
      </c>
      <c r="P764" t="n">
        <v>0</v>
      </c>
      <c r="Q764" t="n">
        <v>0</v>
      </c>
      <c r="R764" s="2" t="inlineStr"/>
    </row>
    <row r="765" ht="15" customHeight="1">
      <c r="A765" t="inlineStr">
        <is>
          <t>A 65097-2023</t>
        </is>
      </c>
      <c r="B765" s="1" t="n">
        <v>45287</v>
      </c>
      <c r="C765" s="1" t="n">
        <v>45795</v>
      </c>
      <c r="D765" t="inlineStr">
        <is>
          <t>GOTLANDS LÄN</t>
        </is>
      </c>
      <c r="E765" t="inlineStr">
        <is>
          <t>GOTLAND</t>
        </is>
      </c>
      <c r="G765" t="n">
        <v>15.4</v>
      </c>
      <c r="H765" t="n">
        <v>0</v>
      </c>
      <c r="I765" t="n">
        <v>0</v>
      </c>
      <c r="J765" t="n">
        <v>0</v>
      </c>
      <c r="K765" t="n">
        <v>0</v>
      </c>
      <c r="L765" t="n">
        <v>0</v>
      </c>
      <c r="M765" t="n">
        <v>0</v>
      </c>
      <c r="N765" t="n">
        <v>0</v>
      </c>
      <c r="O765" t="n">
        <v>0</v>
      </c>
      <c r="P765" t="n">
        <v>0</v>
      </c>
      <c r="Q765" t="n">
        <v>0</v>
      </c>
      <c r="R765" s="2" t="inlineStr"/>
    </row>
    <row r="766" ht="15" customHeight="1">
      <c r="A766" t="inlineStr">
        <is>
          <t>A 65249-2023</t>
        </is>
      </c>
      <c r="B766" s="1" t="n">
        <v>45290</v>
      </c>
      <c r="C766" s="1" t="n">
        <v>45795</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98-2024</t>
        </is>
      </c>
      <c r="B767" s="1" t="n">
        <v>45293</v>
      </c>
      <c r="C767" s="1" t="n">
        <v>45795</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450-2024</t>
        </is>
      </c>
      <c r="B768" s="1" t="n">
        <v>45296</v>
      </c>
      <c r="C768" s="1" t="n">
        <v>45795</v>
      </c>
      <c r="D768" t="inlineStr">
        <is>
          <t>GOTLANDS LÄN</t>
        </is>
      </c>
      <c r="E768" t="inlineStr">
        <is>
          <t>GOTLAND</t>
        </is>
      </c>
      <c r="G768" t="n">
        <v>10.1</v>
      </c>
      <c r="H768" t="n">
        <v>0</v>
      </c>
      <c r="I768" t="n">
        <v>0</v>
      </c>
      <c r="J768" t="n">
        <v>0</v>
      </c>
      <c r="K768" t="n">
        <v>0</v>
      </c>
      <c r="L768" t="n">
        <v>0</v>
      </c>
      <c r="M768" t="n">
        <v>0</v>
      </c>
      <c r="N768" t="n">
        <v>0</v>
      </c>
      <c r="O768" t="n">
        <v>0</v>
      </c>
      <c r="P768" t="n">
        <v>0</v>
      </c>
      <c r="Q768" t="n">
        <v>0</v>
      </c>
      <c r="R768" s="2" t="inlineStr"/>
    </row>
    <row r="769" ht="15" customHeight="1">
      <c r="A769" t="inlineStr">
        <is>
          <t>A 533-2024</t>
        </is>
      </c>
      <c r="B769" s="1" t="n">
        <v>45299</v>
      </c>
      <c r="C769" s="1" t="n">
        <v>45795</v>
      </c>
      <c r="D769" t="inlineStr">
        <is>
          <t>GOTLANDS LÄN</t>
        </is>
      </c>
      <c r="E769" t="inlineStr">
        <is>
          <t>GOTLAND</t>
        </is>
      </c>
      <c r="G769" t="n">
        <v>7.1</v>
      </c>
      <c r="H769" t="n">
        <v>0</v>
      </c>
      <c r="I769" t="n">
        <v>0</v>
      </c>
      <c r="J769" t="n">
        <v>0</v>
      </c>
      <c r="K769" t="n">
        <v>0</v>
      </c>
      <c r="L769" t="n">
        <v>0</v>
      </c>
      <c r="M769" t="n">
        <v>0</v>
      </c>
      <c r="N769" t="n">
        <v>0</v>
      </c>
      <c r="O769" t="n">
        <v>0</v>
      </c>
      <c r="P769" t="n">
        <v>0</v>
      </c>
      <c r="Q769" t="n">
        <v>0</v>
      </c>
      <c r="R769" s="2" t="inlineStr"/>
    </row>
    <row r="770" ht="15" customHeight="1">
      <c r="A770" t="inlineStr">
        <is>
          <t>A 796-2024</t>
        </is>
      </c>
      <c r="B770" s="1" t="n">
        <v>45300</v>
      </c>
      <c r="C770" s="1" t="n">
        <v>45795</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873-2024</t>
        </is>
      </c>
      <c r="B771" s="1" t="n">
        <v>45301</v>
      </c>
      <c r="C771" s="1" t="n">
        <v>45795</v>
      </c>
      <c r="D771" t="inlineStr">
        <is>
          <t>GOTLANDS LÄN</t>
        </is>
      </c>
      <c r="E771" t="inlineStr">
        <is>
          <t>GOTLAND</t>
        </is>
      </c>
      <c r="G771" t="n">
        <v>2.7</v>
      </c>
      <c r="H771" t="n">
        <v>0</v>
      </c>
      <c r="I771" t="n">
        <v>0</v>
      </c>
      <c r="J771" t="n">
        <v>0</v>
      </c>
      <c r="K771" t="n">
        <v>0</v>
      </c>
      <c r="L771" t="n">
        <v>0</v>
      </c>
      <c r="M771" t="n">
        <v>0</v>
      </c>
      <c r="N771" t="n">
        <v>0</v>
      </c>
      <c r="O771" t="n">
        <v>0</v>
      </c>
      <c r="P771" t="n">
        <v>0</v>
      </c>
      <c r="Q771" t="n">
        <v>0</v>
      </c>
      <c r="R771" s="2" t="inlineStr"/>
    </row>
    <row r="772" ht="15" customHeight="1">
      <c r="A772" t="inlineStr">
        <is>
          <t>A 876-2024</t>
        </is>
      </c>
      <c r="B772" s="1" t="n">
        <v>45301</v>
      </c>
      <c r="C772" s="1" t="n">
        <v>45795</v>
      </c>
      <c r="D772" t="inlineStr">
        <is>
          <t>GOTLANDS LÄN</t>
        </is>
      </c>
      <c r="E772" t="inlineStr">
        <is>
          <t>GOTLAND</t>
        </is>
      </c>
      <c r="G772" t="n">
        <v>5.3</v>
      </c>
      <c r="H772" t="n">
        <v>0</v>
      </c>
      <c r="I772" t="n">
        <v>0</v>
      </c>
      <c r="J772" t="n">
        <v>0</v>
      </c>
      <c r="K772" t="n">
        <v>0</v>
      </c>
      <c r="L772" t="n">
        <v>0</v>
      </c>
      <c r="M772" t="n">
        <v>0</v>
      </c>
      <c r="N772" t="n">
        <v>0</v>
      </c>
      <c r="O772" t="n">
        <v>0</v>
      </c>
      <c r="P772" t="n">
        <v>0</v>
      </c>
      <c r="Q772" t="n">
        <v>0</v>
      </c>
      <c r="R772" s="2" t="inlineStr"/>
    </row>
    <row r="773" ht="15" customHeight="1">
      <c r="A773" t="inlineStr">
        <is>
          <t>A 999-2024</t>
        </is>
      </c>
      <c r="B773" s="1" t="n">
        <v>45301</v>
      </c>
      <c r="C773" s="1" t="n">
        <v>45795</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1010-2024</t>
        </is>
      </c>
      <c r="B774" s="1" t="n">
        <v>45301</v>
      </c>
      <c r="C774" s="1" t="n">
        <v>45795</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1000-2024</t>
        </is>
      </c>
      <c r="B775" s="1" t="n">
        <v>45301</v>
      </c>
      <c r="C775" s="1" t="n">
        <v>45795</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1008-2024</t>
        </is>
      </c>
      <c r="B776" s="1" t="n">
        <v>45301</v>
      </c>
      <c r="C776" s="1" t="n">
        <v>45795</v>
      </c>
      <c r="D776" t="inlineStr">
        <is>
          <t>GOTLANDS LÄN</t>
        </is>
      </c>
      <c r="E776" t="inlineStr">
        <is>
          <t>GOTLAND</t>
        </is>
      </c>
      <c r="G776" t="n">
        <v>2.3</v>
      </c>
      <c r="H776" t="n">
        <v>0</v>
      </c>
      <c r="I776" t="n">
        <v>0</v>
      </c>
      <c r="J776" t="n">
        <v>0</v>
      </c>
      <c r="K776" t="n">
        <v>0</v>
      </c>
      <c r="L776" t="n">
        <v>0</v>
      </c>
      <c r="M776" t="n">
        <v>0</v>
      </c>
      <c r="N776" t="n">
        <v>0</v>
      </c>
      <c r="O776" t="n">
        <v>0</v>
      </c>
      <c r="P776" t="n">
        <v>0</v>
      </c>
      <c r="Q776" t="n">
        <v>0</v>
      </c>
      <c r="R776" s="2" t="inlineStr"/>
    </row>
    <row r="777" ht="15" customHeight="1">
      <c r="A777" t="inlineStr">
        <is>
          <t>A 1066-2024</t>
        </is>
      </c>
      <c r="B777" s="1" t="n">
        <v>45302</v>
      </c>
      <c r="C777" s="1" t="n">
        <v>45795</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1321-2024</t>
        </is>
      </c>
      <c r="B778" s="1" t="n">
        <v>45303</v>
      </c>
      <c r="C778" s="1" t="n">
        <v>45795</v>
      </c>
      <c r="D778" t="inlineStr">
        <is>
          <t>GOTLANDS LÄN</t>
        </is>
      </c>
      <c r="E778" t="inlineStr">
        <is>
          <t>GOTLAND</t>
        </is>
      </c>
      <c r="G778" t="n">
        <v>5.5</v>
      </c>
      <c r="H778" t="n">
        <v>0</v>
      </c>
      <c r="I778" t="n">
        <v>0</v>
      </c>
      <c r="J778" t="n">
        <v>0</v>
      </c>
      <c r="K778" t="n">
        <v>0</v>
      </c>
      <c r="L778" t="n">
        <v>0</v>
      </c>
      <c r="M778" t="n">
        <v>0</v>
      </c>
      <c r="N778" t="n">
        <v>0</v>
      </c>
      <c r="O778" t="n">
        <v>0</v>
      </c>
      <c r="P778" t="n">
        <v>0</v>
      </c>
      <c r="Q778" t="n">
        <v>0</v>
      </c>
      <c r="R778" s="2" t="inlineStr"/>
    </row>
    <row r="779" ht="15" customHeight="1">
      <c r="A779" t="inlineStr">
        <is>
          <t>A 1477-2024</t>
        </is>
      </c>
      <c r="B779" s="1" t="n">
        <v>45305</v>
      </c>
      <c r="C779" s="1" t="n">
        <v>45795</v>
      </c>
      <c r="D779" t="inlineStr">
        <is>
          <t>GOTLANDS LÄN</t>
        </is>
      </c>
      <c r="E779" t="inlineStr">
        <is>
          <t>GOTLAND</t>
        </is>
      </c>
      <c r="G779" t="n">
        <v>6.9</v>
      </c>
      <c r="H779" t="n">
        <v>0</v>
      </c>
      <c r="I779" t="n">
        <v>0</v>
      </c>
      <c r="J779" t="n">
        <v>0</v>
      </c>
      <c r="K779" t="n">
        <v>0</v>
      </c>
      <c r="L779" t="n">
        <v>0</v>
      </c>
      <c r="M779" t="n">
        <v>0</v>
      </c>
      <c r="N779" t="n">
        <v>0</v>
      </c>
      <c r="O779" t="n">
        <v>0</v>
      </c>
      <c r="P779" t="n">
        <v>0</v>
      </c>
      <c r="Q779" t="n">
        <v>0</v>
      </c>
      <c r="R779" s="2" t="inlineStr"/>
    </row>
    <row r="780" ht="15" customHeight="1">
      <c r="A780" t="inlineStr">
        <is>
          <t>A 2010-2024</t>
        </is>
      </c>
      <c r="B780" s="1" t="n">
        <v>45308</v>
      </c>
      <c r="C780" s="1" t="n">
        <v>45795</v>
      </c>
      <c r="D780" t="inlineStr">
        <is>
          <t>GOTLANDS LÄN</t>
        </is>
      </c>
      <c r="E780" t="inlineStr">
        <is>
          <t>GOTLAND</t>
        </is>
      </c>
      <c r="G780" t="n">
        <v>5.1</v>
      </c>
      <c r="H780" t="n">
        <v>0</v>
      </c>
      <c r="I780" t="n">
        <v>0</v>
      </c>
      <c r="J780" t="n">
        <v>0</v>
      </c>
      <c r="K780" t="n">
        <v>0</v>
      </c>
      <c r="L780" t="n">
        <v>0</v>
      </c>
      <c r="M780" t="n">
        <v>0</v>
      </c>
      <c r="N780" t="n">
        <v>0</v>
      </c>
      <c r="O780" t="n">
        <v>0</v>
      </c>
      <c r="P780" t="n">
        <v>0</v>
      </c>
      <c r="Q780" t="n">
        <v>0</v>
      </c>
      <c r="R780" s="2" t="inlineStr"/>
    </row>
    <row r="781" ht="15" customHeight="1">
      <c r="A781" t="inlineStr">
        <is>
          <t>A 2774-2024</t>
        </is>
      </c>
      <c r="B781" s="1" t="n">
        <v>45314</v>
      </c>
      <c r="C781" s="1" t="n">
        <v>45795</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2821-2024</t>
        </is>
      </c>
      <c r="B782" s="1" t="n">
        <v>45314</v>
      </c>
      <c r="C782" s="1" t="n">
        <v>45795</v>
      </c>
      <c r="D782" t="inlineStr">
        <is>
          <t>GOTLANDS LÄN</t>
        </is>
      </c>
      <c r="E782" t="inlineStr">
        <is>
          <t>GOTLAND</t>
        </is>
      </c>
      <c r="G782" t="n">
        <v>1.9</v>
      </c>
      <c r="H782" t="n">
        <v>0</v>
      </c>
      <c r="I782" t="n">
        <v>0</v>
      </c>
      <c r="J782" t="n">
        <v>0</v>
      </c>
      <c r="K782" t="n">
        <v>0</v>
      </c>
      <c r="L782" t="n">
        <v>0</v>
      </c>
      <c r="M782" t="n">
        <v>0</v>
      </c>
      <c r="N782" t="n">
        <v>0</v>
      </c>
      <c r="O782" t="n">
        <v>0</v>
      </c>
      <c r="P782" t="n">
        <v>0</v>
      </c>
      <c r="Q782" t="n">
        <v>0</v>
      </c>
      <c r="R782" s="2" t="inlineStr"/>
    </row>
    <row r="783" ht="15" customHeight="1">
      <c r="A783" t="inlineStr">
        <is>
          <t>A 2825-2024</t>
        </is>
      </c>
      <c r="B783" s="1" t="n">
        <v>45314</v>
      </c>
      <c r="C783" s="1" t="n">
        <v>45795</v>
      </c>
      <c r="D783" t="inlineStr">
        <is>
          <t>GOTLANDS LÄN</t>
        </is>
      </c>
      <c r="E783" t="inlineStr">
        <is>
          <t>GOTLAND</t>
        </is>
      </c>
      <c r="G783" t="n">
        <v>4.8</v>
      </c>
      <c r="H783" t="n">
        <v>0</v>
      </c>
      <c r="I783" t="n">
        <v>0</v>
      </c>
      <c r="J783" t="n">
        <v>0</v>
      </c>
      <c r="K783" t="n">
        <v>0</v>
      </c>
      <c r="L783" t="n">
        <v>0</v>
      </c>
      <c r="M783" t="n">
        <v>0</v>
      </c>
      <c r="N783" t="n">
        <v>0</v>
      </c>
      <c r="O783" t="n">
        <v>0</v>
      </c>
      <c r="P783" t="n">
        <v>0</v>
      </c>
      <c r="Q783" t="n">
        <v>0</v>
      </c>
      <c r="R783" s="2" t="inlineStr"/>
    </row>
    <row r="784" ht="15" customHeight="1">
      <c r="A784" t="inlineStr">
        <is>
          <t>A 2819-2024</t>
        </is>
      </c>
      <c r="B784" s="1" t="n">
        <v>45314</v>
      </c>
      <c r="C784" s="1" t="n">
        <v>45795</v>
      </c>
      <c r="D784" t="inlineStr">
        <is>
          <t>GOTLANDS LÄN</t>
        </is>
      </c>
      <c r="E784" t="inlineStr">
        <is>
          <t>GOTLAND</t>
        </is>
      </c>
      <c r="G784" t="n">
        <v>6.3</v>
      </c>
      <c r="H784" t="n">
        <v>0</v>
      </c>
      <c r="I784" t="n">
        <v>0</v>
      </c>
      <c r="J784" t="n">
        <v>0</v>
      </c>
      <c r="K784" t="n">
        <v>0</v>
      </c>
      <c r="L784" t="n">
        <v>0</v>
      </c>
      <c r="M784" t="n">
        <v>0</v>
      </c>
      <c r="N784" t="n">
        <v>0</v>
      </c>
      <c r="O784" t="n">
        <v>0</v>
      </c>
      <c r="P784" t="n">
        <v>0</v>
      </c>
      <c r="Q784" t="n">
        <v>0</v>
      </c>
      <c r="R784" s="2" t="inlineStr"/>
    </row>
    <row r="785" ht="15" customHeight="1">
      <c r="A785" t="inlineStr">
        <is>
          <t>A 3004-2024</t>
        </is>
      </c>
      <c r="B785" s="1" t="n">
        <v>45315</v>
      </c>
      <c r="C785" s="1" t="n">
        <v>45795</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3689-2024</t>
        </is>
      </c>
      <c r="B786" s="1" t="n">
        <v>45321</v>
      </c>
      <c r="C786" s="1" t="n">
        <v>45795</v>
      </c>
      <c r="D786" t="inlineStr">
        <is>
          <t>GOTLANDS LÄN</t>
        </is>
      </c>
      <c r="E786" t="inlineStr">
        <is>
          <t>GOTLAND</t>
        </is>
      </c>
      <c r="G786" t="n">
        <v>4.5</v>
      </c>
      <c r="H786" t="n">
        <v>0</v>
      </c>
      <c r="I786" t="n">
        <v>0</v>
      </c>
      <c r="J786" t="n">
        <v>0</v>
      </c>
      <c r="K786" t="n">
        <v>0</v>
      </c>
      <c r="L786" t="n">
        <v>0</v>
      </c>
      <c r="M786" t="n">
        <v>0</v>
      </c>
      <c r="N786" t="n">
        <v>0</v>
      </c>
      <c r="O786" t="n">
        <v>0</v>
      </c>
      <c r="P786" t="n">
        <v>0</v>
      </c>
      <c r="Q786" t="n">
        <v>0</v>
      </c>
      <c r="R786" s="2" t="inlineStr"/>
    </row>
    <row r="787" ht="15" customHeight="1">
      <c r="A787" t="inlineStr">
        <is>
          <t>A 3707-2024</t>
        </is>
      </c>
      <c r="B787" s="1" t="n">
        <v>45321</v>
      </c>
      <c r="C787" s="1" t="n">
        <v>45795</v>
      </c>
      <c r="D787" t="inlineStr">
        <is>
          <t>GOTLANDS LÄN</t>
        </is>
      </c>
      <c r="E787" t="inlineStr">
        <is>
          <t>GOTLAND</t>
        </is>
      </c>
      <c r="G787" t="n">
        <v>12.2</v>
      </c>
      <c r="H787" t="n">
        <v>0</v>
      </c>
      <c r="I787" t="n">
        <v>0</v>
      </c>
      <c r="J787" t="n">
        <v>0</v>
      </c>
      <c r="K787" t="n">
        <v>0</v>
      </c>
      <c r="L787" t="n">
        <v>0</v>
      </c>
      <c r="M787" t="n">
        <v>0</v>
      </c>
      <c r="N787" t="n">
        <v>0</v>
      </c>
      <c r="O787" t="n">
        <v>0</v>
      </c>
      <c r="P787" t="n">
        <v>0</v>
      </c>
      <c r="Q787" t="n">
        <v>0</v>
      </c>
      <c r="R787" s="2" t="inlineStr"/>
    </row>
    <row r="788" ht="15" customHeight="1">
      <c r="A788" t="inlineStr">
        <is>
          <t>A 3964-2024</t>
        </is>
      </c>
      <c r="B788" s="1" t="n">
        <v>45322</v>
      </c>
      <c r="C788" s="1" t="n">
        <v>45795</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4259-2024</t>
        </is>
      </c>
      <c r="B789" s="1" t="n">
        <v>45324</v>
      </c>
      <c r="C789" s="1" t="n">
        <v>45795</v>
      </c>
      <c r="D789" t="inlineStr">
        <is>
          <t>GOTLANDS LÄN</t>
        </is>
      </c>
      <c r="E789" t="inlineStr">
        <is>
          <t>GOTLAND</t>
        </is>
      </c>
      <c r="G789" t="n">
        <v>1.2</v>
      </c>
      <c r="H789" t="n">
        <v>0</v>
      </c>
      <c r="I789" t="n">
        <v>0</v>
      </c>
      <c r="J789" t="n">
        <v>0</v>
      </c>
      <c r="K789" t="n">
        <v>0</v>
      </c>
      <c r="L789" t="n">
        <v>0</v>
      </c>
      <c r="M789" t="n">
        <v>0</v>
      </c>
      <c r="N789" t="n">
        <v>0</v>
      </c>
      <c r="O789" t="n">
        <v>0</v>
      </c>
      <c r="P789" t="n">
        <v>0</v>
      </c>
      <c r="Q789" t="n">
        <v>0</v>
      </c>
      <c r="R789" s="2" t="inlineStr"/>
    </row>
    <row r="790" ht="15" customHeight="1">
      <c r="A790" t="inlineStr">
        <is>
          <t>A 4421-2024</t>
        </is>
      </c>
      <c r="B790" s="1" t="n">
        <v>45327</v>
      </c>
      <c r="C790" s="1" t="n">
        <v>45795</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4483-2024</t>
        </is>
      </c>
      <c r="B791" s="1" t="n">
        <v>45327</v>
      </c>
      <c r="C791" s="1" t="n">
        <v>45795</v>
      </c>
      <c r="D791" t="inlineStr">
        <is>
          <t>GOTLANDS LÄN</t>
        </is>
      </c>
      <c r="E791" t="inlineStr">
        <is>
          <t>GOTLAND</t>
        </is>
      </c>
      <c r="G791" t="n">
        <v>4.6</v>
      </c>
      <c r="H791" t="n">
        <v>0</v>
      </c>
      <c r="I791" t="n">
        <v>0</v>
      </c>
      <c r="J791" t="n">
        <v>0</v>
      </c>
      <c r="K791" t="n">
        <v>0</v>
      </c>
      <c r="L791" t="n">
        <v>0</v>
      </c>
      <c r="M791" t="n">
        <v>0</v>
      </c>
      <c r="N791" t="n">
        <v>0</v>
      </c>
      <c r="O791" t="n">
        <v>0</v>
      </c>
      <c r="P791" t="n">
        <v>0</v>
      </c>
      <c r="Q791" t="n">
        <v>0</v>
      </c>
      <c r="R791" s="2" t="inlineStr"/>
    </row>
    <row r="792" ht="15" customHeight="1">
      <c r="A792" t="inlineStr">
        <is>
          <t>A 4689-2024</t>
        </is>
      </c>
      <c r="B792" s="1" t="n">
        <v>45328</v>
      </c>
      <c r="C792" s="1" t="n">
        <v>45795</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4868-2024</t>
        </is>
      </c>
      <c r="B793" s="1" t="n">
        <v>45329</v>
      </c>
      <c r="C793" s="1" t="n">
        <v>45795</v>
      </c>
      <c r="D793" t="inlineStr">
        <is>
          <t>GOTLANDS LÄN</t>
        </is>
      </c>
      <c r="E793" t="inlineStr">
        <is>
          <t>GOTLAND</t>
        </is>
      </c>
      <c r="G793" t="n">
        <v>7.1</v>
      </c>
      <c r="H793" t="n">
        <v>0</v>
      </c>
      <c r="I793" t="n">
        <v>0</v>
      </c>
      <c r="J793" t="n">
        <v>0</v>
      </c>
      <c r="K793" t="n">
        <v>0</v>
      </c>
      <c r="L793" t="n">
        <v>0</v>
      </c>
      <c r="M793" t="n">
        <v>0</v>
      </c>
      <c r="N793" t="n">
        <v>0</v>
      </c>
      <c r="O793" t="n">
        <v>0</v>
      </c>
      <c r="P793" t="n">
        <v>0</v>
      </c>
      <c r="Q793" t="n">
        <v>0</v>
      </c>
      <c r="R793" s="2" t="inlineStr"/>
    </row>
    <row r="794" ht="15" customHeight="1">
      <c r="A794" t="inlineStr">
        <is>
          <t>A 5413-2024</t>
        </is>
      </c>
      <c r="B794" s="1" t="n">
        <v>45331</v>
      </c>
      <c r="C794" s="1" t="n">
        <v>45795</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5751-2024</t>
        </is>
      </c>
      <c r="B795" s="1" t="n">
        <v>45335</v>
      </c>
      <c r="C795" s="1" t="n">
        <v>45795</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5905-2024</t>
        </is>
      </c>
      <c r="B796" s="1" t="n">
        <v>45335</v>
      </c>
      <c r="C796" s="1" t="n">
        <v>45795</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5943-2024</t>
        </is>
      </c>
      <c r="B797" s="1" t="n">
        <v>45336</v>
      </c>
      <c r="C797" s="1" t="n">
        <v>45795</v>
      </c>
      <c r="D797" t="inlineStr">
        <is>
          <t>GOTLANDS LÄN</t>
        </is>
      </c>
      <c r="E797" t="inlineStr">
        <is>
          <t>GOTLAND</t>
        </is>
      </c>
      <c r="G797" t="n">
        <v>4.3</v>
      </c>
      <c r="H797" t="n">
        <v>0</v>
      </c>
      <c r="I797" t="n">
        <v>0</v>
      </c>
      <c r="J797" t="n">
        <v>0</v>
      </c>
      <c r="K797" t="n">
        <v>0</v>
      </c>
      <c r="L797" t="n">
        <v>0</v>
      </c>
      <c r="M797" t="n">
        <v>0</v>
      </c>
      <c r="N797" t="n">
        <v>0</v>
      </c>
      <c r="O797" t="n">
        <v>0</v>
      </c>
      <c r="P797" t="n">
        <v>0</v>
      </c>
      <c r="Q797" t="n">
        <v>0</v>
      </c>
      <c r="R797" s="2" t="inlineStr"/>
    </row>
    <row r="798" ht="15" customHeight="1">
      <c r="A798" t="inlineStr">
        <is>
          <t>A 6099-2024</t>
        </is>
      </c>
      <c r="B798" s="1" t="n">
        <v>45337</v>
      </c>
      <c r="C798" s="1" t="n">
        <v>45795</v>
      </c>
      <c r="D798" t="inlineStr">
        <is>
          <t>GOTLANDS LÄN</t>
        </is>
      </c>
      <c r="E798" t="inlineStr">
        <is>
          <t>GOTLAND</t>
        </is>
      </c>
      <c r="G798" t="n">
        <v>12.6</v>
      </c>
      <c r="H798" t="n">
        <v>0</v>
      </c>
      <c r="I798" t="n">
        <v>0</v>
      </c>
      <c r="J798" t="n">
        <v>0</v>
      </c>
      <c r="K798" t="n">
        <v>0</v>
      </c>
      <c r="L798" t="n">
        <v>0</v>
      </c>
      <c r="M798" t="n">
        <v>0</v>
      </c>
      <c r="N798" t="n">
        <v>0</v>
      </c>
      <c r="O798" t="n">
        <v>0</v>
      </c>
      <c r="P798" t="n">
        <v>0</v>
      </c>
      <c r="Q798" t="n">
        <v>0</v>
      </c>
      <c r="R798" s="2" t="inlineStr"/>
    </row>
    <row r="799" ht="15" customHeight="1">
      <c r="A799" t="inlineStr">
        <is>
          <t>A 6141-2024</t>
        </is>
      </c>
      <c r="B799" s="1" t="n">
        <v>45337</v>
      </c>
      <c r="C799" s="1" t="n">
        <v>45795</v>
      </c>
      <c r="D799" t="inlineStr">
        <is>
          <t>GOTLANDS LÄN</t>
        </is>
      </c>
      <c r="E799" t="inlineStr">
        <is>
          <t>GOTLAND</t>
        </is>
      </c>
      <c r="G799" t="n">
        <v>6.1</v>
      </c>
      <c r="H799" t="n">
        <v>0</v>
      </c>
      <c r="I799" t="n">
        <v>0</v>
      </c>
      <c r="J799" t="n">
        <v>0</v>
      </c>
      <c r="K799" t="n">
        <v>0</v>
      </c>
      <c r="L799" t="n">
        <v>0</v>
      </c>
      <c r="M799" t="n">
        <v>0</v>
      </c>
      <c r="N799" t="n">
        <v>0</v>
      </c>
      <c r="O799" t="n">
        <v>0</v>
      </c>
      <c r="P799" t="n">
        <v>0</v>
      </c>
      <c r="Q799" t="n">
        <v>0</v>
      </c>
      <c r="R799" s="2" t="inlineStr"/>
    </row>
    <row r="800" ht="15" customHeight="1">
      <c r="A800" t="inlineStr">
        <is>
          <t>A 6153-2024</t>
        </is>
      </c>
      <c r="B800" s="1" t="n">
        <v>45337</v>
      </c>
      <c r="C800" s="1" t="n">
        <v>45795</v>
      </c>
      <c r="D800" t="inlineStr">
        <is>
          <t>GOTLANDS LÄN</t>
        </is>
      </c>
      <c r="E800" t="inlineStr">
        <is>
          <t>GOTLAND</t>
        </is>
      </c>
      <c r="G800" t="n">
        <v>14.2</v>
      </c>
      <c r="H800" t="n">
        <v>0</v>
      </c>
      <c r="I800" t="n">
        <v>0</v>
      </c>
      <c r="J800" t="n">
        <v>0</v>
      </c>
      <c r="K800" t="n">
        <v>0</v>
      </c>
      <c r="L800" t="n">
        <v>0</v>
      </c>
      <c r="M800" t="n">
        <v>0</v>
      </c>
      <c r="N800" t="n">
        <v>0</v>
      </c>
      <c r="O800" t="n">
        <v>0</v>
      </c>
      <c r="P800" t="n">
        <v>0</v>
      </c>
      <c r="Q800" t="n">
        <v>0</v>
      </c>
      <c r="R800" s="2" t="inlineStr"/>
    </row>
    <row r="801" ht="15" customHeight="1">
      <c r="A801" t="inlineStr">
        <is>
          <t>A 6138-2024</t>
        </is>
      </c>
      <c r="B801" s="1" t="n">
        <v>45337</v>
      </c>
      <c r="C801" s="1" t="n">
        <v>45795</v>
      </c>
      <c r="D801" t="inlineStr">
        <is>
          <t>GOTLANDS LÄN</t>
        </is>
      </c>
      <c r="E801" t="inlineStr">
        <is>
          <t>GOTLAND</t>
        </is>
      </c>
      <c r="G801" t="n">
        <v>24.8</v>
      </c>
      <c r="H801" t="n">
        <v>0</v>
      </c>
      <c r="I801" t="n">
        <v>0</v>
      </c>
      <c r="J801" t="n">
        <v>0</v>
      </c>
      <c r="K801" t="n">
        <v>0</v>
      </c>
      <c r="L801" t="n">
        <v>0</v>
      </c>
      <c r="M801" t="n">
        <v>0</v>
      </c>
      <c r="N801" t="n">
        <v>0</v>
      </c>
      <c r="O801" t="n">
        <v>0</v>
      </c>
      <c r="P801" t="n">
        <v>0</v>
      </c>
      <c r="Q801" t="n">
        <v>0</v>
      </c>
      <c r="R801" s="2" t="inlineStr"/>
    </row>
    <row r="802" ht="15" customHeight="1">
      <c r="A802" t="inlineStr">
        <is>
          <t>A 7497-2024</t>
        </is>
      </c>
      <c r="B802" s="1" t="n">
        <v>45347</v>
      </c>
      <c r="C802" s="1" t="n">
        <v>45795</v>
      </c>
      <c r="D802" t="inlineStr">
        <is>
          <t>GOTLANDS LÄN</t>
        </is>
      </c>
      <c r="E802" t="inlineStr">
        <is>
          <t>GOTLAND</t>
        </is>
      </c>
      <c r="G802" t="n">
        <v>18.5</v>
      </c>
      <c r="H802" t="n">
        <v>0</v>
      </c>
      <c r="I802" t="n">
        <v>0</v>
      </c>
      <c r="J802" t="n">
        <v>0</v>
      </c>
      <c r="K802" t="n">
        <v>0</v>
      </c>
      <c r="L802" t="n">
        <v>0</v>
      </c>
      <c r="M802" t="n">
        <v>0</v>
      </c>
      <c r="N802" t="n">
        <v>0</v>
      </c>
      <c r="O802" t="n">
        <v>0</v>
      </c>
      <c r="P802" t="n">
        <v>0</v>
      </c>
      <c r="Q802" t="n">
        <v>0</v>
      </c>
      <c r="R802" s="2" t="inlineStr"/>
    </row>
    <row r="803" ht="15" customHeight="1">
      <c r="A803" t="inlineStr">
        <is>
          <t>A 7837-2024</t>
        </is>
      </c>
      <c r="B803" s="1" t="n">
        <v>45349</v>
      </c>
      <c r="C803" s="1" t="n">
        <v>45795</v>
      </c>
      <c r="D803" t="inlineStr">
        <is>
          <t>GOTLANDS LÄN</t>
        </is>
      </c>
      <c r="E803" t="inlineStr">
        <is>
          <t>GOTLAND</t>
        </is>
      </c>
      <c r="G803" t="n">
        <v>5</v>
      </c>
      <c r="H803" t="n">
        <v>0</v>
      </c>
      <c r="I803" t="n">
        <v>0</v>
      </c>
      <c r="J803" t="n">
        <v>0</v>
      </c>
      <c r="K803" t="n">
        <v>0</v>
      </c>
      <c r="L803" t="n">
        <v>0</v>
      </c>
      <c r="M803" t="n">
        <v>0</v>
      </c>
      <c r="N803" t="n">
        <v>0</v>
      </c>
      <c r="O803" t="n">
        <v>0</v>
      </c>
      <c r="P803" t="n">
        <v>0</v>
      </c>
      <c r="Q803" t="n">
        <v>0</v>
      </c>
      <c r="R803" s="2" t="inlineStr"/>
    </row>
    <row r="804" ht="15" customHeight="1">
      <c r="A804" t="inlineStr">
        <is>
          <t>A 7835-2024</t>
        </is>
      </c>
      <c r="B804" s="1" t="n">
        <v>45349</v>
      </c>
      <c r="C804" s="1" t="n">
        <v>45795</v>
      </c>
      <c r="D804" t="inlineStr">
        <is>
          <t>GOTLANDS LÄN</t>
        </is>
      </c>
      <c r="E804" t="inlineStr">
        <is>
          <t>GOTLAND</t>
        </is>
      </c>
      <c r="G804" t="n">
        <v>3.8</v>
      </c>
      <c r="H804" t="n">
        <v>0</v>
      </c>
      <c r="I804" t="n">
        <v>0</v>
      </c>
      <c r="J804" t="n">
        <v>0</v>
      </c>
      <c r="K804" t="n">
        <v>0</v>
      </c>
      <c r="L804" t="n">
        <v>0</v>
      </c>
      <c r="M804" t="n">
        <v>0</v>
      </c>
      <c r="N804" t="n">
        <v>0</v>
      </c>
      <c r="O804" t="n">
        <v>0</v>
      </c>
      <c r="P804" t="n">
        <v>0</v>
      </c>
      <c r="Q804" t="n">
        <v>0</v>
      </c>
      <c r="R804" s="2" t="inlineStr"/>
    </row>
    <row r="805" ht="15" customHeight="1">
      <c r="A805" t="inlineStr">
        <is>
          <t>A 8460-2024</t>
        </is>
      </c>
      <c r="B805" s="1" t="n">
        <v>45355</v>
      </c>
      <c r="C805" s="1" t="n">
        <v>45795</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9947-2024</t>
        </is>
      </c>
      <c r="B806" s="1" t="n">
        <v>45363</v>
      </c>
      <c r="C806" s="1" t="n">
        <v>45795</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10051-2024</t>
        </is>
      </c>
      <c r="B807" s="1" t="n">
        <v>45364</v>
      </c>
      <c r="C807" s="1" t="n">
        <v>45795</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10503-2024</t>
        </is>
      </c>
      <c r="B808" s="1" t="n">
        <v>45366</v>
      </c>
      <c r="C808" s="1" t="n">
        <v>45795</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10656-2024</t>
        </is>
      </c>
      <c r="B809" s="1" t="n">
        <v>45368</v>
      </c>
      <c r="C809" s="1" t="n">
        <v>45795</v>
      </c>
      <c r="D809" t="inlineStr">
        <is>
          <t>GOTLANDS LÄN</t>
        </is>
      </c>
      <c r="E809" t="inlineStr">
        <is>
          <t>GOTLAND</t>
        </is>
      </c>
      <c r="G809" t="n">
        <v>1.5</v>
      </c>
      <c r="H809" t="n">
        <v>0</v>
      </c>
      <c r="I809" t="n">
        <v>0</v>
      </c>
      <c r="J809" t="n">
        <v>0</v>
      </c>
      <c r="K809" t="n">
        <v>0</v>
      </c>
      <c r="L809" t="n">
        <v>0</v>
      </c>
      <c r="M809" t="n">
        <v>0</v>
      </c>
      <c r="N809" t="n">
        <v>0</v>
      </c>
      <c r="O809" t="n">
        <v>0</v>
      </c>
      <c r="P809" t="n">
        <v>0</v>
      </c>
      <c r="Q809" t="n">
        <v>0</v>
      </c>
      <c r="R809" s="2" t="inlineStr"/>
    </row>
    <row r="810" ht="15" customHeight="1">
      <c r="A810" t="inlineStr">
        <is>
          <t>A 11013-2024</t>
        </is>
      </c>
      <c r="B810" s="1" t="n">
        <v>45370</v>
      </c>
      <c r="C810" s="1" t="n">
        <v>45795</v>
      </c>
      <c r="D810" t="inlineStr">
        <is>
          <t>GOTLANDS LÄN</t>
        </is>
      </c>
      <c r="E810" t="inlineStr">
        <is>
          <t>GOTLAND</t>
        </is>
      </c>
      <c r="G810" t="n">
        <v>0.7</v>
      </c>
      <c r="H810" t="n">
        <v>0</v>
      </c>
      <c r="I810" t="n">
        <v>0</v>
      </c>
      <c r="J810" t="n">
        <v>0</v>
      </c>
      <c r="K810" t="n">
        <v>0</v>
      </c>
      <c r="L810" t="n">
        <v>0</v>
      </c>
      <c r="M810" t="n">
        <v>0</v>
      </c>
      <c r="N810" t="n">
        <v>0</v>
      </c>
      <c r="O810" t="n">
        <v>0</v>
      </c>
      <c r="P810" t="n">
        <v>0</v>
      </c>
      <c r="Q810" t="n">
        <v>0</v>
      </c>
      <c r="R810" s="2" t="inlineStr"/>
    </row>
    <row r="811" ht="15" customHeight="1">
      <c r="A811" t="inlineStr">
        <is>
          <t>A 11254-2024</t>
        </is>
      </c>
      <c r="B811" s="1" t="n">
        <v>45371</v>
      </c>
      <c r="C811" s="1" t="n">
        <v>45795</v>
      </c>
      <c r="D811" t="inlineStr">
        <is>
          <t>GOTLANDS LÄN</t>
        </is>
      </c>
      <c r="E811" t="inlineStr">
        <is>
          <t>GOTLAND</t>
        </is>
      </c>
      <c r="G811" t="n">
        <v>5.6</v>
      </c>
      <c r="H811" t="n">
        <v>0</v>
      </c>
      <c r="I811" t="n">
        <v>0</v>
      </c>
      <c r="J811" t="n">
        <v>0</v>
      </c>
      <c r="K811" t="n">
        <v>0</v>
      </c>
      <c r="L811" t="n">
        <v>0</v>
      </c>
      <c r="M811" t="n">
        <v>0</v>
      </c>
      <c r="N811" t="n">
        <v>0</v>
      </c>
      <c r="O811" t="n">
        <v>0</v>
      </c>
      <c r="P811" t="n">
        <v>0</v>
      </c>
      <c r="Q811" t="n">
        <v>0</v>
      </c>
      <c r="R811" s="2" t="inlineStr"/>
    </row>
    <row r="812" ht="15" customHeight="1">
      <c r="A812" t="inlineStr">
        <is>
          <t>A 11634-2024</t>
        </is>
      </c>
      <c r="B812" s="1" t="n">
        <v>45373</v>
      </c>
      <c r="C812" s="1" t="n">
        <v>45795</v>
      </c>
      <c r="D812" t="inlineStr">
        <is>
          <t>GOTLANDS LÄN</t>
        </is>
      </c>
      <c r="E812" t="inlineStr">
        <is>
          <t>GOTLAND</t>
        </is>
      </c>
      <c r="G812" t="n">
        <v>3</v>
      </c>
      <c r="H812" t="n">
        <v>0</v>
      </c>
      <c r="I812" t="n">
        <v>0</v>
      </c>
      <c r="J812" t="n">
        <v>0</v>
      </c>
      <c r="K812" t="n">
        <v>0</v>
      </c>
      <c r="L812" t="n">
        <v>0</v>
      </c>
      <c r="M812" t="n">
        <v>0</v>
      </c>
      <c r="N812" t="n">
        <v>0</v>
      </c>
      <c r="O812" t="n">
        <v>0</v>
      </c>
      <c r="P812" t="n">
        <v>0</v>
      </c>
      <c r="Q812" t="n">
        <v>0</v>
      </c>
      <c r="R812" s="2" t="inlineStr"/>
    </row>
    <row r="813" ht="15" customHeight="1">
      <c r="A813" t="inlineStr">
        <is>
          <t>A 11722-2024</t>
        </is>
      </c>
      <c r="B813" s="1" t="n">
        <v>45373</v>
      </c>
      <c r="C813" s="1" t="n">
        <v>45795</v>
      </c>
      <c r="D813" t="inlineStr">
        <is>
          <t>GOTLANDS LÄN</t>
        </is>
      </c>
      <c r="E813" t="inlineStr">
        <is>
          <t>GOTLAND</t>
        </is>
      </c>
      <c r="G813" t="n">
        <v>0.9</v>
      </c>
      <c r="H813" t="n">
        <v>0</v>
      </c>
      <c r="I813" t="n">
        <v>0</v>
      </c>
      <c r="J813" t="n">
        <v>0</v>
      </c>
      <c r="K813" t="n">
        <v>0</v>
      </c>
      <c r="L813" t="n">
        <v>0</v>
      </c>
      <c r="M813" t="n">
        <v>0</v>
      </c>
      <c r="N813" t="n">
        <v>0</v>
      </c>
      <c r="O813" t="n">
        <v>0</v>
      </c>
      <c r="P813" t="n">
        <v>0</v>
      </c>
      <c r="Q813" t="n">
        <v>0</v>
      </c>
      <c r="R813" s="2" t="inlineStr"/>
    </row>
    <row r="814" ht="15" customHeight="1">
      <c r="A814" t="inlineStr">
        <is>
          <t>A 11590-2024</t>
        </is>
      </c>
      <c r="B814" s="1" t="n">
        <v>45373</v>
      </c>
      <c r="C814" s="1" t="n">
        <v>45795</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11598-2024</t>
        </is>
      </c>
      <c r="B815" s="1" t="n">
        <v>45373</v>
      </c>
      <c r="C815" s="1" t="n">
        <v>45795</v>
      </c>
      <c r="D815" t="inlineStr">
        <is>
          <t>GOTLANDS LÄN</t>
        </is>
      </c>
      <c r="E815" t="inlineStr">
        <is>
          <t>GOTLAND</t>
        </is>
      </c>
      <c r="G815" t="n">
        <v>0.3</v>
      </c>
      <c r="H815" t="n">
        <v>0</v>
      </c>
      <c r="I815" t="n">
        <v>0</v>
      </c>
      <c r="J815" t="n">
        <v>0</v>
      </c>
      <c r="K815" t="n">
        <v>0</v>
      </c>
      <c r="L815" t="n">
        <v>0</v>
      </c>
      <c r="M815" t="n">
        <v>0</v>
      </c>
      <c r="N815" t="n">
        <v>0</v>
      </c>
      <c r="O815" t="n">
        <v>0</v>
      </c>
      <c r="P815" t="n">
        <v>0</v>
      </c>
      <c r="Q815" t="n">
        <v>0</v>
      </c>
      <c r="R815" s="2" t="inlineStr"/>
    </row>
    <row r="816" ht="15" customHeight="1">
      <c r="A816" t="inlineStr">
        <is>
          <t>A 11863-2024</t>
        </is>
      </c>
      <c r="B816" s="1" t="n">
        <v>45376</v>
      </c>
      <c r="C816" s="1" t="n">
        <v>45795</v>
      </c>
      <c r="D816" t="inlineStr">
        <is>
          <t>GOTLANDS LÄN</t>
        </is>
      </c>
      <c r="E816" t="inlineStr">
        <is>
          <t>GOTLAND</t>
        </is>
      </c>
      <c r="G816" t="n">
        <v>3.2</v>
      </c>
      <c r="H816" t="n">
        <v>0</v>
      </c>
      <c r="I816" t="n">
        <v>0</v>
      </c>
      <c r="J816" t="n">
        <v>0</v>
      </c>
      <c r="K816" t="n">
        <v>0</v>
      </c>
      <c r="L816" t="n">
        <v>0</v>
      </c>
      <c r="M816" t="n">
        <v>0</v>
      </c>
      <c r="N816" t="n">
        <v>0</v>
      </c>
      <c r="O816" t="n">
        <v>0</v>
      </c>
      <c r="P816" t="n">
        <v>0</v>
      </c>
      <c r="Q816" t="n">
        <v>0</v>
      </c>
      <c r="R816" s="2" t="inlineStr"/>
    </row>
    <row r="817" ht="15" customHeight="1">
      <c r="A817" t="inlineStr">
        <is>
          <t>A 11868-2024</t>
        </is>
      </c>
      <c r="B817" s="1" t="n">
        <v>45376</v>
      </c>
      <c r="C817" s="1" t="n">
        <v>45795</v>
      </c>
      <c r="D817" t="inlineStr">
        <is>
          <t>GOTLANDS LÄN</t>
        </is>
      </c>
      <c r="E817" t="inlineStr">
        <is>
          <t>GOTLAND</t>
        </is>
      </c>
      <c r="G817" t="n">
        <v>2</v>
      </c>
      <c r="H817" t="n">
        <v>0</v>
      </c>
      <c r="I817" t="n">
        <v>0</v>
      </c>
      <c r="J817" t="n">
        <v>0</v>
      </c>
      <c r="K817" t="n">
        <v>0</v>
      </c>
      <c r="L817" t="n">
        <v>0</v>
      </c>
      <c r="M817" t="n">
        <v>0</v>
      </c>
      <c r="N817" t="n">
        <v>0</v>
      </c>
      <c r="O817" t="n">
        <v>0</v>
      </c>
      <c r="P817" t="n">
        <v>0</v>
      </c>
      <c r="Q817" t="n">
        <v>0</v>
      </c>
      <c r="R817" s="2" t="inlineStr"/>
    </row>
    <row r="818" ht="15" customHeight="1">
      <c r="A818" t="inlineStr">
        <is>
          <t>A 11874-2024</t>
        </is>
      </c>
      <c r="B818" s="1" t="n">
        <v>45376</v>
      </c>
      <c r="C818" s="1" t="n">
        <v>45795</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12208-2024</t>
        </is>
      </c>
      <c r="B819" s="1" t="n">
        <v>45378</v>
      </c>
      <c r="C819" s="1" t="n">
        <v>45795</v>
      </c>
      <c r="D819" t="inlineStr">
        <is>
          <t>GOTLANDS LÄN</t>
        </is>
      </c>
      <c r="E819" t="inlineStr">
        <is>
          <t>GOTLAND</t>
        </is>
      </c>
      <c r="G819" t="n">
        <v>4.5</v>
      </c>
      <c r="H819" t="n">
        <v>0</v>
      </c>
      <c r="I819" t="n">
        <v>0</v>
      </c>
      <c r="J819" t="n">
        <v>0</v>
      </c>
      <c r="K819" t="n">
        <v>0</v>
      </c>
      <c r="L819" t="n">
        <v>0</v>
      </c>
      <c r="M819" t="n">
        <v>0</v>
      </c>
      <c r="N819" t="n">
        <v>0</v>
      </c>
      <c r="O819" t="n">
        <v>0</v>
      </c>
      <c r="P819" t="n">
        <v>0</v>
      </c>
      <c r="Q819" t="n">
        <v>0</v>
      </c>
      <c r="R819" s="2" t="inlineStr"/>
    </row>
    <row r="820" ht="15" customHeight="1">
      <c r="A820" t="inlineStr">
        <is>
          <t>A 12210-2024</t>
        </is>
      </c>
      <c r="B820" s="1" t="n">
        <v>45378</v>
      </c>
      <c r="C820" s="1" t="n">
        <v>45795</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12207-2024</t>
        </is>
      </c>
      <c r="B821" s="1" t="n">
        <v>45378</v>
      </c>
      <c r="C821" s="1" t="n">
        <v>45795</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12209-2024</t>
        </is>
      </c>
      <c r="B822" s="1" t="n">
        <v>45378</v>
      </c>
      <c r="C822" s="1" t="n">
        <v>45795</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12312-2024</t>
        </is>
      </c>
      <c r="B823" s="1" t="n">
        <v>45378</v>
      </c>
      <c r="C823" s="1" t="n">
        <v>45795</v>
      </c>
      <c r="D823" t="inlineStr">
        <is>
          <t>GOTLANDS LÄN</t>
        </is>
      </c>
      <c r="E823" t="inlineStr">
        <is>
          <t>GOTLAND</t>
        </is>
      </c>
      <c r="G823" t="n">
        <v>1.8</v>
      </c>
      <c r="H823" t="n">
        <v>0</v>
      </c>
      <c r="I823" t="n">
        <v>0</v>
      </c>
      <c r="J823" t="n">
        <v>0</v>
      </c>
      <c r="K823" t="n">
        <v>0</v>
      </c>
      <c r="L823" t="n">
        <v>0</v>
      </c>
      <c r="M823" t="n">
        <v>0</v>
      </c>
      <c r="N823" t="n">
        <v>0</v>
      </c>
      <c r="O823" t="n">
        <v>0</v>
      </c>
      <c r="P823" t="n">
        <v>0</v>
      </c>
      <c r="Q823" t="n">
        <v>0</v>
      </c>
      <c r="R823" s="2" t="inlineStr"/>
    </row>
    <row r="824" ht="15" customHeight="1">
      <c r="A824" t="inlineStr">
        <is>
          <t>A 12389-2024</t>
        </is>
      </c>
      <c r="B824" s="1" t="n">
        <v>45379</v>
      </c>
      <c r="C824" s="1" t="n">
        <v>45795</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12390-2024</t>
        </is>
      </c>
      <c r="B825" s="1" t="n">
        <v>45379</v>
      </c>
      <c r="C825" s="1" t="n">
        <v>45795</v>
      </c>
      <c r="D825" t="inlineStr">
        <is>
          <t>GOTLANDS LÄN</t>
        </is>
      </c>
      <c r="E825" t="inlineStr">
        <is>
          <t>GOTLAND</t>
        </is>
      </c>
      <c r="G825" t="n">
        <v>5.5</v>
      </c>
      <c r="H825" t="n">
        <v>0</v>
      </c>
      <c r="I825" t="n">
        <v>0</v>
      </c>
      <c r="J825" t="n">
        <v>0</v>
      </c>
      <c r="K825" t="n">
        <v>0</v>
      </c>
      <c r="L825" t="n">
        <v>0</v>
      </c>
      <c r="M825" t="n">
        <v>0</v>
      </c>
      <c r="N825" t="n">
        <v>0</v>
      </c>
      <c r="O825" t="n">
        <v>0</v>
      </c>
      <c r="P825" t="n">
        <v>0</v>
      </c>
      <c r="Q825" t="n">
        <v>0</v>
      </c>
      <c r="R825" s="2" t="inlineStr"/>
    </row>
    <row r="826" ht="15" customHeight="1">
      <c r="A826" t="inlineStr">
        <is>
          <t>A 13531-2024</t>
        </is>
      </c>
      <c r="B826" s="1" t="n">
        <v>45387</v>
      </c>
      <c r="C826" s="1" t="n">
        <v>45795</v>
      </c>
      <c r="D826" t="inlineStr">
        <is>
          <t>GOTLANDS LÄN</t>
        </is>
      </c>
      <c r="E826" t="inlineStr">
        <is>
          <t>GOTLAND</t>
        </is>
      </c>
      <c r="G826" t="n">
        <v>17.7</v>
      </c>
      <c r="H826" t="n">
        <v>0</v>
      </c>
      <c r="I826" t="n">
        <v>0</v>
      </c>
      <c r="J826" t="n">
        <v>0</v>
      </c>
      <c r="K826" t="n">
        <v>0</v>
      </c>
      <c r="L826" t="n">
        <v>0</v>
      </c>
      <c r="M826" t="n">
        <v>0</v>
      </c>
      <c r="N826" t="n">
        <v>0</v>
      </c>
      <c r="O826" t="n">
        <v>0</v>
      </c>
      <c r="P826" t="n">
        <v>0</v>
      </c>
      <c r="Q826" t="n">
        <v>0</v>
      </c>
      <c r="R826" s="2" t="inlineStr"/>
    </row>
    <row r="827" ht="15" customHeight="1">
      <c r="A827" t="inlineStr">
        <is>
          <t>A 13655-2024</t>
        </is>
      </c>
      <c r="B827" s="1" t="n">
        <v>45390</v>
      </c>
      <c r="C827" s="1" t="n">
        <v>45795</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14139-2024</t>
        </is>
      </c>
      <c r="B828" s="1" t="n">
        <v>45392</v>
      </c>
      <c r="C828" s="1" t="n">
        <v>45795</v>
      </c>
      <c r="D828" t="inlineStr">
        <is>
          <t>GOTLANDS LÄN</t>
        </is>
      </c>
      <c r="E828" t="inlineStr">
        <is>
          <t>GOTLAND</t>
        </is>
      </c>
      <c r="G828" t="n">
        <v>3.1</v>
      </c>
      <c r="H828" t="n">
        <v>0</v>
      </c>
      <c r="I828" t="n">
        <v>0</v>
      </c>
      <c r="J828" t="n">
        <v>0</v>
      </c>
      <c r="K828" t="n">
        <v>0</v>
      </c>
      <c r="L828" t="n">
        <v>0</v>
      </c>
      <c r="M828" t="n">
        <v>0</v>
      </c>
      <c r="N828" t="n">
        <v>0</v>
      </c>
      <c r="O828" t="n">
        <v>0</v>
      </c>
      <c r="P828" t="n">
        <v>0</v>
      </c>
      <c r="Q828" t="n">
        <v>0</v>
      </c>
      <c r="R828" s="2" t="inlineStr"/>
    </row>
    <row r="829" ht="15" customHeight="1">
      <c r="A829" t="inlineStr">
        <is>
          <t>A 14141-2024</t>
        </is>
      </c>
      <c r="B829" s="1" t="n">
        <v>45392</v>
      </c>
      <c r="C829" s="1" t="n">
        <v>45795</v>
      </c>
      <c r="D829" t="inlineStr">
        <is>
          <t>GOTLANDS LÄN</t>
        </is>
      </c>
      <c r="E829" t="inlineStr">
        <is>
          <t>GOTLAND</t>
        </is>
      </c>
      <c r="G829" t="n">
        <v>5.3</v>
      </c>
      <c r="H829" t="n">
        <v>0</v>
      </c>
      <c r="I829" t="n">
        <v>0</v>
      </c>
      <c r="J829" t="n">
        <v>0</v>
      </c>
      <c r="K829" t="n">
        <v>0</v>
      </c>
      <c r="L829" t="n">
        <v>0</v>
      </c>
      <c r="M829" t="n">
        <v>0</v>
      </c>
      <c r="N829" t="n">
        <v>0</v>
      </c>
      <c r="O829" t="n">
        <v>0</v>
      </c>
      <c r="P829" t="n">
        <v>0</v>
      </c>
      <c r="Q829" t="n">
        <v>0</v>
      </c>
      <c r="R829" s="2" t="inlineStr"/>
    </row>
    <row r="830" ht="15" customHeight="1">
      <c r="A830" t="inlineStr">
        <is>
          <t>A 14427-2024</t>
        </is>
      </c>
      <c r="B830" s="1" t="n">
        <v>45394</v>
      </c>
      <c r="C830" s="1" t="n">
        <v>45795</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14593-2024</t>
        </is>
      </c>
      <c r="B831" s="1" t="n">
        <v>45395</v>
      </c>
      <c r="C831" s="1" t="n">
        <v>45795</v>
      </c>
      <c r="D831" t="inlineStr">
        <is>
          <t>GOTLANDS LÄN</t>
        </is>
      </c>
      <c r="E831" t="inlineStr">
        <is>
          <t>GOTLAND</t>
        </is>
      </c>
      <c r="G831" t="n">
        <v>5.4</v>
      </c>
      <c r="H831" t="n">
        <v>0</v>
      </c>
      <c r="I831" t="n">
        <v>0</v>
      </c>
      <c r="J831" t="n">
        <v>0</v>
      </c>
      <c r="K831" t="n">
        <v>0</v>
      </c>
      <c r="L831" t="n">
        <v>0</v>
      </c>
      <c r="M831" t="n">
        <v>0</v>
      </c>
      <c r="N831" t="n">
        <v>0</v>
      </c>
      <c r="O831" t="n">
        <v>0</v>
      </c>
      <c r="P831" t="n">
        <v>0</v>
      </c>
      <c r="Q831" t="n">
        <v>0</v>
      </c>
      <c r="R831" s="2" t="inlineStr"/>
    </row>
    <row r="832" ht="15" customHeight="1">
      <c r="A832" t="inlineStr">
        <is>
          <t>A 14797-2024</t>
        </is>
      </c>
      <c r="B832" s="1" t="n">
        <v>45397</v>
      </c>
      <c r="C832" s="1" t="n">
        <v>45795</v>
      </c>
      <c r="D832" t="inlineStr">
        <is>
          <t>GOTLANDS LÄN</t>
        </is>
      </c>
      <c r="E832" t="inlineStr">
        <is>
          <t>GOTLAND</t>
        </is>
      </c>
      <c r="G832" t="n">
        <v>8.1</v>
      </c>
      <c r="H832" t="n">
        <v>0</v>
      </c>
      <c r="I832" t="n">
        <v>0</v>
      </c>
      <c r="J832" t="n">
        <v>0</v>
      </c>
      <c r="K832" t="n">
        <v>0</v>
      </c>
      <c r="L832" t="n">
        <v>0</v>
      </c>
      <c r="M832" t="n">
        <v>0</v>
      </c>
      <c r="N832" t="n">
        <v>0</v>
      </c>
      <c r="O832" t="n">
        <v>0</v>
      </c>
      <c r="P832" t="n">
        <v>0</v>
      </c>
      <c r="Q832" t="n">
        <v>0</v>
      </c>
      <c r="R832" s="2" t="inlineStr"/>
    </row>
    <row r="833" ht="15" customHeight="1">
      <c r="A833" t="inlineStr">
        <is>
          <t>A 15595-2024</t>
        </is>
      </c>
      <c r="B833" s="1" t="n">
        <v>45401</v>
      </c>
      <c r="C833" s="1" t="n">
        <v>45795</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15434-2024</t>
        </is>
      </c>
      <c r="B834" s="1" t="n">
        <v>45401</v>
      </c>
      <c r="C834" s="1" t="n">
        <v>45795</v>
      </c>
      <c r="D834" t="inlineStr">
        <is>
          <t>GOTLANDS LÄN</t>
        </is>
      </c>
      <c r="E834" t="inlineStr">
        <is>
          <t>GOTLAND</t>
        </is>
      </c>
      <c r="G834" t="n">
        <v>2.5</v>
      </c>
      <c r="H834" t="n">
        <v>0</v>
      </c>
      <c r="I834" t="n">
        <v>0</v>
      </c>
      <c r="J834" t="n">
        <v>0</v>
      </c>
      <c r="K834" t="n">
        <v>0</v>
      </c>
      <c r="L834" t="n">
        <v>0</v>
      </c>
      <c r="M834" t="n">
        <v>0</v>
      </c>
      <c r="N834" t="n">
        <v>0</v>
      </c>
      <c r="O834" t="n">
        <v>0</v>
      </c>
      <c r="P834" t="n">
        <v>0</v>
      </c>
      <c r="Q834" t="n">
        <v>0</v>
      </c>
      <c r="R834" s="2" t="inlineStr"/>
    </row>
    <row r="835" ht="15" customHeight="1">
      <c r="A835" t="inlineStr">
        <is>
          <t>A 15885-2024</t>
        </is>
      </c>
      <c r="B835" s="1" t="n">
        <v>45405</v>
      </c>
      <c r="C835" s="1" t="n">
        <v>45795</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16322-2024</t>
        </is>
      </c>
      <c r="B836" s="1" t="n">
        <v>45407</v>
      </c>
      <c r="C836" s="1" t="n">
        <v>45795</v>
      </c>
      <c r="D836" t="inlineStr">
        <is>
          <t>GOTLANDS LÄN</t>
        </is>
      </c>
      <c r="E836" t="inlineStr">
        <is>
          <t>GOTLAND</t>
        </is>
      </c>
      <c r="G836" t="n">
        <v>1.2</v>
      </c>
      <c r="H836" t="n">
        <v>0</v>
      </c>
      <c r="I836" t="n">
        <v>0</v>
      </c>
      <c r="J836" t="n">
        <v>0</v>
      </c>
      <c r="K836" t="n">
        <v>0</v>
      </c>
      <c r="L836" t="n">
        <v>0</v>
      </c>
      <c r="M836" t="n">
        <v>0</v>
      </c>
      <c r="N836" t="n">
        <v>0</v>
      </c>
      <c r="O836" t="n">
        <v>0</v>
      </c>
      <c r="P836" t="n">
        <v>0</v>
      </c>
      <c r="Q836" t="n">
        <v>0</v>
      </c>
      <c r="R836" s="2" t="inlineStr"/>
    </row>
    <row r="837" ht="15" customHeight="1">
      <c r="A837" t="inlineStr">
        <is>
          <t>A 16361-2024</t>
        </is>
      </c>
      <c r="B837" s="1" t="n">
        <v>45407</v>
      </c>
      <c r="C837" s="1" t="n">
        <v>45795</v>
      </c>
      <c r="D837" t="inlineStr">
        <is>
          <t>GOTLANDS LÄN</t>
        </is>
      </c>
      <c r="E837" t="inlineStr">
        <is>
          <t>GOTLAND</t>
        </is>
      </c>
      <c r="G837" t="n">
        <v>6</v>
      </c>
      <c r="H837" t="n">
        <v>0</v>
      </c>
      <c r="I837" t="n">
        <v>0</v>
      </c>
      <c r="J837" t="n">
        <v>0</v>
      </c>
      <c r="K837" t="n">
        <v>0</v>
      </c>
      <c r="L837" t="n">
        <v>0</v>
      </c>
      <c r="M837" t="n">
        <v>0</v>
      </c>
      <c r="N837" t="n">
        <v>0</v>
      </c>
      <c r="O837" t="n">
        <v>0</v>
      </c>
      <c r="P837" t="n">
        <v>0</v>
      </c>
      <c r="Q837" t="n">
        <v>0</v>
      </c>
      <c r="R837" s="2" t="inlineStr"/>
    </row>
    <row r="838" ht="15" customHeight="1">
      <c r="A838" t="inlineStr">
        <is>
          <t>A 16328-2024</t>
        </is>
      </c>
      <c r="B838" s="1" t="n">
        <v>45407</v>
      </c>
      <c r="C838" s="1" t="n">
        <v>45795</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17087-2024</t>
        </is>
      </c>
      <c r="B839" s="1" t="n">
        <v>45412</v>
      </c>
      <c r="C839" s="1" t="n">
        <v>45795</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17089-2024</t>
        </is>
      </c>
      <c r="B840" s="1" t="n">
        <v>45412</v>
      </c>
      <c r="C840" s="1" t="n">
        <v>45795</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17085-2024</t>
        </is>
      </c>
      <c r="B841" s="1" t="n">
        <v>45412</v>
      </c>
      <c r="C841" s="1" t="n">
        <v>45795</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17532-2024</t>
        </is>
      </c>
      <c r="B842" s="1" t="n">
        <v>45415</v>
      </c>
      <c r="C842" s="1" t="n">
        <v>45795</v>
      </c>
      <c r="D842" t="inlineStr">
        <is>
          <t>GOTLANDS LÄN</t>
        </is>
      </c>
      <c r="E842" t="inlineStr">
        <is>
          <t>GOTLAND</t>
        </is>
      </c>
      <c r="G842" t="n">
        <v>4.3</v>
      </c>
      <c r="H842" t="n">
        <v>0</v>
      </c>
      <c r="I842" t="n">
        <v>0</v>
      </c>
      <c r="J842" t="n">
        <v>0</v>
      </c>
      <c r="K842" t="n">
        <v>0</v>
      </c>
      <c r="L842" t="n">
        <v>0</v>
      </c>
      <c r="M842" t="n">
        <v>0</v>
      </c>
      <c r="N842" t="n">
        <v>0</v>
      </c>
      <c r="O842" t="n">
        <v>0</v>
      </c>
      <c r="P842" t="n">
        <v>0</v>
      </c>
      <c r="Q842" t="n">
        <v>0</v>
      </c>
      <c r="R842" s="2" t="inlineStr"/>
    </row>
    <row r="843" ht="15" customHeight="1">
      <c r="A843" t="inlineStr">
        <is>
          <t>A 17541-2024</t>
        </is>
      </c>
      <c r="B843" s="1" t="n">
        <v>45415</v>
      </c>
      <c r="C843" s="1" t="n">
        <v>45795</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17616-2024</t>
        </is>
      </c>
      <c r="B844" s="1" t="n">
        <v>45416</v>
      </c>
      <c r="C844" s="1" t="n">
        <v>45795</v>
      </c>
      <c r="D844" t="inlineStr">
        <is>
          <t>GOTLANDS LÄN</t>
        </is>
      </c>
      <c r="E844" t="inlineStr">
        <is>
          <t>GOTLAND</t>
        </is>
      </c>
      <c r="G844" t="n">
        <v>2.7</v>
      </c>
      <c r="H844" t="n">
        <v>0</v>
      </c>
      <c r="I844" t="n">
        <v>0</v>
      </c>
      <c r="J844" t="n">
        <v>0</v>
      </c>
      <c r="K844" t="n">
        <v>0</v>
      </c>
      <c r="L844" t="n">
        <v>0</v>
      </c>
      <c r="M844" t="n">
        <v>0</v>
      </c>
      <c r="N844" t="n">
        <v>0</v>
      </c>
      <c r="O844" t="n">
        <v>0</v>
      </c>
      <c r="P844" t="n">
        <v>0</v>
      </c>
      <c r="Q844" t="n">
        <v>0</v>
      </c>
      <c r="R844" s="2" t="inlineStr"/>
    </row>
    <row r="845" ht="15" customHeight="1">
      <c r="A845" t="inlineStr">
        <is>
          <t>A 17617-2024</t>
        </is>
      </c>
      <c r="B845" s="1" t="n">
        <v>45416</v>
      </c>
      <c r="C845" s="1" t="n">
        <v>45795</v>
      </c>
      <c r="D845" t="inlineStr">
        <is>
          <t>GOTLANDS LÄN</t>
        </is>
      </c>
      <c r="E845" t="inlineStr">
        <is>
          <t>GOTLAND</t>
        </is>
      </c>
      <c r="G845" t="n">
        <v>1.6</v>
      </c>
      <c r="H845" t="n">
        <v>0</v>
      </c>
      <c r="I845" t="n">
        <v>0</v>
      </c>
      <c r="J845" t="n">
        <v>0</v>
      </c>
      <c r="K845" t="n">
        <v>0</v>
      </c>
      <c r="L845" t="n">
        <v>0</v>
      </c>
      <c r="M845" t="n">
        <v>0</v>
      </c>
      <c r="N845" t="n">
        <v>0</v>
      </c>
      <c r="O845" t="n">
        <v>0</v>
      </c>
      <c r="P845" t="n">
        <v>0</v>
      </c>
      <c r="Q845" t="n">
        <v>0</v>
      </c>
      <c r="R845" s="2" t="inlineStr"/>
    </row>
    <row r="846" ht="15" customHeight="1">
      <c r="A846" t="inlineStr">
        <is>
          <t>A 17688-2024</t>
        </is>
      </c>
      <c r="B846" s="1" t="n">
        <v>45418</v>
      </c>
      <c r="C846" s="1" t="n">
        <v>45795</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17691-2024</t>
        </is>
      </c>
      <c r="B847" s="1" t="n">
        <v>45418</v>
      </c>
      <c r="C847" s="1" t="n">
        <v>45795</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17743-2024</t>
        </is>
      </c>
      <c r="B848" s="1" t="n">
        <v>45418</v>
      </c>
      <c r="C848" s="1" t="n">
        <v>45795</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17786-2024</t>
        </is>
      </c>
      <c r="B849" s="1" t="n">
        <v>45418</v>
      </c>
      <c r="C849" s="1" t="n">
        <v>45795</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17682-2024</t>
        </is>
      </c>
      <c r="B850" s="1" t="n">
        <v>45418</v>
      </c>
      <c r="C850" s="1" t="n">
        <v>45795</v>
      </c>
      <c r="D850" t="inlineStr">
        <is>
          <t>GOTLANDS LÄN</t>
        </is>
      </c>
      <c r="E850" t="inlineStr">
        <is>
          <t>GOTLAND</t>
        </is>
      </c>
      <c r="G850" t="n">
        <v>2.9</v>
      </c>
      <c r="H850" t="n">
        <v>0</v>
      </c>
      <c r="I850" t="n">
        <v>0</v>
      </c>
      <c r="J850" t="n">
        <v>0</v>
      </c>
      <c r="K850" t="n">
        <v>0</v>
      </c>
      <c r="L850" t="n">
        <v>0</v>
      </c>
      <c r="M850" t="n">
        <v>0</v>
      </c>
      <c r="N850" t="n">
        <v>0</v>
      </c>
      <c r="O850" t="n">
        <v>0</v>
      </c>
      <c r="P850" t="n">
        <v>0</v>
      </c>
      <c r="Q850" t="n">
        <v>0</v>
      </c>
      <c r="R850" s="2" t="inlineStr"/>
    </row>
    <row r="851" ht="15" customHeight="1">
      <c r="A851" t="inlineStr">
        <is>
          <t>A 17686-2024</t>
        </is>
      </c>
      <c r="B851" s="1" t="n">
        <v>45418</v>
      </c>
      <c r="C851" s="1" t="n">
        <v>45795</v>
      </c>
      <c r="D851" t="inlineStr">
        <is>
          <t>GOTLANDS LÄN</t>
        </is>
      </c>
      <c r="E851" t="inlineStr">
        <is>
          <t>GOTLAND</t>
        </is>
      </c>
      <c r="G851" t="n">
        <v>3.9</v>
      </c>
      <c r="H851" t="n">
        <v>0</v>
      </c>
      <c r="I851" t="n">
        <v>0</v>
      </c>
      <c r="J851" t="n">
        <v>0</v>
      </c>
      <c r="K851" t="n">
        <v>0</v>
      </c>
      <c r="L851" t="n">
        <v>0</v>
      </c>
      <c r="M851" t="n">
        <v>0</v>
      </c>
      <c r="N851" t="n">
        <v>0</v>
      </c>
      <c r="O851" t="n">
        <v>0</v>
      </c>
      <c r="P851" t="n">
        <v>0</v>
      </c>
      <c r="Q851" t="n">
        <v>0</v>
      </c>
      <c r="R851" s="2" t="inlineStr"/>
    </row>
    <row r="852" ht="15" customHeight="1">
      <c r="A852" t="inlineStr">
        <is>
          <t>A 17724-2024</t>
        </is>
      </c>
      <c r="B852" s="1" t="n">
        <v>45418</v>
      </c>
      <c r="C852" s="1" t="n">
        <v>45795</v>
      </c>
      <c r="D852" t="inlineStr">
        <is>
          <t>GOTLANDS LÄN</t>
        </is>
      </c>
      <c r="E852" t="inlineStr">
        <is>
          <t>GOTLAND</t>
        </is>
      </c>
      <c r="G852" t="n">
        <v>2</v>
      </c>
      <c r="H852" t="n">
        <v>0</v>
      </c>
      <c r="I852" t="n">
        <v>0</v>
      </c>
      <c r="J852" t="n">
        <v>0</v>
      </c>
      <c r="K852" t="n">
        <v>0</v>
      </c>
      <c r="L852" t="n">
        <v>0</v>
      </c>
      <c r="M852" t="n">
        <v>0</v>
      </c>
      <c r="N852" t="n">
        <v>0</v>
      </c>
      <c r="O852" t="n">
        <v>0</v>
      </c>
      <c r="P852" t="n">
        <v>0</v>
      </c>
      <c r="Q852" t="n">
        <v>0</v>
      </c>
      <c r="R852" s="2" t="inlineStr"/>
    </row>
    <row r="853" ht="15" customHeight="1">
      <c r="A853" t="inlineStr">
        <is>
          <t>A 17742-2024</t>
        </is>
      </c>
      <c r="B853" s="1" t="n">
        <v>45418</v>
      </c>
      <c r="C853" s="1" t="n">
        <v>45795</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18056-2024</t>
        </is>
      </c>
      <c r="B854" s="1" t="n">
        <v>45420</v>
      </c>
      <c r="C854" s="1" t="n">
        <v>45795</v>
      </c>
      <c r="D854" t="inlineStr">
        <is>
          <t>GOTLANDS LÄN</t>
        </is>
      </c>
      <c r="E854" t="inlineStr">
        <is>
          <t>GOTLAND</t>
        </is>
      </c>
      <c r="G854" t="n">
        <v>1.4</v>
      </c>
      <c r="H854" t="n">
        <v>0</v>
      </c>
      <c r="I854" t="n">
        <v>0</v>
      </c>
      <c r="J854" t="n">
        <v>0</v>
      </c>
      <c r="K854" t="n">
        <v>0</v>
      </c>
      <c r="L854" t="n">
        <v>0</v>
      </c>
      <c r="M854" t="n">
        <v>0</v>
      </c>
      <c r="N854" t="n">
        <v>0</v>
      </c>
      <c r="O854" t="n">
        <v>0</v>
      </c>
      <c r="P854" t="n">
        <v>0</v>
      </c>
      <c r="Q854" t="n">
        <v>0</v>
      </c>
      <c r="R854" s="2" t="inlineStr"/>
    </row>
    <row r="855" ht="15" customHeight="1">
      <c r="A855" t="inlineStr">
        <is>
          <t>A 18380-2024</t>
        </is>
      </c>
      <c r="B855" s="1" t="n">
        <v>45424</v>
      </c>
      <c r="C855" s="1" t="n">
        <v>45795</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18896-2024</t>
        </is>
      </c>
      <c r="B856" s="1" t="n">
        <v>45427</v>
      </c>
      <c r="C856" s="1" t="n">
        <v>45795</v>
      </c>
      <c r="D856" t="inlineStr">
        <is>
          <t>GOTLANDS LÄN</t>
        </is>
      </c>
      <c r="E856" t="inlineStr">
        <is>
          <t>GOTLAND</t>
        </is>
      </c>
      <c r="G856" t="n">
        <v>5.1</v>
      </c>
      <c r="H856" t="n">
        <v>0</v>
      </c>
      <c r="I856" t="n">
        <v>0</v>
      </c>
      <c r="J856" t="n">
        <v>0</v>
      </c>
      <c r="K856" t="n">
        <v>0</v>
      </c>
      <c r="L856" t="n">
        <v>0</v>
      </c>
      <c r="M856" t="n">
        <v>0</v>
      </c>
      <c r="N856" t="n">
        <v>0</v>
      </c>
      <c r="O856" t="n">
        <v>0</v>
      </c>
      <c r="P856" t="n">
        <v>0</v>
      </c>
      <c r="Q856" t="n">
        <v>0</v>
      </c>
      <c r="R856" s="2" t="inlineStr"/>
    </row>
    <row r="857" ht="15" customHeight="1">
      <c r="A857" t="inlineStr">
        <is>
          <t>A 20290-2024</t>
        </is>
      </c>
      <c r="B857" s="1" t="n">
        <v>45435</v>
      </c>
      <c r="C857" s="1" t="n">
        <v>45795</v>
      </c>
      <c r="D857" t="inlineStr">
        <is>
          <t>GOTLANDS LÄN</t>
        </is>
      </c>
      <c r="E857" t="inlineStr">
        <is>
          <t>GOTLAND</t>
        </is>
      </c>
      <c r="G857" t="n">
        <v>10.9</v>
      </c>
      <c r="H857" t="n">
        <v>0</v>
      </c>
      <c r="I857" t="n">
        <v>0</v>
      </c>
      <c r="J857" t="n">
        <v>0</v>
      </c>
      <c r="K857" t="n">
        <v>0</v>
      </c>
      <c r="L857" t="n">
        <v>0</v>
      </c>
      <c r="M857" t="n">
        <v>0</v>
      </c>
      <c r="N857" t="n">
        <v>0</v>
      </c>
      <c r="O857" t="n">
        <v>0</v>
      </c>
      <c r="P857" t="n">
        <v>0</v>
      </c>
      <c r="Q857" t="n">
        <v>0</v>
      </c>
      <c r="R857" s="2" t="inlineStr"/>
    </row>
    <row r="858" ht="15" customHeight="1">
      <c r="A858" t="inlineStr">
        <is>
          <t>A 20292-2024</t>
        </is>
      </c>
      <c r="B858" s="1" t="n">
        <v>45435</v>
      </c>
      <c r="C858" s="1" t="n">
        <v>45795</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21164-2024</t>
        </is>
      </c>
      <c r="B859" s="1" t="n">
        <v>45440</v>
      </c>
      <c r="C859" s="1" t="n">
        <v>45795</v>
      </c>
      <c r="D859" t="inlineStr">
        <is>
          <t>GOTLANDS LÄN</t>
        </is>
      </c>
      <c r="E859" t="inlineStr">
        <is>
          <t>GOTLAND</t>
        </is>
      </c>
      <c r="G859" t="n">
        <v>6.3</v>
      </c>
      <c r="H859" t="n">
        <v>0</v>
      </c>
      <c r="I859" t="n">
        <v>0</v>
      </c>
      <c r="J859" t="n">
        <v>0</v>
      </c>
      <c r="K859" t="n">
        <v>0</v>
      </c>
      <c r="L859" t="n">
        <v>0</v>
      </c>
      <c r="M859" t="n">
        <v>0</v>
      </c>
      <c r="N859" t="n">
        <v>0</v>
      </c>
      <c r="O859" t="n">
        <v>0</v>
      </c>
      <c r="P859" t="n">
        <v>0</v>
      </c>
      <c r="Q859" t="n">
        <v>0</v>
      </c>
      <c r="R859" s="2" t="inlineStr"/>
    </row>
    <row r="860" ht="15" customHeight="1">
      <c r="A860" t="inlineStr">
        <is>
          <t>A 21154-2024</t>
        </is>
      </c>
      <c r="B860" s="1" t="n">
        <v>45440</v>
      </c>
      <c r="C860" s="1" t="n">
        <v>45795</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21420-2024</t>
        </is>
      </c>
      <c r="B861" s="1" t="n">
        <v>45441</v>
      </c>
      <c r="C861" s="1" t="n">
        <v>45795</v>
      </c>
      <c r="D861" t="inlineStr">
        <is>
          <t>GOTLANDS LÄN</t>
        </is>
      </c>
      <c r="E861" t="inlineStr">
        <is>
          <t>GOTLAND</t>
        </is>
      </c>
      <c r="G861" t="n">
        <v>4.1</v>
      </c>
      <c r="H861" t="n">
        <v>0</v>
      </c>
      <c r="I861" t="n">
        <v>0</v>
      </c>
      <c r="J861" t="n">
        <v>0</v>
      </c>
      <c r="K861" t="n">
        <v>0</v>
      </c>
      <c r="L861" t="n">
        <v>0</v>
      </c>
      <c r="M861" t="n">
        <v>0</v>
      </c>
      <c r="N861" t="n">
        <v>0</v>
      </c>
      <c r="O861" t="n">
        <v>0</v>
      </c>
      <c r="P861" t="n">
        <v>0</v>
      </c>
      <c r="Q861" t="n">
        <v>0</v>
      </c>
      <c r="R861" s="2" t="inlineStr"/>
    </row>
    <row r="862" ht="15" customHeight="1">
      <c r="A862" t="inlineStr">
        <is>
          <t>A 21493-2024</t>
        </is>
      </c>
      <c r="B862" s="1" t="n">
        <v>45441</v>
      </c>
      <c r="C862" s="1" t="n">
        <v>45795</v>
      </c>
      <c r="D862" t="inlineStr">
        <is>
          <t>GOTLANDS LÄN</t>
        </is>
      </c>
      <c r="E862" t="inlineStr">
        <is>
          <t>GOTLAND</t>
        </is>
      </c>
      <c r="G862" t="n">
        <v>6.4</v>
      </c>
      <c r="H862" t="n">
        <v>0</v>
      </c>
      <c r="I862" t="n">
        <v>0</v>
      </c>
      <c r="J862" t="n">
        <v>0</v>
      </c>
      <c r="K862" t="n">
        <v>0</v>
      </c>
      <c r="L862" t="n">
        <v>0</v>
      </c>
      <c r="M862" t="n">
        <v>0</v>
      </c>
      <c r="N862" t="n">
        <v>0</v>
      </c>
      <c r="O862" t="n">
        <v>0</v>
      </c>
      <c r="P862" t="n">
        <v>0</v>
      </c>
      <c r="Q862" t="n">
        <v>0</v>
      </c>
      <c r="R862" s="2" t="inlineStr"/>
    </row>
    <row r="863" ht="15" customHeight="1">
      <c r="A863" t="inlineStr">
        <is>
          <t>A 21500-2024</t>
        </is>
      </c>
      <c r="B863" s="1" t="n">
        <v>45441</v>
      </c>
      <c r="C863" s="1" t="n">
        <v>45795</v>
      </c>
      <c r="D863" t="inlineStr">
        <is>
          <t>GOTLANDS LÄN</t>
        </is>
      </c>
      <c r="E863" t="inlineStr">
        <is>
          <t>GOTLAND</t>
        </is>
      </c>
      <c r="G863" t="n">
        <v>0.9</v>
      </c>
      <c r="H863" t="n">
        <v>0</v>
      </c>
      <c r="I863" t="n">
        <v>0</v>
      </c>
      <c r="J863" t="n">
        <v>0</v>
      </c>
      <c r="K863" t="n">
        <v>0</v>
      </c>
      <c r="L863" t="n">
        <v>0</v>
      </c>
      <c r="M863" t="n">
        <v>0</v>
      </c>
      <c r="N863" t="n">
        <v>0</v>
      </c>
      <c r="O863" t="n">
        <v>0</v>
      </c>
      <c r="P863" t="n">
        <v>0</v>
      </c>
      <c r="Q863" t="n">
        <v>0</v>
      </c>
      <c r="R863" s="2" t="inlineStr"/>
    </row>
    <row r="864" ht="15" customHeight="1">
      <c r="A864" t="inlineStr">
        <is>
          <t>A 21817-2024</t>
        </is>
      </c>
      <c r="B864" s="1" t="n">
        <v>45442</v>
      </c>
      <c r="C864" s="1" t="n">
        <v>45795</v>
      </c>
      <c r="D864" t="inlineStr">
        <is>
          <t>GOTLANDS LÄN</t>
        </is>
      </c>
      <c r="E864" t="inlineStr">
        <is>
          <t>GOTLAND</t>
        </is>
      </c>
      <c r="G864" t="n">
        <v>3.7</v>
      </c>
      <c r="H864" t="n">
        <v>0</v>
      </c>
      <c r="I864" t="n">
        <v>0</v>
      </c>
      <c r="J864" t="n">
        <v>0</v>
      </c>
      <c r="K864" t="n">
        <v>0</v>
      </c>
      <c r="L864" t="n">
        <v>0</v>
      </c>
      <c r="M864" t="n">
        <v>0</v>
      </c>
      <c r="N864" t="n">
        <v>0</v>
      </c>
      <c r="O864" t="n">
        <v>0</v>
      </c>
      <c r="P864" t="n">
        <v>0</v>
      </c>
      <c r="Q864" t="n">
        <v>0</v>
      </c>
      <c r="R864" s="2" t="inlineStr"/>
    </row>
    <row r="865" ht="15" customHeight="1">
      <c r="A865" t="inlineStr">
        <is>
          <t>A 21792-2024</t>
        </is>
      </c>
      <c r="B865" s="1" t="n">
        <v>45442</v>
      </c>
      <c r="C865" s="1" t="n">
        <v>45795</v>
      </c>
      <c r="D865" t="inlineStr">
        <is>
          <t>GOTLANDS LÄN</t>
        </is>
      </c>
      <c r="E865" t="inlineStr">
        <is>
          <t>GOTLAND</t>
        </is>
      </c>
      <c r="G865" t="n">
        <v>1</v>
      </c>
      <c r="H865" t="n">
        <v>0</v>
      </c>
      <c r="I865" t="n">
        <v>0</v>
      </c>
      <c r="J865" t="n">
        <v>0</v>
      </c>
      <c r="K865" t="n">
        <v>0</v>
      </c>
      <c r="L865" t="n">
        <v>0</v>
      </c>
      <c r="M865" t="n">
        <v>0</v>
      </c>
      <c r="N865" t="n">
        <v>0</v>
      </c>
      <c r="O865" t="n">
        <v>0</v>
      </c>
      <c r="P865" t="n">
        <v>0</v>
      </c>
      <c r="Q865" t="n">
        <v>0</v>
      </c>
      <c r="R865" s="2" t="inlineStr"/>
    </row>
    <row r="866" ht="15" customHeight="1">
      <c r="A866" t="inlineStr">
        <is>
          <t>A 22031-2024</t>
        </is>
      </c>
      <c r="B866" s="1" t="n">
        <v>45443</v>
      </c>
      <c r="C866" s="1" t="n">
        <v>45795</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22860-2024</t>
        </is>
      </c>
      <c r="B867" s="1" t="n">
        <v>45448</v>
      </c>
      <c r="C867" s="1" t="n">
        <v>45795</v>
      </c>
      <c r="D867" t="inlineStr">
        <is>
          <t>GOTLANDS LÄN</t>
        </is>
      </c>
      <c r="E867" t="inlineStr">
        <is>
          <t>GOTLAND</t>
        </is>
      </c>
      <c r="G867" t="n">
        <v>2.4</v>
      </c>
      <c r="H867" t="n">
        <v>0</v>
      </c>
      <c r="I867" t="n">
        <v>0</v>
      </c>
      <c r="J867" t="n">
        <v>0</v>
      </c>
      <c r="K867" t="n">
        <v>0</v>
      </c>
      <c r="L867" t="n">
        <v>0</v>
      </c>
      <c r="M867" t="n">
        <v>0</v>
      </c>
      <c r="N867" t="n">
        <v>0</v>
      </c>
      <c r="O867" t="n">
        <v>0</v>
      </c>
      <c r="P867" t="n">
        <v>0</v>
      </c>
      <c r="Q867" t="n">
        <v>0</v>
      </c>
      <c r="R867" s="2" t="inlineStr"/>
    </row>
    <row r="868" ht="15" customHeight="1">
      <c r="A868" t="inlineStr">
        <is>
          <t>A 22851-2024</t>
        </is>
      </c>
      <c r="B868" s="1" t="n">
        <v>45448</v>
      </c>
      <c r="C868" s="1" t="n">
        <v>45795</v>
      </c>
      <c r="D868" t="inlineStr">
        <is>
          <t>GOTLANDS LÄN</t>
        </is>
      </c>
      <c r="E868" t="inlineStr">
        <is>
          <t>GOTLAND</t>
        </is>
      </c>
      <c r="G868" t="n">
        <v>5.2</v>
      </c>
      <c r="H868" t="n">
        <v>0</v>
      </c>
      <c r="I868" t="n">
        <v>0</v>
      </c>
      <c r="J868" t="n">
        <v>0</v>
      </c>
      <c r="K868" t="n">
        <v>0</v>
      </c>
      <c r="L868" t="n">
        <v>0</v>
      </c>
      <c r="M868" t="n">
        <v>0</v>
      </c>
      <c r="N868" t="n">
        <v>0</v>
      </c>
      <c r="O868" t="n">
        <v>0</v>
      </c>
      <c r="P868" t="n">
        <v>0</v>
      </c>
      <c r="Q868" t="n">
        <v>0</v>
      </c>
      <c r="R868" s="2" t="inlineStr"/>
    </row>
    <row r="869" ht="15" customHeight="1">
      <c r="A869" t="inlineStr">
        <is>
          <t>A 22883-2024</t>
        </is>
      </c>
      <c r="B869" s="1" t="n">
        <v>45448</v>
      </c>
      <c r="C869" s="1" t="n">
        <v>45795</v>
      </c>
      <c r="D869" t="inlineStr">
        <is>
          <t>GOTLANDS LÄN</t>
        </is>
      </c>
      <c r="E869" t="inlineStr">
        <is>
          <t>GOTLAND</t>
        </is>
      </c>
      <c r="G869" t="n">
        <v>0.5</v>
      </c>
      <c r="H869" t="n">
        <v>0</v>
      </c>
      <c r="I869" t="n">
        <v>0</v>
      </c>
      <c r="J869" t="n">
        <v>0</v>
      </c>
      <c r="K869" t="n">
        <v>0</v>
      </c>
      <c r="L869" t="n">
        <v>0</v>
      </c>
      <c r="M869" t="n">
        <v>0</v>
      </c>
      <c r="N869" t="n">
        <v>0</v>
      </c>
      <c r="O869" t="n">
        <v>0</v>
      </c>
      <c r="P869" t="n">
        <v>0</v>
      </c>
      <c r="Q869" t="n">
        <v>0</v>
      </c>
      <c r="R869" s="2" t="inlineStr"/>
    </row>
    <row r="870" ht="15" customHeight="1">
      <c r="A870" t="inlineStr">
        <is>
          <t>A 23518-2024</t>
        </is>
      </c>
      <c r="B870" s="1" t="n">
        <v>45453</v>
      </c>
      <c r="C870" s="1" t="n">
        <v>45795</v>
      </c>
      <c r="D870" t="inlineStr">
        <is>
          <t>GOTLANDS LÄN</t>
        </is>
      </c>
      <c r="E870" t="inlineStr">
        <is>
          <t>GOTLAND</t>
        </is>
      </c>
      <c r="G870" t="n">
        <v>1.9</v>
      </c>
      <c r="H870" t="n">
        <v>0</v>
      </c>
      <c r="I870" t="n">
        <v>0</v>
      </c>
      <c r="J870" t="n">
        <v>0</v>
      </c>
      <c r="K870" t="n">
        <v>0</v>
      </c>
      <c r="L870" t="n">
        <v>0</v>
      </c>
      <c r="M870" t="n">
        <v>0</v>
      </c>
      <c r="N870" t="n">
        <v>0</v>
      </c>
      <c r="O870" t="n">
        <v>0</v>
      </c>
      <c r="P870" t="n">
        <v>0</v>
      </c>
      <c r="Q870" t="n">
        <v>0</v>
      </c>
      <c r="R870" s="2" t="inlineStr"/>
    </row>
    <row r="871" ht="15" customHeight="1">
      <c r="A871" t="inlineStr">
        <is>
          <t>A 23658-2024</t>
        </is>
      </c>
      <c r="B871" s="1" t="n">
        <v>45454</v>
      </c>
      <c r="C871" s="1" t="n">
        <v>45795</v>
      </c>
      <c r="D871" t="inlineStr">
        <is>
          <t>GOTLANDS LÄN</t>
        </is>
      </c>
      <c r="E871" t="inlineStr">
        <is>
          <t>GOTLAND</t>
        </is>
      </c>
      <c r="G871" t="n">
        <v>4.8</v>
      </c>
      <c r="H871" t="n">
        <v>0</v>
      </c>
      <c r="I871" t="n">
        <v>0</v>
      </c>
      <c r="J871" t="n">
        <v>0</v>
      </c>
      <c r="K871" t="n">
        <v>0</v>
      </c>
      <c r="L871" t="n">
        <v>0</v>
      </c>
      <c r="M871" t="n">
        <v>0</v>
      </c>
      <c r="N871" t="n">
        <v>0</v>
      </c>
      <c r="O871" t="n">
        <v>0</v>
      </c>
      <c r="P871" t="n">
        <v>0</v>
      </c>
      <c r="Q871" t="n">
        <v>0</v>
      </c>
      <c r="R871" s="2" t="inlineStr"/>
    </row>
    <row r="872" ht="15" customHeight="1">
      <c r="A872" t="inlineStr">
        <is>
          <t>A 23617-2024</t>
        </is>
      </c>
      <c r="B872" s="1" t="n">
        <v>45454</v>
      </c>
      <c r="C872" s="1" t="n">
        <v>45795</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24358-2024</t>
        </is>
      </c>
      <c r="B873" s="1" t="n">
        <v>45457</v>
      </c>
      <c r="C873" s="1" t="n">
        <v>45795</v>
      </c>
      <c r="D873" t="inlineStr">
        <is>
          <t>GOTLANDS LÄN</t>
        </is>
      </c>
      <c r="E873" t="inlineStr">
        <is>
          <t>GOTLAND</t>
        </is>
      </c>
      <c r="G873" t="n">
        <v>1.1</v>
      </c>
      <c r="H873" t="n">
        <v>0</v>
      </c>
      <c r="I873" t="n">
        <v>0</v>
      </c>
      <c r="J873" t="n">
        <v>0</v>
      </c>
      <c r="K873" t="n">
        <v>0</v>
      </c>
      <c r="L873" t="n">
        <v>0</v>
      </c>
      <c r="M873" t="n">
        <v>0</v>
      </c>
      <c r="N873" t="n">
        <v>0</v>
      </c>
      <c r="O873" t="n">
        <v>0</v>
      </c>
      <c r="P873" t="n">
        <v>0</v>
      </c>
      <c r="Q873" t="n">
        <v>0</v>
      </c>
      <c r="R873" s="2" t="inlineStr"/>
    </row>
    <row r="874" ht="15" customHeight="1">
      <c r="A874" t="inlineStr">
        <is>
          <t>A 24746-2024</t>
        </is>
      </c>
      <c r="B874" s="1" t="n">
        <v>45460</v>
      </c>
      <c r="C874" s="1" t="n">
        <v>45795</v>
      </c>
      <c r="D874" t="inlineStr">
        <is>
          <t>GOTLANDS LÄN</t>
        </is>
      </c>
      <c r="E874" t="inlineStr">
        <is>
          <t>GOTLAND</t>
        </is>
      </c>
      <c r="G874" t="n">
        <v>1.4</v>
      </c>
      <c r="H874" t="n">
        <v>0</v>
      </c>
      <c r="I874" t="n">
        <v>0</v>
      </c>
      <c r="J874" t="n">
        <v>0</v>
      </c>
      <c r="K874" t="n">
        <v>0</v>
      </c>
      <c r="L874" t="n">
        <v>0</v>
      </c>
      <c r="M874" t="n">
        <v>0</v>
      </c>
      <c r="N874" t="n">
        <v>0</v>
      </c>
      <c r="O874" t="n">
        <v>0</v>
      </c>
      <c r="P874" t="n">
        <v>0</v>
      </c>
      <c r="Q874" t="n">
        <v>0</v>
      </c>
      <c r="R874" s="2" t="inlineStr"/>
    </row>
    <row r="875" ht="15" customHeight="1">
      <c r="A875" t="inlineStr">
        <is>
          <t>A 24825-2024</t>
        </is>
      </c>
      <c r="B875" s="1" t="n">
        <v>45461</v>
      </c>
      <c r="C875" s="1" t="n">
        <v>45795</v>
      </c>
      <c r="D875" t="inlineStr">
        <is>
          <t>GOTLANDS LÄN</t>
        </is>
      </c>
      <c r="E875" t="inlineStr">
        <is>
          <t>GOTLAND</t>
        </is>
      </c>
      <c r="G875" t="n">
        <v>1.3</v>
      </c>
      <c r="H875" t="n">
        <v>0</v>
      </c>
      <c r="I875" t="n">
        <v>0</v>
      </c>
      <c r="J875" t="n">
        <v>0</v>
      </c>
      <c r="K875" t="n">
        <v>0</v>
      </c>
      <c r="L875" t="n">
        <v>0</v>
      </c>
      <c r="M875" t="n">
        <v>0</v>
      </c>
      <c r="N875" t="n">
        <v>0</v>
      </c>
      <c r="O875" t="n">
        <v>0</v>
      </c>
      <c r="P875" t="n">
        <v>0</v>
      </c>
      <c r="Q875" t="n">
        <v>0</v>
      </c>
      <c r="R875" s="2" t="inlineStr"/>
    </row>
    <row r="876" ht="15" customHeight="1">
      <c r="A876" t="inlineStr">
        <is>
          <t>A 25463-2024</t>
        </is>
      </c>
      <c r="B876" s="1" t="n">
        <v>45463</v>
      </c>
      <c r="C876" s="1" t="n">
        <v>45795</v>
      </c>
      <c r="D876" t="inlineStr">
        <is>
          <t>GOTLANDS LÄN</t>
        </is>
      </c>
      <c r="E876" t="inlineStr">
        <is>
          <t>GOTLAND</t>
        </is>
      </c>
      <c r="G876" t="n">
        <v>17.3</v>
      </c>
      <c r="H876" t="n">
        <v>0</v>
      </c>
      <c r="I876" t="n">
        <v>0</v>
      </c>
      <c r="J876" t="n">
        <v>0</v>
      </c>
      <c r="K876" t="n">
        <v>0</v>
      </c>
      <c r="L876" t="n">
        <v>0</v>
      </c>
      <c r="M876" t="n">
        <v>0</v>
      </c>
      <c r="N876" t="n">
        <v>0</v>
      </c>
      <c r="O876" t="n">
        <v>0</v>
      </c>
      <c r="P876" t="n">
        <v>0</v>
      </c>
      <c r="Q876" t="n">
        <v>0</v>
      </c>
      <c r="R876" s="2" t="inlineStr"/>
    </row>
    <row r="877" ht="15" customHeight="1">
      <c r="A877" t="inlineStr">
        <is>
          <t>A 25739-2024</t>
        </is>
      </c>
      <c r="B877" s="1" t="n">
        <v>45465</v>
      </c>
      <c r="C877" s="1" t="n">
        <v>45795</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25740-2024</t>
        </is>
      </c>
      <c r="B878" s="1" t="n">
        <v>45465</v>
      </c>
      <c r="C878" s="1" t="n">
        <v>45795</v>
      </c>
      <c r="D878" t="inlineStr">
        <is>
          <t>GOTLANDS LÄN</t>
        </is>
      </c>
      <c r="E878" t="inlineStr">
        <is>
          <t>GOTLAND</t>
        </is>
      </c>
      <c r="G878" t="n">
        <v>2.7</v>
      </c>
      <c r="H878" t="n">
        <v>0</v>
      </c>
      <c r="I878" t="n">
        <v>0</v>
      </c>
      <c r="J878" t="n">
        <v>0</v>
      </c>
      <c r="K878" t="n">
        <v>0</v>
      </c>
      <c r="L878" t="n">
        <v>0</v>
      </c>
      <c r="M878" t="n">
        <v>0</v>
      </c>
      <c r="N878" t="n">
        <v>0</v>
      </c>
      <c r="O878" t="n">
        <v>0</v>
      </c>
      <c r="P878" t="n">
        <v>0</v>
      </c>
      <c r="Q878" t="n">
        <v>0</v>
      </c>
      <c r="R878" s="2" t="inlineStr"/>
    </row>
    <row r="879" ht="15" customHeight="1">
      <c r="A879" t="inlineStr">
        <is>
          <t>A 26221-2024</t>
        </is>
      </c>
      <c r="B879" s="1" t="n">
        <v>45468</v>
      </c>
      <c r="C879" s="1" t="n">
        <v>45795</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26194-2024</t>
        </is>
      </c>
      <c r="B880" s="1" t="n">
        <v>45468</v>
      </c>
      <c r="C880" s="1" t="n">
        <v>45795</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26206-2024</t>
        </is>
      </c>
      <c r="B881" s="1" t="n">
        <v>45468</v>
      </c>
      <c r="C881" s="1" t="n">
        <v>45795</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26110-2024</t>
        </is>
      </c>
      <c r="B882" s="1" t="n">
        <v>45468</v>
      </c>
      <c r="C882" s="1" t="n">
        <v>45795</v>
      </c>
      <c r="D882" t="inlineStr">
        <is>
          <t>GOTLANDS LÄN</t>
        </is>
      </c>
      <c r="E882" t="inlineStr">
        <is>
          <t>GOTLAND</t>
        </is>
      </c>
      <c r="G882" t="n">
        <v>6.6</v>
      </c>
      <c r="H882" t="n">
        <v>0</v>
      </c>
      <c r="I882" t="n">
        <v>0</v>
      </c>
      <c r="J882" t="n">
        <v>0</v>
      </c>
      <c r="K882" t="n">
        <v>0</v>
      </c>
      <c r="L882" t="n">
        <v>0</v>
      </c>
      <c r="M882" t="n">
        <v>0</v>
      </c>
      <c r="N882" t="n">
        <v>0</v>
      </c>
      <c r="O882" t="n">
        <v>0</v>
      </c>
      <c r="P882" t="n">
        <v>0</v>
      </c>
      <c r="Q882" t="n">
        <v>0</v>
      </c>
      <c r="R882" s="2" t="inlineStr"/>
    </row>
    <row r="883" ht="15" customHeight="1">
      <c r="A883" t="inlineStr">
        <is>
          <t>A 26891-2024</t>
        </is>
      </c>
      <c r="B883" s="1" t="n">
        <v>45470</v>
      </c>
      <c r="C883" s="1" t="n">
        <v>45795</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27850-2024</t>
        </is>
      </c>
      <c r="B884" s="1" t="n">
        <v>45475</v>
      </c>
      <c r="C884" s="1" t="n">
        <v>45795</v>
      </c>
      <c r="D884" t="inlineStr">
        <is>
          <t>GOTLANDS LÄN</t>
        </is>
      </c>
      <c r="E884" t="inlineStr">
        <is>
          <t>GOTLAND</t>
        </is>
      </c>
      <c r="G884" t="n">
        <v>4.1</v>
      </c>
      <c r="H884" t="n">
        <v>0</v>
      </c>
      <c r="I884" t="n">
        <v>0</v>
      </c>
      <c r="J884" t="n">
        <v>0</v>
      </c>
      <c r="K884" t="n">
        <v>0</v>
      </c>
      <c r="L884" t="n">
        <v>0</v>
      </c>
      <c r="M884" t="n">
        <v>0</v>
      </c>
      <c r="N884" t="n">
        <v>0</v>
      </c>
      <c r="O884" t="n">
        <v>0</v>
      </c>
      <c r="P884" t="n">
        <v>0</v>
      </c>
      <c r="Q884" t="n">
        <v>0</v>
      </c>
      <c r="R884" s="2" t="inlineStr"/>
    </row>
    <row r="885" ht="15" customHeight="1">
      <c r="A885" t="inlineStr">
        <is>
          <t>A 27694-2024</t>
        </is>
      </c>
      <c r="B885" s="1" t="n">
        <v>45475</v>
      </c>
      <c r="C885" s="1" t="n">
        <v>45795</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27696-2024</t>
        </is>
      </c>
      <c r="B886" s="1" t="n">
        <v>45475</v>
      </c>
      <c r="C886" s="1" t="n">
        <v>45795</v>
      </c>
      <c r="D886" t="inlineStr">
        <is>
          <t>GOTLANDS LÄN</t>
        </is>
      </c>
      <c r="E886" t="inlineStr">
        <is>
          <t>GOTLAND</t>
        </is>
      </c>
      <c r="G886" t="n">
        <v>2.1</v>
      </c>
      <c r="H886" t="n">
        <v>0</v>
      </c>
      <c r="I886" t="n">
        <v>0</v>
      </c>
      <c r="J886" t="n">
        <v>0</v>
      </c>
      <c r="K886" t="n">
        <v>0</v>
      </c>
      <c r="L886" t="n">
        <v>0</v>
      </c>
      <c r="M886" t="n">
        <v>0</v>
      </c>
      <c r="N886" t="n">
        <v>0</v>
      </c>
      <c r="O886" t="n">
        <v>0</v>
      </c>
      <c r="P886" t="n">
        <v>0</v>
      </c>
      <c r="Q886" t="n">
        <v>0</v>
      </c>
      <c r="R886" s="2" t="inlineStr"/>
    </row>
    <row r="887" ht="15" customHeight="1">
      <c r="A887" t="inlineStr">
        <is>
          <t>A 28285-2024</t>
        </is>
      </c>
      <c r="B887" s="1" t="n">
        <v>45477</v>
      </c>
      <c r="C887" s="1" t="n">
        <v>45795</v>
      </c>
      <c r="D887" t="inlineStr">
        <is>
          <t>GOTLANDS LÄN</t>
        </is>
      </c>
      <c r="E887" t="inlineStr">
        <is>
          <t>GOTLAND</t>
        </is>
      </c>
      <c r="G887" t="n">
        <v>1.6</v>
      </c>
      <c r="H887" t="n">
        <v>0</v>
      </c>
      <c r="I887" t="n">
        <v>0</v>
      </c>
      <c r="J887" t="n">
        <v>0</v>
      </c>
      <c r="K887" t="n">
        <v>0</v>
      </c>
      <c r="L887" t="n">
        <v>0</v>
      </c>
      <c r="M887" t="n">
        <v>0</v>
      </c>
      <c r="N887" t="n">
        <v>0</v>
      </c>
      <c r="O887" t="n">
        <v>0</v>
      </c>
      <c r="P887" t="n">
        <v>0</v>
      </c>
      <c r="Q887" t="n">
        <v>0</v>
      </c>
      <c r="R887" s="2" t="inlineStr"/>
    </row>
    <row r="888" ht="15" customHeight="1">
      <c r="A888" t="inlineStr">
        <is>
          <t>A 28309-2024</t>
        </is>
      </c>
      <c r="B888" s="1" t="n">
        <v>45477</v>
      </c>
      <c r="C888" s="1" t="n">
        <v>45795</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28328-2024</t>
        </is>
      </c>
      <c r="B889" s="1" t="n">
        <v>45477</v>
      </c>
      <c r="C889" s="1" t="n">
        <v>45795</v>
      </c>
      <c r="D889" t="inlineStr">
        <is>
          <t>GOTLANDS LÄN</t>
        </is>
      </c>
      <c r="E889" t="inlineStr">
        <is>
          <t>GOTLAND</t>
        </is>
      </c>
      <c r="G889" t="n">
        <v>1.7</v>
      </c>
      <c r="H889" t="n">
        <v>0</v>
      </c>
      <c r="I889" t="n">
        <v>0</v>
      </c>
      <c r="J889" t="n">
        <v>0</v>
      </c>
      <c r="K889" t="n">
        <v>0</v>
      </c>
      <c r="L889" t="n">
        <v>0</v>
      </c>
      <c r="M889" t="n">
        <v>0</v>
      </c>
      <c r="N889" t="n">
        <v>0</v>
      </c>
      <c r="O889" t="n">
        <v>0</v>
      </c>
      <c r="P889" t="n">
        <v>0</v>
      </c>
      <c r="Q889" t="n">
        <v>0</v>
      </c>
      <c r="R889" s="2" t="inlineStr"/>
    </row>
    <row r="890" ht="15" customHeight="1">
      <c r="A890" t="inlineStr">
        <is>
          <t>A 30365-2024</t>
        </is>
      </c>
      <c r="B890" s="1" t="n">
        <v>45491</v>
      </c>
      <c r="C890" s="1" t="n">
        <v>45795</v>
      </c>
      <c r="D890" t="inlineStr">
        <is>
          <t>GOTLANDS LÄN</t>
        </is>
      </c>
      <c r="E890" t="inlineStr">
        <is>
          <t>GOTLAND</t>
        </is>
      </c>
      <c r="G890" t="n">
        <v>0.5</v>
      </c>
      <c r="H890" t="n">
        <v>0</v>
      </c>
      <c r="I890" t="n">
        <v>0</v>
      </c>
      <c r="J890" t="n">
        <v>0</v>
      </c>
      <c r="K890" t="n">
        <v>0</v>
      </c>
      <c r="L890" t="n">
        <v>0</v>
      </c>
      <c r="M890" t="n">
        <v>0</v>
      </c>
      <c r="N890" t="n">
        <v>0</v>
      </c>
      <c r="O890" t="n">
        <v>0</v>
      </c>
      <c r="P890" t="n">
        <v>0</v>
      </c>
      <c r="Q890" t="n">
        <v>0</v>
      </c>
      <c r="R890" s="2" t="inlineStr"/>
    </row>
    <row r="891" ht="15" customHeight="1">
      <c r="A891" t="inlineStr">
        <is>
          <t>A 30595-2024</t>
        </is>
      </c>
      <c r="B891" s="1" t="n">
        <v>45493</v>
      </c>
      <c r="C891" s="1" t="n">
        <v>45795</v>
      </c>
      <c r="D891" t="inlineStr">
        <is>
          <t>GOTLANDS LÄN</t>
        </is>
      </c>
      <c r="E891" t="inlineStr">
        <is>
          <t>GOTLAND</t>
        </is>
      </c>
      <c r="G891" t="n">
        <v>2.5</v>
      </c>
      <c r="H891" t="n">
        <v>0</v>
      </c>
      <c r="I891" t="n">
        <v>0</v>
      </c>
      <c r="J891" t="n">
        <v>0</v>
      </c>
      <c r="K891" t="n">
        <v>0</v>
      </c>
      <c r="L891" t="n">
        <v>0</v>
      </c>
      <c r="M891" t="n">
        <v>0</v>
      </c>
      <c r="N891" t="n">
        <v>0</v>
      </c>
      <c r="O891" t="n">
        <v>0</v>
      </c>
      <c r="P891" t="n">
        <v>0</v>
      </c>
      <c r="Q891" t="n">
        <v>0</v>
      </c>
      <c r="R891" s="2" t="inlineStr"/>
    </row>
    <row r="892" ht="15" customHeight="1">
      <c r="A892" t="inlineStr">
        <is>
          <t>A 30596-2024</t>
        </is>
      </c>
      <c r="B892" s="1" t="n">
        <v>45493</v>
      </c>
      <c r="C892" s="1" t="n">
        <v>45795</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30597-2024</t>
        </is>
      </c>
      <c r="B893" s="1" t="n">
        <v>45493</v>
      </c>
      <c r="C893" s="1" t="n">
        <v>45795</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30956-2024</t>
        </is>
      </c>
      <c r="B894" s="1" t="n">
        <v>45499</v>
      </c>
      <c r="C894" s="1" t="n">
        <v>45795</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30954-2024</t>
        </is>
      </c>
      <c r="B895" s="1" t="n">
        <v>45499</v>
      </c>
      <c r="C895" s="1" t="n">
        <v>45795</v>
      </c>
      <c r="D895" t="inlineStr">
        <is>
          <t>GOTLANDS LÄN</t>
        </is>
      </c>
      <c r="E895" t="inlineStr">
        <is>
          <t>GOTLAND</t>
        </is>
      </c>
      <c r="G895" t="n">
        <v>3.6</v>
      </c>
      <c r="H895" t="n">
        <v>0</v>
      </c>
      <c r="I895" t="n">
        <v>0</v>
      </c>
      <c r="J895" t="n">
        <v>0</v>
      </c>
      <c r="K895" t="n">
        <v>0</v>
      </c>
      <c r="L895" t="n">
        <v>0</v>
      </c>
      <c r="M895" t="n">
        <v>0</v>
      </c>
      <c r="N895" t="n">
        <v>0</v>
      </c>
      <c r="O895" t="n">
        <v>0</v>
      </c>
      <c r="P895" t="n">
        <v>0</v>
      </c>
      <c r="Q895" t="n">
        <v>0</v>
      </c>
      <c r="R895" s="2" t="inlineStr"/>
    </row>
    <row r="896" ht="15" customHeight="1">
      <c r="A896" t="inlineStr">
        <is>
          <t>A 31352-2024</t>
        </is>
      </c>
      <c r="B896" s="1" t="n">
        <v>45505</v>
      </c>
      <c r="C896" s="1" t="n">
        <v>45795</v>
      </c>
      <c r="D896" t="inlineStr">
        <is>
          <t>GOTLANDS LÄN</t>
        </is>
      </c>
      <c r="E896" t="inlineStr">
        <is>
          <t>GOTLAND</t>
        </is>
      </c>
      <c r="G896" t="n">
        <v>5.4</v>
      </c>
      <c r="H896" t="n">
        <v>0</v>
      </c>
      <c r="I896" t="n">
        <v>0</v>
      </c>
      <c r="J896" t="n">
        <v>0</v>
      </c>
      <c r="K896" t="n">
        <v>0</v>
      </c>
      <c r="L896" t="n">
        <v>0</v>
      </c>
      <c r="M896" t="n">
        <v>0</v>
      </c>
      <c r="N896" t="n">
        <v>0</v>
      </c>
      <c r="O896" t="n">
        <v>0</v>
      </c>
      <c r="P896" t="n">
        <v>0</v>
      </c>
      <c r="Q896" t="n">
        <v>0</v>
      </c>
      <c r="R896" s="2" t="inlineStr"/>
    </row>
    <row r="897" ht="15" customHeight="1">
      <c r="A897" t="inlineStr">
        <is>
          <t>A 31401-2024</t>
        </is>
      </c>
      <c r="B897" s="1" t="n">
        <v>45505</v>
      </c>
      <c r="C897" s="1" t="n">
        <v>45795</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31802-2024</t>
        </is>
      </c>
      <c r="B898" s="1" t="n">
        <v>45509</v>
      </c>
      <c r="C898" s="1" t="n">
        <v>45795</v>
      </c>
      <c r="D898" t="inlineStr">
        <is>
          <t>GOTLANDS LÄN</t>
        </is>
      </c>
      <c r="E898" t="inlineStr">
        <is>
          <t>GOTLAND</t>
        </is>
      </c>
      <c r="G898" t="n">
        <v>2.8</v>
      </c>
      <c r="H898" t="n">
        <v>0</v>
      </c>
      <c r="I898" t="n">
        <v>0</v>
      </c>
      <c r="J898" t="n">
        <v>0</v>
      </c>
      <c r="K898" t="n">
        <v>0</v>
      </c>
      <c r="L898" t="n">
        <v>0</v>
      </c>
      <c r="M898" t="n">
        <v>0</v>
      </c>
      <c r="N898" t="n">
        <v>0</v>
      </c>
      <c r="O898" t="n">
        <v>0</v>
      </c>
      <c r="P898" t="n">
        <v>0</v>
      </c>
      <c r="Q898" t="n">
        <v>0</v>
      </c>
      <c r="R898" s="2" t="inlineStr"/>
    </row>
    <row r="899" ht="15" customHeight="1">
      <c r="A899" t="inlineStr">
        <is>
          <t>A 32322-2024</t>
        </is>
      </c>
      <c r="B899" s="1" t="n">
        <v>45512</v>
      </c>
      <c r="C899" s="1" t="n">
        <v>45795</v>
      </c>
      <c r="D899" t="inlineStr">
        <is>
          <t>GOTLANDS LÄN</t>
        </is>
      </c>
      <c r="E899" t="inlineStr">
        <is>
          <t>GOTLAND</t>
        </is>
      </c>
      <c r="G899" t="n">
        <v>2.3</v>
      </c>
      <c r="H899" t="n">
        <v>0</v>
      </c>
      <c r="I899" t="n">
        <v>0</v>
      </c>
      <c r="J899" t="n">
        <v>0</v>
      </c>
      <c r="K899" t="n">
        <v>0</v>
      </c>
      <c r="L899" t="n">
        <v>0</v>
      </c>
      <c r="M899" t="n">
        <v>0</v>
      </c>
      <c r="N899" t="n">
        <v>0</v>
      </c>
      <c r="O899" t="n">
        <v>0</v>
      </c>
      <c r="P899" t="n">
        <v>0</v>
      </c>
      <c r="Q899" t="n">
        <v>0</v>
      </c>
      <c r="R899" s="2" t="inlineStr"/>
    </row>
    <row r="900" ht="15" customHeight="1">
      <c r="A900" t="inlineStr">
        <is>
          <t>A 32330-2024</t>
        </is>
      </c>
      <c r="B900" s="1" t="n">
        <v>45512</v>
      </c>
      <c r="C900" s="1" t="n">
        <v>45795</v>
      </c>
      <c r="D900" t="inlineStr">
        <is>
          <t>GOTLANDS LÄN</t>
        </is>
      </c>
      <c r="E900" t="inlineStr">
        <is>
          <t>GOTLAND</t>
        </is>
      </c>
      <c r="G900" t="n">
        <v>2.6</v>
      </c>
      <c r="H900" t="n">
        <v>0</v>
      </c>
      <c r="I900" t="n">
        <v>0</v>
      </c>
      <c r="J900" t="n">
        <v>0</v>
      </c>
      <c r="K900" t="n">
        <v>0</v>
      </c>
      <c r="L900" t="n">
        <v>0</v>
      </c>
      <c r="M900" t="n">
        <v>0</v>
      </c>
      <c r="N900" t="n">
        <v>0</v>
      </c>
      <c r="O900" t="n">
        <v>0</v>
      </c>
      <c r="P900" t="n">
        <v>0</v>
      </c>
      <c r="Q900" t="n">
        <v>0</v>
      </c>
      <c r="R900" s="2" t="inlineStr"/>
    </row>
    <row r="901" ht="15" customHeight="1">
      <c r="A901" t="inlineStr">
        <is>
          <t>A 32669-2024</t>
        </is>
      </c>
      <c r="B901" s="1" t="n">
        <v>45514</v>
      </c>
      <c r="C901" s="1" t="n">
        <v>45795</v>
      </c>
      <c r="D901" t="inlineStr">
        <is>
          <t>GOTLANDS LÄN</t>
        </is>
      </c>
      <c r="E901" t="inlineStr">
        <is>
          <t>GOTLAND</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33518-2024</t>
        </is>
      </c>
      <c r="B902" s="1" t="n">
        <v>45519</v>
      </c>
      <c r="C902" s="1" t="n">
        <v>45795</v>
      </c>
      <c r="D902" t="inlineStr">
        <is>
          <t>GOTLANDS LÄN</t>
        </is>
      </c>
      <c r="E902" t="inlineStr">
        <is>
          <t>GOTLAND</t>
        </is>
      </c>
      <c r="G902" t="n">
        <v>7.2</v>
      </c>
      <c r="H902" t="n">
        <v>0</v>
      </c>
      <c r="I902" t="n">
        <v>0</v>
      </c>
      <c r="J902" t="n">
        <v>0</v>
      </c>
      <c r="K902" t="n">
        <v>0</v>
      </c>
      <c r="L902" t="n">
        <v>0</v>
      </c>
      <c r="M902" t="n">
        <v>0</v>
      </c>
      <c r="N902" t="n">
        <v>0</v>
      </c>
      <c r="O902" t="n">
        <v>0</v>
      </c>
      <c r="P902" t="n">
        <v>0</v>
      </c>
      <c r="Q902" t="n">
        <v>0</v>
      </c>
      <c r="R902" s="2" t="inlineStr"/>
    </row>
    <row r="903" ht="15" customHeight="1">
      <c r="A903" t="inlineStr">
        <is>
          <t>A 33853-2024</t>
        </is>
      </c>
      <c r="B903" s="1" t="n">
        <v>45520</v>
      </c>
      <c r="C903" s="1" t="n">
        <v>45795</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33876-2024</t>
        </is>
      </c>
      <c r="B904" s="1" t="n">
        <v>45521</v>
      </c>
      <c r="C904" s="1" t="n">
        <v>45795</v>
      </c>
      <c r="D904" t="inlineStr">
        <is>
          <t>GOTLANDS LÄN</t>
        </is>
      </c>
      <c r="E904" t="inlineStr">
        <is>
          <t>GOTLAND</t>
        </is>
      </c>
      <c r="G904" t="n">
        <v>1.3</v>
      </c>
      <c r="H904" t="n">
        <v>0</v>
      </c>
      <c r="I904" t="n">
        <v>0</v>
      </c>
      <c r="J904" t="n">
        <v>0</v>
      </c>
      <c r="K904" t="n">
        <v>0</v>
      </c>
      <c r="L904" t="n">
        <v>0</v>
      </c>
      <c r="M904" t="n">
        <v>0</v>
      </c>
      <c r="N904" t="n">
        <v>0</v>
      </c>
      <c r="O904" t="n">
        <v>0</v>
      </c>
      <c r="P904" t="n">
        <v>0</v>
      </c>
      <c r="Q904" t="n">
        <v>0</v>
      </c>
      <c r="R904" s="2" t="inlineStr"/>
    </row>
    <row r="905" ht="15" customHeight="1">
      <c r="A905" t="inlineStr">
        <is>
          <t>A 33928-2024</t>
        </is>
      </c>
      <c r="B905" s="1" t="n">
        <v>45523</v>
      </c>
      <c r="C905" s="1" t="n">
        <v>45795</v>
      </c>
      <c r="D905" t="inlineStr">
        <is>
          <t>GOTLANDS LÄN</t>
        </is>
      </c>
      <c r="E905" t="inlineStr">
        <is>
          <t>GOTLAND</t>
        </is>
      </c>
      <c r="G905" t="n">
        <v>0.7</v>
      </c>
      <c r="H905" t="n">
        <v>0</v>
      </c>
      <c r="I905" t="n">
        <v>0</v>
      </c>
      <c r="J905" t="n">
        <v>0</v>
      </c>
      <c r="K905" t="n">
        <v>0</v>
      </c>
      <c r="L905" t="n">
        <v>0</v>
      </c>
      <c r="M905" t="n">
        <v>0</v>
      </c>
      <c r="N905" t="n">
        <v>0</v>
      </c>
      <c r="O905" t="n">
        <v>0</v>
      </c>
      <c r="P905" t="n">
        <v>0</v>
      </c>
      <c r="Q905" t="n">
        <v>0</v>
      </c>
      <c r="R905" s="2" t="inlineStr"/>
    </row>
    <row r="906" ht="15" customHeight="1">
      <c r="A906" t="inlineStr">
        <is>
          <t>A 34167-2024</t>
        </is>
      </c>
      <c r="B906" s="1" t="n">
        <v>45524</v>
      </c>
      <c r="C906" s="1" t="n">
        <v>45795</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34157-2024</t>
        </is>
      </c>
      <c r="B907" s="1" t="n">
        <v>45524</v>
      </c>
      <c r="C907" s="1" t="n">
        <v>45795</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34142-2024</t>
        </is>
      </c>
      <c r="B908" s="1" t="n">
        <v>45524</v>
      </c>
      <c r="C908" s="1" t="n">
        <v>45795</v>
      </c>
      <c r="D908" t="inlineStr">
        <is>
          <t>GOTLANDS LÄN</t>
        </is>
      </c>
      <c r="E908" t="inlineStr">
        <is>
          <t>GOTLAND</t>
        </is>
      </c>
      <c r="G908" t="n">
        <v>6</v>
      </c>
      <c r="H908" t="n">
        <v>0</v>
      </c>
      <c r="I908" t="n">
        <v>0</v>
      </c>
      <c r="J908" t="n">
        <v>0</v>
      </c>
      <c r="K908" t="n">
        <v>0</v>
      </c>
      <c r="L908" t="n">
        <v>0</v>
      </c>
      <c r="M908" t="n">
        <v>0</v>
      </c>
      <c r="N908" t="n">
        <v>0</v>
      </c>
      <c r="O908" t="n">
        <v>0</v>
      </c>
      <c r="P908" t="n">
        <v>0</v>
      </c>
      <c r="Q908" t="n">
        <v>0</v>
      </c>
      <c r="R908" s="2" t="inlineStr"/>
    </row>
    <row r="909" ht="15" customHeight="1">
      <c r="A909" t="inlineStr">
        <is>
          <t>A 34154-2024</t>
        </is>
      </c>
      <c r="B909" s="1" t="n">
        <v>45524</v>
      </c>
      <c r="C909" s="1" t="n">
        <v>45795</v>
      </c>
      <c r="D909" t="inlineStr">
        <is>
          <t>GOTLANDS LÄN</t>
        </is>
      </c>
      <c r="E909" t="inlineStr">
        <is>
          <t>GOTLAND</t>
        </is>
      </c>
      <c r="G909" t="n">
        <v>9.9</v>
      </c>
      <c r="H909" t="n">
        <v>0</v>
      </c>
      <c r="I909" t="n">
        <v>0</v>
      </c>
      <c r="J909" t="n">
        <v>0</v>
      </c>
      <c r="K909" t="n">
        <v>0</v>
      </c>
      <c r="L909" t="n">
        <v>0</v>
      </c>
      <c r="M909" t="n">
        <v>0</v>
      </c>
      <c r="N909" t="n">
        <v>0</v>
      </c>
      <c r="O909" t="n">
        <v>0</v>
      </c>
      <c r="P909" t="n">
        <v>0</v>
      </c>
      <c r="Q909" t="n">
        <v>0</v>
      </c>
      <c r="R909" s="2" t="inlineStr"/>
    </row>
    <row r="910" ht="15" customHeight="1">
      <c r="A910" t="inlineStr">
        <is>
          <t>A 34170-2024</t>
        </is>
      </c>
      <c r="B910" s="1" t="n">
        <v>45524</v>
      </c>
      <c r="C910" s="1" t="n">
        <v>45795</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34312-2024</t>
        </is>
      </c>
      <c r="B911" s="1" t="n">
        <v>45524</v>
      </c>
      <c r="C911" s="1" t="n">
        <v>45795</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35093-2024</t>
        </is>
      </c>
      <c r="B912" s="1" t="n">
        <v>45527</v>
      </c>
      <c r="C912" s="1" t="n">
        <v>45795</v>
      </c>
      <c r="D912" t="inlineStr">
        <is>
          <t>GOTLANDS LÄN</t>
        </is>
      </c>
      <c r="E912" t="inlineStr">
        <is>
          <t>GOTLAND</t>
        </is>
      </c>
      <c r="G912" t="n">
        <v>2.4</v>
      </c>
      <c r="H912" t="n">
        <v>0</v>
      </c>
      <c r="I912" t="n">
        <v>0</v>
      </c>
      <c r="J912" t="n">
        <v>0</v>
      </c>
      <c r="K912" t="n">
        <v>0</v>
      </c>
      <c r="L912" t="n">
        <v>0</v>
      </c>
      <c r="M912" t="n">
        <v>0</v>
      </c>
      <c r="N912" t="n">
        <v>0</v>
      </c>
      <c r="O912" t="n">
        <v>0</v>
      </c>
      <c r="P912" t="n">
        <v>0</v>
      </c>
      <c r="Q912" t="n">
        <v>0</v>
      </c>
      <c r="R912" s="2" t="inlineStr"/>
    </row>
    <row r="913" ht="15" customHeight="1">
      <c r="A913" t="inlineStr">
        <is>
          <t>A 36539-2024</t>
        </is>
      </c>
      <c r="B913" s="1" t="n">
        <v>45537</v>
      </c>
      <c r="C913" s="1" t="n">
        <v>45795</v>
      </c>
      <c r="D913" t="inlineStr">
        <is>
          <t>GOTLANDS LÄN</t>
        </is>
      </c>
      <c r="E913" t="inlineStr">
        <is>
          <t>GOTLAND</t>
        </is>
      </c>
      <c r="G913" t="n">
        <v>5.9</v>
      </c>
      <c r="H913" t="n">
        <v>0</v>
      </c>
      <c r="I913" t="n">
        <v>0</v>
      </c>
      <c r="J913" t="n">
        <v>0</v>
      </c>
      <c r="K913" t="n">
        <v>0</v>
      </c>
      <c r="L913" t="n">
        <v>0</v>
      </c>
      <c r="M913" t="n">
        <v>0</v>
      </c>
      <c r="N913" t="n">
        <v>0</v>
      </c>
      <c r="O913" t="n">
        <v>0</v>
      </c>
      <c r="P913" t="n">
        <v>0</v>
      </c>
      <c r="Q913" t="n">
        <v>0</v>
      </c>
      <c r="R913" s="2" t="inlineStr"/>
    </row>
    <row r="914" ht="15" customHeight="1">
      <c r="A914" t="inlineStr">
        <is>
          <t>A 37225-2024</t>
        </is>
      </c>
      <c r="B914" s="1" t="n">
        <v>45539</v>
      </c>
      <c r="C914" s="1" t="n">
        <v>45795</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37202-2024</t>
        </is>
      </c>
      <c r="B915" s="1" t="n">
        <v>45539</v>
      </c>
      <c r="C915" s="1" t="n">
        <v>45795</v>
      </c>
      <c r="D915" t="inlineStr">
        <is>
          <t>GOTLANDS LÄN</t>
        </is>
      </c>
      <c r="E915" t="inlineStr">
        <is>
          <t>GOTLAND</t>
        </is>
      </c>
      <c r="G915" t="n">
        <v>0.3</v>
      </c>
      <c r="H915" t="n">
        <v>0</v>
      </c>
      <c r="I915" t="n">
        <v>0</v>
      </c>
      <c r="J915" t="n">
        <v>0</v>
      </c>
      <c r="K915" t="n">
        <v>0</v>
      </c>
      <c r="L915" t="n">
        <v>0</v>
      </c>
      <c r="M915" t="n">
        <v>0</v>
      </c>
      <c r="N915" t="n">
        <v>0</v>
      </c>
      <c r="O915" t="n">
        <v>0</v>
      </c>
      <c r="P915" t="n">
        <v>0</v>
      </c>
      <c r="Q915" t="n">
        <v>0</v>
      </c>
      <c r="R915" s="2" t="inlineStr"/>
    </row>
    <row r="916" ht="15" customHeight="1">
      <c r="A916" t="inlineStr">
        <is>
          <t>A 37376-2024</t>
        </is>
      </c>
      <c r="B916" s="1" t="n">
        <v>45540</v>
      </c>
      <c r="C916" s="1" t="n">
        <v>45795</v>
      </c>
      <c r="D916" t="inlineStr">
        <is>
          <t>GOTLANDS LÄN</t>
        </is>
      </c>
      <c r="E916" t="inlineStr">
        <is>
          <t>GOTLAND</t>
        </is>
      </c>
      <c r="G916" t="n">
        <v>4.9</v>
      </c>
      <c r="H916" t="n">
        <v>0</v>
      </c>
      <c r="I916" t="n">
        <v>0</v>
      </c>
      <c r="J916" t="n">
        <v>0</v>
      </c>
      <c r="K916" t="n">
        <v>0</v>
      </c>
      <c r="L916" t="n">
        <v>0</v>
      </c>
      <c r="M916" t="n">
        <v>0</v>
      </c>
      <c r="N916" t="n">
        <v>0</v>
      </c>
      <c r="O916" t="n">
        <v>0</v>
      </c>
      <c r="P916" t="n">
        <v>0</v>
      </c>
      <c r="Q916" t="n">
        <v>0</v>
      </c>
      <c r="R916" s="2" t="inlineStr"/>
    </row>
    <row r="917" ht="15" customHeight="1">
      <c r="A917" t="inlineStr">
        <is>
          <t>A 37442-2024</t>
        </is>
      </c>
      <c r="B917" s="1" t="n">
        <v>45540</v>
      </c>
      <c r="C917" s="1" t="n">
        <v>45795</v>
      </c>
      <c r="D917" t="inlineStr">
        <is>
          <t>GOTLANDS LÄN</t>
        </is>
      </c>
      <c r="E917" t="inlineStr">
        <is>
          <t>GOTLAND</t>
        </is>
      </c>
      <c r="G917" t="n">
        <v>4.3</v>
      </c>
      <c r="H917" t="n">
        <v>0</v>
      </c>
      <c r="I917" t="n">
        <v>0</v>
      </c>
      <c r="J917" t="n">
        <v>0</v>
      </c>
      <c r="K917" t="n">
        <v>0</v>
      </c>
      <c r="L917" t="n">
        <v>0</v>
      </c>
      <c r="M917" t="n">
        <v>0</v>
      </c>
      <c r="N917" t="n">
        <v>0</v>
      </c>
      <c r="O917" t="n">
        <v>0</v>
      </c>
      <c r="P917" t="n">
        <v>0</v>
      </c>
      <c r="Q917" t="n">
        <v>0</v>
      </c>
      <c r="R917" s="2" t="inlineStr"/>
    </row>
    <row r="918" ht="15" customHeight="1">
      <c r="A918" t="inlineStr">
        <is>
          <t>A 37440-2024</t>
        </is>
      </c>
      <c r="B918" s="1" t="n">
        <v>45540</v>
      </c>
      <c r="C918" s="1" t="n">
        <v>45795</v>
      </c>
      <c r="D918" t="inlineStr">
        <is>
          <t>GOTLANDS LÄN</t>
        </is>
      </c>
      <c r="E918" t="inlineStr">
        <is>
          <t>GOTLAND</t>
        </is>
      </c>
      <c r="G918" t="n">
        <v>1</v>
      </c>
      <c r="H918" t="n">
        <v>0</v>
      </c>
      <c r="I918" t="n">
        <v>0</v>
      </c>
      <c r="J918" t="n">
        <v>0</v>
      </c>
      <c r="K918" t="n">
        <v>0</v>
      </c>
      <c r="L918" t="n">
        <v>0</v>
      </c>
      <c r="M918" t="n">
        <v>0</v>
      </c>
      <c r="N918" t="n">
        <v>0</v>
      </c>
      <c r="O918" t="n">
        <v>0</v>
      </c>
      <c r="P918" t="n">
        <v>0</v>
      </c>
      <c r="Q918" t="n">
        <v>0</v>
      </c>
      <c r="R918" s="2" t="inlineStr"/>
    </row>
    <row r="919" ht="15" customHeight="1">
      <c r="A919" t="inlineStr">
        <is>
          <t>A 37728-2024</t>
        </is>
      </c>
      <c r="B919" s="1" t="n">
        <v>45541</v>
      </c>
      <c r="C919" s="1" t="n">
        <v>45795</v>
      </c>
      <c r="D919" t="inlineStr">
        <is>
          <t>GOTLANDS LÄN</t>
        </is>
      </c>
      <c r="E919" t="inlineStr">
        <is>
          <t>GOTLAND</t>
        </is>
      </c>
      <c r="G919" t="n">
        <v>0.4</v>
      </c>
      <c r="H919" t="n">
        <v>0</v>
      </c>
      <c r="I919" t="n">
        <v>0</v>
      </c>
      <c r="J919" t="n">
        <v>0</v>
      </c>
      <c r="K919" t="n">
        <v>0</v>
      </c>
      <c r="L919" t="n">
        <v>0</v>
      </c>
      <c r="M919" t="n">
        <v>0</v>
      </c>
      <c r="N919" t="n">
        <v>0</v>
      </c>
      <c r="O919" t="n">
        <v>0</v>
      </c>
      <c r="P919" t="n">
        <v>0</v>
      </c>
      <c r="Q919" t="n">
        <v>0</v>
      </c>
      <c r="R919" s="2" t="inlineStr"/>
    </row>
    <row r="920" ht="15" customHeight="1">
      <c r="A920" t="inlineStr">
        <is>
          <t>A 37808-2024</t>
        </is>
      </c>
      <c r="B920" s="1" t="n">
        <v>45543</v>
      </c>
      <c r="C920" s="1" t="n">
        <v>45795</v>
      </c>
      <c r="D920" t="inlineStr">
        <is>
          <t>GOTLANDS LÄN</t>
        </is>
      </c>
      <c r="E920" t="inlineStr">
        <is>
          <t>GOTLAND</t>
        </is>
      </c>
      <c r="G920" t="n">
        <v>2.3</v>
      </c>
      <c r="H920" t="n">
        <v>0</v>
      </c>
      <c r="I920" t="n">
        <v>0</v>
      </c>
      <c r="J920" t="n">
        <v>0</v>
      </c>
      <c r="K920" t="n">
        <v>0</v>
      </c>
      <c r="L920" t="n">
        <v>0</v>
      </c>
      <c r="M920" t="n">
        <v>0</v>
      </c>
      <c r="N920" t="n">
        <v>0</v>
      </c>
      <c r="O920" t="n">
        <v>0</v>
      </c>
      <c r="P920" t="n">
        <v>0</v>
      </c>
      <c r="Q920" t="n">
        <v>0</v>
      </c>
      <c r="R920" s="2" t="inlineStr"/>
    </row>
    <row r="921" ht="15" customHeight="1">
      <c r="A921" t="inlineStr">
        <is>
          <t>A 39311-2024</t>
        </is>
      </c>
      <c r="B921" s="1" t="n">
        <v>45551</v>
      </c>
      <c r="C921" s="1" t="n">
        <v>45795</v>
      </c>
      <c r="D921" t="inlineStr">
        <is>
          <t>GOTLANDS LÄN</t>
        </is>
      </c>
      <c r="E921" t="inlineStr">
        <is>
          <t>GOTLAND</t>
        </is>
      </c>
      <c r="G921" t="n">
        <v>2.8</v>
      </c>
      <c r="H921" t="n">
        <v>0</v>
      </c>
      <c r="I921" t="n">
        <v>0</v>
      </c>
      <c r="J921" t="n">
        <v>0</v>
      </c>
      <c r="K921" t="n">
        <v>0</v>
      </c>
      <c r="L921" t="n">
        <v>0</v>
      </c>
      <c r="M921" t="n">
        <v>0</v>
      </c>
      <c r="N921" t="n">
        <v>0</v>
      </c>
      <c r="O921" t="n">
        <v>0</v>
      </c>
      <c r="P921" t="n">
        <v>0</v>
      </c>
      <c r="Q921" t="n">
        <v>0</v>
      </c>
      <c r="R921" s="2" t="inlineStr"/>
    </row>
    <row r="922" ht="15" customHeight="1">
      <c r="A922" t="inlineStr">
        <is>
          <t>A 41373-2024</t>
        </is>
      </c>
      <c r="B922" s="1" t="n">
        <v>45559</v>
      </c>
      <c r="C922" s="1" t="n">
        <v>45795</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41372-2024</t>
        </is>
      </c>
      <c r="B923" s="1" t="n">
        <v>45559</v>
      </c>
      <c r="C923" s="1" t="n">
        <v>45795</v>
      </c>
      <c r="D923" t="inlineStr">
        <is>
          <t>GOTLANDS LÄN</t>
        </is>
      </c>
      <c r="E923" t="inlineStr">
        <is>
          <t>GOTLAND</t>
        </is>
      </c>
      <c r="G923" t="n">
        <v>3.3</v>
      </c>
      <c r="H923" t="n">
        <v>0</v>
      </c>
      <c r="I923" t="n">
        <v>0</v>
      </c>
      <c r="J923" t="n">
        <v>0</v>
      </c>
      <c r="K923" t="n">
        <v>0</v>
      </c>
      <c r="L923" t="n">
        <v>0</v>
      </c>
      <c r="M923" t="n">
        <v>0</v>
      </c>
      <c r="N923" t="n">
        <v>0</v>
      </c>
      <c r="O923" t="n">
        <v>0</v>
      </c>
      <c r="P923" t="n">
        <v>0</v>
      </c>
      <c r="Q923" t="n">
        <v>0</v>
      </c>
      <c r="R923" s="2" t="inlineStr"/>
    </row>
    <row r="924" ht="15" customHeight="1">
      <c r="A924" t="inlineStr">
        <is>
          <t>A 41467-2024</t>
        </is>
      </c>
      <c r="B924" s="1" t="n">
        <v>45560</v>
      </c>
      <c r="C924" s="1" t="n">
        <v>45795</v>
      </c>
      <c r="D924" t="inlineStr">
        <is>
          <t>GOTLANDS LÄN</t>
        </is>
      </c>
      <c r="E924" t="inlineStr">
        <is>
          <t>GOTLAND</t>
        </is>
      </c>
      <c r="G924" t="n">
        <v>9</v>
      </c>
      <c r="H924" t="n">
        <v>0</v>
      </c>
      <c r="I924" t="n">
        <v>0</v>
      </c>
      <c r="J924" t="n">
        <v>0</v>
      </c>
      <c r="K924" t="n">
        <v>0</v>
      </c>
      <c r="L924" t="n">
        <v>0</v>
      </c>
      <c r="M924" t="n">
        <v>0</v>
      </c>
      <c r="N924" t="n">
        <v>0</v>
      </c>
      <c r="O924" t="n">
        <v>0</v>
      </c>
      <c r="P924" t="n">
        <v>0</v>
      </c>
      <c r="Q924" t="n">
        <v>0</v>
      </c>
      <c r="R924" s="2" t="inlineStr"/>
    </row>
    <row r="925" ht="15" customHeight="1">
      <c r="A925" t="inlineStr">
        <is>
          <t>A 42041-2024</t>
        </is>
      </c>
      <c r="B925" s="1" t="n">
        <v>45561</v>
      </c>
      <c r="C925" s="1" t="n">
        <v>45795</v>
      </c>
      <c r="D925" t="inlineStr">
        <is>
          <t>GOTLANDS LÄN</t>
        </is>
      </c>
      <c r="E925" t="inlineStr">
        <is>
          <t>GOTLAND</t>
        </is>
      </c>
      <c r="G925" t="n">
        <v>3.2</v>
      </c>
      <c r="H925" t="n">
        <v>0</v>
      </c>
      <c r="I925" t="n">
        <v>0</v>
      </c>
      <c r="J925" t="n">
        <v>0</v>
      </c>
      <c r="K925" t="n">
        <v>0</v>
      </c>
      <c r="L925" t="n">
        <v>0</v>
      </c>
      <c r="M925" t="n">
        <v>0</v>
      </c>
      <c r="N925" t="n">
        <v>0</v>
      </c>
      <c r="O925" t="n">
        <v>0</v>
      </c>
      <c r="P925" t="n">
        <v>0</v>
      </c>
      <c r="Q925" t="n">
        <v>0</v>
      </c>
      <c r="R925" s="2" t="inlineStr"/>
    </row>
    <row r="926" ht="15" customHeight="1">
      <c r="A926" t="inlineStr">
        <is>
          <t>A 42340-2024</t>
        </is>
      </c>
      <c r="B926" s="1" t="n">
        <v>45562</v>
      </c>
      <c r="C926" s="1" t="n">
        <v>45795</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42348-2024</t>
        </is>
      </c>
      <c r="B927" s="1" t="n">
        <v>45562</v>
      </c>
      <c r="C927" s="1" t="n">
        <v>45795</v>
      </c>
      <c r="D927" t="inlineStr">
        <is>
          <t>GOTLANDS LÄN</t>
        </is>
      </c>
      <c r="E927" t="inlineStr">
        <is>
          <t>GOTLAND</t>
        </is>
      </c>
      <c r="G927" t="n">
        <v>1.6</v>
      </c>
      <c r="H927" t="n">
        <v>0</v>
      </c>
      <c r="I927" t="n">
        <v>0</v>
      </c>
      <c r="J927" t="n">
        <v>0</v>
      </c>
      <c r="K927" t="n">
        <v>0</v>
      </c>
      <c r="L927" t="n">
        <v>0</v>
      </c>
      <c r="M927" t="n">
        <v>0</v>
      </c>
      <c r="N927" t="n">
        <v>0</v>
      </c>
      <c r="O927" t="n">
        <v>0</v>
      </c>
      <c r="P927" t="n">
        <v>0</v>
      </c>
      <c r="Q927" t="n">
        <v>0</v>
      </c>
      <c r="R927" s="2" t="inlineStr"/>
    </row>
    <row r="928" ht="15" customHeight="1">
      <c r="A928" t="inlineStr">
        <is>
          <t>A 42346-2024</t>
        </is>
      </c>
      <c r="B928" s="1" t="n">
        <v>45562</v>
      </c>
      <c r="C928" s="1" t="n">
        <v>45795</v>
      </c>
      <c r="D928" t="inlineStr">
        <is>
          <t>GOTLANDS LÄN</t>
        </is>
      </c>
      <c r="E928" t="inlineStr">
        <is>
          <t>GOTLAND</t>
        </is>
      </c>
      <c r="G928" t="n">
        <v>1.3</v>
      </c>
      <c r="H928" t="n">
        <v>0</v>
      </c>
      <c r="I928" t="n">
        <v>0</v>
      </c>
      <c r="J928" t="n">
        <v>0</v>
      </c>
      <c r="K928" t="n">
        <v>0</v>
      </c>
      <c r="L928" t="n">
        <v>0</v>
      </c>
      <c r="M928" t="n">
        <v>0</v>
      </c>
      <c r="N928" t="n">
        <v>0</v>
      </c>
      <c r="O928" t="n">
        <v>0</v>
      </c>
      <c r="P928" t="n">
        <v>0</v>
      </c>
      <c r="Q928" t="n">
        <v>0</v>
      </c>
      <c r="R928" s="2" t="inlineStr"/>
    </row>
    <row r="929" ht="15" customHeight="1">
      <c r="A929" t="inlineStr">
        <is>
          <t>A 43785-2024</t>
        </is>
      </c>
      <c r="B929" s="1" t="n">
        <v>45570</v>
      </c>
      <c r="C929" s="1" t="n">
        <v>45795</v>
      </c>
      <c r="D929" t="inlineStr">
        <is>
          <t>GOTLANDS LÄN</t>
        </is>
      </c>
      <c r="E929" t="inlineStr">
        <is>
          <t>GOTLAND</t>
        </is>
      </c>
      <c r="G929" t="n">
        <v>12.6</v>
      </c>
      <c r="H929" t="n">
        <v>0</v>
      </c>
      <c r="I929" t="n">
        <v>0</v>
      </c>
      <c r="J929" t="n">
        <v>0</v>
      </c>
      <c r="K929" t="n">
        <v>0</v>
      </c>
      <c r="L929" t="n">
        <v>0</v>
      </c>
      <c r="M929" t="n">
        <v>0</v>
      </c>
      <c r="N929" t="n">
        <v>0</v>
      </c>
      <c r="O929" t="n">
        <v>0</v>
      </c>
      <c r="P929" t="n">
        <v>0</v>
      </c>
      <c r="Q929" t="n">
        <v>0</v>
      </c>
      <c r="R929" s="2" t="inlineStr"/>
    </row>
    <row r="930" ht="15" customHeight="1">
      <c r="A930" t="inlineStr">
        <is>
          <t>A 43784-2024</t>
        </is>
      </c>
      <c r="B930" s="1" t="n">
        <v>45570</v>
      </c>
      <c r="C930" s="1" t="n">
        <v>45795</v>
      </c>
      <c r="D930" t="inlineStr">
        <is>
          <t>GOTLANDS LÄN</t>
        </is>
      </c>
      <c r="E930" t="inlineStr">
        <is>
          <t>GOTLAND</t>
        </is>
      </c>
      <c r="G930" t="n">
        <v>9.1</v>
      </c>
      <c r="H930" t="n">
        <v>0</v>
      </c>
      <c r="I930" t="n">
        <v>0</v>
      </c>
      <c r="J930" t="n">
        <v>0</v>
      </c>
      <c r="K930" t="n">
        <v>0</v>
      </c>
      <c r="L930" t="n">
        <v>0</v>
      </c>
      <c r="M930" t="n">
        <v>0</v>
      </c>
      <c r="N930" t="n">
        <v>0</v>
      </c>
      <c r="O930" t="n">
        <v>0</v>
      </c>
      <c r="P930" t="n">
        <v>0</v>
      </c>
      <c r="Q930" t="n">
        <v>0</v>
      </c>
      <c r="R930" s="2" t="inlineStr"/>
    </row>
    <row r="931" ht="15" customHeight="1">
      <c r="A931" t="inlineStr">
        <is>
          <t>A 43787-2024</t>
        </is>
      </c>
      <c r="B931" s="1" t="n">
        <v>45571</v>
      </c>
      <c r="C931" s="1" t="n">
        <v>45795</v>
      </c>
      <c r="D931" t="inlineStr">
        <is>
          <t>GOTLANDS LÄN</t>
        </is>
      </c>
      <c r="E931" t="inlineStr">
        <is>
          <t>GOTLAND</t>
        </is>
      </c>
      <c r="G931" t="n">
        <v>1.9</v>
      </c>
      <c r="H931" t="n">
        <v>0</v>
      </c>
      <c r="I931" t="n">
        <v>0</v>
      </c>
      <c r="J931" t="n">
        <v>0</v>
      </c>
      <c r="K931" t="n">
        <v>0</v>
      </c>
      <c r="L931" t="n">
        <v>0</v>
      </c>
      <c r="M931" t="n">
        <v>0</v>
      </c>
      <c r="N931" t="n">
        <v>0</v>
      </c>
      <c r="O931" t="n">
        <v>0</v>
      </c>
      <c r="P931" t="n">
        <v>0</v>
      </c>
      <c r="Q931" t="n">
        <v>0</v>
      </c>
      <c r="R931" s="2" t="inlineStr"/>
    </row>
    <row r="932" ht="15" customHeight="1">
      <c r="A932" t="inlineStr">
        <is>
          <t>A 43790-2024</t>
        </is>
      </c>
      <c r="B932" s="1" t="n">
        <v>45571</v>
      </c>
      <c r="C932" s="1" t="n">
        <v>45795</v>
      </c>
      <c r="D932" t="inlineStr">
        <is>
          <t>GOTLANDS LÄN</t>
        </is>
      </c>
      <c r="E932" t="inlineStr">
        <is>
          <t>GOTLAND</t>
        </is>
      </c>
      <c r="G932" t="n">
        <v>3.5</v>
      </c>
      <c r="H932" t="n">
        <v>0</v>
      </c>
      <c r="I932" t="n">
        <v>0</v>
      </c>
      <c r="J932" t="n">
        <v>0</v>
      </c>
      <c r="K932" t="n">
        <v>0</v>
      </c>
      <c r="L932" t="n">
        <v>0</v>
      </c>
      <c r="M932" t="n">
        <v>0</v>
      </c>
      <c r="N932" t="n">
        <v>0</v>
      </c>
      <c r="O932" t="n">
        <v>0</v>
      </c>
      <c r="P932" t="n">
        <v>0</v>
      </c>
      <c r="Q932" t="n">
        <v>0</v>
      </c>
      <c r="R932" s="2" t="inlineStr"/>
    </row>
    <row r="933" ht="15" customHeight="1">
      <c r="A933" t="inlineStr">
        <is>
          <t>A 43788-2024</t>
        </is>
      </c>
      <c r="B933" s="1" t="n">
        <v>45571</v>
      </c>
      <c r="C933" s="1" t="n">
        <v>45795</v>
      </c>
      <c r="D933" t="inlineStr">
        <is>
          <t>GOTLANDS LÄN</t>
        </is>
      </c>
      <c r="E933" t="inlineStr">
        <is>
          <t>GOTLAND</t>
        </is>
      </c>
      <c r="G933" t="n">
        <v>4.1</v>
      </c>
      <c r="H933" t="n">
        <v>0</v>
      </c>
      <c r="I933" t="n">
        <v>0</v>
      </c>
      <c r="J933" t="n">
        <v>0</v>
      </c>
      <c r="K933" t="n">
        <v>0</v>
      </c>
      <c r="L933" t="n">
        <v>0</v>
      </c>
      <c r="M933" t="n">
        <v>0</v>
      </c>
      <c r="N933" t="n">
        <v>0</v>
      </c>
      <c r="O933" t="n">
        <v>0</v>
      </c>
      <c r="P933" t="n">
        <v>0</v>
      </c>
      <c r="Q933" t="n">
        <v>0</v>
      </c>
      <c r="R933" s="2" t="inlineStr"/>
    </row>
    <row r="934" ht="15" customHeight="1">
      <c r="A934" t="inlineStr">
        <is>
          <t>A 44416-2024</t>
        </is>
      </c>
      <c r="B934" s="1" t="n">
        <v>45573</v>
      </c>
      <c r="C934" s="1" t="n">
        <v>45795</v>
      </c>
      <c r="D934" t="inlineStr">
        <is>
          <t>GOTLANDS LÄN</t>
        </is>
      </c>
      <c r="E934" t="inlineStr">
        <is>
          <t>GOTLAND</t>
        </is>
      </c>
      <c r="G934" t="n">
        <v>0.8</v>
      </c>
      <c r="H934" t="n">
        <v>0</v>
      </c>
      <c r="I934" t="n">
        <v>0</v>
      </c>
      <c r="J934" t="n">
        <v>0</v>
      </c>
      <c r="K934" t="n">
        <v>0</v>
      </c>
      <c r="L934" t="n">
        <v>0</v>
      </c>
      <c r="M934" t="n">
        <v>0</v>
      </c>
      <c r="N934" t="n">
        <v>0</v>
      </c>
      <c r="O934" t="n">
        <v>0</v>
      </c>
      <c r="P934" t="n">
        <v>0</v>
      </c>
      <c r="Q934" t="n">
        <v>0</v>
      </c>
      <c r="R934" s="2" t="inlineStr"/>
    </row>
    <row r="935" ht="15" customHeight="1">
      <c r="A935" t="inlineStr">
        <is>
          <t>A 44513-2024</t>
        </is>
      </c>
      <c r="B935" s="1" t="n">
        <v>45574</v>
      </c>
      <c r="C935" s="1" t="n">
        <v>45795</v>
      </c>
      <c r="D935" t="inlineStr">
        <is>
          <t>GOTLANDS LÄN</t>
        </is>
      </c>
      <c r="E935" t="inlineStr">
        <is>
          <t>GOTLAND</t>
        </is>
      </c>
      <c r="G935" t="n">
        <v>6.1</v>
      </c>
      <c r="H935" t="n">
        <v>0</v>
      </c>
      <c r="I935" t="n">
        <v>0</v>
      </c>
      <c r="J935" t="n">
        <v>0</v>
      </c>
      <c r="K935" t="n">
        <v>0</v>
      </c>
      <c r="L935" t="n">
        <v>0</v>
      </c>
      <c r="M935" t="n">
        <v>0</v>
      </c>
      <c r="N935" t="n">
        <v>0</v>
      </c>
      <c r="O935" t="n">
        <v>0</v>
      </c>
      <c r="P935" t="n">
        <v>0</v>
      </c>
      <c r="Q935" t="n">
        <v>0</v>
      </c>
      <c r="R935" s="2" t="inlineStr"/>
    </row>
    <row r="936" ht="15" customHeight="1">
      <c r="A936" t="inlineStr">
        <is>
          <t>A 45112-2024</t>
        </is>
      </c>
      <c r="B936" s="1" t="n">
        <v>45575</v>
      </c>
      <c r="C936" s="1" t="n">
        <v>45795</v>
      </c>
      <c r="D936" t="inlineStr">
        <is>
          <t>GOTLANDS LÄN</t>
        </is>
      </c>
      <c r="E936" t="inlineStr">
        <is>
          <t>GOTLAND</t>
        </is>
      </c>
      <c r="G936" t="n">
        <v>5.1</v>
      </c>
      <c r="H936" t="n">
        <v>0</v>
      </c>
      <c r="I936" t="n">
        <v>0</v>
      </c>
      <c r="J936" t="n">
        <v>0</v>
      </c>
      <c r="K936" t="n">
        <v>0</v>
      </c>
      <c r="L936" t="n">
        <v>0</v>
      </c>
      <c r="M936" t="n">
        <v>0</v>
      </c>
      <c r="N936" t="n">
        <v>0</v>
      </c>
      <c r="O936" t="n">
        <v>0</v>
      </c>
      <c r="P936" t="n">
        <v>0</v>
      </c>
      <c r="Q936" t="n">
        <v>0</v>
      </c>
      <c r="R936" s="2" t="inlineStr"/>
    </row>
    <row r="937" ht="15" customHeight="1">
      <c r="A937" t="inlineStr">
        <is>
          <t>A 45101-2024</t>
        </is>
      </c>
      <c r="B937" s="1" t="n">
        <v>45575</v>
      </c>
      <c r="C937" s="1" t="n">
        <v>45795</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45106-2024</t>
        </is>
      </c>
      <c r="B938" s="1" t="n">
        <v>45575</v>
      </c>
      <c r="C938" s="1" t="n">
        <v>45795</v>
      </c>
      <c r="D938" t="inlineStr">
        <is>
          <t>GOTLANDS LÄN</t>
        </is>
      </c>
      <c r="E938" t="inlineStr">
        <is>
          <t>GOTLAND</t>
        </is>
      </c>
      <c r="G938" t="n">
        <v>10</v>
      </c>
      <c r="H938" t="n">
        <v>0</v>
      </c>
      <c r="I938" t="n">
        <v>0</v>
      </c>
      <c r="J938" t="n">
        <v>0</v>
      </c>
      <c r="K938" t="n">
        <v>0</v>
      </c>
      <c r="L938" t="n">
        <v>0</v>
      </c>
      <c r="M938" t="n">
        <v>0</v>
      </c>
      <c r="N938" t="n">
        <v>0</v>
      </c>
      <c r="O938" t="n">
        <v>0</v>
      </c>
      <c r="P938" t="n">
        <v>0</v>
      </c>
      <c r="Q938" t="n">
        <v>0</v>
      </c>
      <c r="R938" s="2" t="inlineStr"/>
    </row>
    <row r="939" ht="15" customHeight="1">
      <c r="A939" t="inlineStr">
        <is>
          <t>A 44892-2024</t>
        </is>
      </c>
      <c r="B939" s="1" t="n">
        <v>45575</v>
      </c>
      <c r="C939" s="1" t="n">
        <v>45795</v>
      </c>
      <c r="D939" t="inlineStr">
        <is>
          <t>GOTLANDS LÄN</t>
        </is>
      </c>
      <c r="E939" t="inlineStr">
        <is>
          <t>GOTLAND</t>
        </is>
      </c>
      <c r="G939" t="n">
        <v>2.9</v>
      </c>
      <c r="H939" t="n">
        <v>0</v>
      </c>
      <c r="I939" t="n">
        <v>0</v>
      </c>
      <c r="J939" t="n">
        <v>0</v>
      </c>
      <c r="K939" t="n">
        <v>0</v>
      </c>
      <c r="L939" t="n">
        <v>0</v>
      </c>
      <c r="M939" t="n">
        <v>0</v>
      </c>
      <c r="N939" t="n">
        <v>0</v>
      </c>
      <c r="O939" t="n">
        <v>0</v>
      </c>
      <c r="P939" t="n">
        <v>0</v>
      </c>
      <c r="Q939" t="n">
        <v>0</v>
      </c>
      <c r="R939" s="2" t="inlineStr"/>
    </row>
    <row r="940" ht="15" customHeight="1">
      <c r="A940" t="inlineStr">
        <is>
          <t>A 45079-2024</t>
        </is>
      </c>
      <c r="B940" s="1" t="n">
        <v>45575</v>
      </c>
      <c r="C940" s="1" t="n">
        <v>45795</v>
      </c>
      <c r="D940" t="inlineStr">
        <is>
          <t>GOTLANDS LÄN</t>
        </is>
      </c>
      <c r="E940" t="inlineStr">
        <is>
          <t>GOTLAND</t>
        </is>
      </c>
      <c r="G940" t="n">
        <v>3.9</v>
      </c>
      <c r="H940" t="n">
        <v>0</v>
      </c>
      <c r="I940" t="n">
        <v>0</v>
      </c>
      <c r="J940" t="n">
        <v>0</v>
      </c>
      <c r="K940" t="n">
        <v>0</v>
      </c>
      <c r="L940" t="n">
        <v>0</v>
      </c>
      <c r="M940" t="n">
        <v>0</v>
      </c>
      <c r="N940" t="n">
        <v>0</v>
      </c>
      <c r="O940" t="n">
        <v>0</v>
      </c>
      <c r="P940" t="n">
        <v>0</v>
      </c>
      <c r="Q940" t="n">
        <v>0</v>
      </c>
      <c r="R940" s="2" t="inlineStr"/>
    </row>
    <row r="941" ht="15" customHeight="1">
      <c r="A941" t="inlineStr">
        <is>
          <t>A 45084-2024</t>
        </is>
      </c>
      <c r="B941" s="1" t="n">
        <v>45575</v>
      </c>
      <c r="C941" s="1" t="n">
        <v>45795</v>
      </c>
      <c r="D941" t="inlineStr">
        <is>
          <t>GOTLANDS LÄN</t>
        </is>
      </c>
      <c r="E941" t="inlineStr">
        <is>
          <t>GOTLAND</t>
        </is>
      </c>
      <c r="G941" t="n">
        <v>6.8</v>
      </c>
      <c r="H941" t="n">
        <v>0</v>
      </c>
      <c r="I941" t="n">
        <v>0</v>
      </c>
      <c r="J941" t="n">
        <v>0</v>
      </c>
      <c r="K941" t="n">
        <v>0</v>
      </c>
      <c r="L941" t="n">
        <v>0</v>
      </c>
      <c r="M941" t="n">
        <v>0</v>
      </c>
      <c r="N941" t="n">
        <v>0</v>
      </c>
      <c r="O941" t="n">
        <v>0</v>
      </c>
      <c r="P941" t="n">
        <v>0</v>
      </c>
      <c r="Q941" t="n">
        <v>0</v>
      </c>
      <c r="R941" s="2" t="inlineStr"/>
    </row>
    <row r="942" ht="15" customHeight="1">
      <c r="A942" t="inlineStr">
        <is>
          <t>A 44879-2024</t>
        </is>
      </c>
      <c r="B942" s="1" t="n">
        <v>45575</v>
      </c>
      <c r="C942" s="1" t="n">
        <v>45795</v>
      </c>
      <c r="D942" t="inlineStr">
        <is>
          <t>GOTLANDS LÄN</t>
        </is>
      </c>
      <c r="E942" t="inlineStr">
        <is>
          <t>GOTLAND</t>
        </is>
      </c>
      <c r="G942" t="n">
        <v>18.9</v>
      </c>
      <c r="H942" t="n">
        <v>0</v>
      </c>
      <c r="I942" t="n">
        <v>0</v>
      </c>
      <c r="J942" t="n">
        <v>0</v>
      </c>
      <c r="K942" t="n">
        <v>0</v>
      </c>
      <c r="L942" t="n">
        <v>0</v>
      </c>
      <c r="M942" t="n">
        <v>0</v>
      </c>
      <c r="N942" t="n">
        <v>0</v>
      </c>
      <c r="O942" t="n">
        <v>0</v>
      </c>
      <c r="P942" t="n">
        <v>0</v>
      </c>
      <c r="Q942" t="n">
        <v>0</v>
      </c>
      <c r="R942" s="2" t="inlineStr"/>
    </row>
    <row r="943" ht="15" customHeight="1">
      <c r="A943" t="inlineStr">
        <is>
          <t>A 45244-2024</t>
        </is>
      </c>
      <c r="B943" s="1" t="n">
        <v>45576</v>
      </c>
      <c r="C943" s="1" t="n">
        <v>45795</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46540-2024</t>
        </is>
      </c>
      <c r="B944" s="1" t="n">
        <v>45582</v>
      </c>
      <c r="C944" s="1" t="n">
        <v>45795</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46548-2024</t>
        </is>
      </c>
      <c r="B945" s="1" t="n">
        <v>45582</v>
      </c>
      <c r="C945" s="1" t="n">
        <v>45795</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46560-2024</t>
        </is>
      </c>
      <c r="B946" s="1" t="n">
        <v>45582</v>
      </c>
      <c r="C946" s="1" t="n">
        <v>45795</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46555-2024</t>
        </is>
      </c>
      <c r="B947" s="1" t="n">
        <v>45582</v>
      </c>
      <c r="C947" s="1" t="n">
        <v>45795</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46375-2024</t>
        </is>
      </c>
      <c r="B948" s="1" t="n">
        <v>45582</v>
      </c>
      <c r="C948" s="1" t="n">
        <v>45795</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46545-2024</t>
        </is>
      </c>
      <c r="B949" s="1" t="n">
        <v>45582</v>
      </c>
      <c r="C949" s="1" t="n">
        <v>45795</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46929-2024</t>
        </is>
      </c>
      <c r="B950" s="1" t="n">
        <v>45584</v>
      </c>
      <c r="C950" s="1" t="n">
        <v>45795</v>
      </c>
      <c r="D950" t="inlineStr">
        <is>
          <t>GOTLANDS LÄN</t>
        </is>
      </c>
      <c r="E950" t="inlineStr">
        <is>
          <t>GOTLAND</t>
        </is>
      </c>
      <c r="G950" t="n">
        <v>2.5</v>
      </c>
      <c r="H950" t="n">
        <v>0</v>
      </c>
      <c r="I950" t="n">
        <v>0</v>
      </c>
      <c r="J950" t="n">
        <v>0</v>
      </c>
      <c r="K950" t="n">
        <v>0</v>
      </c>
      <c r="L950" t="n">
        <v>0</v>
      </c>
      <c r="M950" t="n">
        <v>0</v>
      </c>
      <c r="N950" t="n">
        <v>0</v>
      </c>
      <c r="O950" t="n">
        <v>0</v>
      </c>
      <c r="P950" t="n">
        <v>0</v>
      </c>
      <c r="Q950" t="n">
        <v>0</v>
      </c>
      <c r="R950" s="2" t="inlineStr"/>
    </row>
    <row r="951" ht="15" customHeight="1">
      <c r="A951" t="inlineStr">
        <is>
          <t>A 46928-2024</t>
        </is>
      </c>
      <c r="B951" s="1" t="n">
        <v>45584</v>
      </c>
      <c r="C951" s="1" t="n">
        <v>45795</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46930-2024</t>
        </is>
      </c>
      <c r="B952" s="1" t="n">
        <v>45584</v>
      </c>
      <c r="C952" s="1" t="n">
        <v>45795</v>
      </c>
      <c r="D952" t="inlineStr">
        <is>
          <t>GOTLANDS LÄN</t>
        </is>
      </c>
      <c r="E952" t="inlineStr">
        <is>
          <t>GOTLAND</t>
        </is>
      </c>
      <c r="G952" t="n">
        <v>1.8</v>
      </c>
      <c r="H952" t="n">
        <v>0</v>
      </c>
      <c r="I952" t="n">
        <v>0</v>
      </c>
      <c r="J952" t="n">
        <v>0</v>
      </c>
      <c r="K952" t="n">
        <v>0</v>
      </c>
      <c r="L952" t="n">
        <v>0</v>
      </c>
      <c r="M952" t="n">
        <v>0</v>
      </c>
      <c r="N952" t="n">
        <v>0</v>
      </c>
      <c r="O952" t="n">
        <v>0</v>
      </c>
      <c r="P952" t="n">
        <v>0</v>
      </c>
      <c r="Q952" t="n">
        <v>0</v>
      </c>
      <c r="R952" s="2" t="inlineStr"/>
    </row>
    <row r="953" ht="15" customHeight="1">
      <c r="A953" t="inlineStr">
        <is>
          <t>A 46949-2024</t>
        </is>
      </c>
      <c r="B953" s="1" t="n">
        <v>45585</v>
      </c>
      <c r="C953" s="1" t="n">
        <v>45795</v>
      </c>
      <c r="D953" t="inlineStr">
        <is>
          <t>GOTLANDS LÄN</t>
        </is>
      </c>
      <c r="E953" t="inlineStr">
        <is>
          <t>GOTLAND</t>
        </is>
      </c>
      <c r="G953" t="n">
        <v>0.6</v>
      </c>
      <c r="H953" t="n">
        <v>0</v>
      </c>
      <c r="I953" t="n">
        <v>0</v>
      </c>
      <c r="J953" t="n">
        <v>0</v>
      </c>
      <c r="K953" t="n">
        <v>0</v>
      </c>
      <c r="L953" t="n">
        <v>0</v>
      </c>
      <c r="M953" t="n">
        <v>0</v>
      </c>
      <c r="N953" t="n">
        <v>0</v>
      </c>
      <c r="O953" t="n">
        <v>0</v>
      </c>
      <c r="P953" t="n">
        <v>0</v>
      </c>
      <c r="Q953" t="n">
        <v>0</v>
      </c>
      <c r="R953" s="2" t="inlineStr"/>
    </row>
    <row r="954" ht="15" customHeight="1">
      <c r="A954" t="inlineStr">
        <is>
          <t>A 47292-2024</t>
        </is>
      </c>
      <c r="B954" s="1" t="n">
        <v>45586</v>
      </c>
      <c r="C954" s="1" t="n">
        <v>45795</v>
      </c>
      <c r="D954" t="inlineStr">
        <is>
          <t>GOTLANDS LÄN</t>
        </is>
      </c>
      <c r="E954" t="inlineStr">
        <is>
          <t>GOTLAND</t>
        </is>
      </c>
      <c r="G954" t="n">
        <v>5.9</v>
      </c>
      <c r="H954" t="n">
        <v>0</v>
      </c>
      <c r="I954" t="n">
        <v>0</v>
      </c>
      <c r="J954" t="n">
        <v>0</v>
      </c>
      <c r="K954" t="n">
        <v>0</v>
      </c>
      <c r="L954" t="n">
        <v>0</v>
      </c>
      <c r="M954" t="n">
        <v>0</v>
      </c>
      <c r="N954" t="n">
        <v>0</v>
      </c>
      <c r="O954" t="n">
        <v>0</v>
      </c>
      <c r="P954" t="n">
        <v>0</v>
      </c>
      <c r="Q954" t="n">
        <v>0</v>
      </c>
      <c r="R954" s="2" t="inlineStr"/>
    </row>
    <row r="955" ht="15" customHeight="1">
      <c r="A955" t="inlineStr">
        <is>
          <t>A 48032-2024</t>
        </is>
      </c>
      <c r="B955" s="1" t="n">
        <v>45589</v>
      </c>
      <c r="C955" s="1" t="n">
        <v>45795</v>
      </c>
      <c r="D955" t="inlineStr">
        <is>
          <t>GOTLANDS LÄN</t>
        </is>
      </c>
      <c r="E955" t="inlineStr">
        <is>
          <t>GOTLAND</t>
        </is>
      </c>
      <c r="G955" t="n">
        <v>11.5</v>
      </c>
      <c r="H955" t="n">
        <v>0</v>
      </c>
      <c r="I955" t="n">
        <v>0</v>
      </c>
      <c r="J955" t="n">
        <v>0</v>
      </c>
      <c r="K955" t="n">
        <v>0</v>
      </c>
      <c r="L955" t="n">
        <v>0</v>
      </c>
      <c r="M955" t="n">
        <v>0</v>
      </c>
      <c r="N955" t="n">
        <v>0</v>
      </c>
      <c r="O955" t="n">
        <v>0</v>
      </c>
      <c r="P955" t="n">
        <v>0</v>
      </c>
      <c r="Q955" t="n">
        <v>0</v>
      </c>
      <c r="R955" s="2" t="inlineStr"/>
    </row>
    <row r="956" ht="15" customHeight="1">
      <c r="A956" t="inlineStr">
        <is>
          <t>A 48843-2024</t>
        </is>
      </c>
      <c r="B956" s="1" t="n">
        <v>45593</v>
      </c>
      <c r="C956" s="1" t="n">
        <v>45795</v>
      </c>
      <c r="D956" t="inlineStr">
        <is>
          <t>GOTLANDS LÄN</t>
        </is>
      </c>
      <c r="E956" t="inlineStr">
        <is>
          <t>GOTLAND</t>
        </is>
      </c>
      <c r="G956" t="n">
        <v>0.5</v>
      </c>
      <c r="H956" t="n">
        <v>0</v>
      </c>
      <c r="I956" t="n">
        <v>0</v>
      </c>
      <c r="J956" t="n">
        <v>0</v>
      </c>
      <c r="K956" t="n">
        <v>0</v>
      </c>
      <c r="L956" t="n">
        <v>0</v>
      </c>
      <c r="M956" t="n">
        <v>0</v>
      </c>
      <c r="N956" t="n">
        <v>0</v>
      </c>
      <c r="O956" t="n">
        <v>0</v>
      </c>
      <c r="P956" t="n">
        <v>0</v>
      </c>
      <c r="Q956" t="n">
        <v>0</v>
      </c>
      <c r="R956" s="2" t="inlineStr"/>
    </row>
    <row r="957" ht="15" customHeight="1">
      <c r="A957" t="inlineStr">
        <is>
          <t>A 49201-2024</t>
        </is>
      </c>
      <c r="B957" s="1" t="n">
        <v>45595</v>
      </c>
      <c r="C957" s="1" t="n">
        <v>45795</v>
      </c>
      <c r="D957" t="inlineStr">
        <is>
          <t>GOTLANDS LÄN</t>
        </is>
      </c>
      <c r="E957" t="inlineStr">
        <is>
          <t>GOTLAND</t>
        </is>
      </c>
      <c r="G957" t="n">
        <v>5.8</v>
      </c>
      <c r="H957" t="n">
        <v>0</v>
      </c>
      <c r="I957" t="n">
        <v>0</v>
      </c>
      <c r="J957" t="n">
        <v>0</v>
      </c>
      <c r="K957" t="n">
        <v>0</v>
      </c>
      <c r="L957" t="n">
        <v>0</v>
      </c>
      <c r="M957" t="n">
        <v>0</v>
      </c>
      <c r="N957" t="n">
        <v>0</v>
      </c>
      <c r="O957" t="n">
        <v>0</v>
      </c>
      <c r="P957" t="n">
        <v>0</v>
      </c>
      <c r="Q957" t="n">
        <v>0</v>
      </c>
      <c r="R957" s="2" t="inlineStr"/>
    </row>
    <row r="958" ht="15" customHeight="1">
      <c r="A958" t="inlineStr">
        <is>
          <t>A 49314-2024</t>
        </is>
      </c>
      <c r="B958" s="1" t="n">
        <v>45595</v>
      </c>
      <c r="C958" s="1" t="n">
        <v>45795</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49167-2024</t>
        </is>
      </c>
      <c r="B959" s="1" t="n">
        <v>45595</v>
      </c>
      <c r="C959" s="1" t="n">
        <v>45795</v>
      </c>
      <c r="D959" t="inlineStr">
        <is>
          <t>GOTLANDS LÄN</t>
        </is>
      </c>
      <c r="E959" t="inlineStr">
        <is>
          <t>GOTLAND</t>
        </is>
      </c>
      <c r="G959" t="n">
        <v>3</v>
      </c>
      <c r="H959" t="n">
        <v>0</v>
      </c>
      <c r="I959" t="n">
        <v>0</v>
      </c>
      <c r="J959" t="n">
        <v>0</v>
      </c>
      <c r="K959" t="n">
        <v>0</v>
      </c>
      <c r="L959" t="n">
        <v>0</v>
      </c>
      <c r="M959" t="n">
        <v>0</v>
      </c>
      <c r="N959" t="n">
        <v>0</v>
      </c>
      <c r="O959" t="n">
        <v>0</v>
      </c>
      <c r="P959" t="n">
        <v>0</v>
      </c>
      <c r="Q959" t="n">
        <v>0</v>
      </c>
      <c r="R959" s="2" t="inlineStr"/>
    </row>
    <row r="960" ht="15" customHeight="1">
      <c r="A960" t="inlineStr">
        <is>
          <t>A 49315-2024</t>
        </is>
      </c>
      <c r="B960" s="1" t="n">
        <v>45595</v>
      </c>
      <c r="C960" s="1" t="n">
        <v>45795</v>
      </c>
      <c r="D960" t="inlineStr">
        <is>
          <t>GOTLANDS LÄN</t>
        </is>
      </c>
      <c r="E960" t="inlineStr">
        <is>
          <t>GOTLAND</t>
        </is>
      </c>
      <c r="G960" t="n">
        <v>1.5</v>
      </c>
      <c r="H960" t="n">
        <v>0</v>
      </c>
      <c r="I960" t="n">
        <v>0</v>
      </c>
      <c r="J960" t="n">
        <v>0</v>
      </c>
      <c r="K960" t="n">
        <v>0</v>
      </c>
      <c r="L960" t="n">
        <v>0</v>
      </c>
      <c r="M960" t="n">
        <v>0</v>
      </c>
      <c r="N960" t="n">
        <v>0</v>
      </c>
      <c r="O960" t="n">
        <v>0</v>
      </c>
      <c r="P960" t="n">
        <v>0</v>
      </c>
      <c r="Q960" t="n">
        <v>0</v>
      </c>
      <c r="R960" s="2" t="inlineStr"/>
    </row>
    <row r="961" ht="15" customHeight="1">
      <c r="A961" t="inlineStr">
        <is>
          <t>A 49257-2024</t>
        </is>
      </c>
      <c r="B961" s="1" t="n">
        <v>45595</v>
      </c>
      <c r="C961" s="1" t="n">
        <v>45795</v>
      </c>
      <c r="D961" t="inlineStr">
        <is>
          <t>GOTLANDS LÄN</t>
        </is>
      </c>
      <c r="E961" t="inlineStr">
        <is>
          <t>GOTLAND</t>
        </is>
      </c>
      <c r="G961" t="n">
        <v>6.3</v>
      </c>
      <c r="H961" t="n">
        <v>0</v>
      </c>
      <c r="I961" t="n">
        <v>0</v>
      </c>
      <c r="J961" t="n">
        <v>0</v>
      </c>
      <c r="K961" t="n">
        <v>0</v>
      </c>
      <c r="L961" t="n">
        <v>0</v>
      </c>
      <c r="M961" t="n">
        <v>0</v>
      </c>
      <c r="N961" t="n">
        <v>0</v>
      </c>
      <c r="O961" t="n">
        <v>0</v>
      </c>
      <c r="P961" t="n">
        <v>0</v>
      </c>
      <c r="Q961" t="n">
        <v>0</v>
      </c>
      <c r="R961" s="2" t="inlineStr"/>
    </row>
    <row r="962" ht="15" customHeight="1">
      <c r="A962" t="inlineStr">
        <is>
          <t>A 49874-2024</t>
        </is>
      </c>
      <c r="B962" s="1" t="n">
        <v>45597</v>
      </c>
      <c r="C962" s="1" t="n">
        <v>45795</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50021-2024</t>
        </is>
      </c>
      <c r="B963" s="1" t="n">
        <v>45599</v>
      </c>
      <c r="C963" s="1" t="n">
        <v>45795</v>
      </c>
      <c r="D963" t="inlineStr">
        <is>
          <t>GOTLANDS LÄN</t>
        </is>
      </c>
      <c r="E963" t="inlineStr">
        <is>
          <t>GOTLAND</t>
        </is>
      </c>
      <c r="G963" t="n">
        <v>2.1</v>
      </c>
      <c r="H963" t="n">
        <v>0</v>
      </c>
      <c r="I963" t="n">
        <v>0</v>
      </c>
      <c r="J963" t="n">
        <v>0</v>
      </c>
      <c r="K963" t="n">
        <v>0</v>
      </c>
      <c r="L963" t="n">
        <v>0</v>
      </c>
      <c r="M963" t="n">
        <v>0</v>
      </c>
      <c r="N963" t="n">
        <v>0</v>
      </c>
      <c r="O963" t="n">
        <v>0</v>
      </c>
      <c r="P963" t="n">
        <v>0</v>
      </c>
      <c r="Q963" t="n">
        <v>0</v>
      </c>
      <c r="R963" s="2" t="inlineStr"/>
    </row>
    <row r="964" ht="15" customHeight="1">
      <c r="A964" t="inlineStr">
        <is>
          <t>A 50023-2024</t>
        </is>
      </c>
      <c r="B964" s="1" t="n">
        <v>45599</v>
      </c>
      <c r="C964" s="1" t="n">
        <v>45795</v>
      </c>
      <c r="D964" t="inlineStr">
        <is>
          <t>GOTLANDS LÄN</t>
        </is>
      </c>
      <c r="E964" t="inlineStr">
        <is>
          <t>GOTLAND</t>
        </is>
      </c>
      <c r="G964" t="n">
        <v>2</v>
      </c>
      <c r="H964" t="n">
        <v>0</v>
      </c>
      <c r="I964" t="n">
        <v>0</v>
      </c>
      <c r="J964" t="n">
        <v>0</v>
      </c>
      <c r="K964" t="n">
        <v>0</v>
      </c>
      <c r="L964" t="n">
        <v>0</v>
      </c>
      <c r="M964" t="n">
        <v>0</v>
      </c>
      <c r="N964" t="n">
        <v>0</v>
      </c>
      <c r="O964" t="n">
        <v>0</v>
      </c>
      <c r="P964" t="n">
        <v>0</v>
      </c>
      <c r="Q964" t="n">
        <v>0</v>
      </c>
      <c r="R964" s="2" t="inlineStr"/>
    </row>
    <row r="965" ht="15" customHeight="1">
      <c r="A965" t="inlineStr">
        <is>
          <t>A 50022-2024</t>
        </is>
      </c>
      <c r="B965" s="1" t="n">
        <v>45599</v>
      </c>
      <c r="C965" s="1" t="n">
        <v>45795</v>
      </c>
      <c r="D965" t="inlineStr">
        <is>
          <t>GOTLANDS LÄN</t>
        </is>
      </c>
      <c r="E965" t="inlineStr">
        <is>
          <t>GOTLAND</t>
        </is>
      </c>
      <c r="G965" t="n">
        <v>4</v>
      </c>
      <c r="H965" t="n">
        <v>0</v>
      </c>
      <c r="I965" t="n">
        <v>0</v>
      </c>
      <c r="J965" t="n">
        <v>0</v>
      </c>
      <c r="K965" t="n">
        <v>0</v>
      </c>
      <c r="L965" t="n">
        <v>0</v>
      </c>
      <c r="M965" t="n">
        <v>0</v>
      </c>
      <c r="N965" t="n">
        <v>0</v>
      </c>
      <c r="O965" t="n">
        <v>0</v>
      </c>
      <c r="P965" t="n">
        <v>0</v>
      </c>
      <c r="Q965" t="n">
        <v>0</v>
      </c>
      <c r="R965" s="2" t="inlineStr"/>
    </row>
    <row r="966" ht="15" customHeight="1">
      <c r="A966" t="inlineStr">
        <is>
          <t>A 50482-2024</t>
        </is>
      </c>
      <c r="B966" s="1" t="n">
        <v>45601</v>
      </c>
      <c r="C966" s="1" t="n">
        <v>45795</v>
      </c>
      <c r="D966" t="inlineStr">
        <is>
          <t>GOTLANDS LÄN</t>
        </is>
      </c>
      <c r="E966" t="inlineStr">
        <is>
          <t>GOTLAND</t>
        </is>
      </c>
      <c r="G966" t="n">
        <v>2.3</v>
      </c>
      <c r="H966" t="n">
        <v>0</v>
      </c>
      <c r="I966" t="n">
        <v>0</v>
      </c>
      <c r="J966" t="n">
        <v>0</v>
      </c>
      <c r="K966" t="n">
        <v>0</v>
      </c>
      <c r="L966" t="n">
        <v>0</v>
      </c>
      <c r="M966" t="n">
        <v>0</v>
      </c>
      <c r="N966" t="n">
        <v>0</v>
      </c>
      <c r="O966" t="n">
        <v>0</v>
      </c>
      <c r="P966" t="n">
        <v>0</v>
      </c>
      <c r="Q966" t="n">
        <v>0</v>
      </c>
      <c r="R966" s="2" t="inlineStr"/>
    </row>
    <row r="967" ht="15" customHeight="1">
      <c r="A967" t="inlineStr">
        <is>
          <t>A 50470-2024</t>
        </is>
      </c>
      <c r="B967" s="1" t="n">
        <v>45601</v>
      </c>
      <c r="C967" s="1" t="n">
        <v>45795</v>
      </c>
      <c r="D967" t="inlineStr">
        <is>
          <t>GOTLANDS LÄN</t>
        </is>
      </c>
      <c r="E967" t="inlineStr">
        <is>
          <t>GOTLAND</t>
        </is>
      </c>
      <c r="G967" t="n">
        <v>3.4</v>
      </c>
      <c r="H967" t="n">
        <v>0</v>
      </c>
      <c r="I967" t="n">
        <v>0</v>
      </c>
      <c r="J967" t="n">
        <v>0</v>
      </c>
      <c r="K967" t="n">
        <v>0</v>
      </c>
      <c r="L967" t="n">
        <v>0</v>
      </c>
      <c r="M967" t="n">
        <v>0</v>
      </c>
      <c r="N967" t="n">
        <v>0</v>
      </c>
      <c r="O967" t="n">
        <v>0</v>
      </c>
      <c r="P967" t="n">
        <v>0</v>
      </c>
      <c r="Q967" t="n">
        <v>0</v>
      </c>
      <c r="R967" s="2" t="inlineStr"/>
    </row>
    <row r="968" ht="15" customHeight="1">
      <c r="A968" t="inlineStr">
        <is>
          <t>A 50744-2024</t>
        </is>
      </c>
      <c r="B968" s="1" t="n">
        <v>45602</v>
      </c>
      <c r="C968" s="1" t="n">
        <v>45795</v>
      </c>
      <c r="D968" t="inlineStr">
        <is>
          <t>GOTLANDS LÄN</t>
        </is>
      </c>
      <c r="E968" t="inlineStr">
        <is>
          <t>GOTLAND</t>
        </is>
      </c>
      <c r="G968" t="n">
        <v>3.2</v>
      </c>
      <c r="H968" t="n">
        <v>0</v>
      </c>
      <c r="I968" t="n">
        <v>0</v>
      </c>
      <c r="J968" t="n">
        <v>0</v>
      </c>
      <c r="K968" t="n">
        <v>0</v>
      </c>
      <c r="L968" t="n">
        <v>0</v>
      </c>
      <c r="M968" t="n">
        <v>0</v>
      </c>
      <c r="N968" t="n">
        <v>0</v>
      </c>
      <c r="O968" t="n">
        <v>0</v>
      </c>
      <c r="P968" t="n">
        <v>0</v>
      </c>
      <c r="Q968" t="n">
        <v>0</v>
      </c>
      <c r="R968" s="2" t="inlineStr"/>
    </row>
    <row r="969" ht="15" customHeight="1">
      <c r="A969" t="inlineStr">
        <is>
          <t>A 50958-2024</t>
        </is>
      </c>
      <c r="B969" s="1" t="n">
        <v>45603</v>
      </c>
      <c r="C969" s="1" t="n">
        <v>45795</v>
      </c>
      <c r="D969" t="inlineStr">
        <is>
          <t>GOTLANDS LÄN</t>
        </is>
      </c>
      <c r="E969" t="inlineStr">
        <is>
          <t>GOTLAND</t>
        </is>
      </c>
      <c r="G969" t="n">
        <v>1.7</v>
      </c>
      <c r="H969" t="n">
        <v>0</v>
      </c>
      <c r="I969" t="n">
        <v>0</v>
      </c>
      <c r="J969" t="n">
        <v>0</v>
      </c>
      <c r="K969" t="n">
        <v>0</v>
      </c>
      <c r="L969" t="n">
        <v>0</v>
      </c>
      <c r="M969" t="n">
        <v>0</v>
      </c>
      <c r="N969" t="n">
        <v>0</v>
      </c>
      <c r="O969" t="n">
        <v>0</v>
      </c>
      <c r="P969" t="n">
        <v>0</v>
      </c>
      <c r="Q969" t="n">
        <v>0</v>
      </c>
      <c r="R969" s="2" t="inlineStr"/>
    </row>
    <row r="970" ht="15" customHeight="1">
      <c r="A970" t="inlineStr">
        <is>
          <t>A 50962-2024</t>
        </is>
      </c>
      <c r="B970" s="1" t="n">
        <v>45603</v>
      </c>
      <c r="C970" s="1" t="n">
        <v>45795</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51321-2024</t>
        </is>
      </c>
      <c r="B971" s="1" t="n">
        <v>45604</v>
      </c>
      <c r="C971" s="1" t="n">
        <v>45795</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51963-2024</t>
        </is>
      </c>
      <c r="B972" s="1" t="n">
        <v>45607</v>
      </c>
      <c r="C972" s="1" t="n">
        <v>45795</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52831-2024</t>
        </is>
      </c>
      <c r="B973" s="1" t="n">
        <v>45610</v>
      </c>
      <c r="C973" s="1" t="n">
        <v>45795</v>
      </c>
      <c r="D973" t="inlineStr">
        <is>
          <t>GOTLANDS LÄN</t>
        </is>
      </c>
      <c r="E973" t="inlineStr">
        <is>
          <t>GOTLAND</t>
        </is>
      </c>
      <c r="G973" t="n">
        <v>1.2</v>
      </c>
      <c r="H973" t="n">
        <v>0</v>
      </c>
      <c r="I973" t="n">
        <v>0</v>
      </c>
      <c r="J973" t="n">
        <v>0</v>
      </c>
      <c r="K973" t="n">
        <v>0</v>
      </c>
      <c r="L973" t="n">
        <v>0</v>
      </c>
      <c r="M973" t="n">
        <v>0</v>
      </c>
      <c r="N973" t="n">
        <v>0</v>
      </c>
      <c r="O973" t="n">
        <v>0</v>
      </c>
      <c r="P973" t="n">
        <v>0</v>
      </c>
      <c r="Q973" t="n">
        <v>0</v>
      </c>
      <c r="R973" s="2" t="inlineStr"/>
    </row>
    <row r="974" ht="15" customHeight="1">
      <c r="A974" t="inlineStr">
        <is>
          <t>A 53129-2024</t>
        </is>
      </c>
      <c r="B974" s="1" t="n">
        <v>45611</v>
      </c>
      <c r="C974" s="1" t="n">
        <v>45795</v>
      </c>
      <c r="D974" t="inlineStr">
        <is>
          <t>GOTLANDS LÄN</t>
        </is>
      </c>
      <c r="E974" t="inlineStr">
        <is>
          <t>GOTLAND</t>
        </is>
      </c>
      <c r="G974" t="n">
        <v>4.2</v>
      </c>
      <c r="H974" t="n">
        <v>0</v>
      </c>
      <c r="I974" t="n">
        <v>0</v>
      </c>
      <c r="J974" t="n">
        <v>0</v>
      </c>
      <c r="K974" t="n">
        <v>0</v>
      </c>
      <c r="L974" t="n">
        <v>0</v>
      </c>
      <c r="M974" t="n">
        <v>0</v>
      </c>
      <c r="N974" t="n">
        <v>0</v>
      </c>
      <c r="O974" t="n">
        <v>0</v>
      </c>
      <c r="P974" t="n">
        <v>0</v>
      </c>
      <c r="Q974" t="n">
        <v>0</v>
      </c>
      <c r="R974" s="2" t="inlineStr"/>
    </row>
    <row r="975" ht="15" customHeight="1">
      <c r="A975" t="inlineStr">
        <is>
          <t>A 53935-2024</t>
        </is>
      </c>
      <c r="B975" s="1" t="n">
        <v>45615</v>
      </c>
      <c r="C975" s="1" t="n">
        <v>45795</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53934-2024</t>
        </is>
      </c>
      <c r="B976" s="1" t="n">
        <v>45615</v>
      </c>
      <c r="C976" s="1" t="n">
        <v>45795</v>
      </c>
      <c r="D976" t="inlineStr">
        <is>
          <t>GOTLANDS LÄN</t>
        </is>
      </c>
      <c r="E976" t="inlineStr">
        <is>
          <t>GOTLAND</t>
        </is>
      </c>
      <c r="G976" t="n">
        <v>5</v>
      </c>
      <c r="H976" t="n">
        <v>0</v>
      </c>
      <c r="I976" t="n">
        <v>0</v>
      </c>
      <c r="J976" t="n">
        <v>0</v>
      </c>
      <c r="K976" t="n">
        <v>0</v>
      </c>
      <c r="L976" t="n">
        <v>0</v>
      </c>
      <c r="M976" t="n">
        <v>0</v>
      </c>
      <c r="N976" t="n">
        <v>0</v>
      </c>
      <c r="O976" t="n">
        <v>0</v>
      </c>
      <c r="P976" t="n">
        <v>0</v>
      </c>
      <c r="Q976" t="n">
        <v>0</v>
      </c>
      <c r="R976" s="2" t="inlineStr"/>
    </row>
    <row r="977" ht="15" customHeight="1">
      <c r="A977" t="inlineStr">
        <is>
          <t>A 54081-2024</t>
        </is>
      </c>
      <c r="B977" s="1" t="n">
        <v>45616</v>
      </c>
      <c r="C977" s="1" t="n">
        <v>45795</v>
      </c>
      <c r="D977" t="inlineStr">
        <is>
          <t>GOTLANDS LÄN</t>
        </is>
      </c>
      <c r="E977" t="inlineStr">
        <is>
          <t>GOTLAND</t>
        </is>
      </c>
      <c r="G977" t="n">
        <v>3.5</v>
      </c>
      <c r="H977" t="n">
        <v>0</v>
      </c>
      <c r="I977" t="n">
        <v>0</v>
      </c>
      <c r="J977" t="n">
        <v>0</v>
      </c>
      <c r="K977" t="n">
        <v>0</v>
      </c>
      <c r="L977" t="n">
        <v>0</v>
      </c>
      <c r="M977" t="n">
        <v>0</v>
      </c>
      <c r="N977" t="n">
        <v>0</v>
      </c>
      <c r="O977" t="n">
        <v>0</v>
      </c>
      <c r="P977" t="n">
        <v>0</v>
      </c>
      <c r="Q977" t="n">
        <v>0</v>
      </c>
      <c r="R977" s="2" t="inlineStr"/>
    </row>
    <row r="978" ht="15" customHeight="1">
      <c r="A978" t="inlineStr">
        <is>
          <t>A 54438-2024</t>
        </is>
      </c>
      <c r="B978" s="1" t="n">
        <v>45617</v>
      </c>
      <c r="C978" s="1" t="n">
        <v>45795</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54355-2024</t>
        </is>
      </c>
      <c r="B979" s="1" t="n">
        <v>45617</v>
      </c>
      <c r="C979" s="1" t="n">
        <v>45795</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54645-2024</t>
        </is>
      </c>
      <c r="B980" s="1" t="n">
        <v>45617</v>
      </c>
      <c r="C980" s="1" t="n">
        <v>45795</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55102-2024</t>
        </is>
      </c>
      <c r="B981" s="1" t="n">
        <v>45621</v>
      </c>
      <c r="C981" s="1" t="n">
        <v>45795</v>
      </c>
      <c r="D981" t="inlineStr">
        <is>
          <t>GOTLANDS LÄN</t>
        </is>
      </c>
      <c r="E981" t="inlineStr">
        <is>
          <t>GOTLAND</t>
        </is>
      </c>
      <c r="G981" t="n">
        <v>0.8</v>
      </c>
      <c r="H981" t="n">
        <v>0</v>
      </c>
      <c r="I981" t="n">
        <v>0</v>
      </c>
      <c r="J981" t="n">
        <v>0</v>
      </c>
      <c r="K981" t="n">
        <v>0</v>
      </c>
      <c r="L981" t="n">
        <v>0</v>
      </c>
      <c r="M981" t="n">
        <v>0</v>
      </c>
      <c r="N981" t="n">
        <v>0</v>
      </c>
      <c r="O981" t="n">
        <v>0</v>
      </c>
      <c r="P981" t="n">
        <v>0</v>
      </c>
      <c r="Q981" t="n">
        <v>0</v>
      </c>
      <c r="R981" s="2" t="inlineStr"/>
    </row>
    <row r="982" ht="15" customHeight="1">
      <c r="A982" t="inlineStr">
        <is>
          <t>A 55334-2024</t>
        </is>
      </c>
      <c r="B982" s="1" t="n">
        <v>45621</v>
      </c>
      <c r="C982" s="1" t="n">
        <v>45795</v>
      </c>
      <c r="D982" t="inlineStr">
        <is>
          <t>GOTLANDS LÄN</t>
        </is>
      </c>
      <c r="E982" t="inlineStr">
        <is>
          <t>GOTLAND</t>
        </is>
      </c>
      <c r="G982" t="n">
        <v>21.7</v>
      </c>
      <c r="H982" t="n">
        <v>0</v>
      </c>
      <c r="I982" t="n">
        <v>0</v>
      </c>
      <c r="J982" t="n">
        <v>0</v>
      </c>
      <c r="K982" t="n">
        <v>0</v>
      </c>
      <c r="L982" t="n">
        <v>0</v>
      </c>
      <c r="M982" t="n">
        <v>0</v>
      </c>
      <c r="N982" t="n">
        <v>0</v>
      </c>
      <c r="O982" t="n">
        <v>0</v>
      </c>
      <c r="P982" t="n">
        <v>0</v>
      </c>
      <c r="Q982" t="n">
        <v>0</v>
      </c>
      <c r="R982" s="2" t="inlineStr"/>
    </row>
    <row r="983" ht="15" customHeight="1">
      <c r="A983" t="inlineStr">
        <is>
          <t>A 55438-2024</t>
        </is>
      </c>
      <c r="B983" s="1" t="n">
        <v>45621</v>
      </c>
      <c r="C983" s="1" t="n">
        <v>45795</v>
      </c>
      <c r="D983" t="inlineStr">
        <is>
          <t>GOTLANDS LÄN</t>
        </is>
      </c>
      <c r="E983" t="inlineStr">
        <is>
          <t>GOTLAND</t>
        </is>
      </c>
      <c r="G983" t="n">
        <v>1.1</v>
      </c>
      <c r="H983" t="n">
        <v>0</v>
      </c>
      <c r="I983" t="n">
        <v>0</v>
      </c>
      <c r="J983" t="n">
        <v>0</v>
      </c>
      <c r="K983" t="n">
        <v>0</v>
      </c>
      <c r="L983" t="n">
        <v>0</v>
      </c>
      <c r="M983" t="n">
        <v>0</v>
      </c>
      <c r="N983" t="n">
        <v>0</v>
      </c>
      <c r="O983" t="n">
        <v>0</v>
      </c>
      <c r="P983" t="n">
        <v>0</v>
      </c>
      <c r="Q983" t="n">
        <v>0</v>
      </c>
      <c r="R983" s="2" t="inlineStr"/>
    </row>
    <row r="984" ht="15" customHeight="1">
      <c r="A984" t="inlineStr">
        <is>
          <t>A 55435-2024</t>
        </is>
      </c>
      <c r="B984" s="1" t="n">
        <v>45621</v>
      </c>
      <c r="C984" s="1" t="n">
        <v>45795</v>
      </c>
      <c r="D984" t="inlineStr">
        <is>
          <t>GOTLANDS LÄN</t>
        </is>
      </c>
      <c r="E984" t="inlineStr">
        <is>
          <t>GOTLAND</t>
        </is>
      </c>
      <c r="G984" t="n">
        <v>3.1</v>
      </c>
      <c r="H984" t="n">
        <v>0</v>
      </c>
      <c r="I984" t="n">
        <v>0</v>
      </c>
      <c r="J984" t="n">
        <v>0</v>
      </c>
      <c r="K984" t="n">
        <v>0</v>
      </c>
      <c r="L984" t="n">
        <v>0</v>
      </c>
      <c r="M984" t="n">
        <v>0</v>
      </c>
      <c r="N984" t="n">
        <v>0</v>
      </c>
      <c r="O984" t="n">
        <v>0</v>
      </c>
      <c r="P984" t="n">
        <v>0</v>
      </c>
      <c r="Q984" t="n">
        <v>0</v>
      </c>
      <c r="R984" s="2" t="inlineStr"/>
    </row>
    <row r="985" ht="15" customHeight="1">
      <c r="A985" t="inlineStr">
        <is>
          <t>A 55653-2024</t>
        </is>
      </c>
      <c r="B985" s="1" t="n">
        <v>45622</v>
      </c>
      <c r="C985" s="1" t="n">
        <v>45795</v>
      </c>
      <c r="D985" t="inlineStr">
        <is>
          <t>GOTLANDS LÄN</t>
        </is>
      </c>
      <c r="E985" t="inlineStr">
        <is>
          <t>GOTLAND</t>
        </is>
      </c>
      <c r="G985" t="n">
        <v>2</v>
      </c>
      <c r="H985" t="n">
        <v>0</v>
      </c>
      <c r="I985" t="n">
        <v>0</v>
      </c>
      <c r="J985" t="n">
        <v>0</v>
      </c>
      <c r="K985" t="n">
        <v>0</v>
      </c>
      <c r="L985" t="n">
        <v>0</v>
      </c>
      <c r="M985" t="n">
        <v>0</v>
      </c>
      <c r="N985" t="n">
        <v>0</v>
      </c>
      <c r="O985" t="n">
        <v>0</v>
      </c>
      <c r="P985" t="n">
        <v>0</v>
      </c>
      <c r="Q985" t="n">
        <v>0</v>
      </c>
      <c r="R985" s="2" t="inlineStr"/>
    </row>
    <row r="986" ht="15" customHeight="1">
      <c r="A986" t="inlineStr">
        <is>
          <t>A 56009-2024</t>
        </is>
      </c>
      <c r="B986" s="1" t="n">
        <v>45623</v>
      </c>
      <c r="C986" s="1" t="n">
        <v>45795</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57374-2024</t>
        </is>
      </c>
      <c r="B987" s="1" t="n">
        <v>45629</v>
      </c>
      <c r="C987" s="1" t="n">
        <v>45795</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58230-2024</t>
        </is>
      </c>
      <c r="B988" s="1" t="n">
        <v>45632</v>
      </c>
      <c r="C988" s="1" t="n">
        <v>45795</v>
      </c>
      <c r="D988" t="inlineStr">
        <is>
          <t>GOTLANDS LÄN</t>
        </is>
      </c>
      <c r="E988" t="inlineStr">
        <is>
          <t>GOTLAND</t>
        </is>
      </c>
      <c r="G988" t="n">
        <v>7.3</v>
      </c>
      <c r="H988" t="n">
        <v>0</v>
      </c>
      <c r="I988" t="n">
        <v>0</v>
      </c>
      <c r="J988" t="n">
        <v>0</v>
      </c>
      <c r="K988" t="n">
        <v>0</v>
      </c>
      <c r="L988" t="n">
        <v>0</v>
      </c>
      <c r="M988" t="n">
        <v>0</v>
      </c>
      <c r="N988" t="n">
        <v>0</v>
      </c>
      <c r="O988" t="n">
        <v>0</v>
      </c>
      <c r="P988" t="n">
        <v>0</v>
      </c>
      <c r="Q988" t="n">
        <v>0</v>
      </c>
      <c r="R988" s="2" t="inlineStr"/>
    </row>
    <row r="989" ht="15" customHeight="1">
      <c r="A989" t="inlineStr">
        <is>
          <t>A 58211-2024</t>
        </is>
      </c>
      <c r="B989" s="1" t="n">
        <v>45632</v>
      </c>
      <c r="C989" s="1" t="n">
        <v>45795</v>
      </c>
      <c r="D989" t="inlineStr">
        <is>
          <t>GOTLANDS LÄN</t>
        </is>
      </c>
      <c r="E989" t="inlineStr">
        <is>
          <t>GOTLAND</t>
        </is>
      </c>
      <c r="G989" t="n">
        <v>5.4</v>
      </c>
      <c r="H989" t="n">
        <v>0</v>
      </c>
      <c r="I989" t="n">
        <v>0</v>
      </c>
      <c r="J989" t="n">
        <v>0</v>
      </c>
      <c r="K989" t="n">
        <v>0</v>
      </c>
      <c r="L989" t="n">
        <v>0</v>
      </c>
      <c r="M989" t="n">
        <v>0</v>
      </c>
      <c r="N989" t="n">
        <v>0</v>
      </c>
      <c r="O989" t="n">
        <v>0</v>
      </c>
      <c r="P989" t="n">
        <v>0</v>
      </c>
      <c r="Q989" t="n">
        <v>0</v>
      </c>
      <c r="R989" s="2" t="inlineStr"/>
    </row>
    <row r="990" ht="15" customHeight="1">
      <c r="A990" t="inlineStr">
        <is>
          <t>A 58160-2024</t>
        </is>
      </c>
      <c r="B990" s="1" t="n">
        <v>45632</v>
      </c>
      <c r="C990" s="1" t="n">
        <v>45795</v>
      </c>
      <c r="D990" t="inlineStr">
        <is>
          <t>GOTLANDS LÄN</t>
        </is>
      </c>
      <c r="E990" t="inlineStr">
        <is>
          <t>GOTLAND</t>
        </is>
      </c>
      <c r="G990" t="n">
        <v>5.6</v>
      </c>
      <c r="H990" t="n">
        <v>0</v>
      </c>
      <c r="I990" t="n">
        <v>0</v>
      </c>
      <c r="J990" t="n">
        <v>0</v>
      </c>
      <c r="K990" t="n">
        <v>0</v>
      </c>
      <c r="L990" t="n">
        <v>0</v>
      </c>
      <c r="M990" t="n">
        <v>0</v>
      </c>
      <c r="N990" t="n">
        <v>0</v>
      </c>
      <c r="O990" t="n">
        <v>0</v>
      </c>
      <c r="P990" t="n">
        <v>0</v>
      </c>
      <c r="Q990" t="n">
        <v>0</v>
      </c>
      <c r="R990" s="2" t="inlineStr"/>
    </row>
    <row r="991" ht="15" customHeight="1">
      <c r="A991" t="inlineStr">
        <is>
          <t>A 58780-2024</t>
        </is>
      </c>
      <c r="B991" s="1" t="n">
        <v>45635</v>
      </c>
      <c r="C991" s="1" t="n">
        <v>45795</v>
      </c>
      <c r="D991" t="inlineStr">
        <is>
          <t>GOTLANDS LÄN</t>
        </is>
      </c>
      <c r="E991" t="inlineStr">
        <is>
          <t>GOTLAND</t>
        </is>
      </c>
      <c r="G991" t="n">
        <v>2.6</v>
      </c>
      <c r="H991" t="n">
        <v>0</v>
      </c>
      <c r="I991" t="n">
        <v>0</v>
      </c>
      <c r="J991" t="n">
        <v>0</v>
      </c>
      <c r="K991" t="n">
        <v>0</v>
      </c>
      <c r="L991" t="n">
        <v>0</v>
      </c>
      <c r="M991" t="n">
        <v>0</v>
      </c>
      <c r="N991" t="n">
        <v>0</v>
      </c>
      <c r="O991" t="n">
        <v>0</v>
      </c>
      <c r="P991" t="n">
        <v>0</v>
      </c>
      <c r="Q991" t="n">
        <v>0</v>
      </c>
      <c r="R991" s="2" t="inlineStr"/>
    </row>
    <row r="992" ht="15" customHeight="1">
      <c r="A992" t="inlineStr">
        <is>
          <t>A 59469-2024</t>
        </is>
      </c>
      <c r="B992" s="1" t="n">
        <v>45638</v>
      </c>
      <c r="C992" s="1" t="n">
        <v>45795</v>
      </c>
      <c r="D992" t="inlineStr">
        <is>
          <t>GOTLANDS LÄN</t>
        </is>
      </c>
      <c r="E992" t="inlineStr">
        <is>
          <t>GOTLAND</t>
        </is>
      </c>
      <c r="G992" t="n">
        <v>0.4</v>
      </c>
      <c r="H992" t="n">
        <v>0</v>
      </c>
      <c r="I992" t="n">
        <v>0</v>
      </c>
      <c r="J992" t="n">
        <v>0</v>
      </c>
      <c r="K992" t="n">
        <v>0</v>
      </c>
      <c r="L992" t="n">
        <v>0</v>
      </c>
      <c r="M992" t="n">
        <v>0</v>
      </c>
      <c r="N992" t="n">
        <v>0</v>
      </c>
      <c r="O992" t="n">
        <v>0</v>
      </c>
      <c r="P992" t="n">
        <v>0</v>
      </c>
      <c r="Q992" t="n">
        <v>0</v>
      </c>
      <c r="R992" s="2" t="inlineStr"/>
    </row>
    <row r="993" ht="15" customHeight="1">
      <c r="A993" t="inlineStr">
        <is>
          <t>A 60910-2024</t>
        </is>
      </c>
      <c r="B993" s="1" t="n">
        <v>45645</v>
      </c>
      <c r="C993" s="1" t="n">
        <v>45795</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60903-2024</t>
        </is>
      </c>
      <c r="B994" s="1" t="n">
        <v>45645</v>
      </c>
      <c r="C994" s="1" t="n">
        <v>45795</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60908-2024</t>
        </is>
      </c>
      <c r="B995" s="1" t="n">
        <v>45645</v>
      </c>
      <c r="C995" s="1" t="n">
        <v>45795</v>
      </c>
      <c r="D995" t="inlineStr">
        <is>
          <t>GOTLANDS LÄN</t>
        </is>
      </c>
      <c r="E995" t="inlineStr">
        <is>
          <t>GOTLAND</t>
        </is>
      </c>
      <c r="G995" t="n">
        <v>7.1</v>
      </c>
      <c r="H995" t="n">
        <v>0</v>
      </c>
      <c r="I995" t="n">
        <v>0</v>
      </c>
      <c r="J995" t="n">
        <v>0</v>
      </c>
      <c r="K995" t="n">
        <v>0</v>
      </c>
      <c r="L995" t="n">
        <v>0</v>
      </c>
      <c r="M995" t="n">
        <v>0</v>
      </c>
      <c r="N995" t="n">
        <v>0</v>
      </c>
      <c r="O995" t="n">
        <v>0</v>
      </c>
      <c r="P995" t="n">
        <v>0</v>
      </c>
      <c r="Q995" t="n">
        <v>0</v>
      </c>
      <c r="R995" s="2" t="inlineStr"/>
    </row>
    <row r="996" ht="15" customHeight="1">
      <c r="A996" t="inlineStr">
        <is>
          <t>A 61664-2024</t>
        </is>
      </c>
      <c r="B996" s="1" t="n">
        <v>45646</v>
      </c>
      <c r="C996" s="1" t="n">
        <v>45795</v>
      </c>
      <c r="D996" t="inlineStr">
        <is>
          <t>GOTLANDS LÄN</t>
        </is>
      </c>
      <c r="E996" t="inlineStr">
        <is>
          <t>GOTLAND</t>
        </is>
      </c>
      <c r="G996" t="n">
        <v>3.8</v>
      </c>
      <c r="H996" t="n">
        <v>0</v>
      </c>
      <c r="I996" t="n">
        <v>0</v>
      </c>
      <c r="J996" t="n">
        <v>0</v>
      </c>
      <c r="K996" t="n">
        <v>0</v>
      </c>
      <c r="L996" t="n">
        <v>0</v>
      </c>
      <c r="M996" t="n">
        <v>0</v>
      </c>
      <c r="N996" t="n">
        <v>0</v>
      </c>
      <c r="O996" t="n">
        <v>0</v>
      </c>
      <c r="P996" t="n">
        <v>0</v>
      </c>
      <c r="Q996" t="n">
        <v>0</v>
      </c>
      <c r="R996" s="2" t="inlineStr"/>
    </row>
    <row r="997" ht="15" customHeight="1">
      <c r="A997" t="inlineStr">
        <is>
          <t>A 61682-2024</t>
        </is>
      </c>
      <c r="B997" s="1" t="n">
        <v>45647</v>
      </c>
      <c r="C997" s="1" t="n">
        <v>45795</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61897-2024</t>
        </is>
      </c>
      <c r="B998" s="1" t="n">
        <v>45652</v>
      </c>
      <c r="C998" s="1" t="n">
        <v>45795</v>
      </c>
      <c r="D998" t="inlineStr">
        <is>
          <t>GOTLANDS LÄN</t>
        </is>
      </c>
      <c r="E998" t="inlineStr">
        <is>
          <t>GOTLAND</t>
        </is>
      </c>
      <c r="G998" t="n">
        <v>6.4</v>
      </c>
      <c r="H998" t="n">
        <v>0</v>
      </c>
      <c r="I998" t="n">
        <v>0</v>
      </c>
      <c r="J998" t="n">
        <v>0</v>
      </c>
      <c r="K998" t="n">
        <v>0</v>
      </c>
      <c r="L998" t="n">
        <v>0</v>
      </c>
      <c r="M998" t="n">
        <v>0</v>
      </c>
      <c r="N998" t="n">
        <v>0</v>
      </c>
      <c r="O998" t="n">
        <v>0</v>
      </c>
      <c r="P998" t="n">
        <v>0</v>
      </c>
      <c r="Q998" t="n">
        <v>0</v>
      </c>
      <c r="R998" s="2" t="inlineStr"/>
    </row>
    <row r="999" ht="15" customHeight="1">
      <c r="A999" t="inlineStr">
        <is>
          <t>A 251-2025</t>
        </is>
      </c>
      <c r="B999" s="1" t="n">
        <v>45653</v>
      </c>
      <c r="C999" s="1" t="n">
        <v>45795</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61964-2024</t>
        </is>
      </c>
      <c r="B1000" s="1" t="n">
        <v>45653</v>
      </c>
      <c r="C1000" s="1" t="n">
        <v>45795</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61962-2024</t>
        </is>
      </c>
      <c r="B1001" s="1" t="n">
        <v>45653</v>
      </c>
      <c r="C1001" s="1" t="n">
        <v>45795</v>
      </c>
      <c r="D1001" t="inlineStr">
        <is>
          <t>GOTLANDS LÄN</t>
        </is>
      </c>
      <c r="E1001" t="inlineStr">
        <is>
          <t>GOTLAND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62127-2024</t>
        </is>
      </c>
      <c r="B1002" s="1" t="n">
        <v>45656</v>
      </c>
      <c r="C1002" s="1" t="n">
        <v>45795</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883-2025</t>
        </is>
      </c>
      <c r="B1003" s="1" t="n">
        <v>45665</v>
      </c>
      <c r="C1003" s="1" t="n">
        <v>45795</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717-2025</t>
        </is>
      </c>
      <c r="B1004" s="1" t="n">
        <v>45665</v>
      </c>
      <c r="C1004" s="1" t="n">
        <v>45795</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1175-2025</t>
        </is>
      </c>
      <c r="B1005" s="1" t="n">
        <v>45667</v>
      </c>
      <c r="C1005" s="1" t="n">
        <v>45795</v>
      </c>
      <c r="D1005" t="inlineStr">
        <is>
          <t>GOTLANDS LÄN</t>
        </is>
      </c>
      <c r="E1005" t="inlineStr">
        <is>
          <t>GOTLAND</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1364-2025</t>
        </is>
      </c>
      <c r="B1006" s="1" t="n">
        <v>45667</v>
      </c>
      <c r="C1006" s="1" t="n">
        <v>45795</v>
      </c>
      <c r="D1006" t="inlineStr">
        <is>
          <t>GOTLANDS LÄN</t>
        </is>
      </c>
      <c r="E1006" t="inlineStr">
        <is>
          <t>GOTLAND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1351-2025</t>
        </is>
      </c>
      <c r="B1007" s="1" t="n">
        <v>45667</v>
      </c>
      <c r="C1007" s="1" t="n">
        <v>45795</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1345-2025</t>
        </is>
      </c>
      <c r="B1008" s="1" t="n">
        <v>45667</v>
      </c>
      <c r="C1008" s="1" t="n">
        <v>45795</v>
      </c>
      <c r="D1008" t="inlineStr">
        <is>
          <t>GOTLANDS LÄN</t>
        </is>
      </c>
      <c r="E1008" t="inlineStr">
        <is>
          <t>GOTLAND</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1446-2025</t>
        </is>
      </c>
      <c r="B1009" s="1" t="n">
        <v>45669</v>
      </c>
      <c r="C1009" s="1" t="n">
        <v>45795</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1803-2025</t>
        </is>
      </c>
      <c r="B1010" s="1" t="n">
        <v>45670</v>
      </c>
      <c r="C1010" s="1" t="n">
        <v>45795</v>
      </c>
      <c r="D1010" t="inlineStr">
        <is>
          <t>GOTLANDS LÄN</t>
        </is>
      </c>
      <c r="E1010" t="inlineStr">
        <is>
          <t>GOTLAND</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1462-2025</t>
        </is>
      </c>
      <c r="B1011" s="1" t="n">
        <v>45670</v>
      </c>
      <c r="C1011" s="1" t="n">
        <v>45795</v>
      </c>
      <c r="D1011" t="inlineStr">
        <is>
          <t>GOTLANDS LÄN</t>
        </is>
      </c>
      <c r="E1011" t="inlineStr">
        <is>
          <t>GOTLAND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1731-2025</t>
        </is>
      </c>
      <c r="B1012" s="1" t="n">
        <v>45671</v>
      </c>
      <c r="C1012" s="1" t="n">
        <v>45795</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1734-2025</t>
        </is>
      </c>
      <c r="B1013" s="1" t="n">
        <v>45671</v>
      </c>
      <c r="C1013" s="1" t="n">
        <v>45795</v>
      </c>
      <c r="D1013" t="inlineStr">
        <is>
          <t>GOTLANDS LÄN</t>
        </is>
      </c>
      <c r="E1013" t="inlineStr">
        <is>
          <t>GOTLAND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1729-2025</t>
        </is>
      </c>
      <c r="B1014" s="1" t="n">
        <v>45671</v>
      </c>
      <c r="C1014" s="1" t="n">
        <v>45795</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1713-2025</t>
        </is>
      </c>
      <c r="B1015" s="1" t="n">
        <v>45671</v>
      </c>
      <c r="C1015" s="1" t="n">
        <v>45795</v>
      </c>
      <c r="D1015" t="inlineStr">
        <is>
          <t>GOTLANDS LÄN</t>
        </is>
      </c>
      <c r="E1015" t="inlineStr">
        <is>
          <t>GOTLAND</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1728-2025</t>
        </is>
      </c>
      <c r="B1016" s="1" t="n">
        <v>45671</v>
      </c>
      <c r="C1016" s="1" t="n">
        <v>45795</v>
      </c>
      <c r="D1016" t="inlineStr">
        <is>
          <t>GOTLANDS LÄN</t>
        </is>
      </c>
      <c r="E1016" t="inlineStr">
        <is>
          <t>GOTLAND</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2125-2025</t>
        </is>
      </c>
      <c r="B1017" s="1" t="n">
        <v>45672</v>
      </c>
      <c r="C1017" s="1" t="n">
        <v>45795</v>
      </c>
      <c r="D1017" t="inlineStr">
        <is>
          <t>GOTLANDS LÄN</t>
        </is>
      </c>
      <c r="E1017" t="inlineStr">
        <is>
          <t>GOTLAND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2161-2025</t>
        </is>
      </c>
      <c r="B1018" s="1" t="n">
        <v>45672</v>
      </c>
      <c r="C1018" s="1" t="n">
        <v>45795</v>
      </c>
      <c r="D1018" t="inlineStr">
        <is>
          <t>GOTLANDS LÄN</t>
        </is>
      </c>
      <c r="E1018" t="inlineStr">
        <is>
          <t>GOTLAND</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2050-2025</t>
        </is>
      </c>
      <c r="B1019" s="1" t="n">
        <v>45672</v>
      </c>
      <c r="C1019" s="1" t="n">
        <v>45795</v>
      </c>
      <c r="D1019" t="inlineStr">
        <is>
          <t>GOTLANDS LÄN</t>
        </is>
      </c>
      <c r="E1019" t="inlineStr">
        <is>
          <t>GOTLAND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2052-2025</t>
        </is>
      </c>
      <c r="B1020" s="1" t="n">
        <v>45672</v>
      </c>
      <c r="C1020" s="1" t="n">
        <v>45795</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2054-2025</t>
        </is>
      </c>
      <c r="B1021" s="1" t="n">
        <v>45672</v>
      </c>
      <c r="C1021" s="1" t="n">
        <v>45795</v>
      </c>
      <c r="D1021" t="inlineStr">
        <is>
          <t>GOTLANDS LÄN</t>
        </is>
      </c>
      <c r="E1021" t="inlineStr">
        <is>
          <t>GOTLAND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2035-2025</t>
        </is>
      </c>
      <c r="B1022" s="1" t="n">
        <v>45672</v>
      </c>
      <c r="C1022" s="1" t="n">
        <v>45795</v>
      </c>
      <c r="D1022" t="inlineStr">
        <is>
          <t>GOTLANDS LÄN</t>
        </is>
      </c>
      <c r="E1022" t="inlineStr">
        <is>
          <t>GOTLAND</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2120-2025</t>
        </is>
      </c>
      <c r="B1023" s="1" t="n">
        <v>45672</v>
      </c>
      <c r="C1023" s="1" t="n">
        <v>45795</v>
      </c>
      <c r="D1023" t="inlineStr">
        <is>
          <t>GOTLANDS LÄN</t>
        </is>
      </c>
      <c r="E1023" t="inlineStr">
        <is>
          <t>GOTLAND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2033-2025</t>
        </is>
      </c>
      <c r="B1024" s="1" t="n">
        <v>45672</v>
      </c>
      <c r="C1024" s="1" t="n">
        <v>45795</v>
      </c>
      <c r="D1024" t="inlineStr">
        <is>
          <t>GOTLANDS LÄN</t>
        </is>
      </c>
      <c r="E1024" t="inlineStr">
        <is>
          <t>GOTLAND</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2180-2025</t>
        </is>
      </c>
      <c r="B1025" s="1" t="n">
        <v>45673</v>
      </c>
      <c r="C1025" s="1" t="n">
        <v>45795</v>
      </c>
      <c r="D1025" t="inlineStr">
        <is>
          <t>GOTLANDS LÄN</t>
        </is>
      </c>
      <c r="E1025" t="inlineStr">
        <is>
          <t>GOTLAND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2241-2025</t>
        </is>
      </c>
      <c r="B1026" s="1" t="n">
        <v>45673</v>
      </c>
      <c r="C1026" s="1" t="n">
        <v>45795</v>
      </c>
      <c r="D1026" t="inlineStr">
        <is>
          <t>GOTLANDS LÄN</t>
        </is>
      </c>
      <c r="E1026" t="inlineStr">
        <is>
          <t>GOTLAND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2772-2025</t>
        </is>
      </c>
      <c r="B1027" s="1" t="n">
        <v>45677</v>
      </c>
      <c r="C1027" s="1" t="n">
        <v>45795</v>
      </c>
      <c r="D1027" t="inlineStr">
        <is>
          <t>GOTLANDS LÄN</t>
        </is>
      </c>
      <c r="E1027" t="inlineStr">
        <is>
          <t>GOTLAND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2721-2025</t>
        </is>
      </c>
      <c r="B1028" s="1" t="n">
        <v>45677</v>
      </c>
      <c r="C1028" s="1" t="n">
        <v>45795</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3061-2025</t>
        </is>
      </c>
      <c r="B1029" s="1" t="n">
        <v>45678</v>
      </c>
      <c r="C1029" s="1" t="n">
        <v>45795</v>
      </c>
      <c r="D1029" t="inlineStr">
        <is>
          <t>GOTLANDS LÄN</t>
        </is>
      </c>
      <c r="E1029" t="inlineStr">
        <is>
          <t>GOTLAND</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3274-2025</t>
        </is>
      </c>
      <c r="B1030" s="1" t="n">
        <v>45679</v>
      </c>
      <c r="C1030" s="1" t="n">
        <v>45795</v>
      </c>
      <c r="D1030" t="inlineStr">
        <is>
          <t>GOTLANDS LÄN</t>
        </is>
      </c>
      <c r="E1030" t="inlineStr">
        <is>
          <t>GOTLAND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3150-2025</t>
        </is>
      </c>
      <c r="B1031" s="1" t="n">
        <v>45679</v>
      </c>
      <c r="C1031" s="1" t="n">
        <v>45795</v>
      </c>
      <c r="D1031" t="inlineStr">
        <is>
          <t>GOTLANDS LÄN</t>
        </is>
      </c>
      <c r="E1031" t="inlineStr">
        <is>
          <t>GOTLAND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3431-2025</t>
        </is>
      </c>
      <c r="B1032" s="1" t="n">
        <v>45680</v>
      </c>
      <c r="C1032" s="1" t="n">
        <v>45795</v>
      </c>
      <c r="D1032" t="inlineStr">
        <is>
          <t>GOTLANDS LÄN</t>
        </is>
      </c>
      <c r="E1032" t="inlineStr">
        <is>
          <t>GOTLAND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3416-2025</t>
        </is>
      </c>
      <c r="B1033" s="1" t="n">
        <v>45680</v>
      </c>
      <c r="C1033" s="1" t="n">
        <v>45795</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3935-2025</t>
        </is>
      </c>
      <c r="B1034" s="1" t="n">
        <v>45684</v>
      </c>
      <c r="C1034" s="1" t="n">
        <v>45795</v>
      </c>
      <c r="D1034" t="inlineStr">
        <is>
          <t>GOTLANDS LÄN</t>
        </is>
      </c>
      <c r="E1034" t="inlineStr">
        <is>
          <t>GOTLAND</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3930-2025</t>
        </is>
      </c>
      <c r="B1035" s="1" t="n">
        <v>45684</v>
      </c>
      <c r="C1035" s="1" t="n">
        <v>45795</v>
      </c>
      <c r="D1035" t="inlineStr">
        <is>
          <t>GOTLANDS LÄN</t>
        </is>
      </c>
      <c r="E1035" t="inlineStr">
        <is>
          <t>GOTLAND</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4191-2025</t>
        </is>
      </c>
      <c r="B1036" s="1" t="n">
        <v>45685</v>
      </c>
      <c r="C1036" s="1" t="n">
        <v>45795</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4420-2025</t>
        </is>
      </c>
      <c r="B1037" s="1" t="n">
        <v>45686</v>
      </c>
      <c r="C1037" s="1" t="n">
        <v>45795</v>
      </c>
      <c r="D1037" t="inlineStr">
        <is>
          <t>GOTLANDS LÄN</t>
        </is>
      </c>
      <c r="E1037" t="inlineStr">
        <is>
          <t>GOTLAND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4568-2025</t>
        </is>
      </c>
      <c r="B1038" s="1" t="n">
        <v>45687</v>
      </c>
      <c r="C1038" s="1" t="n">
        <v>45795</v>
      </c>
      <c r="D1038" t="inlineStr">
        <is>
          <t>GOTLANDS LÄN</t>
        </is>
      </c>
      <c r="E1038" t="inlineStr">
        <is>
          <t>GOTLAND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4677-2025</t>
        </is>
      </c>
      <c r="B1039" s="1" t="n">
        <v>45687</v>
      </c>
      <c r="C1039" s="1" t="n">
        <v>45795</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4990-2025</t>
        </is>
      </c>
      <c r="B1040" s="1" t="n">
        <v>45691</v>
      </c>
      <c r="C1040" s="1" t="n">
        <v>45795</v>
      </c>
      <c r="D1040" t="inlineStr">
        <is>
          <t>GOTLANDS LÄN</t>
        </is>
      </c>
      <c r="E1040" t="inlineStr">
        <is>
          <t>GOTLAND</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5270-2025</t>
        </is>
      </c>
      <c r="B1041" s="1" t="n">
        <v>45692</v>
      </c>
      <c r="C1041" s="1" t="n">
        <v>45795</v>
      </c>
      <c r="D1041" t="inlineStr">
        <is>
          <t>GOTLANDS LÄN</t>
        </is>
      </c>
      <c r="E1041" t="inlineStr">
        <is>
          <t>GOTLAND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5235-2025</t>
        </is>
      </c>
      <c r="B1042" s="1" t="n">
        <v>45692</v>
      </c>
      <c r="C1042" s="1" t="n">
        <v>45795</v>
      </c>
      <c r="D1042" t="inlineStr">
        <is>
          <t>GOTLANDS LÄN</t>
        </is>
      </c>
      <c r="E1042" t="inlineStr">
        <is>
          <t>GOTLAND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5462-2025</t>
        </is>
      </c>
      <c r="B1043" s="1" t="n">
        <v>45693</v>
      </c>
      <c r="C1043" s="1" t="n">
        <v>45795</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5676-2025</t>
        </is>
      </c>
      <c r="B1044" s="1" t="n">
        <v>45694</v>
      </c>
      <c r="C1044" s="1" t="n">
        <v>45795</v>
      </c>
      <c r="D1044" t="inlineStr">
        <is>
          <t>GOTLANDS LÄN</t>
        </is>
      </c>
      <c r="E1044" t="inlineStr">
        <is>
          <t>GOTLAND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5757-2025</t>
        </is>
      </c>
      <c r="B1045" s="1" t="n">
        <v>45694</v>
      </c>
      <c r="C1045" s="1" t="n">
        <v>45795</v>
      </c>
      <c r="D1045" t="inlineStr">
        <is>
          <t>GOTLANDS LÄN</t>
        </is>
      </c>
      <c r="E1045" t="inlineStr">
        <is>
          <t>GOTLAND</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5674-2025</t>
        </is>
      </c>
      <c r="B1046" s="1" t="n">
        <v>45694</v>
      </c>
      <c r="C1046" s="1" t="n">
        <v>45795</v>
      </c>
      <c r="D1046" t="inlineStr">
        <is>
          <t>GOTLANDS LÄN</t>
        </is>
      </c>
      <c r="E1046" t="inlineStr">
        <is>
          <t>GOTLAND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5897-2025</t>
        </is>
      </c>
      <c r="B1047" s="1" t="n">
        <v>45695</v>
      </c>
      <c r="C1047" s="1" t="n">
        <v>45795</v>
      </c>
      <c r="D1047" t="inlineStr">
        <is>
          <t>GOTLANDS LÄN</t>
        </is>
      </c>
      <c r="E1047" t="inlineStr">
        <is>
          <t>GOTLAND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5909-2025</t>
        </is>
      </c>
      <c r="B1048" s="1" t="n">
        <v>45695</v>
      </c>
      <c r="C1048" s="1" t="n">
        <v>45795</v>
      </c>
      <c r="D1048" t="inlineStr">
        <is>
          <t>GOTLANDS LÄN</t>
        </is>
      </c>
      <c r="E1048" t="inlineStr">
        <is>
          <t>GOTLAND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5891-2025</t>
        </is>
      </c>
      <c r="B1049" s="1" t="n">
        <v>45695</v>
      </c>
      <c r="C1049" s="1" t="n">
        <v>45795</v>
      </c>
      <c r="D1049" t="inlineStr">
        <is>
          <t>GOTLANDS LÄN</t>
        </is>
      </c>
      <c r="E1049" t="inlineStr">
        <is>
          <t>GOTLAND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5884-2025</t>
        </is>
      </c>
      <c r="B1050" s="1" t="n">
        <v>45695</v>
      </c>
      <c r="C1050" s="1" t="n">
        <v>45795</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6108-2025</t>
        </is>
      </c>
      <c r="B1051" s="1" t="n">
        <v>45698</v>
      </c>
      <c r="C1051" s="1" t="n">
        <v>45795</v>
      </c>
      <c r="D1051" t="inlineStr">
        <is>
          <t>GOTLANDS LÄN</t>
        </is>
      </c>
      <c r="E1051" t="inlineStr">
        <is>
          <t>GOTLAND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6792-2025</t>
        </is>
      </c>
      <c r="B1052" s="1" t="n">
        <v>45700</v>
      </c>
      <c r="C1052" s="1" t="n">
        <v>45795</v>
      </c>
      <c r="D1052" t="inlineStr">
        <is>
          <t>GOTLANDS LÄN</t>
        </is>
      </c>
      <c r="E1052" t="inlineStr">
        <is>
          <t>GOTLAND</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6749-2025</t>
        </is>
      </c>
      <c r="B1053" s="1" t="n">
        <v>45700</v>
      </c>
      <c r="C1053" s="1" t="n">
        <v>45795</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6688-2025</t>
        </is>
      </c>
      <c r="B1054" s="1" t="n">
        <v>45700</v>
      </c>
      <c r="C1054" s="1" t="n">
        <v>45795</v>
      </c>
      <c r="D1054" t="inlineStr">
        <is>
          <t>GOTLANDS LÄN</t>
        </is>
      </c>
      <c r="E1054" t="inlineStr">
        <is>
          <t>GOTLAND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6796-2025</t>
        </is>
      </c>
      <c r="B1055" s="1" t="n">
        <v>45700</v>
      </c>
      <c r="C1055" s="1" t="n">
        <v>45795</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6739-2025</t>
        </is>
      </c>
      <c r="B1056" s="1" t="n">
        <v>45700</v>
      </c>
      <c r="C1056" s="1" t="n">
        <v>45795</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6960-2025</t>
        </is>
      </c>
      <c r="B1057" s="1" t="n">
        <v>45701</v>
      </c>
      <c r="C1057" s="1" t="n">
        <v>45795</v>
      </c>
      <c r="D1057" t="inlineStr">
        <is>
          <t>GOTLANDS LÄN</t>
        </is>
      </c>
      <c r="E1057" t="inlineStr">
        <is>
          <t>GOTLAND</t>
        </is>
      </c>
      <c r="G1057" t="n">
        <v>4</v>
      </c>
      <c r="H1057" t="n">
        <v>0</v>
      </c>
      <c r="I1057" t="n">
        <v>0</v>
      </c>
      <c r="J1057" t="n">
        <v>0</v>
      </c>
      <c r="K1057" t="n">
        <v>0</v>
      </c>
      <c r="L1057" t="n">
        <v>0</v>
      </c>
      <c r="M1057" t="n">
        <v>0</v>
      </c>
      <c r="N1057" t="n">
        <v>0</v>
      </c>
      <c r="O1057" t="n">
        <v>0</v>
      </c>
      <c r="P1057" t="n">
        <v>0</v>
      </c>
      <c r="Q1057" t="n">
        <v>0</v>
      </c>
      <c r="R1057" s="2" t="inlineStr"/>
      <c r="U1057">
        <f>HYPERLINK("https://klasma.github.io/Logging_0980/knärot/A 6960-2025 karta knärot.png", "A 6960-2025")</f>
        <v/>
      </c>
      <c r="V1057">
        <f>HYPERLINK("https://klasma.github.io/Logging_0980/klagomål/A 6960-2025 FSC-klagomål.docx", "A 6960-2025")</f>
        <v/>
      </c>
      <c r="W1057">
        <f>HYPERLINK("https://klasma.github.io/Logging_0980/klagomålsmail/A 6960-2025 FSC-klagomål mail.docx", "A 6960-2025")</f>
        <v/>
      </c>
      <c r="X1057">
        <f>HYPERLINK("https://klasma.github.io/Logging_0980/tillsyn/A 6960-2025 tillsynsbegäran.docx", "A 6960-2025")</f>
        <v/>
      </c>
      <c r="Y1057">
        <f>HYPERLINK("https://klasma.github.io/Logging_0980/tillsynsmail/A 6960-2025 tillsynsbegäran mail.docx", "A 6960-2025")</f>
        <v/>
      </c>
    </row>
    <row r="1058" ht="15" customHeight="1">
      <c r="A1058" t="inlineStr">
        <is>
          <t>A 6913-2025</t>
        </is>
      </c>
      <c r="B1058" s="1" t="n">
        <v>45701</v>
      </c>
      <c r="C1058" s="1" t="n">
        <v>45795</v>
      </c>
      <c r="D1058" t="inlineStr">
        <is>
          <t>GOTLANDS LÄN</t>
        </is>
      </c>
      <c r="E1058" t="inlineStr">
        <is>
          <t>GOTLAND</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7636-2025</t>
        </is>
      </c>
      <c r="B1059" s="1" t="n">
        <v>45705</v>
      </c>
      <c r="C1059" s="1" t="n">
        <v>45795</v>
      </c>
      <c r="D1059" t="inlineStr">
        <is>
          <t>GOTLANDS LÄN</t>
        </is>
      </c>
      <c r="E1059" t="inlineStr">
        <is>
          <t>GOTLAND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7639-2025</t>
        </is>
      </c>
      <c r="B1060" s="1" t="n">
        <v>45705</v>
      </c>
      <c r="C1060" s="1" t="n">
        <v>45795</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7635-2025</t>
        </is>
      </c>
      <c r="B1061" s="1" t="n">
        <v>45705</v>
      </c>
      <c r="C1061" s="1" t="n">
        <v>45795</v>
      </c>
      <c r="D1061" t="inlineStr">
        <is>
          <t>GOTLANDS LÄN</t>
        </is>
      </c>
      <c r="E1061" t="inlineStr">
        <is>
          <t>GOTLAND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7638-2025</t>
        </is>
      </c>
      <c r="B1062" s="1" t="n">
        <v>45705</v>
      </c>
      <c r="C1062" s="1" t="n">
        <v>45795</v>
      </c>
      <c r="D1062" t="inlineStr">
        <is>
          <t>GOTLANDS LÄN</t>
        </is>
      </c>
      <c r="E1062" t="inlineStr">
        <is>
          <t>GOTLAND</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7455-2025</t>
        </is>
      </c>
      <c r="B1063" s="1" t="n">
        <v>45705</v>
      </c>
      <c r="C1063" s="1" t="n">
        <v>45795</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7426-2025</t>
        </is>
      </c>
      <c r="B1064" s="1" t="n">
        <v>45705</v>
      </c>
      <c r="C1064" s="1" t="n">
        <v>45795</v>
      </c>
      <c r="D1064" t="inlineStr">
        <is>
          <t>GOTLANDS LÄN</t>
        </is>
      </c>
      <c r="E1064" t="inlineStr">
        <is>
          <t>GOTLAND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7850-2025</t>
        </is>
      </c>
      <c r="B1065" s="1" t="n">
        <v>45706</v>
      </c>
      <c r="C1065" s="1" t="n">
        <v>45795</v>
      </c>
      <c r="D1065" t="inlineStr">
        <is>
          <t>GOTLANDS LÄN</t>
        </is>
      </c>
      <c r="E1065" t="inlineStr">
        <is>
          <t>GOTLAND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7858-2025</t>
        </is>
      </c>
      <c r="B1066" s="1" t="n">
        <v>45706</v>
      </c>
      <c r="C1066" s="1" t="n">
        <v>45795</v>
      </c>
      <c r="D1066" t="inlineStr">
        <is>
          <t>GOTLANDS LÄN</t>
        </is>
      </c>
      <c r="E1066" t="inlineStr">
        <is>
          <t>GOTLAND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7910-2025</t>
        </is>
      </c>
      <c r="B1067" s="1" t="n">
        <v>45707</v>
      </c>
      <c r="C1067" s="1" t="n">
        <v>45795</v>
      </c>
      <c r="D1067" t="inlineStr">
        <is>
          <t>GOTLANDS LÄN</t>
        </is>
      </c>
      <c r="E1067" t="inlineStr">
        <is>
          <t>GOTLAND</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8444-2025</t>
        </is>
      </c>
      <c r="B1068" s="1" t="n">
        <v>45709</v>
      </c>
      <c r="C1068" s="1" t="n">
        <v>45795</v>
      </c>
      <c r="D1068" t="inlineStr">
        <is>
          <t>GOTLANDS LÄN</t>
        </is>
      </c>
      <c r="E1068" t="inlineStr">
        <is>
          <t>GOTLAND</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8484-2025</t>
        </is>
      </c>
      <c r="B1069" s="1" t="n">
        <v>45709</v>
      </c>
      <c r="C1069" s="1" t="n">
        <v>45795</v>
      </c>
      <c r="D1069" t="inlineStr">
        <is>
          <t>GOTLANDS LÄN</t>
        </is>
      </c>
      <c r="E1069" t="inlineStr">
        <is>
          <t>GOTLAND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8690-2025</t>
        </is>
      </c>
      <c r="B1070" s="1" t="n">
        <v>45712</v>
      </c>
      <c r="C1070" s="1" t="n">
        <v>45795</v>
      </c>
      <c r="D1070" t="inlineStr">
        <is>
          <t>GOTLANDS LÄN</t>
        </is>
      </c>
      <c r="E1070" t="inlineStr">
        <is>
          <t>GOTLAND</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8701-2025</t>
        </is>
      </c>
      <c r="B1071" s="1" t="n">
        <v>45712</v>
      </c>
      <c r="C1071" s="1" t="n">
        <v>45795</v>
      </c>
      <c r="D1071" t="inlineStr">
        <is>
          <t>GOTLANDS LÄN</t>
        </is>
      </c>
      <c r="E1071" t="inlineStr">
        <is>
          <t>GOTLAND</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8684-2025</t>
        </is>
      </c>
      <c r="B1072" s="1" t="n">
        <v>45712</v>
      </c>
      <c r="C1072" s="1" t="n">
        <v>45795</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8683-2025</t>
        </is>
      </c>
      <c r="B1073" s="1" t="n">
        <v>45712</v>
      </c>
      <c r="C1073" s="1" t="n">
        <v>45795</v>
      </c>
      <c r="D1073" t="inlineStr">
        <is>
          <t>GOTLANDS LÄN</t>
        </is>
      </c>
      <c r="E1073" t="inlineStr">
        <is>
          <t>GOTLAND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9236-2025</t>
        </is>
      </c>
      <c r="B1074" s="1" t="n">
        <v>45714</v>
      </c>
      <c r="C1074" s="1" t="n">
        <v>45795</v>
      </c>
      <c r="D1074" t="inlineStr">
        <is>
          <t>GOTLANDS LÄN</t>
        </is>
      </c>
      <c r="E1074" t="inlineStr">
        <is>
          <t>GOTLAND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9503-2025</t>
        </is>
      </c>
      <c r="B1075" s="1" t="n">
        <v>45715</v>
      </c>
      <c r="C1075" s="1" t="n">
        <v>45795</v>
      </c>
      <c r="D1075" t="inlineStr">
        <is>
          <t>GOTLANDS LÄN</t>
        </is>
      </c>
      <c r="E1075" t="inlineStr">
        <is>
          <t>GOTLAND</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9481-2025</t>
        </is>
      </c>
      <c r="B1076" s="1" t="n">
        <v>45715</v>
      </c>
      <c r="C1076" s="1" t="n">
        <v>45795</v>
      </c>
      <c r="D1076" t="inlineStr">
        <is>
          <t>GOTLANDS LÄN</t>
        </is>
      </c>
      <c r="E1076" t="inlineStr">
        <is>
          <t>GOTLAND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9613-2025</t>
        </is>
      </c>
      <c r="B1077" s="1" t="n">
        <v>45715</v>
      </c>
      <c r="C1077" s="1" t="n">
        <v>45795</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9887-2025</t>
        </is>
      </c>
      <c r="B1078" s="1" t="n">
        <v>45716</v>
      </c>
      <c r="C1078" s="1" t="n">
        <v>45795</v>
      </c>
      <c r="D1078" t="inlineStr">
        <is>
          <t>GOTLANDS LÄN</t>
        </is>
      </c>
      <c r="E1078" t="inlineStr">
        <is>
          <t>GOTLAND</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9875-2025</t>
        </is>
      </c>
      <c r="B1079" s="1" t="n">
        <v>45716</v>
      </c>
      <c r="C1079" s="1" t="n">
        <v>45795</v>
      </c>
      <c r="D1079" t="inlineStr">
        <is>
          <t>GOTLANDS LÄN</t>
        </is>
      </c>
      <c r="E1079" t="inlineStr">
        <is>
          <t>GOTLAND</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10158-2025</t>
        </is>
      </c>
      <c r="B1080" s="1" t="n">
        <v>45719</v>
      </c>
      <c r="C1080" s="1" t="n">
        <v>45795</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10497-2025</t>
        </is>
      </c>
      <c r="B1081" s="1" t="n">
        <v>45721</v>
      </c>
      <c r="C1081" s="1" t="n">
        <v>45795</v>
      </c>
      <c r="D1081" t="inlineStr">
        <is>
          <t>GOTLANDS LÄN</t>
        </is>
      </c>
      <c r="E1081" t="inlineStr">
        <is>
          <t>GOTLAND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10652-2025</t>
        </is>
      </c>
      <c r="B1082" s="1" t="n">
        <v>45721</v>
      </c>
      <c r="C1082" s="1" t="n">
        <v>45795</v>
      </c>
      <c r="D1082" t="inlineStr">
        <is>
          <t>GOTLANDS LÄN</t>
        </is>
      </c>
      <c r="E1082" t="inlineStr">
        <is>
          <t>GOTLAND</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10813-2025</t>
        </is>
      </c>
      <c r="B1083" s="1" t="n">
        <v>45722</v>
      </c>
      <c r="C1083" s="1" t="n">
        <v>45795</v>
      </c>
      <c r="D1083" t="inlineStr">
        <is>
          <t>GOTLANDS LÄN</t>
        </is>
      </c>
      <c r="E1083" t="inlineStr">
        <is>
          <t>GOTLAND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10746-2025</t>
        </is>
      </c>
      <c r="B1084" s="1" t="n">
        <v>45722</v>
      </c>
      <c r="C1084" s="1" t="n">
        <v>45795</v>
      </c>
      <c r="D1084" t="inlineStr">
        <is>
          <t>GOTLANDS LÄN</t>
        </is>
      </c>
      <c r="E1084" t="inlineStr">
        <is>
          <t>GOTLAND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12032-2025</t>
        </is>
      </c>
      <c r="B1085" s="1" t="n">
        <v>45728</v>
      </c>
      <c r="C1085" s="1" t="n">
        <v>45795</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12123-2025</t>
        </is>
      </c>
      <c r="B1086" s="1" t="n">
        <v>45729</v>
      </c>
      <c r="C1086" s="1" t="n">
        <v>45795</v>
      </c>
      <c r="D1086" t="inlineStr">
        <is>
          <t>GOTLANDS LÄN</t>
        </is>
      </c>
      <c r="E1086" t="inlineStr">
        <is>
          <t>GOTLAND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12322-2025</t>
        </is>
      </c>
      <c r="B1087" s="1" t="n">
        <v>45730</v>
      </c>
      <c r="C1087" s="1" t="n">
        <v>45795</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12327-2025</t>
        </is>
      </c>
      <c r="B1088" s="1" t="n">
        <v>45730</v>
      </c>
      <c r="C1088" s="1" t="n">
        <v>45795</v>
      </c>
      <c r="D1088" t="inlineStr">
        <is>
          <t>GOTLANDS LÄN</t>
        </is>
      </c>
      <c r="E1088" t="inlineStr">
        <is>
          <t>GOTLAND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12330-2025</t>
        </is>
      </c>
      <c r="B1089" s="1" t="n">
        <v>45730</v>
      </c>
      <c r="C1089" s="1" t="n">
        <v>45795</v>
      </c>
      <c r="D1089" t="inlineStr">
        <is>
          <t>GOTLANDS LÄN</t>
        </is>
      </c>
      <c r="E1089" t="inlineStr">
        <is>
          <t>GOTLAND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12846-2025</t>
        </is>
      </c>
      <c r="B1090" s="1" t="n">
        <v>45733</v>
      </c>
      <c r="C1090" s="1" t="n">
        <v>45795</v>
      </c>
      <c r="D1090" t="inlineStr">
        <is>
          <t>GOTLANDS LÄN</t>
        </is>
      </c>
      <c r="E1090" t="inlineStr">
        <is>
          <t>GOTLAND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12599-2025</t>
        </is>
      </c>
      <c r="B1091" s="1" t="n">
        <v>45733</v>
      </c>
      <c r="C1091" s="1" t="n">
        <v>45795</v>
      </c>
      <c r="D1091" t="inlineStr">
        <is>
          <t>GOTLANDS LÄN</t>
        </is>
      </c>
      <c r="E1091" t="inlineStr">
        <is>
          <t>GOTLAND</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13037-2025</t>
        </is>
      </c>
      <c r="B1092" s="1" t="n">
        <v>45734</v>
      </c>
      <c r="C1092" s="1" t="n">
        <v>45795</v>
      </c>
      <c r="D1092" t="inlineStr">
        <is>
          <t>GOTLANDS LÄN</t>
        </is>
      </c>
      <c r="E1092" t="inlineStr">
        <is>
          <t>GOTLAND</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13910-2025</t>
        </is>
      </c>
      <c r="B1093" s="1" t="n">
        <v>45737</v>
      </c>
      <c r="C1093" s="1" t="n">
        <v>45795</v>
      </c>
      <c r="D1093" t="inlineStr">
        <is>
          <t>GOTLANDS LÄN</t>
        </is>
      </c>
      <c r="E1093" t="inlineStr">
        <is>
          <t>GOTLAND</t>
        </is>
      </c>
      <c r="F1093" t="inlineStr">
        <is>
          <t>Kommuner</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14570-2025</t>
        </is>
      </c>
      <c r="B1094" s="1" t="n">
        <v>45741</v>
      </c>
      <c r="C1094" s="1" t="n">
        <v>45795</v>
      </c>
      <c r="D1094" t="inlineStr">
        <is>
          <t>GOTLANDS LÄN</t>
        </is>
      </c>
      <c r="E1094" t="inlineStr">
        <is>
          <t>GOTLAND</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14723-2025</t>
        </is>
      </c>
      <c r="B1095" s="1" t="n">
        <v>45742</v>
      </c>
      <c r="C1095" s="1" t="n">
        <v>45795</v>
      </c>
      <c r="D1095" t="inlineStr">
        <is>
          <t>GOTLANDS LÄN</t>
        </is>
      </c>
      <c r="E1095" t="inlineStr">
        <is>
          <t>GOTLAND</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14638-2025</t>
        </is>
      </c>
      <c r="B1096" s="1" t="n">
        <v>45742</v>
      </c>
      <c r="C1096" s="1" t="n">
        <v>45795</v>
      </c>
      <c r="D1096" t="inlineStr">
        <is>
          <t>GOTLANDS LÄN</t>
        </is>
      </c>
      <c r="E1096" t="inlineStr">
        <is>
          <t>GOTLAND</t>
        </is>
      </c>
      <c r="G1096" t="n">
        <v>13.4</v>
      </c>
      <c r="H1096" t="n">
        <v>0</v>
      </c>
      <c r="I1096" t="n">
        <v>0</v>
      </c>
      <c r="J1096" t="n">
        <v>0</v>
      </c>
      <c r="K1096" t="n">
        <v>0</v>
      </c>
      <c r="L1096" t="n">
        <v>0</v>
      </c>
      <c r="M1096" t="n">
        <v>0</v>
      </c>
      <c r="N1096" t="n">
        <v>0</v>
      </c>
      <c r="O1096" t="n">
        <v>0</v>
      </c>
      <c r="P1096" t="n">
        <v>0</v>
      </c>
      <c r="Q1096" t="n">
        <v>0</v>
      </c>
      <c r="R1096" s="2" t="inlineStr"/>
    </row>
    <row r="1097" ht="15" customHeight="1">
      <c r="A1097" t="inlineStr">
        <is>
          <t>A 15001-2025</t>
        </is>
      </c>
      <c r="B1097" s="1" t="n">
        <v>45743</v>
      </c>
      <c r="C1097" s="1" t="n">
        <v>45795</v>
      </c>
      <c r="D1097" t="inlineStr">
        <is>
          <t>GOTLANDS LÄN</t>
        </is>
      </c>
      <c r="E1097" t="inlineStr">
        <is>
          <t>GOTLAND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45795</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15075-2025</t>
        </is>
      </c>
      <c r="B1099" s="1" t="n">
        <v>45743</v>
      </c>
      <c r="C1099" s="1" t="n">
        <v>45795</v>
      </c>
      <c r="D1099" t="inlineStr">
        <is>
          <t>GOTLANDS LÄN</t>
        </is>
      </c>
      <c r="E1099" t="inlineStr">
        <is>
          <t>GOTLAND</t>
        </is>
      </c>
      <c r="G1099" t="n">
        <v>20.9</v>
      </c>
      <c r="H1099" t="n">
        <v>0</v>
      </c>
      <c r="I1099" t="n">
        <v>0</v>
      </c>
      <c r="J1099" t="n">
        <v>0</v>
      </c>
      <c r="K1099" t="n">
        <v>0</v>
      </c>
      <c r="L1099" t="n">
        <v>0</v>
      </c>
      <c r="M1099" t="n">
        <v>0</v>
      </c>
      <c r="N1099" t="n">
        <v>0</v>
      </c>
      <c r="O1099" t="n">
        <v>0</v>
      </c>
      <c r="P1099" t="n">
        <v>0</v>
      </c>
      <c r="Q1099" t="n">
        <v>0</v>
      </c>
      <c r="R1099" s="2" t="inlineStr"/>
    </row>
    <row r="1100" ht="15" customHeight="1">
      <c r="A1100" t="inlineStr">
        <is>
          <t>A 14915-2025</t>
        </is>
      </c>
      <c r="B1100" s="1" t="n">
        <v>45743</v>
      </c>
      <c r="C1100" s="1" t="n">
        <v>45795</v>
      </c>
      <c r="D1100" t="inlineStr">
        <is>
          <t>GOTLANDS LÄN</t>
        </is>
      </c>
      <c r="E1100" t="inlineStr">
        <is>
          <t>GOTLAND</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15042-2025</t>
        </is>
      </c>
      <c r="B1101" s="1" t="n">
        <v>45743</v>
      </c>
      <c r="C1101" s="1" t="n">
        <v>45795</v>
      </c>
      <c r="D1101" t="inlineStr">
        <is>
          <t>GOTLANDS LÄN</t>
        </is>
      </c>
      <c r="E1101" t="inlineStr">
        <is>
          <t>GOTLAND</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15073-2025</t>
        </is>
      </c>
      <c r="B1102" s="1" t="n">
        <v>45743</v>
      </c>
      <c r="C1102" s="1" t="n">
        <v>45795</v>
      </c>
      <c r="D1102" t="inlineStr">
        <is>
          <t>GOTLANDS LÄN</t>
        </is>
      </c>
      <c r="E1102" t="inlineStr">
        <is>
          <t>GOTLAND</t>
        </is>
      </c>
      <c r="G1102" t="n">
        <v>12.1</v>
      </c>
      <c r="H1102" t="n">
        <v>0</v>
      </c>
      <c r="I1102" t="n">
        <v>0</v>
      </c>
      <c r="J1102" t="n">
        <v>0</v>
      </c>
      <c r="K1102" t="n">
        <v>0</v>
      </c>
      <c r="L1102" t="n">
        <v>0</v>
      </c>
      <c r="M1102" t="n">
        <v>0</v>
      </c>
      <c r="N1102" t="n">
        <v>0</v>
      </c>
      <c r="O1102" t="n">
        <v>0</v>
      </c>
      <c r="P1102" t="n">
        <v>0</v>
      </c>
      <c r="Q1102" t="n">
        <v>0</v>
      </c>
      <c r="R1102" s="2" t="inlineStr"/>
    </row>
    <row r="1103" ht="15" customHeight="1">
      <c r="A1103" t="inlineStr">
        <is>
          <t>A 15216-2025</t>
        </is>
      </c>
      <c r="B1103" s="1" t="n">
        <v>45744</v>
      </c>
      <c r="C1103" s="1" t="n">
        <v>45795</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15436-2025</t>
        </is>
      </c>
      <c r="B1104" s="1" t="n">
        <v>45747</v>
      </c>
      <c r="C1104" s="1" t="n">
        <v>45795</v>
      </c>
      <c r="D1104" t="inlineStr">
        <is>
          <t>GOTLANDS LÄN</t>
        </is>
      </c>
      <c r="E1104" t="inlineStr">
        <is>
          <t>GOTLAND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15413-2025</t>
        </is>
      </c>
      <c r="B1105" s="1" t="n">
        <v>45747</v>
      </c>
      <c r="C1105" s="1" t="n">
        <v>45795</v>
      </c>
      <c r="D1105" t="inlineStr">
        <is>
          <t>GOTLANDS LÄN</t>
        </is>
      </c>
      <c r="E1105" t="inlineStr">
        <is>
          <t>GOTLAND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16109-2025</t>
        </is>
      </c>
      <c r="B1106" s="1" t="n">
        <v>45750</v>
      </c>
      <c r="C1106" s="1" t="n">
        <v>45795</v>
      </c>
      <c r="D1106" t="inlineStr">
        <is>
          <t>GOTLANDS LÄN</t>
        </is>
      </c>
      <c r="E1106" t="inlineStr">
        <is>
          <t>GOTLAND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16375-2025</t>
        </is>
      </c>
      <c r="B1107" s="1" t="n">
        <v>45751</v>
      </c>
      <c r="C1107" s="1" t="n">
        <v>45795</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16373-2025</t>
        </is>
      </c>
      <c r="B1108" s="1" t="n">
        <v>45751</v>
      </c>
      <c r="C1108" s="1" t="n">
        <v>45795</v>
      </c>
      <c r="D1108" t="inlineStr">
        <is>
          <t>GOTLANDS LÄN</t>
        </is>
      </c>
      <c r="E1108" t="inlineStr">
        <is>
          <t>GOTLAND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17144-2025</t>
        </is>
      </c>
      <c r="B1109" s="1" t="n">
        <v>45756</v>
      </c>
      <c r="C1109" s="1" t="n">
        <v>45795</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17343-2025</t>
        </is>
      </c>
      <c r="B1110" s="1" t="n">
        <v>45756</v>
      </c>
      <c r="C1110" s="1" t="n">
        <v>45795</v>
      </c>
      <c r="D1110" t="inlineStr">
        <is>
          <t>GOTLANDS LÄN</t>
        </is>
      </c>
      <c r="E1110" t="inlineStr">
        <is>
          <t>GOTLAND</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17847-2025</t>
        </is>
      </c>
      <c r="B1111" s="1" t="n">
        <v>45758</v>
      </c>
      <c r="C1111" s="1" t="n">
        <v>45795</v>
      </c>
      <c r="D1111" t="inlineStr">
        <is>
          <t>GOTLANDS LÄN</t>
        </is>
      </c>
      <c r="E1111" t="inlineStr">
        <is>
          <t>GOTLAND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18223-2025</t>
        </is>
      </c>
      <c r="B1112" s="1" t="n">
        <v>45761</v>
      </c>
      <c r="C1112" s="1" t="n">
        <v>45795</v>
      </c>
      <c r="D1112" t="inlineStr">
        <is>
          <t>GOTLANDS LÄN</t>
        </is>
      </c>
      <c r="E1112" t="inlineStr">
        <is>
          <t>GOTLAND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18742-2025</t>
        </is>
      </c>
      <c r="B1113" s="1" t="n">
        <v>45763</v>
      </c>
      <c r="C1113" s="1" t="n">
        <v>45795</v>
      </c>
      <c r="D1113" t="inlineStr">
        <is>
          <t>GOTLANDS LÄN</t>
        </is>
      </c>
      <c r="E1113" t="inlineStr">
        <is>
          <t>GOTLAND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18993-2025</t>
        </is>
      </c>
      <c r="B1114" s="1" t="n">
        <v>45764</v>
      </c>
      <c r="C1114" s="1" t="n">
        <v>45795</v>
      </c>
      <c r="D1114" t="inlineStr">
        <is>
          <t>GOTLANDS LÄN</t>
        </is>
      </c>
      <c r="E1114" t="inlineStr">
        <is>
          <t>GOTLAND</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18918-2025</t>
        </is>
      </c>
      <c r="B1115" s="1" t="n">
        <v>45764</v>
      </c>
      <c r="C1115" s="1" t="n">
        <v>45795</v>
      </c>
      <c r="D1115" t="inlineStr">
        <is>
          <t>GOTLANDS LÄN</t>
        </is>
      </c>
      <c r="E1115" t="inlineStr">
        <is>
          <t>GOTLAND</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19002-2025</t>
        </is>
      </c>
      <c r="B1116" s="1" t="n">
        <v>45764</v>
      </c>
      <c r="C1116" s="1" t="n">
        <v>45795</v>
      </c>
      <c r="D1116" t="inlineStr">
        <is>
          <t>GOTLANDS LÄN</t>
        </is>
      </c>
      <c r="E1116" t="inlineStr">
        <is>
          <t>GOTLAND</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18938-2025</t>
        </is>
      </c>
      <c r="B1117" s="1" t="n">
        <v>45764</v>
      </c>
      <c r="C1117" s="1" t="n">
        <v>45795</v>
      </c>
      <c r="D1117" t="inlineStr">
        <is>
          <t>GOTLANDS LÄN</t>
        </is>
      </c>
      <c r="E1117" t="inlineStr">
        <is>
          <t>GOTLAND</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18914-2025</t>
        </is>
      </c>
      <c r="B1118" s="1" t="n">
        <v>45764</v>
      </c>
      <c r="C1118" s="1" t="n">
        <v>45795</v>
      </c>
      <c r="D1118" t="inlineStr">
        <is>
          <t>GOTLANDS LÄN</t>
        </is>
      </c>
      <c r="E1118" t="inlineStr">
        <is>
          <t>GOTLAND</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19905-2025</t>
        </is>
      </c>
      <c r="B1119" s="1" t="n">
        <v>45771</v>
      </c>
      <c r="C1119" s="1" t="n">
        <v>45795</v>
      </c>
      <c r="D1119" t="inlineStr">
        <is>
          <t>GOTLANDS LÄN</t>
        </is>
      </c>
      <c r="E1119" t="inlineStr">
        <is>
          <t>GOTLAND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20225-2025</t>
        </is>
      </c>
      <c r="B1120" s="1" t="n">
        <v>45772</v>
      </c>
      <c r="C1120" s="1" t="n">
        <v>45795</v>
      </c>
      <c r="D1120" t="inlineStr">
        <is>
          <t>GOTLANDS LÄN</t>
        </is>
      </c>
      <c r="E1120" t="inlineStr">
        <is>
          <t>GOTLAND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20307-2025</t>
        </is>
      </c>
      <c r="B1121" s="1" t="n">
        <v>45775</v>
      </c>
      <c r="C1121" s="1" t="n">
        <v>45795</v>
      </c>
      <c r="D1121" t="inlineStr">
        <is>
          <t>GOTLANDS LÄN</t>
        </is>
      </c>
      <c r="E1121" t="inlineStr">
        <is>
          <t>GOTLAND</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20660-2025</t>
        </is>
      </c>
      <c r="B1122" s="1" t="n">
        <v>45776</v>
      </c>
      <c r="C1122" s="1" t="n">
        <v>45795</v>
      </c>
      <c r="D1122" t="inlineStr">
        <is>
          <t>GOTLANDS LÄN</t>
        </is>
      </c>
      <c r="E1122" t="inlineStr">
        <is>
          <t>GOTLAND</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20794-2025</t>
        </is>
      </c>
      <c r="B1123" s="1" t="n">
        <v>45776</v>
      </c>
      <c r="C1123" s="1" t="n">
        <v>45795</v>
      </c>
      <c r="D1123" t="inlineStr">
        <is>
          <t>GOTLANDS LÄN</t>
        </is>
      </c>
      <c r="E1123" t="inlineStr">
        <is>
          <t>GOTLAND</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20812-2025</t>
        </is>
      </c>
      <c r="B1124" s="1" t="n">
        <v>45776</v>
      </c>
      <c r="C1124" s="1" t="n">
        <v>45795</v>
      </c>
      <c r="D1124" t="inlineStr">
        <is>
          <t>GOTLANDS LÄN</t>
        </is>
      </c>
      <c r="E1124" t="inlineStr">
        <is>
          <t>GOTLAND</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20805-2025</t>
        </is>
      </c>
      <c r="B1125" s="1" t="n">
        <v>45776</v>
      </c>
      <c r="C1125" s="1" t="n">
        <v>45795</v>
      </c>
      <c r="D1125" t="inlineStr">
        <is>
          <t>GOTLANDS LÄN</t>
        </is>
      </c>
      <c r="E1125" t="inlineStr">
        <is>
          <t>GOTLAND</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21142-2025</t>
        </is>
      </c>
      <c r="B1126" s="1" t="n">
        <v>45779</v>
      </c>
      <c r="C1126" s="1" t="n">
        <v>45795</v>
      </c>
      <c r="D1126" t="inlineStr">
        <is>
          <t>GOTLANDS LÄN</t>
        </is>
      </c>
      <c r="E1126" t="inlineStr">
        <is>
          <t>GOTLAND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21389-2025</t>
        </is>
      </c>
      <c r="B1127" s="1" t="n">
        <v>45782</v>
      </c>
      <c r="C1127" s="1" t="n">
        <v>45795</v>
      </c>
      <c r="D1127" t="inlineStr">
        <is>
          <t>GOTLANDS LÄN</t>
        </is>
      </c>
      <c r="E1127" t="inlineStr">
        <is>
          <t>GOTLAND</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21651-2025</t>
        </is>
      </c>
      <c r="B1128" s="1" t="n">
        <v>45783</v>
      </c>
      <c r="C1128" s="1" t="n">
        <v>45795</v>
      </c>
      <c r="D1128" t="inlineStr">
        <is>
          <t>GOTLANDS LÄN</t>
        </is>
      </c>
      <c r="E1128" t="inlineStr">
        <is>
          <t>GOTLAND</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23188-2025</t>
        </is>
      </c>
      <c r="B1129" s="1" t="n">
        <v>45791</v>
      </c>
      <c r="C1129" s="1" t="n">
        <v>45795</v>
      </c>
      <c r="D1129" t="inlineStr">
        <is>
          <t>GOTLANDS LÄN</t>
        </is>
      </c>
      <c r="E1129" t="inlineStr">
        <is>
          <t>GOTLAND</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23473-2025</t>
        </is>
      </c>
      <c r="B1130" s="1" t="n">
        <v>45792</v>
      </c>
      <c r="C1130" s="1" t="n">
        <v>45795</v>
      </c>
      <c r="D1130" t="inlineStr">
        <is>
          <t>GOTLANDS LÄN</t>
        </is>
      </c>
      <c r="E1130" t="inlineStr">
        <is>
          <t>GOTLAND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23698-2025</t>
        </is>
      </c>
      <c r="B1131" s="1" t="n">
        <v>45793</v>
      </c>
      <c r="C1131" s="1" t="n">
        <v>45795</v>
      </c>
      <c r="D1131" t="inlineStr">
        <is>
          <t>GOTLANDS LÄN</t>
        </is>
      </c>
      <c r="E1131" t="inlineStr">
        <is>
          <t>GOTLAND</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23700-2025</t>
        </is>
      </c>
      <c r="B1132" s="1" t="n">
        <v>45793</v>
      </c>
      <c r="C1132" s="1" t="n">
        <v>45795</v>
      </c>
      <c r="D1132" t="inlineStr">
        <is>
          <t>GOTLANDS LÄN</t>
        </is>
      </c>
      <c r="E1132" t="inlineStr">
        <is>
          <t>GOTLAND</t>
        </is>
      </c>
      <c r="G1132" t="n">
        <v>2.2</v>
      </c>
      <c r="H1132" t="n">
        <v>0</v>
      </c>
      <c r="I1132" t="n">
        <v>0</v>
      </c>
      <c r="J1132" t="n">
        <v>0</v>
      </c>
      <c r="K1132" t="n">
        <v>0</v>
      </c>
      <c r="L1132" t="n">
        <v>0</v>
      </c>
      <c r="M1132" t="n">
        <v>0</v>
      </c>
      <c r="N1132" t="n">
        <v>0</v>
      </c>
      <c r="O1132" t="n">
        <v>0</v>
      </c>
      <c r="P1132" t="n">
        <v>0</v>
      </c>
      <c r="Q1132" t="n">
        <v>0</v>
      </c>
      <c r="R1132" s="2" t="inlineStr"/>
    </row>
    <row r="1133">
      <c r="A1133" t="inlineStr">
        <is>
          <t>A 23856-2025</t>
        </is>
      </c>
      <c r="B1133" s="1" t="n">
        <v>45793</v>
      </c>
      <c r="C1133" s="1" t="n">
        <v>45795</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2025-05-18T17:24:52Z</dcterms:created>
  <dcterms:modified xmlns:dcterms="http://purl.org/dc/terms/" xmlns:xsi="http://www.w3.org/2001/XMLSchema-instance" xsi:type="dcterms:W3CDTF">2025-05-18T17:24:53Z</dcterms:modified>
</cp:coreProperties>
</file>