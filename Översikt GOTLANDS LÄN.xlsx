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46197</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46197</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46197</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46197</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46197</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46197</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46197</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46197</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46197</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46197</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46197</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46197</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46197</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46197</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46197</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46197</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46197</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46197</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46197</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46197</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46197</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46197</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15629-2024</t>
        </is>
      </c>
      <c r="B24" s="1" t="n">
        <v>45402</v>
      </c>
      <c r="C24" s="1" t="n">
        <v>46197</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46197</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46197</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46197</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46197</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46197</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46197</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46197</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46197</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27759-2026</t>
        </is>
      </c>
      <c r="B33" s="1" t="n">
        <v>46191</v>
      </c>
      <c r="C33" s="1" t="n">
        <v>46197</v>
      </c>
      <c r="D33" t="inlineStr">
        <is>
          <t>GOTLANDS LÄN</t>
        </is>
      </c>
      <c r="E33" t="inlineStr">
        <is>
          <t>GOTLAND</t>
        </is>
      </c>
      <c r="G33" t="n">
        <v>12.1</v>
      </c>
      <c r="H33" t="n">
        <v>3</v>
      </c>
      <c r="I33" t="n">
        <v>5</v>
      </c>
      <c r="J33" t="n">
        <v>1</v>
      </c>
      <c r="K33" t="n">
        <v>4</v>
      </c>
      <c r="L33" t="n">
        <v>0</v>
      </c>
      <c r="M33" t="n">
        <v>2</v>
      </c>
      <c r="N33" t="n">
        <v>0</v>
      </c>
      <c r="O33" t="n">
        <v>7</v>
      </c>
      <c r="P33" t="n">
        <v>6</v>
      </c>
      <c r="Q33" t="n">
        <v>15</v>
      </c>
      <c r="R33" s="2" t="inlineStr">
        <is>
          <t>Cinnoberfläck
Coniocarpon fallax
Aspfjädermossa
Mörk kraterlav
Tvådoftspindling
Ädellav
Odörspindling
Anisspindling
Havstulpanlav
Korallblylav
Pluteus cyanopus
Rikfruktig blemlav
Kråka
Skogsduva
Revlummer</t>
        </is>
      </c>
      <c r="S33">
        <f>HYPERLINK("https://klasma.github.io/Logging_0980/artfynd/A 27759-2026 artfynd.xlsx", "A 27759-2026")</f>
        <v/>
      </c>
      <c r="T33">
        <f>HYPERLINK("https://klasma.github.io/Logging_0980/kartor/A 27759-2026 karta.png", "A 27759-2026")</f>
        <v/>
      </c>
      <c r="V33">
        <f>HYPERLINK("https://klasma.github.io/Logging_0980/klagomål/A 27759-2026 FSC-klagomål.docx", "A 27759-2026")</f>
        <v/>
      </c>
      <c r="W33">
        <f>HYPERLINK("https://klasma.github.io/Logging_0980/klagomålsmail/A 27759-2026 FSC-klagomål mail.docx", "A 27759-2026")</f>
        <v/>
      </c>
      <c r="X33">
        <f>HYPERLINK("https://klasma.github.io/Logging_0980/tillsyn/A 27759-2026 tillsynsbegäran.docx", "A 27759-2026")</f>
        <v/>
      </c>
      <c r="Y33">
        <f>HYPERLINK("https://klasma.github.io/Logging_0980/tillsynsmail/A 27759-2026 tillsynsbegäran mail.docx", "A 27759-2026")</f>
        <v/>
      </c>
    </row>
    <row r="34" ht="15" customHeight="1">
      <c r="A34" t="inlineStr">
        <is>
          <t>A 63872-2021</t>
        </is>
      </c>
      <c r="B34" s="1" t="n">
        <v>44509</v>
      </c>
      <c r="C34" s="1" t="n">
        <v>46197</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46197</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46197</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46197</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46197</v>
      </c>
      <c r="D38" t="inlineStr">
        <is>
          <t>GOTLANDS LÄN</t>
        </is>
      </c>
      <c r="E38" t="inlineStr">
        <is>
          <t>GOTLAND</t>
        </is>
      </c>
      <c r="G38" t="n">
        <v>9.800000000000001</v>
      </c>
      <c r="H38" t="n">
        <v>6</v>
      </c>
      <c r="I38" t="n">
        <v>3</v>
      </c>
      <c r="J38" t="n">
        <v>5</v>
      </c>
      <c r="K38" t="n">
        <v>2</v>
      </c>
      <c r="L38" t="n">
        <v>0</v>
      </c>
      <c r="M38" t="n">
        <v>0</v>
      </c>
      <c r="N38" t="n">
        <v>0</v>
      </c>
      <c r="O38" t="n">
        <v>7</v>
      </c>
      <c r="P38" t="n">
        <v>2</v>
      </c>
      <c r="Q38" t="n">
        <v>14</v>
      </c>
      <c r="R38" s="2" t="inlineStr">
        <is>
          <t>Garderönn
Gråfingerört
Backstarr
Backtimjan
Dårgräsfjäril
Reliktbock
Vippärt
Axag
Grönpyrola
Kragjordstjärna
Spillkråka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44204-2022</t>
        </is>
      </c>
      <c r="B39" s="1" t="n">
        <v>44839</v>
      </c>
      <c r="C39" s="1" t="n">
        <v>46197</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33153-2024</t>
        </is>
      </c>
      <c r="B40" s="1" t="n">
        <v>45518</v>
      </c>
      <c r="C40" s="1" t="n">
        <v>46197</v>
      </c>
      <c r="D40" t="inlineStr">
        <is>
          <t>GOTLANDS LÄN</t>
        </is>
      </c>
      <c r="E40" t="inlineStr">
        <is>
          <t>GOTLAND</t>
        </is>
      </c>
      <c r="G40" t="n">
        <v>10.3</v>
      </c>
      <c r="H40" t="n">
        <v>3</v>
      </c>
      <c r="I40" t="n">
        <v>8</v>
      </c>
      <c r="J40" t="n">
        <v>5</v>
      </c>
      <c r="K40" t="n">
        <v>1</v>
      </c>
      <c r="L40" t="n">
        <v>0</v>
      </c>
      <c r="M40" t="n">
        <v>0</v>
      </c>
      <c r="N40" t="n">
        <v>0</v>
      </c>
      <c r="O40" t="n">
        <v>6</v>
      </c>
      <c r="P40" t="n">
        <v>1</v>
      </c>
      <c r="Q40" t="n">
        <v>14</v>
      </c>
      <c r="R40" s="2" t="inlineStr">
        <is>
          <t>Duvspindling
Blå slemspindling
Flattoppad klubbsvamp
Jordtistel
Odörspindling
Solvända
Nästrot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27168-2022</t>
        </is>
      </c>
      <c r="B41" s="1" t="n">
        <v>44741</v>
      </c>
      <c r="C41" s="1" t="n">
        <v>46197</v>
      </c>
      <c r="D41" t="inlineStr">
        <is>
          <t>GOTLANDS LÄN</t>
        </is>
      </c>
      <c r="E41" t="inlineStr">
        <is>
          <t>GOTLAND</t>
        </is>
      </c>
      <c r="G41" t="n">
        <v>2.2</v>
      </c>
      <c r="H41" t="n">
        <v>9</v>
      </c>
      <c r="I41" t="n">
        <v>4</v>
      </c>
      <c r="J41" t="n">
        <v>2</v>
      </c>
      <c r="K41" t="n">
        <v>2</v>
      </c>
      <c r="L41" t="n">
        <v>0</v>
      </c>
      <c r="M41" t="n">
        <v>0</v>
      </c>
      <c r="N41" t="n">
        <v>0</v>
      </c>
      <c r="O41" t="n">
        <v>4</v>
      </c>
      <c r="P41" t="n">
        <v>2</v>
      </c>
      <c r="Q41" t="n">
        <v>13</v>
      </c>
      <c r="R41" s="2" t="inlineStr">
        <is>
          <t>Bredbrämad bastardsvärmare
Gotlandsmåra
Solvända
Svinrot
Purpurknipprot
Skogsknipprot
Tvåblad
Vit skogslilja
Citronfläckad kärrtrollslända
Brudsporre
Fläcknycklar
Kärrknipprot
Nattviol</t>
        </is>
      </c>
      <c r="S41">
        <f>HYPERLINK("https://klasma.github.io/Logging_0980/artfynd/A 27168-2022 artfynd.xlsx", "A 27168-2022")</f>
        <v/>
      </c>
      <c r="T41">
        <f>HYPERLINK("https://klasma.github.io/Logging_0980/kartor/A 27168-2022 karta.png", "A 27168-2022")</f>
        <v/>
      </c>
      <c r="V41">
        <f>HYPERLINK("https://klasma.github.io/Logging_0980/klagomål/A 27168-2022 FSC-klagomål.docx", "A 27168-2022")</f>
        <v/>
      </c>
      <c r="W41">
        <f>HYPERLINK("https://klasma.github.io/Logging_0980/klagomålsmail/A 27168-2022 FSC-klagomål mail.docx", "A 27168-2022")</f>
        <v/>
      </c>
      <c r="X41">
        <f>HYPERLINK("https://klasma.github.io/Logging_0980/tillsyn/A 27168-2022 tillsynsbegäran.docx", "A 27168-2022")</f>
        <v/>
      </c>
      <c r="Y41">
        <f>HYPERLINK("https://klasma.github.io/Logging_0980/tillsynsmail/A 27168-2022 tillsynsbegäran mail.docx", "A 27168-2022")</f>
        <v/>
      </c>
    </row>
    <row r="42" ht="15" customHeight="1">
      <c r="A42" t="inlineStr">
        <is>
          <t>A 37037-2021</t>
        </is>
      </c>
      <c r="B42" s="1" t="n">
        <v>44393</v>
      </c>
      <c r="C42" s="1" t="n">
        <v>46197</v>
      </c>
      <c r="D42" t="inlineStr">
        <is>
          <t>GOTLANDS LÄN</t>
        </is>
      </c>
      <c r="E42" t="inlineStr">
        <is>
          <t>GOTLAND</t>
        </is>
      </c>
      <c r="G42" t="n">
        <v>10.2</v>
      </c>
      <c r="H42" t="n">
        <v>1</v>
      </c>
      <c r="I42" t="n">
        <v>4</v>
      </c>
      <c r="J42" t="n">
        <v>4</v>
      </c>
      <c r="K42" t="n">
        <v>4</v>
      </c>
      <c r="L42" t="n">
        <v>0</v>
      </c>
      <c r="M42" t="n">
        <v>0</v>
      </c>
      <c r="N42" t="n">
        <v>0</v>
      </c>
      <c r="O42" t="n">
        <v>8</v>
      </c>
      <c r="P42" t="n">
        <v>4</v>
      </c>
      <c r="Q42" t="n">
        <v>12</v>
      </c>
      <c r="R42" s="2" t="inlineStr">
        <is>
          <t>Gulsträngad fagerspindling
Svartgrön spindling
Trollspindling
Vit taggsvamp
Apollofjäril
Blå slemspindling
Kattfotslav
Odörspindling
Anisspindling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3324-2023</t>
        </is>
      </c>
      <c r="B43" s="1" t="n">
        <v>44949</v>
      </c>
      <c r="C43" s="1" t="n">
        <v>46197</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6052-2024</t>
        </is>
      </c>
      <c r="B44" s="1" t="n">
        <v>45336</v>
      </c>
      <c r="C44" s="1" t="n">
        <v>46197</v>
      </c>
      <c r="D44" t="inlineStr">
        <is>
          <t>GOTLANDS LÄN</t>
        </is>
      </c>
      <c r="E44" t="inlineStr">
        <is>
          <t>GOTLAND</t>
        </is>
      </c>
      <c r="G44" t="n">
        <v>10.3</v>
      </c>
      <c r="H44" t="n">
        <v>1</v>
      </c>
      <c r="I44" t="n">
        <v>3</v>
      </c>
      <c r="J44" t="n">
        <v>7</v>
      </c>
      <c r="K44" t="n">
        <v>2</v>
      </c>
      <c r="L44" t="n">
        <v>0</v>
      </c>
      <c r="M44" t="n">
        <v>0</v>
      </c>
      <c r="N44" t="n">
        <v>0</v>
      </c>
      <c r="O44" t="n">
        <v>9</v>
      </c>
      <c r="P44" t="n">
        <v>2</v>
      </c>
      <c r="Q44" t="n">
        <v>12</v>
      </c>
      <c r="R44" s="2" t="inlineStr">
        <is>
          <t>Lansettfibbla
Narrspindling
Ladlav
Odörspindling
Smedbock
Svinrot
Tallticka
Vippärt
Vårärt
Anisspindling
Nästrot
Olivspindling</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17766-2024</t>
        </is>
      </c>
      <c r="B45" s="1" t="n">
        <v>45418</v>
      </c>
      <c r="C45" s="1" t="n">
        <v>46197</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46197</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28287-2024</t>
        </is>
      </c>
      <c r="B47" s="1" t="n">
        <v>45477</v>
      </c>
      <c r="C47" s="1" t="n">
        <v>46197</v>
      </c>
      <c r="D47" t="inlineStr">
        <is>
          <t>GOTLANDS LÄN</t>
        </is>
      </c>
      <c r="E47" t="inlineStr">
        <is>
          <t>GOTLAND</t>
        </is>
      </c>
      <c r="G47" t="n">
        <v>23.4</v>
      </c>
      <c r="H47" t="n">
        <v>2</v>
      </c>
      <c r="I47" t="n">
        <v>0</v>
      </c>
      <c r="J47" t="n">
        <v>10</v>
      </c>
      <c r="K47" t="n">
        <v>0</v>
      </c>
      <c r="L47" t="n">
        <v>1</v>
      </c>
      <c r="M47" t="n">
        <v>0</v>
      </c>
      <c r="N47" t="n">
        <v>0</v>
      </c>
      <c r="O47" t="n">
        <v>11</v>
      </c>
      <c r="P47" t="n">
        <v>1</v>
      </c>
      <c r="Q47" t="n">
        <v>12</v>
      </c>
      <c r="R47" s="2" t="inlineStr">
        <is>
          <t>Ask
Axveronika
Backtimjan
Flentimotej
Gulsparv
Jordtistel
Piggtistel
Silversmygare
Smedbock
Solvända
Vårstarr
Blåsippa</t>
        </is>
      </c>
      <c r="S47">
        <f>HYPERLINK("https://klasma.github.io/Logging_0980/artfynd/A 28287-2024 artfynd.xlsx", "A 28287-2024")</f>
        <v/>
      </c>
      <c r="T47">
        <f>HYPERLINK("https://klasma.github.io/Logging_0980/kartor/A 28287-2024 karta.png", "A 28287-2024")</f>
        <v/>
      </c>
      <c r="V47">
        <f>HYPERLINK("https://klasma.github.io/Logging_0980/klagomål/A 28287-2024 FSC-klagomål.docx", "A 28287-2024")</f>
        <v/>
      </c>
      <c r="W47">
        <f>HYPERLINK("https://klasma.github.io/Logging_0980/klagomålsmail/A 28287-2024 FSC-klagomål mail.docx", "A 28287-2024")</f>
        <v/>
      </c>
      <c r="X47">
        <f>HYPERLINK("https://klasma.github.io/Logging_0980/tillsyn/A 28287-2024 tillsynsbegäran.docx", "A 28287-2024")</f>
        <v/>
      </c>
      <c r="Y47">
        <f>HYPERLINK("https://klasma.github.io/Logging_0980/tillsynsmail/A 28287-2024 tillsynsbegäran mail.docx", "A 28287-2024")</f>
        <v/>
      </c>
      <c r="Z47">
        <f>HYPERLINK("https://klasma.github.io/Logging_0980/fåglar/A 28287-2024 prioriterade fågelarter.docx", "A 28287-2024")</f>
        <v/>
      </c>
    </row>
    <row r="48" ht="15" customHeight="1">
      <c r="A48" t="inlineStr">
        <is>
          <t>A 2649-2023</t>
        </is>
      </c>
      <c r="B48" s="1" t="n">
        <v>44943</v>
      </c>
      <c r="C48" s="1" t="n">
        <v>46197</v>
      </c>
      <c r="D48" t="inlineStr">
        <is>
          <t>GOTLANDS LÄN</t>
        </is>
      </c>
      <c r="E48" t="inlineStr">
        <is>
          <t>GOTLAND</t>
        </is>
      </c>
      <c r="G48" t="n">
        <v>2.6</v>
      </c>
      <c r="H48" t="n">
        <v>1</v>
      </c>
      <c r="I48" t="n">
        <v>2</v>
      </c>
      <c r="J48" t="n">
        <v>2</v>
      </c>
      <c r="K48" t="n">
        <v>7</v>
      </c>
      <c r="L48" t="n">
        <v>0</v>
      </c>
      <c r="M48" t="n">
        <v>0</v>
      </c>
      <c r="N48" t="n">
        <v>0</v>
      </c>
      <c r="O48" t="n">
        <v>9</v>
      </c>
      <c r="P48" t="n">
        <v>7</v>
      </c>
      <c r="Q48" t="n">
        <v>11</v>
      </c>
      <c r="R48" s="2" t="inlineStr">
        <is>
          <t>Duvspindling
Garderönn
Granrotspindling
Gul lammticka
Gulsträngad fagerspindling
Svartgrön spindling
Violettfläckig spindling
Blå slemspindling
Svinrot
Anisspindling
Olivspindling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27280-2023</t>
        </is>
      </c>
      <c r="B49" s="1" t="n">
        <v>45096</v>
      </c>
      <c r="C49" s="1" t="n">
        <v>46197</v>
      </c>
      <c r="D49" t="inlineStr">
        <is>
          <t>GOTLANDS LÄN</t>
        </is>
      </c>
      <c r="E49" t="inlineStr">
        <is>
          <t>GOTLAND</t>
        </is>
      </c>
      <c r="G49" t="n">
        <v>2.7</v>
      </c>
      <c r="H49" t="n">
        <v>11</v>
      </c>
      <c r="I49" t="n">
        <v>2</v>
      </c>
      <c r="J49" t="n">
        <v>2</v>
      </c>
      <c r="K49" t="n">
        <v>1</v>
      </c>
      <c r="L49" t="n">
        <v>1</v>
      </c>
      <c r="M49" t="n">
        <v>0</v>
      </c>
      <c r="N49" t="n">
        <v>0</v>
      </c>
      <c r="O49" t="n">
        <v>4</v>
      </c>
      <c r="P49" t="n">
        <v>2</v>
      </c>
      <c r="Q49" t="n">
        <v>11</v>
      </c>
      <c r="R49" s="2" t="inlineStr">
        <is>
          <t>Sommargylling
Stare
Björktrast
Mindre hackspett
Skogsknipprot
Tvåblad
Spillkråka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584-2023</t>
        </is>
      </c>
      <c r="B50" s="1" t="n">
        <v>44930</v>
      </c>
      <c r="C50" s="1" t="n">
        <v>46197</v>
      </c>
      <c r="D50" t="inlineStr">
        <is>
          <t>GOTLANDS LÄN</t>
        </is>
      </c>
      <c r="E50" t="inlineStr">
        <is>
          <t>GOTLAND</t>
        </is>
      </c>
      <c r="G50" t="n">
        <v>27.2</v>
      </c>
      <c r="H50" t="n">
        <v>3</v>
      </c>
      <c r="I50" t="n">
        <v>2</v>
      </c>
      <c r="J50" t="n">
        <v>6</v>
      </c>
      <c r="K50" t="n">
        <v>2</v>
      </c>
      <c r="L50" t="n">
        <v>0</v>
      </c>
      <c r="M50" t="n">
        <v>0</v>
      </c>
      <c r="N50" t="n">
        <v>0</v>
      </c>
      <c r="O50" t="n">
        <v>8</v>
      </c>
      <c r="P50" t="n">
        <v>2</v>
      </c>
      <c r="Q50" t="n">
        <v>11</v>
      </c>
      <c r="R50" s="2" t="inlineStr">
        <is>
          <t>Garderönn
Granrotspindling
Backtimjan
Denisespindling
Dårgräsfjäril
Jungfrulin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66091-2021</t>
        </is>
      </c>
      <c r="B51" s="1" t="n">
        <v>44517</v>
      </c>
      <c r="C51" s="1" t="n">
        <v>46197</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46197</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46197</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row>
    <row r="54" ht="15" customHeight="1">
      <c r="A54" t="inlineStr">
        <is>
          <t>A 45248-2024</t>
        </is>
      </c>
      <c r="B54" s="1" t="n">
        <v>45576</v>
      </c>
      <c r="C54" s="1" t="n">
        <v>46197</v>
      </c>
      <c r="D54" t="inlineStr">
        <is>
          <t>GOTLANDS LÄN</t>
        </is>
      </c>
      <c r="E54" t="inlineStr">
        <is>
          <t>GOTLAND</t>
        </is>
      </c>
      <c r="G54" t="n">
        <v>9.4</v>
      </c>
      <c r="H54" t="n">
        <v>0</v>
      </c>
      <c r="I54" t="n">
        <v>5</v>
      </c>
      <c r="J54" t="n">
        <v>3</v>
      </c>
      <c r="K54" t="n">
        <v>0</v>
      </c>
      <c r="L54" t="n">
        <v>2</v>
      </c>
      <c r="M54" t="n">
        <v>0</v>
      </c>
      <c r="N54" t="n">
        <v>0</v>
      </c>
      <c r="O54" t="n">
        <v>5</v>
      </c>
      <c r="P54" t="n">
        <v>2</v>
      </c>
      <c r="Q54" t="n">
        <v>10</v>
      </c>
      <c r="R54" s="2" t="inlineStr">
        <is>
          <t>Ask
Lundalm
Blå slemspindling
Mjölspindling
Oxtungssvamp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44944-2022</t>
        </is>
      </c>
      <c r="B55" s="1" t="n">
        <v>44841</v>
      </c>
      <c r="C55" s="1" t="n">
        <v>46197</v>
      </c>
      <c r="D55" t="inlineStr">
        <is>
          <t>GOTLANDS LÄN</t>
        </is>
      </c>
      <c r="E55" t="inlineStr">
        <is>
          <t>GOTLAND</t>
        </is>
      </c>
      <c r="G55" t="n">
        <v>2.8</v>
      </c>
      <c r="H55" t="n">
        <v>0</v>
      </c>
      <c r="I55" t="n">
        <v>3</v>
      </c>
      <c r="J55" t="n">
        <v>4</v>
      </c>
      <c r="K55" t="n">
        <v>2</v>
      </c>
      <c r="L55" t="n">
        <v>1</v>
      </c>
      <c r="M55" t="n">
        <v>0</v>
      </c>
      <c r="N55" t="n">
        <v>0</v>
      </c>
      <c r="O55" t="n">
        <v>7</v>
      </c>
      <c r="P55" t="n">
        <v>3</v>
      </c>
      <c r="Q55" t="n">
        <v>10</v>
      </c>
      <c r="R55" s="2" t="inlineStr">
        <is>
          <t>Sienamusseron
Bredbrämad bastardsvärmare
Gotlandsmåra
Axveronika
Denisespindling
Fjällig taggsvamp s.str.
Odörspindling
Anisspindling
Olivspindling
Rödgul trumpetsvamp</t>
        </is>
      </c>
      <c r="S55">
        <f>HYPERLINK("https://klasma.github.io/Logging_0980/artfynd/A 44944-2022 artfynd.xlsx", "A 44944-2022")</f>
        <v/>
      </c>
      <c r="T55">
        <f>HYPERLINK("https://klasma.github.io/Logging_0980/kartor/A 44944-2022 karta.png", "A 44944-2022")</f>
        <v/>
      </c>
      <c r="V55">
        <f>HYPERLINK("https://klasma.github.io/Logging_0980/klagomål/A 44944-2022 FSC-klagomål.docx", "A 44944-2022")</f>
        <v/>
      </c>
      <c r="W55">
        <f>HYPERLINK("https://klasma.github.io/Logging_0980/klagomålsmail/A 44944-2022 FSC-klagomål mail.docx", "A 44944-2022")</f>
        <v/>
      </c>
      <c r="X55">
        <f>HYPERLINK("https://klasma.github.io/Logging_0980/tillsyn/A 44944-2022 tillsynsbegäran.docx", "A 44944-2022")</f>
        <v/>
      </c>
      <c r="Y55">
        <f>HYPERLINK("https://klasma.github.io/Logging_0980/tillsynsmail/A 44944-2022 tillsynsbegäran mail.docx", "A 44944-2022")</f>
        <v/>
      </c>
    </row>
    <row r="56" ht="15" customHeight="1">
      <c r="A56" t="inlineStr">
        <is>
          <t>A 63149-2025</t>
        </is>
      </c>
      <c r="B56" s="1" t="n">
        <v>46010</v>
      </c>
      <c r="C56" s="1" t="n">
        <v>46197</v>
      </c>
      <c r="D56" t="inlineStr">
        <is>
          <t>GOTLANDS LÄN</t>
        </is>
      </c>
      <c r="E56" t="inlineStr">
        <is>
          <t>GOTLAND</t>
        </is>
      </c>
      <c r="G56" t="n">
        <v>4.3</v>
      </c>
      <c r="H56" t="n">
        <v>4</v>
      </c>
      <c r="I56" t="n">
        <v>2</v>
      </c>
      <c r="J56" t="n">
        <v>5</v>
      </c>
      <c r="K56" t="n">
        <v>0</v>
      </c>
      <c r="L56" t="n">
        <v>0</v>
      </c>
      <c r="M56" t="n">
        <v>0</v>
      </c>
      <c r="N56" t="n">
        <v>0</v>
      </c>
      <c r="O56" t="n">
        <v>5</v>
      </c>
      <c r="P56" t="n">
        <v>0</v>
      </c>
      <c r="Q56" t="n">
        <v>10</v>
      </c>
      <c r="R56" s="2" t="inlineStr">
        <is>
          <t>Backtimjan
Berggräsfjäril
Gulsparv
Solvända
Svinrot
Anisspindling
Skogsknipprot
Ormbär
Spillkråka
Sankt pers nycklar</t>
        </is>
      </c>
      <c r="S56">
        <f>HYPERLINK("https://klasma.github.io/Logging_0980/artfynd/A 63149-2025 artfynd.xlsx", "A 63149-2025")</f>
        <v/>
      </c>
      <c r="T56">
        <f>HYPERLINK("https://klasma.github.io/Logging_0980/kartor/A 63149-2025 karta.png", "A 63149-2025")</f>
        <v/>
      </c>
      <c r="V56">
        <f>HYPERLINK("https://klasma.github.io/Logging_0980/klagomål/A 63149-2025 FSC-klagomål.docx", "A 63149-2025")</f>
        <v/>
      </c>
      <c r="W56">
        <f>HYPERLINK("https://klasma.github.io/Logging_0980/klagomålsmail/A 63149-2025 FSC-klagomål mail.docx", "A 63149-2025")</f>
        <v/>
      </c>
      <c r="X56">
        <f>HYPERLINK("https://klasma.github.io/Logging_0980/tillsyn/A 63149-2025 tillsynsbegäran.docx", "A 63149-2025")</f>
        <v/>
      </c>
      <c r="Y56">
        <f>HYPERLINK("https://klasma.github.io/Logging_0980/tillsynsmail/A 63149-2025 tillsynsbegäran mail.docx", "A 63149-2025")</f>
        <v/>
      </c>
      <c r="Z56">
        <f>HYPERLINK("https://klasma.github.io/Logging_0980/fåglar/A 63149-2025 prioriterade fågelarter.docx", "A 63149-2025")</f>
        <v/>
      </c>
    </row>
    <row r="57" ht="15" customHeight="1">
      <c r="A57" t="inlineStr">
        <is>
          <t>A 55649-2024</t>
        </is>
      </c>
      <c r="B57" s="1" t="n">
        <v>45622</v>
      </c>
      <c r="C57" s="1" t="n">
        <v>46197</v>
      </c>
      <c r="D57" t="inlineStr">
        <is>
          <t>GOTLANDS LÄN</t>
        </is>
      </c>
      <c r="E57" t="inlineStr">
        <is>
          <t>GOTLAND</t>
        </is>
      </c>
      <c r="G57" t="n">
        <v>4.6</v>
      </c>
      <c r="H57" t="n">
        <v>3</v>
      </c>
      <c r="I57" t="n">
        <v>1</v>
      </c>
      <c r="J57" t="n">
        <v>6</v>
      </c>
      <c r="K57" t="n">
        <v>0</v>
      </c>
      <c r="L57" t="n">
        <v>0</v>
      </c>
      <c r="M57" t="n">
        <v>0</v>
      </c>
      <c r="N57" t="n">
        <v>0</v>
      </c>
      <c r="O57" t="n">
        <v>6</v>
      </c>
      <c r="P57" t="n">
        <v>0</v>
      </c>
      <c r="Q57" t="n">
        <v>10</v>
      </c>
      <c r="R57" s="2" t="inlineStr">
        <is>
          <t>Backtimjan
Jordtistel
Jungfrulin
Solvända
Svinrot
Ängsnätfjäril
Guldlockmossa
Blåsippa
Sankt pers nycklar
Gullviva</t>
        </is>
      </c>
      <c r="S57">
        <f>HYPERLINK("https://klasma.github.io/Logging_0980/artfynd/A 55649-2024 artfynd.xlsx", "A 55649-2024")</f>
        <v/>
      </c>
      <c r="T57">
        <f>HYPERLINK("https://klasma.github.io/Logging_0980/kartor/A 55649-2024 karta.png", "A 55649-2024")</f>
        <v/>
      </c>
      <c r="V57">
        <f>HYPERLINK("https://klasma.github.io/Logging_0980/klagomål/A 55649-2024 FSC-klagomål.docx", "A 55649-2024")</f>
        <v/>
      </c>
      <c r="W57">
        <f>HYPERLINK("https://klasma.github.io/Logging_0980/klagomålsmail/A 55649-2024 FSC-klagomål mail.docx", "A 55649-2024")</f>
        <v/>
      </c>
      <c r="X57">
        <f>HYPERLINK("https://klasma.github.io/Logging_0980/tillsyn/A 55649-2024 tillsynsbegäran.docx", "A 55649-2024")</f>
        <v/>
      </c>
      <c r="Y57">
        <f>HYPERLINK("https://klasma.github.io/Logging_0980/tillsynsmail/A 55649-2024 tillsynsbegäran mail.docx", "A 55649-2024")</f>
        <v/>
      </c>
    </row>
    <row r="58" ht="15" customHeight="1">
      <c r="A58" t="inlineStr">
        <is>
          <t>A 186-2023</t>
        </is>
      </c>
      <c r="B58" s="1" t="n">
        <v>44928</v>
      </c>
      <c r="C58" s="1" t="n">
        <v>46197</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32326-2024</t>
        </is>
      </c>
      <c r="B59" s="1" t="n">
        <v>45512</v>
      </c>
      <c r="C59" s="1" t="n">
        <v>46197</v>
      </c>
      <c r="D59" t="inlineStr">
        <is>
          <t>GOTLANDS LÄN</t>
        </is>
      </c>
      <c r="E59" t="inlineStr">
        <is>
          <t>GOTLAND</t>
        </is>
      </c>
      <c r="G59" t="n">
        <v>9.199999999999999</v>
      </c>
      <c r="H59" t="n">
        <v>4</v>
      </c>
      <c r="I59" t="n">
        <v>2</v>
      </c>
      <c r="J59" t="n">
        <v>5</v>
      </c>
      <c r="K59" t="n">
        <v>1</v>
      </c>
      <c r="L59" t="n">
        <v>0</v>
      </c>
      <c r="M59" t="n">
        <v>0</v>
      </c>
      <c r="N59" t="n">
        <v>0</v>
      </c>
      <c r="O59" t="n">
        <v>6</v>
      </c>
      <c r="P59" t="n">
        <v>1</v>
      </c>
      <c r="Q59" t="n">
        <v>10</v>
      </c>
      <c r="R59" s="2" t="inlineStr">
        <is>
          <t>Tallgångbagge
Backruta
Backtimjan
Jordtistel
Svinrot
Säfferot
Purpurknipprot
Skogsknipprot
Nattskärra
Brudsporre</t>
        </is>
      </c>
      <c r="S59">
        <f>HYPERLINK("https://klasma.github.io/Logging_0980/artfynd/A 32326-2024 artfynd.xlsx", "A 32326-2024")</f>
        <v/>
      </c>
      <c r="T59">
        <f>HYPERLINK("https://klasma.github.io/Logging_0980/kartor/A 32326-2024 karta.png", "A 32326-2024")</f>
        <v/>
      </c>
      <c r="V59">
        <f>HYPERLINK("https://klasma.github.io/Logging_0980/klagomål/A 32326-2024 FSC-klagomål.docx", "A 32326-2024")</f>
        <v/>
      </c>
      <c r="W59">
        <f>HYPERLINK("https://klasma.github.io/Logging_0980/klagomålsmail/A 32326-2024 FSC-klagomål mail.docx", "A 32326-2024")</f>
        <v/>
      </c>
      <c r="X59">
        <f>HYPERLINK("https://klasma.github.io/Logging_0980/tillsyn/A 32326-2024 tillsynsbegäran.docx", "A 32326-2024")</f>
        <v/>
      </c>
      <c r="Y59">
        <f>HYPERLINK("https://klasma.github.io/Logging_0980/tillsynsmail/A 32326-2024 tillsynsbegäran mail.docx", "A 32326-2024")</f>
        <v/>
      </c>
      <c r="Z59">
        <f>HYPERLINK("https://klasma.github.io/Logging_0980/fåglar/A 32326-2024 prioriterade fågelarter.docx", "A 32326-2024")</f>
        <v/>
      </c>
    </row>
    <row r="60" ht="15" customHeight="1">
      <c r="A60" t="inlineStr">
        <is>
          <t>A 22404-2024</t>
        </is>
      </c>
      <c r="B60" s="1" t="n">
        <v>45446</v>
      </c>
      <c r="C60" s="1" t="n">
        <v>46197</v>
      </c>
      <c r="D60" t="inlineStr">
        <is>
          <t>GOTLANDS LÄN</t>
        </is>
      </c>
      <c r="E60" t="inlineStr">
        <is>
          <t>GOTLAND</t>
        </is>
      </c>
      <c r="G60" t="n">
        <v>11.4</v>
      </c>
      <c r="H60" t="n">
        <v>3</v>
      </c>
      <c r="I60" t="n">
        <v>5</v>
      </c>
      <c r="J60" t="n">
        <v>2</v>
      </c>
      <c r="K60" t="n">
        <v>3</v>
      </c>
      <c r="L60" t="n">
        <v>0</v>
      </c>
      <c r="M60" t="n">
        <v>0</v>
      </c>
      <c r="N60" t="n">
        <v>0</v>
      </c>
      <c r="O60" t="n">
        <v>5</v>
      </c>
      <c r="P60" t="n">
        <v>3</v>
      </c>
      <c r="Q60" t="n">
        <v>10</v>
      </c>
      <c r="R60" s="2" t="inlineStr">
        <is>
          <t>Blåfotad fagerspindling
Bullspindling
Vit taggsvamp
Barrfagerspindling
Blå slemspindling
Flugblomster
Purpurknipprot
Rödgul trumpetsvamp
Svavelriska
Tvåblad</t>
        </is>
      </c>
      <c r="S60">
        <f>HYPERLINK("https://klasma.github.io/Logging_0980/artfynd/A 22404-2024 artfynd.xlsx", "A 22404-2024")</f>
        <v/>
      </c>
      <c r="T60">
        <f>HYPERLINK("https://klasma.github.io/Logging_0980/kartor/A 22404-2024 karta.png", "A 22404-2024")</f>
        <v/>
      </c>
      <c r="V60">
        <f>HYPERLINK("https://klasma.github.io/Logging_0980/klagomål/A 22404-2024 FSC-klagomål.docx", "A 22404-2024")</f>
        <v/>
      </c>
      <c r="W60">
        <f>HYPERLINK("https://klasma.github.io/Logging_0980/klagomålsmail/A 22404-2024 FSC-klagomål mail.docx", "A 22404-2024")</f>
        <v/>
      </c>
      <c r="X60">
        <f>HYPERLINK("https://klasma.github.io/Logging_0980/tillsyn/A 22404-2024 tillsynsbegäran.docx", "A 22404-2024")</f>
        <v/>
      </c>
      <c r="Y60">
        <f>HYPERLINK("https://klasma.github.io/Logging_0980/tillsynsmail/A 22404-2024 tillsynsbegäran mail.docx", "A 22404-2024")</f>
        <v/>
      </c>
    </row>
    <row r="61" ht="15" customHeight="1">
      <c r="A61" t="inlineStr">
        <is>
          <t>A 1769-2022</t>
        </is>
      </c>
      <c r="B61" s="1" t="n">
        <v>44574</v>
      </c>
      <c r="C61" s="1" t="n">
        <v>46197</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46197</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20833-2024</t>
        </is>
      </c>
      <c r="B63" s="1" t="n">
        <v>45439</v>
      </c>
      <c r="C63" s="1" t="n">
        <v>46197</v>
      </c>
      <c r="D63" t="inlineStr">
        <is>
          <t>GOTLANDS LÄN</t>
        </is>
      </c>
      <c r="E63" t="inlineStr">
        <is>
          <t>GOTLAND</t>
        </is>
      </c>
      <c r="G63" t="n">
        <v>0.9</v>
      </c>
      <c r="H63" t="n">
        <v>5</v>
      </c>
      <c r="I63" t="n">
        <v>2</v>
      </c>
      <c r="J63" t="n">
        <v>5</v>
      </c>
      <c r="K63" t="n">
        <v>1</v>
      </c>
      <c r="L63" t="n">
        <v>0</v>
      </c>
      <c r="M63" t="n">
        <v>0</v>
      </c>
      <c r="N63" t="n">
        <v>0</v>
      </c>
      <c r="O63" t="n">
        <v>6</v>
      </c>
      <c r="P63" t="n">
        <v>1</v>
      </c>
      <c r="Q63" t="n">
        <v>9</v>
      </c>
      <c r="R63" s="2" t="inlineStr">
        <is>
          <t>Svartfläckig blåvinge
Backtimjan
Dårgräsfjäril
Jordtistel
Solvända
Svinrot
Skogsknipprot
Tvåblad
Spillkråka</t>
        </is>
      </c>
      <c r="S63">
        <f>HYPERLINK("https://klasma.github.io/Logging_0980/artfynd/A 20833-2024 artfynd.xlsx", "A 20833-2024")</f>
        <v/>
      </c>
      <c r="T63">
        <f>HYPERLINK("https://klasma.github.io/Logging_0980/kartor/A 20833-2024 karta.png", "A 20833-2024")</f>
        <v/>
      </c>
      <c r="V63">
        <f>HYPERLINK("https://klasma.github.io/Logging_0980/klagomål/A 20833-2024 FSC-klagomål.docx", "A 20833-2024")</f>
        <v/>
      </c>
      <c r="W63">
        <f>HYPERLINK("https://klasma.github.io/Logging_0980/klagomålsmail/A 20833-2024 FSC-klagomål mail.docx", "A 20833-2024")</f>
        <v/>
      </c>
      <c r="X63">
        <f>HYPERLINK("https://klasma.github.io/Logging_0980/tillsyn/A 20833-2024 tillsynsbegäran.docx", "A 20833-2024")</f>
        <v/>
      </c>
      <c r="Y63">
        <f>HYPERLINK("https://klasma.github.io/Logging_0980/tillsynsmail/A 20833-2024 tillsynsbegäran mail.docx", "A 20833-2024")</f>
        <v/>
      </c>
      <c r="Z63">
        <f>HYPERLINK("https://klasma.github.io/Logging_0980/fåglar/A 20833-2024 prioriterade fågelarter.docx", "A 20833-2024")</f>
        <v/>
      </c>
    </row>
    <row r="64" ht="15" customHeight="1">
      <c r="A64" t="inlineStr">
        <is>
          <t>A 17328-2026</t>
        </is>
      </c>
      <c r="B64" s="1" t="n">
        <v>46119</v>
      </c>
      <c r="C64" s="1" t="n">
        <v>46197</v>
      </c>
      <c r="D64" t="inlineStr">
        <is>
          <t>GOTLANDS LÄN</t>
        </is>
      </c>
      <c r="E64" t="inlineStr">
        <is>
          <t>GOTLAND</t>
        </is>
      </c>
      <c r="F64" t="inlineStr">
        <is>
          <t>Kyrkan</t>
        </is>
      </c>
      <c r="G64" t="n">
        <v>4</v>
      </c>
      <c r="H64" t="n">
        <v>3</v>
      </c>
      <c r="I64" t="n">
        <v>0</v>
      </c>
      <c r="J64" t="n">
        <v>6</v>
      </c>
      <c r="K64" t="n">
        <v>1</v>
      </c>
      <c r="L64" t="n">
        <v>1</v>
      </c>
      <c r="M64" t="n">
        <v>0</v>
      </c>
      <c r="N64" t="n">
        <v>0</v>
      </c>
      <c r="O64" t="n">
        <v>8</v>
      </c>
      <c r="P64" t="n">
        <v>2</v>
      </c>
      <c r="Q64" t="n">
        <v>9</v>
      </c>
      <c r="R64" s="2" t="inlineStr">
        <is>
          <t>Ask
Garderönn
Backtimjan
Bergjohannesört
Dårgräsfjäril
Jordtistel
Solvända
Svinrot
Spillkråka</t>
        </is>
      </c>
      <c r="S64">
        <f>HYPERLINK("https://klasma.github.io/Logging_0980/artfynd/A 17328-2026 artfynd.xlsx", "A 17328-2026")</f>
        <v/>
      </c>
      <c r="T64">
        <f>HYPERLINK("https://klasma.github.io/Logging_0980/kartor/A 17328-2026 karta.png", "A 17328-2026")</f>
        <v/>
      </c>
      <c r="V64">
        <f>HYPERLINK("https://klasma.github.io/Logging_0980/klagomål/A 17328-2026 FSC-klagomål.docx", "A 17328-2026")</f>
        <v/>
      </c>
      <c r="W64">
        <f>HYPERLINK("https://klasma.github.io/Logging_0980/klagomålsmail/A 17328-2026 FSC-klagomål mail.docx", "A 17328-2026")</f>
        <v/>
      </c>
      <c r="X64">
        <f>HYPERLINK("https://klasma.github.io/Logging_0980/tillsyn/A 17328-2026 tillsynsbegäran.docx", "A 17328-2026")</f>
        <v/>
      </c>
      <c r="Y64">
        <f>HYPERLINK("https://klasma.github.io/Logging_0980/tillsynsmail/A 17328-2026 tillsynsbegäran mail.docx", "A 17328-2026")</f>
        <v/>
      </c>
      <c r="Z64">
        <f>HYPERLINK("https://klasma.github.io/Logging_0980/fåglar/A 17328-2026 prioriterade fågelarter.docx", "A 17328-2026")</f>
        <v/>
      </c>
    </row>
    <row r="65" ht="15" customHeight="1">
      <c r="A65" t="inlineStr">
        <is>
          <t>A 7039-2023</t>
        </is>
      </c>
      <c r="B65" s="1" t="n">
        <v>44968</v>
      </c>
      <c r="C65" s="1" t="n">
        <v>46197</v>
      </c>
      <c r="D65" t="inlineStr">
        <is>
          <t>GOTLANDS LÄN</t>
        </is>
      </c>
      <c r="E65" t="inlineStr">
        <is>
          <t>GOTLAND</t>
        </is>
      </c>
      <c r="G65" t="n">
        <v>2.9</v>
      </c>
      <c r="H65" t="n">
        <v>1</v>
      </c>
      <c r="I65" t="n">
        <v>3</v>
      </c>
      <c r="J65" t="n">
        <v>2</v>
      </c>
      <c r="K65" t="n">
        <v>2</v>
      </c>
      <c r="L65" t="n">
        <v>0</v>
      </c>
      <c r="M65" t="n">
        <v>1</v>
      </c>
      <c r="N65" t="n">
        <v>0</v>
      </c>
      <c r="O65" t="n">
        <v>6</v>
      </c>
      <c r="P65" t="n">
        <v>3</v>
      </c>
      <c r="Q65" t="n">
        <v>9</v>
      </c>
      <c r="R65" s="2" t="inlineStr">
        <is>
          <t>Stor blanklav
Mörk kraterlav
Ädellav
Dårgräsfjäril
Svinrot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1971-2023</t>
        </is>
      </c>
      <c r="B66" s="1" t="n">
        <v>44939</v>
      </c>
      <c r="C66" s="1" t="n">
        <v>46197</v>
      </c>
      <c r="D66" t="inlineStr">
        <is>
          <t>GOTLANDS LÄN</t>
        </is>
      </c>
      <c r="E66" t="inlineStr">
        <is>
          <t>GOTLAND</t>
        </is>
      </c>
      <c r="G66" t="n">
        <v>5.5</v>
      </c>
      <c r="H66" t="n">
        <v>0</v>
      </c>
      <c r="I66" t="n">
        <v>3</v>
      </c>
      <c r="J66" t="n">
        <v>3</v>
      </c>
      <c r="K66" t="n">
        <v>2</v>
      </c>
      <c r="L66" t="n">
        <v>0</v>
      </c>
      <c r="M66" t="n">
        <v>0</v>
      </c>
      <c r="N66" t="n">
        <v>0</v>
      </c>
      <c r="O66" t="n">
        <v>5</v>
      </c>
      <c r="P66" t="n">
        <v>2</v>
      </c>
      <c r="Q66" t="n">
        <v>8</v>
      </c>
      <c r="R66" s="2" t="inlineStr">
        <is>
          <t>Granrotspindling
Gulsträngad fagerspindling
Fjällig taggsvamp s.str.
Sandviol
Svinrot
Blomkålssvamp
Olivspindling
Rödbrun jordstjärna</t>
        </is>
      </c>
      <c r="S66">
        <f>HYPERLINK("https://klasma.github.io/Logging_0980/artfynd/A 1971-2023 artfynd.xlsx", "A 1971-2023")</f>
        <v/>
      </c>
      <c r="T66">
        <f>HYPERLINK("https://klasma.github.io/Logging_0980/kartor/A 1971-2023 karta.png", "A 1971-2023")</f>
        <v/>
      </c>
      <c r="V66">
        <f>HYPERLINK("https://klasma.github.io/Logging_0980/klagomål/A 1971-2023 FSC-klagomål.docx", "A 1971-2023")</f>
        <v/>
      </c>
      <c r="W66">
        <f>HYPERLINK("https://klasma.github.io/Logging_0980/klagomålsmail/A 1971-2023 FSC-klagomål mail.docx", "A 1971-2023")</f>
        <v/>
      </c>
      <c r="X66">
        <f>HYPERLINK("https://klasma.github.io/Logging_0980/tillsyn/A 1971-2023 tillsynsbegäran.docx", "A 1971-2023")</f>
        <v/>
      </c>
      <c r="Y66">
        <f>HYPERLINK("https://klasma.github.io/Logging_0980/tillsynsmail/A 1971-2023 tillsynsbegäran mail.docx", "A 1971-2023")</f>
        <v/>
      </c>
    </row>
    <row r="67" ht="15" customHeight="1">
      <c r="A67" t="inlineStr">
        <is>
          <t>A 54527-2023</t>
        </is>
      </c>
      <c r="B67" s="1" t="n">
        <v>45233</v>
      </c>
      <c r="C67" s="1" t="n">
        <v>46197</v>
      </c>
      <c r="D67" t="inlineStr">
        <is>
          <t>GOTLANDS LÄN</t>
        </is>
      </c>
      <c r="E67" t="inlineStr">
        <is>
          <t>GOTLAND</t>
        </is>
      </c>
      <c r="G67" t="n">
        <v>28.5</v>
      </c>
      <c r="H67" t="n">
        <v>2</v>
      </c>
      <c r="I67" t="n">
        <v>0</v>
      </c>
      <c r="J67" t="n">
        <v>4</v>
      </c>
      <c r="K67" t="n">
        <v>1</v>
      </c>
      <c r="L67" t="n">
        <v>1</v>
      </c>
      <c r="M67" t="n">
        <v>0</v>
      </c>
      <c r="N67" t="n">
        <v>0</v>
      </c>
      <c r="O67" t="n">
        <v>6</v>
      </c>
      <c r="P67" t="n">
        <v>2</v>
      </c>
      <c r="Q67" t="n">
        <v>8</v>
      </c>
      <c r="R67" s="2" t="inlineStr">
        <is>
          <t>Ask
Sexfläckig bastardsvärmare
Backstarr
Backtimjan
Jordtistel
Solvända
Nattskärra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c r="Z67">
        <f>HYPERLINK("https://klasma.github.io/Logging_0980/fåglar/A 54527-2023 prioriterade fågelarter.docx", "A 54527-2023")</f>
        <v/>
      </c>
    </row>
    <row r="68" ht="15" customHeight="1">
      <c r="A68" t="inlineStr">
        <is>
          <t>A 44308-2021</t>
        </is>
      </c>
      <c r="B68" s="1" t="n">
        <v>44434</v>
      </c>
      <c r="C68" s="1" t="n">
        <v>46197</v>
      </c>
      <c r="D68" t="inlineStr">
        <is>
          <t>GOTLANDS LÄN</t>
        </is>
      </c>
      <c r="E68" t="inlineStr">
        <is>
          <t>GOTLAND</t>
        </is>
      </c>
      <c r="G68" t="n">
        <v>5.9</v>
      </c>
      <c r="H68" t="n">
        <v>0</v>
      </c>
      <c r="I68" t="n">
        <v>3</v>
      </c>
      <c r="J68" t="n">
        <v>3</v>
      </c>
      <c r="K68" t="n">
        <v>2</v>
      </c>
      <c r="L68" t="n">
        <v>0</v>
      </c>
      <c r="M68" t="n">
        <v>0</v>
      </c>
      <c r="N68" t="n">
        <v>0</v>
      </c>
      <c r="O68" t="n">
        <v>5</v>
      </c>
      <c r="P68" t="n">
        <v>2</v>
      </c>
      <c r="Q68" t="n">
        <v>8</v>
      </c>
      <c r="R68" s="2" t="inlineStr">
        <is>
          <t>Gul lammticka
Tvillingspindling
Barrfagerspindling
Svinrot
Sårläka
Anisspindling
Olivspindling
Svavelriska</t>
        </is>
      </c>
      <c r="S68">
        <f>HYPERLINK("https://klasma.github.io/Logging_0980/artfynd/A 44308-2021 artfynd.xlsx", "A 44308-2021")</f>
        <v/>
      </c>
      <c r="T68">
        <f>HYPERLINK("https://klasma.github.io/Logging_0980/kartor/A 44308-2021 karta.png", "A 44308-2021")</f>
        <v/>
      </c>
      <c r="V68">
        <f>HYPERLINK("https://klasma.github.io/Logging_0980/klagomål/A 44308-2021 FSC-klagomål.docx", "A 44308-2021")</f>
        <v/>
      </c>
      <c r="W68">
        <f>HYPERLINK("https://klasma.github.io/Logging_0980/klagomålsmail/A 44308-2021 FSC-klagomål mail.docx", "A 44308-2021")</f>
        <v/>
      </c>
      <c r="X68">
        <f>HYPERLINK("https://klasma.github.io/Logging_0980/tillsyn/A 44308-2021 tillsynsbegäran.docx", "A 44308-2021")</f>
        <v/>
      </c>
      <c r="Y68">
        <f>HYPERLINK("https://klasma.github.io/Logging_0980/tillsynsmail/A 44308-2021 tillsynsbegäran mail.docx", "A 44308-2021")</f>
        <v/>
      </c>
    </row>
    <row r="69" ht="15" customHeight="1">
      <c r="A69" t="inlineStr">
        <is>
          <t>A 54527-2023</t>
        </is>
      </c>
      <c r="B69" s="1" t="n">
        <v>45233</v>
      </c>
      <c r="C69" s="1" t="n">
        <v>46197</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46197</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46197</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46197</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7038-2023</t>
        </is>
      </c>
      <c r="B73" s="1" t="n">
        <v>44968</v>
      </c>
      <c r="C73" s="1" t="n">
        <v>46197</v>
      </c>
      <c r="D73" t="inlineStr">
        <is>
          <t>GOTLANDS LÄN</t>
        </is>
      </c>
      <c r="E73" t="inlineStr">
        <is>
          <t>GOTLAND</t>
        </is>
      </c>
      <c r="G73" t="n">
        <v>5.2</v>
      </c>
      <c r="H73" t="n">
        <v>1</v>
      </c>
      <c r="I73" t="n">
        <v>2</v>
      </c>
      <c r="J73" t="n">
        <v>1</v>
      </c>
      <c r="K73" t="n">
        <v>2</v>
      </c>
      <c r="L73" t="n">
        <v>1</v>
      </c>
      <c r="M73" t="n">
        <v>0</v>
      </c>
      <c r="N73" t="n">
        <v>0</v>
      </c>
      <c r="O73" t="n">
        <v>6</v>
      </c>
      <c r="P73" t="n">
        <v>3</v>
      </c>
      <c r="Q73" t="n">
        <v>8</v>
      </c>
      <c r="R73" s="2" t="inlineStr">
        <is>
          <t>Liten ädellav
Tät korallorangelav
Ädellav
Dårgräsfjäril
Blemlavsklotter
Frostig asplav
Guldlockmossa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51737-2021</t>
        </is>
      </c>
      <c r="B74" s="1" t="n">
        <v>44462</v>
      </c>
      <c r="C74" s="1" t="n">
        <v>46197</v>
      </c>
      <c r="D74" t="inlineStr">
        <is>
          <t>GOTLANDS LÄN</t>
        </is>
      </c>
      <c r="E74" t="inlineStr">
        <is>
          <t>GOTLAND</t>
        </is>
      </c>
      <c r="G74" t="n">
        <v>8.6</v>
      </c>
      <c r="H74" t="n">
        <v>1</v>
      </c>
      <c r="I74" t="n">
        <v>4</v>
      </c>
      <c r="J74" t="n">
        <v>2</v>
      </c>
      <c r="K74" t="n">
        <v>1</v>
      </c>
      <c r="L74" t="n">
        <v>0</v>
      </c>
      <c r="M74" t="n">
        <v>0</v>
      </c>
      <c r="N74" t="n">
        <v>0</v>
      </c>
      <c r="O74" t="n">
        <v>3</v>
      </c>
      <c r="P74" t="n">
        <v>1</v>
      </c>
      <c r="Q74" t="n">
        <v>7</v>
      </c>
      <c r="R74" s="2" t="inlineStr">
        <is>
          <t>Igelkott
Blå slemspindling
Vårärt
Blåmossa
Kambräken
Skogsknipprot
Västlig hakmossa</t>
        </is>
      </c>
      <c r="S74">
        <f>HYPERLINK("https://klasma.github.io/Logging_0980/artfynd/A 51737-2021 artfynd.xlsx", "A 51737-2021")</f>
        <v/>
      </c>
      <c r="T74">
        <f>HYPERLINK("https://klasma.github.io/Logging_0980/kartor/A 51737-2021 karta.png", "A 51737-2021")</f>
        <v/>
      </c>
      <c r="V74">
        <f>HYPERLINK("https://klasma.github.io/Logging_0980/klagomål/A 51737-2021 FSC-klagomål.docx", "A 51737-2021")</f>
        <v/>
      </c>
      <c r="W74">
        <f>HYPERLINK("https://klasma.github.io/Logging_0980/klagomålsmail/A 51737-2021 FSC-klagomål mail.docx", "A 51737-2021")</f>
        <v/>
      </c>
      <c r="X74">
        <f>HYPERLINK("https://klasma.github.io/Logging_0980/tillsyn/A 51737-2021 tillsynsbegäran.docx", "A 51737-2021")</f>
        <v/>
      </c>
      <c r="Y74">
        <f>HYPERLINK("https://klasma.github.io/Logging_0980/tillsynsmail/A 51737-2021 tillsynsbegäran mail.docx", "A 51737-2021")</f>
        <v/>
      </c>
    </row>
    <row r="75" ht="15" customHeight="1">
      <c r="A75" t="inlineStr">
        <is>
          <t>A 6159-2023</t>
        </is>
      </c>
      <c r="B75" s="1" t="n">
        <v>44964</v>
      </c>
      <c r="C75" s="1" t="n">
        <v>46197</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2085-2023</t>
        </is>
      </c>
      <c r="B76" s="1" t="n">
        <v>44939</v>
      </c>
      <c r="C76" s="1" t="n">
        <v>46197</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35293-2025</t>
        </is>
      </c>
      <c r="B77" s="1" t="n">
        <v>45854</v>
      </c>
      <c r="C77" s="1" t="n">
        <v>46197</v>
      </c>
      <c r="D77" t="inlineStr">
        <is>
          <t>GOTLANDS LÄN</t>
        </is>
      </c>
      <c r="E77" t="inlineStr">
        <is>
          <t>GOTLAND</t>
        </is>
      </c>
      <c r="G77" t="n">
        <v>9.199999999999999</v>
      </c>
      <c r="H77" t="n">
        <v>1</v>
      </c>
      <c r="I77" t="n">
        <v>1</v>
      </c>
      <c r="J77" t="n">
        <v>5</v>
      </c>
      <c r="K77" t="n">
        <v>1</v>
      </c>
      <c r="L77" t="n">
        <v>0</v>
      </c>
      <c r="M77" t="n">
        <v>0</v>
      </c>
      <c r="N77" t="n">
        <v>0</v>
      </c>
      <c r="O77" t="n">
        <v>6</v>
      </c>
      <c r="P77" t="n">
        <v>1</v>
      </c>
      <c r="Q77" t="n">
        <v>7</v>
      </c>
      <c r="R77" s="2" t="inlineStr">
        <is>
          <t>Knutört
Axveronika
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34142-2024</t>
        </is>
      </c>
      <c r="B78" s="1" t="n">
        <v>45524</v>
      </c>
      <c r="C78" s="1" t="n">
        <v>46197</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26987-2026</t>
        </is>
      </c>
      <c r="B79" s="1" t="n">
        <v>46185</v>
      </c>
      <c r="C79" s="1" t="n">
        <v>46197</v>
      </c>
      <c r="D79" t="inlineStr">
        <is>
          <t>GOTLANDS LÄN</t>
        </is>
      </c>
      <c r="E79" t="inlineStr">
        <is>
          <t>GOTLAND</t>
        </is>
      </c>
      <c r="G79" t="n">
        <v>4.6</v>
      </c>
      <c r="H79" t="n">
        <v>1</v>
      </c>
      <c r="I79" t="n">
        <v>1</v>
      </c>
      <c r="J79" t="n">
        <v>4</v>
      </c>
      <c r="K79" t="n">
        <v>1</v>
      </c>
      <c r="L79" t="n">
        <v>0</v>
      </c>
      <c r="M79" t="n">
        <v>0</v>
      </c>
      <c r="N79" t="n">
        <v>0</v>
      </c>
      <c r="O79" t="n">
        <v>5</v>
      </c>
      <c r="P79" t="n">
        <v>1</v>
      </c>
      <c r="Q79" t="n">
        <v>7</v>
      </c>
      <c r="R79" s="2" t="inlineStr">
        <is>
          <t>Granrotspindling
Backtimjan
Blå slemspindling
Odörspindling
Solvända
Svavelriska
Spillkråka</t>
        </is>
      </c>
      <c r="S79">
        <f>HYPERLINK("https://klasma.github.io/Logging_0980/artfynd/A 26987-2026 artfynd.xlsx", "A 26987-2026")</f>
        <v/>
      </c>
      <c r="T79">
        <f>HYPERLINK("https://klasma.github.io/Logging_0980/kartor/A 26987-2026 karta.png", "A 26987-2026")</f>
        <v/>
      </c>
      <c r="V79">
        <f>HYPERLINK("https://klasma.github.io/Logging_0980/klagomål/A 26987-2026 FSC-klagomål.docx", "A 26987-2026")</f>
        <v/>
      </c>
      <c r="W79">
        <f>HYPERLINK("https://klasma.github.io/Logging_0980/klagomålsmail/A 26987-2026 FSC-klagomål mail.docx", "A 26987-2026")</f>
        <v/>
      </c>
      <c r="X79">
        <f>HYPERLINK("https://klasma.github.io/Logging_0980/tillsyn/A 26987-2026 tillsynsbegäran.docx", "A 26987-2026")</f>
        <v/>
      </c>
      <c r="Y79">
        <f>HYPERLINK("https://klasma.github.io/Logging_0980/tillsynsmail/A 26987-2026 tillsynsbegäran mail.docx", "A 26987-2026")</f>
        <v/>
      </c>
      <c r="Z79">
        <f>HYPERLINK("https://klasma.github.io/Logging_0980/fåglar/A 26987-2026 prioriterade fågelarter.docx", "A 26987-2026")</f>
        <v/>
      </c>
    </row>
    <row r="80" ht="15" customHeight="1">
      <c r="A80" t="inlineStr">
        <is>
          <t>A 10419-2025</t>
        </is>
      </c>
      <c r="B80" s="1" t="n">
        <v>45720</v>
      </c>
      <c r="C80" s="1" t="n">
        <v>46197</v>
      </c>
      <c r="D80" t="inlineStr">
        <is>
          <t>GOTLANDS LÄN</t>
        </is>
      </c>
      <c r="E80" t="inlineStr">
        <is>
          <t>GOTLAND</t>
        </is>
      </c>
      <c r="G80" t="n">
        <v>1.2</v>
      </c>
      <c r="H80" t="n">
        <v>0</v>
      </c>
      <c r="I80" t="n">
        <v>2</v>
      </c>
      <c r="J80" t="n">
        <v>3</v>
      </c>
      <c r="K80" t="n">
        <v>2</v>
      </c>
      <c r="L80" t="n">
        <v>0</v>
      </c>
      <c r="M80" t="n">
        <v>0</v>
      </c>
      <c r="N80" t="n">
        <v>0</v>
      </c>
      <c r="O80" t="n">
        <v>5</v>
      </c>
      <c r="P80" t="n">
        <v>2</v>
      </c>
      <c r="Q80" t="n">
        <v>7</v>
      </c>
      <c r="R80" s="2" t="inlineStr">
        <is>
          <t>Mörkfjällig olivspindling
Violettfläckig spindling
Blå slemspindling
Fjällig taggsvamp s.str.
Kryddspindling
Anisspindling
Olivspindling</t>
        </is>
      </c>
      <c r="S80">
        <f>HYPERLINK("https://klasma.github.io/Logging_0980/artfynd/A 10419-2025 artfynd.xlsx", "A 10419-2025")</f>
        <v/>
      </c>
      <c r="T80">
        <f>HYPERLINK("https://klasma.github.io/Logging_0980/kartor/A 10419-2025 karta.png", "A 10419-2025")</f>
        <v/>
      </c>
      <c r="V80">
        <f>HYPERLINK("https://klasma.github.io/Logging_0980/klagomål/A 10419-2025 FSC-klagomål.docx", "A 10419-2025")</f>
        <v/>
      </c>
      <c r="W80">
        <f>HYPERLINK("https://klasma.github.io/Logging_0980/klagomålsmail/A 10419-2025 FSC-klagomål mail.docx", "A 10419-2025")</f>
        <v/>
      </c>
      <c r="X80">
        <f>HYPERLINK("https://klasma.github.io/Logging_0980/tillsyn/A 10419-2025 tillsynsbegäran.docx", "A 10419-2025")</f>
        <v/>
      </c>
      <c r="Y80">
        <f>HYPERLINK("https://klasma.github.io/Logging_0980/tillsynsmail/A 10419-2025 tillsynsbegäran mail.docx", "A 10419-2025")</f>
        <v/>
      </c>
    </row>
    <row r="81" ht="15" customHeight="1">
      <c r="A81" t="inlineStr">
        <is>
          <t>A 48126-2022</t>
        </is>
      </c>
      <c r="B81" s="1" t="n">
        <v>44857</v>
      </c>
      <c r="C81" s="1" t="n">
        <v>46197</v>
      </c>
      <c r="D81" t="inlineStr">
        <is>
          <t>GOTLANDS LÄN</t>
        </is>
      </c>
      <c r="E81" t="inlineStr">
        <is>
          <t>GOTLAND</t>
        </is>
      </c>
      <c r="G81" t="n">
        <v>9.800000000000001</v>
      </c>
      <c r="H81" t="n">
        <v>3</v>
      </c>
      <c r="I81" t="n">
        <v>0</v>
      </c>
      <c r="J81" t="n">
        <v>3</v>
      </c>
      <c r="K81" t="n">
        <v>0</v>
      </c>
      <c r="L81" t="n">
        <v>0</v>
      </c>
      <c r="M81" t="n">
        <v>0</v>
      </c>
      <c r="N81" t="n">
        <v>0</v>
      </c>
      <c r="O81" t="n">
        <v>3</v>
      </c>
      <c r="P81" t="n">
        <v>0</v>
      </c>
      <c r="Q81" t="n">
        <v>6</v>
      </c>
      <c r="R81" s="2" t="inlineStr">
        <is>
          <t>Jordtistel
Jungfrulin
Svinrot
Spillkråka
Näktergal
Skogsduva</t>
        </is>
      </c>
      <c r="S81">
        <f>HYPERLINK("https://klasma.github.io/Logging_0980/artfynd/A 48126-2022 artfynd.xlsx", "A 48126-2022")</f>
        <v/>
      </c>
      <c r="T81">
        <f>HYPERLINK("https://klasma.github.io/Logging_0980/kartor/A 48126-2022 karta.png", "A 48126-2022")</f>
        <v/>
      </c>
      <c r="V81">
        <f>HYPERLINK("https://klasma.github.io/Logging_0980/klagomål/A 48126-2022 FSC-klagomål.docx", "A 48126-2022")</f>
        <v/>
      </c>
      <c r="W81">
        <f>HYPERLINK("https://klasma.github.io/Logging_0980/klagomålsmail/A 48126-2022 FSC-klagomål mail.docx", "A 48126-2022")</f>
        <v/>
      </c>
      <c r="X81">
        <f>HYPERLINK("https://klasma.github.io/Logging_0980/tillsyn/A 48126-2022 tillsynsbegäran.docx", "A 48126-2022")</f>
        <v/>
      </c>
      <c r="Y81">
        <f>HYPERLINK("https://klasma.github.io/Logging_0980/tillsynsmail/A 48126-2022 tillsynsbegäran mail.docx", "A 48126-2022")</f>
        <v/>
      </c>
      <c r="Z81">
        <f>HYPERLINK("https://klasma.github.io/Logging_0980/fåglar/A 48126-2022 prioriterade fågelarter.docx", "A 48126-2022")</f>
        <v/>
      </c>
    </row>
    <row r="82" ht="15" customHeight="1">
      <c r="A82" t="inlineStr">
        <is>
          <t>A 16823-2024</t>
        </is>
      </c>
      <c r="B82" s="1" t="n">
        <v>45411</v>
      </c>
      <c r="C82" s="1" t="n">
        <v>46197</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49709-2025</t>
        </is>
      </c>
      <c r="B83" s="1" t="n">
        <v>45939</v>
      </c>
      <c r="C83" s="1" t="n">
        <v>46197</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63152-2025</t>
        </is>
      </c>
      <c r="B84" s="1" t="n">
        <v>46010</v>
      </c>
      <c r="C84" s="1" t="n">
        <v>46197</v>
      </c>
      <c r="D84" t="inlineStr">
        <is>
          <t>GOTLANDS LÄN</t>
        </is>
      </c>
      <c r="E84" t="inlineStr">
        <is>
          <t>GOTLAND</t>
        </is>
      </c>
      <c r="G84" t="n">
        <v>1.5</v>
      </c>
      <c r="H84" t="n">
        <v>3</v>
      </c>
      <c r="I84" t="n">
        <v>1</v>
      </c>
      <c r="J84" t="n">
        <v>2</v>
      </c>
      <c r="K84" t="n">
        <v>0</v>
      </c>
      <c r="L84" t="n">
        <v>0</v>
      </c>
      <c r="M84" t="n">
        <v>0</v>
      </c>
      <c r="N84" t="n">
        <v>0</v>
      </c>
      <c r="O84" t="n">
        <v>2</v>
      </c>
      <c r="P84" t="n">
        <v>0</v>
      </c>
      <c r="Q84" t="n">
        <v>6</v>
      </c>
      <c r="R84" s="2" t="inlineStr">
        <is>
          <t>Berggräsfjäril
Svinrot
Nästrot
Spillkråka
Sälg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43200-2023</t>
        </is>
      </c>
      <c r="B85" s="1" t="n">
        <v>45183</v>
      </c>
      <c r="C85" s="1" t="n">
        <v>46197</v>
      </c>
      <c r="D85" t="inlineStr">
        <is>
          <t>GOTLANDS LÄN</t>
        </is>
      </c>
      <c r="E85" t="inlineStr">
        <is>
          <t>GOTLAND</t>
        </is>
      </c>
      <c r="G85" t="n">
        <v>0.5</v>
      </c>
      <c r="H85" t="n">
        <v>2</v>
      </c>
      <c r="I85" t="n">
        <v>3</v>
      </c>
      <c r="J85" t="n">
        <v>3</v>
      </c>
      <c r="K85" t="n">
        <v>0</v>
      </c>
      <c r="L85" t="n">
        <v>0</v>
      </c>
      <c r="M85" t="n">
        <v>0</v>
      </c>
      <c r="N85" t="n">
        <v>0</v>
      </c>
      <c r="O85" t="n">
        <v>3</v>
      </c>
      <c r="P85" t="n">
        <v>0</v>
      </c>
      <c r="Q85" t="n">
        <v>6</v>
      </c>
      <c r="R85" s="2" t="inlineStr">
        <is>
          <t>Kattfotslav
Sårläka
Vårärt
Kalktallört
Nästrot
Skogsknipprot</t>
        </is>
      </c>
      <c r="S85">
        <f>HYPERLINK("https://klasma.github.io/Logging_0980/artfynd/A 43200-2023 artfynd.xlsx", "A 43200-2023")</f>
        <v/>
      </c>
      <c r="T85">
        <f>HYPERLINK("https://klasma.github.io/Logging_0980/kartor/A 43200-2023 karta.png", "A 43200-2023")</f>
        <v/>
      </c>
      <c r="V85">
        <f>HYPERLINK("https://klasma.github.io/Logging_0980/klagomål/A 43200-2023 FSC-klagomål.docx", "A 43200-2023")</f>
        <v/>
      </c>
      <c r="W85">
        <f>HYPERLINK("https://klasma.github.io/Logging_0980/klagomålsmail/A 43200-2023 FSC-klagomål mail.docx", "A 43200-2023")</f>
        <v/>
      </c>
      <c r="X85">
        <f>HYPERLINK("https://klasma.github.io/Logging_0980/tillsyn/A 43200-2023 tillsynsbegäran.docx", "A 43200-2023")</f>
        <v/>
      </c>
      <c r="Y85">
        <f>HYPERLINK("https://klasma.github.io/Logging_0980/tillsynsmail/A 43200-2023 tillsynsbegäran mail.docx", "A 43200-2023")</f>
        <v/>
      </c>
    </row>
    <row r="86" ht="15" customHeight="1">
      <c r="A86" t="inlineStr">
        <is>
          <t>A 64208-2021</t>
        </is>
      </c>
      <c r="B86" s="1" t="n">
        <v>44510</v>
      </c>
      <c r="C86" s="1" t="n">
        <v>46197</v>
      </c>
      <c r="D86" t="inlineStr">
        <is>
          <t>GOTLANDS LÄN</t>
        </is>
      </c>
      <c r="E86" t="inlineStr">
        <is>
          <t>GOTLAND</t>
        </is>
      </c>
      <c r="G86" t="n">
        <v>4.7</v>
      </c>
      <c r="H86" t="n">
        <v>2</v>
      </c>
      <c r="I86" t="n">
        <v>0</v>
      </c>
      <c r="J86" t="n">
        <v>4</v>
      </c>
      <c r="K86" t="n">
        <v>1</v>
      </c>
      <c r="L86" t="n">
        <v>0</v>
      </c>
      <c r="M86" t="n">
        <v>0</v>
      </c>
      <c r="N86" t="n">
        <v>0</v>
      </c>
      <c r="O86" t="n">
        <v>5</v>
      </c>
      <c r="P86" t="n">
        <v>1</v>
      </c>
      <c r="Q86" t="n">
        <v>6</v>
      </c>
      <c r="R86" s="2" t="inlineStr">
        <is>
          <t>Svartfläckig blåvinge
Axveronika
Backtimjan
Jordtistel
Solvända
Alvarstånds</t>
        </is>
      </c>
      <c r="S86">
        <f>HYPERLINK("https://klasma.github.io/Logging_0980/artfynd/A 64208-2021 artfynd.xlsx", "A 64208-2021")</f>
        <v/>
      </c>
      <c r="T86">
        <f>HYPERLINK("https://klasma.github.io/Logging_0980/kartor/A 64208-2021 karta.png", "A 64208-2021")</f>
        <v/>
      </c>
      <c r="V86">
        <f>HYPERLINK("https://klasma.github.io/Logging_0980/klagomål/A 64208-2021 FSC-klagomål.docx", "A 64208-2021")</f>
        <v/>
      </c>
      <c r="W86">
        <f>HYPERLINK("https://klasma.github.io/Logging_0980/klagomålsmail/A 64208-2021 FSC-klagomål mail.docx", "A 64208-2021")</f>
        <v/>
      </c>
      <c r="X86">
        <f>HYPERLINK("https://klasma.github.io/Logging_0980/tillsyn/A 64208-2021 tillsynsbegäran.docx", "A 64208-2021")</f>
        <v/>
      </c>
      <c r="Y86">
        <f>HYPERLINK("https://klasma.github.io/Logging_0980/tillsynsmail/A 64208-2021 tillsynsbegäran mail.docx", "A 64208-2021")</f>
        <v/>
      </c>
    </row>
    <row r="87" ht="15" customHeight="1">
      <c r="A87" t="inlineStr">
        <is>
          <t>A 54055-2022</t>
        </is>
      </c>
      <c r="B87" s="1" t="n">
        <v>44881</v>
      </c>
      <c r="C87" s="1" t="n">
        <v>46197</v>
      </c>
      <c r="D87" t="inlineStr">
        <is>
          <t>GOTLANDS LÄN</t>
        </is>
      </c>
      <c r="E87" t="inlineStr">
        <is>
          <t>GOTLAND</t>
        </is>
      </c>
      <c r="G87" t="n">
        <v>4.6</v>
      </c>
      <c r="H87" t="n">
        <v>0</v>
      </c>
      <c r="I87" t="n">
        <v>2</v>
      </c>
      <c r="J87" t="n">
        <v>2</v>
      </c>
      <c r="K87" t="n">
        <v>1</v>
      </c>
      <c r="L87" t="n">
        <v>0</v>
      </c>
      <c r="M87" t="n">
        <v>0</v>
      </c>
      <c r="N87" t="n">
        <v>0</v>
      </c>
      <c r="O87" t="n">
        <v>3</v>
      </c>
      <c r="P87" t="n">
        <v>1</v>
      </c>
      <c r="Q87" t="n">
        <v>5</v>
      </c>
      <c r="R87" s="2" t="inlineStr">
        <is>
          <t>Duvspindling
Kryddspindling
Odörspindling
Diskvaxskivling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43197-2023</t>
        </is>
      </c>
      <c r="B88" s="1" t="n">
        <v>45183</v>
      </c>
      <c r="C88" s="1" t="n">
        <v>46197</v>
      </c>
      <c r="D88" t="inlineStr">
        <is>
          <t>GOTLANDS LÄN</t>
        </is>
      </c>
      <c r="E88" t="inlineStr">
        <is>
          <t>GOTLAND</t>
        </is>
      </c>
      <c r="G88" t="n">
        <v>3.7</v>
      </c>
      <c r="H88" t="n">
        <v>2</v>
      </c>
      <c r="I88" t="n">
        <v>1</v>
      </c>
      <c r="J88" t="n">
        <v>1</v>
      </c>
      <c r="K88" t="n">
        <v>1</v>
      </c>
      <c r="L88" t="n">
        <v>1</v>
      </c>
      <c r="M88" t="n">
        <v>0</v>
      </c>
      <c r="N88" t="n">
        <v>0</v>
      </c>
      <c r="O88" t="n">
        <v>3</v>
      </c>
      <c r="P88" t="n">
        <v>2</v>
      </c>
      <c r="Q88" t="n">
        <v>5</v>
      </c>
      <c r="R88" s="2" t="inlineStr">
        <is>
          <t>Ask
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42936-2024</t>
        </is>
      </c>
      <c r="B89" s="1" t="n">
        <v>45567</v>
      </c>
      <c r="C89" s="1" t="n">
        <v>46197</v>
      </c>
      <c r="D89" t="inlineStr">
        <is>
          <t>GOTLANDS LÄN</t>
        </is>
      </c>
      <c r="E89" t="inlineStr">
        <is>
          <t>GOTLAND</t>
        </is>
      </c>
      <c r="G89" t="n">
        <v>3.4</v>
      </c>
      <c r="H89" t="n">
        <v>0</v>
      </c>
      <c r="I89" t="n">
        <v>1</v>
      </c>
      <c r="J89" t="n">
        <v>3</v>
      </c>
      <c r="K89" t="n">
        <v>1</v>
      </c>
      <c r="L89" t="n">
        <v>0</v>
      </c>
      <c r="M89" t="n">
        <v>0</v>
      </c>
      <c r="N89" t="n">
        <v>0</v>
      </c>
      <c r="O89" t="n">
        <v>4</v>
      </c>
      <c r="P89" t="n">
        <v>1</v>
      </c>
      <c r="Q89" t="n">
        <v>5</v>
      </c>
      <c r="R89" s="2" t="inlineStr">
        <is>
          <t>Vit taggsvamp
Barrfagerspindling
Blå slemspindling
Äggspindling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5904-2024</t>
        </is>
      </c>
      <c r="B90" s="1" t="n">
        <v>45335</v>
      </c>
      <c r="C90" s="1" t="n">
        <v>46197</v>
      </c>
      <c r="D90" t="inlineStr">
        <is>
          <t>GOTLANDS LÄN</t>
        </is>
      </c>
      <c r="E90" t="inlineStr">
        <is>
          <t>GOTLAND</t>
        </is>
      </c>
      <c r="G90" t="n">
        <v>6.4</v>
      </c>
      <c r="H90" t="n">
        <v>1</v>
      </c>
      <c r="I90" t="n">
        <v>1</v>
      </c>
      <c r="J90" t="n">
        <v>3</v>
      </c>
      <c r="K90" t="n">
        <v>0</v>
      </c>
      <c r="L90" t="n">
        <v>0</v>
      </c>
      <c r="M90" t="n">
        <v>0</v>
      </c>
      <c r="N90" t="n">
        <v>0</v>
      </c>
      <c r="O90" t="n">
        <v>3</v>
      </c>
      <c r="P90" t="n">
        <v>0</v>
      </c>
      <c r="Q90" t="n">
        <v>5</v>
      </c>
      <c r="R90" s="2" t="inlineStr">
        <is>
          <t>Backstarr
Backtimjan
Kattfotslav
Blåmossa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446-2023</t>
        </is>
      </c>
      <c r="B91" s="1" t="n">
        <v>44929</v>
      </c>
      <c r="C91" s="1" t="n">
        <v>46197</v>
      </c>
      <c r="D91" t="inlineStr">
        <is>
          <t>GOTLANDS LÄN</t>
        </is>
      </c>
      <c r="E91" t="inlineStr">
        <is>
          <t>GOTLAND</t>
        </is>
      </c>
      <c r="G91" t="n">
        <v>7.1</v>
      </c>
      <c r="H91" t="n">
        <v>2</v>
      </c>
      <c r="I91" t="n">
        <v>2</v>
      </c>
      <c r="J91" t="n">
        <v>1</v>
      </c>
      <c r="K91" t="n">
        <v>1</v>
      </c>
      <c r="L91" t="n">
        <v>0</v>
      </c>
      <c r="M91" t="n">
        <v>0</v>
      </c>
      <c r="N91" t="n">
        <v>0</v>
      </c>
      <c r="O91" t="n">
        <v>2</v>
      </c>
      <c r="P91" t="n">
        <v>1</v>
      </c>
      <c r="Q91" t="n">
        <v>5</v>
      </c>
      <c r="R91" s="2" t="inlineStr">
        <is>
          <t>Svartgrön spindling
Äggspindling
Skogsknipprot
Svavelriska
Spillkråka</t>
        </is>
      </c>
      <c r="S91">
        <f>HYPERLINK("https://klasma.github.io/Logging_0980/artfynd/A 446-2023 artfynd.xlsx", "A 446-2023")</f>
        <v/>
      </c>
      <c r="T91">
        <f>HYPERLINK("https://klasma.github.io/Logging_0980/kartor/A 446-2023 karta.png", "A 446-2023")</f>
        <v/>
      </c>
      <c r="V91">
        <f>HYPERLINK("https://klasma.github.io/Logging_0980/klagomål/A 446-2023 FSC-klagomål.docx", "A 446-2023")</f>
        <v/>
      </c>
      <c r="W91">
        <f>HYPERLINK("https://klasma.github.io/Logging_0980/klagomålsmail/A 446-2023 FSC-klagomål mail.docx", "A 446-2023")</f>
        <v/>
      </c>
      <c r="X91">
        <f>HYPERLINK("https://klasma.github.io/Logging_0980/tillsyn/A 446-2023 tillsynsbegäran.docx", "A 446-2023")</f>
        <v/>
      </c>
      <c r="Y91">
        <f>HYPERLINK("https://klasma.github.io/Logging_0980/tillsynsmail/A 446-2023 tillsynsbegäran mail.docx", "A 446-2023")</f>
        <v/>
      </c>
      <c r="Z91">
        <f>HYPERLINK("https://klasma.github.io/Logging_0980/fåglar/A 446-2023 prioriterade fågelarter.docx", "A 446-2023")</f>
        <v/>
      </c>
    </row>
    <row r="92" ht="15" customHeight="1">
      <c r="A92" t="inlineStr">
        <is>
          <t>A 20838-2024</t>
        </is>
      </c>
      <c r="B92" s="1" t="n">
        <v>45439</v>
      </c>
      <c r="C92" s="1" t="n">
        <v>46197</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39425-2023</t>
        </is>
      </c>
      <c r="B93" s="1" t="n">
        <v>45166</v>
      </c>
      <c r="C93" s="1" t="n">
        <v>46197</v>
      </c>
      <c r="D93" t="inlineStr">
        <is>
          <t>GOTLANDS LÄN</t>
        </is>
      </c>
      <c r="E93" t="inlineStr">
        <is>
          <t>GOTLAND</t>
        </is>
      </c>
      <c r="G93" t="n">
        <v>3.9</v>
      </c>
      <c r="H93" t="n">
        <v>1</v>
      </c>
      <c r="I93" t="n">
        <v>3</v>
      </c>
      <c r="J93" t="n">
        <v>0</v>
      </c>
      <c r="K93" t="n">
        <v>1</v>
      </c>
      <c r="L93" t="n">
        <v>1</v>
      </c>
      <c r="M93" t="n">
        <v>0</v>
      </c>
      <c r="N93" t="n">
        <v>0</v>
      </c>
      <c r="O93" t="n">
        <v>2</v>
      </c>
      <c r="P93" t="n">
        <v>2</v>
      </c>
      <c r="Q93" t="n">
        <v>5</v>
      </c>
      <c r="R93" s="2" t="inlineStr">
        <is>
          <t>Violgubbe
Knärot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57463-2025</t>
        </is>
      </c>
      <c r="B94" s="1" t="n">
        <v>45980</v>
      </c>
      <c r="C94" s="1" t="n">
        <v>46197</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8265-2023</t>
        </is>
      </c>
      <c r="B95" s="1" t="n">
        <v>44974</v>
      </c>
      <c r="C95" s="1" t="n">
        <v>46197</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73144-2021</t>
        </is>
      </c>
      <c r="B96" s="1" t="n">
        <v>44550</v>
      </c>
      <c r="C96" s="1" t="n">
        <v>46197</v>
      </c>
      <c r="D96" t="inlineStr">
        <is>
          <t>GOTLANDS LÄN</t>
        </is>
      </c>
      <c r="E96" t="inlineStr">
        <is>
          <t>GOTLAND</t>
        </is>
      </c>
      <c r="G96" t="n">
        <v>1.9</v>
      </c>
      <c r="H96" t="n">
        <v>0</v>
      </c>
      <c r="I96" t="n">
        <v>1</v>
      </c>
      <c r="J96" t="n">
        <v>1</v>
      </c>
      <c r="K96" t="n">
        <v>3</v>
      </c>
      <c r="L96" t="n">
        <v>0</v>
      </c>
      <c r="M96" t="n">
        <v>0</v>
      </c>
      <c r="N96" t="n">
        <v>0</v>
      </c>
      <c r="O96" t="n">
        <v>4</v>
      </c>
      <c r="P96" t="n">
        <v>3</v>
      </c>
      <c r="Q96" t="n">
        <v>5</v>
      </c>
      <c r="R96" s="2" t="inlineStr">
        <is>
          <t>Igelkott
Skogskorn
Svartgrön spindling
Äggspindling
Kambräken</t>
        </is>
      </c>
      <c r="S96">
        <f>HYPERLINK("https://klasma.github.io/Logging_0980/artfynd/A 73144-2021 artfynd.xlsx", "A 73144-2021")</f>
        <v/>
      </c>
      <c r="T96">
        <f>HYPERLINK("https://klasma.github.io/Logging_0980/kartor/A 73144-2021 karta.png", "A 73144-2021")</f>
        <v/>
      </c>
      <c r="V96">
        <f>HYPERLINK("https://klasma.github.io/Logging_0980/klagomål/A 73144-2021 FSC-klagomål.docx", "A 73144-2021")</f>
        <v/>
      </c>
      <c r="W96">
        <f>HYPERLINK("https://klasma.github.io/Logging_0980/klagomålsmail/A 73144-2021 FSC-klagomål mail.docx", "A 73144-2021")</f>
        <v/>
      </c>
      <c r="X96">
        <f>HYPERLINK("https://klasma.github.io/Logging_0980/tillsyn/A 73144-2021 tillsynsbegäran.docx", "A 73144-2021")</f>
        <v/>
      </c>
      <c r="Y96">
        <f>HYPERLINK("https://klasma.github.io/Logging_0980/tillsynsmail/A 73144-2021 tillsynsbegäran mail.docx", "A 73144-2021")</f>
        <v/>
      </c>
    </row>
    <row r="97" ht="15" customHeight="1">
      <c r="A97" t="inlineStr">
        <is>
          <t>A 44323-2021</t>
        </is>
      </c>
      <c r="B97" s="1" t="n">
        <v>44434</v>
      </c>
      <c r="C97" s="1" t="n">
        <v>46197</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44304-2021</t>
        </is>
      </c>
      <c r="B98" s="1" t="n">
        <v>44434</v>
      </c>
      <c r="C98" s="1" t="n">
        <v>46197</v>
      </c>
      <c r="D98" t="inlineStr">
        <is>
          <t>GOTLANDS LÄN</t>
        </is>
      </c>
      <c r="E98" t="inlineStr">
        <is>
          <t>GOTLAND</t>
        </is>
      </c>
      <c r="G98" t="n">
        <v>5.8</v>
      </c>
      <c r="H98" t="n">
        <v>2</v>
      </c>
      <c r="I98" t="n">
        <v>0</v>
      </c>
      <c r="J98" t="n">
        <v>2</v>
      </c>
      <c r="K98" t="n">
        <v>0</v>
      </c>
      <c r="L98" t="n">
        <v>0</v>
      </c>
      <c r="M98" t="n">
        <v>0</v>
      </c>
      <c r="N98" t="n">
        <v>0</v>
      </c>
      <c r="O98" t="n">
        <v>2</v>
      </c>
      <c r="P98" t="n">
        <v>0</v>
      </c>
      <c r="Q98" t="n">
        <v>4</v>
      </c>
      <c r="R98" s="2" t="inlineStr">
        <is>
          <t>Majviva
Svinrot
Blåsippa
Nattviol</t>
        </is>
      </c>
      <c r="S98">
        <f>HYPERLINK("https://klasma.github.io/Logging_0980/artfynd/A 44304-2021 artfynd.xlsx", "A 44304-2021")</f>
        <v/>
      </c>
      <c r="T98">
        <f>HYPERLINK("https://klasma.github.io/Logging_0980/kartor/A 44304-2021 karta.png", "A 44304-2021")</f>
        <v/>
      </c>
      <c r="V98">
        <f>HYPERLINK("https://klasma.github.io/Logging_0980/klagomål/A 44304-2021 FSC-klagomål.docx", "A 44304-2021")</f>
        <v/>
      </c>
      <c r="W98">
        <f>HYPERLINK("https://klasma.github.io/Logging_0980/klagomålsmail/A 44304-2021 FSC-klagomål mail.docx", "A 44304-2021")</f>
        <v/>
      </c>
      <c r="X98">
        <f>HYPERLINK("https://klasma.github.io/Logging_0980/tillsyn/A 44304-2021 tillsynsbegäran.docx", "A 44304-2021")</f>
        <v/>
      </c>
      <c r="Y98">
        <f>HYPERLINK("https://klasma.github.io/Logging_0980/tillsynsmail/A 44304-2021 tillsynsbegäran mail.docx", "A 44304-2021")</f>
        <v/>
      </c>
    </row>
    <row r="99" ht="15" customHeight="1">
      <c r="A99" t="inlineStr">
        <is>
          <t>A 1273-2023</t>
        </is>
      </c>
      <c r="B99" s="1" t="n">
        <v>44936</v>
      </c>
      <c r="C99" s="1" t="n">
        <v>46197</v>
      </c>
      <c r="D99" t="inlineStr">
        <is>
          <t>GOTLANDS LÄN</t>
        </is>
      </c>
      <c r="E99" t="inlineStr">
        <is>
          <t>GOTLAND</t>
        </is>
      </c>
      <c r="G99" t="n">
        <v>4.5</v>
      </c>
      <c r="H99" t="n">
        <v>2</v>
      </c>
      <c r="I99" t="n">
        <v>1</v>
      </c>
      <c r="J99" t="n">
        <v>2</v>
      </c>
      <c r="K99" t="n">
        <v>1</v>
      </c>
      <c r="L99" t="n">
        <v>0</v>
      </c>
      <c r="M99" t="n">
        <v>0</v>
      </c>
      <c r="N99" t="n">
        <v>0</v>
      </c>
      <c r="O99" t="n">
        <v>3</v>
      </c>
      <c r="P99" t="n">
        <v>1</v>
      </c>
      <c r="Q99" t="n">
        <v>4</v>
      </c>
      <c r="R99" s="2" t="inlineStr">
        <is>
          <t>Garderönn
Svinrot
Vårärt
Skogsknipprot</t>
        </is>
      </c>
      <c r="S99">
        <f>HYPERLINK("https://klasma.github.io/Logging_0980/artfynd/A 1273-2023 artfynd.xlsx", "A 1273-2023")</f>
        <v/>
      </c>
      <c r="T99">
        <f>HYPERLINK("https://klasma.github.io/Logging_0980/kartor/A 1273-2023 karta.png", "A 1273-2023")</f>
        <v/>
      </c>
      <c r="V99">
        <f>HYPERLINK("https://klasma.github.io/Logging_0980/klagomål/A 1273-2023 FSC-klagomål.docx", "A 1273-2023")</f>
        <v/>
      </c>
      <c r="W99">
        <f>HYPERLINK("https://klasma.github.io/Logging_0980/klagomålsmail/A 1273-2023 FSC-klagomål mail.docx", "A 1273-2023")</f>
        <v/>
      </c>
      <c r="X99">
        <f>HYPERLINK("https://klasma.github.io/Logging_0980/tillsyn/A 1273-2023 tillsynsbegäran.docx", "A 1273-2023")</f>
        <v/>
      </c>
      <c r="Y99">
        <f>HYPERLINK("https://klasma.github.io/Logging_0980/tillsynsmail/A 1273-2023 tillsynsbegäran mail.docx", "A 1273-2023")</f>
        <v/>
      </c>
    </row>
    <row r="100" ht="15" customHeight="1">
      <c r="A100" t="inlineStr">
        <is>
          <t>A 61100-2022</t>
        </is>
      </c>
      <c r="B100" s="1" t="n">
        <v>44915</v>
      </c>
      <c r="C100" s="1" t="n">
        <v>46197</v>
      </c>
      <c r="D100" t="inlineStr">
        <is>
          <t>GOTLANDS LÄN</t>
        </is>
      </c>
      <c r="E100" t="inlineStr">
        <is>
          <t>GOTLAND</t>
        </is>
      </c>
      <c r="G100" t="n">
        <v>1.4</v>
      </c>
      <c r="H100" t="n">
        <v>3</v>
      </c>
      <c r="I100" t="n">
        <v>0</v>
      </c>
      <c r="J100" t="n">
        <v>2</v>
      </c>
      <c r="K100" t="n">
        <v>1</v>
      </c>
      <c r="L100" t="n">
        <v>0</v>
      </c>
      <c r="M100" t="n">
        <v>0</v>
      </c>
      <c r="N100" t="n">
        <v>0</v>
      </c>
      <c r="O100" t="n">
        <v>3</v>
      </c>
      <c r="P100" t="n">
        <v>1</v>
      </c>
      <c r="Q100" t="n">
        <v>4</v>
      </c>
      <c r="R100" s="2" t="inlineStr">
        <is>
          <t>Garderönn
Dårgräsfjäril
Solvända
Gullviva</t>
        </is>
      </c>
      <c r="S100">
        <f>HYPERLINK("https://klasma.github.io/Logging_0980/artfynd/A 61100-2022 artfynd.xlsx", "A 61100-2022")</f>
        <v/>
      </c>
      <c r="T100">
        <f>HYPERLINK("https://klasma.github.io/Logging_0980/kartor/A 61100-2022 karta.png", "A 61100-2022")</f>
        <v/>
      </c>
      <c r="V100">
        <f>HYPERLINK("https://klasma.github.io/Logging_0980/klagomål/A 61100-2022 FSC-klagomål.docx", "A 61100-2022")</f>
        <v/>
      </c>
      <c r="W100">
        <f>HYPERLINK("https://klasma.github.io/Logging_0980/klagomålsmail/A 61100-2022 FSC-klagomål mail.docx", "A 61100-2022")</f>
        <v/>
      </c>
      <c r="X100">
        <f>HYPERLINK("https://klasma.github.io/Logging_0980/tillsyn/A 61100-2022 tillsynsbegäran.docx", "A 61100-2022")</f>
        <v/>
      </c>
      <c r="Y100">
        <f>HYPERLINK("https://klasma.github.io/Logging_0980/tillsynsmail/A 61100-2022 tillsynsbegäran mail.docx", "A 61100-2022")</f>
        <v/>
      </c>
    </row>
    <row r="101" ht="15" customHeight="1">
      <c r="A101" t="inlineStr">
        <is>
          <t>A 54523-2023</t>
        </is>
      </c>
      <c r="B101" s="1" t="n">
        <v>45233</v>
      </c>
      <c r="C101" s="1" t="n">
        <v>46197</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16997-2026</t>
        </is>
      </c>
      <c r="B102" s="1" t="n">
        <v>46114</v>
      </c>
      <c r="C102" s="1" t="n">
        <v>46197</v>
      </c>
      <c r="D102" t="inlineStr">
        <is>
          <t>GOTLANDS LÄN</t>
        </is>
      </c>
      <c r="E102" t="inlineStr">
        <is>
          <t>GOTLAND</t>
        </is>
      </c>
      <c r="G102" t="n">
        <v>0.7</v>
      </c>
      <c r="H102" t="n">
        <v>0</v>
      </c>
      <c r="I102" t="n">
        <v>3</v>
      </c>
      <c r="J102" t="n">
        <v>0</v>
      </c>
      <c r="K102" t="n">
        <v>0</v>
      </c>
      <c r="L102" t="n">
        <v>1</v>
      </c>
      <c r="M102" t="n">
        <v>0</v>
      </c>
      <c r="N102" t="n">
        <v>0</v>
      </c>
      <c r="O102" t="n">
        <v>1</v>
      </c>
      <c r="P102" t="n">
        <v>1</v>
      </c>
      <c r="Q102" t="n">
        <v>4</v>
      </c>
      <c r="R102" s="2" t="inlineStr">
        <is>
          <t>Ask
Hasselticka
Läderskål
Stubbspretmossa</t>
        </is>
      </c>
      <c r="S102">
        <f>HYPERLINK("https://klasma.github.io/Logging_0980/artfynd/A 16997-2026 artfynd.xlsx", "A 16997-2026")</f>
        <v/>
      </c>
      <c r="T102">
        <f>HYPERLINK("https://klasma.github.io/Logging_0980/kartor/A 16997-2026 karta.png", "A 16997-2026")</f>
        <v/>
      </c>
      <c r="V102">
        <f>HYPERLINK("https://klasma.github.io/Logging_0980/klagomål/A 16997-2026 FSC-klagomål.docx", "A 16997-2026")</f>
        <v/>
      </c>
      <c r="W102">
        <f>HYPERLINK("https://klasma.github.io/Logging_0980/klagomålsmail/A 16997-2026 FSC-klagomål mail.docx", "A 16997-2026")</f>
        <v/>
      </c>
      <c r="X102">
        <f>HYPERLINK("https://klasma.github.io/Logging_0980/tillsyn/A 16997-2026 tillsynsbegäran.docx", "A 16997-2026")</f>
        <v/>
      </c>
      <c r="Y102">
        <f>HYPERLINK("https://klasma.github.io/Logging_0980/tillsynsmail/A 16997-2026 tillsynsbegäran mail.docx", "A 16997-2026")</f>
        <v/>
      </c>
    </row>
    <row r="103" ht="15" customHeight="1">
      <c r="A103" t="inlineStr">
        <is>
          <t>A 6839-2026</t>
        </is>
      </c>
      <c r="B103" s="1" t="n">
        <v>46057</v>
      </c>
      <c r="C103" s="1" t="n">
        <v>46197</v>
      </c>
      <c r="D103" t="inlineStr">
        <is>
          <t>GOTLANDS LÄN</t>
        </is>
      </c>
      <c r="E103" t="inlineStr">
        <is>
          <t>GOTLAND</t>
        </is>
      </c>
      <c r="G103" t="n">
        <v>4.9</v>
      </c>
      <c r="H103" t="n">
        <v>0</v>
      </c>
      <c r="I103" t="n">
        <v>1</v>
      </c>
      <c r="J103" t="n">
        <v>0</v>
      </c>
      <c r="K103" t="n">
        <v>3</v>
      </c>
      <c r="L103" t="n">
        <v>0</v>
      </c>
      <c r="M103" t="n">
        <v>0</v>
      </c>
      <c r="N103" t="n">
        <v>0</v>
      </c>
      <c r="O103" t="n">
        <v>3</v>
      </c>
      <c r="P103" t="n">
        <v>3</v>
      </c>
      <c r="Q103" t="n">
        <v>4</v>
      </c>
      <c r="R103" s="2" t="inlineStr">
        <is>
          <t>Mörk kraterlav
Skogskorn
Ädellav
Besk kastanjemusseron</t>
        </is>
      </c>
      <c r="S103">
        <f>HYPERLINK("https://klasma.github.io/Logging_0980/artfynd/A 6839-2026 artfynd.xlsx", "A 6839-2026")</f>
        <v/>
      </c>
      <c r="T103">
        <f>HYPERLINK("https://klasma.github.io/Logging_0980/kartor/A 6839-2026 karta.png", "A 6839-2026")</f>
        <v/>
      </c>
      <c r="V103">
        <f>HYPERLINK("https://klasma.github.io/Logging_0980/klagomål/A 6839-2026 FSC-klagomål.docx", "A 6839-2026")</f>
        <v/>
      </c>
      <c r="W103">
        <f>HYPERLINK("https://klasma.github.io/Logging_0980/klagomålsmail/A 6839-2026 FSC-klagomål mail.docx", "A 6839-2026")</f>
        <v/>
      </c>
      <c r="X103">
        <f>HYPERLINK("https://klasma.github.io/Logging_0980/tillsyn/A 6839-2026 tillsynsbegäran.docx", "A 6839-2026")</f>
        <v/>
      </c>
      <c r="Y103">
        <f>HYPERLINK("https://klasma.github.io/Logging_0980/tillsynsmail/A 6839-2026 tillsynsbegäran mail.docx", "A 6839-2026")</f>
        <v/>
      </c>
    </row>
    <row r="104" ht="15" customHeight="1">
      <c r="A104" t="inlineStr">
        <is>
          <t>A 2485-2025</t>
        </is>
      </c>
      <c r="B104" s="1" t="n">
        <v>45673</v>
      </c>
      <c r="C104" s="1" t="n">
        <v>46197</v>
      </c>
      <c r="D104" t="inlineStr">
        <is>
          <t>GOTLANDS LÄN</t>
        </is>
      </c>
      <c r="E104" t="inlineStr">
        <is>
          <t>GOTLAND</t>
        </is>
      </c>
      <c r="G104" t="n">
        <v>5</v>
      </c>
      <c r="H104" t="n">
        <v>2</v>
      </c>
      <c r="I104" t="n">
        <v>2</v>
      </c>
      <c r="J104" t="n">
        <v>0</v>
      </c>
      <c r="K104" t="n">
        <v>2</v>
      </c>
      <c r="L104" t="n">
        <v>0</v>
      </c>
      <c r="M104" t="n">
        <v>0</v>
      </c>
      <c r="N104" t="n">
        <v>0</v>
      </c>
      <c r="O104" t="n">
        <v>2</v>
      </c>
      <c r="P104" t="n">
        <v>2</v>
      </c>
      <c r="Q104" t="n">
        <v>4</v>
      </c>
      <c r="R104" s="2" t="inlineStr">
        <is>
          <t>Gotlandsmåra
Skogskorn
Nästrot
Skogsknipprot</t>
        </is>
      </c>
      <c r="S104">
        <f>HYPERLINK("https://klasma.github.io/Logging_0980/artfynd/A 2485-2025 artfynd.xlsx", "A 2485-2025")</f>
        <v/>
      </c>
      <c r="T104">
        <f>HYPERLINK("https://klasma.github.io/Logging_0980/kartor/A 2485-2025 karta.png", "A 2485-2025")</f>
        <v/>
      </c>
      <c r="V104">
        <f>HYPERLINK("https://klasma.github.io/Logging_0980/klagomål/A 2485-2025 FSC-klagomål.docx", "A 2485-2025")</f>
        <v/>
      </c>
      <c r="W104">
        <f>HYPERLINK("https://klasma.github.io/Logging_0980/klagomålsmail/A 2485-2025 FSC-klagomål mail.docx", "A 2485-2025")</f>
        <v/>
      </c>
      <c r="X104">
        <f>HYPERLINK("https://klasma.github.io/Logging_0980/tillsyn/A 2485-2025 tillsynsbegäran.docx", "A 2485-2025")</f>
        <v/>
      </c>
      <c r="Y104">
        <f>HYPERLINK("https://klasma.github.io/Logging_0980/tillsynsmail/A 2485-2025 tillsynsbegäran mail.docx", "A 2485-2025")</f>
        <v/>
      </c>
    </row>
    <row r="105" ht="15" customHeight="1">
      <c r="A105" t="inlineStr">
        <is>
          <t>A 61386-2023</t>
        </is>
      </c>
      <c r="B105" s="1" t="n">
        <v>45264</v>
      </c>
      <c r="C105" s="1" t="n">
        <v>46197</v>
      </c>
      <c r="D105" t="inlineStr">
        <is>
          <t>GOTLANDS LÄN</t>
        </is>
      </c>
      <c r="E105" t="inlineStr">
        <is>
          <t>GOTLAND</t>
        </is>
      </c>
      <c r="G105" t="n">
        <v>0.7</v>
      </c>
      <c r="H105" t="n">
        <v>0</v>
      </c>
      <c r="I105" t="n">
        <v>3</v>
      </c>
      <c r="J105" t="n">
        <v>0</v>
      </c>
      <c r="K105" t="n">
        <v>1</v>
      </c>
      <c r="L105" t="n">
        <v>0</v>
      </c>
      <c r="M105" t="n">
        <v>0</v>
      </c>
      <c r="N105" t="n">
        <v>0</v>
      </c>
      <c r="O105" t="n">
        <v>1</v>
      </c>
      <c r="P105" t="n">
        <v>1</v>
      </c>
      <c r="Q105" t="n">
        <v>4</v>
      </c>
      <c r="R105" s="2" t="inlineStr">
        <is>
          <t>Ädellav
Korallblylav
Lönnlav
Rikfruktig blemlav</t>
        </is>
      </c>
      <c r="S105">
        <f>HYPERLINK("https://klasma.github.io/Logging_0980/artfynd/A 61386-2023 artfynd.xlsx", "A 61386-2023")</f>
        <v/>
      </c>
      <c r="T105">
        <f>HYPERLINK("https://klasma.github.io/Logging_0980/kartor/A 61386-2023 karta.png", "A 61386-2023")</f>
        <v/>
      </c>
      <c r="V105">
        <f>HYPERLINK("https://klasma.github.io/Logging_0980/klagomål/A 61386-2023 FSC-klagomål.docx", "A 61386-2023")</f>
        <v/>
      </c>
      <c r="W105">
        <f>HYPERLINK("https://klasma.github.io/Logging_0980/klagomålsmail/A 61386-2023 FSC-klagomål mail.docx", "A 61386-2023")</f>
        <v/>
      </c>
      <c r="X105">
        <f>HYPERLINK("https://klasma.github.io/Logging_0980/tillsyn/A 61386-2023 tillsynsbegäran.docx", "A 61386-2023")</f>
        <v/>
      </c>
      <c r="Y105">
        <f>HYPERLINK("https://klasma.github.io/Logging_0980/tillsynsmail/A 61386-2023 tillsynsbegäran mail.docx", "A 61386-2023")</f>
        <v/>
      </c>
    </row>
    <row r="106" ht="15" customHeight="1">
      <c r="A106" t="inlineStr">
        <is>
          <t>A 56717-2024</t>
        </is>
      </c>
      <c r="B106" s="1" t="n">
        <v>45628</v>
      </c>
      <c r="C106" s="1" t="n">
        <v>46197</v>
      </c>
      <c r="D106" t="inlineStr">
        <is>
          <t>GOTLANDS LÄN</t>
        </is>
      </c>
      <c r="E106" t="inlineStr">
        <is>
          <t>GOTLAND</t>
        </is>
      </c>
      <c r="G106" t="n">
        <v>9.699999999999999</v>
      </c>
      <c r="H106" t="n">
        <v>0</v>
      </c>
      <c r="I106" t="n">
        <v>1</v>
      </c>
      <c r="J106" t="n">
        <v>3</v>
      </c>
      <c r="K106" t="n">
        <v>0</v>
      </c>
      <c r="L106" t="n">
        <v>0</v>
      </c>
      <c r="M106" t="n">
        <v>0</v>
      </c>
      <c r="N106" t="n">
        <v>0</v>
      </c>
      <c r="O106" t="n">
        <v>3</v>
      </c>
      <c r="P106" t="n">
        <v>0</v>
      </c>
      <c r="Q106" t="n">
        <v>4</v>
      </c>
      <c r="R106" s="2" t="inlineStr">
        <is>
          <t>Fjällig taggsvamp s.str.
Kattfotslav
Odörspindling
Havstulpanlav</t>
        </is>
      </c>
      <c r="S106">
        <f>HYPERLINK("https://klasma.github.io/Logging_0980/artfynd/A 56717-2024 artfynd.xlsx", "A 56717-2024")</f>
        <v/>
      </c>
      <c r="T106">
        <f>HYPERLINK("https://klasma.github.io/Logging_0980/kartor/A 56717-2024 karta.png", "A 56717-2024")</f>
        <v/>
      </c>
      <c r="V106">
        <f>HYPERLINK("https://klasma.github.io/Logging_0980/klagomål/A 56717-2024 FSC-klagomål.docx", "A 56717-2024")</f>
        <v/>
      </c>
      <c r="W106">
        <f>HYPERLINK("https://klasma.github.io/Logging_0980/klagomålsmail/A 56717-2024 FSC-klagomål mail.docx", "A 56717-2024")</f>
        <v/>
      </c>
      <c r="X106">
        <f>HYPERLINK("https://klasma.github.io/Logging_0980/tillsyn/A 56717-2024 tillsynsbegäran.docx", "A 56717-2024")</f>
        <v/>
      </c>
      <c r="Y106">
        <f>HYPERLINK("https://klasma.github.io/Logging_0980/tillsynsmail/A 56717-2024 tillsynsbegäran mail.docx", "A 56717-2024")</f>
        <v/>
      </c>
    </row>
    <row r="107" ht="15" customHeight="1">
      <c r="A107" t="inlineStr">
        <is>
          <t>A 37591-2023</t>
        </is>
      </c>
      <c r="B107" s="1" t="n">
        <v>45159</v>
      </c>
      <c r="C107" s="1" t="n">
        <v>46197</v>
      </c>
      <c r="D107" t="inlineStr">
        <is>
          <t>GOTLANDS LÄN</t>
        </is>
      </c>
      <c r="E107" t="inlineStr">
        <is>
          <t>GOTLAND</t>
        </is>
      </c>
      <c r="G107" t="n">
        <v>8.300000000000001</v>
      </c>
      <c r="H107" t="n">
        <v>1</v>
      </c>
      <c r="I107" t="n">
        <v>0</v>
      </c>
      <c r="J107" t="n">
        <v>3</v>
      </c>
      <c r="K107" t="n">
        <v>0</v>
      </c>
      <c r="L107" t="n">
        <v>0</v>
      </c>
      <c r="M107" t="n">
        <v>0</v>
      </c>
      <c r="N107" t="n">
        <v>0</v>
      </c>
      <c r="O107" t="n">
        <v>3</v>
      </c>
      <c r="P107" t="n">
        <v>0</v>
      </c>
      <c r="Q107" t="n">
        <v>4</v>
      </c>
      <c r="R107" s="2" t="inlineStr">
        <is>
          <t>Bergjohannesört
Solvända
Ängsstarr
Vanlig snok</t>
        </is>
      </c>
      <c r="S107">
        <f>HYPERLINK("https://klasma.github.io/Logging_0980/artfynd/A 37591-2023 artfynd.xlsx", "A 37591-2023")</f>
        <v/>
      </c>
      <c r="T107">
        <f>HYPERLINK("https://klasma.github.io/Logging_0980/kartor/A 37591-2023 karta.png", "A 37591-2023")</f>
        <v/>
      </c>
      <c r="V107">
        <f>HYPERLINK("https://klasma.github.io/Logging_0980/klagomål/A 37591-2023 FSC-klagomål.docx", "A 37591-2023")</f>
        <v/>
      </c>
      <c r="W107">
        <f>HYPERLINK("https://klasma.github.io/Logging_0980/klagomålsmail/A 37591-2023 FSC-klagomål mail.docx", "A 37591-2023")</f>
        <v/>
      </c>
      <c r="X107">
        <f>HYPERLINK("https://klasma.github.io/Logging_0980/tillsyn/A 37591-2023 tillsynsbegäran.docx", "A 37591-2023")</f>
        <v/>
      </c>
      <c r="Y107">
        <f>HYPERLINK("https://klasma.github.io/Logging_0980/tillsynsmail/A 37591-2023 tillsynsbegäran mail.docx", "A 37591-2023")</f>
        <v/>
      </c>
    </row>
    <row r="108" ht="15" customHeight="1">
      <c r="A108" t="inlineStr">
        <is>
          <t>A 32666-2021</t>
        </is>
      </c>
      <c r="B108" s="1" t="n">
        <v>44375</v>
      </c>
      <c r="C108" s="1" t="n">
        <v>46197</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46197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65927-2021</t>
        </is>
      </c>
      <c r="B110" s="1" t="n">
        <v>44516</v>
      </c>
      <c r="C110" s="1" t="n">
        <v>46197</v>
      </c>
      <c r="D110" t="inlineStr">
        <is>
          <t>GOTLANDS LÄN</t>
        </is>
      </c>
      <c r="E110" t="inlineStr">
        <is>
          <t>GOTLAND</t>
        </is>
      </c>
      <c r="G110" t="n">
        <v>3.1</v>
      </c>
      <c r="H110" t="n">
        <v>2</v>
      </c>
      <c r="I110" t="n">
        <v>0</v>
      </c>
      <c r="J110" t="n">
        <v>2</v>
      </c>
      <c r="K110" t="n">
        <v>0</v>
      </c>
      <c r="L110" t="n">
        <v>0</v>
      </c>
      <c r="M110" t="n">
        <v>0</v>
      </c>
      <c r="N110" t="n">
        <v>0</v>
      </c>
      <c r="O110" t="n">
        <v>2</v>
      </c>
      <c r="P110" t="n">
        <v>0</v>
      </c>
      <c r="Q110" t="n">
        <v>3</v>
      </c>
      <c r="R110" s="2" t="inlineStr">
        <is>
          <t>Grenigt kungsljus
Åkerkulla
Gullviva</t>
        </is>
      </c>
      <c r="S110">
        <f>HYPERLINK("https://klasma.github.io/Logging_0980/artfynd/A 65927-2021 artfynd.xlsx", "A 65927-2021")</f>
        <v/>
      </c>
      <c r="T110">
        <f>HYPERLINK("https://klasma.github.io/Logging_0980/kartor/A 65927-2021 karta.png", "A 65927-2021")</f>
        <v/>
      </c>
      <c r="V110">
        <f>HYPERLINK("https://klasma.github.io/Logging_0980/klagomål/A 65927-2021 FSC-klagomål.docx", "A 65927-2021")</f>
        <v/>
      </c>
      <c r="W110">
        <f>HYPERLINK("https://klasma.github.io/Logging_0980/klagomålsmail/A 65927-2021 FSC-klagomål mail.docx", "A 65927-2021")</f>
        <v/>
      </c>
      <c r="X110">
        <f>HYPERLINK("https://klasma.github.io/Logging_0980/tillsyn/A 65927-2021 tillsynsbegäran.docx", "A 65927-2021")</f>
        <v/>
      </c>
      <c r="Y110">
        <f>HYPERLINK("https://klasma.github.io/Logging_0980/tillsynsmail/A 65927-2021 tillsynsbegäran mail.docx", "A 65927-2021")</f>
        <v/>
      </c>
    </row>
    <row r="111" ht="15" customHeight="1">
      <c r="A111" t="inlineStr">
        <is>
          <t>A 2476-2025</t>
        </is>
      </c>
      <c r="B111" s="1" t="n">
        <v>45673</v>
      </c>
      <c r="C111" s="1" t="n">
        <v>46197</v>
      </c>
      <c r="D111" t="inlineStr">
        <is>
          <t>GOTLANDS LÄN</t>
        </is>
      </c>
      <c r="E111" t="inlineStr">
        <is>
          <t>GOTLAND</t>
        </is>
      </c>
      <c r="G111" t="n">
        <v>3.1</v>
      </c>
      <c r="H111" t="n">
        <v>0</v>
      </c>
      <c r="I111" t="n">
        <v>1</v>
      </c>
      <c r="J111" t="n">
        <v>2</v>
      </c>
      <c r="K111" t="n">
        <v>0</v>
      </c>
      <c r="L111" t="n">
        <v>0</v>
      </c>
      <c r="M111" t="n">
        <v>0</v>
      </c>
      <c r="N111" t="n">
        <v>0</v>
      </c>
      <c r="O111" t="n">
        <v>2</v>
      </c>
      <c r="P111" t="n">
        <v>0</v>
      </c>
      <c r="Q111" t="n">
        <v>3</v>
      </c>
      <c r="R111" s="2" t="inlineStr">
        <is>
          <t>Barrviolspindling
Kryddspindling
Strimspindling</t>
        </is>
      </c>
      <c r="S111">
        <f>HYPERLINK("https://klasma.github.io/Logging_0980/artfynd/A 2476-2025 artfynd.xlsx", "A 2476-2025")</f>
        <v/>
      </c>
      <c r="T111">
        <f>HYPERLINK("https://klasma.github.io/Logging_0980/kartor/A 2476-2025 karta.png", "A 2476-2025")</f>
        <v/>
      </c>
      <c r="V111">
        <f>HYPERLINK("https://klasma.github.io/Logging_0980/klagomål/A 2476-2025 FSC-klagomål.docx", "A 2476-2025")</f>
        <v/>
      </c>
      <c r="W111">
        <f>HYPERLINK("https://klasma.github.io/Logging_0980/klagomålsmail/A 2476-2025 FSC-klagomål mail.docx", "A 2476-2025")</f>
        <v/>
      </c>
      <c r="X111">
        <f>HYPERLINK("https://klasma.github.io/Logging_0980/tillsyn/A 2476-2025 tillsynsbegäran.docx", "A 2476-2025")</f>
        <v/>
      </c>
      <c r="Y111">
        <f>HYPERLINK("https://klasma.github.io/Logging_0980/tillsynsmail/A 2476-2025 tillsynsbegäran mail.docx", "A 2476-2025")</f>
        <v/>
      </c>
    </row>
    <row r="112" ht="15" customHeight="1">
      <c r="A112" t="inlineStr">
        <is>
          <t>A 43013-2022</t>
        </is>
      </c>
      <c r="B112" s="1" t="n">
        <v>44833</v>
      </c>
      <c r="C112" s="1" t="n">
        <v>46197</v>
      </c>
      <c r="D112" t="inlineStr">
        <is>
          <t>GOTLANDS LÄN</t>
        </is>
      </c>
      <c r="E112" t="inlineStr">
        <is>
          <t>GOTLAND</t>
        </is>
      </c>
      <c r="G112" t="n">
        <v>9.300000000000001</v>
      </c>
      <c r="H112" t="n">
        <v>0</v>
      </c>
      <c r="I112" t="n">
        <v>1</v>
      </c>
      <c r="J112" t="n">
        <v>1</v>
      </c>
      <c r="K112" t="n">
        <v>1</v>
      </c>
      <c r="L112" t="n">
        <v>0</v>
      </c>
      <c r="M112" t="n">
        <v>0</v>
      </c>
      <c r="N112" t="n">
        <v>0</v>
      </c>
      <c r="O112" t="n">
        <v>2</v>
      </c>
      <c r="P112" t="n">
        <v>1</v>
      </c>
      <c r="Q112" t="n">
        <v>3</v>
      </c>
      <c r="R112" s="2" t="inlineStr">
        <is>
          <t>Violettfläckig spindling
Blå slemspindling
Anisspindling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v>
      </c>
      <c r="C113" s="1" t="n">
        <v>46197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46197</v>
      </c>
      <c r="D114" t="inlineStr">
        <is>
          <t>GOTLANDS LÄN</t>
        </is>
      </c>
      <c r="E114" t="inlineStr">
        <is>
          <t>GOTLAND</t>
        </is>
      </c>
      <c r="G114" t="n">
        <v>6.2</v>
      </c>
      <c r="H114" t="n">
        <v>2</v>
      </c>
      <c r="I114" t="n">
        <v>0</v>
      </c>
      <c r="J114" t="n">
        <v>0</v>
      </c>
      <c r="K114" t="n">
        <v>1</v>
      </c>
      <c r="L114" t="n">
        <v>0</v>
      </c>
      <c r="M114" t="n">
        <v>0</v>
      </c>
      <c r="N114" t="n">
        <v>0</v>
      </c>
      <c r="O114" t="n">
        <v>1</v>
      </c>
      <c r="P114" t="n">
        <v>1</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34312-2024</t>
        </is>
      </c>
      <c r="B115" s="1" t="n">
        <v>45524</v>
      </c>
      <c r="C115" s="1" t="n">
        <v>46197</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46197</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37222-2021</t>
        </is>
      </c>
      <c r="B117" s="1" t="n">
        <v>44396</v>
      </c>
      <c r="C117" s="1" t="n">
        <v>46197</v>
      </c>
      <c r="D117" t="inlineStr">
        <is>
          <t>GOTLANDS LÄN</t>
        </is>
      </c>
      <c r="E117" t="inlineStr">
        <is>
          <t>GOTLAND</t>
        </is>
      </c>
      <c r="G117" t="n">
        <v>3</v>
      </c>
      <c r="H117" t="n">
        <v>3</v>
      </c>
      <c r="I117" t="n">
        <v>1</v>
      </c>
      <c r="J117" t="n">
        <v>1</v>
      </c>
      <c r="K117" t="n">
        <v>0</v>
      </c>
      <c r="L117" t="n">
        <v>0</v>
      </c>
      <c r="M117" t="n">
        <v>0</v>
      </c>
      <c r="N117" t="n">
        <v>0</v>
      </c>
      <c r="O117" t="n">
        <v>1</v>
      </c>
      <c r="P117" t="n">
        <v>0</v>
      </c>
      <c r="Q117" t="n">
        <v>3</v>
      </c>
      <c r="R117" s="2" t="inlineStr">
        <is>
          <t>Mindre hackspett
Skogsknipprot
Bergfink</t>
        </is>
      </c>
      <c r="S117">
        <f>HYPERLINK("https://klasma.github.io/Logging_0980/artfynd/A 37222-2021 artfynd.xlsx", "A 37222-2021")</f>
        <v/>
      </c>
      <c r="T117">
        <f>HYPERLINK("https://klasma.github.io/Logging_0980/kartor/A 37222-2021 karta.png", "A 37222-2021")</f>
        <v/>
      </c>
      <c r="V117">
        <f>HYPERLINK("https://klasma.github.io/Logging_0980/klagomål/A 37222-2021 FSC-klagomål.docx", "A 37222-2021")</f>
        <v/>
      </c>
      <c r="W117">
        <f>HYPERLINK("https://klasma.github.io/Logging_0980/klagomålsmail/A 37222-2021 FSC-klagomål mail.docx", "A 37222-2021")</f>
        <v/>
      </c>
      <c r="X117">
        <f>HYPERLINK("https://klasma.github.io/Logging_0980/tillsyn/A 37222-2021 tillsynsbegäran.docx", "A 37222-2021")</f>
        <v/>
      </c>
      <c r="Y117">
        <f>HYPERLINK("https://klasma.github.io/Logging_0980/tillsynsmail/A 37222-2021 tillsynsbegäran mail.docx", "A 37222-2021")</f>
        <v/>
      </c>
      <c r="Z117">
        <f>HYPERLINK("https://klasma.github.io/Logging_0980/fåglar/A 37222-2021 prioriterade fågelarter.docx", "A 37222-2021")</f>
        <v/>
      </c>
    </row>
    <row r="118" ht="15" customHeight="1">
      <c r="A118" t="inlineStr">
        <is>
          <t>A 35574-2024</t>
        </is>
      </c>
      <c r="B118" s="1" t="n">
        <v>45531</v>
      </c>
      <c r="C118" s="1" t="n">
        <v>46197</v>
      </c>
      <c r="D118" t="inlineStr">
        <is>
          <t>GOTLANDS LÄN</t>
        </is>
      </c>
      <c r="E118" t="inlineStr">
        <is>
          <t>GOTLAND</t>
        </is>
      </c>
      <c r="G118" t="n">
        <v>5.7</v>
      </c>
      <c r="H118" t="n">
        <v>0</v>
      </c>
      <c r="I118" t="n">
        <v>2</v>
      </c>
      <c r="J118" t="n">
        <v>1</v>
      </c>
      <c r="K118" t="n">
        <v>0</v>
      </c>
      <c r="L118" t="n">
        <v>0</v>
      </c>
      <c r="M118" t="n">
        <v>0</v>
      </c>
      <c r="N118" t="n">
        <v>0</v>
      </c>
      <c r="O118" t="n">
        <v>1</v>
      </c>
      <c r="P118" t="n">
        <v>0</v>
      </c>
      <c r="Q118" t="n">
        <v>3</v>
      </c>
      <c r="R118" s="2" t="inlineStr">
        <is>
          <t>Svinrot
Kambräken
Murgröna</t>
        </is>
      </c>
      <c r="S118">
        <f>HYPERLINK("https://klasma.github.io/Logging_0980/artfynd/A 35574-2024 artfynd.xlsx", "A 35574-2024")</f>
        <v/>
      </c>
      <c r="T118">
        <f>HYPERLINK("https://klasma.github.io/Logging_0980/kartor/A 35574-2024 karta.png", "A 35574-2024")</f>
        <v/>
      </c>
      <c r="V118">
        <f>HYPERLINK("https://klasma.github.io/Logging_0980/klagomål/A 35574-2024 FSC-klagomål.docx", "A 35574-2024")</f>
        <v/>
      </c>
      <c r="W118">
        <f>HYPERLINK("https://klasma.github.io/Logging_0980/klagomålsmail/A 35574-2024 FSC-klagomål mail.docx", "A 35574-2024")</f>
        <v/>
      </c>
      <c r="X118">
        <f>HYPERLINK("https://klasma.github.io/Logging_0980/tillsyn/A 35574-2024 tillsynsbegäran.docx", "A 35574-2024")</f>
        <v/>
      </c>
      <c r="Y118">
        <f>HYPERLINK("https://klasma.github.io/Logging_0980/tillsynsmail/A 35574-2024 tillsynsbegäran mail.docx", "A 35574-2024")</f>
        <v/>
      </c>
    </row>
    <row r="119" ht="15" customHeight="1">
      <c r="A119" t="inlineStr">
        <is>
          <t>A 17982-2023</t>
        </is>
      </c>
      <c r="B119" s="1" t="n">
        <v>45040</v>
      </c>
      <c r="C119" s="1" t="n">
        <v>46197</v>
      </c>
      <c r="D119" t="inlineStr">
        <is>
          <t>GOTLANDS LÄN</t>
        </is>
      </c>
      <c r="E119" t="inlineStr">
        <is>
          <t>GOTLAND</t>
        </is>
      </c>
      <c r="G119" t="n">
        <v>2.2</v>
      </c>
      <c r="H119" t="n">
        <v>0</v>
      </c>
      <c r="I119" t="n">
        <v>0</v>
      </c>
      <c r="J119" t="n">
        <v>2</v>
      </c>
      <c r="K119" t="n">
        <v>0</v>
      </c>
      <c r="L119" t="n">
        <v>1</v>
      </c>
      <c r="M119" t="n">
        <v>0</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54357-2024</t>
        </is>
      </c>
      <c r="B120" s="1" t="n">
        <v>45617</v>
      </c>
      <c r="C120" s="1" t="n">
        <v>46197</v>
      </c>
      <c r="D120" t="inlineStr">
        <is>
          <t>GOTLANDS LÄN</t>
        </is>
      </c>
      <c r="E120" t="inlineStr">
        <is>
          <t>GOTLAND</t>
        </is>
      </c>
      <c r="G120" t="n">
        <v>1.5</v>
      </c>
      <c r="H120" t="n">
        <v>1</v>
      </c>
      <c r="I120" t="n">
        <v>1</v>
      </c>
      <c r="J120" t="n">
        <v>1</v>
      </c>
      <c r="K120" t="n">
        <v>0</v>
      </c>
      <c r="L120" t="n">
        <v>0</v>
      </c>
      <c r="M120" t="n">
        <v>0</v>
      </c>
      <c r="N120" t="n">
        <v>0</v>
      </c>
      <c r="O120" t="n">
        <v>1</v>
      </c>
      <c r="P120" t="n">
        <v>0</v>
      </c>
      <c r="Q120" t="n">
        <v>3</v>
      </c>
      <c r="R120" s="2" t="inlineStr">
        <is>
          <t>Loppstarr
Grov fjädermossa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7625-2026</t>
        </is>
      </c>
      <c r="B121" s="1" t="n">
        <v>46062</v>
      </c>
      <c r="C121" s="1" t="n">
        <v>46197</v>
      </c>
      <c r="D121" t="inlineStr">
        <is>
          <t>GOTLANDS LÄN</t>
        </is>
      </c>
      <c r="E121" t="inlineStr">
        <is>
          <t>GOTLAND</t>
        </is>
      </c>
      <c r="G121" t="n">
        <v>2.1</v>
      </c>
      <c r="H121" t="n">
        <v>0</v>
      </c>
      <c r="I121" t="n">
        <v>0</v>
      </c>
      <c r="J121" t="n">
        <v>3</v>
      </c>
      <c r="K121" t="n">
        <v>0</v>
      </c>
      <c r="L121" t="n">
        <v>0</v>
      </c>
      <c r="M121" t="n">
        <v>0</v>
      </c>
      <c r="N121" t="n">
        <v>0</v>
      </c>
      <c r="O121" t="n">
        <v>3</v>
      </c>
      <c r="P121" t="n">
        <v>0</v>
      </c>
      <c r="Q121" t="n">
        <v>3</v>
      </c>
      <c r="R121" s="2" t="inlineStr">
        <is>
          <t>Backstarr
Backtimjan
Solvända</t>
        </is>
      </c>
      <c r="S121">
        <f>HYPERLINK("https://klasma.github.io/Logging_0980/artfynd/A 7625-2026 artfynd.xlsx", "A 7625-2026")</f>
        <v/>
      </c>
      <c r="T121">
        <f>HYPERLINK("https://klasma.github.io/Logging_0980/kartor/A 7625-2026 karta.png", "A 7625-2026")</f>
        <v/>
      </c>
      <c r="V121">
        <f>HYPERLINK("https://klasma.github.io/Logging_0980/klagomål/A 7625-2026 FSC-klagomål.docx", "A 7625-2026")</f>
        <v/>
      </c>
      <c r="W121">
        <f>HYPERLINK("https://klasma.github.io/Logging_0980/klagomålsmail/A 7625-2026 FSC-klagomål mail.docx", "A 7625-2026")</f>
        <v/>
      </c>
      <c r="X121">
        <f>HYPERLINK("https://klasma.github.io/Logging_0980/tillsyn/A 7625-2026 tillsynsbegäran.docx", "A 7625-2026")</f>
        <v/>
      </c>
      <c r="Y121">
        <f>HYPERLINK("https://klasma.github.io/Logging_0980/tillsynsmail/A 7625-2026 tillsynsbegäran mail.docx", "A 7625-2026")</f>
        <v/>
      </c>
    </row>
    <row r="122" ht="15" customHeight="1">
      <c r="A122" t="inlineStr">
        <is>
          <t>A 19322-2026</t>
        </is>
      </c>
      <c r="B122" s="1" t="n">
        <v>46129</v>
      </c>
      <c r="C122" s="1" t="n">
        <v>46197</v>
      </c>
      <c r="D122" t="inlineStr">
        <is>
          <t>GOTLANDS LÄN</t>
        </is>
      </c>
      <c r="E122" t="inlineStr">
        <is>
          <t>GOTLAND</t>
        </is>
      </c>
      <c r="G122" t="n">
        <v>1</v>
      </c>
      <c r="H122" t="n">
        <v>2</v>
      </c>
      <c r="I122" t="n">
        <v>1</v>
      </c>
      <c r="J122" t="n">
        <v>2</v>
      </c>
      <c r="K122" t="n">
        <v>0</v>
      </c>
      <c r="L122" t="n">
        <v>0</v>
      </c>
      <c r="M122" t="n">
        <v>0</v>
      </c>
      <c r="N122" t="n">
        <v>0</v>
      </c>
      <c r="O122" t="n">
        <v>2</v>
      </c>
      <c r="P122" t="n">
        <v>0</v>
      </c>
      <c r="Q122" t="n">
        <v>3</v>
      </c>
      <c r="R122" s="2" t="inlineStr">
        <is>
          <t>Gulsparv
Svinrot
Tvåblad</t>
        </is>
      </c>
      <c r="S122">
        <f>HYPERLINK("https://klasma.github.io/Logging_0980/artfynd/A 19322-2026 artfynd.xlsx", "A 19322-2026")</f>
        <v/>
      </c>
      <c r="T122">
        <f>HYPERLINK("https://klasma.github.io/Logging_0980/kartor/A 19322-2026 karta.png", "A 19322-2026")</f>
        <v/>
      </c>
      <c r="V122">
        <f>HYPERLINK("https://klasma.github.io/Logging_0980/klagomål/A 19322-2026 FSC-klagomål.docx", "A 19322-2026")</f>
        <v/>
      </c>
      <c r="W122">
        <f>HYPERLINK("https://klasma.github.io/Logging_0980/klagomålsmail/A 19322-2026 FSC-klagomål mail.docx", "A 19322-2026")</f>
        <v/>
      </c>
      <c r="X122">
        <f>HYPERLINK("https://klasma.github.io/Logging_0980/tillsyn/A 19322-2026 tillsynsbegäran.docx", "A 19322-2026")</f>
        <v/>
      </c>
      <c r="Y122">
        <f>HYPERLINK("https://klasma.github.io/Logging_0980/tillsynsmail/A 19322-2026 tillsynsbegäran mail.docx", "A 19322-2026")</f>
        <v/>
      </c>
      <c r="Z122">
        <f>HYPERLINK("https://klasma.github.io/Logging_0980/fåglar/A 19322-2026 prioriterade fågelarter.docx", "A 19322-2026")</f>
        <v/>
      </c>
    </row>
    <row r="123" ht="15" customHeight="1">
      <c r="A123" t="inlineStr">
        <is>
          <t>A 17975-2024</t>
        </is>
      </c>
      <c r="B123" s="1" t="n">
        <v>45419</v>
      </c>
      <c r="C123" s="1" t="n">
        <v>46197</v>
      </c>
      <c r="D123" t="inlineStr">
        <is>
          <t>GOTLANDS LÄN</t>
        </is>
      </c>
      <c r="E123" t="inlineStr">
        <is>
          <t>GOTLAND</t>
        </is>
      </c>
      <c r="G123" t="n">
        <v>7.9</v>
      </c>
      <c r="H123" t="n">
        <v>0</v>
      </c>
      <c r="I123" t="n">
        <v>1</v>
      </c>
      <c r="J123" t="n">
        <v>1</v>
      </c>
      <c r="K123" t="n">
        <v>0</v>
      </c>
      <c r="L123" t="n">
        <v>1</v>
      </c>
      <c r="M123" t="n">
        <v>0</v>
      </c>
      <c r="N123" t="n">
        <v>0</v>
      </c>
      <c r="O123" t="n">
        <v>2</v>
      </c>
      <c r="P123" t="n">
        <v>1</v>
      </c>
      <c r="Q123" t="n">
        <v>3</v>
      </c>
      <c r="R123" s="2" t="inlineStr">
        <is>
          <t>Ask
Skugglosta
Strävlosta</t>
        </is>
      </c>
      <c r="S123">
        <f>HYPERLINK("https://klasma.github.io/Logging_0980/artfynd/A 17975-2024 artfynd.xlsx", "A 17975-2024")</f>
        <v/>
      </c>
      <c r="T123">
        <f>HYPERLINK("https://klasma.github.io/Logging_0980/kartor/A 17975-2024 karta.png", "A 17975-2024")</f>
        <v/>
      </c>
      <c r="V123">
        <f>HYPERLINK("https://klasma.github.io/Logging_0980/klagomål/A 17975-2024 FSC-klagomål.docx", "A 17975-2024")</f>
        <v/>
      </c>
      <c r="W123">
        <f>HYPERLINK("https://klasma.github.io/Logging_0980/klagomålsmail/A 17975-2024 FSC-klagomål mail.docx", "A 17975-2024")</f>
        <v/>
      </c>
      <c r="X123">
        <f>HYPERLINK("https://klasma.github.io/Logging_0980/tillsyn/A 17975-2024 tillsynsbegäran.docx", "A 17975-2024")</f>
        <v/>
      </c>
      <c r="Y123">
        <f>HYPERLINK("https://klasma.github.io/Logging_0980/tillsynsmail/A 17975-2024 tillsynsbegäran mail.docx", "A 17975-2024")</f>
        <v/>
      </c>
    </row>
    <row r="124" ht="15" customHeight="1">
      <c r="A124" t="inlineStr">
        <is>
          <t>A 13499-2022</t>
        </is>
      </c>
      <c r="B124" s="1" t="n">
        <v>44647</v>
      </c>
      <c r="C124" s="1" t="n">
        <v>46197</v>
      </c>
      <c r="D124" t="inlineStr">
        <is>
          <t>GOTLANDS LÄN</t>
        </is>
      </c>
      <c r="E124" t="inlineStr">
        <is>
          <t>GOTLAND</t>
        </is>
      </c>
      <c r="G124" t="n">
        <v>6.8</v>
      </c>
      <c r="H124" t="n">
        <v>3</v>
      </c>
      <c r="I124" t="n">
        <v>0</v>
      </c>
      <c r="J124" t="n">
        <v>0</v>
      </c>
      <c r="K124" t="n">
        <v>0</v>
      </c>
      <c r="L124" t="n">
        <v>0</v>
      </c>
      <c r="M124" t="n">
        <v>0</v>
      </c>
      <c r="N124" t="n">
        <v>0</v>
      </c>
      <c r="O124" t="n">
        <v>0</v>
      </c>
      <c r="P124" t="n">
        <v>0</v>
      </c>
      <c r="Q124" t="n">
        <v>3</v>
      </c>
      <c r="R124" s="2" t="inlineStr">
        <is>
          <t>Blåsippa
Spillkråka
Sankt pers nycklar</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43219-2023</t>
        </is>
      </c>
      <c r="B125" s="1" t="n">
        <v>45183</v>
      </c>
      <c r="C125" s="1" t="n">
        <v>46197</v>
      </c>
      <c r="D125" t="inlineStr">
        <is>
          <t>GOTLANDS LÄN</t>
        </is>
      </c>
      <c r="E125" t="inlineStr">
        <is>
          <t>GOTLAND</t>
        </is>
      </c>
      <c r="G125" t="n">
        <v>3.6</v>
      </c>
      <c r="H125" t="n">
        <v>1</v>
      </c>
      <c r="I125" t="n">
        <v>0</v>
      </c>
      <c r="J125" t="n">
        <v>1</v>
      </c>
      <c r="K125" t="n">
        <v>1</v>
      </c>
      <c r="L125" t="n">
        <v>0</v>
      </c>
      <c r="M125" t="n">
        <v>0</v>
      </c>
      <c r="N125" t="n">
        <v>0</v>
      </c>
      <c r="O125" t="n">
        <v>2</v>
      </c>
      <c r="P125" t="n">
        <v>1</v>
      </c>
      <c r="Q125" t="n">
        <v>3</v>
      </c>
      <c r="R125" s="2" t="inlineStr">
        <is>
          <t>Gotlandsmåra
Axveronika
Skogsduva</t>
        </is>
      </c>
      <c r="S125">
        <f>HYPERLINK("https://klasma.github.io/Logging_0980/artfynd/A 43219-2023 artfynd.xlsx", "A 43219-2023")</f>
        <v/>
      </c>
      <c r="T125">
        <f>HYPERLINK("https://klasma.github.io/Logging_0980/kartor/A 43219-2023 karta.png", "A 43219-2023")</f>
        <v/>
      </c>
      <c r="V125">
        <f>HYPERLINK("https://klasma.github.io/Logging_0980/klagomål/A 43219-2023 FSC-klagomål.docx", "A 43219-2023")</f>
        <v/>
      </c>
      <c r="W125">
        <f>HYPERLINK("https://klasma.github.io/Logging_0980/klagomålsmail/A 43219-2023 FSC-klagomål mail.docx", "A 43219-2023")</f>
        <v/>
      </c>
      <c r="X125">
        <f>HYPERLINK("https://klasma.github.io/Logging_0980/tillsyn/A 43219-2023 tillsynsbegäran.docx", "A 43219-2023")</f>
        <v/>
      </c>
      <c r="Y125">
        <f>HYPERLINK("https://klasma.github.io/Logging_0980/tillsynsmail/A 43219-2023 tillsynsbegäran mail.docx", "A 43219-2023")</f>
        <v/>
      </c>
    </row>
    <row r="126" ht="15" customHeight="1">
      <c r="A126" t="inlineStr">
        <is>
          <t>A 12315-2024</t>
        </is>
      </c>
      <c r="B126" s="1" t="n">
        <v>45378</v>
      </c>
      <c r="C126" s="1" t="n">
        <v>46197</v>
      </c>
      <c r="D126" t="inlineStr">
        <is>
          <t>GOTLANDS LÄN</t>
        </is>
      </c>
      <c r="E126" t="inlineStr">
        <is>
          <t>GOTLAND</t>
        </is>
      </c>
      <c r="G126" t="n">
        <v>6</v>
      </c>
      <c r="H126" t="n">
        <v>3</v>
      </c>
      <c r="I126" t="n">
        <v>1</v>
      </c>
      <c r="J126" t="n">
        <v>0</v>
      </c>
      <c r="K126" t="n">
        <v>0</v>
      </c>
      <c r="L126" t="n">
        <v>0</v>
      </c>
      <c r="M126" t="n">
        <v>0</v>
      </c>
      <c r="N126" t="n">
        <v>0</v>
      </c>
      <c r="O126" t="n">
        <v>0</v>
      </c>
      <c r="P126" t="n">
        <v>0</v>
      </c>
      <c r="Q126" t="n">
        <v>3</v>
      </c>
      <c r="R126" s="2" t="inlineStr">
        <is>
          <t>Tvåblad
Buskskvätta
Fläcknycklar</t>
        </is>
      </c>
      <c r="S126">
        <f>HYPERLINK("https://klasma.github.io/Logging_0980/artfynd/A 12315-2024 artfynd.xlsx", "A 12315-2024")</f>
        <v/>
      </c>
      <c r="T126">
        <f>HYPERLINK("https://klasma.github.io/Logging_0980/kartor/A 12315-2024 karta.png", "A 12315-2024")</f>
        <v/>
      </c>
      <c r="V126">
        <f>HYPERLINK("https://klasma.github.io/Logging_0980/klagomål/A 12315-2024 FSC-klagomål.docx", "A 12315-2024")</f>
        <v/>
      </c>
      <c r="W126">
        <f>HYPERLINK("https://klasma.github.io/Logging_0980/klagomålsmail/A 12315-2024 FSC-klagomål mail.docx", "A 12315-2024")</f>
        <v/>
      </c>
      <c r="X126">
        <f>HYPERLINK("https://klasma.github.io/Logging_0980/tillsyn/A 12315-2024 tillsynsbegäran.docx", "A 12315-2024")</f>
        <v/>
      </c>
      <c r="Y126">
        <f>HYPERLINK("https://klasma.github.io/Logging_0980/tillsynsmail/A 12315-2024 tillsynsbegäran mail.docx", "A 12315-2024")</f>
        <v/>
      </c>
    </row>
    <row r="127" ht="15" customHeight="1">
      <c r="A127" t="inlineStr">
        <is>
          <t>A 26992-2026</t>
        </is>
      </c>
      <c r="B127" s="1" t="n">
        <v>46185</v>
      </c>
      <c r="C127" s="1" t="n">
        <v>46197</v>
      </c>
      <c r="D127" t="inlineStr">
        <is>
          <t>GOTLANDS LÄN</t>
        </is>
      </c>
      <c r="E127" t="inlineStr">
        <is>
          <t>GOTLAND</t>
        </is>
      </c>
      <c r="G127" t="n">
        <v>0.8</v>
      </c>
      <c r="H127" t="n">
        <v>2</v>
      </c>
      <c r="I127" t="n">
        <v>1</v>
      </c>
      <c r="J127" t="n">
        <v>1</v>
      </c>
      <c r="K127" t="n">
        <v>0</v>
      </c>
      <c r="L127" t="n">
        <v>0</v>
      </c>
      <c r="M127" t="n">
        <v>0</v>
      </c>
      <c r="N127" t="n">
        <v>0</v>
      </c>
      <c r="O127" t="n">
        <v>1</v>
      </c>
      <c r="P127" t="n">
        <v>0</v>
      </c>
      <c r="Q127" t="n">
        <v>3</v>
      </c>
      <c r="R127" s="2" t="inlineStr">
        <is>
          <t>Svinrot
Nästrot
Blåsippa</t>
        </is>
      </c>
      <c r="S127">
        <f>HYPERLINK("https://klasma.github.io/Logging_0980/artfynd/A 26992-2026 artfynd.xlsx", "A 26992-2026")</f>
        <v/>
      </c>
      <c r="T127">
        <f>HYPERLINK("https://klasma.github.io/Logging_0980/kartor/A 26992-2026 karta.png", "A 26992-2026")</f>
        <v/>
      </c>
      <c r="V127">
        <f>HYPERLINK("https://klasma.github.io/Logging_0980/klagomål/A 26992-2026 FSC-klagomål.docx", "A 26992-2026")</f>
        <v/>
      </c>
      <c r="W127">
        <f>HYPERLINK("https://klasma.github.io/Logging_0980/klagomålsmail/A 26992-2026 FSC-klagomål mail.docx", "A 26992-2026")</f>
        <v/>
      </c>
      <c r="X127">
        <f>HYPERLINK("https://klasma.github.io/Logging_0980/tillsyn/A 26992-2026 tillsynsbegäran.docx", "A 26992-2026")</f>
        <v/>
      </c>
      <c r="Y127">
        <f>HYPERLINK("https://klasma.github.io/Logging_0980/tillsynsmail/A 26992-2026 tillsynsbegäran mail.docx", "A 26992-2026")</f>
        <v/>
      </c>
    </row>
    <row r="128" ht="15" customHeight="1">
      <c r="A128" t="inlineStr">
        <is>
          <t>A 61561-2023</t>
        </is>
      </c>
      <c r="B128" s="1" t="n">
        <v>45265</v>
      </c>
      <c r="C128" s="1" t="n">
        <v>46197</v>
      </c>
      <c r="D128" t="inlineStr">
        <is>
          <t>GOTLANDS LÄN</t>
        </is>
      </c>
      <c r="E128" t="inlineStr">
        <is>
          <t>GOTLAND</t>
        </is>
      </c>
      <c r="G128" t="n">
        <v>7.4</v>
      </c>
      <c r="H128" t="n">
        <v>0</v>
      </c>
      <c r="I128" t="n">
        <v>0</v>
      </c>
      <c r="J128" t="n">
        <v>3</v>
      </c>
      <c r="K128" t="n">
        <v>0</v>
      </c>
      <c r="L128" t="n">
        <v>0</v>
      </c>
      <c r="M128" t="n">
        <v>0</v>
      </c>
      <c r="N128" t="n">
        <v>0</v>
      </c>
      <c r="O128" t="n">
        <v>3</v>
      </c>
      <c r="P128" t="n">
        <v>0</v>
      </c>
      <c r="Q128" t="n">
        <v>3</v>
      </c>
      <c r="R128" s="2" t="inlineStr">
        <is>
          <t>Jordtistel
Loppstarr
Solvända</t>
        </is>
      </c>
      <c r="S128">
        <f>HYPERLINK("https://klasma.github.io/Logging_0980/artfynd/A 61561-2023 artfynd.xlsx", "A 61561-2023")</f>
        <v/>
      </c>
      <c r="T128">
        <f>HYPERLINK("https://klasma.github.io/Logging_0980/kartor/A 61561-2023 karta.png", "A 61561-2023")</f>
        <v/>
      </c>
      <c r="V128">
        <f>HYPERLINK("https://klasma.github.io/Logging_0980/klagomål/A 61561-2023 FSC-klagomål.docx", "A 61561-2023")</f>
        <v/>
      </c>
      <c r="W128">
        <f>HYPERLINK("https://klasma.github.io/Logging_0980/klagomålsmail/A 61561-2023 FSC-klagomål mail.docx", "A 61561-2023")</f>
        <v/>
      </c>
      <c r="X128">
        <f>HYPERLINK("https://klasma.github.io/Logging_0980/tillsyn/A 61561-2023 tillsynsbegäran.docx", "A 61561-2023")</f>
        <v/>
      </c>
      <c r="Y128">
        <f>HYPERLINK("https://klasma.github.io/Logging_0980/tillsynsmail/A 61561-2023 tillsynsbegäran mail.docx", "A 61561-2023")</f>
        <v/>
      </c>
    </row>
    <row r="129" ht="15" customHeight="1">
      <c r="A129" t="inlineStr">
        <is>
          <t>A 10440-2024</t>
        </is>
      </c>
      <c r="B129" s="1" t="n">
        <v>45366</v>
      </c>
      <c r="C129" s="1" t="n">
        <v>46197</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46197</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46197</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46197</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46197</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46197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20429-2025</t>
        </is>
      </c>
      <c r="B135" s="1" t="n">
        <v>45775</v>
      </c>
      <c r="C135" s="1" t="n">
        <v>46197</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33011-2025</t>
        </is>
      </c>
      <c r="B136" s="1" t="n">
        <v>45840</v>
      </c>
      <c r="C136" s="1" t="n">
        <v>46197</v>
      </c>
      <c r="D136" t="inlineStr">
        <is>
          <t>GOTLANDS LÄN</t>
        </is>
      </c>
      <c r="E136" t="inlineStr">
        <is>
          <t>GOTLAND</t>
        </is>
      </c>
      <c r="G136" t="n">
        <v>1.7</v>
      </c>
      <c r="H136" t="n">
        <v>2</v>
      </c>
      <c r="I136" t="n">
        <v>0</v>
      </c>
      <c r="J136" t="n">
        <v>1</v>
      </c>
      <c r="K136" t="n">
        <v>1</v>
      </c>
      <c r="L136" t="n">
        <v>0</v>
      </c>
      <c r="M136" t="n">
        <v>0</v>
      </c>
      <c r="N136" t="n">
        <v>0</v>
      </c>
      <c r="O136" t="n">
        <v>2</v>
      </c>
      <c r="P136" t="n">
        <v>1</v>
      </c>
      <c r="Q136" t="n">
        <v>2</v>
      </c>
      <c r="R136" s="2" t="inlineStr">
        <is>
          <t>Hasselsnok
Mindre hackspett</t>
        </is>
      </c>
      <c r="S136">
        <f>HYPERLINK("https://klasma.github.io/Logging_0980/artfynd/A 33011-2025 artfynd.xlsx", "A 33011-2025")</f>
        <v/>
      </c>
      <c r="T136">
        <f>HYPERLINK("https://klasma.github.io/Logging_0980/kartor/A 33011-2025 karta.png", "A 33011-2025")</f>
        <v/>
      </c>
      <c r="V136">
        <f>HYPERLINK("https://klasma.github.io/Logging_0980/klagomål/A 33011-2025 FSC-klagomål.docx", "A 33011-2025")</f>
        <v/>
      </c>
      <c r="W136">
        <f>HYPERLINK("https://klasma.github.io/Logging_0980/klagomålsmail/A 33011-2025 FSC-klagomål mail.docx", "A 33011-2025")</f>
        <v/>
      </c>
      <c r="X136">
        <f>HYPERLINK("https://klasma.github.io/Logging_0980/tillsyn/A 33011-2025 tillsynsbegäran.docx", "A 33011-2025")</f>
        <v/>
      </c>
      <c r="Y136">
        <f>HYPERLINK("https://klasma.github.io/Logging_0980/tillsynsmail/A 33011-2025 tillsynsbegäran mail.docx", "A 33011-2025")</f>
        <v/>
      </c>
      <c r="Z136">
        <f>HYPERLINK("https://klasma.github.io/Logging_0980/fåglar/A 33011-2025 prioriterade fågelarter.docx", "A 33011-2025")</f>
        <v/>
      </c>
    </row>
    <row r="137" ht="15" customHeight="1">
      <c r="A137" t="inlineStr">
        <is>
          <t>A 62760-2025</t>
        </is>
      </c>
      <c r="B137" s="1" t="n">
        <v>46008</v>
      </c>
      <c r="C137" s="1" t="n">
        <v>46197</v>
      </c>
      <c r="D137" t="inlineStr">
        <is>
          <t>GOTLANDS LÄN</t>
        </is>
      </c>
      <c r="E137" t="inlineStr">
        <is>
          <t>GOTLAND</t>
        </is>
      </c>
      <c r="F137" t="inlineStr">
        <is>
          <t>Övriga Aktiebolag</t>
        </is>
      </c>
      <c r="G137" t="n">
        <v>4.6</v>
      </c>
      <c r="H137" t="n">
        <v>1</v>
      </c>
      <c r="I137" t="n">
        <v>1</v>
      </c>
      <c r="J137" t="n">
        <v>1</v>
      </c>
      <c r="K137" t="n">
        <v>0</v>
      </c>
      <c r="L137" t="n">
        <v>0</v>
      </c>
      <c r="M137" t="n">
        <v>0</v>
      </c>
      <c r="N137" t="n">
        <v>0</v>
      </c>
      <c r="O137" t="n">
        <v>1</v>
      </c>
      <c r="P137" t="n">
        <v>0</v>
      </c>
      <c r="Q137" t="n">
        <v>2</v>
      </c>
      <c r="R137" s="2" t="inlineStr">
        <is>
          <t>Vårärt
Nästrot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63162-2025</t>
        </is>
      </c>
      <c r="B138" s="1" t="n">
        <v>46010</v>
      </c>
      <c r="C138" s="1" t="n">
        <v>46197</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11708-2026</t>
        </is>
      </c>
      <c r="B139" s="1" t="n">
        <v>46084</v>
      </c>
      <c r="C139" s="1" t="n">
        <v>46197</v>
      </c>
      <c r="D139" t="inlineStr">
        <is>
          <t>GOTLANDS LÄN</t>
        </is>
      </c>
      <c r="E139" t="inlineStr">
        <is>
          <t>GOTLAND</t>
        </is>
      </c>
      <c r="G139" t="n">
        <v>8.4</v>
      </c>
      <c r="H139" t="n">
        <v>1</v>
      </c>
      <c r="I139" t="n">
        <v>0</v>
      </c>
      <c r="J139" t="n">
        <v>0</v>
      </c>
      <c r="K139" t="n">
        <v>1</v>
      </c>
      <c r="L139" t="n">
        <v>0</v>
      </c>
      <c r="M139" t="n">
        <v>0</v>
      </c>
      <c r="N139" t="n">
        <v>0</v>
      </c>
      <c r="O139" t="n">
        <v>1</v>
      </c>
      <c r="P139" t="n">
        <v>1</v>
      </c>
      <c r="Q139" t="n">
        <v>2</v>
      </c>
      <c r="R139" s="2" t="inlineStr">
        <is>
          <t>Toppjungfrulin
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1010-2024</t>
        </is>
      </c>
      <c r="B140" s="1" t="n">
        <v>45301</v>
      </c>
      <c r="C140" s="1" t="n">
        <v>46197</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27589-2023</t>
        </is>
      </c>
      <c r="B141" s="1" t="n">
        <v>45097</v>
      </c>
      <c r="C141" s="1" t="n">
        <v>46197</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46197</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883-2025</t>
        </is>
      </c>
      <c r="B143" s="1" t="n">
        <v>45665</v>
      </c>
      <c r="C143" s="1" t="n">
        <v>46197</v>
      </c>
      <c r="D143" t="inlineStr">
        <is>
          <t>GOTLANDS LÄN</t>
        </is>
      </c>
      <c r="E143" t="inlineStr">
        <is>
          <t>GOTLAND</t>
        </is>
      </c>
      <c r="G143" t="n">
        <v>1.3</v>
      </c>
      <c r="H143" t="n">
        <v>0</v>
      </c>
      <c r="I143" t="n">
        <v>2</v>
      </c>
      <c r="J143" t="n">
        <v>0</v>
      </c>
      <c r="K143" t="n">
        <v>0</v>
      </c>
      <c r="L143" t="n">
        <v>0</v>
      </c>
      <c r="M143" t="n">
        <v>0</v>
      </c>
      <c r="N143" t="n">
        <v>0</v>
      </c>
      <c r="O143" t="n">
        <v>0</v>
      </c>
      <c r="P143" t="n">
        <v>0</v>
      </c>
      <c r="Q143" t="n">
        <v>2</v>
      </c>
      <c r="R143" s="2" t="inlineStr">
        <is>
          <t>Axag
Kärrlilja</t>
        </is>
      </c>
      <c r="S143">
        <f>HYPERLINK("https://klasma.github.io/Logging_0980/artfynd/A 883-2025 artfynd.xlsx", "A 883-2025")</f>
        <v/>
      </c>
      <c r="T143">
        <f>HYPERLINK("https://klasma.github.io/Logging_0980/kartor/A 883-2025 karta.png", "A 883-2025")</f>
        <v/>
      </c>
      <c r="V143">
        <f>HYPERLINK("https://klasma.github.io/Logging_0980/klagomål/A 883-2025 FSC-klagomål.docx", "A 883-2025")</f>
        <v/>
      </c>
      <c r="W143">
        <f>HYPERLINK("https://klasma.github.io/Logging_0980/klagomålsmail/A 883-2025 FSC-klagomål mail.docx", "A 883-2025")</f>
        <v/>
      </c>
      <c r="X143">
        <f>HYPERLINK("https://klasma.github.io/Logging_0980/tillsyn/A 883-2025 tillsynsbegäran.docx", "A 883-2025")</f>
        <v/>
      </c>
      <c r="Y143">
        <f>HYPERLINK("https://klasma.github.io/Logging_0980/tillsynsmail/A 883-2025 tillsynsbegäran mail.docx", "A 883-2025")</f>
        <v/>
      </c>
    </row>
    <row r="144" ht="15" customHeight="1">
      <c r="A144" t="inlineStr">
        <is>
          <t>A 7070-2022</t>
        </is>
      </c>
      <c r="B144" s="1" t="n">
        <v>44603</v>
      </c>
      <c r="C144" s="1" t="n">
        <v>46197</v>
      </c>
      <c r="D144" t="inlineStr">
        <is>
          <t>GOTLANDS LÄN</t>
        </is>
      </c>
      <c r="E144" t="inlineStr">
        <is>
          <t>GOTLAND</t>
        </is>
      </c>
      <c r="G144" t="n">
        <v>2.6</v>
      </c>
      <c r="H144" t="n">
        <v>0</v>
      </c>
      <c r="I144" t="n">
        <v>1</v>
      </c>
      <c r="J144" t="n">
        <v>1</v>
      </c>
      <c r="K144" t="n">
        <v>0</v>
      </c>
      <c r="L144" t="n">
        <v>0</v>
      </c>
      <c r="M144" t="n">
        <v>0</v>
      </c>
      <c r="N144" t="n">
        <v>0</v>
      </c>
      <c r="O144" t="n">
        <v>1</v>
      </c>
      <c r="P144" t="n">
        <v>0</v>
      </c>
      <c r="Q144" t="n">
        <v>2</v>
      </c>
      <c r="R144" s="2" t="inlineStr">
        <is>
          <t>Kattfotslav
Blåmossa</t>
        </is>
      </c>
      <c r="S144">
        <f>HYPERLINK("https://klasma.github.io/Logging_0980/artfynd/A 7070-2022 artfynd.xlsx", "A 7070-2022")</f>
        <v/>
      </c>
      <c r="T144">
        <f>HYPERLINK("https://klasma.github.io/Logging_0980/kartor/A 7070-2022 karta.png", "A 7070-2022")</f>
        <v/>
      </c>
      <c r="V144">
        <f>HYPERLINK("https://klasma.github.io/Logging_0980/klagomål/A 7070-2022 FSC-klagomål.docx", "A 7070-2022")</f>
        <v/>
      </c>
      <c r="W144">
        <f>HYPERLINK("https://klasma.github.io/Logging_0980/klagomålsmail/A 7070-2022 FSC-klagomål mail.docx", "A 7070-2022")</f>
        <v/>
      </c>
      <c r="X144">
        <f>HYPERLINK("https://klasma.github.io/Logging_0980/tillsyn/A 7070-2022 tillsynsbegäran.docx", "A 7070-2022")</f>
        <v/>
      </c>
      <c r="Y144">
        <f>HYPERLINK("https://klasma.github.io/Logging_0980/tillsynsmail/A 7070-2022 tillsynsbegäran mail.docx", "A 7070-2022")</f>
        <v/>
      </c>
    </row>
    <row r="145" ht="15" customHeight="1">
      <c r="A145" t="inlineStr">
        <is>
          <t>A 12914-2025</t>
        </is>
      </c>
      <c r="B145" s="1" t="n">
        <v>45733</v>
      </c>
      <c r="C145" s="1" t="n">
        <v>46197</v>
      </c>
      <c r="D145" t="inlineStr">
        <is>
          <t>GOTLANDS LÄN</t>
        </is>
      </c>
      <c r="E145" t="inlineStr">
        <is>
          <t>GOTLAND</t>
        </is>
      </c>
      <c r="G145" t="n">
        <v>24.8</v>
      </c>
      <c r="H145" t="n">
        <v>2</v>
      </c>
      <c r="I145" t="n">
        <v>1</v>
      </c>
      <c r="J145" t="n">
        <v>0</v>
      </c>
      <c r="K145" t="n">
        <v>0</v>
      </c>
      <c r="L145" t="n">
        <v>0</v>
      </c>
      <c r="M145" t="n">
        <v>0</v>
      </c>
      <c r="N145" t="n">
        <v>0</v>
      </c>
      <c r="O145" t="n">
        <v>0</v>
      </c>
      <c r="P145" t="n">
        <v>0</v>
      </c>
      <c r="Q145" t="n">
        <v>2</v>
      </c>
      <c r="R145" s="2" t="inlineStr">
        <is>
          <t>Purpurknipprot
Brudsporre</t>
        </is>
      </c>
      <c r="S145">
        <f>HYPERLINK("https://klasma.github.io/Logging_0980/artfynd/A 12914-2025 artfynd.xlsx", "A 12914-2025")</f>
        <v/>
      </c>
      <c r="T145">
        <f>HYPERLINK("https://klasma.github.io/Logging_0980/kartor/A 12914-2025 karta.png", "A 12914-2025")</f>
        <v/>
      </c>
      <c r="V145">
        <f>HYPERLINK("https://klasma.github.io/Logging_0980/klagomål/A 12914-2025 FSC-klagomål.docx", "A 12914-2025")</f>
        <v/>
      </c>
      <c r="W145">
        <f>HYPERLINK("https://klasma.github.io/Logging_0980/klagomålsmail/A 12914-2025 FSC-klagomål mail.docx", "A 12914-2025")</f>
        <v/>
      </c>
      <c r="X145">
        <f>HYPERLINK("https://klasma.github.io/Logging_0980/tillsyn/A 12914-2025 tillsynsbegäran.docx", "A 12914-2025")</f>
        <v/>
      </c>
      <c r="Y145">
        <f>HYPERLINK("https://klasma.github.io/Logging_0980/tillsynsmail/A 12914-2025 tillsynsbegäran mail.docx", "A 12914-2025")</f>
        <v/>
      </c>
    </row>
    <row r="146" ht="15" customHeight="1">
      <c r="A146" t="inlineStr">
        <is>
          <t>A 28261-2024</t>
        </is>
      </c>
      <c r="B146" s="1" t="n">
        <v>45477</v>
      </c>
      <c r="C146" s="1" t="n">
        <v>46197</v>
      </c>
      <c r="D146" t="inlineStr">
        <is>
          <t>GOTLANDS LÄN</t>
        </is>
      </c>
      <c r="E146" t="inlineStr">
        <is>
          <t>GOTLAND</t>
        </is>
      </c>
      <c r="G146" t="n">
        <v>22.8</v>
      </c>
      <c r="H146" t="n">
        <v>0</v>
      </c>
      <c r="I146" t="n">
        <v>0</v>
      </c>
      <c r="J146" t="n">
        <v>2</v>
      </c>
      <c r="K146" t="n">
        <v>0</v>
      </c>
      <c r="L146" t="n">
        <v>0</v>
      </c>
      <c r="M146" t="n">
        <v>0</v>
      </c>
      <c r="N146" t="n">
        <v>0</v>
      </c>
      <c r="O146" t="n">
        <v>2</v>
      </c>
      <c r="P146" t="n">
        <v>0</v>
      </c>
      <c r="Q146" t="n">
        <v>2</v>
      </c>
      <c r="R146" s="2" t="inlineStr">
        <is>
          <t>Grådådra
Åkerkulla</t>
        </is>
      </c>
      <c r="S146">
        <f>HYPERLINK("https://klasma.github.io/Logging_0980/artfynd/A 28261-2024 artfynd.xlsx", "A 28261-2024")</f>
        <v/>
      </c>
      <c r="T146">
        <f>HYPERLINK("https://klasma.github.io/Logging_0980/kartor/A 28261-2024 karta.png", "A 28261-2024")</f>
        <v/>
      </c>
      <c r="V146">
        <f>HYPERLINK("https://klasma.github.io/Logging_0980/klagomål/A 28261-2024 FSC-klagomål.docx", "A 28261-2024")</f>
        <v/>
      </c>
      <c r="W146">
        <f>HYPERLINK("https://klasma.github.io/Logging_0980/klagomålsmail/A 28261-2024 FSC-klagomål mail.docx", "A 28261-2024")</f>
        <v/>
      </c>
      <c r="X146">
        <f>HYPERLINK("https://klasma.github.io/Logging_0980/tillsyn/A 28261-2024 tillsynsbegäran.docx", "A 28261-2024")</f>
        <v/>
      </c>
      <c r="Y146">
        <f>HYPERLINK("https://klasma.github.io/Logging_0980/tillsynsmail/A 28261-2024 tillsynsbegäran mail.docx", "A 28261-2024")</f>
        <v/>
      </c>
    </row>
    <row r="147" ht="15" customHeight="1">
      <c r="A147" t="inlineStr">
        <is>
          <t>A 49411-2023</t>
        </is>
      </c>
      <c r="B147" s="1" t="n">
        <v>45205</v>
      </c>
      <c r="C147" s="1" t="n">
        <v>46197</v>
      </c>
      <c r="D147" t="inlineStr">
        <is>
          <t>GOTLANDS LÄN</t>
        </is>
      </c>
      <c r="E147" t="inlineStr">
        <is>
          <t>GOTLAND</t>
        </is>
      </c>
      <c r="G147" t="n">
        <v>2</v>
      </c>
      <c r="H147" t="n">
        <v>1</v>
      </c>
      <c r="I147" t="n">
        <v>1</v>
      </c>
      <c r="J147" t="n">
        <v>1</v>
      </c>
      <c r="K147" t="n">
        <v>0</v>
      </c>
      <c r="L147" t="n">
        <v>0</v>
      </c>
      <c r="M147" t="n">
        <v>0</v>
      </c>
      <c r="N147" t="n">
        <v>0</v>
      </c>
      <c r="O147" t="n">
        <v>1</v>
      </c>
      <c r="P147" t="n">
        <v>0</v>
      </c>
      <c r="Q147" t="n">
        <v>2</v>
      </c>
      <c r="R147" s="2" t="inlineStr">
        <is>
          <t>Svinrot
Tvåblad</t>
        </is>
      </c>
      <c r="S147">
        <f>HYPERLINK("https://klasma.github.io/Logging_0980/artfynd/A 49411-2023 artfynd.xlsx", "A 49411-2023")</f>
        <v/>
      </c>
      <c r="T147">
        <f>HYPERLINK("https://klasma.github.io/Logging_0980/kartor/A 49411-2023 karta.png", "A 49411-2023")</f>
        <v/>
      </c>
      <c r="V147">
        <f>HYPERLINK("https://klasma.github.io/Logging_0980/klagomål/A 49411-2023 FSC-klagomål.docx", "A 49411-2023")</f>
        <v/>
      </c>
      <c r="W147">
        <f>HYPERLINK("https://klasma.github.io/Logging_0980/klagomålsmail/A 49411-2023 FSC-klagomål mail.docx", "A 49411-2023")</f>
        <v/>
      </c>
      <c r="X147">
        <f>HYPERLINK("https://klasma.github.io/Logging_0980/tillsyn/A 49411-2023 tillsynsbegäran.docx", "A 49411-2023")</f>
        <v/>
      </c>
      <c r="Y147">
        <f>HYPERLINK("https://klasma.github.io/Logging_0980/tillsynsmail/A 49411-2023 tillsynsbegäran mail.docx", "A 49411-2023")</f>
        <v/>
      </c>
    </row>
    <row r="148" ht="15" customHeight="1">
      <c r="A148" t="inlineStr">
        <is>
          <t>A 27621-2026</t>
        </is>
      </c>
      <c r="B148" s="1" t="n">
        <v>46190</v>
      </c>
      <c r="C148" s="1" t="n">
        <v>46197</v>
      </c>
      <c r="D148" t="inlineStr">
        <is>
          <t>GOTLANDS LÄN</t>
        </is>
      </c>
      <c r="E148" t="inlineStr">
        <is>
          <t>GOTLAND</t>
        </is>
      </c>
      <c r="G148" t="n">
        <v>6</v>
      </c>
      <c r="H148" t="n">
        <v>2</v>
      </c>
      <c r="I148" t="n">
        <v>0</v>
      </c>
      <c r="J148" t="n">
        <v>1</v>
      </c>
      <c r="K148" t="n">
        <v>0</v>
      </c>
      <c r="L148" t="n">
        <v>0</v>
      </c>
      <c r="M148" t="n">
        <v>0</v>
      </c>
      <c r="N148" t="n">
        <v>0</v>
      </c>
      <c r="O148" t="n">
        <v>1</v>
      </c>
      <c r="P148" t="n">
        <v>0</v>
      </c>
      <c r="Q148" t="n">
        <v>2</v>
      </c>
      <c r="R148" s="2" t="inlineStr">
        <is>
          <t>Adam och eva
Spillkråka</t>
        </is>
      </c>
      <c r="S148">
        <f>HYPERLINK("https://klasma.github.io/Logging_0980/artfynd/A 27621-2026 artfynd.xlsx", "A 27621-2026")</f>
        <v/>
      </c>
      <c r="T148">
        <f>HYPERLINK("https://klasma.github.io/Logging_0980/kartor/A 27621-2026 karta.png", "A 27621-2026")</f>
        <v/>
      </c>
      <c r="V148">
        <f>HYPERLINK("https://klasma.github.io/Logging_0980/klagomål/A 27621-2026 FSC-klagomål.docx", "A 27621-2026")</f>
        <v/>
      </c>
      <c r="W148">
        <f>HYPERLINK("https://klasma.github.io/Logging_0980/klagomålsmail/A 27621-2026 FSC-klagomål mail.docx", "A 27621-2026")</f>
        <v/>
      </c>
      <c r="X148">
        <f>HYPERLINK("https://klasma.github.io/Logging_0980/tillsyn/A 27621-2026 tillsynsbegäran.docx", "A 27621-2026")</f>
        <v/>
      </c>
      <c r="Y148">
        <f>HYPERLINK("https://klasma.github.io/Logging_0980/tillsynsmail/A 27621-2026 tillsynsbegäran mail.docx", "A 27621-2026")</f>
        <v/>
      </c>
      <c r="Z148">
        <f>HYPERLINK("https://klasma.github.io/Logging_0980/fåglar/A 27621-2026 prioriterade fågelarter.docx", "A 27621-2026")</f>
        <v/>
      </c>
    </row>
    <row r="149" ht="15" customHeight="1">
      <c r="A149" t="inlineStr">
        <is>
          <t>A 12209-2024</t>
        </is>
      </c>
      <c r="B149" s="1" t="n">
        <v>45378</v>
      </c>
      <c r="C149" s="1" t="n">
        <v>46197</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46197</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46197</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46197</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46197</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46197</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46197</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10218-2025</t>
        </is>
      </c>
      <c r="B156" s="1" t="n">
        <v>45720</v>
      </c>
      <c r="C156" s="1" t="n">
        <v>46197</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v>
      </c>
      <c r="C157" s="1" t="n">
        <v>46197</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5751-2024</t>
        </is>
      </c>
      <c r="B158" s="1" t="n">
        <v>45335</v>
      </c>
      <c r="C158" s="1" t="n">
        <v>46197</v>
      </c>
      <c r="D158" t="inlineStr">
        <is>
          <t>GOTLANDS LÄN</t>
        </is>
      </c>
      <c r="E158" t="inlineStr">
        <is>
          <t>GOTLAND</t>
        </is>
      </c>
      <c r="G158" t="n">
        <v>4.2</v>
      </c>
      <c r="H158" t="n">
        <v>0</v>
      </c>
      <c r="I158" t="n">
        <v>0</v>
      </c>
      <c r="J158" t="n">
        <v>1</v>
      </c>
      <c r="K158" t="n">
        <v>0</v>
      </c>
      <c r="L158" t="n">
        <v>0</v>
      </c>
      <c r="M158" t="n">
        <v>0</v>
      </c>
      <c r="N158" t="n">
        <v>0</v>
      </c>
      <c r="O158" t="n">
        <v>1</v>
      </c>
      <c r="P158" t="n">
        <v>0</v>
      </c>
      <c r="Q158" t="n">
        <v>1</v>
      </c>
      <c r="R158" s="2" t="inlineStr">
        <is>
          <t>Svinrot</t>
        </is>
      </c>
      <c r="S158">
        <f>HYPERLINK("https://klasma.github.io/Logging_0980/artfynd/A 5751-2024 artfynd.xlsx", "A 5751-2024")</f>
        <v/>
      </c>
      <c r="T158">
        <f>HYPERLINK("https://klasma.github.io/Logging_0980/kartor/A 5751-2024 karta.png", "A 5751-2024")</f>
        <v/>
      </c>
      <c r="V158">
        <f>HYPERLINK("https://klasma.github.io/Logging_0980/klagomål/A 5751-2024 FSC-klagomål.docx", "A 5751-2024")</f>
        <v/>
      </c>
      <c r="W158">
        <f>HYPERLINK("https://klasma.github.io/Logging_0980/klagomålsmail/A 5751-2024 FSC-klagomål mail.docx", "A 5751-2024")</f>
        <v/>
      </c>
      <c r="X158">
        <f>HYPERLINK("https://klasma.github.io/Logging_0980/tillsyn/A 5751-2024 tillsynsbegäran.docx", "A 5751-2024")</f>
        <v/>
      </c>
      <c r="Y158">
        <f>HYPERLINK("https://klasma.github.io/Logging_0980/tillsynsmail/A 5751-2024 tillsynsbegäran mail.docx", "A 5751-2024")</f>
        <v/>
      </c>
    </row>
    <row r="159" ht="15" customHeight="1">
      <c r="A159" t="inlineStr">
        <is>
          <t>A 46189-2022</t>
        </is>
      </c>
      <c r="B159" s="1" t="n">
        <v>44847</v>
      </c>
      <c r="C159" s="1" t="n">
        <v>46197</v>
      </c>
      <c r="D159" t="inlineStr">
        <is>
          <t>GOTLANDS LÄN</t>
        </is>
      </c>
      <c r="E159" t="inlineStr">
        <is>
          <t>GOTLAND</t>
        </is>
      </c>
      <c r="G159" t="n">
        <v>0.4</v>
      </c>
      <c r="H159" t="n">
        <v>0</v>
      </c>
      <c r="I159" t="n">
        <v>0</v>
      </c>
      <c r="J159" t="n">
        <v>1</v>
      </c>
      <c r="K159" t="n">
        <v>0</v>
      </c>
      <c r="L159" t="n">
        <v>0</v>
      </c>
      <c r="M159" t="n">
        <v>0</v>
      </c>
      <c r="N159" t="n">
        <v>0</v>
      </c>
      <c r="O159" t="n">
        <v>1</v>
      </c>
      <c r="P159" t="n">
        <v>0</v>
      </c>
      <c r="Q159" t="n">
        <v>1</v>
      </c>
      <c r="R159" s="2" t="inlineStr">
        <is>
          <t>Stjälkröksvamp</t>
        </is>
      </c>
      <c r="S159">
        <f>HYPERLINK("https://klasma.github.io/Logging_0980/artfynd/A 46189-2022 artfynd.xlsx", "A 46189-2022")</f>
        <v/>
      </c>
      <c r="T159">
        <f>HYPERLINK("https://klasma.github.io/Logging_0980/kartor/A 46189-2022 karta.png", "A 46189-2022")</f>
        <v/>
      </c>
      <c r="V159">
        <f>HYPERLINK("https://klasma.github.io/Logging_0980/klagomål/A 46189-2022 FSC-klagomål.docx", "A 46189-2022")</f>
        <v/>
      </c>
      <c r="W159">
        <f>HYPERLINK("https://klasma.github.io/Logging_0980/klagomålsmail/A 46189-2022 FSC-klagomål mail.docx", "A 46189-2022")</f>
        <v/>
      </c>
      <c r="X159">
        <f>HYPERLINK("https://klasma.github.io/Logging_0980/tillsyn/A 46189-2022 tillsynsbegäran.docx", "A 46189-2022")</f>
        <v/>
      </c>
      <c r="Y159">
        <f>HYPERLINK("https://klasma.github.io/Logging_0980/tillsynsmail/A 46189-2022 tillsynsbegäran mail.docx", "A 46189-2022")</f>
        <v/>
      </c>
    </row>
    <row r="160" ht="15" customHeight="1">
      <c r="A160" t="inlineStr">
        <is>
          <t>A 27593-2023</t>
        </is>
      </c>
      <c r="B160" s="1" t="n">
        <v>45097</v>
      </c>
      <c r="C160" s="1" t="n">
        <v>46197</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25977-2024</t>
        </is>
      </c>
      <c r="B161" s="1" t="n">
        <v>45467</v>
      </c>
      <c r="C161" s="1" t="n">
        <v>46197</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6739-2025</t>
        </is>
      </c>
      <c r="B162" s="1" t="n">
        <v>45700</v>
      </c>
      <c r="C162" s="1" t="n">
        <v>46197</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4568-2025</t>
        </is>
      </c>
      <c r="B163" s="1" t="n">
        <v>45687</v>
      </c>
      <c r="C163" s="1" t="n">
        <v>46197</v>
      </c>
      <c r="D163" t="inlineStr">
        <is>
          <t>GOTLANDS LÄN</t>
        </is>
      </c>
      <c r="E163" t="inlineStr">
        <is>
          <t>GOTLAND</t>
        </is>
      </c>
      <c r="G163" t="n">
        <v>1.9</v>
      </c>
      <c r="H163" t="n">
        <v>0</v>
      </c>
      <c r="I163" t="n">
        <v>0</v>
      </c>
      <c r="J163" t="n">
        <v>1</v>
      </c>
      <c r="K163" t="n">
        <v>0</v>
      </c>
      <c r="L163" t="n">
        <v>0</v>
      </c>
      <c r="M163" t="n">
        <v>0</v>
      </c>
      <c r="N163" t="n">
        <v>0</v>
      </c>
      <c r="O163" t="n">
        <v>1</v>
      </c>
      <c r="P163" t="n">
        <v>0</v>
      </c>
      <c r="Q163" t="n">
        <v>1</v>
      </c>
      <c r="R163" s="2" t="inlineStr">
        <is>
          <t>Backfryle</t>
        </is>
      </c>
      <c r="S163">
        <f>HYPERLINK("https://klasma.github.io/Logging_0980/artfynd/A 4568-2025 artfynd.xlsx", "A 4568-2025")</f>
        <v/>
      </c>
      <c r="T163">
        <f>HYPERLINK("https://klasma.github.io/Logging_0980/kartor/A 4568-2025 karta.png", "A 4568-2025")</f>
        <v/>
      </c>
      <c r="V163">
        <f>HYPERLINK("https://klasma.github.io/Logging_0980/klagomål/A 4568-2025 FSC-klagomål.docx", "A 4568-2025")</f>
        <v/>
      </c>
      <c r="W163">
        <f>HYPERLINK("https://klasma.github.io/Logging_0980/klagomålsmail/A 4568-2025 FSC-klagomål mail.docx", "A 4568-2025")</f>
        <v/>
      </c>
      <c r="X163">
        <f>HYPERLINK("https://klasma.github.io/Logging_0980/tillsyn/A 4568-2025 tillsynsbegäran.docx", "A 4568-2025")</f>
        <v/>
      </c>
      <c r="Y163">
        <f>HYPERLINK("https://klasma.github.io/Logging_0980/tillsynsmail/A 4568-2025 tillsynsbegäran mail.docx", "A 4568-2025")</f>
        <v/>
      </c>
    </row>
    <row r="164" ht="15" customHeight="1">
      <c r="A164" t="inlineStr">
        <is>
          <t>A 61796-2022</t>
        </is>
      </c>
      <c r="B164" s="1" t="n">
        <v>44917</v>
      </c>
      <c r="C164" s="1" t="n">
        <v>46197</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row>
    <row r="165" ht="15" customHeight="1">
      <c r="A165" t="inlineStr">
        <is>
          <t>A 35467-2021</t>
        </is>
      </c>
      <c r="B165" s="1" t="n">
        <v>44385</v>
      </c>
      <c r="C165" s="1" t="n">
        <v>46197</v>
      </c>
      <c r="D165" t="inlineStr">
        <is>
          <t>GOTLANDS LÄN</t>
        </is>
      </c>
      <c r="E165" t="inlineStr">
        <is>
          <t>GOTLAND</t>
        </is>
      </c>
      <c r="G165" t="n">
        <v>12.7</v>
      </c>
      <c r="H165" t="n">
        <v>0</v>
      </c>
      <c r="I165" t="n">
        <v>0</v>
      </c>
      <c r="J165" t="n">
        <v>1</v>
      </c>
      <c r="K165" t="n">
        <v>0</v>
      </c>
      <c r="L165" t="n">
        <v>0</v>
      </c>
      <c r="M165" t="n">
        <v>0</v>
      </c>
      <c r="N165" t="n">
        <v>0</v>
      </c>
      <c r="O165" t="n">
        <v>1</v>
      </c>
      <c r="P165" t="n">
        <v>0</v>
      </c>
      <c r="Q165" t="n">
        <v>1</v>
      </c>
      <c r="R165" s="2" t="inlineStr">
        <is>
          <t>Loppstarr</t>
        </is>
      </c>
      <c r="S165">
        <f>HYPERLINK("https://klasma.github.io/Logging_0980/artfynd/A 35467-2021 artfynd.xlsx", "A 35467-2021")</f>
        <v/>
      </c>
      <c r="T165">
        <f>HYPERLINK("https://klasma.github.io/Logging_0980/kartor/A 35467-2021 karta.png", "A 35467-2021")</f>
        <v/>
      </c>
      <c r="V165">
        <f>HYPERLINK("https://klasma.github.io/Logging_0980/klagomål/A 35467-2021 FSC-klagomål.docx", "A 35467-2021")</f>
        <v/>
      </c>
      <c r="W165">
        <f>HYPERLINK("https://klasma.github.io/Logging_0980/klagomålsmail/A 35467-2021 FSC-klagomål mail.docx", "A 35467-2021")</f>
        <v/>
      </c>
      <c r="X165">
        <f>HYPERLINK("https://klasma.github.io/Logging_0980/tillsyn/A 35467-2021 tillsynsbegäran.docx", "A 35467-2021")</f>
        <v/>
      </c>
      <c r="Y165">
        <f>HYPERLINK("https://klasma.github.io/Logging_0980/tillsynsmail/A 35467-2021 tillsynsbegäran mail.docx", "A 35467-2021")</f>
        <v/>
      </c>
    </row>
    <row r="166" ht="15" customHeight="1">
      <c r="A166" t="inlineStr">
        <is>
          <t>A 34141-2024</t>
        </is>
      </c>
      <c r="B166" s="1" t="n">
        <v>45524</v>
      </c>
      <c r="C166" s="1" t="n">
        <v>46197</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9862-2024</t>
        </is>
      </c>
      <c r="B167" s="1" t="n">
        <v>45363</v>
      </c>
      <c r="C167" s="1" t="n">
        <v>46197</v>
      </c>
      <c r="D167" t="inlineStr">
        <is>
          <t>GOTLANDS LÄN</t>
        </is>
      </c>
      <c r="E167" t="inlineStr">
        <is>
          <t>GOTLAND</t>
        </is>
      </c>
      <c r="G167" t="n">
        <v>3.5</v>
      </c>
      <c r="H167" t="n">
        <v>1</v>
      </c>
      <c r="I167" t="n">
        <v>0</v>
      </c>
      <c r="J167" t="n">
        <v>0</v>
      </c>
      <c r="K167" t="n">
        <v>0</v>
      </c>
      <c r="L167" t="n">
        <v>0</v>
      </c>
      <c r="M167" t="n">
        <v>0</v>
      </c>
      <c r="N167" t="n">
        <v>0</v>
      </c>
      <c r="O167" t="n">
        <v>0</v>
      </c>
      <c r="P167" t="n">
        <v>0</v>
      </c>
      <c r="Q167" t="n">
        <v>1</v>
      </c>
      <c r="R167" s="2" t="inlineStr">
        <is>
          <t>Nattviol</t>
        </is>
      </c>
      <c r="S167">
        <f>HYPERLINK("https://klasma.github.io/Logging_0980/artfynd/A 9862-2024 artfynd.xlsx", "A 9862-2024")</f>
        <v/>
      </c>
      <c r="T167">
        <f>HYPERLINK("https://klasma.github.io/Logging_0980/kartor/A 9862-2024 karta.png", "A 9862-2024")</f>
        <v/>
      </c>
      <c r="V167">
        <f>HYPERLINK("https://klasma.github.io/Logging_0980/klagomål/A 9862-2024 FSC-klagomål.docx", "A 9862-2024")</f>
        <v/>
      </c>
      <c r="W167">
        <f>HYPERLINK("https://klasma.github.io/Logging_0980/klagomålsmail/A 9862-2024 FSC-klagomål mail.docx", "A 9862-2024")</f>
        <v/>
      </c>
      <c r="X167">
        <f>HYPERLINK("https://klasma.github.io/Logging_0980/tillsyn/A 9862-2024 tillsynsbegäran.docx", "A 9862-2024")</f>
        <v/>
      </c>
      <c r="Y167">
        <f>HYPERLINK("https://klasma.github.io/Logging_0980/tillsynsmail/A 9862-2024 tillsynsbegäran mail.docx", "A 9862-2024")</f>
        <v/>
      </c>
    </row>
    <row r="168" ht="15" customHeight="1">
      <c r="A168" t="inlineStr">
        <is>
          <t>A 15637-2024</t>
        </is>
      </c>
      <c r="B168" s="1" t="n">
        <v>45403</v>
      </c>
      <c r="C168" s="1" t="n">
        <v>46197</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30104-2025</t>
        </is>
      </c>
      <c r="B169" s="1" t="n">
        <v>45826</v>
      </c>
      <c r="C169" s="1" t="n">
        <v>46197</v>
      </c>
      <c r="D169" t="inlineStr">
        <is>
          <t>GOTLANDS LÄN</t>
        </is>
      </c>
      <c r="E169" t="inlineStr">
        <is>
          <t>GOTLAND</t>
        </is>
      </c>
      <c r="G169" t="n">
        <v>15.4</v>
      </c>
      <c r="H169" t="n">
        <v>0</v>
      </c>
      <c r="I169" t="n">
        <v>1</v>
      </c>
      <c r="J169" t="n">
        <v>0</v>
      </c>
      <c r="K169" t="n">
        <v>0</v>
      </c>
      <c r="L169" t="n">
        <v>0</v>
      </c>
      <c r="M169" t="n">
        <v>0</v>
      </c>
      <c r="N169" t="n">
        <v>0</v>
      </c>
      <c r="O169" t="n">
        <v>0</v>
      </c>
      <c r="P169" t="n">
        <v>0</v>
      </c>
      <c r="Q169" t="n">
        <v>1</v>
      </c>
      <c r="R169" s="2" t="inlineStr">
        <is>
          <t>Blåmossa</t>
        </is>
      </c>
      <c r="S169">
        <f>HYPERLINK("https://klasma.github.io/Logging_0980/artfynd/A 30104-2025 artfynd.xlsx", "A 30104-2025")</f>
        <v/>
      </c>
      <c r="T169">
        <f>HYPERLINK("https://klasma.github.io/Logging_0980/kartor/A 30104-2025 karta.png", "A 30104-2025")</f>
        <v/>
      </c>
      <c r="V169">
        <f>HYPERLINK("https://klasma.github.io/Logging_0980/klagomål/A 30104-2025 FSC-klagomål.docx", "A 30104-2025")</f>
        <v/>
      </c>
      <c r="W169">
        <f>HYPERLINK("https://klasma.github.io/Logging_0980/klagomålsmail/A 30104-2025 FSC-klagomål mail.docx", "A 30104-2025")</f>
        <v/>
      </c>
      <c r="X169">
        <f>HYPERLINK("https://klasma.github.io/Logging_0980/tillsyn/A 30104-2025 tillsynsbegäran.docx", "A 30104-2025")</f>
        <v/>
      </c>
      <c r="Y169">
        <f>HYPERLINK("https://klasma.github.io/Logging_0980/tillsynsmail/A 30104-2025 tillsynsbegäran mail.docx", "A 30104-2025")</f>
        <v/>
      </c>
    </row>
    <row r="170" ht="15" customHeight="1">
      <c r="A170" t="inlineStr">
        <is>
          <t>A 7042-2023</t>
        </is>
      </c>
      <c r="B170" s="1" t="n">
        <v>44968</v>
      </c>
      <c r="C170" s="1" t="n">
        <v>46197</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46197</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30489-2025</t>
        </is>
      </c>
      <c r="B172" s="1" t="n">
        <v>45830</v>
      </c>
      <c r="C172" s="1" t="n">
        <v>46197</v>
      </c>
      <c r="D172" t="inlineStr">
        <is>
          <t>GOTLANDS LÄN</t>
        </is>
      </c>
      <c r="E172" t="inlineStr">
        <is>
          <t>GOTLAND</t>
        </is>
      </c>
      <c r="G172" t="n">
        <v>4.6</v>
      </c>
      <c r="H172" t="n">
        <v>0</v>
      </c>
      <c r="I172" t="n">
        <v>0</v>
      </c>
      <c r="J172" t="n">
        <v>1</v>
      </c>
      <c r="K172" t="n">
        <v>0</v>
      </c>
      <c r="L172" t="n">
        <v>0</v>
      </c>
      <c r="M172" t="n">
        <v>0</v>
      </c>
      <c r="N172" t="n">
        <v>0</v>
      </c>
      <c r="O172" t="n">
        <v>1</v>
      </c>
      <c r="P172" t="n">
        <v>0</v>
      </c>
      <c r="Q172" t="n">
        <v>1</v>
      </c>
      <c r="R172" s="2" t="inlineStr">
        <is>
          <t>Skarp dropptaggsvamp</t>
        </is>
      </c>
      <c r="S172">
        <f>HYPERLINK("https://klasma.github.io/Logging_0980/artfynd/A 30489-2025 artfynd.xlsx", "A 30489-2025")</f>
        <v/>
      </c>
      <c r="T172">
        <f>HYPERLINK("https://klasma.github.io/Logging_0980/kartor/A 30489-2025 karta.png", "A 30489-2025")</f>
        <v/>
      </c>
      <c r="V172">
        <f>HYPERLINK("https://klasma.github.io/Logging_0980/klagomål/A 30489-2025 FSC-klagomål.docx", "A 30489-2025")</f>
        <v/>
      </c>
      <c r="W172">
        <f>HYPERLINK("https://klasma.github.io/Logging_0980/klagomålsmail/A 30489-2025 FSC-klagomål mail.docx", "A 30489-2025")</f>
        <v/>
      </c>
      <c r="X172">
        <f>HYPERLINK("https://klasma.github.io/Logging_0980/tillsyn/A 30489-2025 tillsynsbegäran.docx", "A 30489-2025")</f>
        <v/>
      </c>
      <c r="Y172">
        <f>HYPERLINK("https://klasma.github.io/Logging_0980/tillsynsmail/A 30489-2025 tillsynsbegäran mail.docx", "A 30489-2025")</f>
        <v/>
      </c>
    </row>
    <row r="173" ht="15" customHeight="1">
      <c r="A173" t="inlineStr">
        <is>
          <t>A 10995-2023</t>
        </is>
      </c>
      <c r="B173" s="1" t="n">
        <v>44986</v>
      </c>
      <c r="C173" s="1" t="n">
        <v>46197</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62552-2022</t>
        </is>
      </c>
      <c r="B174" s="1" t="n">
        <v>44924</v>
      </c>
      <c r="C174" s="1" t="n">
        <v>46197</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44088-2022</t>
        </is>
      </c>
      <c r="B175" s="1" t="n">
        <v>44839</v>
      </c>
      <c r="C175" s="1" t="n">
        <v>46197</v>
      </c>
      <c r="D175" t="inlineStr">
        <is>
          <t>GOTLANDS LÄN</t>
        </is>
      </c>
      <c r="E175" t="inlineStr">
        <is>
          <t>GOTLAND</t>
        </is>
      </c>
      <c r="G175" t="n">
        <v>1.5</v>
      </c>
      <c r="H175" t="n">
        <v>0</v>
      </c>
      <c r="I175" t="n">
        <v>1</v>
      </c>
      <c r="J175" t="n">
        <v>0</v>
      </c>
      <c r="K175" t="n">
        <v>0</v>
      </c>
      <c r="L175" t="n">
        <v>0</v>
      </c>
      <c r="M175" t="n">
        <v>0</v>
      </c>
      <c r="N175" t="n">
        <v>0</v>
      </c>
      <c r="O175" t="n">
        <v>0</v>
      </c>
      <c r="P175" t="n">
        <v>0</v>
      </c>
      <c r="Q175" t="n">
        <v>1</v>
      </c>
      <c r="R175" s="2" t="inlineStr">
        <is>
          <t>Strävlosta</t>
        </is>
      </c>
      <c r="S175">
        <f>HYPERLINK("https://klasma.github.io/Logging_0980/artfynd/A 44088-2022 artfynd.xlsx", "A 44088-2022")</f>
        <v/>
      </c>
      <c r="T175">
        <f>HYPERLINK("https://klasma.github.io/Logging_0980/kartor/A 44088-2022 karta.png", "A 44088-2022")</f>
        <v/>
      </c>
      <c r="V175">
        <f>HYPERLINK("https://klasma.github.io/Logging_0980/klagomål/A 44088-2022 FSC-klagomål.docx", "A 44088-2022")</f>
        <v/>
      </c>
      <c r="W175">
        <f>HYPERLINK("https://klasma.github.io/Logging_0980/klagomålsmail/A 44088-2022 FSC-klagomål mail.docx", "A 44088-2022")</f>
        <v/>
      </c>
      <c r="X175">
        <f>HYPERLINK("https://klasma.github.io/Logging_0980/tillsyn/A 44088-2022 tillsynsbegäran.docx", "A 44088-2022")</f>
        <v/>
      </c>
      <c r="Y175">
        <f>HYPERLINK("https://klasma.github.io/Logging_0980/tillsynsmail/A 44088-2022 tillsynsbegäran mail.docx", "A 44088-2022")</f>
        <v/>
      </c>
    </row>
    <row r="176" ht="15" customHeight="1">
      <c r="A176" t="inlineStr">
        <is>
          <t>A 11982-2026</t>
        </is>
      </c>
      <c r="B176" s="1" t="n">
        <v>46085</v>
      </c>
      <c r="C176" s="1" t="n">
        <v>46197</v>
      </c>
      <c r="D176" t="inlineStr">
        <is>
          <t>GOTLANDS LÄN</t>
        </is>
      </c>
      <c r="E176" t="inlineStr">
        <is>
          <t>GOTLAND</t>
        </is>
      </c>
      <c r="G176" t="n">
        <v>2.2</v>
      </c>
      <c r="H176" t="n">
        <v>0</v>
      </c>
      <c r="I176" t="n">
        <v>0</v>
      </c>
      <c r="J176" t="n">
        <v>1</v>
      </c>
      <c r="K176" t="n">
        <v>0</v>
      </c>
      <c r="L176" t="n">
        <v>0</v>
      </c>
      <c r="M176" t="n">
        <v>0</v>
      </c>
      <c r="N176" t="n">
        <v>0</v>
      </c>
      <c r="O176" t="n">
        <v>1</v>
      </c>
      <c r="P176" t="n">
        <v>0</v>
      </c>
      <c r="Q176" t="n">
        <v>1</v>
      </c>
      <c r="R176" s="2" t="inlineStr">
        <is>
          <t>Småtörel</t>
        </is>
      </c>
      <c r="S176">
        <f>HYPERLINK("https://klasma.github.io/Logging_0980/artfynd/A 11982-2026 artfynd.xlsx", "A 11982-2026")</f>
        <v/>
      </c>
      <c r="T176">
        <f>HYPERLINK("https://klasma.github.io/Logging_0980/kartor/A 11982-2026 karta.png", "A 11982-2026")</f>
        <v/>
      </c>
      <c r="V176">
        <f>HYPERLINK("https://klasma.github.io/Logging_0980/klagomål/A 11982-2026 FSC-klagomål.docx", "A 11982-2026")</f>
        <v/>
      </c>
      <c r="W176">
        <f>HYPERLINK("https://klasma.github.io/Logging_0980/klagomålsmail/A 11982-2026 FSC-klagomål mail.docx", "A 11982-2026")</f>
        <v/>
      </c>
      <c r="X176">
        <f>HYPERLINK("https://klasma.github.io/Logging_0980/tillsyn/A 11982-2026 tillsynsbegäran.docx", "A 11982-2026")</f>
        <v/>
      </c>
      <c r="Y176">
        <f>HYPERLINK("https://klasma.github.io/Logging_0980/tillsynsmail/A 11982-2026 tillsynsbegäran mail.docx", "A 11982-2026")</f>
        <v/>
      </c>
    </row>
    <row r="177" ht="15" customHeight="1">
      <c r="A177" t="inlineStr">
        <is>
          <t>A 49693-2023</t>
        </is>
      </c>
      <c r="B177" s="1" t="n">
        <v>45212</v>
      </c>
      <c r="C177" s="1" t="n">
        <v>46197</v>
      </c>
      <c r="D177" t="inlineStr">
        <is>
          <t>GOTLANDS LÄN</t>
        </is>
      </c>
      <c r="E177" t="inlineStr">
        <is>
          <t>GOTLAND</t>
        </is>
      </c>
      <c r="G177" t="n">
        <v>2.4</v>
      </c>
      <c r="H177" t="n">
        <v>0</v>
      </c>
      <c r="I177" t="n">
        <v>0</v>
      </c>
      <c r="J177" t="n">
        <v>0</v>
      </c>
      <c r="K177" t="n">
        <v>1</v>
      </c>
      <c r="L177" t="n">
        <v>0</v>
      </c>
      <c r="M177" t="n">
        <v>0</v>
      </c>
      <c r="N177" t="n">
        <v>0</v>
      </c>
      <c r="O177" t="n">
        <v>1</v>
      </c>
      <c r="P177" t="n">
        <v>1</v>
      </c>
      <c r="Q177" t="n">
        <v>1</v>
      </c>
      <c r="R177" s="2" t="inlineStr">
        <is>
          <t>Vit taggsvamp</t>
        </is>
      </c>
      <c r="S177">
        <f>HYPERLINK("https://klasma.github.io/Logging_0980/artfynd/A 49693-2023 artfynd.xlsx", "A 49693-2023")</f>
        <v/>
      </c>
      <c r="T177">
        <f>HYPERLINK("https://klasma.github.io/Logging_0980/kartor/A 49693-2023 karta.png", "A 49693-2023")</f>
        <v/>
      </c>
      <c r="V177">
        <f>HYPERLINK("https://klasma.github.io/Logging_0980/klagomål/A 49693-2023 FSC-klagomål.docx", "A 49693-2023")</f>
        <v/>
      </c>
      <c r="W177">
        <f>HYPERLINK("https://klasma.github.io/Logging_0980/klagomålsmail/A 49693-2023 FSC-klagomål mail.docx", "A 49693-2023")</f>
        <v/>
      </c>
      <c r="X177">
        <f>HYPERLINK("https://klasma.github.io/Logging_0980/tillsyn/A 49693-2023 tillsynsbegäran.docx", "A 49693-2023")</f>
        <v/>
      </c>
      <c r="Y177">
        <f>HYPERLINK("https://klasma.github.io/Logging_0980/tillsynsmail/A 49693-2023 tillsynsbegäran mail.docx", "A 49693-2023")</f>
        <v/>
      </c>
    </row>
    <row r="178" ht="15" customHeight="1">
      <c r="A178" t="inlineStr">
        <is>
          <t>A 13482-2026</t>
        </is>
      </c>
      <c r="B178" s="1" t="n">
        <v>46094</v>
      </c>
      <c r="C178" s="1" t="n">
        <v>46197</v>
      </c>
      <c r="D178" t="inlineStr">
        <is>
          <t>GOTLANDS LÄN</t>
        </is>
      </c>
      <c r="E178" t="inlineStr">
        <is>
          <t>GOTLAND</t>
        </is>
      </c>
      <c r="G178" t="n">
        <v>1.7</v>
      </c>
      <c r="H178" t="n">
        <v>1</v>
      </c>
      <c r="I178" t="n">
        <v>0</v>
      </c>
      <c r="J178" t="n">
        <v>0</v>
      </c>
      <c r="K178" t="n">
        <v>0</v>
      </c>
      <c r="L178" t="n">
        <v>0</v>
      </c>
      <c r="M178" t="n">
        <v>0</v>
      </c>
      <c r="N178" t="n">
        <v>0</v>
      </c>
      <c r="O178" t="n">
        <v>0</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69112-2021</t>
        </is>
      </c>
      <c r="B179" s="1" t="n">
        <v>44530</v>
      </c>
      <c r="C179" s="1" t="n">
        <v>46197</v>
      </c>
      <c r="D179" t="inlineStr">
        <is>
          <t>GOTLANDS LÄN</t>
        </is>
      </c>
      <c r="E179" t="inlineStr">
        <is>
          <t>GOTLAND</t>
        </is>
      </c>
      <c r="G179" t="n">
        <v>4.2</v>
      </c>
      <c r="H179" t="n">
        <v>0</v>
      </c>
      <c r="I179" t="n">
        <v>0</v>
      </c>
      <c r="J179" t="n">
        <v>1</v>
      </c>
      <c r="K179" t="n">
        <v>0</v>
      </c>
      <c r="L179" t="n">
        <v>0</v>
      </c>
      <c r="M179" t="n">
        <v>0</v>
      </c>
      <c r="N179" t="n">
        <v>0</v>
      </c>
      <c r="O179" t="n">
        <v>1</v>
      </c>
      <c r="P179" t="n">
        <v>0</v>
      </c>
      <c r="Q179" t="n">
        <v>1</v>
      </c>
      <c r="R179" s="2" t="inlineStr">
        <is>
          <t>Sårläka</t>
        </is>
      </c>
      <c r="S179">
        <f>HYPERLINK("https://klasma.github.io/Logging_0980/artfynd/A 69112-2021 artfynd.xlsx", "A 69112-2021")</f>
        <v/>
      </c>
      <c r="T179">
        <f>HYPERLINK("https://klasma.github.io/Logging_0980/kartor/A 69112-2021 karta.png", "A 69112-2021")</f>
        <v/>
      </c>
      <c r="V179">
        <f>HYPERLINK("https://klasma.github.io/Logging_0980/klagomål/A 69112-2021 FSC-klagomål.docx", "A 69112-2021")</f>
        <v/>
      </c>
      <c r="W179">
        <f>HYPERLINK("https://klasma.github.io/Logging_0980/klagomålsmail/A 69112-2021 FSC-klagomål mail.docx", "A 69112-2021")</f>
        <v/>
      </c>
      <c r="X179">
        <f>HYPERLINK("https://klasma.github.io/Logging_0980/tillsyn/A 69112-2021 tillsynsbegäran.docx", "A 69112-2021")</f>
        <v/>
      </c>
      <c r="Y179">
        <f>HYPERLINK("https://klasma.github.io/Logging_0980/tillsynsmail/A 69112-2021 tillsynsbegäran mail.docx", "A 69112-2021")</f>
        <v/>
      </c>
    </row>
    <row r="180" ht="15" customHeight="1">
      <c r="A180" t="inlineStr">
        <is>
          <t>A 447-2023</t>
        </is>
      </c>
      <c r="B180" s="1" t="n">
        <v>44929</v>
      </c>
      <c r="C180" s="1" t="n">
        <v>46197</v>
      </c>
      <c r="D180" t="inlineStr">
        <is>
          <t>GOTLANDS LÄN</t>
        </is>
      </c>
      <c r="E180" t="inlineStr">
        <is>
          <t>GOTLAND</t>
        </is>
      </c>
      <c r="G180" t="n">
        <v>5.1</v>
      </c>
      <c r="H180" t="n">
        <v>0</v>
      </c>
      <c r="I180" t="n">
        <v>0</v>
      </c>
      <c r="J180" t="n">
        <v>1</v>
      </c>
      <c r="K180" t="n">
        <v>0</v>
      </c>
      <c r="L180" t="n">
        <v>0</v>
      </c>
      <c r="M180" t="n">
        <v>0</v>
      </c>
      <c r="N180" t="n">
        <v>0</v>
      </c>
      <c r="O180" t="n">
        <v>1</v>
      </c>
      <c r="P180" t="n">
        <v>0</v>
      </c>
      <c r="Q180" t="n">
        <v>1</v>
      </c>
      <c r="R180" s="2" t="inlineStr">
        <is>
          <t>Äggspindling</t>
        </is>
      </c>
      <c r="S180">
        <f>HYPERLINK("https://klasma.github.io/Logging_0980/artfynd/A 447-2023 artfynd.xlsx", "A 447-2023")</f>
        <v/>
      </c>
      <c r="T180">
        <f>HYPERLINK("https://klasma.github.io/Logging_0980/kartor/A 447-2023 karta.png", "A 447-2023")</f>
        <v/>
      </c>
      <c r="V180">
        <f>HYPERLINK("https://klasma.github.io/Logging_0980/klagomål/A 447-2023 FSC-klagomål.docx", "A 447-2023")</f>
        <v/>
      </c>
      <c r="W180">
        <f>HYPERLINK("https://klasma.github.io/Logging_0980/klagomålsmail/A 447-2023 FSC-klagomål mail.docx", "A 447-2023")</f>
        <v/>
      </c>
      <c r="X180">
        <f>HYPERLINK("https://klasma.github.io/Logging_0980/tillsyn/A 447-2023 tillsynsbegäran.docx", "A 447-2023")</f>
        <v/>
      </c>
      <c r="Y180">
        <f>HYPERLINK("https://klasma.github.io/Logging_0980/tillsynsmail/A 447-2023 tillsynsbegäran mail.docx", "A 447-2023")</f>
        <v/>
      </c>
    </row>
    <row r="181" ht="15" customHeight="1">
      <c r="A181" t="inlineStr">
        <is>
          <t>A 947-2023</t>
        </is>
      </c>
      <c r="B181" s="1" t="n">
        <v>44934</v>
      </c>
      <c r="C181" s="1" t="n">
        <v>46197</v>
      </c>
      <c r="D181" t="inlineStr">
        <is>
          <t>GOTLANDS LÄN</t>
        </is>
      </c>
      <c r="E181" t="inlineStr">
        <is>
          <t>GOTLAND</t>
        </is>
      </c>
      <c r="G181" t="n">
        <v>0.7</v>
      </c>
      <c r="H181" t="n">
        <v>1</v>
      </c>
      <c r="I181" t="n">
        <v>0</v>
      </c>
      <c r="J181" t="n">
        <v>0</v>
      </c>
      <c r="K181" t="n">
        <v>1</v>
      </c>
      <c r="L181" t="n">
        <v>0</v>
      </c>
      <c r="M181" t="n">
        <v>0</v>
      </c>
      <c r="N181" t="n">
        <v>0</v>
      </c>
      <c r="O181" t="n">
        <v>1</v>
      </c>
      <c r="P181" t="n">
        <v>1</v>
      </c>
      <c r="Q181" t="n">
        <v>1</v>
      </c>
      <c r="R181" s="2" t="inlineStr">
        <is>
          <t>Garderönn</t>
        </is>
      </c>
      <c r="S181">
        <f>HYPERLINK("https://klasma.github.io/Logging_0980/artfynd/A 947-2023 artfynd.xlsx", "A 947-2023")</f>
        <v/>
      </c>
      <c r="T181">
        <f>HYPERLINK("https://klasma.github.io/Logging_0980/kartor/A 947-2023 karta.png", "A 947-2023")</f>
        <v/>
      </c>
      <c r="V181">
        <f>HYPERLINK("https://klasma.github.io/Logging_0980/klagomål/A 947-2023 FSC-klagomål.docx", "A 947-2023")</f>
        <v/>
      </c>
      <c r="W181">
        <f>HYPERLINK("https://klasma.github.io/Logging_0980/klagomålsmail/A 947-2023 FSC-klagomål mail.docx", "A 947-2023")</f>
        <v/>
      </c>
      <c r="X181">
        <f>HYPERLINK("https://klasma.github.io/Logging_0980/tillsyn/A 947-2023 tillsynsbegäran.docx", "A 947-2023")</f>
        <v/>
      </c>
      <c r="Y181">
        <f>HYPERLINK("https://klasma.github.io/Logging_0980/tillsynsmail/A 947-2023 tillsynsbegäran mail.docx", "A 947-2023")</f>
        <v/>
      </c>
    </row>
    <row r="182" ht="15" customHeight="1">
      <c r="A182" t="inlineStr">
        <is>
          <t>A 49304-2024</t>
        </is>
      </c>
      <c r="B182" s="1" t="n">
        <v>45595</v>
      </c>
      <c r="C182" s="1" t="n">
        <v>46197</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46545-2024</t>
        </is>
      </c>
      <c r="B183" s="1" t="n">
        <v>45582</v>
      </c>
      <c r="C183" s="1" t="n">
        <v>46197</v>
      </c>
      <c r="D183" t="inlineStr">
        <is>
          <t>GOTLANDS LÄN</t>
        </is>
      </c>
      <c r="E183" t="inlineStr">
        <is>
          <t>GOTLAND</t>
        </is>
      </c>
      <c r="G183" t="n">
        <v>1.2</v>
      </c>
      <c r="H183" t="n">
        <v>0</v>
      </c>
      <c r="I183" t="n">
        <v>0</v>
      </c>
      <c r="J183" t="n">
        <v>0</v>
      </c>
      <c r="K183" t="n">
        <v>1</v>
      </c>
      <c r="L183" t="n">
        <v>0</v>
      </c>
      <c r="M183" t="n">
        <v>0</v>
      </c>
      <c r="N183" t="n">
        <v>0</v>
      </c>
      <c r="O183" t="n">
        <v>1</v>
      </c>
      <c r="P183" t="n">
        <v>1</v>
      </c>
      <c r="Q183" t="n">
        <v>1</v>
      </c>
      <c r="R183" s="2" t="inlineStr">
        <is>
          <t>Källnate</t>
        </is>
      </c>
      <c r="S183">
        <f>HYPERLINK("https://klasma.github.io/Logging_0980/artfynd/A 46545-2024 artfynd.xlsx", "A 46545-2024")</f>
        <v/>
      </c>
      <c r="T183">
        <f>HYPERLINK("https://klasma.github.io/Logging_0980/kartor/A 46545-2024 karta.png", "A 46545-2024")</f>
        <v/>
      </c>
      <c r="V183">
        <f>HYPERLINK("https://klasma.github.io/Logging_0980/klagomål/A 46545-2024 FSC-klagomål.docx", "A 46545-2024")</f>
        <v/>
      </c>
      <c r="W183">
        <f>HYPERLINK("https://klasma.github.io/Logging_0980/klagomålsmail/A 46545-2024 FSC-klagomål mail.docx", "A 46545-2024")</f>
        <v/>
      </c>
      <c r="X183">
        <f>HYPERLINK("https://klasma.github.io/Logging_0980/tillsyn/A 46545-2024 tillsynsbegäran.docx", "A 46545-2024")</f>
        <v/>
      </c>
      <c r="Y183">
        <f>HYPERLINK("https://klasma.github.io/Logging_0980/tillsynsmail/A 46545-2024 tillsynsbegäran mail.docx", "A 46545-2024")</f>
        <v/>
      </c>
    </row>
    <row r="184" ht="15" customHeight="1">
      <c r="A184" t="inlineStr">
        <is>
          <t>A 4662-2026</t>
        </is>
      </c>
      <c r="B184" s="1" t="n">
        <v>46048</v>
      </c>
      <c r="C184" s="1" t="n">
        <v>46197</v>
      </c>
      <c r="D184" t="inlineStr">
        <is>
          <t>GOTLANDS LÄN</t>
        </is>
      </c>
      <c r="E184" t="inlineStr">
        <is>
          <t>GOTLAND</t>
        </is>
      </c>
      <c r="G184" t="n">
        <v>7.6</v>
      </c>
      <c r="H184" t="n">
        <v>0</v>
      </c>
      <c r="I184" t="n">
        <v>0</v>
      </c>
      <c r="J184" t="n">
        <v>0</v>
      </c>
      <c r="K184" t="n">
        <v>1</v>
      </c>
      <c r="L184" t="n">
        <v>0</v>
      </c>
      <c r="M184" t="n">
        <v>0</v>
      </c>
      <c r="N184" t="n">
        <v>0</v>
      </c>
      <c r="O184" t="n">
        <v>1</v>
      </c>
      <c r="P184" t="n">
        <v>1</v>
      </c>
      <c r="Q184" t="n">
        <v>1</v>
      </c>
      <c r="R184" s="2" t="inlineStr">
        <is>
          <t>Strandviol</t>
        </is>
      </c>
      <c r="S184">
        <f>HYPERLINK("https://klasma.github.io/Logging_0980/artfynd/A 4662-2026 artfynd.xlsx", "A 4662-2026")</f>
        <v/>
      </c>
      <c r="T184">
        <f>HYPERLINK("https://klasma.github.io/Logging_0980/kartor/A 4662-2026 karta.png", "A 4662-2026")</f>
        <v/>
      </c>
      <c r="V184">
        <f>HYPERLINK("https://klasma.github.io/Logging_0980/klagomål/A 4662-2026 FSC-klagomål.docx", "A 4662-2026")</f>
        <v/>
      </c>
      <c r="W184">
        <f>HYPERLINK("https://klasma.github.io/Logging_0980/klagomålsmail/A 4662-2026 FSC-klagomål mail.docx", "A 4662-2026")</f>
        <v/>
      </c>
      <c r="X184">
        <f>HYPERLINK("https://klasma.github.io/Logging_0980/tillsyn/A 4662-2026 tillsynsbegäran.docx", "A 4662-2026")</f>
        <v/>
      </c>
      <c r="Y184">
        <f>HYPERLINK("https://klasma.github.io/Logging_0980/tillsynsmail/A 4662-2026 tillsynsbegäran mail.docx", "A 4662-2026")</f>
        <v/>
      </c>
    </row>
    <row r="185" ht="15" customHeight="1">
      <c r="A185" t="inlineStr">
        <is>
          <t>A 64700-2021</t>
        </is>
      </c>
      <c r="B185" s="1" t="n">
        <v>44511</v>
      </c>
      <c r="C185" s="1" t="n">
        <v>46197</v>
      </c>
      <c r="D185" t="inlineStr">
        <is>
          <t>GOTLANDS LÄN</t>
        </is>
      </c>
      <c r="E185" t="inlineStr">
        <is>
          <t>GOTLAND</t>
        </is>
      </c>
      <c r="F185" t="inlineStr">
        <is>
          <t>Naturvårdsverket</t>
        </is>
      </c>
      <c r="G185" t="n">
        <v>2.4</v>
      </c>
      <c r="H185" t="n">
        <v>1</v>
      </c>
      <c r="I185" t="n">
        <v>0</v>
      </c>
      <c r="J185" t="n">
        <v>1</v>
      </c>
      <c r="K185" t="n">
        <v>0</v>
      </c>
      <c r="L185" t="n">
        <v>0</v>
      </c>
      <c r="M185" t="n">
        <v>0</v>
      </c>
      <c r="N185" t="n">
        <v>0</v>
      </c>
      <c r="O185" t="n">
        <v>1</v>
      </c>
      <c r="P185" t="n">
        <v>0</v>
      </c>
      <c r="Q185" t="n">
        <v>1</v>
      </c>
      <c r="R185" s="2" t="inlineStr">
        <is>
          <t>Kalkdån</t>
        </is>
      </c>
      <c r="S185">
        <f>HYPERLINK("https://klasma.github.io/Logging_0980/artfynd/A 64700-2021 artfynd.xlsx", "A 64700-2021")</f>
        <v/>
      </c>
      <c r="T185">
        <f>HYPERLINK("https://klasma.github.io/Logging_0980/kartor/A 64700-2021 karta.png", "A 64700-2021")</f>
        <v/>
      </c>
      <c r="V185">
        <f>HYPERLINK("https://klasma.github.io/Logging_0980/klagomål/A 64700-2021 FSC-klagomål.docx", "A 64700-2021")</f>
        <v/>
      </c>
      <c r="W185">
        <f>HYPERLINK("https://klasma.github.io/Logging_0980/klagomålsmail/A 64700-2021 FSC-klagomål mail.docx", "A 64700-2021")</f>
        <v/>
      </c>
      <c r="X185">
        <f>HYPERLINK("https://klasma.github.io/Logging_0980/tillsyn/A 64700-2021 tillsynsbegäran.docx", "A 64700-2021")</f>
        <v/>
      </c>
      <c r="Y185">
        <f>HYPERLINK("https://klasma.github.io/Logging_0980/tillsynsmail/A 64700-2021 tillsynsbegäran mail.docx", "A 64700-2021")</f>
        <v/>
      </c>
    </row>
    <row r="186" ht="15" customHeight="1">
      <c r="A186" t="inlineStr">
        <is>
          <t>A 62915-2021</t>
        </is>
      </c>
      <c r="B186" s="1" t="n">
        <v>44504</v>
      </c>
      <c r="C186" s="1" t="n">
        <v>46197</v>
      </c>
      <c r="D186" t="inlineStr">
        <is>
          <t>GOTLANDS LÄN</t>
        </is>
      </c>
      <c r="E186" t="inlineStr">
        <is>
          <t>GOTLAND</t>
        </is>
      </c>
      <c r="G186" t="n">
        <v>1.1</v>
      </c>
      <c r="H186" t="n">
        <v>1</v>
      </c>
      <c r="I186" t="n">
        <v>0</v>
      </c>
      <c r="J186" t="n">
        <v>0</v>
      </c>
      <c r="K186" t="n">
        <v>0</v>
      </c>
      <c r="L186" t="n">
        <v>0</v>
      </c>
      <c r="M186" t="n">
        <v>0</v>
      </c>
      <c r="N186" t="n">
        <v>0</v>
      </c>
      <c r="O186" t="n">
        <v>0</v>
      </c>
      <c r="P186" t="n">
        <v>0</v>
      </c>
      <c r="Q186" t="n">
        <v>1</v>
      </c>
      <c r="R186" s="2" t="inlineStr">
        <is>
          <t>Bredarun</t>
        </is>
      </c>
      <c r="S186">
        <f>HYPERLINK("https://klasma.github.io/Logging_0980/artfynd/A 62915-2021 artfynd.xlsx", "A 62915-2021")</f>
        <v/>
      </c>
      <c r="T186">
        <f>HYPERLINK("https://klasma.github.io/Logging_0980/kartor/A 62915-2021 karta.png", "A 62915-2021")</f>
        <v/>
      </c>
      <c r="V186">
        <f>HYPERLINK("https://klasma.github.io/Logging_0980/klagomål/A 62915-2021 FSC-klagomål.docx", "A 62915-2021")</f>
        <v/>
      </c>
      <c r="W186">
        <f>HYPERLINK("https://klasma.github.io/Logging_0980/klagomålsmail/A 62915-2021 FSC-klagomål mail.docx", "A 62915-2021")</f>
        <v/>
      </c>
      <c r="X186">
        <f>HYPERLINK("https://klasma.github.io/Logging_0980/tillsyn/A 62915-2021 tillsynsbegäran.docx", "A 62915-2021")</f>
        <v/>
      </c>
      <c r="Y186">
        <f>HYPERLINK("https://klasma.github.io/Logging_0980/tillsynsmail/A 62915-2021 tillsynsbegäran mail.docx", "A 62915-2021")</f>
        <v/>
      </c>
    </row>
    <row r="187" ht="15" customHeight="1">
      <c r="A187" t="inlineStr">
        <is>
          <t>A 17000-2026</t>
        </is>
      </c>
      <c r="B187" s="1" t="n">
        <v>46114</v>
      </c>
      <c r="C187" s="1" t="n">
        <v>46197</v>
      </c>
      <c r="D187" t="inlineStr">
        <is>
          <t>GOTLANDS LÄN</t>
        </is>
      </c>
      <c r="E187" t="inlineStr">
        <is>
          <t>GOTLAND</t>
        </is>
      </c>
      <c r="G187" t="n">
        <v>1.9</v>
      </c>
      <c r="H187" t="n">
        <v>1</v>
      </c>
      <c r="I187" t="n">
        <v>0</v>
      </c>
      <c r="J187" t="n">
        <v>0</v>
      </c>
      <c r="K187" t="n">
        <v>0</v>
      </c>
      <c r="L187" t="n">
        <v>0</v>
      </c>
      <c r="M187" t="n">
        <v>0</v>
      </c>
      <c r="N187" t="n">
        <v>0</v>
      </c>
      <c r="O187" t="n">
        <v>0</v>
      </c>
      <c r="P187" t="n">
        <v>0</v>
      </c>
      <c r="Q187" t="n">
        <v>1</v>
      </c>
      <c r="R187" s="2" t="inlineStr">
        <is>
          <t>Kalkkrassing</t>
        </is>
      </c>
      <c r="S187">
        <f>HYPERLINK("https://klasma.github.io/Logging_0980/artfynd/A 17000-2026 artfynd.xlsx", "A 17000-2026")</f>
        <v/>
      </c>
      <c r="T187">
        <f>HYPERLINK("https://klasma.github.io/Logging_0980/kartor/A 17000-2026 karta.png", "A 17000-2026")</f>
        <v/>
      </c>
      <c r="V187">
        <f>HYPERLINK("https://klasma.github.io/Logging_0980/klagomål/A 17000-2026 FSC-klagomål.docx", "A 17000-2026")</f>
        <v/>
      </c>
      <c r="W187">
        <f>HYPERLINK("https://klasma.github.io/Logging_0980/klagomålsmail/A 17000-2026 FSC-klagomål mail.docx", "A 17000-2026")</f>
        <v/>
      </c>
      <c r="X187">
        <f>HYPERLINK("https://klasma.github.io/Logging_0980/tillsyn/A 17000-2026 tillsynsbegäran.docx", "A 17000-2026")</f>
        <v/>
      </c>
      <c r="Y187">
        <f>HYPERLINK("https://klasma.github.io/Logging_0980/tillsynsmail/A 17000-2026 tillsynsbegäran mail.docx", "A 17000-2026")</f>
        <v/>
      </c>
    </row>
    <row r="188" ht="15" customHeight="1">
      <c r="A188" t="inlineStr">
        <is>
          <t>A 17854-2026</t>
        </is>
      </c>
      <c r="B188" s="1" t="n">
        <v>46121</v>
      </c>
      <c r="C188" s="1" t="n">
        <v>46197</v>
      </c>
      <c r="D188" t="inlineStr">
        <is>
          <t>GOTLANDS LÄN</t>
        </is>
      </c>
      <c r="E188" t="inlineStr">
        <is>
          <t>GOTLAND</t>
        </is>
      </c>
      <c r="G188" t="n">
        <v>6.6</v>
      </c>
      <c r="H188" t="n">
        <v>0</v>
      </c>
      <c r="I188" t="n">
        <v>0</v>
      </c>
      <c r="J188" t="n">
        <v>1</v>
      </c>
      <c r="K188" t="n">
        <v>0</v>
      </c>
      <c r="L188" t="n">
        <v>0</v>
      </c>
      <c r="M188" t="n">
        <v>0</v>
      </c>
      <c r="N188" t="n">
        <v>0</v>
      </c>
      <c r="O188" t="n">
        <v>1</v>
      </c>
      <c r="P188" t="n">
        <v>0</v>
      </c>
      <c r="Q188" t="n">
        <v>1</v>
      </c>
      <c r="R188" s="2" t="inlineStr">
        <is>
          <t>Blå slemspindling</t>
        </is>
      </c>
      <c r="S188">
        <f>HYPERLINK("https://klasma.github.io/Logging_0980/artfynd/A 17854-2026 artfynd.xlsx", "A 17854-2026")</f>
        <v/>
      </c>
      <c r="T188">
        <f>HYPERLINK("https://klasma.github.io/Logging_0980/kartor/A 17854-2026 karta.png", "A 17854-2026")</f>
        <v/>
      </c>
      <c r="V188">
        <f>HYPERLINK("https://klasma.github.io/Logging_0980/klagomål/A 17854-2026 FSC-klagomål.docx", "A 17854-2026")</f>
        <v/>
      </c>
      <c r="W188">
        <f>HYPERLINK("https://klasma.github.io/Logging_0980/klagomålsmail/A 17854-2026 FSC-klagomål mail.docx", "A 17854-2026")</f>
        <v/>
      </c>
      <c r="X188">
        <f>HYPERLINK("https://klasma.github.io/Logging_0980/tillsyn/A 17854-2026 tillsynsbegäran.docx", "A 17854-2026")</f>
        <v/>
      </c>
      <c r="Y188">
        <f>HYPERLINK("https://klasma.github.io/Logging_0980/tillsynsmail/A 17854-2026 tillsynsbegäran mail.docx", "A 17854-2026")</f>
        <v/>
      </c>
    </row>
    <row r="189" ht="15" customHeight="1">
      <c r="A189" t="inlineStr">
        <is>
          <t>A 18036-2026</t>
        </is>
      </c>
      <c r="B189" s="1" t="n">
        <v>46125</v>
      </c>
      <c r="C189" s="1" t="n">
        <v>46197</v>
      </c>
      <c r="D189" t="inlineStr">
        <is>
          <t>GOTLANDS LÄN</t>
        </is>
      </c>
      <c r="E189" t="inlineStr">
        <is>
          <t>GOTLAND</t>
        </is>
      </c>
      <c r="G189" t="n">
        <v>1.8</v>
      </c>
      <c r="H189" t="n">
        <v>0</v>
      </c>
      <c r="I189" t="n">
        <v>0</v>
      </c>
      <c r="J189" t="n">
        <v>1</v>
      </c>
      <c r="K189" t="n">
        <v>0</v>
      </c>
      <c r="L189" t="n">
        <v>0</v>
      </c>
      <c r="M189" t="n">
        <v>0</v>
      </c>
      <c r="N189" t="n">
        <v>0</v>
      </c>
      <c r="O189" t="n">
        <v>1</v>
      </c>
      <c r="P189" t="n">
        <v>0</v>
      </c>
      <c r="Q189" t="n">
        <v>1</v>
      </c>
      <c r="R189" s="2" t="inlineStr">
        <is>
          <t>Sommarfibbla</t>
        </is>
      </c>
      <c r="S189">
        <f>HYPERLINK("https://klasma.github.io/Logging_0980/artfynd/A 18036-2026 artfynd.xlsx", "A 18036-2026")</f>
        <v/>
      </c>
      <c r="T189">
        <f>HYPERLINK("https://klasma.github.io/Logging_0980/kartor/A 18036-2026 karta.png", "A 18036-2026")</f>
        <v/>
      </c>
      <c r="V189">
        <f>HYPERLINK("https://klasma.github.io/Logging_0980/klagomål/A 18036-2026 FSC-klagomål.docx", "A 18036-2026")</f>
        <v/>
      </c>
      <c r="W189">
        <f>HYPERLINK("https://klasma.github.io/Logging_0980/klagomålsmail/A 18036-2026 FSC-klagomål mail.docx", "A 18036-2026")</f>
        <v/>
      </c>
      <c r="X189">
        <f>HYPERLINK("https://klasma.github.io/Logging_0980/tillsyn/A 18036-2026 tillsynsbegäran.docx", "A 18036-2026")</f>
        <v/>
      </c>
      <c r="Y189">
        <f>HYPERLINK("https://klasma.github.io/Logging_0980/tillsynsmail/A 18036-2026 tillsynsbegäran mail.docx", "A 18036-2026")</f>
        <v/>
      </c>
    </row>
    <row r="190" ht="15" customHeight="1">
      <c r="A190" t="inlineStr">
        <is>
          <t>A 1477-2024</t>
        </is>
      </c>
      <c r="B190" s="1" t="n">
        <v>45305</v>
      </c>
      <c r="C190" s="1" t="n">
        <v>46197</v>
      </c>
      <c r="D190" t="inlineStr">
        <is>
          <t>GOTLANDS LÄN</t>
        </is>
      </c>
      <c r="E190" t="inlineStr">
        <is>
          <t>GOTLAND</t>
        </is>
      </c>
      <c r="G190" t="n">
        <v>6.9</v>
      </c>
      <c r="H190" t="n">
        <v>0</v>
      </c>
      <c r="I190" t="n">
        <v>0</v>
      </c>
      <c r="J190" t="n">
        <v>0</v>
      </c>
      <c r="K190" t="n">
        <v>1</v>
      </c>
      <c r="L190" t="n">
        <v>0</v>
      </c>
      <c r="M190" t="n">
        <v>0</v>
      </c>
      <c r="N190" t="n">
        <v>0</v>
      </c>
      <c r="O190" t="n">
        <v>1</v>
      </c>
      <c r="P190" t="n">
        <v>1</v>
      </c>
      <c r="Q190" t="n">
        <v>1</v>
      </c>
      <c r="R190" s="2" t="inlineStr">
        <is>
          <t>Igelkott</t>
        </is>
      </c>
      <c r="S190">
        <f>HYPERLINK("https://klasma.github.io/Logging_0980/artfynd/A 1477-2024 artfynd.xlsx", "A 1477-2024")</f>
        <v/>
      </c>
      <c r="T190">
        <f>HYPERLINK("https://klasma.github.io/Logging_0980/kartor/A 1477-2024 karta.png", "A 1477-2024")</f>
        <v/>
      </c>
      <c r="V190">
        <f>HYPERLINK("https://klasma.github.io/Logging_0980/klagomål/A 1477-2024 FSC-klagomål.docx", "A 1477-2024")</f>
        <v/>
      </c>
      <c r="W190">
        <f>HYPERLINK("https://klasma.github.io/Logging_0980/klagomålsmail/A 1477-2024 FSC-klagomål mail.docx", "A 1477-2024")</f>
        <v/>
      </c>
      <c r="X190">
        <f>HYPERLINK("https://klasma.github.io/Logging_0980/tillsyn/A 1477-2024 tillsynsbegäran.docx", "A 1477-2024")</f>
        <v/>
      </c>
      <c r="Y190">
        <f>HYPERLINK("https://klasma.github.io/Logging_0980/tillsynsmail/A 1477-2024 tillsynsbegäran mail.docx", "A 1477-2024")</f>
        <v/>
      </c>
    </row>
    <row r="191" ht="15" customHeight="1">
      <c r="A191" t="inlineStr">
        <is>
          <t>A 1677-2023</t>
        </is>
      </c>
      <c r="B191" s="1" t="n">
        <v>44938</v>
      </c>
      <c r="C191" s="1" t="n">
        <v>46197</v>
      </c>
      <c r="D191" t="inlineStr">
        <is>
          <t>GOTLANDS LÄN</t>
        </is>
      </c>
      <c r="E191" t="inlineStr">
        <is>
          <t>GOTLAND</t>
        </is>
      </c>
      <c r="G191" t="n">
        <v>1.6</v>
      </c>
      <c r="H191" t="n">
        <v>0</v>
      </c>
      <c r="I191" t="n">
        <v>0</v>
      </c>
      <c r="J191" t="n">
        <v>1</v>
      </c>
      <c r="K191" t="n">
        <v>0</v>
      </c>
      <c r="L191" t="n">
        <v>0</v>
      </c>
      <c r="M191" t="n">
        <v>0</v>
      </c>
      <c r="N191" t="n">
        <v>0</v>
      </c>
      <c r="O191" t="n">
        <v>1</v>
      </c>
      <c r="P191" t="n">
        <v>0</v>
      </c>
      <c r="Q191" t="n">
        <v>1</v>
      </c>
      <c r="R191" s="2" t="inlineStr">
        <is>
          <t>Strandrosettmossa</t>
        </is>
      </c>
      <c r="S191">
        <f>HYPERLINK("https://klasma.github.io/Logging_0980/artfynd/A 1677-2023 artfynd.xlsx", "A 1677-2023")</f>
        <v/>
      </c>
      <c r="T191">
        <f>HYPERLINK("https://klasma.github.io/Logging_0980/kartor/A 1677-2023 karta.png", "A 1677-2023")</f>
        <v/>
      </c>
      <c r="V191">
        <f>HYPERLINK("https://klasma.github.io/Logging_0980/klagomål/A 1677-2023 FSC-klagomål.docx", "A 1677-2023")</f>
        <v/>
      </c>
      <c r="W191">
        <f>HYPERLINK("https://klasma.github.io/Logging_0980/klagomålsmail/A 1677-2023 FSC-klagomål mail.docx", "A 1677-2023")</f>
        <v/>
      </c>
      <c r="X191">
        <f>HYPERLINK("https://klasma.github.io/Logging_0980/tillsyn/A 1677-2023 tillsynsbegäran.docx", "A 1677-2023")</f>
        <v/>
      </c>
      <c r="Y191">
        <f>HYPERLINK("https://klasma.github.io/Logging_0980/tillsynsmail/A 1677-2023 tillsynsbegäran mail.docx", "A 1677-2023")</f>
        <v/>
      </c>
    </row>
    <row r="192" ht="15" customHeight="1">
      <c r="A192" t="inlineStr">
        <is>
          <t>A 7637-2025</t>
        </is>
      </c>
      <c r="B192" s="1" t="n">
        <v>45705</v>
      </c>
      <c r="C192" s="1" t="n">
        <v>46197</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5863-2026</t>
        </is>
      </c>
      <c r="B193" s="1" t="n">
        <v>46052</v>
      </c>
      <c r="C193" s="1" t="n">
        <v>46197</v>
      </c>
      <c r="D193" t="inlineStr">
        <is>
          <t>GOTLANDS LÄN</t>
        </is>
      </c>
      <c r="E193" t="inlineStr">
        <is>
          <t>GOTLAND</t>
        </is>
      </c>
      <c r="G193" t="n">
        <v>1.8</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5863-2026 artfynd.xlsx", "A 5863-2026")</f>
        <v/>
      </c>
      <c r="T193">
        <f>HYPERLINK("https://klasma.github.io/Logging_0980/kartor/A 5863-2026 karta.png", "A 5863-2026")</f>
        <v/>
      </c>
      <c r="V193">
        <f>HYPERLINK("https://klasma.github.io/Logging_0980/klagomål/A 5863-2026 FSC-klagomål.docx", "A 5863-2026")</f>
        <v/>
      </c>
      <c r="W193">
        <f>HYPERLINK("https://klasma.github.io/Logging_0980/klagomålsmail/A 5863-2026 FSC-klagomål mail.docx", "A 5863-2026")</f>
        <v/>
      </c>
      <c r="X193">
        <f>HYPERLINK("https://klasma.github.io/Logging_0980/tillsyn/A 5863-2026 tillsynsbegäran.docx", "A 5863-2026")</f>
        <v/>
      </c>
      <c r="Y193">
        <f>HYPERLINK("https://klasma.github.io/Logging_0980/tillsynsmail/A 5863-2026 tillsynsbegäran mail.docx", "A 5863-2026")</f>
        <v/>
      </c>
    </row>
    <row r="194" ht="15" customHeight="1">
      <c r="A194" t="inlineStr">
        <is>
          <t>A 6303-2024</t>
        </is>
      </c>
      <c r="B194" s="1" t="n">
        <v>45338</v>
      </c>
      <c r="C194" s="1" t="n">
        <v>46197</v>
      </c>
      <c r="D194" t="inlineStr">
        <is>
          <t>GOTLANDS LÄN</t>
        </is>
      </c>
      <c r="E194" t="inlineStr">
        <is>
          <t>GOTLAND</t>
        </is>
      </c>
      <c r="G194" t="n">
        <v>0.6</v>
      </c>
      <c r="H194" t="n">
        <v>0</v>
      </c>
      <c r="I194" t="n">
        <v>1</v>
      </c>
      <c r="J194" t="n">
        <v>0</v>
      </c>
      <c r="K194" t="n">
        <v>0</v>
      </c>
      <c r="L194" t="n">
        <v>0</v>
      </c>
      <c r="M194" t="n">
        <v>0</v>
      </c>
      <c r="N194" t="n">
        <v>0</v>
      </c>
      <c r="O194" t="n">
        <v>0</v>
      </c>
      <c r="P194" t="n">
        <v>0</v>
      </c>
      <c r="Q194" t="n">
        <v>1</v>
      </c>
      <c r="R194" s="2" t="inlineStr">
        <is>
          <t>Strävlosta</t>
        </is>
      </c>
      <c r="S194">
        <f>HYPERLINK("https://klasma.github.io/Logging_0980/artfynd/A 6303-2024 artfynd.xlsx", "A 6303-2024")</f>
        <v/>
      </c>
      <c r="T194">
        <f>HYPERLINK("https://klasma.github.io/Logging_0980/kartor/A 6303-2024 karta.png", "A 6303-2024")</f>
        <v/>
      </c>
      <c r="V194">
        <f>HYPERLINK("https://klasma.github.io/Logging_0980/klagomål/A 6303-2024 FSC-klagomål.docx", "A 6303-2024")</f>
        <v/>
      </c>
      <c r="W194">
        <f>HYPERLINK("https://klasma.github.io/Logging_0980/klagomålsmail/A 6303-2024 FSC-klagomål mail.docx", "A 6303-2024")</f>
        <v/>
      </c>
      <c r="X194">
        <f>HYPERLINK("https://klasma.github.io/Logging_0980/tillsyn/A 6303-2024 tillsynsbegäran.docx", "A 6303-2024")</f>
        <v/>
      </c>
      <c r="Y194">
        <f>HYPERLINK("https://klasma.github.io/Logging_0980/tillsynsmail/A 6303-2024 tillsynsbegäran mail.docx", "A 6303-2024")</f>
        <v/>
      </c>
    </row>
    <row r="195" ht="15" customHeight="1">
      <c r="A195" t="inlineStr">
        <is>
          <t>A 40294-2022</t>
        </is>
      </c>
      <c r="B195" s="1" t="n">
        <v>44821</v>
      </c>
      <c r="C195" s="1" t="n">
        <v>46197</v>
      </c>
      <c r="D195" t="inlineStr">
        <is>
          <t>GOTLANDS LÄN</t>
        </is>
      </c>
      <c r="E195" t="inlineStr">
        <is>
          <t>GOTLAND</t>
        </is>
      </c>
      <c r="G195" t="n">
        <v>1.6</v>
      </c>
      <c r="H195" t="n">
        <v>0</v>
      </c>
      <c r="I195" t="n">
        <v>0</v>
      </c>
      <c r="J195" t="n">
        <v>0</v>
      </c>
      <c r="K195" t="n">
        <v>1</v>
      </c>
      <c r="L195" t="n">
        <v>0</v>
      </c>
      <c r="M195" t="n">
        <v>0</v>
      </c>
      <c r="N195" t="n">
        <v>0</v>
      </c>
      <c r="O195" t="n">
        <v>1</v>
      </c>
      <c r="P195" t="n">
        <v>1</v>
      </c>
      <c r="Q195" t="n">
        <v>1</v>
      </c>
      <c r="R195" s="2" t="inlineStr">
        <is>
          <t>Gotlandsmåra</t>
        </is>
      </c>
      <c r="S195">
        <f>HYPERLINK("https://klasma.github.io/Logging_0980/artfynd/A 40294-2022 artfynd.xlsx", "A 40294-2022")</f>
        <v/>
      </c>
      <c r="T195">
        <f>HYPERLINK("https://klasma.github.io/Logging_0980/kartor/A 40294-2022 karta.png", "A 40294-2022")</f>
        <v/>
      </c>
      <c r="V195">
        <f>HYPERLINK("https://klasma.github.io/Logging_0980/klagomål/A 40294-2022 FSC-klagomål.docx", "A 40294-2022")</f>
        <v/>
      </c>
      <c r="W195">
        <f>HYPERLINK("https://klasma.github.io/Logging_0980/klagomålsmail/A 40294-2022 FSC-klagomål mail.docx", "A 40294-2022")</f>
        <v/>
      </c>
      <c r="X195">
        <f>HYPERLINK("https://klasma.github.io/Logging_0980/tillsyn/A 40294-2022 tillsynsbegäran.docx", "A 40294-2022")</f>
        <v/>
      </c>
      <c r="Y195">
        <f>HYPERLINK("https://klasma.github.io/Logging_0980/tillsynsmail/A 40294-2022 tillsynsbegäran mail.docx", "A 40294-2022")</f>
        <v/>
      </c>
    </row>
    <row r="196" ht="15" customHeight="1">
      <c r="A196" t="inlineStr">
        <is>
          <t>A 34809-2024</t>
        </is>
      </c>
      <c r="B196" s="1" t="n">
        <v>45526</v>
      </c>
      <c r="C196" s="1" t="n">
        <v>46197</v>
      </c>
      <c r="D196" t="inlineStr">
        <is>
          <t>GOTLANDS LÄN</t>
        </is>
      </c>
      <c r="E196" t="inlineStr">
        <is>
          <t>GOTLAND</t>
        </is>
      </c>
      <c r="G196" t="n">
        <v>9.9</v>
      </c>
      <c r="H196" t="n">
        <v>1</v>
      </c>
      <c r="I196" t="n">
        <v>0</v>
      </c>
      <c r="J196" t="n">
        <v>1</v>
      </c>
      <c r="K196" t="n">
        <v>0</v>
      </c>
      <c r="L196" t="n">
        <v>0</v>
      </c>
      <c r="M196" t="n">
        <v>0</v>
      </c>
      <c r="N196" t="n">
        <v>0</v>
      </c>
      <c r="O196" t="n">
        <v>1</v>
      </c>
      <c r="P196" t="n">
        <v>0</v>
      </c>
      <c r="Q196" t="n">
        <v>1</v>
      </c>
      <c r="R196" s="2" t="inlineStr">
        <is>
          <t>Brun ögontröst</t>
        </is>
      </c>
      <c r="S196">
        <f>HYPERLINK("https://klasma.github.io/Logging_0980/artfynd/A 34809-2024 artfynd.xlsx", "A 34809-2024")</f>
        <v/>
      </c>
      <c r="T196">
        <f>HYPERLINK("https://klasma.github.io/Logging_0980/kartor/A 34809-2024 karta.png", "A 34809-2024")</f>
        <v/>
      </c>
      <c r="V196">
        <f>HYPERLINK("https://klasma.github.io/Logging_0980/klagomål/A 34809-2024 FSC-klagomål.docx", "A 34809-2024")</f>
        <v/>
      </c>
      <c r="W196">
        <f>HYPERLINK("https://klasma.github.io/Logging_0980/klagomålsmail/A 34809-2024 FSC-klagomål mail.docx", "A 34809-2024")</f>
        <v/>
      </c>
      <c r="X196">
        <f>HYPERLINK("https://klasma.github.io/Logging_0980/tillsyn/A 34809-2024 tillsynsbegäran.docx", "A 34809-2024")</f>
        <v/>
      </c>
      <c r="Y196">
        <f>HYPERLINK("https://klasma.github.io/Logging_0980/tillsynsmail/A 34809-2024 tillsynsbegäran mail.docx", "A 34809-2024")</f>
        <v/>
      </c>
    </row>
    <row r="197" ht="15" customHeight="1">
      <c r="A197" t="inlineStr">
        <is>
          <t>A 1066-2024</t>
        </is>
      </c>
      <c r="B197" s="1" t="n">
        <v>45302</v>
      </c>
      <c r="C197" s="1" t="n">
        <v>46197</v>
      </c>
      <c r="D197" t="inlineStr">
        <is>
          <t>GOTLANDS LÄN</t>
        </is>
      </c>
      <c r="E197" t="inlineStr">
        <is>
          <t>GOTLAND</t>
        </is>
      </c>
      <c r="G197" t="n">
        <v>1.4</v>
      </c>
      <c r="H197" t="n">
        <v>0</v>
      </c>
      <c r="I197" t="n">
        <v>0</v>
      </c>
      <c r="J197" t="n">
        <v>1</v>
      </c>
      <c r="K197" t="n">
        <v>0</v>
      </c>
      <c r="L197" t="n">
        <v>0</v>
      </c>
      <c r="M197" t="n">
        <v>0</v>
      </c>
      <c r="N197" t="n">
        <v>0</v>
      </c>
      <c r="O197" t="n">
        <v>1</v>
      </c>
      <c r="P197" t="n">
        <v>0</v>
      </c>
      <c r="Q197" t="n">
        <v>1</v>
      </c>
      <c r="R197" s="2" t="inlineStr">
        <is>
          <t>Svinrot</t>
        </is>
      </c>
      <c r="S197">
        <f>HYPERLINK("https://klasma.github.io/Logging_0980/artfynd/A 1066-2024 artfynd.xlsx", "A 1066-2024")</f>
        <v/>
      </c>
      <c r="T197">
        <f>HYPERLINK("https://klasma.github.io/Logging_0980/kartor/A 1066-2024 karta.png", "A 1066-2024")</f>
        <v/>
      </c>
      <c r="V197">
        <f>HYPERLINK("https://klasma.github.io/Logging_0980/klagomål/A 1066-2024 FSC-klagomål.docx", "A 1066-2024")</f>
        <v/>
      </c>
      <c r="W197">
        <f>HYPERLINK("https://klasma.github.io/Logging_0980/klagomålsmail/A 1066-2024 FSC-klagomål mail.docx", "A 1066-2024")</f>
        <v/>
      </c>
      <c r="X197">
        <f>HYPERLINK("https://klasma.github.io/Logging_0980/tillsyn/A 1066-2024 tillsynsbegäran.docx", "A 1066-2024")</f>
        <v/>
      </c>
      <c r="Y197">
        <f>HYPERLINK("https://klasma.github.io/Logging_0980/tillsynsmail/A 1066-2024 tillsynsbegäran mail.docx", "A 1066-2024")</f>
        <v/>
      </c>
    </row>
    <row r="198" ht="15" customHeight="1">
      <c r="A198" t="inlineStr">
        <is>
          <t>A 27343-2026</t>
        </is>
      </c>
      <c r="B198" s="1" t="n">
        <v>46188</v>
      </c>
      <c r="C198" s="1" t="n">
        <v>46197</v>
      </c>
      <c r="D198" t="inlineStr">
        <is>
          <t>GOTLANDS LÄN</t>
        </is>
      </c>
      <c r="E198" t="inlineStr">
        <is>
          <t>GOTLAND</t>
        </is>
      </c>
      <c r="G198" t="n">
        <v>1.1</v>
      </c>
      <c r="H198" t="n">
        <v>1</v>
      </c>
      <c r="I198" t="n">
        <v>1</v>
      </c>
      <c r="J198" t="n">
        <v>0</v>
      </c>
      <c r="K198" t="n">
        <v>0</v>
      </c>
      <c r="L198" t="n">
        <v>0</v>
      </c>
      <c r="M198" t="n">
        <v>0</v>
      </c>
      <c r="N198" t="n">
        <v>0</v>
      </c>
      <c r="O198" t="n">
        <v>0</v>
      </c>
      <c r="P198" t="n">
        <v>0</v>
      </c>
      <c r="Q198" t="n">
        <v>1</v>
      </c>
      <c r="R198" s="2" t="inlineStr">
        <is>
          <t>Skogsknipprot</t>
        </is>
      </c>
      <c r="S198">
        <f>HYPERLINK("https://klasma.github.io/Logging_0980/artfynd/A 27343-2026 artfynd.xlsx", "A 27343-2026")</f>
        <v/>
      </c>
      <c r="T198">
        <f>HYPERLINK("https://klasma.github.io/Logging_0980/kartor/A 27343-2026 karta.png", "A 27343-2026")</f>
        <v/>
      </c>
      <c r="V198">
        <f>HYPERLINK("https://klasma.github.io/Logging_0980/klagomål/A 27343-2026 FSC-klagomål.docx", "A 27343-2026")</f>
        <v/>
      </c>
      <c r="W198">
        <f>HYPERLINK("https://klasma.github.io/Logging_0980/klagomålsmail/A 27343-2026 FSC-klagomål mail.docx", "A 27343-2026")</f>
        <v/>
      </c>
      <c r="X198">
        <f>HYPERLINK("https://klasma.github.io/Logging_0980/tillsyn/A 27343-2026 tillsynsbegäran.docx", "A 27343-2026")</f>
        <v/>
      </c>
      <c r="Y198">
        <f>HYPERLINK("https://klasma.github.io/Logging_0980/tillsynsmail/A 27343-2026 tillsynsbegäran mail.docx", "A 27343-2026")</f>
        <v/>
      </c>
    </row>
    <row r="199" ht="15" customHeight="1">
      <c r="A199" t="inlineStr">
        <is>
          <t>A 21396-2026</t>
        </is>
      </c>
      <c r="B199" s="1" t="n">
        <v>46148</v>
      </c>
      <c r="C199" s="1" t="n">
        <v>46197</v>
      </c>
      <c r="D199" t="inlineStr">
        <is>
          <t>GOTLANDS LÄN</t>
        </is>
      </c>
      <c r="E199" t="inlineStr">
        <is>
          <t>GOTLAND</t>
        </is>
      </c>
      <c r="G199" t="n">
        <v>6.1</v>
      </c>
      <c r="H199" t="n">
        <v>0</v>
      </c>
      <c r="I199" t="n">
        <v>0</v>
      </c>
      <c r="J199" t="n">
        <v>0</v>
      </c>
      <c r="K199" t="n">
        <v>1</v>
      </c>
      <c r="L199" t="n">
        <v>0</v>
      </c>
      <c r="M199" t="n">
        <v>0</v>
      </c>
      <c r="N199" t="n">
        <v>0</v>
      </c>
      <c r="O199" t="n">
        <v>1</v>
      </c>
      <c r="P199" t="n">
        <v>1</v>
      </c>
      <c r="Q199" t="n">
        <v>1</v>
      </c>
      <c r="R199" s="2" t="inlineStr">
        <is>
          <t>Oxhorndyvel</t>
        </is>
      </c>
      <c r="S199">
        <f>HYPERLINK("https://klasma.github.io/Logging_0980/artfynd/A 21396-2026 artfynd.xlsx", "A 21396-2026")</f>
        <v/>
      </c>
      <c r="T199">
        <f>HYPERLINK("https://klasma.github.io/Logging_0980/kartor/A 21396-2026 karta.png", "A 21396-2026")</f>
        <v/>
      </c>
      <c r="V199">
        <f>HYPERLINK("https://klasma.github.io/Logging_0980/klagomål/A 21396-2026 FSC-klagomål.docx", "A 21396-2026")</f>
        <v/>
      </c>
      <c r="W199">
        <f>HYPERLINK("https://klasma.github.io/Logging_0980/klagomålsmail/A 21396-2026 FSC-klagomål mail.docx", "A 21396-2026")</f>
        <v/>
      </c>
      <c r="X199">
        <f>HYPERLINK("https://klasma.github.io/Logging_0980/tillsyn/A 21396-2026 tillsynsbegäran.docx", "A 21396-2026")</f>
        <v/>
      </c>
      <c r="Y199">
        <f>HYPERLINK("https://klasma.github.io/Logging_0980/tillsynsmail/A 21396-2026 tillsynsbegäran mail.docx", "A 21396-2026")</f>
        <v/>
      </c>
    </row>
    <row r="200" ht="15" customHeight="1">
      <c r="A200" t="inlineStr">
        <is>
          <t>A 999-2023</t>
        </is>
      </c>
      <c r="B200" s="1" t="n">
        <v>44935</v>
      </c>
      <c r="C200" s="1" t="n">
        <v>46197</v>
      </c>
      <c r="D200" t="inlineStr">
        <is>
          <t>GOTLANDS LÄN</t>
        </is>
      </c>
      <c r="E200" t="inlineStr">
        <is>
          <t>GOTLAND</t>
        </is>
      </c>
      <c r="G200" t="n">
        <v>4.7</v>
      </c>
      <c r="H200" t="n">
        <v>1</v>
      </c>
      <c r="I200" t="n">
        <v>0</v>
      </c>
      <c r="J200" t="n">
        <v>0</v>
      </c>
      <c r="K200" t="n">
        <v>1</v>
      </c>
      <c r="L200" t="n">
        <v>0</v>
      </c>
      <c r="M200" t="n">
        <v>0</v>
      </c>
      <c r="N200" t="n">
        <v>0</v>
      </c>
      <c r="O200" t="n">
        <v>1</v>
      </c>
      <c r="P200" t="n">
        <v>1</v>
      </c>
      <c r="Q200" t="n">
        <v>1</v>
      </c>
      <c r="R200" s="2" t="inlineStr">
        <is>
          <t>Garderönn</t>
        </is>
      </c>
      <c r="S200">
        <f>HYPERLINK("https://klasma.github.io/Logging_0980/artfynd/A 999-2023 artfynd.xlsx", "A 999-2023")</f>
        <v/>
      </c>
      <c r="T200">
        <f>HYPERLINK("https://klasma.github.io/Logging_0980/kartor/A 999-2023 karta.png", "A 999-2023")</f>
        <v/>
      </c>
      <c r="V200">
        <f>HYPERLINK("https://klasma.github.io/Logging_0980/klagomål/A 999-2023 FSC-klagomål.docx", "A 999-2023")</f>
        <v/>
      </c>
      <c r="W200">
        <f>HYPERLINK("https://klasma.github.io/Logging_0980/klagomålsmail/A 999-2023 FSC-klagomål mail.docx", "A 999-2023")</f>
        <v/>
      </c>
      <c r="X200">
        <f>HYPERLINK("https://klasma.github.io/Logging_0980/tillsyn/A 999-2023 tillsynsbegäran.docx", "A 999-2023")</f>
        <v/>
      </c>
      <c r="Y200">
        <f>HYPERLINK("https://klasma.github.io/Logging_0980/tillsynsmail/A 999-2023 tillsynsbegäran mail.docx", "A 999-2023")</f>
        <v/>
      </c>
    </row>
    <row r="201" ht="15" customHeight="1">
      <c r="A201" t="inlineStr">
        <is>
          <t>A 22782-2023</t>
        </is>
      </c>
      <c r="B201" s="1" t="n">
        <v>45072</v>
      </c>
      <c r="C201" s="1" t="n">
        <v>46197</v>
      </c>
      <c r="D201" t="inlineStr">
        <is>
          <t>GOTLANDS LÄN</t>
        </is>
      </c>
      <c r="E201" t="inlineStr">
        <is>
          <t>GOTLAND</t>
        </is>
      </c>
      <c r="F201" t="inlineStr">
        <is>
          <t>Kyrkan</t>
        </is>
      </c>
      <c r="G201" t="n">
        <v>3.1</v>
      </c>
      <c r="H201" t="n">
        <v>1</v>
      </c>
      <c r="I201" t="n">
        <v>0</v>
      </c>
      <c r="J201" t="n">
        <v>0</v>
      </c>
      <c r="K201" t="n">
        <v>0</v>
      </c>
      <c r="L201" t="n">
        <v>0</v>
      </c>
      <c r="M201" t="n">
        <v>0</v>
      </c>
      <c r="N201" t="n">
        <v>0</v>
      </c>
      <c r="O201" t="n">
        <v>0</v>
      </c>
      <c r="P201" t="n">
        <v>0</v>
      </c>
      <c r="Q201" t="n">
        <v>1</v>
      </c>
      <c r="R201" s="2" t="inlineStr">
        <is>
          <t>Ängsnycklar × skogsnycklar</t>
        </is>
      </c>
      <c r="S201">
        <f>HYPERLINK("https://klasma.github.io/Logging_0980/artfynd/A 22782-2023 artfynd.xlsx", "A 22782-2023")</f>
        <v/>
      </c>
      <c r="T201">
        <f>HYPERLINK("https://klasma.github.io/Logging_0980/kartor/A 22782-2023 karta.png", "A 22782-2023")</f>
        <v/>
      </c>
      <c r="V201">
        <f>HYPERLINK("https://klasma.github.io/Logging_0980/klagomål/A 22782-2023 FSC-klagomål.docx", "A 22782-2023")</f>
        <v/>
      </c>
      <c r="W201">
        <f>HYPERLINK("https://klasma.github.io/Logging_0980/klagomålsmail/A 22782-2023 FSC-klagomål mail.docx", "A 22782-2023")</f>
        <v/>
      </c>
      <c r="X201">
        <f>HYPERLINK("https://klasma.github.io/Logging_0980/tillsyn/A 22782-2023 tillsynsbegäran.docx", "A 22782-2023")</f>
        <v/>
      </c>
      <c r="Y201">
        <f>HYPERLINK("https://klasma.github.io/Logging_0980/tillsynsmail/A 22782-2023 tillsynsbegäran mail.docx", "A 22782-2023")</f>
        <v/>
      </c>
    </row>
    <row r="202" ht="15" customHeight="1">
      <c r="A202" t="inlineStr">
        <is>
          <t>A 27602-2023</t>
        </is>
      </c>
      <c r="B202" s="1" t="n">
        <v>45097</v>
      </c>
      <c r="C202" s="1" t="n">
        <v>46197</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Blåsippa</t>
        </is>
      </c>
      <c r="S202">
        <f>HYPERLINK("https://klasma.github.io/Logging_0980/artfynd/A 27602-2023 artfynd.xlsx", "A 27602-2023")</f>
        <v/>
      </c>
      <c r="T202">
        <f>HYPERLINK("https://klasma.github.io/Logging_0980/kartor/A 27602-2023 karta.png", "A 27602-2023")</f>
        <v/>
      </c>
      <c r="V202">
        <f>HYPERLINK("https://klasma.github.io/Logging_0980/klagomål/A 27602-2023 FSC-klagomål.docx", "A 27602-2023")</f>
        <v/>
      </c>
      <c r="W202">
        <f>HYPERLINK("https://klasma.github.io/Logging_0980/klagomålsmail/A 27602-2023 FSC-klagomål mail.docx", "A 27602-2023")</f>
        <v/>
      </c>
      <c r="X202">
        <f>HYPERLINK("https://klasma.github.io/Logging_0980/tillsyn/A 27602-2023 tillsynsbegäran.docx", "A 27602-2023")</f>
        <v/>
      </c>
      <c r="Y202">
        <f>HYPERLINK("https://klasma.github.io/Logging_0980/tillsynsmail/A 27602-2023 tillsynsbegäran mail.docx", "A 27602-2023")</f>
        <v/>
      </c>
    </row>
    <row r="203" ht="15" customHeight="1">
      <c r="A203" t="inlineStr">
        <is>
          <t>A 22883-2024</t>
        </is>
      </c>
      <c r="B203" s="1" t="n">
        <v>45448</v>
      </c>
      <c r="C203" s="1" t="n">
        <v>46197</v>
      </c>
      <c r="D203" t="inlineStr">
        <is>
          <t>GOTLANDS LÄN</t>
        </is>
      </c>
      <c r="E203" t="inlineStr">
        <is>
          <t>GOTLAND</t>
        </is>
      </c>
      <c r="G203" t="n">
        <v>0.5</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22883-2024 artfynd.xlsx", "A 22883-2024")</f>
        <v/>
      </c>
      <c r="T203">
        <f>HYPERLINK("https://klasma.github.io/Logging_0980/kartor/A 22883-2024 karta.png", "A 22883-2024")</f>
        <v/>
      </c>
      <c r="V203">
        <f>HYPERLINK("https://klasma.github.io/Logging_0980/klagomål/A 22883-2024 FSC-klagomål.docx", "A 22883-2024")</f>
        <v/>
      </c>
      <c r="W203">
        <f>HYPERLINK("https://klasma.github.io/Logging_0980/klagomålsmail/A 22883-2024 FSC-klagomål mail.docx", "A 22883-2024")</f>
        <v/>
      </c>
      <c r="X203">
        <f>HYPERLINK("https://klasma.github.io/Logging_0980/tillsyn/A 22883-2024 tillsynsbegäran.docx", "A 22883-2024")</f>
        <v/>
      </c>
      <c r="Y203">
        <f>HYPERLINK("https://klasma.github.io/Logging_0980/tillsynsmail/A 22883-2024 tillsynsbegäran mail.docx", "A 22883-2024")</f>
        <v/>
      </c>
    </row>
    <row r="204" ht="15" customHeight="1">
      <c r="A204" t="inlineStr">
        <is>
          <t>A 57534-2022</t>
        </is>
      </c>
      <c r="B204" s="1" t="n">
        <v>44896</v>
      </c>
      <c r="C204" s="1" t="n">
        <v>46197</v>
      </c>
      <c r="D204" t="inlineStr">
        <is>
          <t>GOTLANDS LÄN</t>
        </is>
      </c>
      <c r="E204" t="inlineStr">
        <is>
          <t>GOTLAND</t>
        </is>
      </c>
      <c r="G204" t="n">
        <v>0.6</v>
      </c>
      <c r="H204" t="n">
        <v>0</v>
      </c>
      <c r="I204" t="n">
        <v>1</v>
      </c>
      <c r="J204" t="n">
        <v>0</v>
      </c>
      <c r="K204" t="n">
        <v>0</v>
      </c>
      <c r="L204" t="n">
        <v>0</v>
      </c>
      <c r="M204" t="n">
        <v>0</v>
      </c>
      <c r="N204" t="n">
        <v>0</v>
      </c>
      <c r="O204" t="n">
        <v>0</v>
      </c>
      <c r="P204" t="n">
        <v>0</v>
      </c>
      <c r="Q204" t="n">
        <v>1</v>
      </c>
      <c r="R204" s="2" t="inlineStr">
        <is>
          <t>Myskmadra</t>
        </is>
      </c>
      <c r="S204">
        <f>HYPERLINK("https://klasma.github.io/Logging_0980/artfynd/A 57534-2022 artfynd.xlsx", "A 57534-2022")</f>
        <v/>
      </c>
      <c r="T204">
        <f>HYPERLINK("https://klasma.github.io/Logging_0980/kartor/A 57534-2022 karta.png", "A 57534-2022")</f>
        <v/>
      </c>
      <c r="V204">
        <f>HYPERLINK("https://klasma.github.io/Logging_0980/klagomål/A 57534-2022 FSC-klagomål.docx", "A 57534-2022")</f>
        <v/>
      </c>
      <c r="W204">
        <f>HYPERLINK("https://klasma.github.io/Logging_0980/klagomålsmail/A 57534-2022 FSC-klagomål mail.docx", "A 57534-2022")</f>
        <v/>
      </c>
      <c r="X204">
        <f>HYPERLINK("https://klasma.github.io/Logging_0980/tillsyn/A 57534-2022 tillsynsbegäran.docx", "A 57534-2022")</f>
        <v/>
      </c>
      <c r="Y204">
        <f>HYPERLINK("https://klasma.github.io/Logging_0980/tillsynsmail/A 57534-2022 tillsynsbegäran mail.docx", "A 57534-2022")</f>
        <v/>
      </c>
    </row>
    <row r="205" ht="15" customHeight="1">
      <c r="A205" t="inlineStr">
        <is>
          <t>A 24245-2022</t>
        </is>
      </c>
      <c r="B205" s="1" t="n">
        <v>44725</v>
      </c>
      <c r="C205" s="1" t="n">
        <v>46197</v>
      </c>
      <c r="D205" t="inlineStr">
        <is>
          <t>GOTLANDS LÄN</t>
        </is>
      </c>
      <c r="E205" t="inlineStr">
        <is>
          <t>GOTLAND</t>
        </is>
      </c>
      <c r="G205" t="n">
        <v>4.9</v>
      </c>
      <c r="H205" t="n">
        <v>0</v>
      </c>
      <c r="I205" t="n">
        <v>0</v>
      </c>
      <c r="J205" t="n">
        <v>0</v>
      </c>
      <c r="K205" t="n">
        <v>0</v>
      </c>
      <c r="L205" t="n">
        <v>1</v>
      </c>
      <c r="M205" t="n">
        <v>0</v>
      </c>
      <c r="N205" t="n">
        <v>0</v>
      </c>
      <c r="O205" t="n">
        <v>1</v>
      </c>
      <c r="P205" t="n">
        <v>1</v>
      </c>
      <c r="Q205" t="n">
        <v>1</v>
      </c>
      <c r="R205" s="2" t="inlineStr">
        <is>
          <t>Slät taggsvamp</t>
        </is>
      </c>
      <c r="S205">
        <f>HYPERLINK("https://klasma.github.io/Logging_0980/artfynd/A 24245-2022 artfynd.xlsx", "A 24245-2022")</f>
        <v/>
      </c>
      <c r="T205">
        <f>HYPERLINK("https://klasma.github.io/Logging_0980/kartor/A 24245-2022 karta.png", "A 24245-2022")</f>
        <v/>
      </c>
      <c r="V205">
        <f>HYPERLINK("https://klasma.github.io/Logging_0980/klagomål/A 24245-2022 FSC-klagomål.docx", "A 24245-2022")</f>
        <v/>
      </c>
      <c r="W205">
        <f>HYPERLINK("https://klasma.github.io/Logging_0980/klagomålsmail/A 24245-2022 FSC-klagomål mail.docx", "A 24245-2022")</f>
        <v/>
      </c>
      <c r="X205">
        <f>HYPERLINK("https://klasma.github.io/Logging_0980/tillsyn/A 24245-2022 tillsynsbegäran.docx", "A 24245-2022")</f>
        <v/>
      </c>
      <c r="Y205">
        <f>HYPERLINK("https://klasma.github.io/Logging_0980/tillsynsmail/A 24245-2022 tillsynsbegäran mail.docx", "A 24245-2022")</f>
        <v/>
      </c>
    </row>
    <row r="206" ht="15" customHeight="1">
      <c r="A206" t="inlineStr">
        <is>
          <t>A 49847-2023</t>
        </is>
      </c>
      <c r="B206" s="1" t="n">
        <v>45212</v>
      </c>
      <c r="C206" s="1" t="n">
        <v>46197</v>
      </c>
      <c r="D206" t="inlineStr">
        <is>
          <t>GOTLANDS LÄN</t>
        </is>
      </c>
      <c r="E206" t="inlineStr">
        <is>
          <t>GOTLAND</t>
        </is>
      </c>
      <c r="G206" t="n">
        <v>35.2</v>
      </c>
      <c r="H206" t="n">
        <v>0</v>
      </c>
      <c r="I206" t="n">
        <v>0</v>
      </c>
      <c r="J206" t="n">
        <v>0</v>
      </c>
      <c r="K206" t="n">
        <v>1</v>
      </c>
      <c r="L206" t="n">
        <v>0</v>
      </c>
      <c r="M206" t="n">
        <v>0</v>
      </c>
      <c r="N206" t="n">
        <v>0</v>
      </c>
      <c r="O206" t="n">
        <v>1</v>
      </c>
      <c r="P206" t="n">
        <v>1</v>
      </c>
      <c r="Q206" t="n">
        <v>1</v>
      </c>
      <c r="R206" s="2" t="inlineStr">
        <is>
          <t>Strandviol</t>
        </is>
      </c>
      <c r="S206">
        <f>HYPERLINK("https://klasma.github.io/Logging_0980/artfynd/A 49847-2023 artfynd.xlsx", "A 49847-2023")</f>
        <v/>
      </c>
      <c r="T206">
        <f>HYPERLINK("https://klasma.github.io/Logging_0980/kartor/A 49847-2023 karta.png", "A 49847-2023")</f>
        <v/>
      </c>
      <c r="V206">
        <f>HYPERLINK("https://klasma.github.io/Logging_0980/klagomål/A 49847-2023 FSC-klagomål.docx", "A 49847-2023")</f>
        <v/>
      </c>
      <c r="W206">
        <f>HYPERLINK("https://klasma.github.io/Logging_0980/klagomålsmail/A 49847-2023 FSC-klagomål mail.docx", "A 49847-2023")</f>
        <v/>
      </c>
      <c r="X206">
        <f>HYPERLINK("https://klasma.github.io/Logging_0980/tillsyn/A 49847-2023 tillsynsbegäran.docx", "A 49847-2023")</f>
        <v/>
      </c>
      <c r="Y206">
        <f>HYPERLINK("https://klasma.github.io/Logging_0980/tillsynsmail/A 49847-2023 tillsynsbegäran mail.docx", "A 49847-2023")</f>
        <v/>
      </c>
    </row>
    <row r="207" ht="15" customHeight="1">
      <c r="A207" t="inlineStr">
        <is>
          <t>A 56115-2023</t>
        </is>
      </c>
      <c r="B207" s="1" t="n">
        <v>45236</v>
      </c>
      <c r="C207" s="1" t="n">
        <v>46197</v>
      </c>
      <c r="D207" t="inlineStr">
        <is>
          <t>GOTLANDS LÄN</t>
        </is>
      </c>
      <c r="E207" t="inlineStr">
        <is>
          <t>GOTLAND</t>
        </is>
      </c>
      <c r="G207" t="n">
        <v>2</v>
      </c>
      <c r="H207" t="n">
        <v>1</v>
      </c>
      <c r="I207" t="n">
        <v>1</v>
      </c>
      <c r="J207" t="n">
        <v>0</v>
      </c>
      <c r="K207" t="n">
        <v>0</v>
      </c>
      <c r="L207" t="n">
        <v>0</v>
      </c>
      <c r="M207" t="n">
        <v>0</v>
      </c>
      <c r="N207" t="n">
        <v>0</v>
      </c>
      <c r="O207" t="n">
        <v>0</v>
      </c>
      <c r="P207" t="n">
        <v>0</v>
      </c>
      <c r="Q207" t="n">
        <v>1</v>
      </c>
      <c r="R207" s="2" t="inlineStr">
        <is>
          <t>Skogsknipprot</t>
        </is>
      </c>
      <c r="S207">
        <f>HYPERLINK("https://klasma.github.io/Logging_0980/artfynd/A 56115-2023 artfynd.xlsx", "A 56115-2023")</f>
        <v/>
      </c>
      <c r="T207">
        <f>HYPERLINK("https://klasma.github.io/Logging_0980/kartor/A 56115-2023 karta.png", "A 56115-2023")</f>
        <v/>
      </c>
      <c r="V207">
        <f>HYPERLINK("https://klasma.github.io/Logging_0980/klagomål/A 56115-2023 FSC-klagomål.docx", "A 56115-2023")</f>
        <v/>
      </c>
      <c r="W207">
        <f>HYPERLINK("https://klasma.github.io/Logging_0980/klagomålsmail/A 56115-2023 FSC-klagomål mail.docx", "A 56115-2023")</f>
        <v/>
      </c>
      <c r="X207">
        <f>HYPERLINK("https://klasma.github.io/Logging_0980/tillsyn/A 56115-2023 tillsynsbegäran.docx", "A 56115-2023")</f>
        <v/>
      </c>
      <c r="Y207">
        <f>HYPERLINK("https://klasma.github.io/Logging_0980/tillsynsmail/A 56115-2023 tillsynsbegäran mail.docx", "A 56115-2023")</f>
        <v/>
      </c>
    </row>
    <row r="208" ht="15" customHeight="1">
      <c r="A208" t="inlineStr">
        <is>
          <t>A 23856-2025</t>
        </is>
      </c>
      <c r="B208" s="1" t="n">
        <v>45793</v>
      </c>
      <c r="C208" s="1" t="n">
        <v>46197</v>
      </c>
      <c r="D208" t="inlineStr">
        <is>
          <t>GOTLANDS LÄN</t>
        </is>
      </c>
      <c r="E208" t="inlineStr">
        <is>
          <t>GOTLAND</t>
        </is>
      </c>
      <c r="G208" t="n">
        <v>4.4</v>
      </c>
      <c r="H208" t="n">
        <v>0</v>
      </c>
      <c r="I208" t="n">
        <v>0</v>
      </c>
      <c r="J208" t="n">
        <v>1</v>
      </c>
      <c r="K208" t="n">
        <v>0</v>
      </c>
      <c r="L208" t="n">
        <v>0</v>
      </c>
      <c r="M208" t="n">
        <v>0</v>
      </c>
      <c r="N208" t="n">
        <v>0</v>
      </c>
      <c r="O208" t="n">
        <v>1</v>
      </c>
      <c r="P208" t="n">
        <v>0</v>
      </c>
      <c r="Q208" t="n">
        <v>1</v>
      </c>
      <c r="R208" s="2" t="inlineStr">
        <is>
          <t>Vittåtel</t>
        </is>
      </c>
      <c r="S208">
        <f>HYPERLINK("https://klasma.github.io/Logging_0980/artfynd/A 23856-2025 artfynd.xlsx", "A 23856-2025")</f>
        <v/>
      </c>
      <c r="T208">
        <f>HYPERLINK("https://klasma.github.io/Logging_0980/kartor/A 23856-2025 karta.png", "A 23856-2025")</f>
        <v/>
      </c>
      <c r="V208">
        <f>HYPERLINK("https://klasma.github.io/Logging_0980/klagomål/A 23856-2025 FSC-klagomål.docx", "A 23856-2025")</f>
        <v/>
      </c>
      <c r="W208">
        <f>HYPERLINK("https://klasma.github.io/Logging_0980/klagomålsmail/A 23856-2025 FSC-klagomål mail.docx", "A 23856-2025")</f>
        <v/>
      </c>
      <c r="X208">
        <f>HYPERLINK("https://klasma.github.io/Logging_0980/tillsyn/A 23856-2025 tillsynsbegäran.docx", "A 23856-2025")</f>
        <v/>
      </c>
      <c r="Y208">
        <f>HYPERLINK("https://klasma.github.io/Logging_0980/tillsynsmail/A 23856-2025 tillsynsbegäran mail.docx", "A 23856-2025")</f>
        <v/>
      </c>
    </row>
    <row r="209" ht="15" customHeight="1">
      <c r="A209" t="inlineStr">
        <is>
          <t>A 36313-2021</t>
        </is>
      </c>
      <c r="B209" s="1" t="n">
        <v>44390</v>
      </c>
      <c r="C209" s="1" t="n">
        <v>46197</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46197</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46197</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46197</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46197</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46197</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46197</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42688-2021</t>
        </is>
      </c>
      <c r="B217" s="1" t="n">
        <v>44428</v>
      </c>
      <c r="C217" s="1" t="n">
        <v>46197</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24123-2022</t>
        </is>
      </c>
      <c r="B218" s="1" t="n">
        <v>44725</v>
      </c>
      <c r="C218" s="1" t="n">
        <v>46197</v>
      </c>
      <c r="D218" t="inlineStr">
        <is>
          <t>GOTLANDS LÄN</t>
        </is>
      </c>
      <c r="E218" t="inlineStr">
        <is>
          <t>GOTLAND</t>
        </is>
      </c>
      <c r="G218" t="n">
        <v>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46197</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46197</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46197</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46197</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46197</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46197</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46197</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30282-2022</t>
        </is>
      </c>
      <c r="B233" s="1" t="n">
        <v>44760</v>
      </c>
      <c r="C233" s="1" t="n">
        <v>46197</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v>
      </c>
      <c r="C234" s="1" t="n">
        <v>46197</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22031-2024</t>
        </is>
      </c>
      <c r="B235" s="1" t="n">
        <v>45443</v>
      </c>
      <c r="C235" s="1" t="n">
        <v>46197</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46197</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65901-2021</t>
        </is>
      </c>
      <c r="B237" s="1" t="n">
        <v>44516</v>
      </c>
      <c r="C237" s="1" t="n">
        <v>46197</v>
      </c>
      <c r="D237" t="inlineStr">
        <is>
          <t>GOTLANDS LÄN</t>
        </is>
      </c>
      <c r="E237" t="inlineStr">
        <is>
          <t>GOTLAND</t>
        </is>
      </c>
      <c r="G237" t="n">
        <v>4.9</v>
      </c>
      <c r="H237" t="n">
        <v>0</v>
      </c>
      <c r="I237" t="n">
        <v>0</v>
      </c>
      <c r="J237" t="n">
        <v>0</v>
      </c>
      <c r="K237" t="n">
        <v>0</v>
      </c>
      <c r="L237" t="n">
        <v>0</v>
      </c>
      <c r="M237" t="n">
        <v>0</v>
      </c>
      <c r="N237" t="n">
        <v>0</v>
      </c>
      <c r="O237" t="n">
        <v>0</v>
      </c>
      <c r="P237" t="n">
        <v>0</v>
      </c>
      <c r="Q237" t="n">
        <v>0</v>
      </c>
      <c r="R237" s="2" t="inlineStr"/>
    </row>
    <row r="238" ht="15" customHeight="1">
      <c r="A238" t="inlineStr">
        <is>
          <t>A 48503-2023</t>
        </is>
      </c>
      <c r="B238" s="1" t="n">
        <v>45207</v>
      </c>
      <c r="C238" s="1" t="n">
        <v>46197</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44649-2021</t>
        </is>
      </c>
      <c r="B239" s="1" t="n">
        <v>44437</v>
      </c>
      <c r="C239" s="1" t="n">
        <v>46197</v>
      </c>
      <c r="D239" t="inlineStr">
        <is>
          <t>GOTLANDS LÄN</t>
        </is>
      </c>
      <c r="E239" t="inlineStr">
        <is>
          <t>GOTLAND</t>
        </is>
      </c>
      <c r="G239" t="n">
        <v>8.1</v>
      </c>
      <c r="H239" t="n">
        <v>0</v>
      </c>
      <c r="I239" t="n">
        <v>0</v>
      </c>
      <c r="J239" t="n">
        <v>0</v>
      </c>
      <c r="K239" t="n">
        <v>0</v>
      </c>
      <c r="L239" t="n">
        <v>0</v>
      </c>
      <c r="M239" t="n">
        <v>0</v>
      </c>
      <c r="N239" t="n">
        <v>0</v>
      </c>
      <c r="O239" t="n">
        <v>0</v>
      </c>
      <c r="P239" t="n">
        <v>0</v>
      </c>
      <c r="Q239" t="n">
        <v>0</v>
      </c>
      <c r="R239" s="2" t="inlineStr"/>
    </row>
    <row r="240" ht="15" customHeight="1">
      <c r="A240" t="inlineStr">
        <is>
          <t>A 9947-2024</t>
        </is>
      </c>
      <c r="B240" s="1" t="n">
        <v>45363</v>
      </c>
      <c r="C240" s="1" t="n">
        <v>46197</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v>
      </c>
      <c r="C241" s="1" t="n">
        <v>46197</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46197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63516-2023</t>
        </is>
      </c>
      <c r="B243" s="1" t="n">
        <v>45274</v>
      </c>
      <c r="C243" s="1" t="n">
        <v>46197</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1681-2023</t>
        </is>
      </c>
      <c r="B244" s="1" t="n">
        <v>44938</v>
      </c>
      <c r="C244" s="1" t="n">
        <v>46197</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30365-2024</t>
        </is>
      </c>
      <c r="B245" s="1" t="n">
        <v>45491</v>
      </c>
      <c r="C245" s="1" t="n">
        <v>46197</v>
      </c>
      <c r="D245" t="inlineStr">
        <is>
          <t>GOTLANDS LÄN</t>
        </is>
      </c>
      <c r="E245" t="inlineStr">
        <is>
          <t>GOTLAND</t>
        </is>
      </c>
      <c r="G245" t="n">
        <v>0.5</v>
      </c>
      <c r="H245" t="n">
        <v>0</v>
      </c>
      <c r="I245" t="n">
        <v>0</v>
      </c>
      <c r="J245" t="n">
        <v>0</v>
      </c>
      <c r="K245" t="n">
        <v>0</v>
      </c>
      <c r="L245" t="n">
        <v>0</v>
      </c>
      <c r="M245" t="n">
        <v>0</v>
      </c>
      <c r="N245" t="n">
        <v>0</v>
      </c>
      <c r="O245" t="n">
        <v>0</v>
      </c>
      <c r="P245" t="n">
        <v>0</v>
      </c>
      <c r="Q245" t="n">
        <v>0</v>
      </c>
      <c r="R245" s="2" t="inlineStr"/>
    </row>
    <row r="246" ht="15" customHeight="1">
      <c r="A246" t="inlineStr">
        <is>
          <t>A 6099-2024</t>
        </is>
      </c>
      <c r="B246" s="1" t="n">
        <v>45337</v>
      </c>
      <c r="C246" s="1" t="n">
        <v>46197</v>
      </c>
      <c r="D246" t="inlineStr">
        <is>
          <t>GOTLANDS LÄN</t>
        </is>
      </c>
      <c r="E246" t="inlineStr">
        <is>
          <t>GOTLAND</t>
        </is>
      </c>
      <c r="G246" t="n">
        <v>12.6</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v>
      </c>
      <c r="C247" s="1" t="n">
        <v>46197</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2415-2026</t>
        </is>
      </c>
      <c r="B248" s="1" t="n">
        <v>46036</v>
      </c>
      <c r="C248" s="1" t="n">
        <v>46197</v>
      </c>
      <c r="D248" t="inlineStr">
        <is>
          <t>GOTLANDS LÄN</t>
        </is>
      </c>
      <c r="E248" t="inlineStr">
        <is>
          <t>GOTLAND</t>
        </is>
      </c>
      <c r="G248" t="n">
        <v>6.9</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v>
      </c>
      <c r="C249" s="1" t="n">
        <v>46197</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28285-2024</t>
        </is>
      </c>
      <c r="B250" s="1" t="n">
        <v>45477</v>
      </c>
      <c r="C250" s="1" t="n">
        <v>46197</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v>
      </c>
      <c r="C251" s="1" t="n">
        <v>46197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27355-2025</t>
        </is>
      </c>
      <c r="B252" s="1" t="n">
        <v>45812</v>
      </c>
      <c r="C252" s="1" t="n">
        <v>46197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7850-2025</t>
        </is>
      </c>
      <c r="B253" s="1" t="n">
        <v>45706</v>
      </c>
      <c r="C253" s="1" t="n">
        <v>46197</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12599-2025</t>
        </is>
      </c>
      <c r="B254" s="1" t="n">
        <v>45733</v>
      </c>
      <c r="C254" s="1" t="n">
        <v>46197</v>
      </c>
      <c r="D254" t="inlineStr">
        <is>
          <t>GOTLANDS LÄN</t>
        </is>
      </c>
      <c r="E254" t="inlineStr">
        <is>
          <t>GOTLAND</t>
        </is>
      </c>
      <c r="G254" t="n">
        <v>4.7</v>
      </c>
      <c r="H254" t="n">
        <v>0</v>
      </c>
      <c r="I254" t="n">
        <v>0</v>
      </c>
      <c r="J254" t="n">
        <v>0</v>
      </c>
      <c r="K254" t="n">
        <v>0</v>
      </c>
      <c r="L254" t="n">
        <v>0</v>
      </c>
      <c r="M254" t="n">
        <v>0</v>
      </c>
      <c r="N254" t="n">
        <v>0</v>
      </c>
      <c r="O254" t="n">
        <v>0</v>
      </c>
      <c r="P254" t="n">
        <v>0</v>
      </c>
      <c r="Q254" t="n">
        <v>0</v>
      </c>
      <c r="R254" s="2" t="inlineStr"/>
    </row>
    <row r="255" ht="15" customHeight="1">
      <c r="A255" t="inlineStr">
        <is>
          <t>A 35141-2025</t>
        </is>
      </c>
      <c r="B255" s="1" t="n">
        <v>45852</v>
      </c>
      <c r="C255" s="1" t="n">
        <v>46197</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v>
      </c>
      <c r="C256" s="1" t="n">
        <v>46197</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58388-2022</t>
        </is>
      </c>
      <c r="B257" s="1" t="n">
        <v>44894</v>
      </c>
      <c r="C257" s="1" t="n">
        <v>46197</v>
      </c>
      <c r="D257" t="inlineStr">
        <is>
          <t>GOTLANDS LÄN</t>
        </is>
      </c>
      <c r="E257" t="inlineStr">
        <is>
          <t>GOTLAND</t>
        </is>
      </c>
      <c r="F257" t="inlineStr">
        <is>
          <t>Övriga statliga verk och myndigheter</t>
        </is>
      </c>
      <c r="G257" t="n">
        <v>3.1</v>
      </c>
      <c r="H257" t="n">
        <v>0</v>
      </c>
      <c r="I257" t="n">
        <v>0</v>
      </c>
      <c r="J257" t="n">
        <v>0</v>
      </c>
      <c r="K257" t="n">
        <v>0</v>
      </c>
      <c r="L257" t="n">
        <v>0</v>
      </c>
      <c r="M257" t="n">
        <v>0</v>
      </c>
      <c r="N257" t="n">
        <v>0</v>
      </c>
      <c r="O257" t="n">
        <v>0</v>
      </c>
      <c r="P257" t="n">
        <v>0</v>
      </c>
      <c r="Q257" t="n">
        <v>0</v>
      </c>
      <c r="R257" s="2" t="inlineStr"/>
    </row>
    <row r="258" ht="15" customHeight="1">
      <c r="A258" t="inlineStr">
        <is>
          <t>A 8444-2025</t>
        </is>
      </c>
      <c r="B258" s="1" t="n">
        <v>45709</v>
      </c>
      <c r="C258" s="1" t="n">
        <v>46197</v>
      </c>
      <c r="D258" t="inlineStr">
        <is>
          <t>GOTLANDS LÄN</t>
        </is>
      </c>
      <c r="E258" t="inlineStr">
        <is>
          <t>GOTLAND</t>
        </is>
      </c>
      <c r="G258" t="n">
        <v>5.2</v>
      </c>
      <c r="H258" t="n">
        <v>0</v>
      </c>
      <c r="I258" t="n">
        <v>0</v>
      </c>
      <c r="J258" t="n">
        <v>0</v>
      </c>
      <c r="K258" t="n">
        <v>0</v>
      </c>
      <c r="L258" t="n">
        <v>0</v>
      </c>
      <c r="M258" t="n">
        <v>0</v>
      </c>
      <c r="N258" t="n">
        <v>0</v>
      </c>
      <c r="O258" t="n">
        <v>0</v>
      </c>
      <c r="P258" t="n">
        <v>0</v>
      </c>
      <c r="Q258" t="n">
        <v>0</v>
      </c>
      <c r="R258" s="2" t="inlineStr"/>
    </row>
    <row r="259" ht="15" customHeight="1">
      <c r="A259" t="inlineStr">
        <is>
          <t>A 39816-2025</t>
        </is>
      </c>
      <c r="B259" s="1" t="n">
        <v>45891</v>
      </c>
      <c r="C259" s="1" t="n">
        <v>46197</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40373-2025</t>
        </is>
      </c>
      <c r="B260" s="1" t="n">
        <v>45895</v>
      </c>
      <c r="C260" s="1" t="n">
        <v>46197</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46197</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40499-2025</t>
        </is>
      </c>
      <c r="B262" s="1" t="n">
        <v>45896</v>
      </c>
      <c r="C262" s="1" t="n">
        <v>46197</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40372-2025</t>
        </is>
      </c>
      <c r="B263" s="1" t="n">
        <v>45895</v>
      </c>
      <c r="C263" s="1" t="n">
        <v>46197</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29196-2025</t>
        </is>
      </c>
      <c r="B264" s="1" t="n">
        <v>45822</v>
      </c>
      <c r="C264" s="1" t="n">
        <v>46197</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17688-2024</t>
        </is>
      </c>
      <c r="B265" s="1" t="n">
        <v>45418</v>
      </c>
      <c r="C265" s="1" t="n">
        <v>46197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7837-2024</t>
        </is>
      </c>
      <c r="B266" s="1" t="n">
        <v>45349</v>
      </c>
      <c r="C266" s="1" t="n">
        <v>46197</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39278-2025</t>
        </is>
      </c>
      <c r="B267" s="1" t="n">
        <v>45889</v>
      </c>
      <c r="C267" s="1" t="n">
        <v>46197</v>
      </c>
      <c r="D267" t="inlineStr">
        <is>
          <t>GOTLANDS LÄN</t>
        </is>
      </c>
      <c r="E267" t="inlineStr">
        <is>
          <t>GOTLAND</t>
        </is>
      </c>
      <c r="G267" t="n">
        <v>3.7</v>
      </c>
      <c r="H267" t="n">
        <v>0</v>
      </c>
      <c r="I267" t="n">
        <v>0</v>
      </c>
      <c r="J267" t="n">
        <v>0</v>
      </c>
      <c r="K267" t="n">
        <v>0</v>
      </c>
      <c r="L267" t="n">
        <v>0</v>
      </c>
      <c r="M267" t="n">
        <v>0</v>
      </c>
      <c r="N267" t="n">
        <v>0</v>
      </c>
      <c r="O267" t="n">
        <v>0</v>
      </c>
      <c r="P267" t="n">
        <v>0</v>
      </c>
      <c r="Q267" t="n">
        <v>0</v>
      </c>
      <c r="R267" s="2" t="inlineStr"/>
    </row>
    <row r="268" ht="15" customHeight="1">
      <c r="A268" t="inlineStr">
        <is>
          <t>A 30061-2025</t>
        </is>
      </c>
      <c r="B268" s="1" t="n">
        <v>45826</v>
      </c>
      <c r="C268" s="1" t="n">
        <v>46197</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v>
      </c>
      <c r="C269" s="1" t="n">
        <v>46197</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35512-2023</t>
        </is>
      </c>
      <c r="B270" s="1" t="n">
        <v>45147</v>
      </c>
      <c r="C270" s="1" t="n">
        <v>46197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5905-2024</t>
        </is>
      </c>
      <c r="B271" s="1" t="n">
        <v>45335</v>
      </c>
      <c r="C271" s="1" t="n">
        <v>46197</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1291-2023</t>
        </is>
      </c>
      <c r="B272" s="1" t="n">
        <v>44936</v>
      </c>
      <c r="C272" s="1" t="n">
        <v>46197</v>
      </c>
      <c r="D272" t="inlineStr">
        <is>
          <t>GOTLANDS LÄN</t>
        </is>
      </c>
      <c r="E272" t="inlineStr">
        <is>
          <t>GOTLAND</t>
        </is>
      </c>
      <c r="G272" t="n">
        <v>7.4</v>
      </c>
      <c r="H272" t="n">
        <v>0</v>
      </c>
      <c r="I272" t="n">
        <v>0</v>
      </c>
      <c r="J272" t="n">
        <v>0</v>
      </c>
      <c r="K272" t="n">
        <v>0</v>
      </c>
      <c r="L272" t="n">
        <v>0</v>
      </c>
      <c r="M272" t="n">
        <v>0</v>
      </c>
      <c r="N272" t="n">
        <v>0</v>
      </c>
      <c r="O272" t="n">
        <v>0</v>
      </c>
      <c r="P272" t="n">
        <v>0</v>
      </c>
      <c r="Q272" t="n">
        <v>0</v>
      </c>
      <c r="R272" s="2" t="inlineStr"/>
    </row>
    <row r="273" ht="15" customHeight="1">
      <c r="A273" t="inlineStr">
        <is>
          <t>A 57652-2023</t>
        </is>
      </c>
      <c r="B273" s="1" t="n">
        <v>45246</v>
      </c>
      <c r="C273" s="1" t="n">
        <v>46197</v>
      </c>
      <c r="D273" t="inlineStr">
        <is>
          <t>GOTLANDS LÄN</t>
        </is>
      </c>
      <c r="E273" t="inlineStr">
        <is>
          <t>GOTLAND</t>
        </is>
      </c>
      <c r="G273" t="n">
        <v>7.2</v>
      </c>
      <c r="H273" t="n">
        <v>0</v>
      </c>
      <c r="I273" t="n">
        <v>0</v>
      </c>
      <c r="J273" t="n">
        <v>0</v>
      </c>
      <c r="K273" t="n">
        <v>0</v>
      </c>
      <c r="L273" t="n">
        <v>0</v>
      </c>
      <c r="M273" t="n">
        <v>0</v>
      </c>
      <c r="N273" t="n">
        <v>0</v>
      </c>
      <c r="O273" t="n">
        <v>0</v>
      </c>
      <c r="P273" t="n">
        <v>0</v>
      </c>
      <c r="Q273" t="n">
        <v>0</v>
      </c>
      <c r="R273" s="2" t="inlineStr"/>
    </row>
    <row r="274" ht="15" customHeight="1">
      <c r="A274" t="inlineStr">
        <is>
          <t>A 16109-2025</t>
        </is>
      </c>
      <c r="B274" s="1" t="n">
        <v>45750</v>
      </c>
      <c r="C274" s="1" t="n">
        <v>46197</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49315-2024</t>
        </is>
      </c>
      <c r="B275" s="1" t="n">
        <v>45595</v>
      </c>
      <c r="C275" s="1" t="n">
        <v>46197</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10158-2025</t>
        </is>
      </c>
      <c r="B276" s="1" t="n">
        <v>45719</v>
      </c>
      <c r="C276" s="1" t="n">
        <v>46197</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2676-2023</t>
        </is>
      </c>
      <c r="B277" s="1" t="n">
        <v>44944</v>
      </c>
      <c r="C277" s="1" t="n">
        <v>46197</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43951-2025</t>
        </is>
      </c>
      <c r="B278" s="1" t="n">
        <v>45915</v>
      </c>
      <c r="C278" s="1" t="n">
        <v>46197</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3150-2025</t>
        </is>
      </c>
      <c r="B279" s="1" t="n">
        <v>45679</v>
      </c>
      <c r="C279" s="1" t="n">
        <v>46197</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8484-2025</t>
        </is>
      </c>
      <c r="B280" s="1" t="n">
        <v>45709</v>
      </c>
      <c r="C280" s="1" t="n">
        <v>46197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7636-2025</t>
        </is>
      </c>
      <c r="B281" s="1" t="n">
        <v>45705</v>
      </c>
      <c r="C281" s="1" t="n">
        <v>46197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7639-2025</t>
        </is>
      </c>
      <c r="B282" s="1" t="n">
        <v>45705</v>
      </c>
      <c r="C282" s="1" t="n">
        <v>46197</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46197</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46197</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29809-2022</t>
        </is>
      </c>
      <c r="B285" s="1" t="n">
        <v>44755</v>
      </c>
      <c r="C285" s="1" t="n">
        <v>46197</v>
      </c>
      <c r="D285" t="inlineStr">
        <is>
          <t>GOTLANDS LÄN</t>
        </is>
      </c>
      <c r="E285" t="inlineStr">
        <is>
          <t>GOTLAND</t>
        </is>
      </c>
      <c r="G285" t="n">
        <v>11.5</v>
      </c>
      <c r="H285" t="n">
        <v>0</v>
      </c>
      <c r="I285" t="n">
        <v>0</v>
      </c>
      <c r="J285" t="n">
        <v>0</v>
      </c>
      <c r="K285" t="n">
        <v>0</v>
      </c>
      <c r="L285" t="n">
        <v>0</v>
      </c>
      <c r="M285" t="n">
        <v>0</v>
      </c>
      <c r="N285" t="n">
        <v>0</v>
      </c>
      <c r="O285" t="n">
        <v>0</v>
      </c>
      <c r="P285" t="n">
        <v>0</v>
      </c>
      <c r="Q285" t="n">
        <v>0</v>
      </c>
      <c r="R285" s="2" t="inlineStr"/>
    </row>
    <row r="286" ht="15" customHeight="1">
      <c r="A286" t="inlineStr">
        <is>
          <t>A 35123-2025</t>
        </is>
      </c>
      <c r="B286" s="1" t="n">
        <v>45852</v>
      </c>
      <c r="C286" s="1" t="n">
        <v>46197</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35096-2025</t>
        </is>
      </c>
      <c r="B287" s="1" t="n">
        <v>45852</v>
      </c>
      <c r="C287" s="1" t="n">
        <v>46197</v>
      </c>
      <c r="D287" t="inlineStr">
        <is>
          <t>GOTLANDS LÄN</t>
        </is>
      </c>
      <c r="E287" t="inlineStr">
        <is>
          <t>GOTLAND</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57685-2022</t>
        </is>
      </c>
      <c r="B288" s="1" t="n">
        <v>44897</v>
      </c>
      <c r="C288" s="1" t="n">
        <v>46197</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35290-2025</t>
        </is>
      </c>
      <c r="B289" s="1" t="n">
        <v>45854</v>
      </c>
      <c r="C289" s="1" t="n">
        <v>46197</v>
      </c>
      <c r="D289" t="inlineStr">
        <is>
          <t>GOTLANDS LÄN</t>
        </is>
      </c>
      <c r="E289" t="inlineStr">
        <is>
          <t>GOTLAND</t>
        </is>
      </c>
      <c r="G289" t="n">
        <v>5.4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46197</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26391-2025</t>
        </is>
      </c>
      <c r="B291" s="1" t="n">
        <v>45806</v>
      </c>
      <c r="C291" s="1" t="n">
        <v>46197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4646-2026</t>
        </is>
      </c>
      <c r="B292" s="1" t="n">
        <v>46048</v>
      </c>
      <c r="C292" s="1" t="n">
        <v>46197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30815-2023</t>
        </is>
      </c>
      <c r="B293" s="1" t="n">
        <v>45112</v>
      </c>
      <c r="C293" s="1" t="n">
        <v>46197</v>
      </c>
      <c r="D293" t="inlineStr">
        <is>
          <t>GOTLANDS LÄN</t>
        </is>
      </c>
      <c r="E293" t="inlineStr">
        <is>
          <t>GOTLAND</t>
        </is>
      </c>
      <c r="G293" t="n">
        <v>6</v>
      </c>
      <c r="H293" t="n">
        <v>0</v>
      </c>
      <c r="I293" t="n">
        <v>0</v>
      </c>
      <c r="J293" t="n">
        <v>0</v>
      </c>
      <c r="K293" t="n">
        <v>0</v>
      </c>
      <c r="L293" t="n">
        <v>0</v>
      </c>
      <c r="M293" t="n">
        <v>0</v>
      </c>
      <c r="N293" t="n">
        <v>0</v>
      </c>
      <c r="O293" t="n">
        <v>0</v>
      </c>
      <c r="P293" t="n">
        <v>0</v>
      </c>
      <c r="Q293" t="n">
        <v>0</v>
      </c>
      <c r="R293" s="2" t="inlineStr"/>
    </row>
    <row r="294" ht="15" customHeight="1">
      <c r="A294" t="inlineStr">
        <is>
          <t>A 46836-2025</t>
        </is>
      </c>
      <c r="B294" s="1" t="n">
        <v>45928</v>
      </c>
      <c r="C294" s="1" t="n">
        <v>46197</v>
      </c>
      <c r="D294" t="inlineStr">
        <is>
          <t>GOTLANDS LÄN</t>
        </is>
      </c>
      <c r="E294" t="inlineStr">
        <is>
          <t>GOTLAND</t>
        </is>
      </c>
      <c r="G294" t="n">
        <v>2.8</v>
      </c>
      <c r="H294" t="n">
        <v>0</v>
      </c>
      <c r="I294" t="n">
        <v>0</v>
      </c>
      <c r="J294" t="n">
        <v>0</v>
      </c>
      <c r="K294" t="n">
        <v>0</v>
      </c>
      <c r="L294" t="n">
        <v>0</v>
      </c>
      <c r="M294" t="n">
        <v>0</v>
      </c>
      <c r="N294" t="n">
        <v>0</v>
      </c>
      <c r="O294" t="n">
        <v>0</v>
      </c>
      <c r="P294" t="n">
        <v>0</v>
      </c>
      <c r="Q294" t="n">
        <v>0</v>
      </c>
      <c r="R294" s="2" t="inlineStr"/>
    </row>
    <row r="295" ht="15" customHeight="1">
      <c r="A295" t="inlineStr">
        <is>
          <t>A 15216-2025</t>
        </is>
      </c>
      <c r="B295" s="1" t="n">
        <v>45744</v>
      </c>
      <c r="C295" s="1" t="n">
        <v>46197</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7034-2023</t>
        </is>
      </c>
      <c r="B296" s="1" t="n">
        <v>44968</v>
      </c>
      <c r="C296" s="1" t="n">
        <v>46197</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43790-2024</t>
        </is>
      </c>
      <c r="B297" s="1" t="n">
        <v>45571</v>
      </c>
      <c r="C297" s="1" t="n">
        <v>46197</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23516-2023</t>
        </is>
      </c>
      <c r="B298" s="1" t="n">
        <v>45076</v>
      </c>
      <c r="C298" s="1" t="n">
        <v>46197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4634-2026</t>
        </is>
      </c>
      <c r="B299" s="1" t="n">
        <v>46048</v>
      </c>
      <c r="C299" s="1" t="n">
        <v>46197</v>
      </c>
      <c r="D299" t="inlineStr">
        <is>
          <t>GOTLANDS LÄN</t>
        </is>
      </c>
      <c r="E299" t="inlineStr">
        <is>
          <t>GOTLAND</t>
        </is>
      </c>
      <c r="G299" t="n">
        <v>7.8</v>
      </c>
      <c r="H299" t="n">
        <v>0</v>
      </c>
      <c r="I299" t="n">
        <v>0</v>
      </c>
      <c r="J299" t="n">
        <v>0</v>
      </c>
      <c r="K299" t="n">
        <v>0</v>
      </c>
      <c r="L299" t="n">
        <v>0</v>
      </c>
      <c r="M299" t="n">
        <v>0</v>
      </c>
      <c r="N299" t="n">
        <v>0</v>
      </c>
      <c r="O299" t="n">
        <v>0</v>
      </c>
      <c r="P299" t="n">
        <v>0</v>
      </c>
      <c r="Q299" t="n">
        <v>0</v>
      </c>
      <c r="R299" s="2" t="inlineStr"/>
    </row>
    <row r="300" ht="15" customHeight="1">
      <c r="A300" t="inlineStr">
        <is>
          <t>A 15001-2025</t>
        </is>
      </c>
      <c r="B300" s="1" t="n">
        <v>45743</v>
      </c>
      <c r="C300" s="1" t="n">
        <v>46197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4670-2026</t>
        </is>
      </c>
      <c r="B301" s="1" t="n">
        <v>46048</v>
      </c>
      <c r="C301" s="1" t="n">
        <v>46197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64660-2023</t>
        </is>
      </c>
      <c r="B302" s="1" t="n">
        <v>45281</v>
      </c>
      <c r="C302" s="1" t="n">
        <v>46197</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46197</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17847-2025</t>
        </is>
      </c>
      <c r="B304" s="1" t="n">
        <v>45758</v>
      </c>
      <c r="C304" s="1" t="n">
        <v>46197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63763-2023</t>
        </is>
      </c>
      <c r="B305" s="1" t="n">
        <v>45278</v>
      </c>
      <c r="C305" s="1" t="n">
        <v>46197</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18742-2025</t>
        </is>
      </c>
      <c r="B306" s="1" t="n">
        <v>45763</v>
      </c>
      <c r="C306" s="1" t="n">
        <v>46197</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35129-2025</t>
        </is>
      </c>
      <c r="B307" s="1" t="n">
        <v>45852</v>
      </c>
      <c r="C307" s="1" t="n">
        <v>46197</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47637-2025</t>
        </is>
      </c>
      <c r="B308" s="1" t="n">
        <v>45931</v>
      </c>
      <c r="C308" s="1" t="n">
        <v>46197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32378-2025</t>
        </is>
      </c>
      <c r="B309" s="1" t="n">
        <v>45837</v>
      </c>
      <c r="C309" s="1" t="n">
        <v>46197</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35550-2025</t>
        </is>
      </c>
      <c r="B310" s="1" t="n">
        <v>45856</v>
      </c>
      <c r="C310" s="1" t="n">
        <v>46197</v>
      </c>
      <c r="D310" t="inlineStr">
        <is>
          <t>GOTLANDS LÄN</t>
        </is>
      </c>
      <c r="E310" t="inlineStr">
        <is>
          <t>GOTLAND</t>
        </is>
      </c>
      <c r="G310" t="n">
        <v>3.2</v>
      </c>
      <c r="H310" t="n">
        <v>0</v>
      </c>
      <c r="I310" t="n">
        <v>0</v>
      </c>
      <c r="J310" t="n">
        <v>0</v>
      </c>
      <c r="K310" t="n">
        <v>0</v>
      </c>
      <c r="L310" t="n">
        <v>0</v>
      </c>
      <c r="M310" t="n">
        <v>0</v>
      </c>
      <c r="N310" t="n">
        <v>0</v>
      </c>
      <c r="O310" t="n">
        <v>0</v>
      </c>
      <c r="P310" t="n">
        <v>0</v>
      </c>
      <c r="Q310" t="n">
        <v>0</v>
      </c>
      <c r="R310" s="2" t="inlineStr"/>
    </row>
    <row r="311" ht="15" customHeight="1">
      <c r="A311" t="inlineStr">
        <is>
          <t>A 47578-2025</t>
        </is>
      </c>
      <c r="B311" s="1" t="n">
        <v>45931</v>
      </c>
      <c r="C311" s="1" t="n">
        <v>46197</v>
      </c>
      <c r="D311" t="inlineStr">
        <is>
          <t>GOTLANDS LÄN</t>
        </is>
      </c>
      <c r="E311" t="inlineStr">
        <is>
          <t>GOTLAND</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49730-2025</t>
        </is>
      </c>
      <c r="B312" s="1" t="n">
        <v>45939</v>
      </c>
      <c r="C312" s="1" t="n">
        <v>46197</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1734-2025</t>
        </is>
      </c>
      <c r="B313" s="1" t="n">
        <v>45671</v>
      </c>
      <c r="C313" s="1" t="n">
        <v>46197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49690-2025</t>
        </is>
      </c>
      <c r="B314" s="1" t="n">
        <v>45939</v>
      </c>
      <c r="C314" s="1" t="n">
        <v>46197</v>
      </c>
      <c r="D314" t="inlineStr">
        <is>
          <t>GOTLANDS LÄN</t>
        </is>
      </c>
      <c r="E314" t="inlineStr">
        <is>
          <t>GOTLAND</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6108-2025</t>
        </is>
      </c>
      <c r="B315" s="1" t="n">
        <v>45698</v>
      </c>
      <c r="C315" s="1" t="n">
        <v>46197</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21142-2025</t>
        </is>
      </c>
      <c r="B316" s="1" t="n">
        <v>45779</v>
      </c>
      <c r="C316" s="1" t="n">
        <v>46197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20993-2023</t>
        </is>
      </c>
      <c r="B317" s="1" t="n">
        <v>45056</v>
      </c>
      <c r="C317" s="1" t="n">
        <v>46197</v>
      </c>
      <c r="D317" t="inlineStr">
        <is>
          <t>GOTLANDS LÄN</t>
        </is>
      </c>
      <c r="E317" t="inlineStr">
        <is>
          <t>GOTLAND</t>
        </is>
      </c>
      <c r="G317" t="n">
        <v>7.1</v>
      </c>
      <c r="H317" t="n">
        <v>0</v>
      </c>
      <c r="I317" t="n">
        <v>0</v>
      </c>
      <c r="J317" t="n">
        <v>0</v>
      </c>
      <c r="K317" t="n">
        <v>0</v>
      </c>
      <c r="L317" t="n">
        <v>0</v>
      </c>
      <c r="M317" t="n">
        <v>0</v>
      </c>
      <c r="N317" t="n">
        <v>0</v>
      </c>
      <c r="O317" t="n">
        <v>0</v>
      </c>
      <c r="P317" t="n">
        <v>0</v>
      </c>
      <c r="Q317" t="n">
        <v>0</v>
      </c>
      <c r="R317" s="2" t="inlineStr"/>
    </row>
    <row r="318" ht="15" customHeight="1">
      <c r="A318" t="inlineStr">
        <is>
          <t>A 17343-2025</t>
        </is>
      </c>
      <c r="B318" s="1" t="n">
        <v>45756</v>
      </c>
      <c r="C318" s="1" t="n">
        <v>46197</v>
      </c>
      <c r="D318" t="inlineStr">
        <is>
          <t>GOTLANDS LÄN</t>
        </is>
      </c>
      <c r="E318" t="inlineStr">
        <is>
          <t>GOTLAND</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18938-2025</t>
        </is>
      </c>
      <c r="B319" s="1" t="n">
        <v>45764</v>
      </c>
      <c r="C319" s="1" t="n">
        <v>46197</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12596-2023</t>
        </is>
      </c>
      <c r="B320" s="1" t="n">
        <v>45000</v>
      </c>
      <c r="C320" s="1" t="n">
        <v>46197</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20307-2025</t>
        </is>
      </c>
      <c r="B321" s="1" t="n">
        <v>45774</v>
      </c>
      <c r="C321" s="1" t="n">
        <v>46197</v>
      </c>
      <c r="D321" t="inlineStr">
        <is>
          <t>GOTLANDS LÄN</t>
        </is>
      </c>
      <c r="E321" t="inlineStr">
        <is>
          <t>GOTLAND</t>
        </is>
      </c>
      <c r="G321" t="n">
        <v>6.8</v>
      </c>
      <c r="H321" t="n">
        <v>0</v>
      </c>
      <c r="I321" t="n">
        <v>0</v>
      </c>
      <c r="J321" t="n">
        <v>0</v>
      </c>
      <c r="K321" t="n">
        <v>0</v>
      </c>
      <c r="L321" t="n">
        <v>0</v>
      </c>
      <c r="M321" t="n">
        <v>0</v>
      </c>
      <c r="N321" t="n">
        <v>0</v>
      </c>
      <c r="O321" t="n">
        <v>0</v>
      </c>
      <c r="P321" t="n">
        <v>0</v>
      </c>
      <c r="Q321" t="n">
        <v>0</v>
      </c>
      <c r="R321" s="2" t="inlineStr"/>
    </row>
    <row r="322" ht="15" customHeight="1">
      <c r="A322" t="inlineStr">
        <is>
          <t>A 2125-2025</t>
        </is>
      </c>
      <c r="B322" s="1" t="n">
        <v>45672</v>
      </c>
      <c r="C322" s="1" t="n">
        <v>46197</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50928-2025</t>
        </is>
      </c>
      <c r="B323" s="1" t="n">
        <v>45946</v>
      </c>
      <c r="C323" s="1" t="n">
        <v>46197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6218-2026</t>
        </is>
      </c>
      <c r="B324" s="1" t="n">
        <v>46055</v>
      </c>
      <c r="C324" s="1" t="n">
        <v>46197</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12155-2023</t>
        </is>
      </c>
      <c r="B325" s="1" t="n">
        <v>44998</v>
      </c>
      <c r="C325" s="1" t="n">
        <v>46197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457-2023</t>
        </is>
      </c>
      <c r="B326" s="1" t="n">
        <v>44929</v>
      </c>
      <c r="C326" s="1" t="n">
        <v>46197</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459-2023</t>
        </is>
      </c>
      <c r="B327" s="1" t="n">
        <v>44929</v>
      </c>
      <c r="C327" s="1" t="n">
        <v>46197</v>
      </c>
      <c r="D327" t="inlineStr">
        <is>
          <t>GOTLANDS LÄN</t>
        </is>
      </c>
      <c r="E327" t="inlineStr">
        <is>
          <t>GOTLAND</t>
        </is>
      </c>
      <c r="G327" t="n">
        <v>4.2</v>
      </c>
      <c r="H327" t="n">
        <v>0</v>
      </c>
      <c r="I327" t="n">
        <v>0</v>
      </c>
      <c r="J327" t="n">
        <v>0</v>
      </c>
      <c r="K327" t="n">
        <v>0</v>
      </c>
      <c r="L327" t="n">
        <v>0</v>
      </c>
      <c r="M327" t="n">
        <v>0</v>
      </c>
      <c r="N327" t="n">
        <v>0</v>
      </c>
      <c r="O327" t="n">
        <v>0</v>
      </c>
      <c r="P327" t="n">
        <v>0</v>
      </c>
      <c r="Q327" t="n">
        <v>0</v>
      </c>
      <c r="R327" s="2" t="inlineStr"/>
    </row>
    <row r="328" ht="15" customHeight="1">
      <c r="A328" t="inlineStr">
        <is>
          <t>A 38234-2023</t>
        </is>
      </c>
      <c r="B328" s="1" t="n">
        <v>45161</v>
      </c>
      <c r="C328" s="1" t="n">
        <v>46197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6207-2026</t>
        </is>
      </c>
      <c r="B329" s="1" t="n">
        <v>46055</v>
      </c>
      <c r="C329" s="1" t="n">
        <v>46197</v>
      </c>
      <c r="D329" t="inlineStr">
        <is>
          <t>GOTLANDS LÄN</t>
        </is>
      </c>
      <c r="E329" t="inlineStr">
        <is>
          <t>GOTLAND</t>
        </is>
      </c>
      <c r="G329" t="n">
        <v>7.6</v>
      </c>
      <c r="H329" t="n">
        <v>0</v>
      </c>
      <c r="I329" t="n">
        <v>0</v>
      </c>
      <c r="J329" t="n">
        <v>0</v>
      </c>
      <c r="K329" t="n">
        <v>0</v>
      </c>
      <c r="L329" t="n">
        <v>0</v>
      </c>
      <c r="M329" t="n">
        <v>0</v>
      </c>
      <c r="N329" t="n">
        <v>0</v>
      </c>
      <c r="O329" t="n">
        <v>0</v>
      </c>
      <c r="P329" t="n">
        <v>0</v>
      </c>
      <c r="Q329" t="n">
        <v>0</v>
      </c>
      <c r="R329" s="2" t="inlineStr"/>
    </row>
    <row r="330" ht="15" customHeight="1">
      <c r="A330" t="inlineStr">
        <is>
          <t>A 50744-2024</t>
        </is>
      </c>
      <c r="B330" s="1" t="n">
        <v>45602</v>
      </c>
      <c r="C330" s="1" t="n">
        <v>46197</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20356-2022</t>
        </is>
      </c>
      <c r="B331" s="1" t="n">
        <v>44699</v>
      </c>
      <c r="C331" s="1" t="n">
        <v>46197</v>
      </c>
      <c r="D331" t="inlineStr">
        <is>
          <t>GOTLANDS LÄN</t>
        </is>
      </c>
      <c r="E331" t="inlineStr">
        <is>
          <t>GOTLAND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1446-2025</t>
        </is>
      </c>
      <c r="B332" s="1" t="n">
        <v>45669</v>
      </c>
      <c r="C332" s="1" t="n">
        <v>46197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7627-2026</t>
        </is>
      </c>
      <c r="B333" s="1" t="n">
        <v>46062</v>
      </c>
      <c r="C333" s="1" t="n">
        <v>46197</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43901-2023</t>
        </is>
      </c>
      <c r="B334" s="1" t="n">
        <v>45187</v>
      </c>
      <c r="C334" s="1" t="n">
        <v>46197</v>
      </c>
      <c r="D334" t="inlineStr">
        <is>
          <t>GOTLANDS LÄN</t>
        </is>
      </c>
      <c r="E334" t="inlineStr">
        <is>
          <t>GOTLAND</t>
        </is>
      </c>
      <c r="G334" t="n">
        <v>5.4</v>
      </c>
      <c r="H334" t="n">
        <v>0</v>
      </c>
      <c r="I334" t="n">
        <v>0</v>
      </c>
      <c r="J334" t="n">
        <v>0</v>
      </c>
      <c r="K334" t="n">
        <v>0</v>
      </c>
      <c r="L334" t="n">
        <v>0</v>
      </c>
      <c r="M334" t="n">
        <v>0</v>
      </c>
      <c r="N334" t="n">
        <v>0</v>
      </c>
      <c r="O334" t="n">
        <v>0</v>
      </c>
      <c r="P334" t="n">
        <v>0</v>
      </c>
      <c r="Q334" t="n">
        <v>0</v>
      </c>
      <c r="R334" s="2" t="inlineStr"/>
    </row>
    <row r="335" ht="15" customHeight="1">
      <c r="A335" t="inlineStr">
        <is>
          <t>A 10746-2025</t>
        </is>
      </c>
      <c r="B335" s="1" t="n">
        <v>45722</v>
      </c>
      <c r="C335" s="1" t="n">
        <v>46197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16501-2023</t>
        </is>
      </c>
      <c r="B336" s="1" t="n">
        <v>45029</v>
      </c>
      <c r="C336" s="1" t="n">
        <v>46197</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2135-2026</t>
        </is>
      </c>
      <c r="B337" s="1" t="n">
        <v>46036</v>
      </c>
      <c r="C337" s="1" t="n">
        <v>46197</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v>
      </c>
      <c r="C338" s="1" t="n">
        <v>46197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46197</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9518-2026</t>
        </is>
      </c>
      <c r="B340" s="1" t="n">
        <v>46071</v>
      </c>
      <c r="C340" s="1" t="n">
        <v>46197</v>
      </c>
      <c r="D340" t="inlineStr">
        <is>
          <t>GOTLANDS LÄN</t>
        </is>
      </c>
      <c r="E340" t="inlineStr">
        <is>
          <t>GOTLAND</t>
        </is>
      </c>
      <c r="G340" t="n">
        <v>6.2</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v>
      </c>
      <c r="C341" s="1" t="n">
        <v>46197</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9540-2026</t>
        </is>
      </c>
      <c r="B342" s="1" t="n">
        <v>46071</v>
      </c>
      <c r="C342" s="1" t="n">
        <v>46197</v>
      </c>
      <c r="D342" t="inlineStr">
        <is>
          <t>GOTLANDS LÄN</t>
        </is>
      </c>
      <c r="E342" t="inlineStr">
        <is>
          <t>GOTLAND</t>
        </is>
      </c>
      <c r="G342" t="n">
        <v>2.8</v>
      </c>
      <c r="H342" t="n">
        <v>0</v>
      </c>
      <c r="I342" t="n">
        <v>0</v>
      </c>
      <c r="J342" t="n">
        <v>0</v>
      </c>
      <c r="K342" t="n">
        <v>0</v>
      </c>
      <c r="L342" t="n">
        <v>0</v>
      </c>
      <c r="M342" t="n">
        <v>0</v>
      </c>
      <c r="N342" t="n">
        <v>0</v>
      </c>
      <c r="O342" t="n">
        <v>0</v>
      </c>
      <c r="P342" t="n">
        <v>0</v>
      </c>
      <c r="Q342" t="n">
        <v>0</v>
      </c>
      <c r="R342" s="2" t="inlineStr"/>
    </row>
    <row r="343" ht="15" customHeight="1">
      <c r="A343" t="inlineStr">
        <is>
          <t>A 9521-2026</t>
        </is>
      </c>
      <c r="B343" s="1" t="n">
        <v>46071</v>
      </c>
      <c r="C343" s="1" t="n">
        <v>46197</v>
      </c>
      <c r="D343" t="inlineStr">
        <is>
          <t>GOTLANDS LÄN</t>
        </is>
      </c>
      <c r="E343" t="inlineStr">
        <is>
          <t>GOTLAND</t>
        </is>
      </c>
      <c r="G343" t="n">
        <v>3.9</v>
      </c>
      <c r="H343" t="n">
        <v>0</v>
      </c>
      <c r="I343" t="n">
        <v>0</v>
      </c>
      <c r="J343" t="n">
        <v>0</v>
      </c>
      <c r="K343" t="n">
        <v>0</v>
      </c>
      <c r="L343" t="n">
        <v>0</v>
      </c>
      <c r="M343" t="n">
        <v>0</v>
      </c>
      <c r="N343" t="n">
        <v>0</v>
      </c>
      <c r="O343" t="n">
        <v>0</v>
      </c>
      <c r="P343" t="n">
        <v>0</v>
      </c>
      <c r="Q343" t="n">
        <v>0</v>
      </c>
      <c r="R343" s="2" t="inlineStr"/>
    </row>
    <row r="344" ht="15" customHeight="1">
      <c r="A344" t="inlineStr">
        <is>
          <t>A 9524-2026</t>
        </is>
      </c>
      <c r="B344" s="1" t="n">
        <v>46071</v>
      </c>
      <c r="C344" s="1" t="n">
        <v>46197</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9543-2026</t>
        </is>
      </c>
      <c r="B345" s="1" t="n">
        <v>46071</v>
      </c>
      <c r="C345" s="1" t="n">
        <v>46197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9901-2026</t>
        </is>
      </c>
      <c r="B346" s="1" t="n">
        <v>46073</v>
      </c>
      <c r="C346" s="1" t="n">
        <v>46197</v>
      </c>
      <c r="D346" t="inlineStr">
        <is>
          <t>GOTLANDS LÄN</t>
        </is>
      </c>
      <c r="E346" t="inlineStr">
        <is>
          <t>GOTLAND</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10284-2026</t>
        </is>
      </c>
      <c r="B347" s="1" t="n">
        <v>46076</v>
      </c>
      <c r="C347" s="1" t="n">
        <v>46197</v>
      </c>
      <c r="D347" t="inlineStr">
        <is>
          <t>GOTLANDS LÄN</t>
        </is>
      </c>
      <c r="E347" t="inlineStr">
        <is>
          <t>GOTLAND</t>
        </is>
      </c>
      <c r="G347" t="n">
        <v>5.2</v>
      </c>
      <c r="H347" t="n">
        <v>0</v>
      </c>
      <c r="I347" t="n">
        <v>0</v>
      </c>
      <c r="J347" t="n">
        <v>0</v>
      </c>
      <c r="K347" t="n">
        <v>0</v>
      </c>
      <c r="L347" t="n">
        <v>0</v>
      </c>
      <c r="M347" t="n">
        <v>0</v>
      </c>
      <c r="N347" t="n">
        <v>0</v>
      </c>
      <c r="O347" t="n">
        <v>0</v>
      </c>
      <c r="P347" t="n">
        <v>0</v>
      </c>
      <c r="Q347" t="n">
        <v>0</v>
      </c>
      <c r="R347" s="2" t="inlineStr"/>
    </row>
    <row r="348" ht="15" customHeight="1">
      <c r="A348" t="inlineStr">
        <is>
          <t>A 5909-2025</t>
        </is>
      </c>
      <c r="B348" s="1" t="n">
        <v>45695</v>
      </c>
      <c r="C348" s="1" t="n">
        <v>46197</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10653-2023</t>
        </is>
      </c>
      <c r="B349" s="1" t="n">
        <v>44988</v>
      </c>
      <c r="C349" s="1" t="n">
        <v>46197</v>
      </c>
      <c r="D349" t="inlineStr">
        <is>
          <t>GOTLANDS LÄN</t>
        </is>
      </c>
      <c r="E349" t="inlineStr">
        <is>
          <t>GOTLAND</t>
        </is>
      </c>
      <c r="F349" t="inlineStr">
        <is>
          <t>Kyrkan</t>
        </is>
      </c>
      <c r="G349" t="n">
        <v>3</v>
      </c>
      <c r="H349" t="n">
        <v>0</v>
      </c>
      <c r="I349" t="n">
        <v>0</v>
      </c>
      <c r="J349" t="n">
        <v>0</v>
      </c>
      <c r="K349" t="n">
        <v>0</v>
      </c>
      <c r="L349" t="n">
        <v>0</v>
      </c>
      <c r="M349" t="n">
        <v>0</v>
      </c>
      <c r="N349" t="n">
        <v>0</v>
      </c>
      <c r="O349" t="n">
        <v>0</v>
      </c>
      <c r="P349" t="n">
        <v>0</v>
      </c>
      <c r="Q349" t="n">
        <v>0</v>
      </c>
      <c r="R349" s="2" t="inlineStr"/>
    </row>
    <row r="350" ht="15" customHeight="1">
      <c r="A350" t="inlineStr">
        <is>
          <t>A 56799-2025</t>
        </is>
      </c>
      <c r="B350" s="1" t="n">
        <v>45978</v>
      </c>
      <c r="C350" s="1" t="n">
        <v>46197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56688-2025</t>
        </is>
      </c>
      <c r="B351" s="1" t="n">
        <v>45975</v>
      </c>
      <c r="C351" s="1" t="n">
        <v>46197</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4990-2025</t>
        </is>
      </c>
      <c r="B352" s="1" t="n">
        <v>45691</v>
      </c>
      <c r="C352" s="1" t="n">
        <v>46197</v>
      </c>
      <c r="D352" t="inlineStr">
        <is>
          <t>GOTLANDS LÄN</t>
        </is>
      </c>
      <c r="E352" t="inlineStr">
        <is>
          <t>GOTLAND</t>
        </is>
      </c>
      <c r="G352" t="n">
        <v>7.7</v>
      </c>
      <c r="H352" t="n">
        <v>0</v>
      </c>
      <c r="I352" t="n">
        <v>0</v>
      </c>
      <c r="J352" t="n">
        <v>0</v>
      </c>
      <c r="K352" t="n">
        <v>0</v>
      </c>
      <c r="L352" t="n">
        <v>0</v>
      </c>
      <c r="M352" t="n">
        <v>0</v>
      </c>
      <c r="N352" t="n">
        <v>0</v>
      </c>
      <c r="O352" t="n">
        <v>0</v>
      </c>
      <c r="P352" t="n">
        <v>0</v>
      </c>
      <c r="Q352" t="n">
        <v>0</v>
      </c>
      <c r="R352" s="2" t="inlineStr"/>
    </row>
    <row r="353" ht="15" customHeight="1">
      <c r="A353" t="inlineStr">
        <is>
          <t>A 11424-2026</t>
        </is>
      </c>
      <c r="B353" s="1" t="n">
        <v>46083</v>
      </c>
      <c r="C353" s="1" t="n">
        <v>46197</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3067-2026</t>
        </is>
      </c>
      <c r="B354" s="1" t="n">
        <v>46040</v>
      </c>
      <c r="C354" s="1" t="n">
        <v>46197</v>
      </c>
      <c r="D354" t="inlineStr">
        <is>
          <t>GOTLANDS LÄN</t>
        </is>
      </c>
      <c r="E354" t="inlineStr">
        <is>
          <t>GOTLAND</t>
        </is>
      </c>
      <c r="G354" t="n">
        <v>7.8</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46197</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32958-2021</t>
        </is>
      </c>
      <c r="B356" s="1" t="n">
        <v>44376</v>
      </c>
      <c r="C356" s="1" t="n">
        <v>46197</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5884-2025</t>
        </is>
      </c>
      <c r="B357" s="1" t="n">
        <v>45695</v>
      </c>
      <c r="C357" s="1" t="n">
        <v>46197</v>
      </c>
      <c r="D357" t="inlineStr">
        <is>
          <t>GOTLANDS LÄN</t>
        </is>
      </c>
      <c r="E357" t="inlineStr">
        <is>
          <t>GOTLAND</t>
        </is>
      </c>
      <c r="G357" t="n">
        <v>2.1</v>
      </c>
      <c r="H357" t="n">
        <v>0</v>
      </c>
      <c r="I357" t="n">
        <v>0</v>
      </c>
      <c r="J357" t="n">
        <v>0</v>
      </c>
      <c r="K357" t="n">
        <v>0</v>
      </c>
      <c r="L357" t="n">
        <v>0</v>
      </c>
      <c r="M357" t="n">
        <v>0</v>
      </c>
      <c r="N357" t="n">
        <v>0</v>
      </c>
      <c r="O357" t="n">
        <v>0</v>
      </c>
      <c r="P357" t="n">
        <v>0</v>
      </c>
      <c r="Q357" t="n">
        <v>0</v>
      </c>
      <c r="R357" s="2" t="inlineStr"/>
    </row>
    <row r="358" ht="15" customHeight="1">
      <c r="A358" t="inlineStr">
        <is>
          <t>A 5897-2025</t>
        </is>
      </c>
      <c r="B358" s="1" t="n">
        <v>45695</v>
      </c>
      <c r="C358" s="1" t="n">
        <v>46197</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v>
      </c>
      <c r="C359" s="1" t="n">
        <v>46197</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12135-2026</t>
        </is>
      </c>
      <c r="B360" s="1" t="n">
        <v>46086</v>
      </c>
      <c r="C360" s="1" t="n">
        <v>46197</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17901-2023</t>
        </is>
      </c>
      <c r="B361" s="1" t="n">
        <v>45039</v>
      </c>
      <c r="C361" s="1" t="n">
        <v>46197</v>
      </c>
      <c r="D361" t="inlineStr">
        <is>
          <t>GOTLANDS LÄN</t>
        </is>
      </c>
      <c r="E361" t="inlineStr">
        <is>
          <t>GOTLAND</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42201-2023</t>
        </is>
      </c>
      <c r="B362" s="1" t="n">
        <v>45179</v>
      </c>
      <c r="C362" s="1" t="n">
        <v>46197</v>
      </c>
      <c r="D362" t="inlineStr">
        <is>
          <t>GOTLANDS LÄN</t>
        </is>
      </c>
      <c r="E362" t="inlineStr">
        <is>
          <t>GOTLAND</t>
        </is>
      </c>
      <c r="G362" t="n">
        <v>11.9</v>
      </c>
      <c r="H362" t="n">
        <v>0</v>
      </c>
      <c r="I362" t="n">
        <v>0</v>
      </c>
      <c r="J362" t="n">
        <v>0</v>
      </c>
      <c r="K362" t="n">
        <v>0</v>
      </c>
      <c r="L362" t="n">
        <v>0</v>
      </c>
      <c r="M362" t="n">
        <v>0</v>
      </c>
      <c r="N362" t="n">
        <v>0</v>
      </c>
      <c r="O362" t="n">
        <v>0</v>
      </c>
      <c r="P362" t="n">
        <v>0</v>
      </c>
      <c r="Q362" t="n">
        <v>0</v>
      </c>
      <c r="R362" s="2" t="inlineStr"/>
    </row>
    <row r="363" ht="15" customHeight="1">
      <c r="A363" t="inlineStr">
        <is>
          <t>A 36319-2025</t>
        </is>
      </c>
      <c r="B363" s="1" t="n">
        <v>45868</v>
      </c>
      <c r="C363" s="1" t="n">
        <v>46197</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52892-2021</t>
        </is>
      </c>
      <c r="B364" s="1" t="n">
        <v>44467</v>
      </c>
      <c r="C364" s="1" t="n">
        <v>46197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46197</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17724-2024</t>
        </is>
      </c>
      <c r="B366" s="1" t="n">
        <v>45418</v>
      </c>
      <c r="C366" s="1" t="n">
        <v>46197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63000-2025</t>
        </is>
      </c>
      <c r="B367" s="1" t="n">
        <v>46009</v>
      </c>
      <c r="C367" s="1" t="n">
        <v>46197</v>
      </c>
      <c r="D367" t="inlineStr">
        <is>
          <t>GOTLANDS LÄN</t>
        </is>
      </c>
      <c r="E367" t="inlineStr">
        <is>
          <t>GOTLAND</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13486-2026</t>
        </is>
      </c>
      <c r="B368" s="1" t="n">
        <v>46094</v>
      </c>
      <c r="C368" s="1" t="n">
        <v>46197</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62751-2025</t>
        </is>
      </c>
      <c r="B369" s="1" t="n">
        <v>46008</v>
      </c>
      <c r="C369" s="1" t="n">
        <v>46197</v>
      </c>
      <c r="D369" t="inlineStr">
        <is>
          <t>GOTLANDS LÄN</t>
        </is>
      </c>
      <c r="E369" t="inlineStr">
        <is>
          <t>GOTLAND</t>
        </is>
      </c>
      <c r="F369" t="inlineStr">
        <is>
          <t>Övriga Aktiebolag</t>
        </is>
      </c>
      <c r="G369" t="n">
        <v>7.8</v>
      </c>
      <c r="H369" t="n">
        <v>0</v>
      </c>
      <c r="I369" t="n">
        <v>0</v>
      </c>
      <c r="J369" t="n">
        <v>0</v>
      </c>
      <c r="K369" t="n">
        <v>0</v>
      </c>
      <c r="L369" t="n">
        <v>0</v>
      </c>
      <c r="M369" t="n">
        <v>0</v>
      </c>
      <c r="N369" t="n">
        <v>0</v>
      </c>
      <c r="O369" t="n">
        <v>0</v>
      </c>
      <c r="P369" t="n">
        <v>0</v>
      </c>
      <c r="Q369" t="n">
        <v>0</v>
      </c>
      <c r="R369" s="2" t="inlineStr"/>
    </row>
    <row r="370" ht="15" customHeight="1">
      <c r="A370" t="inlineStr">
        <is>
          <t>A 7638-2025</t>
        </is>
      </c>
      <c r="B370" s="1" t="n">
        <v>45705</v>
      </c>
      <c r="C370" s="1" t="n">
        <v>46197</v>
      </c>
      <c r="D370" t="inlineStr">
        <is>
          <t>GOTLANDS LÄN</t>
        </is>
      </c>
      <c r="E370" t="inlineStr">
        <is>
          <t>GOTLAND</t>
        </is>
      </c>
      <c r="G370" t="n">
        <v>2.2</v>
      </c>
      <c r="H370" t="n">
        <v>0</v>
      </c>
      <c r="I370" t="n">
        <v>0</v>
      </c>
      <c r="J370" t="n">
        <v>0</v>
      </c>
      <c r="K370" t="n">
        <v>0</v>
      </c>
      <c r="L370" t="n">
        <v>0</v>
      </c>
      <c r="M370" t="n">
        <v>0</v>
      </c>
      <c r="N370" t="n">
        <v>0</v>
      </c>
      <c r="O370" t="n">
        <v>0</v>
      </c>
      <c r="P370" t="n">
        <v>0</v>
      </c>
      <c r="Q370" t="n">
        <v>0</v>
      </c>
      <c r="R370" s="2" t="inlineStr"/>
    </row>
    <row r="371" ht="15" customHeight="1">
      <c r="A371" t="inlineStr">
        <is>
          <t>A 50482-2024</t>
        </is>
      </c>
      <c r="B371" s="1" t="n">
        <v>45601</v>
      </c>
      <c r="C371" s="1" t="n">
        <v>46197</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1394-2023</t>
        </is>
      </c>
      <c r="B372" s="1" t="n">
        <v>44936</v>
      </c>
      <c r="C372" s="1" t="n">
        <v>46197</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v>
      </c>
      <c r="C373" s="1" t="n">
        <v>46197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63002-2025</t>
        </is>
      </c>
      <c r="B374" s="1" t="n">
        <v>46009</v>
      </c>
      <c r="C374" s="1" t="n">
        <v>46197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25129-2023</t>
        </is>
      </c>
      <c r="B375" s="1" t="n">
        <v>45086</v>
      </c>
      <c r="C375" s="1" t="n">
        <v>46197</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46197</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38649-2025</t>
        </is>
      </c>
      <c r="B377" s="1" t="n">
        <v>45884</v>
      </c>
      <c r="C377" s="1" t="n">
        <v>46197</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61078-2025</t>
        </is>
      </c>
      <c r="B378" s="1" t="n">
        <v>46000</v>
      </c>
      <c r="C378" s="1" t="n">
        <v>46197</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5386-2023</t>
        </is>
      </c>
      <c r="B379" s="1" t="n">
        <v>44959</v>
      </c>
      <c r="C379" s="1" t="n">
        <v>46197</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36-2026</t>
        </is>
      </c>
      <c r="B380" s="1" t="n">
        <v>46024</v>
      </c>
      <c r="C380" s="1" t="n">
        <v>46197</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7026-2023</t>
        </is>
      </c>
      <c r="B381" s="1" t="n">
        <v>44968</v>
      </c>
      <c r="C381" s="1" t="n">
        <v>46197</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20855-2023</t>
        </is>
      </c>
      <c r="B382" s="1" t="n">
        <v>45058</v>
      </c>
      <c r="C382" s="1" t="n">
        <v>46197</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v>
      </c>
      <c r="C383" s="1" t="n">
        <v>46197</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47762-2023</t>
        </is>
      </c>
      <c r="B384" s="1" t="n">
        <v>45203</v>
      </c>
      <c r="C384" s="1" t="n">
        <v>46197</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60086-2022</t>
        </is>
      </c>
      <c r="B385" s="1" t="n">
        <v>44909</v>
      </c>
      <c r="C385" s="1" t="n">
        <v>46197</v>
      </c>
      <c r="D385" t="inlineStr">
        <is>
          <t>GOTLANDS LÄN</t>
        </is>
      </c>
      <c r="E385" t="inlineStr">
        <is>
          <t>GOTLAND</t>
        </is>
      </c>
      <c r="G385" t="n">
        <v>2.1</v>
      </c>
      <c r="H385" t="n">
        <v>0</v>
      </c>
      <c r="I385" t="n">
        <v>0</v>
      </c>
      <c r="J385" t="n">
        <v>0</v>
      </c>
      <c r="K385" t="n">
        <v>0</v>
      </c>
      <c r="L385" t="n">
        <v>0</v>
      </c>
      <c r="M385" t="n">
        <v>0</v>
      </c>
      <c r="N385" t="n">
        <v>0</v>
      </c>
      <c r="O385" t="n">
        <v>0</v>
      </c>
      <c r="P385" t="n">
        <v>0</v>
      </c>
      <c r="Q385" t="n">
        <v>0</v>
      </c>
      <c r="R385" s="2" t="inlineStr"/>
    </row>
    <row r="386" ht="15" customHeight="1">
      <c r="A386" t="inlineStr">
        <is>
          <t>A 28485-2023</t>
        </is>
      </c>
      <c r="B386" s="1" t="n">
        <v>45103</v>
      </c>
      <c r="C386" s="1" t="n">
        <v>46197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44949-2023</t>
        </is>
      </c>
      <c r="B387" s="1" t="n">
        <v>45190</v>
      </c>
      <c r="C387" s="1" t="n">
        <v>46197</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16993-2026</t>
        </is>
      </c>
      <c r="B388" s="1" t="n">
        <v>46114</v>
      </c>
      <c r="C388" s="1" t="n">
        <v>46197</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22887-2026</t>
        </is>
      </c>
      <c r="B389" s="1" t="n">
        <v>46160</v>
      </c>
      <c r="C389" s="1" t="n">
        <v>46197</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3964-2024</t>
        </is>
      </c>
      <c r="B390" s="1" t="n">
        <v>45322</v>
      </c>
      <c r="C390" s="1" t="n">
        <v>46197</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23103-2026</t>
        </is>
      </c>
      <c r="B391" s="1" t="n">
        <v>46161</v>
      </c>
      <c r="C391" s="1" t="n">
        <v>46197</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45084-2024</t>
        </is>
      </c>
      <c r="B392" s="1" t="n">
        <v>45575</v>
      </c>
      <c r="C392" s="1" t="n">
        <v>46197</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23504-2026</t>
        </is>
      </c>
      <c r="B393" s="1" t="n">
        <v>46163</v>
      </c>
      <c r="C393" s="1" t="n">
        <v>46197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5217-2023</t>
        </is>
      </c>
      <c r="B394" s="1" t="n">
        <v>44959</v>
      </c>
      <c r="C394" s="1" t="n">
        <v>46197</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45244-2024</t>
        </is>
      </c>
      <c r="B395" s="1" t="n">
        <v>45576</v>
      </c>
      <c r="C395" s="1" t="n">
        <v>46197</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8260-2023</t>
        </is>
      </c>
      <c r="B396" s="1" t="n">
        <v>44974</v>
      </c>
      <c r="C396" s="1" t="n">
        <v>46197</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64969-2023</t>
        </is>
      </c>
      <c r="B397" s="1" t="n">
        <v>45284</v>
      </c>
      <c r="C397" s="1" t="n">
        <v>46197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48843-2024</t>
        </is>
      </c>
      <c r="B398" s="1" t="n">
        <v>45593</v>
      </c>
      <c r="C398" s="1" t="n">
        <v>46197</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17541-2024</t>
        </is>
      </c>
      <c r="B399" s="1" t="n">
        <v>45415</v>
      </c>
      <c r="C399" s="1" t="n">
        <v>46197</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62836-2025</t>
        </is>
      </c>
      <c r="B400" s="1" t="n">
        <v>46008</v>
      </c>
      <c r="C400" s="1" t="n">
        <v>46197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15434-2024</t>
        </is>
      </c>
      <c r="B401" s="1" t="n">
        <v>45401</v>
      </c>
      <c r="C401" s="1" t="n">
        <v>46197</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5943-2024</t>
        </is>
      </c>
      <c r="B402" s="1" t="n">
        <v>45336</v>
      </c>
      <c r="C402" s="1" t="n">
        <v>46197</v>
      </c>
      <c r="D402" t="inlineStr">
        <is>
          <t>GOTLANDS LÄN</t>
        </is>
      </c>
      <c r="E402" t="inlineStr">
        <is>
          <t>GOTLAND</t>
        </is>
      </c>
      <c r="G402" t="n">
        <v>4.3</v>
      </c>
      <c r="H402" t="n">
        <v>0</v>
      </c>
      <c r="I402" t="n">
        <v>0</v>
      </c>
      <c r="J402" t="n">
        <v>0</v>
      </c>
      <c r="K402" t="n">
        <v>0</v>
      </c>
      <c r="L402" t="n">
        <v>0</v>
      </c>
      <c r="M402" t="n">
        <v>0</v>
      </c>
      <c r="N402" t="n">
        <v>0</v>
      </c>
      <c r="O402" t="n">
        <v>0</v>
      </c>
      <c r="P402" t="n">
        <v>0</v>
      </c>
      <c r="Q402" t="n">
        <v>0</v>
      </c>
      <c r="R402" s="2" t="inlineStr"/>
    </row>
    <row r="403" ht="15" customHeight="1">
      <c r="A403" t="inlineStr">
        <is>
          <t>A 54073-2022</t>
        </is>
      </c>
      <c r="B403" s="1" t="n">
        <v>44881</v>
      </c>
      <c r="C403" s="1" t="n">
        <v>46197</v>
      </c>
      <c r="D403" t="inlineStr">
        <is>
          <t>GOTLANDS LÄN</t>
        </is>
      </c>
      <c r="E403" t="inlineStr">
        <is>
          <t>GOTLAND</t>
        </is>
      </c>
      <c r="G403" t="n">
        <v>3.8</v>
      </c>
      <c r="H403" t="n">
        <v>0</v>
      </c>
      <c r="I403" t="n">
        <v>0</v>
      </c>
      <c r="J403" t="n">
        <v>0</v>
      </c>
      <c r="K403" t="n">
        <v>0</v>
      </c>
      <c r="L403" t="n">
        <v>0</v>
      </c>
      <c r="M403" t="n">
        <v>0</v>
      </c>
      <c r="N403" t="n">
        <v>0</v>
      </c>
      <c r="O403" t="n">
        <v>0</v>
      </c>
      <c r="P403" t="n">
        <v>0</v>
      </c>
      <c r="Q403" t="n">
        <v>0</v>
      </c>
      <c r="R403" s="2" t="inlineStr"/>
    </row>
    <row r="404" ht="15" customHeight="1">
      <c r="A404" t="inlineStr">
        <is>
          <t>A 16361-2024</t>
        </is>
      </c>
      <c r="B404" s="1" t="n">
        <v>45407</v>
      </c>
      <c r="C404" s="1" t="n">
        <v>46197</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v>
      </c>
      <c r="C405" s="1" t="n">
        <v>46197</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4639-2026</t>
        </is>
      </c>
      <c r="B406" s="1" t="n">
        <v>46048</v>
      </c>
      <c r="C406" s="1" t="n">
        <v>46197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18804-2026</t>
        </is>
      </c>
      <c r="B407" s="1" t="n">
        <v>46128</v>
      </c>
      <c r="C407" s="1" t="n">
        <v>46197</v>
      </c>
      <c r="D407" t="inlineStr">
        <is>
          <t>GOTLANDS LÄN</t>
        </is>
      </c>
      <c r="E407" t="inlineStr">
        <is>
          <t>GOTLAND</t>
        </is>
      </c>
      <c r="F407" t="inlineStr">
        <is>
          <t>Kyrkan</t>
        </is>
      </c>
      <c r="G407" t="n">
        <v>2.6</v>
      </c>
      <c r="H407" t="n">
        <v>0</v>
      </c>
      <c r="I407" t="n">
        <v>0</v>
      </c>
      <c r="J407" t="n">
        <v>0</v>
      </c>
      <c r="K407" t="n">
        <v>0</v>
      </c>
      <c r="L407" t="n">
        <v>0</v>
      </c>
      <c r="M407" t="n">
        <v>0</v>
      </c>
      <c r="N407" t="n">
        <v>0</v>
      </c>
      <c r="O407" t="n">
        <v>0</v>
      </c>
      <c r="P407" t="n">
        <v>0</v>
      </c>
      <c r="Q407" t="n">
        <v>0</v>
      </c>
      <c r="R407" s="2" t="inlineStr"/>
    </row>
    <row r="408" ht="15" customHeight="1">
      <c r="A408" t="inlineStr">
        <is>
          <t>A 14427-2024</t>
        </is>
      </c>
      <c r="B408" s="1" t="n">
        <v>45394</v>
      </c>
      <c r="C408" s="1" t="n">
        <v>46197</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17943-2026</t>
        </is>
      </c>
      <c r="B409" s="1" t="n">
        <v>46122</v>
      </c>
      <c r="C409" s="1" t="n">
        <v>46197</v>
      </c>
      <c r="D409" t="inlineStr">
        <is>
          <t>GOTLANDS LÄN</t>
        </is>
      </c>
      <c r="E409" t="inlineStr">
        <is>
          <t>GOTLAND</t>
        </is>
      </c>
      <c r="G409" t="n">
        <v>2.8</v>
      </c>
      <c r="H409" t="n">
        <v>0</v>
      </c>
      <c r="I409" t="n">
        <v>0</v>
      </c>
      <c r="J409" t="n">
        <v>0</v>
      </c>
      <c r="K409" t="n">
        <v>0</v>
      </c>
      <c r="L409" t="n">
        <v>0</v>
      </c>
      <c r="M409" t="n">
        <v>0</v>
      </c>
      <c r="N409" t="n">
        <v>0</v>
      </c>
      <c r="O409" t="n">
        <v>0</v>
      </c>
      <c r="P409" t="n">
        <v>0</v>
      </c>
      <c r="Q409" t="n">
        <v>0</v>
      </c>
      <c r="R409" s="2" t="inlineStr"/>
    </row>
    <row r="410" ht="15" customHeight="1">
      <c r="A410" t="inlineStr">
        <is>
          <t>A 24448-2026</t>
        </is>
      </c>
      <c r="B410" s="1" t="n">
        <v>46170</v>
      </c>
      <c r="C410" s="1" t="n">
        <v>46197</v>
      </c>
      <c r="D410" t="inlineStr">
        <is>
          <t>GOTLANDS LÄN</t>
        </is>
      </c>
      <c r="E410" t="inlineStr">
        <is>
          <t>GOTLAND</t>
        </is>
      </c>
      <c r="G410" t="n">
        <v>1.4</v>
      </c>
      <c r="H410" t="n">
        <v>0</v>
      </c>
      <c r="I410" t="n">
        <v>0</v>
      </c>
      <c r="J410" t="n">
        <v>0</v>
      </c>
      <c r="K410" t="n">
        <v>0</v>
      </c>
      <c r="L410" t="n">
        <v>0</v>
      </c>
      <c r="M410" t="n">
        <v>0</v>
      </c>
      <c r="N410" t="n">
        <v>0</v>
      </c>
      <c r="O410" t="n">
        <v>0</v>
      </c>
      <c r="P410" t="n">
        <v>0</v>
      </c>
      <c r="Q410" t="n">
        <v>0</v>
      </c>
      <c r="R410" s="2" t="inlineStr"/>
    </row>
    <row r="411" ht="15" customHeight="1">
      <c r="A411" t="inlineStr">
        <is>
          <t>A 31802-2024</t>
        </is>
      </c>
      <c r="B411" s="1" t="n">
        <v>45509</v>
      </c>
      <c r="C411" s="1" t="n">
        <v>46197</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12846-2025</t>
        </is>
      </c>
      <c r="B412" s="1" t="n">
        <v>45733</v>
      </c>
      <c r="C412" s="1" t="n">
        <v>46197</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46949-2024</t>
        </is>
      </c>
      <c r="B413" s="1" t="n">
        <v>45585</v>
      </c>
      <c r="C413" s="1" t="n">
        <v>46197</v>
      </c>
      <c r="D413" t="inlineStr">
        <is>
          <t>GOTLANDS LÄN</t>
        </is>
      </c>
      <c r="E413" t="inlineStr">
        <is>
          <t>GOTLAND</t>
        </is>
      </c>
      <c r="G413" t="n">
        <v>0.6</v>
      </c>
      <c r="H413" t="n">
        <v>0</v>
      </c>
      <c r="I413" t="n">
        <v>0</v>
      </c>
      <c r="J413" t="n">
        <v>0</v>
      </c>
      <c r="K413" t="n">
        <v>0</v>
      </c>
      <c r="L413" t="n">
        <v>0</v>
      </c>
      <c r="M413" t="n">
        <v>0</v>
      </c>
      <c r="N413" t="n">
        <v>0</v>
      </c>
      <c r="O413" t="n">
        <v>0</v>
      </c>
      <c r="P413" t="n">
        <v>0</v>
      </c>
      <c r="Q413" t="n">
        <v>0</v>
      </c>
      <c r="R413" s="2" t="inlineStr"/>
    </row>
    <row r="414" ht="15" customHeight="1">
      <c r="A414" t="inlineStr">
        <is>
          <t>A 10650-2022</t>
        </is>
      </c>
      <c r="B414" s="1" t="n">
        <v>44624</v>
      </c>
      <c r="C414" s="1" t="n">
        <v>46197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26467-2025</t>
        </is>
      </c>
      <c r="B415" s="1" t="n">
        <v>45807</v>
      </c>
      <c r="C415" s="1" t="n">
        <v>46197</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29207-2025</t>
        </is>
      </c>
      <c r="B416" s="1" t="n">
        <v>45823</v>
      </c>
      <c r="C416" s="1" t="n">
        <v>46197</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25796-2025</t>
        </is>
      </c>
      <c r="B417" s="1" t="n">
        <v>45804</v>
      </c>
      <c r="C417" s="1" t="n">
        <v>46197</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46197</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1351-2025</t>
        </is>
      </c>
      <c r="B419" s="1" t="n">
        <v>45667</v>
      </c>
      <c r="C419" s="1" t="n">
        <v>46197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39496-2022</t>
        </is>
      </c>
      <c r="B420" s="1" t="n">
        <v>44818</v>
      </c>
      <c r="C420" s="1" t="n">
        <v>46197</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62754-2025</t>
        </is>
      </c>
      <c r="B421" s="1" t="n">
        <v>46008</v>
      </c>
      <c r="C421" s="1" t="n">
        <v>46197</v>
      </c>
      <c r="D421" t="inlineStr">
        <is>
          <t>GOTLANDS LÄN</t>
        </is>
      </c>
      <c r="E421" t="inlineStr">
        <is>
          <t>GOTLAND</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49874-2024</t>
        </is>
      </c>
      <c r="B422" s="1" t="n">
        <v>45597</v>
      </c>
      <c r="C422" s="1" t="n">
        <v>46197</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20225-2025</t>
        </is>
      </c>
      <c r="B423" s="1" t="n">
        <v>45772</v>
      </c>
      <c r="C423" s="1" t="n">
        <v>46197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32379-2025</t>
        </is>
      </c>
      <c r="B424" s="1" t="n">
        <v>45837</v>
      </c>
      <c r="C424" s="1" t="n">
        <v>46197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45112-2024</t>
        </is>
      </c>
      <c r="B425" s="1" t="n">
        <v>45575</v>
      </c>
      <c r="C425" s="1" t="n">
        <v>46197</v>
      </c>
      <c r="D425" t="inlineStr">
        <is>
          <t>GOTLANDS LÄN</t>
        </is>
      </c>
      <c r="E425" t="inlineStr">
        <is>
          <t>GOTLAND</t>
        </is>
      </c>
      <c r="G425" t="n">
        <v>5.1</v>
      </c>
      <c r="H425" t="n">
        <v>0</v>
      </c>
      <c r="I425" t="n">
        <v>0</v>
      </c>
      <c r="J425" t="n">
        <v>0</v>
      </c>
      <c r="K425" t="n">
        <v>0</v>
      </c>
      <c r="L425" t="n">
        <v>0</v>
      </c>
      <c r="M425" t="n">
        <v>0</v>
      </c>
      <c r="N425" t="n">
        <v>0</v>
      </c>
      <c r="O425" t="n">
        <v>0</v>
      </c>
      <c r="P425" t="n">
        <v>0</v>
      </c>
      <c r="Q425" t="n">
        <v>0</v>
      </c>
      <c r="R425" s="2" t="inlineStr"/>
    </row>
    <row r="426" ht="15" customHeight="1">
      <c r="A426" t="inlineStr">
        <is>
          <t>A 1854-2026</t>
        </is>
      </c>
      <c r="B426" s="1" t="n">
        <v>46035</v>
      </c>
      <c r="C426" s="1" t="n">
        <v>46197</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46400-2023</t>
        </is>
      </c>
      <c r="B427" s="1" t="n">
        <v>45197</v>
      </c>
      <c r="C427" s="1" t="n">
        <v>46197</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13910-2025</t>
        </is>
      </c>
      <c r="B428" s="1" t="n">
        <v>45737</v>
      </c>
      <c r="C428" s="1" t="n">
        <v>46197</v>
      </c>
      <c r="D428" t="inlineStr">
        <is>
          <t>GOTLANDS LÄN</t>
        </is>
      </c>
      <c r="E428" t="inlineStr">
        <is>
          <t>GOTLAND</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21164-2024</t>
        </is>
      </c>
      <c r="B429" s="1" t="n">
        <v>45440</v>
      </c>
      <c r="C429" s="1" t="n">
        <v>46197</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46197</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22897-2023</t>
        </is>
      </c>
      <c r="B431" s="1" t="n">
        <v>45072</v>
      </c>
      <c r="C431" s="1" t="n">
        <v>46197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61897-2024</t>
        </is>
      </c>
      <c r="B432" s="1" t="n">
        <v>45652</v>
      </c>
      <c r="C432" s="1" t="n">
        <v>46197</v>
      </c>
      <c r="D432" t="inlineStr">
        <is>
          <t>GOTLANDS LÄN</t>
        </is>
      </c>
      <c r="E432" t="inlineStr">
        <is>
          <t>GOTLAND</t>
        </is>
      </c>
      <c r="G432" t="n">
        <v>6.4</v>
      </c>
      <c r="H432" t="n">
        <v>0</v>
      </c>
      <c r="I432" t="n">
        <v>0</v>
      </c>
      <c r="J432" t="n">
        <v>0</v>
      </c>
      <c r="K432" t="n">
        <v>0</v>
      </c>
      <c r="L432" t="n">
        <v>0</v>
      </c>
      <c r="M432" t="n">
        <v>0</v>
      </c>
      <c r="N432" t="n">
        <v>0</v>
      </c>
      <c r="O432" t="n">
        <v>0</v>
      </c>
      <c r="P432" t="n">
        <v>0</v>
      </c>
      <c r="Q432" t="n">
        <v>0</v>
      </c>
      <c r="R432" s="2" t="inlineStr"/>
    </row>
    <row r="433" ht="15" customHeight="1">
      <c r="A433" t="inlineStr">
        <is>
          <t>A 6959-2026</t>
        </is>
      </c>
      <c r="B433" s="1" t="n">
        <v>46057</v>
      </c>
      <c r="C433" s="1" t="n">
        <v>46197</v>
      </c>
      <c r="D433" t="inlineStr">
        <is>
          <t>GOTLANDS LÄN</t>
        </is>
      </c>
      <c r="E433" t="inlineStr">
        <is>
          <t>GOTLAND</t>
        </is>
      </c>
      <c r="F433" t="inlineStr">
        <is>
          <t>Kyrkan</t>
        </is>
      </c>
      <c r="G433" t="n">
        <v>1.2</v>
      </c>
      <c r="H433" t="n">
        <v>0</v>
      </c>
      <c r="I433" t="n">
        <v>0</v>
      </c>
      <c r="J433" t="n">
        <v>0</v>
      </c>
      <c r="K433" t="n">
        <v>0</v>
      </c>
      <c r="L433" t="n">
        <v>0</v>
      </c>
      <c r="M433" t="n">
        <v>0</v>
      </c>
      <c r="N433" t="n">
        <v>0</v>
      </c>
      <c r="O433" t="n">
        <v>0</v>
      </c>
      <c r="P433" t="n">
        <v>0</v>
      </c>
      <c r="Q433" t="n">
        <v>0</v>
      </c>
      <c r="R433" s="2" t="inlineStr"/>
    </row>
    <row r="434" ht="15" customHeight="1">
      <c r="A434" t="inlineStr">
        <is>
          <t>A 38165-2023</t>
        </is>
      </c>
      <c r="B434" s="1" t="n">
        <v>45161</v>
      </c>
      <c r="C434" s="1" t="n">
        <v>46197</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20165-2022</t>
        </is>
      </c>
      <c r="B435" s="1" t="n">
        <v>44698</v>
      </c>
      <c r="C435" s="1" t="n">
        <v>46197</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v>
      </c>
      <c r="C436" s="1" t="n">
        <v>46197</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38787-2023</t>
        </is>
      </c>
      <c r="B437" s="1" t="n">
        <v>45163</v>
      </c>
      <c r="C437" s="1" t="n">
        <v>46197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43231-2023</t>
        </is>
      </c>
      <c r="B438" s="1" t="n">
        <v>45183</v>
      </c>
      <c r="C438" s="1" t="n">
        <v>46197</v>
      </c>
      <c r="D438" t="inlineStr">
        <is>
          <t>GOTLANDS LÄN</t>
        </is>
      </c>
      <c r="E438" t="inlineStr">
        <is>
          <t>GOTLAND</t>
        </is>
      </c>
      <c r="G438" t="n">
        <v>3.6</v>
      </c>
      <c r="H438" t="n">
        <v>0</v>
      </c>
      <c r="I438" t="n">
        <v>0</v>
      </c>
      <c r="J438" t="n">
        <v>0</v>
      </c>
      <c r="K438" t="n">
        <v>0</v>
      </c>
      <c r="L438" t="n">
        <v>0</v>
      </c>
      <c r="M438" t="n">
        <v>0</v>
      </c>
      <c r="N438" t="n">
        <v>0</v>
      </c>
      <c r="O438" t="n">
        <v>0</v>
      </c>
      <c r="P438" t="n">
        <v>0</v>
      </c>
      <c r="Q438" t="n">
        <v>0</v>
      </c>
      <c r="R438" s="2" t="inlineStr"/>
    </row>
    <row r="439" ht="15" customHeight="1">
      <c r="A439" t="inlineStr">
        <is>
          <t>A 17532-2024</t>
        </is>
      </c>
      <c r="B439" s="1" t="n">
        <v>45415</v>
      </c>
      <c r="C439" s="1" t="n">
        <v>46197</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35537-2025</t>
        </is>
      </c>
      <c r="B440" s="1" t="n">
        <v>45856</v>
      </c>
      <c r="C440" s="1" t="n">
        <v>46197</v>
      </c>
      <c r="D440" t="inlineStr">
        <is>
          <t>GOTLANDS LÄN</t>
        </is>
      </c>
      <c r="E440" t="inlineStr">
        <is>
          <t>GOTLAND</t>
        </is>
      </c>
      <c r="G440" t="n">
        <v>16.8</v>
      </c>
      <c r="H440" t="n">
        <v>0</v>
      </c>
      <c r="I440" t="n">
        <v>0</v>
      </c>
      <c r="J440" t="n">
        <v>0</v>
      </c>
      <c r="K440" t="n">
        <v>0</v>
      </c>
      <c r="L440" t="n">
        <v>0</v>
      </c>
      <c r="M440" t="n">
        <v>0</v>
      </c>
      <c r="N440" t="n">
        <v>0</v>
      </c>
      <c r="O440" t="n">
        <v>0</v>
      </c>
      <c r="P440" t="n">
        <v>0</v>
      </c>
      <c r="Q440" t="n">
        <v>0</v>
      </c>
      <c r="R440" s="2" t="inlineStr"/>
    </row>
    <row r="441" ht="15" customHeight="1">
      <c r="A441" t="inlineStr">
        <is>
          <t>A 42338-2023</t>
        </is>
      </c>
      <c r="B441" s="1" t="n">
        <v>45180</v>
      </c>
      <c r="C441" s="1" t="n">
        <v>46197</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873-2024</t>
        </is>
      </c>
      <c r="B442" s="1" t="n">
        <v>45301</v>
      </c>
      <c r="C442" s="1" t="n">
        <v>46197</v>
      </c>
      <c r="D442" t="inlineStr">
        <is>
          <t>GOTLANDS LÄN</t>
        </is>
      </c>
      <c r="E442" t="inlineStr">
        <is>
          <t>GOTLAND</t>
        </is>
      </c>
      <c r="G442" t="n">
        <v>2.7</v>
      </c>
      <c r="H442" t="n">
        <v>0</v>
      </c>
      <c r="I442" t="n">
        <v>0</v>
      </c>
      <c r="J442" t="n">
        <v>0</v>
      </c>
      <c r="K442" t="n">
        <v>0</v>
      </c>
      <c r="L442" t="n">
        <v>0</v>
      </c>
      <c r="M442" t="n">
        <v>0</v>
      </c>
      <c r="N442" t="n">
        <v>0</v>
      </c>
      <c r="O442" t="n">
        <v>0</v>
      </c>
      <c r="P442" t="n">
        <v>0</v>
      </c>
      <c r="Q442" t="n">
        <v>0</v>
      </c>
      <c r="R442" s="2" t="inlineStr"/>
    </row>
    <row r="443" ht="15" customHeight="1">
      <c r="A443" t="inlineStr">
        <is>
          <t>A 22275-2023</t>
        </is>
      </c>
      <c r="B443" s="1" t="n">
        <v>45070</v>
      </c>
      <c r="C443" s="1" t="n">
        <v>46197</v>
      </c>
      <c r="D443" t="inlineStr">
        <is>
          <t>GOTLANDS LÄN</t>
        </is>
      </c>
      <c r="E443" t="inlineStr">
        <is>
          <t>GOTLAND</t>
        </is>
      </c>
      <c r="G443" t="n">
        <v>7.2</v>
      </c>
      <c r="H443" t="n">
        <v>0</v>
      </c>
      <c r="I443" t="n">
        <v>0</v>
      </c>
      <c r="J443" t="n">
        <v>0</v>
      </c>
      <c r="K443" t="n">
        <v>0</v>
      </c>
      <c r="L443" t="n">
        <v>0</v>
      </c>
      <c r="M443" t="n">
        <v>0</v>
      </c>
      <c r="N443" t="n">
        <v>0</v>
      </c>
      <c r="O443" t="n">
        <v>0</v>
      </c>
      <c r="P443" t="n">
        <v>0</v>
      </c>
      <c r="Q443" t="n">
        <v>0</v>
      </c>
      <c r="R443" s="2" t="inlineStr"/>
    </row>
    <row r="444" ht="15" customHeight="1">
      <c r="A444" t="inlineStr">
        <is>
          <t>A 12322-2025</t>
        </is>
      </c>
      <c r="B444" s="1" t="n">
        <v>45730</v>
      </c>
      <c r="C444" s="1" t="n">
        <v>46197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14797-2024</t>
        </is>
      </c>
      <c r="B445" s="1" t="n">
        <v>45397</v>
      </c>
      <c r="C445" s="1" t="n">
        <v>46197</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999-2024</t>
        </is>
      </c>
      <c r="B446" s="1" t="n">
        <v>45301</v>
      </c>
      <c r="C446" s="1" t="n">
        <v>46197</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46197</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14638-2025</t>
        </is>
      </c>
      <c r="B448" s="1" t="n">
        <v>45742</v>
      </c>
      <c r="C448" s="1" t="n">
        <v>46197</v>
      </c>
      <c r="D448" t="inlineStr">
        <is>
          <t>GOTLANDS LÄN</t>
        </is>
      </c>
      <c r="E448" t="inlineStr">
        <is>
          <t>GOTLAND</t>
        </is>
      </c>
      <c r="G448" t="n">
        <v>13.4</v>
      </c>
      <c r="H448" t="n">
        <v>0</v>
      </c>
      <c r="I448" t="n">
        <v>0</v>
      </c>
      <c r="J448" t="n">
        <v>0</v>
      </c>
      <c r="K448" t="n">
        <v>0</v>
      </c>
      <c r="L448" t="n">
        <v>0</v>
      </c>
      <c r="M448" t="n">
        <v>0</v>
      </c>
      <c r="N448" t="n">
        <v>0</v>
      </c>
      <c r="O448" t="n">
        <v>0</v>
      </c>
      <c r="P448" t="n">
        <v>0</v>
      </c>
      <c r="Q448" t="n">
        <v>0</v>
      </c>
      <c r="R448" s="2" t="inlineStr"/>
    </row>
    <row r="449" ht="15" customHeight="1">
      <c r="A449" t="inlineStr">
        <is>
          <t>A 27164-2026</t>
        </is>
      </c>
      <c r="B449" s="1" t="n">
        <v>46188</v>
      </c>
      <c r="C449" s="1" t="n">
        <v>46197</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27170-2026</t>
        </is>
      </c>
      <c r="B450" s="1" t="n">
        <v>46188</v>
      </c>
      <c r="C450" s="1" t="n">
        <v>46197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60675-2021</t>
        </is>
      </c>
      <c r="B451" s="1" t="n">
        <v>44496</v>
      </c>
      <c r="C451" s="1" t="n">
        <v>46197</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46197</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27341-2026</t>
        </is>
      </c>
      <c r="B453" s="1" t="n">
        <v>46188</v>
      </c>
      <c r="C453" s="1" t="n">
        <v>46197</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22287-2022</t>
        </is>
      </c>
      <c r="B454" s="1" t="n">
        <v>44712</v>
      </c>
      <c r="C454" s="1" t="n">
        <v>46197</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27346-2026</t>
        </is>
      </c>
      <c r="B455" s="1" t="n">
        <v>46188</v>
      </c>
      <c r="C455" s="1" t="n">
        <v>46197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27354-2026</t>
        </is>
      </c>
      <c r="B456" s="1" t="n">
        <v>46184</v>
      </c>
      <c r="C456" s="1" t="n">
        <v>46197</v>
      </c>
      <c r="D456" t="inlineStr">
        <is>
          <t>GOTLANDS LÄN</t>
        </is>
      </c>
      <c r="E456" t="inlineStr">
        <is>
          <t>GOTLAND</t>
        </is>
      </c>
      <c r="G456" t="n">
        <v>0.9</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46197</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65249-2023</t>
        </is>
      </c>
      <c r="B458" s="1" t="n">
        <v>45290</v>
      </c>
      <c r="C458" s="1" t="n">
        <v>46197</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46197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59986-2022</t>
        </is>
      </c>
      <c r="B460" s="1" t="n">
        <v>44909</v>
      </c>
      <c r="C460" s="1" t="n">
        <v>46197</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22275-2026</t>
        </is>
      </c>
      <c r="B461" s="1" t="n">
        <v>46154</v>
      </c>
      <c r="C461" s="1" t="n">
        <v>46197</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22281-2026</t>
        </is>
      </c>
      <c r="B462" s="1" t="n">
        <v>46154</v>
      </c>
      <c r="C462" s="1" t="n">
        <v>46197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22348-2026</t>
        </is>
      </c>
      <c r="B463" s="1" t="n">
        <v>46154</v>
      </c>
      <c r="C463" s="1" t="n">
        <v>46197</v>
      </c>
      <c r="D463" t="inlineStr">
        <is>
          <t>GOTLANDS LÄN</t>
        </is>
      </c>
      <c r="E463" t="inlineStr">
        <is>
          <t>GOTLAND</t>
        </is>
      </c>
      <c r="G463" t="n">
        <v>3.3</v>
      </c>
      <c r="H463" t="n">
        <v>0</v>
      </c>
      <c r="I463" t="n">
        <v>0</v>
      </c>
      <c r="J463" t="n">
        <v>0</v>
      </c>
      <c r="K463" t="n">
        <v>0</v>
      </c>
      <c r="L463" t="n">
        <v>0</v>
      </c>
      <c r="M463" t="n">
        <v>0</v>
      </c>
      <c r="N463" t="n">
        <v>0</v>
      </c>
      <c r="O463" t="n">
        <v>0</v>
      </c>
      <c r="P463" t="n">
        <v>0</v>
      </c>
      <c r="Q463" t="n">
        <v>0</v>
      </c>
      <c r="R463" s="2" t="inlineStr"/>
    </row>
    <row r="464" ht="15" customHeight="1">
      <c r="A464" t="inlineStr">
        <is>
          <t>A 22351-2026</t>
        </is>
      </c>
      <c r="B464" s="1" t="n">
        <v>46154</v>
      </c>
      <c r="C464" s="1" t="n">
        <v>46197</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28012-2026</t>
        </is>
      </c>
      <c r="B465" s="1" t="n">
        <v>46195</v>
      </c>
      <c r="C465" s="1" t="n">
        <v>46197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v>
      </c>
      <c r="C466" s="1" t="n">
        <v>46197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46197</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46197</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46197</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v>
      </c>
      <c r="C470" s="1" t="n">
        <v>46197</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v>
      </c>
      <c r="C471" s="1" t="n">
        <v>46197</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v>
      </c>
      <c r="C472" s="1" t="n">
        <v>46197</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46197</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v>
      </c>
      <c r="C474" s="1" t="n">
        <v>46197</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46197</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46197</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5923-2023</t>
        </is>
      </c>
      <c r="B477" s="1" t="n">
        <v>44963</v>
      </c>
      <c r="C477" s="1" t="n">
        <v>46197</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18918-2025</t>
        </is>
      </c>
      <c r="B478" s="1" t="n">
        <v>45764</v>
      </c>
      <c r="C478" s="1" t="n">
        <v>46197</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2674-2023</t>
        </is>
      </c>
      <c r="B479" s="1" t="n">
        <v>44944</v>
      </c>
      <c r="C479" s="1" t="n">
        <v>46197</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10655-2023</t>
        </is>
      </c>
      <c r="B480" s="1" t="n">
        <v>44988</v>
      </c>
      <c r="C480" s="1" t="n">
        <v>46197</v>
      </c>
      <c r="D480" t="inlineStr">
        <is>
          <t>GOTLANDS LÄN</t>
        </is>
      </c>
      <c r="E480" t="inlineStr">
        <is>
          <t>GOTLAND</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v>
      </c>
      <c r="C481" s="1" t="n">
        <v>46197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26891-2024</t>
        </is>
      </c>
      <c r="B482" s="1" t="n">
        <v>45470</v>
      </c>
      <c r="C482" s="1" t="n">
        <v>46197</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42007-2023</t>
        </is>
      </c>
      <c r="B483" s="1" t="n">
        <v>45177</v>
      </c>
      <c r="C483" s="1" t="n">
        <v>46197</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9887-2025</t>
        </is>
      </c>
      <c r="B484" s="1" t="n">
        <v>45716</v>
      </c>
      <c r="C484" s="1" t="n">
        <v>46197</v>
      </c>
      <c r="D484" t="inlineStr">
        <is>
          <t>GOTLANDS LÄN</t>
        </is>
      </c>
      <c r="E484" t="inlineStr">
        <is>
          <t>GOTLAND</t>
        </is>
      </c>
      <c r="G484" t="n">
        <v>7.5</v>
      </c>
      <c r="H484" t="n">
        <v>0</v>
      </c>
      <c r="I484" t="n">
        <v>0</v>
      </c>
      <c r="J484" t="n">
        <v>0</v>
      </c>
      <c r="K484" t="n">
        <v>0</v>
      </c>
      <c r="L484" t="n">
        <v>0</v>
      </c>
      <c r="M484" t="n">
        <v>0</v>
      </c>
      <c r="N484" t="n">
        <v>0</v>
      </c>
      <c r="O484" t="n">
        <v>0</v>
      </c>
      <c r="P484" t="n">
        <v>0</v>
      </c>
      <c r="Q484" t="n">
        <v>0</v>
      </c>
      <c r="R484" s="2" t="inlineStr"/>
    </row>
    <row r="485" ht="15" customHeight="1">
      <c r="A485" t="inlineStr">
        <is>
          <t>A 27596-2023</t>
        </is>
      </c>
      <c r="B485" s="1" t="n">
        <v>45097</v>
      </c>
      <c r="C485" s="1" t="n">
        <v>46197</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24825-2024</t>
        </is>
      </c>
      <c r="B486" s="1" t="n">
        <v>45461</v>
      </c>
      <c r="C486" s="1" t="n">
        <v>46197</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6696-2023</t>
        </is>
      </c>
      <c r="B487" s="1" t="n">
        <v>44966</v>
      </c>
      <c r="C487" s="1" t="n">
        <v>46197</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46197</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456-2023</t>
        </is>
      </c>
      <c r="B489" s="1" t="n">
        <v>44929</v>
      </c>
      <c r="C489" s="1" t="n">
        <v>46197</v>
      </c>
      <c r="D489" t="inlineStr">
        <is>
          <t>GOTLANDS LÄN</t>
        </is>
      </c>
      <c r="E489" t="inlineStr">
        <is>
          <t>GOTLAND</t>
        </is>
      </c>
      <c r="G489" t="n">
        <v>3.2</v>
      </c>
      <c r="H489" t="n">
        <v>0</v>
      </c>
      <c r="I489" t="n">
        <v>0</v>
      </c>
      <c r="J489" t="n">
        <v>0</v>
      </c>
      <c r="K489" t="n">
        <v>0</v>
      </c>
      <c r="L489" t="n">
        <v>0</v>
      </c>
      <c r="M489" t="n">
        <v>0</v>
      </c>
      <c r="N489" t="n">
        <v>0</v>
      </c>
      <c r="O489" t="n">
        <v>0</v>
      </c>
      <c r="P489" t="n">
        <v>0</v>
      </c>
      <c r="Q489" t="n">
        <v>0</v>
      </c>
      <c r="R489" s="2" t="inlineStr"/>
    </row>
    <row r="490" ht="15" customHeight="1">
      <c r="A490" t="inlineStr">
        <is>
          <t>A 2714-2023</t>
        </is>
      </c>
      <c r="B490" s="1" t="n">
        <v>44944</v>
      </c>
      <c r="C490" s="1" t="n">
        <v>46197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4421-2024</t>
        </is>
      </c>
      <c r="B491" s="1" t="n">
        <v>45327</v>
      </c>
      <c r="C491" s="1" t="n">
        <v>46197</v>
      </c>
      <c r="D491" t="inlineStr">
        <is>
          <t>GOTLANDS LÄN</t>
        </is>
      </c>
      <c r="E491" t="inlineStr">
        <is>
          <t>GOTLAND</t>
        </is>
      </c>
      <c r="G491" t="n">
        <v>5.1</v>
      </c>
      <c r="H491" t="n">
        <v>0</v>
      </c>
      <c r="I491" t="n">
        <v>0</v>
      </c>
      <c r="J491" t="n">
        <v>0</v>
      </c>
      <c r="K491" t="n">
        <v>0</v>
      </c>
      <c r="L491" t="n">
        <v>0</v>
      </c>
      <c r="M491" t="n">
        <v>0</v>
      </c>
      <c r="N491" t="n">
        <v>0</v>
      </c>
      <c r="O491" t="n">
        <v>0</v>
      </c>
      <c r="P491" t="n">
        <v>0</v>
      </c>
      <c r="Q491" t="n">
        <v>0</v>
      </c>
      <c r="R491" s="2" t="inlineStr"/>
    </row>
    <row r="492" ht="15" customHeight="1">
      <c r="A492" t="inlineStr">
        <is>
          <t>A 51782-2023</t>
        </is>
      </c>
      <c r="B492" s="1" t="n">
        <v>45222</v>
      </c>
      <c r="C492" s="1" t="n">
        <v>46197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54268-2022</t>
        </is>
      </c>
      <c r="B493" s="1" t="n">
        <v>44882</v>
      </c>
      <c r="C493" s="1" t="n">
        <v>46197</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46197</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43229-2023</t>
        </is>
      </c>
      <c r="B495" s="1" t="n">
        <v>45183</v>
      </c>
      <c r="C495" s="1" t="n">
        <v>46197</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1175-2025</t>
        </is>
      </c>
      <c r="B496" s="1" t="n">
        <v>45667</v>
      </c>
      <c r="C496" s="1" t="n">
        <v>46197</v>
      </c>
      <c r="D496" t="inlineStr">
        <is>
          <t>GOTLANDS LÄN</t>
        </is>
      </c>
      <c r="E496" t="inlineStr">
        <is>
          <t>GOTLAND</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46197</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22899-2023</t>
        </is>
      </c>
      <c r="B498" s="1" t="n">
        <v>45072</v>
      </c>
      <c r="C498" s="1" t="n">
        <v>46197</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23978-2023</t>
        </is>
      </c>
      <c r="B499" s="1" t="n">
        <v>45078</v>
      </c>
      <c r="C499" s="1" t="n">
        <v>46197</v>
      </c>
      <c r="D499" t="inlineStr">
        <is>
          <t>GOTLANDS LÄN</t>
        </is>
      </c>
      <c r="E499" t="inlineStr">
        <is>
          <t>GOTLAND</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34407-2023</t>
        </is>
      </c>
      <c r="B500" s="1" t="n">
        <v>45132</v>
      </c>
      <c r="C500" s="1" t="n">
        <v>46197</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11013-2024</t>
        </is>
      </c>
      <c r="B501" s="1" t="n">
        <v>45370</v>
      </c>
      <c r="C501" s="1" t="n">
        <v>46197</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27694-2024</t>
        </is>
      </c>
      <c r="B502" s="1" t="n">
        <v>45475</v>
      </c>
      <c r="C502" s="1" t="n">
        <v>46197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15083-2025</t>
        </is>
      </c>
      <c r="B503" s="1" t="n">
        <v>45743</v>
      </c>
      <c r="C503" s="1" t="n">
        <v>46197</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13037-2025</t>
        </is>
      </c>
      <c r="B504" s="1" t="n">
        <v>45734</v>
      </c>
      <c r="C504" s="1" t="n">
        <v>46197</v>
      </c>
      <c r="D504" t="inlineStr">
        <is>
          <t>GOTLANDS LÄN</t>
        </is>
      </c>
      <c r="E504" t="inlineStr">
        <is>
          <t>GOTLAND</t>
        </is>
      </c>
      <c r="G504" t="n">
        <v>9.5</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46197</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58132-2023</t>
        </is>
      </c>
      <c r="B506" s="1" t="n">
        <v>45250</v>
      </c>
      <c r="C506" s="1" t="n">
        <v>46197</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46197</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876-2024</t>
        </is>
      </c>
      <c r="B508" s="1" t="n">
        <v>45301</v>
      </c>
      <c r="C508" s="1" t="n">
        <v>46197</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22704-2023</t>
        </is>
      </c>
      <c r="B509" s="1" t="n">
        <v>45071</v>
      </c>
      <c r="C509" s="1" t="n">
        <v>46197</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28425-2023</t>
        </is>
      </c>
      <c r="B510" s="1" t="n">
        <v>45102</v>
      </c>
      <c r="C510" s="1" t="n">
        <v>46197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58476-2022</t>
        </is>
      </c>
      <c r="B511" s="1" t="n">
        <v>44902</v>
      </c>
      <c r="C511" s="1" t="n">
        <v>46197</v>
      </c>
      <c r="D511" t="inlineStr">
        <is>
          <t>GOTLANDS LÄN</t>
        </is>
      </c>
      <c r="E511" t="inlineStr">
        <is>
          <t>GOTLAND</t>
        </is>
      </c>
      <c r="G511" t="n">
        <v>0.9</v>
      </c>
      <c r="H511" t="n">
        <v>0</v>
      </c>
      <c r="I511" t="n">
        <v>0</v>
      </c>
      <c r="J511" t="n">
        <v>0</v>
      </c>
      <c r="K511" t="n">
        <v>0</v>
      </c>
      <c r="L511" t="n">
        <v>0</v>
      </c>
      <c r="M511" t="n">
        <v>0</v>
      </c>
      <c r="N511" t="n">
        <v>0</v>
      </c>
      <c r="O511" t="n">
        <v>0</v>
      </c>
      <c r="P511" t="n">
        <v>0</v>
      </c>
      <c r="Q511" t="n">
        <v>0</v>
      </c>
      <c r="R511" s="2" t="inlineStr"/>
    </row>
    <row r="512" ht="15" customHeight="1">
      <c r="A512" t="inlineStr">
        <is>
          <t>A 43223-2023</t>
        </is>
      </c>
      <c r="B512" s="1" t="n">
        <v>45183</v>
      </c>
      <c r="C512" s="1" t="n">
        <v>46197</v>
      </c>
      <c r="D512" t="inlineStr">
        <is>
          <t>GOTLANDS LÄN</t>
        </is>
      </c>
      <c r="E512" t="inlineStr">
        <is>
          <t>GOTLAND</t>
        </is>
      </c>
      <c r="G512" t="n">
        <v>1.8</v>
      </c>
      <c r="H512" t="n">
        <v>0</v>
      </c>
      <c r="I512" t="n">
        <v>0</v>
      </c>
      <c r="J512" t="n">
        <v>0</v>
      </c>
      <c r="K512" t="n">
        <v>0</v>
      </c>
      <c r="L512" t="n">
        <v>0</v>
      </c>
      <c r="M512" t="n">
        <v>0</v>
      </c>
      <c r="N512" t="n">
        <v>0</v>
      </c>
      <c r="O512" t="n">
        <v>0</v>
      </c>
      <c r="P512" t="n">
        <v>0</v>
      </c>
      <c r="Q512" t="n">
        <v>0</v>
      </c>
      <c r="R512" s="2" t="inlineStr"/>
    </row>
    <row r="513" ht="15" customHeight="1">
      <c r="A513" t="inlineStr">
        <is>
          <t>A 3431-2025</t>
        </is>
      </c>
      <c r="B513" s="1" t="n">
        <v>45680</v>
      </c>
      <c r="C513" s="1" t="n">
        <v>46197</v>
      </c>
      <c r="D513" t="inlineStr">
        <is>
          <t>GOTLANDS LÄN</t>
        </is>
      </c>
      <c r="E513" t="inlineStr">
        <is>
          <t>GOTLAND</t>
        </is>
      </c>
      <c r="G513" t="n">
        <v>4.8</v>
      </c>
      <c r="H513" t="n">
        <v>0</v>
      </c>
      <c r="I513" t="n">
        <v>0</v>
      </c>
      <c r="J513" t="n">
        <v>0</v>
      </c>
      <c r="K513" t="n">
        <v>0</v>
      </c>
      <c r="L513" t="n">
        <v>0</v>
      </c>
      <c r="M513" t="n">
        <v>0</v>
      </c>
      <c r="N513" t="n">
        <v>0</v>
      </c>
      <c r="O513" t="n">
        <v>0</v>
      </c>
      <c r="P513" t="n">
        <v>0</v>
      </c>
      <c r="Q513" t="n">
        <v>0</v>
      </c>
      <c r="R513" s="2" t="inlineStr"/>
    </row>
    <row r="514" ht="15" customHeight="1">
      <c r="A514" t="inlineStr">
        <is>
          <t>A 12210-2024</t>
        </is>
      </c>
      <c r="B514" s="1" t="n">
        <v>45378</v>
      </c>
      <c r="C514" s="1" t="n">
        <v>46197</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49257-2024</t>
        </is>
      </c>
      <c r="B515" s="1" t="n">
        <v>45595</v>
      </c>
      <c r="C515" s="1" t="n">
        <v>46197</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v>
      </c>
      <c r="C516" s="1" t="n">
        <v>46197</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46527-2023</t>
        </is>
      </c>
      <c r="B517" s="1" t="n">
        <v>45197</v>
      </c>
      <c r="C517" s="1" t="n">
        <v>46197</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v>
      </c>
      <c r="C518" s="1" t="n">
        <v>46197</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60709-2023</t>
        </is>
      </c>
      <c r="B519" s="1" t="n">
        <v>45260</v>
      </c>
      <c r="C519" s="1" t="n">
        <v>46197</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46197</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30956-2024</t>
        </is>
      </c>
      <c r="B521" s="1" t="n">
        <v>45499</v>
      </c>
      <c r="C521" s="1" t="n">
        <v>46197</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30892-2024</t>
        </is>
      </c>
      <c r="B522" s="1" t="n">
        <v>45491</v>
      </c>
      <c r="C522" s="1" t="n">
        <v>46197</v>
      </c>
      <c r="D522" t="inlineStr">
        <is>
          <t>GOTLANDS LÄN</t>
        </is>
      </c>
      <c r="E522" t="inlineStr">
        <is>
          <t>GOTLAND</t>
        </is>
      </c>
      <c r="G522" t="n">
        <v>6.1</v>
      </c>
      <c r="H522" t="n">
        <v>0</v>
      </c>
      <c r="I522" t="n">
        <v>0</v>
      </c>
      <c r="J522" t="n">
        <v>0</v>
      </c>
      <c r="K522" t="n">
        <v>0</v>
      </c>
      <c r="L522" t="n">
        <v>0</v>
      </c>
      <c r="M522" t="n">
        <v>0</v>
      </c>
      <c r="N522" t="n">
        <v>0</v>
      </c>
      <c r="O522" t="n">
        <v>0</v>
      </c>
      <c r="P522" t="n">
        <v>0</v>
      </c>
      <c r="Q522" t="n">
        <v>0</v>
      </c>
      <c r="R522" s="2" t="inlineStr"/>
    </row>
    <row r="523" ht="15" customHeight="1">
      <c r="A523" t="inlineStr">
        <is>
          <t>A 14635-2023</t>
        </is>
      </c>
      <c r="B523" s="1" t="n">
        <v>45013</v>
      </c>
      <c r="C523" s="1" t="n">
        <v>46197</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59469-2024</t>
        </is>
      </c>
      <c r="B524" s="1" t="n">
        <v>45638</v>
      </c>
      <c r="C524" s="1" t="n">
        <v>46197</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7858-2025</t>
        </is>
      </c>
      <c r="B525" s="1" t="n">
        <v>45706</v>
      </c>
      <c r="C525" s="1" t="n">
        <v>46197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46197</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46197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4420-2025</t>
        </is>
      </c>
      <c r="B528" s="1" t="n">
        <v>45686</v>
      </c>
      <c r="C528" s="1" t="n">
        <v>46197</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5891-2025</t>
        </is>
      </c>
      <c r="B529" s="1" t="n">
        <v>45695</v>
      </c>
      <c r="C529" s="1" t="n">
        <v>46197</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7835-2024</t>
        </is>
      </c>
      <c r="B530" s="1" t="n">
        <v>45349</v>
      </c>
      <c r="C530" s="1" t="n">
        <v>46197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21389-2025</t>
        </is>
      </c>
      <c r="B531" s="1" t="n">
        <v>45782</v>
      </c>
      <c r="C531" s="1" t="n">
        <v>46197</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57356-2023</t>
        </is>
      </c>
      <c r="B532" s="1" t="n">
        <v>45240</v>
      </c>
      <c r="C532" s="1" t="n">
        <v>46197</v>
      </c>
      <c r="D532" t="inlineStr">
        <is>
          <t>GOTLANDS LÄN</t>
        </is>
      </c>
      <c r="E532" t="inlineStr">
        <is>
          <t>GOTLAND</t>
        </is>
      </c>
      <c r="G532" t="n">
        <v>6.4</v>
      </c>
      <c r="H532" t="n">
        <v>0</v>
      </c>
      <c r="I532" t="n">
        <v>0</v>
      </c>
      <c r="J532" t="n">
        <v>0</v>
      </c>
      <c r="K532" t="n">
        <v>0</v>
      </c>
      <c r="L532" t="n">
        <v>0</v>
      </c>
      <c r="M532" t="n">
        <v>0</v>
      </c>
      <c r="N532" t="n">
        <v>0</v>
      </c>
      <c r="O532" t="n">
        <v>0</v>
      </c>
      <c r="P532" t="n">
        <v>0</v>
      </c>
      <c r="Q532" t="n">
        <v>0</v>
      </c>
      <c r="R532" s="2" t="inlineStr"/>
    </row>
    <row r="533" ht="15" customHeight="1">
      <c r="A533" t="inlineStr">
        <is>
          <t>A 10656-2024</t>
        </is>
      </c>
      <c r="B533" s="1" t="n">
        <v>45368</v>
      </c>
      <c r="C533" s="1" t="n">
        <v>46197</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28506-2023</t>
        </is>
      </c>
      <c r="B534" s="1" t="n">
        <v>45103</v>
      </c>
      <c r="C534" s="1" t="n">
        <v>46197</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21420-2024</t>
        </is>
      </c>
      <c r="B535" s="1" t="n">
        <v>45441</v>
      </c>
      <c r="C535" s="1" t="n">
        <v>46197</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23188-2025</t>
        </is>
      </c>
      <c r="B536" s="1" t="n">
        <v>45791</v>
      </c>
      <c r="C536" s="1" t="n">
        <v>46197</v>
      </c>
      <c r="D536" t="inlineStr">
        <is>
          <t>GOTLANDS LÄN</t>
        </is>
      </c>
      <c r="E536" t="inlineStr">
        <is>
          <t>GOTLAND</t>
        </is>
      </c>
      <c r="G536" t="n">
        <v>6.2</v>
      </c>
      <c r="H536" t="n">
        <v>0</v>
      </c>
      <c r="I536" t="n">
        <v>0</v>
      </c>
      <c r="J536" t="n">
        <v>0</v>
      </c>
      <c r="K536" t="n">
        <v>0</v>
      </c>
      <c r="L536" t="n">
        <v>0</v>
      </c>
      <c r="M536" t="n">
        <v>0</v>
      </c>
      <c r="N536" t="n">
        <v>0</v>
      </c>
      <c r="O536" t="n">
        <v>0</v>
      </c>
      <c r="P536" t="n">
        <v>0</v>
      </c>
      <c r="Q536" t="n">
        <v>0</v>
      </c>
      <c r="R536" s="2" t="inlineStr"/>
    </row>
    <row r="537" ht="15" customHeight="1">
      <c r="A537" t="inlineStr">
        <is>
          <t>A 15073-2025</t>
        </is>
      </c>
      <c r="B537" s="1" t="n">
        <v>45743</v>
      </c>
      <c r="C537" s="1" t="n">
        <v>46197</v>
      </c>
      <c r="D537" t="inlineStr">
        <is>
          <t>GOTLANDS LÄN</t>
        </is>
      </c>
      <c r="E537" t="inlineStr">
        <is>
          <t>GOTLAND</t>
        </is>
      </c>
      <c r="G537" t="n">
        <v>12.1</v>
      </c>
      <c r="H537" t="n">
        <v>0</v>
      </c>
      <c r="I537" t="n">
        <v>0</v>
      </c>
      <c r="J537" t="n">
        <v>0</v>
      </c>
      <c r="K537" t="n">
        <v>0</v>
      </c>
      <c r="L537" t="n">
        <v>0</v>
      </c>
      <c r="M537" t="n">
        <v>0</v>
      </c>
      <c r="N537" t="n">
        <v>0</v>
      </c>
      <c r="O537" t="n">
        <v>0</v>
      </c>
      <c r="P537" t="n">
        <v>0</v>
      </c>
      <c r="Q537" t="n">
        <v>0</v>
      </c>
      <c r="R537" s="2" t="inlineStr"/>
    </row>
    <row r="538" ht="15" customHeight="1">
      <c r="A538" t="inlineStr">
        <is>
          <t>A 6749-2025</t>
        </is>
      </c>
      <c r="B538" s="1" t="n">
        <v>45700</v>
      </c>
      <c r="C538" s="1" t="n">
        <v>46197</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23698-2025</t>
        </is>
      </c>
      <c r="B539" s="1" t="n">
        <v>45793</v>
      </c>
      <c r="C539" s="1" t="n">
        <v>46197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c r="A540" t="inlineStr">
        <is>
          <t>A 5462-2025</t>
        </is>
      </c>
      <c r="B540" s="1" t="n">
        <v>45693</v>
      </c>
      <c r="C540" s="1" t="n">
        <v>46197</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2026-06-24T00:48:01Z</dcterms:created>
  <dcterms:modified xmlns:dcterms="http://purl.org/dc/terms/" xmlns:xsi="http://www.w3.org/2001/XMLSchema-instance" xsi:type="dcterms:W3CDTF">2026-06-24T00:48:02Z</dcterms:modified>
</cp:coreProperties>
</file>