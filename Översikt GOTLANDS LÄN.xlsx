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46306</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30236-2025</t>
        </is>
      </c>
      <c r="B8" t="inlineStr">
        <is>
          <t>avverkningsanmälan</t>
        </is>
      </c>
      <c r="C8" t="inlineStr">
        <is>
          <t>Föryngringsavverkning</t>
        </is>
      </c>
      <c r="D8" s="1" t="n">
        <v>45827</v>
      </c>
      <c r="E8" s="1" t="n">
        <v>46306</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46306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33289-2026</t>
        </is>
      </c>
      <c r="B10" t="inlineStr">
        <is>
          <t>avverkningsanmälan</t>
        </is>
      </c>
      <c r="C10" t="inlineStr">
        <is>
          <t>Föryngringsavverkning</t>
        </is>
      </c>
      <c r="D10" s="1" t="n">
        <v>46246</v>
      </c>
      <c r="E10" s="1" t="n">
        <v>46306</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46306</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46306</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46306</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46306</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46306</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46306</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46306</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46306</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46306</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46306</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46306</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46306</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46306</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46306</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46306</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46306</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46306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39376-2023</t>
        </is>
      </c>
      <c r="B31" t="inlineStr">
        <is>
          <t>avverkningsanmälan</t>
        </is>
      </c>
      <c r="C31" t="inlineStr">
        <is>
          <t>Avverkning för annat ändamål</t>
        </is>
      </c>
      <c r="D31" s="1" t="n">
        <v>45166</v>
      </c>
      <c r="E31" s="1" t="n">
        <v>46306</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63872-2021</t>
        </is>
      </c>
      <c r="B32" t="inlineStr">
        <is>
          <t>avverkningsanmälan</t>
        </is>
      </c>
      <c r="C32" t="inlineStr">
        <is>
          <t>Föryngringsavverkning</t>
        </is>
      </c>
      <c r="D32" s="1" t="n">
        <v>44509</v>
      </c>
      <c r="E32" s="1" t="n">
        <v>46306</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26987-2026</t>
        </is>
      </c>
      <c r="B33" t="inlineStr">
        <is>
          <t>avverkningsanmälan</t>
        </is>
      </c>
      <c r="C33" t="inlineStr">
        <is>
          <t>Föryngringsavverkning</t>
        </is>
      </c>
      <c r="D33" s="1" t="n">
        <v>46185</v>
      </c>
      <c r="E33" s="1" t="n">
        <v>46306</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62132-2023</t>
        </is>
      </c>
      <c r="B34" t="inlineStr">
        <is>
          <t>avverkningsanmälan</t>
        </is>
      </c>
      <c r="C34" t="inlineStr">
        <is>
          <t>Föryngringsavverkning</t>
        </is>
      </c>
      <c r="D34" s="1" t="n">
        <v>45267</v>
      </c>
      <c r="E34" s="1" t="n">
        <v>46306</v>
      </c>
      <c r="F34" t="inlineStr">
        <is>
          <t>GOTLANDS LÄN</t>
        </is>
      </c>
      <c r="G34" t="inlineStr">
        <is>
          <t>GOTLAND</t>
        </is>
      </c>
      <c r="I34" t="n">
        <v>13.9</v>
      </c>
      <c r="J34" t="n">
        <v>5</v>
      </c>
      <c r="K34" t="n">
        <v>4</v>
      </c>
      <c r="L34" t="n">
        <v>7</v>
      </c>
      <c r="M34" t="n">
        <v>4</v>
      </c>
      <c r="N34" t="n">
        <v>0</v>
      </c>
      <c r="O34" t="n">
        <v>0</v>
      </c>
      <c r="P34" t="n">
        <v>0</v>
      </c>
      <c r="Q34" t="n">
        <v>11</v>
      </c>
      <c r="R34" t="n">
        <v>4</v>
      </c>
      <c r="S34" t="n">
        <v>17</v>
      </c>
      <c r="T34" t="n">
        <v>35</v>
      </c>
      <c r="U34" t="n">
        <v>21</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46306</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S 7747-2021</t>
        </is>
      </c>
      <c r="B36" t="inlineStr">
        <is>
          <t>samrådsanmälan</t>
        </is>
      </c>
      <c r="C36" t="inlineStr">
        <is>
          <t>Annan skogsbruksåtgärd</t>
        </is>
      </c>
      <c r="D36" s="1" t="n">
        <v>44480</v>
      </c>
      <c r="E36" s="1" t="n">
        <v>46306</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2213-2023</t>
        </is>
      </c>
      <c r="B37" t="inlineStr">
        <is>
          <t>avverkningsanmälan</t>
        </is>
      </c>
      <c r="C37" t="inlineStr">
        <is>
          <t>Föryngringsavverkning</t>
        </is>
      </c>
      <c r="D37" s="1" t="n">
        <v>44942</v>
      </c>
      <c r="E37" s="1" t="n">
        <v>46306</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46306</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35141-2022</t>
        </is>
      </c>
      <c r="B39" t="inlineStr">
        <is>
          <t>avverkningsanmälan</t>
        </is>
      </c>
      <c r="C39" t="inlineStr">
        <is>
          <t>Föryngringsavverkning</t>
        </is>
      </c>
      <c r="D39" s="1" t="n">
        <v>44797</v>
      </c>
      <c r="E39" s="1" t="n">
        <v>46306</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44204-2022</t>
        </is>
      </c>
      <c r="B40" t="inlineStr">
        <is>
          <t>avverkningsanmälan</t>
        </is>
      </c>
      <c r="C40" t="inlineStr">
        <is>
          <t>Föryngringsavverkning</t>
        </is>
      </c>
      <c r="D40" s="1" t="n">
        <v>44839</v>
      </c>
      <c r="E40" s="1" t="n">
        <v>46306</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9540-2026</t>
        </is>
      </c>
      <c r="B41" t="inlineStr">
        <is>
          <t>avverkningsanmälan</t>
        </is>
      </c>
      <c r="C41" t="inlineStr">
        <is>
          <t>Föryngringsavverkning</t>
        </is>
      </c>
      <c r="D41" s="1" t="n">
        <v>46071</v>
      </c>
      <c r="E41" s="1" t="n">
        <v>46306</v>
      </c>
      <c r="F41" t="inlineStr">
        <is>
          <t>GOTLANDS LÄN</t>
        </is>
      </c>
      <c r="G41" t="inlineStr">
        <is>
          <t>GOTLAND</t>
        </is>
      </c>
      <c r="I41" t="n">
        <v>2.8</v>
      </c>
      <c r="J41" t="n">
        <v>0</v>
      </c>
      <c r="K41" t="n">
        <v>5</v>
      </c>
      <c r="L41" t="n">
        <v>5</v>
      </c>
      <c r="M41" t="n">
        <v>6</v>
      </c>
      <c r="N41" t="n">
        <v>0</v>
      </c>
      <c r="O41" t="n">
        <v>0</v>
      </c>
      <c r="P41" t="n">
        <v>0</v>
      </c>
      <c r="Q41" t="n">
        <v>11</v>
      </c>
      <c r="R41" t="n">
        <v>6</v>
      </c>
      <c r="S41" t="n">
        <v>16</v>
      </c>
      <c r="T41" t="n">
        <v>48</v>
      </c>
      <c r="U41" t="n">
        <v>48</v>
      </c>
      <c r="V41"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1">
        <f>HYPERLINK("https://klasma.github.io/Logging_0980/artfynd/A 9540-2026 artfynd.xlsx", "A 9540-2026")</f>
        <v/>
      </c>
      <c r="X41">
        <f>HYPERLINK("https://klasma.github.io/Logging_0980/kartor/A 9540-2026 karta.png", "A 9540-2026")</f>
        <v/>
      </c>
      <c r="Y41">
        <f>HYPERLINK("https://klasma.github.io/Logging_0980/kartor_geotiff/A 9540-2026 georefererad karta.tif", "A 9540-2026")</f>
        <v/>
      </c>
      <c r="AA41">
        <f>HYPERLINK("https://klasma.github.io/Logging_0980/klagomål/A 9540-2026 FSC-klagomål.docx", "A 9540-2026")</f>
        <v/>
      </c>
      <c r="AB41">
        <f>HYPERLINK("https://klasma.github.io/Logging_0980/klagomålsmail/A 9540-2026 FSC-klagomål mail.docx", "A 9540-2026")</f>
        <v/>
      </c>
      <c r="AC41">
        <f>HYPERLINK("https://klasma.github.io/Logging_0980/tillsyn/A 9540-2026 tillsynsbegäran.docx", "A 9540-2026")</f>
        <v/>
      </c>
      <c r="AD41">
        <f>HYPERLINK("https://klasma.github.io/Logging_0980/tillsynsmail/A 9540-2026 tillsynsbegäran mail.docx", "A 9540-2026")</f>
        <v/>
      </c>
    </row>
    <row r="42" ht="15" customHeight="1">
      <c r="A42" t="inlineStr">
        <is>
          <t>A 43201-2023</t>
        </is>
      </c>
      <c r="B42" t="inlineStr">
        <is>
          <t>avverkningsanmälan</t>
        </is>
      </c>
      <c r="C42" t="inlineStr">
        <is>
          <t>Avverkning för annat ändamål</t>
        </is>
      </c>
      <c r="D42" s="1" t="n">
        <v>45183</v>
      </c>
      <c r="E42" s="1" t="n">
        <v>46306</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33153-2024</t>
        </is>
      </c>
      <c r="B43" t="inlineStr">
        <is>
          <t>avverkningsanmälan</t>
        </is>
      </c>
      <c r="C43" t="inlineStr">
        <is>
          <t>Avverkning för annat ändamål</t>
        </is>
      </c>
      <c r="D43" s="1" t="n">
        <v>45518</v>
      </c>
      <c r="E43" s="1" t="n">
        <v>46306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44928-2022</t>
        </is>
      </c>
      <c r="B44" t="inlineStr">
        <is>
          <t>avverkningsanmälan</t>
        </is>
      </c>
      <c r="C44" t="inlineStr">
        <is>
          <t>Föryngringsavverkning</t>
        </is>
      </c>
      <c r="D44" s="1" t="n">
        <v>44841</v>
      </c>
      <c r="E44" s="1" t="n">
        <v>46306</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11176-2024</t>
        </is>
      </c>
      <c r="B45" t="inlineStr">
        <is>
          <t>avverkningsanmälan</t>
        </is>
      </c>
      <c r="C45" t="inlineStr">
        <is>
          <t>Föryngringsavverkning</t>
        </is>
      </c>
      <c r="D45" s="1" t="n">
        <v>45371</v>
      </c>
      <c r="E45" s="1" t="n">
        <v>46306</v>
      </c>
      <c r="F45" t="inlineStr">
        <is>
          <t>GOTLANDS LÄN</t>
        </is>
      </c>
      <c r="G45" t="inlineStr">
        <is>
          <t>GOTLAND</t>
        </is>
      </c>
      <c r="I45" t="n">
        <v>1.7</v>
      </c>
      <c r="J45" t="n">
        <v>0</v>
      </c>
      <c r="K45" t="n">
        <v>4</v>
      </c>
      <c r="L45" t="n">
        <v>3</v>
      </c>
      <c r="M45" t="n">
        <v>7</v>
      </c>
      <c r="N45" t="n">
        <v>0</v>
      </c>
      <c r="O45" t="n">
        <v>0</v>
      </c>
      <c r="P45" t="n">
        <v>0</v>
      </c>
      <c r="Q45" t="n">
        <v>10</v>
      </c>
      <c r="R45" t="n">
        <v>7</v>
      </c>
      <c r="S45" t="n">
        <v>14</v>
      </c>
      <c r="T45" t="n">
        <v>25</v>
      </c>
      <c r="U45" t="n">
        <v>0</v>
      </c>
      <c r="V45" s="2" t="inlineStr">
        <is>
          <t>Granrotspindling
Gul lammticka
Gulsträngad fagerspindling
Svartgrön spindling
Tvillingspindling
Violettfläckig spindling
Vit taggsvamp
Bittermusseron
Blå slemspindling
Odörspindling
Anisspindling
Olivspindling
Rödbrun jordstjärna
Svavelriska</t>
        </is>
      </c>
      <c r="W45">
        <f>HYPERLINK("https://klasma.github.io/Logging_0980/artfynd/A 11176-2024 artfynd.xlsx", "A 11176-2024")</f>
        <v/>
      </c>
      <c r="X45">
        <f>HYPERLINK("https://klasma.github.io/Logging_0980/kartor/A 11176-2024 karta.png", "A 11176-2024")</f>
        <v/>
      </c>
      <c r="Y45">
        <f>HYPERLINK("https://klasma.github.io/Logging_0980/kartor_geotiff/A 11176-2024 georefererad karta.tif", "A 11176-2024")</f>
        <v/>
      </c>
      <c r="AA45">
        <f>HYPERLINK("https://klasma.github.io/Logging_0980/klagomål/A 11176-2024 FSC-klagomål.docx", "A 11176-2024")</f>
        <v/>
      </c>
      <c r="AB45">
        <f>HYPERLINK("https://klasma.github.io/Logging_0980/klagomålsmail/A 11176-2024 FSC-klagomål mail.docx", "A 11176-2024")</f>
        <v/>
      </c>
      <c r="AC45">
        <f>HYPERLINK("https://klasma.github.io/Logging_0980/tillsyn/A 11176-2024 tillsynsbegäran.docx", "A 11176-2024")</f>
        <v/>
      </c>
      <c r="AD45">
        <f>HYPERLINK("https://klasma.github.io/Logging_0980/tillsynsmail/A 11176-2024 tillsynsbegäran mail.docx", "A 11176-2024")</f>
        <v/>
      </c>
    </row>
    <row r="46" ht="15" customHeight="1">
      <c r="A46" t="inlineStr">
        <is>
          <t>A 14354-2024</t>
        </is>
      </c>
      <c r="B46" t="inlineStr">
        <is>
          <t>avverkningsanmälan</t>
        </is>
      </c>
      <c r="C46" t="inlineStr">
        <is>
          <t>Föryngringsavverkning</t>
        </is>
      </c>
      <c r="D46" s="1" t="n">
        <v>45393</v>
      </c>
      <c r="E46" s="1" t="n">
        <v>46306</v>
      </c>
      <c r="F46" t="inlineStr">
        <is>
          <t>GOTLANDS LÄN</t>
        </is>
      </c>
      <c r="G46" t="inlineStr">
        <is>
          <t>GOTLAND</t>
        </is>
      </c>
      <c r="I46" t="n">
        <v>2.4</v>
      </c>
      <c r="J46" t="n">
        <v>10</v>
      </c>
      <c r="K46" t="n">
        <v>4</v>
      </c>
      <c r="L46" t="n">
        <v>6</v>
      </c>
      <c r="M46" t="n">
        <v>0</v>
      </c>
      <c r="N46" t="n">
        <v>0</v>
      </c>
      <c r="O46" t="n">
        <v>0</v>
      </c>
      <c r="P46" t="n">
        <v>0</v>
      </c>
      <c r="Q46" t="n">
        <v>6</v>
      </c>
      <c r="R46" t="n">
        <v>0</v>
      </c>
      <c r="S46" t="n">
        <v>14</v>
      </c>
      <c r="T46" t="n">
        <v>125</v>
      </c>
      <c r="U46" t="n">
        <v>110</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10274-2026</t>
        </is>
      </c>
      <c r="B47" t="inlineStr">
        <is>
          <t>avverkningsanmälan</t>
        </is>
      </c>
      <c r="C47" t="inlineStr">
        <is>
          <t>Föryngringsavverkning</t>
        </is>
      </c>
      <c r="D47" s="1" t="n">
        <v>46076</v>
      </c>
      <c r="E47" s="1" t="n">
        <v>46306</v>
      </c>
      <c r="F47" t="inlineStr">
        <is>
          <t>GOTLANDS LÄN</t>
        </is>
      </c>
      <c r="G47" t="inlineStr">
        <is>
          <t>GOTLAND</t>
        </is>
      </c>
      <c r="I47" t="n">
        <v>9.800000000000001</v>
      </c>
      <c r="J47" t="n">
        <v>6</v>
      </c>
      <c r="K47" t="n">
        <v>3</v>
      </c>
      <c r="L47" t="n">
        <v>5</v>
      </c>
      <c r="M47" t="n">
        <v>2</v>
      </c>
      <c r="N47" t="n">
        <v>0</v>
      </c>
      <c r="O47" t="n">
        <v>0</v>
      </c>
      <c r="P47" t="n">
        <v>0</v>
      </c>
      <c r="Q47" t="n">
        <v>7</v>
      </c>
      <c r="R47" t="n">
        <v>2</v>
      </c>
      <c r="S47" t="n">
        <v>14</v>
      </c>
      <c r="T47" t="n">
        <v>45</v>
      </c>
      <c r="U47" t="n">
        <v>39</v>
      </c>
      <c r="V47" s="2" t="inlineStr">
        <is>
          <t>Garderönn
Gråfingerört
Backstarr
Backtimjan
Dårgräsfjäril
Reliktbock
Vippärt
Axag
Grönpyrola
Kragjordstjärna
Spillkråka
Alvarstånds
Nattviol
Sankt pers nycklar</t>
        </is>
      </c>
      <c r="W47">
        <f>HYPERLINK("https://klasma.github.io/Logging_0980/artfynd/A 10274-2026 artfynd.xlsx", "A 10274-2026")</f>
        <v/>
      </c>
      <c r="X47">
        <f>HYPERLINK("https://klasma.github.io/Logging_0980/kartor/A 10274-2026 karta.png", "A 10274-2026")</f>
        <v/>
      </c>
      <c r="Y47">
        <f>HYPERLINK("https://klasma.github.io/Logging_0980/kartor_geotiff/A 10274-2026 georefererad karta.tif", "A 10274-2026")</f>
        <v/>
      </c>
      <c r="AA47">
        <f>HYPERLINK("https://klasma.github.io/Logging_0980/klagomål/A 10274-2026 FSC-klagomål.docx", "A 10274-2026")</f>
        <v/>
      </c>
      <c r="AB47">
        <f>HYPERLINK("https://klasma.github.io/Logging_0980/klagomålsmail/A 10274-2026 FSC-klagomål mail.docx", "A 10274-2026")</f>
        <v/>
      </c>
      <c r="AC47">
        <f>HYPERLINK("https://klasma.github.io/Logging_0980/tillsyn/A 10274-2026 tillsynsbegäran.docx", "A 10274-2026")</f>
        <v/>
      </c>
      <c r="AD47">
        <f>HYPERLINK("https://klasma.github.io/Logging_0980/tillsynsmail/A 10274-2026 tillsynsbegäran mail.docx", "A 10274-2026")</f>
        <v/>
      </c>
      <c r="AE47">
        <f>HYPERLINK("https://klasma.github.io/Logging_0980/fåglar/A 10274-2026 prioriterade fågelarter.docx", "A 10274-2026")</f>
        <v/>
      </c>
    </row>
    <row r="48" ht="15" customHeight="1">
      <c r="A48" t="inlineStr">
        <is>
          <t>A 27168-2022</t>
        </is>
      </c>
      <c r="B48" t="inlineStr">
        <is>
          <t>avverkningsanmälan</t>
        </is>
      </c>
      <c r="C48" t="inlineStr">
        <is>
          <t>Föryngringsavverkning</t>
        </is>
      </c>
      <c r="D48" s="1" t="n">
        <v>44741</v>
      </c>
      <c r="E48" s="1" t="n">
        <v>46306</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46306</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6052-2024</t>
        </is>
      </c>
      <c r="B50" t="inlineStr">
        <is>
          <t>avverkningsanmälan</t>
        </is>
      </c>
      <c r="C50" t="inlineStr">
        <is>
          <t>Föryngringsavverkning</t>
        </is>
      </c>
      <c r="D50" s="1" t="n">
        <v>45336</v>
      </c>
      <c r="E50" s="1" t="n">
        <v>46306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3324-2023</t>
        </is>
      </c>
      <c r="B51" t="inlineStr">
        <is>
          <t>avverkningsanmälan</t>
        </is>
      </c>
      <c r="C51" t="inlineStr">
        <is>
          <t>Avverkning för annat ändamål</t>
        </is>
      </c>
      <c r="D51" s="1" t="n">
        <v>44949</v>
      </c>
      <c r="E51" s="1" t="n">
        <v>46306</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28287-2024</t>
        </is>
      </c>
      <c r="B52" t="inlineStr">
        <is>
          <t>avverkningsanmälan</t>
        </is>
      </c>
      <c r="C52" t="inlineStr">
        <is>
          <t>Avverkning för annat ändamål</t>
        </is>
      </c>
      <c r="D52" s="1" t="n">
        <v>45477</v>
      </c>
      <c r="E52" s="1" t="n">
        <v>46306</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t="n">
        <v>111</v>
      </c>
      <c r="V52" s="2" t="inlineStr">
        <is>
          <t>Ask
Axveronika
Backtimjan
Flentimotej
Gulsparv
Jordtistel
Piggtistel
Silversmygare
Smedbock
Solvända
Vårstarr
Blåsippa</t>
        </is>
      </c>
      <c r="W52">
        <f>HYPERLINK("https://klasma.github.io/Logging_0980/artfynd/A 28287-2024 artfynd.xlsx", "A 28287-2024")</f>
        <v/>
      </c>
      <c r="X52">
        <f>HYPERLINK("https://klasma.github.io/Logging_0980/kartor/A 28287-2024 karta.png", "A 28287-2024")</f>
        <v/>
      </c>
      <c r="Y52">
        <f>HYPERLINK("https://klasma.github.io/Logging_0980/kartor_geotiff/A 28287-2024 georefererad karta.tif", "A 28287-2024")</f>
        <v/>
      </c>
      <c r="AA52">
        <f>HYPERLINK("https://klasma.github.io/Logging_0980/klagomål/A 28287-2024 FSC-klagomål.docx", "A 28287-2024")</f>
        <v/>
      </c>
      <c r="AB52">
        <f>HYPERLINK("https://klasma.github.io/Logging_0980/klagomålsmail/A 28287-2024 FSC-klagomål mail.docx", "A 28287-2024")</f>
        <v/>
      </c>
      <c r="AC52">
        <f>HYPERLINK("https://klasma.github.io/Logging_0980/tillsyn/A 28287-2024 tillsynsbegäran.docx", "A 28287-2024")</f>
        <v/>
      </c>
      <c r="AD52">
        <f>HYPERLINK("https://klasma.github.io/Logging_0980/tillsynsmail/A 28287-2024 tillsynsbegäran mail.docx", "A 28287-2024")</f>
        <v/>
      </c>
      <c r="AE52">
        <f>HYPERLINK("https://klasma.github.io/Logging_0980/fåglar/A 28287-2024 prioriterade fågelarter.docx", "A 28287-2024")</f>
        <v/>
      </c>
    </row>
    <row r="53" ht="15" customHeight="1">
      <c r="A53" t="inlineStr">
        <is>
          <t>A 42201-2023</t>
        </is>
      </c>
      <c r="B53" t="inlineStr">
        <is>
          <t>avverkningsanmälan</t>
        </is>
      </c>
      <c r="C53" t="inlineStr">
        <is>
          <t>Föryngringsavverkning</t>
        </is>
      </c>
      <c r="D53" s="1" t="n">
        <v>45179</v>
      </c>
      <c r="E53" s="1" t="n">
        <v>46306</v>
      </c>
      <c r="F53" t="inlineStr">
        <is>
          <t>GOTLANDS LÄN</t>
        </is>
      </c>
      <c r="G53" t="inlineStr">
        <is>
          <t>GOTLAND</t>
        </is>
      </c>
      <c r="I53" t="n">
        <v>11.9</v>
      </c>
      <c r="J53" t="n">
        <v>1</v>
      </c>
      <c r="K53" t="n">
        <v>4</v>
      </c>
      <c r="L53" t="n">
        <v>4</v>
      </c>
      <c r="M53" t="n">
        <v>4</v>
      </c>
      <c r="N53" t="n">
        <v>0</v>
      </c>
      <c r="O53" t="n">
        <v>0</v>
      </c>
      <c r="P53" t="n">
        <v>0</v>
      </c>
      <c r="Q53" t="n">
        <v>8</v>
      </c>
      <c r="R53" t="n">
        <v>4</v>
      </c>
      <c r="S53" t="n">
        <v>12</v>
      </c>
      <c r="T53" t="n">
        <v>56</v>
      </c>
      <c r="U53" t="n">
        <v>56</v>
      </c>
      <c r="V53" s="2" t="inlineStr">
        <is>
          <t>Gulsträngad fagerspindling
Mörkfjällig olivspindling
Narrspindling
Violettfläckig spindling
Motaggsvamp
Odörspindling
Puderspindling
Äggspindling
Anisspindling
Olivspindling
Skogsknipprot
Svavelriska</t>
        </is>
      </c>
      <c r="W53">
        <f>HYPERLINK("https://klasma.github.io/Logging_0980/artfynd/A 42201-2023 artfynd.xlsx", "A 42201-2023")</f>
        <v/>
      </c>
      <c r="X53">
        <f>HYPERLINK("https://klasma.github.io/Logging_0980/kartor/A 42201-2023 karta.png", "A 42201-2023")</f>
        <v/>
      </c>
      <c r="Y53">
        <f>HYPERLINK("https://klasma.github.io/Logging_0980/kartor_geotiff/A 42201-2023 georefererad karta.tif", "A 42201-2023")</f>
        <v/>
      </c>
      <c r="AA53">
        <f>HYPERLINK("https://klasma.github.io/Logging_0980/klagomål/A 42201-2023 FSC-klagomål.docx", "A 42201-2023")</f>
        <v/>
      </c>
      <c r="AB53">
        <f>HYPERLINK("https://klasma.github.io/Logging_0980/klagomålsmail/A 42201-2023 FSC-klagomål mail.docx", "A 42201-2023")</f>
        <v/>
      </c>
      <c r="AC53">
        <f>HYPERLINK("https://klasma.github.io/Logging_0980/tillsyn/A 42201-2023 tillsynsbegäran.docx", "A 42201-2023")</f>
        <v/>
      </c>
      <c r="AD53">
        <f>HYPERLINK("https://klasma.github.io/Logging_0980/tillsynsmail/A 42201-2023 tillsynsbegäran mail.docx", "A 42201-2023")</f>
        <v/>
      </c>
    </row>
    <row r="54" ht="15" customHeight="1">
      <c r="A54" t="inlineStr">
        <is>
          <t>A 17766-2024</t>
        </is>
      </c>
      <c r="B54" t="inlineStr">
        <is>
          <t>avverkningsanmälan</t>
        </is>
      </c>
      <c r="C54" t="inlineStr">
        <is>
          <t>Föryngringsavverkning</t>
        </is>
      </c>
      <c r="D54" s="1" t="n">
        <v>45418</v>
      </c>
      <c r="E54" s="1" t="n">
        <v>46306</v>
      </c>
      <c r="F54" t="inlineStr">
        <is>
          <t>GOTLANDS LÄN</t>
        </is>
      </c>
      <c r="G54" t="inlineStr">
        <is>
          <t>GOTLAND</t>
        </is>
      </c>
      <c r="I54" t="n">
        <v>1.3</v>
      </c>
      <c r="J54" t="n">
        <v>2</v>
      </c>
      <c r="K54" t="n">
        <v>3</v>
      </c>
      <c r="L54" t="n">
        <v>3</v>
      </c>
      <c r="M54" t="n">
        <v>5</v>
      </c>
      <c r="N54" t="n">
        <v>1</v>
      </c>
      <c r="O54" t="n">
        <v>0</v>
      </c>
      <c r="P54" t="n">
        <v>0</v>
      </c>
      <c r="Q54" t="n">
        <v>9</v>
      </c>
      <c r="R54" t="n">
        <v>6</v>
      </c>
      <c r="S54" t="n">
        <v>12</v>
      </c>
      <c r="T54" t="n">
        <v>45</v>
      </c>
      <c r="U54" t="n">
        <v>22</v>
      </c>
      <c r="V54" s="2" t="inlineStr">
        <is>
          <t>Svartnande fingersvamp
Bredbrämad bastardsvärmare
Gråfingerört
Gulsträngad fagerspindling
Naveljordstjärna
Svartfläckig blåvinge
Fyrflikig jordstjärna
Timjansnyltrot
Vippärt
Besk kastanjemusseron
Kragjordstjärna
Rödgul trumpetsvamp</t>
        </is>
      </c>
      <c r="W54">
        <f>HYPERLINK("https://klasma.github.io/Logging_0980/artfynd/A 17766-2024 artfynd.xlsx", "A 17766-2024")</f>
        <v/>
      </c>
      <c r="X54">
        <f>HYPERLINK("https://klasma.github.io/Logging_0980/kartor/A 17766-2024 karta.png", "A 17766-2024")</f>
        <v/>
      </c>
      <c r="Y54">
        <f>HYPERLINK("https://klasma.github.io/Logging_0980/kartor_geotiff/A 17766-2024 georefererad karta.tif", "A 17766-2024")</f>
        <v/>
      </c>
      <c r="AA54">
        <f>HYPERLINK("https://klasma.github.io/Logging_0980/klagomål/A 17766-2024 FSC-klagomål.docx", "A 17766-2024")</f>
        <v/>
      </c>
      <c r="AB54">
        <f>HYPERLINK("https://klasma.github.io/Logging_0980/klagomålsmail/A 17766-2024 FSC-klagomål mail.docx", "A 17766-2024")</f>
        <v/>
      </c>
      <c r="AC54">
        <f>HYPERLINK("https://klasma.github.io/Logging_0980/tillsyn/A 17766-2024 tillsynsbegäran.docx", "A 17766-2024")</f>
        <v/>
      </c>
      <c r="AD54">
        <f>HYPERLINK("https://klasma.github.io/Logging_0980/tillsynsmail/A 17766-2024 tillsynsbegäran mail.docx", "A 17766-2024")</f>
        <v/>
      </c>
    </row>
    <row r="55" ht="15" customHeight="1">
      <c r="A55" t="inlineStr">
        <is>
          <t>A 584-2023</t>
        </is>
      </c>
      <c r="B55" t="inlineStr">
        <is>
          <t>avverkningsanmälan</t>
        </is>
      </c>
      <c r="C55" t="inlineStr">
        <is>
          <t>Föryngringsavverkning</t>
        </is>
      </c>
      <c r="D55" s="1" t="n">
        <v>44930</v>
      </c>
      <c r="E55" s="1" t="n">
        <v>46306</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27280-2023</t>
        </is>
      </c>
      <c r="B56" t="inlineStr">
        <is>
          <t>avverkningsanmälan</t>
        </is>
      </c>
      <c r="C56" t="inlineStr">
        <is>
          <t>Föryngringsavverkning</t>
        </is>
      </c>
      <c r="D56" s="1" t="n">
        <v>45096</v>
      </c>
      <c r="E56" s="1" t="n">
        <v>46306</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46306</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46306</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46306</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186-2023</t>
        </is>
      </c>
      <c r="B60" t="inlineStr">
        <is>
          <t>avverkningsanmälan</t>
        </is>
      </c>
      <c r="C60" t="inlineStr">
        <is>
          <t>Föryngringsavverkning</t>
        </is>
      </c>
      <c r="D60" s="1" t="n">
        <v>44928</v>
      </c>
      <c r="E60" s="1" t="n">
        <v>46306</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32326-2024</t>
        </is>
      </c>
      <c r="B61" t="inlineStr">
        <is>
          <t>avverkningsanmälan</t>
        </is>
      </c>
      <c r="C61" t="inlineStr">
        <is>
          <t>Föryngringsavverkning</t>
        </is>
      </c>
      <c r="D61" s="1" t="n">
        <v>45512</v>
      </c>
      <c r="E61" s="1" t="n">
        <v>46306</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46306</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4984-2025</t>
        </is>
      </c>
      <c r="B63" t="inlineStr">
        <is>
          <t>avverkningsanmälan</t>
        </is>
      </c>
      <c r="C63" t="inlineStr">
        <is>
          <t>Föryngringsavverkning</t>
        </is>
      </c>
      <c r="D63" s="1" t="n">
        <v>45691</v>
      </c>
      <c r="E63" s="1" t="n">
        <v>46306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46306</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46306</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46306</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45248-2024</t>
        </is>
      </c>
      <c r="B67" t="inlineStr">
        <is>
          <t>avverkningsanmälan</t>
        </is>
      </c>
      <c r="C67" t="inlineStr">
        <is>
          <t>Avverkning för annat ändamål</t>
        </is>
      </c>
      <c r="D67" s="1" t="n">
        <v>45576</v>
      </c>
      <c r="E67" s="1" t="n">
        <v>46306</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1769-2022</t>
        </is>
      </c>
      <c r="B68" t="inlineStr">
        <is>
          <t>avverkningsanmälan</t>
        </is>
      </c>
      <c r="C68" t="inlineStr">
        <is>
          <t>Föryngringsavverkning</t>
        </is>
      </c>
      <c r="D68" s="1" t="n">
        <v>44574</v>
      </c>
      <c r="E68" s="1" t="n">
        <v>46306</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7039-2023</t>
        </is>
      </c>
      <c r="B69" t="inlineStr">
        <is>
          <t>avverkningsanmälan</t>
        </is>
      </c>
      <c r="C69" t="inlineStr">
        <is>
          <t>Föryngringsavverkning</t>
        </is>
      </c>
      <c r="D69" s="1" t="n">
        <v>44968</v>
      </c>
      <c r="E69" s="1" t="n">
        <v>46306</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A 20833-2024</t>
        </is>
      </c>
      <c r="B70" t="inlineStr">
        <is>
          <t>avverkningsanmälan</t>
        </is>
      </c>
      <c r="C70" t="inlineStr">
        <is>
          <t>Föryngringsavverkning</t>
        </is>
      </c>
      <c r="D70" s="1" t="n">
        <v>45439</v>
      </c>
      <c r="E70" s="1" t="n">
        <v>46306</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17328-2026</t>
        </is>
      </c>
      <c r="B71" t="inlineStr">
        <is>
          <t>avverkningsanmälan</t>
        </is>
      </c>
      <c r="C71" t="inlineStr">
        <is>
          <t>Föryngringsavverkning</t>
        </is>
      </c>
      <c r="D71" s="1" t="n">
        <v>46119</v>
      </c>
      <c r="E71" s="1" t="n">
        <v>46306</v>
      </c>
      <c r="F71" t="inlineStr">
        <is>
          <t>GOTLANDS LÄN</t>
        </is>
      </c>
      <c r="G71" t="inlineStr">
        <is>
          <t>GOTLAND</t>
        </is>
      </c>
      <c r="H71" t="inlineStr">
        <is>
          <t>Kyrkan</t>
        </is>
      </c>
      <c r="I71" t="n">
        <v>4</v>
      </c>
      <c r="J71" t="n">
        <v>3</v>
      </c>
      <c r="K71" t="n">
        <v>0</v>
      </c>
      <c r="L71" t="n">
        <v>6</v>
      </c>
      <c r="M71" t="n">
        <v>1</v>
      </c>
      <c r="N71" t="n">
        <v>1</v>
      </c>
      <c r="O71" t="n">
        <v>0</v>
      </c>
      <c r="P71" t="n">
        <v>0</v>
      </c>
      <c r="Q71" t="n">
        <v>8</v>
      </c>
      <c r="R71" t="n">
        <v>2</v>
      </c>
      <c r="S71" t="n">
        <v>9</v>
      </c>
      <c r="T71" t="n">
        <v>40</v>
      </c>
      <c r="U71" t="n">
        <v>40</v>
      </c>
      <c r="V71" s="2" t="inlineStr">
        <is>
          <t>Ask
Garderönn
Backtimjan
Bergjohannesört
Dårgräsfjäril
Jordtistel
Solvända
Svinrot
Spillkråka</t>
        </is>
      </c>
      <c r="W71">
        <f>HYPERLINK("https://klasma.github.io/Logging_0980/artfynd/A 17328-2026 artfynd.xlsx", "A 17328-2026")</f>
        <v/>
      </c>
      <c r="X71">
        <f>HYPERLINK("https://klasma.github.io/Logging_0980/kartor/A 17328-2026 karta.png", "A 17328-2026")</f>
        <v/>
      </c>
      <c r="Y71">
        <f>HYPERLINK("https://klasma.github.io/Logging_0980/kartor_geotiff/A 17328-2026 georefererad karta.tif", "A 17328-2026")</f>
        <v/>
      </c>
      <c r="AA71">
        <f>HYPERLINK("https://klasma.github.io/Logging_0980/klagomål/A 17328-2026 FSC-klagomål.docx", "A 17328-2026")</f>
        <v/>
      </c>
      <c r="AB71">
        <f>HYPERLINK("https://klasma.github.io/Logging_0980/klagomålsmail/A 17328-2026 FSC-klagomål mail.docx", "A 17328-2026")</f>
        <v/>
      </c>
      <c r="AC71">
        <f>HYPERLINK("https://klasma.github.io/Logging_0980/tillsyn/A 17328-2026 tillsynsbegäran.docx", "A 17328-2026")</f>
        <v/>
      </c>
      <c r="AD71">
        <f>HYPERLINK("https://klasma.github.io/Logging_0980/tillsynsmail/A 17328-2026 tillsynsbegäran mail.docx", "A 17328-2026")</f>
        <v/>
      </c>
      <c r="AE71">
        <f>HYPERLINK("https://klasma.github.io/Logging_0980/fåglar/A 17328-2026 prioriterade fågelarter.docx", "A 17328-2026")</f>
        <v/>
      </c>
    </row>
    <row r="72" ht="15" customHeight="1">
      <c r="A72" t="inlineStr">
        <is>
          <t>S 423-2024</t>
        </is>
      </c>
      <c r="B72" t="inlineStr">
        <is>
          <t>samrådsanmälan</t>
        </is>
      </c>
      <c r="C72" t="inlineStr">
        <is>
          <t>Annan skogsbruksåtgärd</t>
        </is>
      </c>
      <c r="D72" s="1" t="n">
        <v>45336</v>
      </c>
      <c r="E72" s="1" t="n">
        <v>46306</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46306</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46306</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46306</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54527-2023</t>
        </is>
      </c>
      <c r="B76" t="inlineStr">
        <is>
          <t>avverkningsanmälan</t>
        </is>
      </c>
      <c r="C76" t="inlineStr">
        <is>
          <t>Avverkning för annat ändamål</t>
        </is>
      </c>
      <c r="D76" s="1" t="n">
        <v>45233</v>
      </c>
      <c r="E76" s="1" t="n">
        <v>46306</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46306</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46306</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46306</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9518-2026</t>
        </is>
      </c>
      <c r="B80" t="inlineStr">
        <is>
          <t>avverkningsanmälan</t>
        </is>
      </c>
      <c r="C80" t="inlineStr">
        <is>
          <t>Föryngringsavverkning</t>
        </is>
      </c>
      <c r="D80" s="1" t="n">
        <v>46071</v>
      </c>
      <c r="E80" s="1" t="n">
        <v>46306</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46306</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27170-2026</t>
        </is>
      </c>
      <c r="B82" t="inlineStr">
        <is>
          <t>avverkningsanmälan</t>
        </is>
      </c>
      <c r="C82" t="inlineStr">
        <is>
          <t>Föryngringsavverkning</t>
        </is>
      </c>
      <c r="D82" s="1" t="n">
        <v>46188</v>
      </c>
      <c r="E82" s="1" t="n">
        <v>46306</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6159-2023</t>
        </is>
      </c>
      <c r="B83" t="inlineStr">
        <is>
          <t>avverkningsanmälan</t>
        </is>
      </c>
      <c r="C83" t="inlineStr">
        <is>
          <t>Föryngringsavverkning</t>
        </is>
      </c>
      <c r="D83" s="1" t="n">
        <v>44964</v>
      </c>
      <c r="E83" s="1" t="n">
        <v>46306</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30892-2024</t>
        </is>
      </c>
      <c r="B84" t="inlineStr">
        <is>
          <t>avverkningsanmälan</t>
        </is>
      </c>
      <c r="C84" t="inlineStr">
        <is>
          <t>Föryngringsavverkning</t>
        </is>
      </c>
      <c r="D84" s="1" t="n">
        <v>45491</v>
      </c>
      <c r="E84" s="1" t="n">
        <v>46306</v>
      </c>
      <c r="F84" t="inlineStr">
        <is>
          <t>GOTLANDS LÄN</t>
        </is>
      </c>
      <c r="G84" t="inlineStr">
        <is>
          <t>GOTLAND</t>
        </is>
      </c>
      <c r="I84" t="n">
        <v>6.1</v>
      </c>
      <c r="J84" t="n">
        <v>0</v>
      </c>
      <c r="K84" t="n">
        <v>2</v>
      </c>
      <c r="L84" t="n">
        <v>2</v>
      </c>
      <c r="M84" t="n">
        <v>2</v>
      </c>
      <c r="N84" t="n">
        <v>0</v>
      </c>
      <c r="O84" t="n">
        <v>0</v>
      </c>
      <c r="P84" t="n">
        <v>0</v>
      </c>
      <c r="Q84" t="n">
        <v>4</v>
      </c>
      <c r="R84" t="n">
        <v>2</v>
      </c>
      <c r="S84" t="n">
        <v>7</v>
      </c>
      <c r="T84" t="n">
        <v>9</v>
      </c>
      <c r="U84" t="n">
        <v>9</v>
      </c>
      <c r="V84" s="2" t="inlineStr">
        <is>
          <t>Gulsträngad fagerspindling
Svartgrön 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10419-2025</t>
        </is>
      </c>
      <c r="B85" t="inlineStr">
        <is>
          <t>avverkningsanmälan</t>
        </is>
      </c>
      <c r="C85" t="inlineStr">
        <is>
          <t>Avverkning för att bevara och utveckla /försöksver</t>
        </is>
      </c>
      <c r="D85" s="1" t="n">
        <v>45720</v>
      </c>
      <c r="E85" s="1" t="n">
        <v>46306</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2085-2023</t>
        </is>
      </c>
      <c r="B86" t="inlineStr">
        <is>
          <t>avverkningsanmälan</t>
        </is>
      </c>
      <c r="C86" t="inlineStr">
        <is>
          <t>Föryngringsavverkning</t>
        </is>
      </c>
      <c r="D86" s="1" t="n">
        <v>44939</v>
      </c>
      <c r="E86" s="1" t="n">
        <v>46306</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46306</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35293-2025</t>
        </is>
      </c>
      <c r="B88" t="inlineStr">
        <is>
          <t>avverkningsanmälan</t>
        </is>
      </c>
      <c r="C88" t="inlineStr">
        <is>
          <t>Föryngringsavverkning</t>
        </is>
      </c>
      <c r="D88" s="1" t="n">
        <v>45854</v>
      </c>
      <c r="E88" s="1" t="n">
        <v>46306</v>
      </c>
      <c r="F88" t="inlineStr">
        <is>
          <t>GOTLANDS LÄN</t>
        </is>
      </c>
      <c r="G88" t="inlineStr">
        <is>
          <t>GOTLAND</t>
        </is>
      </c>
      <c r="I88" t="n">
        <v>9.199999999999999</v>
      </c>
      <c r="J88" t="n">
        <v>1</v>
      </c>
      <c r="K88" t="n">
        <v>1</v>
      </c>
      <c r="L88" t="n">
        <v>5</v>
      </c>
      <c r="M88" t="n">
        <v>1</v>
      </c>
      <c r="N88" t="n">
        <v>0</v>
      </c>
      <c r="O88" t="n">
        <v>0</v>
      </c>
      <c r="P88" t="n">
        <v>0</v>
      </c>
      <c r="Q88" t="n">
        <v>6</v>
      </c>
      <c r="R88" t="n">
        <v>1</v>
      </c>
      <c r="S88" t="n">
        <v>7</v>
      </c>
      <c r="T88" t="n">
        <v>16</v>
      </c>
      <c r="U88" t="n">
        <v>16</v>
      </c>
      <c r="V88" s="2" t="inlineStr">
        <is>
          <t>Knutört
Axveronika
Krusfrö
Loppstarr
Svinrot
Ängsstarr
Skogsknipprot</t>
        </is>
      </c>
      <c r="W88">
        <f>HYPERLINK("https://klasma.github.io/Logging_0980/artfynd/A 35293-2025 artfynd.xlsx", "A 35293-2025")</f>
        <v/>
      </c>
      <c r="X88">
        <f>HYPERLINK("https://klasma.github.io/Logging_0980/kartor/A 35293-2025 karta.png", "A 35293-2025")</f>
        <v/>
      </c>
      <c r="Y88">
        <f>HYPERLINK("https://klasma.github.io/Logging_0980/kartor_geotiff/A 35293-2025 georefererad karta.tif", "A 35293-2025")</f>
        <v/>
      </c>
      <c r="AA88">
        <f>HYPERLINK("https://klasma.github.io/Logging_0980/klagomål/A 35293-2025 FSC-klagomål.docx", "A 35293-2025")</f>
        <v/>
      </c>
      <c r="AB88">
        <f>HYPERLINK("https://klasma.github.io/Logging_0980/klagomålsmail/A 35293-2025 FSC-klagomål mail.docx", "A 35293-2025")</f>
        <v/>
      </c>
      <c r="AC88">
        <f>HYPERLINK("https://klasma.github.io/Logging_0980/tillsyn/A 35293-2025 tillsynsbegäran.docx", "A 35293-2025")</f>
        <v/>
      </c>
      <c r="AD88">
        <f>HYPERLINK("https://klasma.github.io/Logging_0980/tillsynsmail/A 35293-2025 tillsynsbegäran mail.docx", "A 35293-2025")</f>
        <v/>
      </c>
    </row>
    <row r="89" ht="15" customHeight="1">
      <c r="A89" t="inlineStr">
        <is>
          <t>A 63152-2025</t>
        </is>
      </c>
      <c r="B89" t="inlineStr">
        <is>
          <t>avverkningsanmälan</t>
        </is>
      </c>
      <c r="C89" t="inlineStr">
        <is>
          <t>Föryngringsavverkning</t>
        </is>
      </c>
      <c r="D89" s="1" t="n">
        <v>46010</v>
      </c>
      <c r="E89" s="1" t="n">
        <v>46306</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46306</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46306</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43200-2023</t>
        </is>
      </c>
      <c r="B92" t="inlineStr">
        <is>
          <t>avverkningsanmälan</t>
        </is>
      </c>
      <c r="C92" t="inlineStr">
        <is>
          <t>Föryngringsavverkning</t>
        </is>
      </c>
      <c r="D92" s="1" t="n">
        <v>45183</v>
      </c>
      <c r="E92" s="1" t="n">
        <v>46306</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46306</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49709-2025</t>
        </is>
      </c>
      <c r="B94" t="inlineStr">
        <is>
          <t>avverkningsanmälan</t>
        </is>
      </c>
      <c r="C94" t="inlineStr">
        <is>
          <t>Föryngringsavverkning</t>
        </is>
      </c>
      <c r="D94" s="1" t="n">
        <v>45939</v>
      </c>
      <c r="E94" s="1" t="n">
        <v>46306</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16823-2024</t>
        </is>
      </c>
      <c r="B95" t="inlineStr">
        <is>
          <t>avverkningsanmälan</t>
        </is>
      </c>
      <c r="C95" t="inlineStr">
        <is>
          <t>Avverkning för annat ändamål</t>
        </is>
      </c>
      <c r="D95" s="1" t="n">
        <v>45411</v>
      </c>
      <c r="E95" s="1" t="n">
        <v>46306</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20838-2024</t>
        </is>
      </c>
      <c r="B96" t="inlineStr">
        <is>
          <t>avverkningsanmälan</t>
        </is>
      </c>
      <c r="C96" t="inlineStr">
        <is>
          <t>Föryngringsavverkning</t>
        </is>
      </c>
      <c r="D96" s="1" t="n">
        <v>45439</v>
      </c>
      <c r="E96" s="1" t="n">
        <v>46306</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46306</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46306</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8265-2023</t>
        </is>
      </c>
      <c r="B99" t="inlineStr">
        <is>
          <t>avverkningsanmälan</t>
        </is>
      </c>
      <c r="C99" t="inlineStr">
        <is>
          <t>Föryngringsavverkning</t>
        </is>
      </c>
      <c r="D99" s="1" t="n">
        <v>44974</v>
      </c>
      <c r="E99" s="1" t="n">
        <v>46306</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46306</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46306</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39425-2023</t>
        </is>
      </c>
      <c r="B102" t="inlineStr">
        <is>
          <t>avverkningsanmälan</t>
        </is>
      </c>
      <c r="C102" t="inlineStr">
        <is>
          <t>Avverkning för annat ändamål</t>
        </is>
      </c>
      <c r="D102" s="1" t="n">
        <v>45166</v>
      </c>
      <c r="E102" s="1" t="n">
        <v>46306</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54055-2022</t>
        </is>
      </c>
      <c r="B103" t="inlineStr">
        <is>
          <t>avverkningsanmälan</t>
        </is>
      </c>
      <c r="C103" t="inlineStr">
        <is>
          <t>Föryngringsavverkning</t>
        </is>
      </c>
      <c r="D103" s="1" t="n">
        <v>44881</v>
      </c>
      <c r="E103" s="1" t="n">
        <v>46306</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43197-2023</t>
        </is>
      </c>
      <c r="B104" t="inlineStr">
        <is>
          <t>avverkningsanmälan</t>
        </is>
      </c>
      <c r="C104" t="inlineStr">
        <is>
          <t>Föryngringsavverkning</t>
        </is>
      </c>
      <c r="D104" s="1" t="n">
        <v>45183</v>
      </c>
      <c r="E104" s="1" t="n">
        <v>46306</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42936-2024</t>
        </is>
      </c>
      <c r="B105" t="inlineStr">
        <is>
          <t>avverkningsanmälan</t>
        </is>
      </c>
      <c r="C105" t="inlineStr">
        <is>
          <t>Föryngringsavverkning</t>
        </is>
      </c>
      <c r="D105" s="1" t="n">
        <v>45567</v>
      </c>
      <c r="E105" s="1" t="n">
        <v>46306</v>
      </c>
      <c r="F105" t="inlineStr">
        <is>
          <t>GOTLANDS LÄN</t>
        </is>
      </c>
      <c r="G105" t="inlineStr">
        <is>
          <t>GOTLAND</t>
        </is>
      </c>
      <c r="I105" t="n">
        <v>3.4</v>
      </c>
      <c r="J105" t="n">
        <v>0</v>
      </c>
      <c r="K105" t="n">
        <v>1</v>
      </c>
      <c r="L105" t="n">
        <v>3</v>
      </c>
      <c r="M105" t="n">
        <v>1</v>
      </c>
      <c r="N105" t="n">
        <v>0</v>
      </c>
      <c r="O105" t="n">
        <v>0</v>
      </c>
      <c r="P105" t="n">
        <v>0</v>
      </c>
      <c r="Q105" t="n">
        <v>4</v>
      </c>
      <c r="R105" t="n">
        <v>1</v>
      </c>
      <c r="S105" t="n">
        <v>5</v>
      </c>
      <c r="T105" t="n">
        <v>5</v>
      </c>
      <c r="U105" t="n">
        <v>0</v>
      </c>
      <c r="V105" s="2" t="inlineStr">
        <is>
          <t>Vit taggsvamp
Barrfagerspindling
Blå slemspindling
Äggspindling
Svavelriska</t>
        </is>
      </c>
      <c r="W105">
        <f>HYPERLINK("https://klasma.github.io/Logging_0980/artfynd/A 42936-2024 artfynd.xlsx", "A 42936-2024")</f>
        <v/>
      </c>
      <c r="X105">
        <f>HYPERLINK("https://klasma.github.io/Logging_0980/kartor/A 42936-2024 karta.png", "A 42936-2024")</f>
        <v/>
      </c>
      <c r="Y105">
        <f>HYPERLINK("https://klasma.github.io/Logging_0980/kartor_geotiff/A 42936-2024 georefererad karta.tif", "A 42936-2024")</f>
        <v/>
      </c>
      <c r="AA105">
        <f>HYPERLINK("https://klasma.github.io/Logging_0980/klagomål/A 42936-2024 FSC-klagomål.docx", "A 42936-2024")</f>
        <v/>
      </c>
      <c r="AB105">
        <f>HYPERLINK("https://klasma.github.io/Logging_0980/klagomålsmail/A 42936-2024 FSC-klagomål mail.docx", "A 42936-2024")</f>
        <v/>
      </c>
      <c r="AC105">
        <f>HYPERLINK("https://klasma.github.io/Logging_0980/tillsyn/A 42936-2024 tillsynsbegäran.docx", "A 42936-2024")</f>
        <v/>
      </c>
      <c r="AD105">
        <f>HYPERLINK("https://klasma.github.io/Logging_0980/tillsynsmail/A 42936-2024 tillsynsbegäran mail.docx", "A 42936-2024")</f>
        <v/>
      </c>
    </row>
    <row r="106" ht="15" customHeight="1">
      <c r="A106" t="inlineStr">
        <is>
          <t>A 57463-2025</t>
        </is>
      </c>
      <c r="B106" t="inlineStr">
        <is>
          <t>avverkningsanmälan</t>
        </is>
      </c>
      <c r="C106" t="inlineStr">
        <is>
          <t>Föryngringsavverkning</t>
        </is>
      </c>
      <c r="D106" s="1" t="n">
        <v>45980</v>
      </c>
      <c r="E106" s="1" t="n">
        <v>46306</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46306</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56717-2024</t>
        </is>
      </c>
      <c r="B108" t="inlineStr">
        <is>
          <t>avverkningsanmälan</t>
        </is>
      </c>
      <c r="C108" t="inlineStr">
        <is>
          <t>Föryngringsavverkning</t>
        </is>
      </c>
      <c r="D108" s="1" t="n">
        <v>45628</v>
      </c>
      <c r="E108" s="1" t="n">
        <v>46306</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1273-2023</t>
        </is>
      </c>
      <c r="B109" t="inlineStr">
        <is>
          <t>avverkningsanmälan</t>
        </is>
      </c>
      <c r="C109" t="inlineStr">
        <is>
          <t>Föryngringsavverkning</t>
        </is>
      </c>
      <c r="D109" s="1" t="n">
        <v>44936</v>
      </c>
      <c r="E109" s="1" t="n">
        <v>46306</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37591-2023</t>
        </is>
      </c>
      <c r="B110" t="inlineStr">
        <is>
          <t>avverkningsanmälan</t>
        </is>
      </c>
      <c r="C110" t="inlineStr">
        <is>
          <t>Föryngringsavverkning</t>
        </is>
      </c>
      <c r="D110" s="1" t="n">
        <v>45159</v>
      </c>
      <c r="E110" s="1" t="n">
        <v>46306</v>
      </c>
      <c r="F110" t="inlineStr">
        <is>
          <t>GOTLANDS LÄN</t>
        </is>
      </c>
      <c r="G110" t="inlineStr">
        <is>
          <t>GOTLAND</t>
        </is>
      </c>
      <c r="I110" t="n">
        <v>8.300000000000001</v>
      </c>
      <c r="J110" t="n">
        <v>1</v>
      </c>
      <c r="K110" t="n">
        <v>0</v>
      </c>
      <c r="L110" t="n">
        <v>3</v>
      </c>
      <c r="M110" t="n">
        <v>0</v>
      </c>
      <c r="N110" t="n">
        <v>0</v>
      </c>
      <c r="O110" t="n">
        <v>0</v>
      </c>
      <c r="P110" t="n">
        <v>0</v>
      </c>
      <c r="Q110" t="n">
        <v>3</v>
      </c>
      <c r="R110" t="n">
        <v>0</v>
      </c>
      <c r="S110" t="n">
        <v>4</v>
      </c>
      <c r="T110" t="n">
        <v>4</v>
      </c>
      <c r="U110" t="n">
        <v>1</v>
      </c>
      <c r="V110" s="2" t="inlineStr">
        <is>
          <t>Bergjohannesört
Solvända
Ängsstarr
Vanlig snok</t>
        </is>
      </c>
      <c r="W110">
        <f>HYPERLINK("https://klasma.github.io/Logging_0980/artfynd/A 37591-2023 artfynd.xlsx", "A 37591-2023")</f>
        <v/>
      </c>
      <c r="X110">
        <f>HYPERLINK("https://klasma.github.io/Logging_0980/kartor/A 37591-2023 karta.png", "A 37591-2023")</f>
        <v/>
      </c>
      <c r="Y110">
        <f>HYPERLINK("https://klasma.github.io/Logging_0980/kartor_geotiff/A 37591-2023 georefererad karta.tif", "A 37591-2023")</f>
        <v/>
      </c>
      <c r="AA110">
        <f>HYPERLINK("https://klasma.github.io/Logging_0980/klagomål/A 37591-2023 FSC-klagomål.docx", "A 37591-2023")</f>
        <v/>
      </c>
      <c r="AB110">
        <f>HYPERLINK("https://klasma.github.io/Logging_0980/klagomålsmail/A 37591-2023 FSC-klagomål mail.docx", "A 37591-2023")</f>
        <v/>
      </c>
      <c r="AC110">
        <f>HYPERLINK("https://klasma.github.io/Logging_0980/tillsyn/A 37591-2023 tillsynsbegäran.docx", "A 37591-2023")</f>
        <v/>
      </c>
      <c r="AD110">
        <f>HYPERLINK("https://klasma.github.io/Logging_0980/tillsynsmail/A 37591-2023 tillsynsbegäran mail.docx", "A 37591-2023")</f>
        <v/>
      </c>
    </row>
    <row r="111" ht="15" customHeight="1">
      <c r="A111" t="inlineStr">
        <is>
          <t>A 61100-2022</t>
        </is>
      </c>
      <c r="B111" t="inlineStr">
        <is>
          <t>avverkningsanmälan</t>
        </is>
      </c>
      <c r="C111" t="inlineStr">
        <is>
          <t>Föryngringsavverkning</t>
        </is>
      </c>
      <c r="D111" s="1" t="n">
        <v>44915</v>
      </c>
      <c r="E111" s="1" t="n">
        <v>46306</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46306</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46306</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46306</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46306</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38832-2026</t>
        </is>
      </c>
      <c r="B116" t="inlineStr">
        <is>
          <t>avverkningsanmälan</t>
        </is>
      </c>
      <c r="C116" t="inlineStr">
        <is>
          <t>Föryngringsavverkning</t>
        </is>
      </c>
      <c r="D116" s="1" t="n">
        <v>46286</v>
      </c>
      <c r="E116" s="1" t="n">
        <v>46306</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16997-2026</t>
        </is>
      </c>
      <c r="B118" t="inlineStr">
        <is>
          <t>avverkningsanmälan</t>
        </is>
      </c>
      <c r="C118" t="inlineStr">
        <is>
          <t>Föryngringsavverkning</t>
        </is>
      </c>
      <c r="D118" s="1" t="n">
        <v>46114</v>
      </c>
      <c r="E118" s="1" t="n">
        <v>46306</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7625-2026</t>
        </is>
      </c>
      <c r="B119" t="inlineStr">
        <is>
          <t>avverkningsanmälan</t>
        </is>
      </c>
      <c r="C119" t="inlineStr">
        <is>
          <t>Föryngringsavverkning</t>
        </is>
      </c>
      <c r="D119" s="1" t="n">
        <v>46062</v>
      </c>
      <c r="E119" s="1" t="n">
        <v>46306</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63576-2021</t>
        </is>
      </c>
      <c r="B120" t="inlineStr">
        <is>
          <t>avverkningsanmälan</t>
        </is>
      </c>
      <c r="C120" t="inlineStr">
        <is>
          <t>Föryngringsavverkning</t>
        </is>
      </c>
      <c r="D120" s="1" t="n">
        <v>44508</v>
      </c>
      <c r="E120" s="1" t="n">
        <v>46306</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46306</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46306</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46306</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46306</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10440-2024</t>
        </is>
      </c>
      <c r="B125" t="inlineStr">
        <is>
          <t>avverkningsanmälan</t>
        </is>
      </c>
      <c r="C125" t="inlineStr">
        <is>
          <t>Föryngringsavverkning</t>
        </is>
      </c>
      <c r="D125" s="1" t="n">
        <v>45366</v>
      </c>
      <c r="E125" s="1" t="n">
        <v>46306</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13499-2022</t>
        </is>
      </c>
      <c r="B126" t="inlineStr">
        <is>
          <t>avverkningsanmälan</t>
        </is>
      </c>
      <c r="C126" t="inlineStr">
        <is>
          <t>Föryngringsavverkning</t>
        </is>
      </c>
      <c r="D126" s="1" t="n">
        <v>44647</v>
      </c>
      <c r="E126" s="1" t="n">
        <v>46306</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43219-2023</t>
        </is>
      </c>
      <c r="B127" t="inlineStr">
        <is>
          <t>avverkningsanmälan</t>
        </is>
      </c>
      <c r="C127" t="inlineStr">
        <is>
          <t>Föryngringsavverkning</t>
        </is>
      </c>
      <c r="D127" s="1" t="n">
        <v>45183</v>
      </c>
      <c r="E127" s="1" t="n">
        <v>46306</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2476-2025</t>
        </is>
      </c>
      <c r="B128" t="inlineStr">
        <is>
          <t>avverkningsanmälan</t>
        </is>
      </c>
      <c r="C128" t="inlineStr">
        <is>
          <t>Föryngringsavverkning</t>
        </is>
      </c>
      <c r="D128" s="1" t="n">
        <v>45673</v>
      </c>
      <c r="E128" s="1" t="n">
        <v>46306</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12315-2024</t>
        </is>
      </c>
      <c r="B129" t="inlineStr">
        <is>
          <t>avverkningsanmälan</t>
        </is>
      </c>
      <c r="C129" t="inlineStr">
        <is>
          <t>Föryngringsavverkning</t>
        </is>
      </c>
      <c r="D129" s="1" t="n">
        <v>45378</v>
      </c>
      <c r="E129" s="1" t="n">
        <v>46306</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43013-2022</t>
        </is>
      </c>
      <c r="B130" t="inlineStr">
        <is>
          <t>avverkningsanmälan</t>
        </is>
      </c>
      <c r="C130" t="inlineStr">
        <is>
          <t>Föryngringsavverkning</t>
        </is>
      </c>
      <c r="D130" s="1" t="n">
        <v>44833</v>
      </c>
      <c r="E130" s="1" t="n">
        <v>46306</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49411-2023</t>
        </is>
      </c>
      <c r="B131" t="inlineStr">
        <is>
          <t>avverkningsanmälan</t>
        </is>
      </c>
      <c r="C131" t="inlineStr">
        <is>
          <t>Föryngringsavverkning</t>
        </is>
      </c>
      <c r="D131" s="1" t="n">
        <v>45205</v>
      </c>
      <c r="E131" s="1" t="n">
        <v>46306</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46306</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34312-2024</t>
        </is>
      </c>
      <c r="B133" t="inlineStr">
        <is>
          <t>avverkningsanmälan</t>
        </is>
      </c>
      <c r="C133" t="inlineStr">
        <is>
          <t>Föryngringsavverkning</t>
        </is>
      </c>
      <c r="D133" s="1" t="n">
        <v>45524</v>
      </c>
      <c r="E133" s="1" t="n">
        <v>46306</v>
      </c>
      <c r="F133" t="inlineStr">
        <is>
          <t>GOTLANDS LÄN</t>
        </is>
      </c>
      <c r="G133" t="inlineStr">
        <is>
          <t>GOTLAND</t>
        </is>
      </c>
      <c r="I133" t="n">
        <v>2</v>
      </c>
      <c r="J133" t="n">
        <v>1</v>
      </c>
      <c r="K133" t="n">
        <v>0</v>
      </c>
      <c r="L133" t="n">
        <v>2</v>
      </c>
      <c r="M133" t="n">
        <v>0</v>
      </c>
      <c r="N133" t="n">
        <v>0</v>
      </c>
      <c r="O133" t="n">
        <v>0</v>
      </c>
      <c r="P133" t="n">
        <v>0</v>
      </c>
      <c r="Q133" t="n">
        <v>2</v>
      </c>
      <c r="R133" t="n">
        <v>0</v>
      </c>
      <c r="S133" t="n">
        <v>3</v>
      </c>
      <c r="T133" t="n">
        <v>3</v>
      </c>
      <c r="U133" t="n">
        <v>0</v>
      </c>
      <c r="V133" s="2" t="inlineStr">
        <is>
          <t>Svinrot
Ängsstarr
Sankt pers nycklar</t>
        </is>
      </c>
      <c r="W133">
        <f>HYPERLINK("https://klasma.github.io/Logging_0980/artfynd/A 34312-2024 artfynd.xlsx", "A 34312-2024")</f>
        <v/>
      </c>
      <c r="X133">
        <f>HYPERLINK("https://klasma.github.io/Logging_0980/kartor/A 34312-2024 karta.png", "A 34312-2024")</f>
        <v/>
      </c>
      <c r="Y133">
        <f>HYPERLINK("https://klasma.github.io/Logging_0980/kartor_geotiff/A 34312-2024 georefererad karta.tif", "A 34312-2024")</f>
        <v/>
      </c>
      <c r="AA133">
        <f>HYPERLINK("https://klasma.github.io/Logging_0980/klagomål/A 34312-2024 FSC-klagomål.docx", "A 34312-2024")</f>
        <v/>
      </c>
      <c r="AB133">
        <f>HYPERLINK("https://klasma.github.io/Logging_0980/klagomålsmail/A 34312-2024 FSC-klagomål mail.docx", "A 34312-2024")</f>
        <v/>
      </c>
      <c r="AC133">
        <f>HYPERLINK("https://klasma.github.io/Logging_0980/tillsyn/A 34312-2024 tillsynsbegäran.docx", "A 34312-2024")</f>
        <v/>
      </c>
      <c r="AD133">
        <f>HYPERLINK("https://klasma.github.io/Logging_0980/tillsynsmail/A 34312-2024 tillsynsbegäran mail.docx", "A 34312-2024")</f>
        <v/>
      </c>
    </row>
    <row r="134" ht="15" customHeight="1">
      <c r="A134" t="inlineStr">
        <is>
          <t>A 19322-2026</t>
        </is>
      </c>
      <c r="B134" t="inlineStr">
        <is>
          <t>avverkningsanmälan</t>
        </is>
      </c>
      <c r="C134" t="inlineStr">
        <is>
          <t>Avverkning för annat ändamål</t>
        </is>
      </c>
      <c r="D134" s="1" t="n">
        <v>46129</v>
      </c>
      <c r="E134" s="1" t="n">
        <v>46306</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26992-2026</t>
        </is>
      </c>
      <c r="B135" t="inlineStr">
        <is>
          <t>avverkningsanmälan</t>
        </is>
      </c>
      <c r="C135" t="inlineStr">
        <is>
          <t>Föryngringsavverkning</t>
        </is>
      </c>
      <c r="D135" s="1" t="n">
        <v>46185</v>
      </c>
      <c r="E135" s="1" t="n">
        <v>46306</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46306</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46306</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46306</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46306</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1010-2024</t>
        </is>
      </c>
      <c r="B140" t="inlineStr">
        <is>
          <t>avverkningsanmälan</t>
        </is>
      </c>
      <c r="C140" t="inlineStr">
        <is>
          <t>Föryngringsavverkning</t>
        </is>
      </c>
      <c r="D140" s="1" t="n">
        <v>45301</v>
      </c>
      <c r="E140" s="1" t="n">
        <v>46306</v>
      </c>
      <c r="F140" t="inlineStr">
        <is>
          <t>GOTLANDS LÄN</t>
        </is>
      </c>
      <c r="G140" t="inlineStr">
        <is>
          <t>GOTLAND</t>
        </is>
      </c>
      <c r="I140" t="n">
        <v>2.4</v>
      </c>
      <c r="J140" t="n">
        <v>0</v>
      </c>
      <c r="K140" t="n">
        <v>2</v>
      </c>
      <c r="L140" t="n">
        <v>0</v>
      </c>
      <c r="M140" t="n">
        <v>0</v>
      </c>
      <c r="N140" t="n">
        <v>0</v>
      </c>
      <c r="O140" t="n">
        <v>0</v>
      </c>
      <c r="P140" t="n">
        <v>0</v>
      </c>
      <c r="Q140" t="n">
        <v>0</v>
      </c>
      <c r="R140" t="n">
        <v>0</v>
      </c>
      <c r="S140" t="n">
        <v>2</v>
      </c>
      <c r="T140" t="n">
        <v>2</v>
      </c>
      <c r="U140" t="n">
        <v>0</v>
      </c>
      <c r="V140" s="2" t="inlineStr">
        <is>
          <t>Anisspindling
Diskvaxskivling</t>
        </is>
      </c>
      <c r="W140">
        <f>HYPERLINK("https://klasma.github.io/Logging_0980/artfynd/A 1010-2024 artfynd.xlsx", "A 1010-2024")</f>
        <v/>
      </c>
      <c r="X140">
        <f>HYPERLINK("https://klasma.github.io/Logging_0980/kartor/A 1010-2024 karta.png", "A 1010-2024")</f>
        <v/>
      </c>
      <c r="Y140">
        <f>HYPERLINK("https://klasma.github.io/Logging_0980/kartor_geotiff/A 1010-2024 georefererad karta.tif", "A 1010-2024")</f>
        <v/>
      </c>
      <c r="AA140">
        <f>HYPERLINK("https://klasma.github.io/Logging_0980/klagomål/A 1010-2024 FSC-klagomål.docx", "A 1010-2024")</f>
        <v/>
      </c>
      <c r="AB140">
        <f>HYPERLINK("https://klasma.github.io/Logging_0980/klagomålsmail/A 1010-2024 FSC-klagomål mail.docx", "A 1010-2024")</f>
        <v/>
      </c>
      <c r="AC140">
        <f>HYPERLINK("https://klasma.github.io/Logging_0980/tillsyn/A 1010-2024 tillsynsbegäran.docx", "A 1010-2024")</f>
        <v/>
      </c>
      <c r="AD140">
        <f>HYPERLINK("https://klasma.github.io/Logging_0980/tillsynsmail/A 1010-2024 tillsynsbegäran mail.docx", "A 1010-2024")</f>
        <v/>
      </c>
    </row>
    <row r="141" ht="15" customHeight="1">
      <c r="A141" t="inlineStr">
        <is>
          <t>A 49314-2024</t>
        </is>
      </c>
      <c r="B141" t="inlineStr">
        <is>
          <t>avverkningsanmälan</t>
        </is>
      </c>
      <c r="C141" t="inlineStr">
        <is>
          <t>Föryngringsavverkning</t>
        </is>
      </c>
      <c r="D141" s="1" t="n">
        <v>45595</v>
      </c>
      <c r="E141" s="1" t="n">
        <v>46306</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46306</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28276-2024</t>
        </is>
      </c>
      <c r="B143" t="inlineStr">
        <is>
          <t>avverkningsanmälan</t>
        </is>
      </c>
      <c r="C143" t="inlineStr">
        <is>
          <t>Avverkning för annat ändamål</t>
        </is>
      </c>
      <c r="D143" s="1" t="n">
        <v>45477</v>
      </c>
      <c r="E143" s="1" t="n">
        <v>46306</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27589-2023</t>
        </is>
      </c>
      <c r="B144" t="inlineStr">
        <is>
          <t>avverkningsanmälan</t>
        </is>
      </c>
      <c r="C144" t="inlineStr">
        <is>
          <t>Avverkning för annat ändamål</t>
        </is>
      </c>
      <c r="D144" s="1" t="n">
        <v>45097</v>
      </c>
      <c r="E144" s="1" t="n">
        <v>46306</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46306</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46306</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46306</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28261-2024</t>
        </is>
      </c>
      <c r="B148" t="inlineStr">
        <is>
          <t>avverkningsanmälan</t>
        </is>
      </c>
      <c r="C148" t="inlineStr">
        <is>
          <t>Avverkning för annat ändamål</t>
        </is>
      </c>
      <c r="D148" s="1" t="n">
        <v>45477</v>
      </c>
      <c r="E148" s="1" t="n">
        <v>46306</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46306</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11708-2026</t>
        </is>
      </c>
      <c r="B150" t="inlineStr">
        <is>
          <t>avverkningsanmälan</t>
        </is>
      </c>
      <c r="C150" t="inlineStr">
        <is>
          <t>Avverkning för annat ändamål</t>
        </is>
      </c>
      <c r="D150" s="1" t="n">
        <v>46084</v>
      </c>
      <c r="E150" s="1" t="n">
        <v>46306</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883-2025</t>
        </is>
      </c>
      <c r="B151" t="inlineStr">
        <is>
          <t>avverkningsanmälan</t>
        </is>
      </c>
      <c r="C151" t="inlineStr">
        <is>
          <t>Föryngringsavverkning</t>
        </is>
      </c>
      <c r="D151" s="1" t="n">
        <v>45665</v>
      </c>
      <c r="E151" s="1" t="n">
        <v>46306</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46306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46306</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46306</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17354-2022</t>
        </is>
      </c>
      <c r="B155" t="inlineStr">
        <is>
          <t>avverkningsanmälan</t>
        </is>
      </c>
      <c r="C155" t="inlineStr">
        <is>
          <t>Avverkning för annat ändamål</t>
        </is>
      </c>
      <c r="D155" s="1" t="n">
        <v>44678</v>
      </c>
      <c r="E155" s="1" t="n">
        <v>46306</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11029-2022</t>
        </is>
      </c>
      <c r="B156" t="inlineStr">
        <is>
          <t>avverkningsanmälan</t>
        </is>
      </c>
      <c r="C156" t="inlineStr">
        <is>
          <t>Avverkning för annat ändamål</t>
        </is>
      </c>
      <c r="D156" s="1" t="n">
        <v>44628</v>
      </c>
      <c r="E156" s="1" t="n">
        <v>46306</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46306</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12379-2024</t>
        </is>
      </c>
      <c r="B158" t="inlineStr">
        <is>
          <t>avverkningsanmälan</t>
        </is>
      </c>
      <c r="C158" t="inlineStr">
        <is>
          <t>Föryngringsavverkning</t>
        </is>
      </c>
      <c r="D158" s="1" t="n">
        <v>45379</v>
      </c>
      <c r="E158" s="1" t="n">
        <v>46306</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447-2023</t>
        </is>
      </c>
      <c r="B159" t="inlineStr">
        <is>
          <t>avverkningsanmälan</t>
        </is>
      </c>
      <c r="C159" t="inlineStr">
        <is>
          <t>Föryngringsavverkning</t>
        </is>
      </c>
      <c r="D159" s="1" t="n">
        <v>44929</v>
      </c>
      <c r="E159" s="1" t="n">
        <v>46306</v>
      </c>
      <c r="F159" t="inlineStr">
        <is>
          <t>GOTLANDS LÄN</t>
        </is>
      </c>
      <c r="G159" t="inlineStr">
        <is>
          <t>GOTLAND</t>
        </is>
      </c>
      <c r="I159" t="n">
        <v>5.1</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447-2023 artfynd.xlsx", "A 447-2023")</f>
        <v/>
      </c>
      <c r="X159">
        <f>HYPERLINK("https://klasma.github.io/Logging_0980/kartor/A 447-2023 karta.png", "A 447-2023")</f>
        <v/>
      </c>
      <c r="Y159">
        <f>HYPERLINK("https://klasma.github.io/Logging_0980/kartor_geotiff/A 447-2023 georefererad karta.tif", "A 447-2023")</f>
        <v/>
      </c>
      <c r="AA159">
        <f>HYPERLINK("https://klasma.github.io/Logging_0980/klagomål/A 447-2023 FSC-klagomål.docx", "A 447-2023")</f>
        <v/>
      </c>
      <c r="AB159">
        <f>HYPERLINK("https://klasma.github.io/Logging_0980/klagomålsmail/A 447-2023 FSC-klagomål mail.docx", "A 447-2023")</f>
        <v/>
      </c>
      <c r="AC159">
        <f>HYPERLINK("https://klasma.github.io/Logging_0980/tillsyn/A 447-2023 tillsynsbegäran.docx", "A 447-2023")</f>
        <v/>
      </c>
      <c r="AD159">
        <f>HYPERLINK("https://klasma.github.io/Logging_0980/tillsynsmail/A 447-2023 tillsynsbegäran mail.docx", "A 447-2023")</f>
        <v/>
      </c>
    </row>
    <row r="160" ht="15" customHeight="1">
      <c r="A160" t="inlineStr">
        <is>
          <t>A 46189-2022</t>
        </is>
      </c>
      <c r="B160" t="inlineStr">
        <is>
          <t>avverkningsanmälan</t>
        </is>
      </c>
      <c r="C160" t="inlineStr">
        <is>
          <t>Avverkning för annat ändamål</t>
        </is>
      </c>
      <c r="D160" s="1" t="n">
        <v>44847</v>
      </c>
      <c r="E160" s="1" t="n">
        <v>46306</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947-2023</t>
        </is>
      </c>
      <c r="B161" t="inlineStr">
        <is>
          <t>avverkningsanmälan</t>
        </is>
      </c>
      <c r="C161" t="inlineStr">
        <is>
          <t>Föryngringsavverkning</t>
        </is>
      </c>
      <c r="D161" s="1" t="n">
        <v>44934</v>
      </c>
      <c r="E161" s="1" t="n">
        <v>46306</v>
      </c>
      <c r="F161" t="inlineStr">
        <is>
          <t>GOTLANDS LÄN</t>
        </is>
      </c>
      <c r="G161" t="inlineStr">
        <is>
          <t>GOTLAND</t>
        </is>
      </c>
      <c r="I161" t="n">
        <v>0.7</v>
      </c>
      <c r="J161" t="n">
        <v>1</v>
      </c>
      <c r="K161" t="n">
        <v>0</v>
      </c>
      <c r="L161" t="n">
        <v>0</v>
      </c>
      <c r="M161" t="n">
        <v>1</v>
      </c>
      <c r="N161" t="n">
        <v>0</v>
      </c>
      <c r="O161" t="n">
        <v>0</v>
      </c>
      <c r="P161" t="n">
        <v>0</v>
      </c>
      <c r="Q161" t="n">
        <v>1</v>
      </c>
      <c r="R161" t="n">
        <v>1</v>
      </c>
      <c r="S161" t="n">
        <v>1</v>
      </c>
      <c r="T161" t="n">
        <v>1</v>
      </c>
      <c r="U161" t="n">
        <v>0</v>
      </c>
      <c r="V161" s="2" t="inlineStr">
        <is>
          <t>Garderönn</t>
        </is>
      </c>
      <c r="W161">
        <f>HYPERLINK("https://klasma.github.io/Logging_0980/artfynd/A 947-2023 artfynd.xlsx", "A 947-2023")</f>
        <v/>
      </c>
      <c r="X161">
        <f>HYPERLINK("https://klasma.github.io/Logging_0980/kartor/A 947-2023 karta.png", "A 947-2023")</f>
        <v/>
      </c>
      <c r="Y161">
        <f>HYPERLINK("https://klasma.github.io/Logging_0980/kartor_geotiff/A 947-2023 georefererad karta.tif", "A 947-2023")</f>
        <v/>
      </c>
      <c r="AA161">
        <f>HYPERLINK("https://klasma.github.io/Logging_0980/klagomål/A 947-2023 FSC-klagomål.docx", "A 947-2023")</f>
        <v/>
      </c>
      <c r="AB161">
        <f>HYPERLINK("https://klasma.github.io/Logging_0980/klagomålsmail/A 947-2023 FSC-klagomål mail.docx", "A 947-2023")</f>
        <v/>
      </c>
      <c r="AC161">
        <f>HYPERLINK("https://klasma.github.io/Logging_0980/tillsyn/A 947-2023 tillsynsbegäran.docx", "A 947-2023")</f>
        <v/>
      </c>
      <c r="AD161">
        <f>HYPERLINK("https://klasma.github.io/Logging_0980/tillsynsmail/A 947-2023 tillsynsbegäran mail.docx", "A 947-2023")</f>
        <v/>
      </c>
    </row>
    <row r="162" ht="15" customHeight="1">
      <c r="A162" t="inlineStr">
        <is>
          <t>A 24245-2022</t>
        </is>
      </c>
      <c r="B162" t="inlineStr">
        <is>
          <t>avverkningsanmälan</t>
        </is>
      </c>
      <c r="C162" t="inlineStr">
        <is>
          <t>Föryngringsavverkning</t>
        </is>
      </c>
      <c r="D162" s="1" t="n">
        <v>44725</v>
      </c>
      <c r="E162" s="1" t="n">
        <v>46306</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49304-2024</t>
        </is>
      </c>
      <c r="B163" t="inlineStr">
        <is>
          <t>avverkningsanmälan</t>
        </is>
      </c>
      <c r="C163" t="inlineStr">
        <is>
          <t>Föryngringsavverkning</t>
        </is>
      </c>
      <c r="D163" s="1" t="n">
        <v>45595</v>
      </c>
      <c r="E163" s="1" t="n">
        <v>46306</v>
      </c>
      <c r="F163" t="inlineStr">
        <is>
          <t>GOTLANDS LÄN</t>
        </is>
      </c>
      <c r="G163" t="inlineStr">
        <is>
          <t>GOTLAND</t>
        </is>
      </c>
      <c r="I163" t="n">
        <v>10.8</v>
      </c>
      <c r="J163" t="n">
        <v>0</v>
      </c>
      <c r="K163" t="n">
        <v>0</v>
      </c>
      <c r="L163" t="n">
        <v>1</v>
      </c>
      <c r="M163" t="n">
        <v>0</v>
      </c>
      <c r="N163" t="n">
        <v>0</v>
      </c>
      <c r="O163" t="n">
        <v>0</v>
      </c>
      <c r="P163" t="n">
        <v>0</v>
      </c>
      <c r="Q163" t="n">
        <v>1</v>
      </c>
      <c r="R163" t="n">
        <v>0</v>
      </c>
      <c r="S163" t="n">
        <v>1</v>
      </c>
      <c r="T163" t="n">
        <v>1</v>
      </c>
      <c r="U163" t="n">
        <v>1</v>
      </c>
      <c r="V163" s="2" t="inlineStr">
        <is>
          <t>Åkerranunkel</t>
        </is>
      </c>
      <c r="W163">
        <f>HYPERLINK("https://klasma.github.io/Logging_0980/artfynd/A 49304-2024 artfynd.xlsx", "A 49304-2024")</f>
        <v/>
      </c>
      <c r="X163">
        <f>HYPERLINK("https://klasma.github.io/Logging_0980/kartor/A 49304-2024 karta.png", "A 49304-2024")</f>
        <v/>
      </c>
      <c r="Y163">
        <f>HYPERLINK("https://klasma.github.io/Logging_0980/kartor_geotiff/A 49304-2024 georefererad karta.tif", "A 49304-2024")</f>
        <v/>
      </c>
      <c r="AA163">
        <f>HYPERLINK("https://klasma.github.io/Logging_0980/klagomål/A 49304-2024 FSC-klagomål.docx", "A 49304-2024")</f>
        <v/>
      </c>
      <c r="AB163">
        <f>HYPERLINK("https://klasma.github.io/Logging_0980/klagomålsmail/A 49304-2024 FSC-klagomål mail.docx", "A 49304-2024")</f>
        <v/>
      </c>
      <c r="AC163">
        <f>HYPERLINK("https://klasma.github.io/Logging_0980/tillsyn/A 49304-2024 tillsynsbegäran.docx", "A 49304-2024")</f>
        <v/>
      </c>
      <c r="AD163">
        <f>HYPERLINK("https://klasma.github.io/Logging_0980/tillsynsmail/A 49304-2024 tillsynsbegäran mail.docx", "A 49304-2024")</f>
        <v/>
      </c>
    </row>
    <row r="164" ht="15" customHeight="1">
      <c r="A164" t="inlineStr">
        <is>
          <t>A 46545-2024</t>
        </is>
      </c>
      <c r="B164" t="inlineStr">
        <is>
          <t>avverkningsanmälan</t>
        </is>
      </c>
      <c r="C164" t="inlineStr">
        <is>
          <t>Föryngringsavverkning</t>
        </is>
      </c>
      <c r="D164" s="1" t="n">
        <v>45582</v>
      </c>
      <c r="E164" s="1" t="n">
        <v>46306</v>
      </c>
      <c r="F164" t="inlineStr">
        <is>
          <t>GOTLANDS LÄN</t>
        </is>
      </c>
      <c r="G164" t="inlineStr">
        <is>
          <t>GOTLAND</t>
        </is>
      </c>
      <c r="I164" t="n">
        <v>1.2</v>
      </c>
      <c r="J164" t="n">
        <v>0</v>
      </c>
      <c r="K164" t="n">
        <v>0</v>
      </c>
      <c r="L164" t="n">
        <v>0</v>
      </c>
      <c r="M164" t="n">
        <v>1</v>
      </c>
      <c r="N164" t="n">
        <v>0</v>
      </c>
      <c r="O164" t="n">
        <v>0</v>
      </c>
      <c r="P164" t="n">
        <v>0</v>
      </c>
      <c r="Q164" t="n">
        <v>1</v>
      </c>
      <c r="R164" t="n">
        <v>1</v>
      </c>
      <c r="S164" t="n">
        <v>1</v>
      </c>
      <c r="T164" t="n">
        <v>1</v>
      </c>
      <c r="U164" t="n">
        <v>1</v>
      </c>
      <c r="V164" s="2" t="inlineStr">
        <is>
          <t>Källnate</t>
        </is>
      </c>
      <c r="W164">
        <f>HYPERLINK("https://klasma.github.io/Logging_0980/artfynd/A 46545-2024 artfynd.xlsx", "A 46545-2024")</f>
        <v/>
      </c>
      <c r="X164">
        <f>HYPERLINK("https://klasma.github.io/Logging_0980/kartor/A 46545-2024 karta.png", "A 46545-2024")</f>
        <v/>
      </c>
      <c r="Y164">
        <f>HYPERLINK("https://klasma.github.io/Logging_0980/kartor_geotiff/A 46545-2024 georefererad karta.tif", "A 46545-2024")</f>
        <v/>
      </c>
      <c r="AA164">
        <f>HYPERLINK("https://klasma.github.io/Logging_0980/klagomål/A 46545-2024 FSC-klagomål.docx", "A 46545-2024")</f>
        <v/>
      </c>
      <c r="AB164">
        <f>HYPERLINK("https://klasma.github.io/Logging_0980/klagomålsmail/A 46545-2024 FSC-klagomål mail.docx", "A 46545-2024")</f>
        <v/>
      </c>
      <c r="AC164">
        <f>HYPERLINK("https://klasma.github.io/Logging_0980/tillsyn/A 46545-2024 tillsynsbegäran.docx", "A 46545-2024")</f>
        <v/>
      </c>
      <c r="AD164">
        <f>HYPERLINK("https://klasma.github.io/Logging_0980/tillsynsmail/A 46545-2024 tillsynsbegäran mail.docx", "A 46545-2024")</f>
        <v/>
      </c>
    </row>
    <row r="165" ht="15" customHeight="1">
      <c r="A165" t="inlineStr">
        <is>
          <t>A 62915-2021</t>
        </is>
      </c>
      <c r="B165" t="inlineStr">
        <is>
          <t>avverkningsanmälan</t>
        </is>
      </c>
      <c r="C165" t="inlineStr">
        <is>
          <t>Föryngringsavverkning</t>
        </is>
      </c>
      <c r="D165" s="1" t="n">
        <v>44504</v>
      </c>
      <c r="E165" s="1" t="n">
        <v>46306</v>
      </c>
      <c r="F165" t="inlineStr">
        <is>
          <t>GOTLANDS LÄN</t>
        </is>
      </c>
      <c r="G165" t="inlineStr">
        <is>
          <t>GOTLAND</t>
        </is>
      </c>
      <c r="I165" t="n">
        <v>1.1</v>
      </c>
      <c r="J165" t="n">
        <v>1</v>
      </c>
      <c r="K165" t="n">
        <v>0</v>
      </c>
      <c r="L165" t="n">
        <v>0</v>
      </c>
      <c r="M165" t="n">
        <v>0</v>
      </c>
      <c r="N165" t="n">
        <v>0</v>
      </c>
      <c r="O165" t="n">
        <v>0</v>
      </c>
      <c r="P165" t="n">
        <v>0</v>
      </c>
      <c r="Q165" t="n">
        <v>0</v>
      </c>
      <c r="R165" t="n">
        <v>0</v>
      </c>
      <c r="S165" t="n">
        <v>1</v>
      </c>
      <c r="T165" t="n">
        <v>1</v>
      </c>
      <c r="U165" t="n">
        <v>1</v>
      </c>
      <c r="V165" s="2" t="inlineStr">
        <is>
          <t>Bredarun</t>
        </is>
      </c>
      <c r="W165">
        <f>HYPERLINK("https://klasma.github.io/Logging_0980/artfynd/A 62915-2021 artfynd.xlsx", "A 62915-2021")</f>
        <v/>
      </c>
      <c r="X165">
        <f>HYPERLINK("https://klasma.github.io/Logging_0980/kartor/A 62915-2021 karta.png", "A 62915-2021")</f>
        <v/>
      </c>
      <c r="Y165">
        <f>HYPERLINK("https://klasma.github.io/Logging_0980/kartor_geotiff/A 62915-2021 georefererad karta.tif", "A 62915-2021")</f>
        <v/>
      </c>
      <c r="AA165">
        <f>HYPERLINK("https://klasma.github.io/Logging_0980/klagomål/A 62915-2021 FSC-klagomål.docx", "A 62915-2021")</f>
        <v/>
      </c>
      <c r="AB165">
        <f>HYPERLINK("https://klasma.github.io/Logging_0980/klagomålsmail/A 62915-2021 FSC-klagomål mail.docx", "A 62915-2021")</f>
        <v/>
      </c>
      <c r="AC165">
        <f>HYPERLINK("https://klasma.github.io/Logging_0980/tillsyn/A 62915-2021 tillsynsbegäran.docx", "A 62915-2021")</f>
        <v/>
      </c>
      <c r="AD165">
        <f>HYPERLINK("https://klasma.github.io/Logging_0980/tillsynsmail/A 62915-2021 tillsynsbegäran mail.docx", "A 62915-2021")</f>
        <v/>
      </c>
    </row>
    <row r="166" ht="15" customHeight="1">
      <c r="A166" t="inlineStr">
        <is>
          <t>A 5751-2024</t>
        </is>
      </c>
      <c r="B166" t="inlineStr">
        <is>
          <t>avverkningsanmälan</t>
        </is>
      </c>
      <c r="C166" t="inlineStr">
        <is>
          <t>Avverkning för att bevara och utveckla /försöksver</t>
        </is>
      </c>
      <c r="D166" s="1" t="n">
        <v>45335</v>
      </c>
      <c r="E166" s="1" t="n">
        <v>46306</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49847-2023</t>
        </is>
      </c>
      <c r="B167" t="inlineStr">
        <is>
          <t>avverkningsanmälan</t>
        </is>
      </c>
      <c r="C167" t="inlineStr">
        <is>
          <t>Föryngringsavverkning</t>
        </is>
      </c>
      <c r="D167" s="1" t="n">
        <v>45212</v>
      </c>
      <c r="E167" s="1" t="n">
        <v>46306</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t="n">
        <v>1</v>
      </c>
      <c r="V167" s="2" t="inlineStr">
        <is>
          <t>Strandviol</t>
        </is>
      </c>
      <c r="W167">
        <f>HYPERLINK("https://klasma.github.io/Logging_0980/artfynd/A 49847-2023 artfynd.xlsx", "A 49847-2023")</f>
        <v/>
      </c>
      <c r="X167">
        <f>HYPERLINK("https://klasma.github.io/Logging_0980/kartor/A 49847-2023 karta.png", "A 49847-2023")</f>
        <v/>
      </c>
      <c r="Y167">
        <f>HYPERLINK("https://klasma.github.io/Logging_0980/kartor_geotiff/A 49847-2023 georefererad karta.tif", "A 49847-2023")</f>
        <v/>
      </c>
      <c r="AA167">
        <f>HYPERLINK("https://klasma.github.io/Logging_0980/klagomål/A 49847-2023 FSC-klagomål.docx", "A 49847-2023")</f>
        <v/>
      </c>
      <c r="AB167">
        <f>HYPERLINK("https://klasma.github.io/Logging_0980/klagomålsmail/A 49847-2023 FSC-klagomål mail.docx", "A 49847-2023")</f>
        <v/>
      </c>
      <c r="AC167">
        <f>HYPERLINK("https://klasma.github.io/Logging_0980/tillsyn/A 49847-2023 tillsynsbegäran.docx", "A 49847-2023")</f>
        <v/>
      </c>
      <c r="AD167">
        <f>HYPERLINK("https://klasma.github.io/Logging_0980/tillsynsmail/A 49847-2023 tillsynsbegäran mail.docx", "A 49847-2023")</f>
        <v/>
      </c>
    </row>
    <row r="168" ht="15" customHeight="1">
      <c r="A168" t="inlineStr">
        <is>
          <t>A 27593-2023</t>
        </is>
      </c>
      <c r="B168" t="inlineStr">
        <is>
          <t>avverkningsanmälan</t>
        </is>
      </c>
      <c r="C168" t="inlineStr">
        <is>
          <t>Avverkning för annat ändamål</t>
        </is>
      </c>
      <c r="D168" s="1" t="n">
        <v>45097</v>
      </c>
      <c r="E168" s="1" t="n">
        <v>46306</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56115-2023</t>
        </is>
      </c>
      <c r="B169" t="inlineStr">
        <is>
          <t>avverkningsanmälan</t>
        </is>
      </c>
      <c r="C169" t="inlineStr">
        <is>
          <t>Avverkning för annat ändamål</t>
        </is>
      </c>
      <c r="D169" s="1" t="n">
        <v>45236</v>
      </c>
      <c r="E169" s="1" t="n">
        <v>46306</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HYPERLINK("https://klasma.github.io/Logging_0980/artfynd/A 56115-2023 artfynd.xlsx", "A 56115-2023")</f>
        <v/>
      </c>
      <c r="X169">
        <f>HYPERLINK("https://klasma.github.io/Logging_0980/kartor/A 56115-2023 karta.png", "A 56115-2023")</f>
        <v/>
      </c>
      <c r="Y169">
        <f>HYPERLINK("https://klasma.github.io/Logging_0980/kartor_geotiff/A 56115-2023 georefererad karta.tif", "A 56115-2023")</f>
        <v/>
      </c>
      <c r="AA169">
        <f>HYPERLINK("https://klasma.github.io/Logging_0980/klagomål/A 56115-2023 FSC-klagomål.docx", "A 56115-2023")</f>
        <v/>
      </c>
      <c r="AB169">
        <f>HYPERLINK("https://klasma.github.io/Logging_0980/klagomålsmail/A 56115-2023 FSC-klagomål mail.docx", "A 56115-2023")</f>
        <v/>
      </c>
      <c r="AC169">
        <f>HYPERLINK("https://klasma.github.io/Logging_0980/tillsyn/A 56115-2023 tillsynsbegäran.docx", "A 56115-2023")</f>
        <v/>
      </c>
      <c r="AD169">
        <f>HYPERLINK("https://klasma.github.io/Logging_0980/tillsynsmail/A 56115-2023 tillsynsbegäran mail.docx", "A 56115-2023")</f>
        <v/>
      </c>
    </row>
    <row r="170" ht="15" customHeight="1">
      <c r="A170" t="inlineStr">
        <is>
          <t>A 25977-2024</t>
        </is>
      </c>
      <c r="B170" t="inlineStr">
        <is>
          <t>avverkningsanmälan</t>
        </is>
      </c>
      <c r="C170" t="inlineStr">
        <is>
          <t>Föryngringsavverkning</t>
        </is>
      </c>
      <c r="D170" s="1" t="n">
        <v>45467</v>
      </c>
      <c r="E170" s="1" t="n">
        <v>46306</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1477-2024</t>
        </is>
      </c>
      <c r="B171" t="inlineStr">
        <is>
          <t>avverkningsanmälan</t>
        </is>
      </c>
      <c r="C171" t="inlineStr">
        <is>
          <t>Föryngringsavverkning</t>
        </is>
      </c>
      <c r="D171" s="1" t="n">
        <v>45305</v>
      </c>
      <c r="E171" s="1" t="n">
        <v>46306</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1677-2023</t>
        </is>
      </c>
      <c r="B172" t="inlineStr">
        <is>
          <t>avverkningsanmälan</t>
        </is>
      </c>
      <c r="C172" t="inlineStr">
        <is>
          <t>Föryngringsavverkning</t>
        </is>
      </c>
      <c r="D172" s="1" t="n">
        <v>44938</v>
      </c>
      <c r="E172" s="1" t="n">
        <v>46306</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Strandrosettmossa</t>
        </is>
      </c>
      <c r="W172">
        <f>HYPERLINK("https://klasma.github.io/Logging_0980/artfynd/A 1677-2023 artfynd.xlsx", "A 1677-2023")</f>
        <v/>
      </c>
      <c r="X172">
        <f>HYPERLINK("https://klasma.github.io/Logging_0980/kartor/A 1677-2023 karta.png", "A 1677-2023")</f>
        <v/>
      </c>
      <c r="Y172">
        <f>HYPERLINK("https://klasma.github.io/Logging_0980/kartor_geotiff/A 1677-2023 georefererad karta.tif", "A 1677-2023")</f>
        <v/>
      </c>
      <c r="AA172">
        <f>HYPERLINK("https://klasma.github.io/Logging_0980/klagomål/A 1677-2023 FSC-klagomål.docx", "A 1677-2023")</f>
        <v/>
      </c>
      <c r="AB172">
        <f>HYPERLINK("https://klasma.github.io/Logging_0980/klagomålsmail/A 1677-2023 FSC-klagomål mail.docx", "A 1677-2023")</f>
        <v/>
      </c>
      <c r="AC172">
        <f>HYPERLINK("https://klasma.github.io/Logging_0980/tillsyn/A 1677-2023 tillsynsbegäran.docx", "A 1677-2023")</f>
        <v/>
      </c>
      <c r="AD172">
        <f>HYPERLINK("https://klasma.github.io/Logging_0980/tillsynsmail/A 1677-2023 tillsynsbegäran mail.docx", "A 1677-2023")</f>
        <v/>
      </c>
    </row>
    <row r="173" ht="15" customHeight="1">
      <c r="A173" t="inlineStr">
        <is>
          <t>A 7637-2025</t>
        </is>
      </c>
      <c r="B173" t="inlineStr">
        <is>
          <t>avverkningsanmälan</t>
        </is>
      </c>
      <c r="C173" t="inlineStr">
        <is>
          <t>Föryngringsavverkning</t>
        </is>
      </c>
      <c r="D173" s="1" t="n">
        <v>45705</v>
      </c>
      <c r="E173" s="1" t="n">
        <v>46306</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4568-2025</t>
        </is>
      </c>
      <c r="B174" t="inlineStr">
        <is>
          <t>avverkningsanmälan</t>
        </is>
      </c>
      <c r="C174" t="inlineStr">
        <is>
          <t>Föryngringsavverkning</t>
        </is>
      </c>
      <c r="D174" s="1" t="n">
        <v>45687</v>
      </c>
      <c r="E174" s="1" t="n">
        <v>46306</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46306</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6303-2024</t>
        </is>
      </c>
      <c r="B176" t="inlineStr">
        <is>
          <t>avverkningsanmälan</t>
        </is>
      </c>
      <c r="C176" t="inlineStr">
        <is>
          <t>Föryngringsavverkning</t>
        </is>
      </c>
      <c r="D176" s="1" t="n">
        <v>45338</v>
      </c>
      <c r="E176" s="1" t="n">
        <v>46306</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6303-2024 artfynd.xlsx", "A 6303-2024")</f>
        <v/>
      </c>
      <c r="X176">
        <f>HYPERLINK("https://klasma.github.io/Logging_0980/kartor/A 6303-2024 karta.png", "A 6303-2024")</f>
        <v/>
      </c>
      <c r="Y176">
        <f>HYPERLINK("https://klasma.github.io/Logging_0980/kartor_geotiff/A 6303-2024 georefererad karta.tif", "A 6303-2024")</f>
        <v/>
      </c>
      <c r="AA176">
        <f>HYPERLINK("https://klasma.github.io/Logging_0980/klagomål/A 6303-2024 FSC-klagomål.docx", "A 6303-2024")</f>
        <v/>
      </c>
      <c r="AB176">
        <f>HYPERLINK("https://klasma.github.io/Logging_0980/klagomålsmail/A 6303-2024 FSC-klagomål mail.docx", "A 6303-2024")</f>
        <v/>
      </c>
      <c r="AC176">
        <f>HYPERLINK("https://klasma.github.io/Logging_0980/tillsyn/A 6303-2024 tillsynsbegäran.docx", "A 6303-2024")</f>
        <v/>
      </c>
      <c r="AD176">
        <f>HYPERLINK("https://klasma.github.io/Logging_0980/tillsynsmail/A 6303-2024 tillsynsbegäran mail.docx", "A 6303-2024")</f>
        <v/>
      </c>
    </row>
    <row r="177" ht="15" customHeight="1">
      <c r="A177" t="inlineStr">
        <is>
          <t>A 29809-2022</t>
        </is>
      </c>
      <c r="B177" t="inlineStr">
        <is>
          <t>avverkningsanmälan</t>
        </is>
      </c>
      <c r="C177" t="inlineStr">
        <is>
          <t>Föryngringsavverkning</t>
        </is>
      </c>
      <c r="D177" s="1" t="n">
        <v>44755</v>
      </c>
      <c r="E177" s="1" t="n">
        <v>46306</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46306</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7042-2023</t>
        </is>
      </c>
      <c r="B179" t="inlineStr">
        <is>
          <t>avverkningsanmälan</t>
        </is>
      </c>
      <c r="C179" t="inlineStr">
        <is>
          <t>Föryngringsavverkning</t>
        </is>
      </c>
      <c r="D179" s="1" t="n">
        <v>44968</v>
      </c>
      <c r="E179" s="1" t="n">
        <v>46306</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6739-2025</t>
        </is>
      </c>
      <c r="B180" t="inlineStr">
        <is>
          <t>avverkningsanmälan</t>
        </is>
      </c>
      <c r="C180" t="inlineStr">
        <is>
          <t>Föryngringsavverkning</t>
        </is>
      </c>
      <c r="D180" s="1" t="n">
        <v>45700</v>
      </c>
      <c r="E180" s="1" t="n">
        <v>46306</v>
      </c>
      <c r="F180" t="inlineStr">
        <is>
          <t>GOTLANDS LÄN</t>
        </is>
      </c>
      <c r="G180" t="inlineStr">
        <is>
          <t>GOTLAND</t>
        </is>
      </c>
      <c r="I180" t="n">
        <v>4.5</v>
      </c>
      <c r="J180" t="n">
        <v>1</v>
      </c>
      <c r="K180" t="n">
        <v>0</v>
      </c>
      <c r="L180" t="n">
        <v>0</v>
      </c>
      <c r="M180" t="n">
        <v>0</v>
      </c>
      <c r="N180" t="n">
        <v>0</v>
      </c>
      <c r="O180" t="n">
        <v>0</v>
      </c>
      <c r="P180" t="n">
        <v>0</v>
      </c>
      <c r="Q180" t="n">
        <v>0</v>
      </c>
      <c r="R180" t="n">
        <v>0</v>
      </c>
      <c r="S180" t="n">
        <v>1</v>
      </c>
      <c r="T180" t="n">
        <v>1</v>
      </c>
      <c r="U180" t="n">
        <v>1</v>
      </c>
      <c r="V180" s="2" t="inlineStr">
        <is>
          <t>Röd glada</t>
        </is>
      </c>
      <c r="W180">
        <f>HYPERLINK("https://klasma.github.io/Logging_0980/artfynd/A 6739-2025 artfynd.xlsx", "A 6739-2025")</f>
        <v/>
      </c>
      <c r="X180">
        <f>HYPERLINK("https://klasma.github.io/Logging_0980/kartor/A 6739-2025 karta.png", "A 6739-2025")</f>
        <v/>
      </c>
      <c r="Y180">
        <f>HYPERLINK("https://klasma.github.io/Logging_0980/kartor_geotiff/A 6739-2025 georefererad karta.tif", "A 6739-2025")</f>
        <v/>
      </c>
      <c r="AA180">
        <f>HYPERLINK("https://klasma.github.io/Logging_0980/klagomål/A 6739-2025 FSC-klagomål.docx", "A 6739-2025")</f>
        <v/>
      </c>
      <c r="AB180">
        <f>HYPERLINK("https://klasma.github.io/Logging_0980/klagomålsmail/A 6739-2025 FSC-klagomål mail.docx", "A 6739-2025")</f>
        <v/>
      </c>
      <c r="AC180">
        <f>HYPERLINK("https://klasma.github.io/Logging_0980/tillsyn/A 6739-2025 tillsynsbegäran.docx", "A 6739-2025")</f>
        <v/>
      </c>
      <c r="AD180">
        <f>HYPERLINK("https://klasma.github.io/Logging_0980/tillsynsmail/A 6739-2025 tillsynsbegäran mail.docx", "A 6739-2025")</f>
        <v/>
      </c>
      <c r="AE180">
        <f>HYPERLINK("https://klasma.github.io/Logging_0980/fåglar/A 6739-2025 prioriterade fågelarter.docx", "A 6739-2025")</f>
        <v/>
      </c>
    </row>
    <row r="181" ht="15" customHeight="1">
      <c r="A181" t="inlineStr">
        <is>
          <t>A 63229-2021</t>
        </is>
      </c>
      <c r="B181" t="inlineStr">
        <is>
          <t>avverkningsanmälan</t>
        </is>
      </c>
      <c r="C181" t="inlineStr">
        <is>
          <t>Föryngringsavverkning</t>
        </is>
      </c>
      <c r="D181" s="1" t="n">
        <v>44508</v>
      </c>
      <c r="E181" s="1" t="n">
        <v>46306</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40294-2022</t>
        </is>
      </c>
      <c r="B182" t="inlineStr">
        <is>
          <t>avverkningsanmälan</t>
        </is>
      </c>
      <c r="C182" t="inlineStr">
        <is>
          <t>Föryngringsavverkning</t>
        </is>
      </c>
      <c r="D182" s="1" t="n">
        <v>44821</v>
      </c>
      <c r="E182" s="1" t="n">
        <v>46306</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34809-2024</t>
        </is>
      </c>
      <c r="B183" t="inlineStr">
        <is>
          <t>avverkningsanmälan</t>
        </is>
      </c>
      <c r="C183" t="inlineStr">
        <is>
          <t>Föryngringsavverkning</t>
        </is>
      </c>
      <c r="D183" s="1" t="n">
        <v>45526</v>
      </c>
      <c r="E183" s="1" t="n">
        <v>46306</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1066-2024</t>
        </is>
      </c>
      <c r="B184" t="inlineStr">
        <is>
          <t>avverkningsanmälan</t>
        </is>
      </c>
      <c r="C184" t="inlineStr">
        <is>
          <t>Föryngringsavverkning</t>
        </is>
      </c>
      <c r="D184" s="1" t="n">
        <v>45302</v>
      </c>
      <c r="E184" s="1" t="n">
        <v>46306</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34141-2024</t>
        </is>
      </c>
      <c r="B185" t="inlineStr">
        <is>
          <t>avverkningsanmälan</t>
        </is>
      </c>
      <c r="C185" t="inlineStr">
        <is>
          <t>Föryngringsavverkning</t>
        </is>
      </c>
      <c r="D185" s="1" t="n">
        <v>45524</v>
      </c>
      <c r="E185" s="1" t="n">
        <v>46306</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9862-2024</t>
        </is>
      </c>
      <c r="B186" t="inlineStr">
        <is>
          <t>avverkningsanmälan</t>
        </is>
      </c>
      <c r="C186" t="inlineStr">
        <is>
          <t>Föryngringsavverkning</t>
        </is>
      </c>
      <c r="D186" s="1" t="n">
        <v>45363</v>
      </c>
      <c r="E186" s="1" t="n">
        <v>46306</v>
      </c>
      <c r="F186" t="inlineStr">
        <is>
          <t>GOTLANDS LÄN</t>
        </is>
      </c>
      <c r="G186" t="inlineStr">
        <is>
          <t>GOTLAND</t>
        </is>
      </c>
      <c r="I186" t="n">
        <v>3.5</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9862-2024 artfynd.xlsx", "A 9862-2024")</f>
        <v/>
      </c>
      <c r="X186">
        <f>HYPERLINK("https://klasma.github.io/Logging_0980/kartor/A 9862-2024 karta.png", "A 9862-2024")</f>
        <v/>
      </c>
      <c r="Y186">
        <f>HYPERLINK("https://klasma.github.io/Logging_0980/kartor_geotiff/A 9862-2024 georefererad karta.tif", "A 9862-2024")</f>
        <v/>
      </c>
      <c r="AA186">
        <f>HYPERLINK("https://klasma.github.io/Logging_0980/klagomål/A 9862-2024 FSC-klagomål.docx", "A 9862-2024")</f>
        <v/>
      </c>
      <c r="AB186">
        <f>HYPERLINK("https://klasma.github.io/Logging_0980/klagomålsmail/A 9862-2024 FSC-klagomål mail.docx", "A 9862-2024")</f>
        <v/>
      </c>
      <c r="AC186">
        <f>HYPERLINK("https://klasma.github.io/Logging_0980/tillsyn/A 9862-2024 tillsynsbegäran.docx", "A 9862-2024")</f>
        <v/>
      </c>
      <c r="AD186">
        <f>HYPERLINK("https://klasma.github.io/Logging_0980/tillsynsmail/A 9862-2024 tillsynsbegäran mail.docx", "A 9862-2024")</f>
        <v/>
      </c>
    </row>
    <row r="187" ht="15" customHeight="1">
      <c r="A187" t="inlineStr">
        <is>
          <t>A 10995-2023</t>
        </is>
      </c>
      <c r="B187" t="inlineStr">
        <is>
          <t>avverkningsanmälan</t>
        </is>
      </c>
      <c r="C187" t="inlineStr">
        <is>
          <t>Föryngringsavverkning</t>
        </is>
      </c>
      <c r="D187" s="1" t="n">
        <v>44986</v>
      </c>
      <c r="E187" s="1" t="n">
        <v>46306</v>
      </c>
      <c r="F187" t="inlineStr">
        <is>
          <t>GOTLANDS LÄN</t>
        </is>
      </c>
      <c r="G187" t="inlineStr">
        <is>
          <t>GOTLAND</t>
        </is>
      </c>
      <c r="I187" t="n">
        <v>2.8</v>
      </c>
      <c r="J187" t="n">
        <v>0</v>
      </c>
      <c r="K187" t="n">
        <v>0</v>
      </c>
      <c r="L187" t="n">
        <v>0</v>
      </c>
      <c r="M187" t="n">
        <v>1</v>
      </c>
      <c r="N187" t="n">
        <v>0</v>
      </c>
      <c r="O187" t="n">
        <v>0</v>
      </c>
      <c r="P187" t="n">
        <v>0</v>
      </c>
      <c r="Q187" t="n">
        <v>1</v>
      </c>
      <c r="R187" t="n">
        <v>1</v>
      </c>
      <c r="S187" t="n">
        <v>1</v>
      </c>
      <c r="T187" t="n">
        <v>1</v>
      </c>
      <c r="U187" t="n">
        <v>0</v>
      </c>
      <c r="V187" s="2" t="inlineStr">
        <is>
          <t>Violettfläckig spindling</t>
        </is>
      </c>
      <c r="W187">
        <f>HYPERLINK("https://klasma.github.io/Logging_0980/artfynd/A 10995-2023 artfynd.xlsx", "A 10995-2023")</f>
        <v/>
      </c>
      <c r="X187">
        <f>HYPERLINK("https://klasma.github.io/Logging_0980/kartor/A 10995-2023 karta.png", "A 10995-2023")</f>
        <v/>
      </c>
      <c r="Y187">
        <f>HYPERLINK("https://klasma.github.io/Logging_0980/kartor_geotiff/A 10995-2023 georefererad karta.tif", "A 10995-2023")</f>
        <v/>
      </c>
      <c r="AA187">
        <f>HYPERLINK("https://klasma.github.io/Logging_0980/klagomål/A 10995-2023 FSC-klagomål.docx", "A 10995-2023")</f>
        <v/>
      </c>
      <c r="AB187">
        <f>HYPERLINK("https://klasma.github.io/Logging_0980/klagomålsmail/A 10995-2023 FSC-klagomål mail.docx", "A 10995-2023")</f>
        <v/>
      </c>
      <c r="AC187">
        <f>HYPERLINK("https://klasma.github.io/Logging_0980/tillsyn/A 10995-2023 tillsynsbegäran.docx", "A 10995-2023")</f>
        <v/>
      </c>
      <c r="AD187">
        <f>HYPERLINK("https://klasma.github.io/Logging_0980/tillsynsmail/A 10995-2023 tillsynsbegäran mail.docx", "A 10995-2023")</f>
        <v/>
      </c>
    </row>
    <row r="188" ht="15" customHeight="1">
      <c r="A188" t="inlineStr">
        <is>
          <t>A 62552-2022</t>
        </is>
      </c>
      <c r="B188" t="inlineStr">
        <is>
          <t>avverkningsanmälan</t>
        </is>
      </c>
      <c r="C188" t="inlineStr">
        <is>
          <t>Föryngringsavverkning</t>
        </is>
      </c>
      <c r="D188" s="1" t="n">
        <v>44924</v>
      </c>
      <c r="E188" s="1" t="n">
        <v>46306</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62552-2022 artfynd.xlsx", "A 62552-2022")</f>
        <v/>
      </c>
      <c r="X188">
        <f>HYPERLINK("https://klasma.github.io/Logging_0980/kartor/A 62552-2022 karta.png", "A 62552-2022")</f>
        <v/>
      </c>
      <c r="Y188">
        <f>HYPERLINK("https://klasma.github.io/Logging_0980/kartor_geotiff/A 62552-2022 georefererad karta.tif", "A 62552-2022")</f>
        <v/>
      </c>
      <c r="AA188">
        <f>HYPERLINK("https://klasma.github.io/Logging_0980/klagomål/A 62552-2022 FSC-klagomål.docx", "A 62552-2022")</f>
        <v/>
      </c>
      <c r="AB188">
        <f>HYPERLINK("https://klasma.github.io/Logging_0980/klagomålsmail/A 62552-2022 FSC-klagomål mail.docx", "A 62552-2022")</f>
        <v/>
      </c>
      <c r="AC188">
        <f>HYPERLINK("https://klasma.github.io/Logging_0980/tillsyn/A 62552-2022 tillsynsbegäran.docx", "A 62552-2022")</f>
        <v/>
      </c>
      <c r="AD188">
        <f>HYPERLINK("https://klasma.github.io/Logging_0980/tillsynsmail/A 62552-2022 tillsynsbegäran mail.docx", "A 62552-2022")</f>
        <v/>
      </c>
    </row>
    <row r="189" ht="15" customHeight="1">
      <c r="A189" t="inlineStr">
        <is>
          <t>A 44088-2022</t>
        </is>
      </c>
      <c r="B189" t="inlineStr">
        <is>
          <t>avverkningsanmälan</t>
        </is>
      </c>
      <c r="C189" t="inlineStr">
        <is>
          <t>Föryngringsavverkning</t>
        </is>
      </c>
      <c r="D189" s="1" t="n">
        <v>44839</v>
      </c>
      <c r="E189" s="1" t="n">
        <v>46306</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49693-2023</t>
        </is>
      </c>
      <c r="B190" t="inlineStr">
        <is>
          <t>avverkningsanmälan</t>
        </is>
      </c>
      <c r="C190" t="inlineStr">
        <is>
          <t>Föryngringsavverkning</t>
        </is>
      </c>
      <c r="D190" s="1" t="n">
        <v>45212</v>
      </c>
      <c r="E190" s="1" t="n">
        <v>46306</v>
      </c>
      <c r="F190" t="inlineStr">
        <is>
          <t>GOTLANDS LÄN</t>
        </is>
      </c>
      <c r="G190" t="inlineStr">
        <is>
          <t>GOTLAND</t>
        </is>
      </c>
      <c r="I190" t="n">
        <v>2.4</v>
      </c>
      <c r="J190" t="n">
        <v>0</v>
      </c>
      <c r="K190" t="n">
        <v>0</v>
      </c>
      <c r="L190" t="n">
        <v>0</v>
      </c>
      <c r="M190" t="n">
        <v>1</v>
      </c>
      <c r="N190" t="n">
        <v>0</v>
      </c>
      <c r="O190" t="n">
        <v>0</v>
      </c>
      <c r="P190" t="n">
        <v>0</v>
      </c>
      <c r="Q190" t="n">
        <v>1</v>
      </c>
      <c r="R190" t="n">
        <v>1</v>
      </c>
      <c r="S190" t="n">
        <v>1</v>
      </c>
      <c r="T190" t="n">
        <v>1</v>
      </c>
      <c r="U190" t="n">
        <v>1</v>
      </c>
      <c r="V190" s="2" t="inlineStr">
        <is>
          <t>Vit taggsvamp</t>
        </is>
      </c>
      <c r="W190">
        <f>HYPERLINK("https://klasma.github.io/Logging_0980/artfynd/A 49693-2023 artfynd.xlsx", "A 49693-2023")</f>
        <v/>
      </c>
      <c r="X190">
        <f>HYPERLINK("https://klasma.github.io/Logging_0980/kartor/A 49693-2023 karta.png", "A 49693-2023")</f>
        <v/>
      </c>
      <c r="Y190">
        <f>HYPERLINK("https://klasma.github.io/Logging_0980/kartor_geotiff/A 49693-2023 georefererad karta.tif", "A 49693-2023")</f>
        <v/>
      </c>
      <c r="AA190">
        <f>HYPERLINK("https://klasma.github.io/Logging_0980/klagomål/A 49693-2023 FSC-klagomål.docx", "A 49693-2023")</f>
        <v/>
      </c>
      <c r="AB190">
        <f>HYPERLINK("https://klasma.github.io/Logging_0980/klagomålsmail/A 49693-2023 FSC-klagomål mail.docx", "A 49693-2023")</f>
        <v/>
      </c>
      <c r="AC190">
        <f>HYPERLINK("https://klasma.github.io/Logging_0980/tillsyn/A 49693-2023 tillsynsbegäran.docx", "A 49693-2023")</f>
        <v/>
      </c>
      <c r="AD190">
        <f>HYPERLINK("https://klasma.github.io/Logging_0980/tillsynsmail/A 49693-2023 tillsynsbegäran mail.docx", "A 49693-2023")</f>
        <v/>
      </c>
    </row>
    <row r="191" ht="15" customHeight="1">
      <c r="A191" t="inlineStr">
        <is>
          <t>A 30489-2025</t>
        </is>
      </c>
      <c r="B191" t="inlineStr">
        <is>
          <t>avverkningsanmälan</t>
        </is>
      </c>
      <c r="C191" t="inlineStr">
        <is>
          <t>Föryngringsavverkning</t>
        </is>
      </c>
      <c r="D191" s="1" t="n">
        <v>45830</v>
      </c>
      <c r="E191" s="1" t="n">
        <v>46306</v>
      </c>
      <c r="F191" t="inlineStr">
        <is>
          <t>GOTLANDS LÄN</t>
        </is>
      </c>
      <c r="G191" t="inlineStr">
        <is>
          <t>GOTLAND</t>
        </is>
      </c>
      <c r="I191" t="n">
        <v>4.6</v>
      </c>
      <c r="J191" t="n">
        <v>0</v>
      </c>
      <c r="K191" t="n">
        <v>0</v>
      </c>
      <c r="L191" t="n">
        <v>1</v>
      </c>
      <c r="M191" t="n">
        <v>0</v>
      </c>
      <c r="N191" t="n">
        <v>0</v>
      </c>
      <c r="O191" t="n">
        <v>0</v>
      </c>
      <c r="P191" t="n">
        <v>0</v>
      </c>
      <c r="Q191" t="n">
        <v>1</v>
      </c>
      <c r="R191" t="n">
        <v>0</v>
      </c>
      <c r="S191" t="n">
        <v>1</v>
      </c>
      <c r="T191" t="n">
        <v>1</v>
      </c>
      <c r="U191" t="n">
        <v>0</v>
      </c>
      <c r="V191" s="2" t="inlineStr">
        <is>
          <t>Skarp dropptaggsvamp</t>
        </is>
      </c>
      <c r="W191">
        <f>HYPERLINK("https://klasma.github.io/Logging_0980/artfynd/A 30489-2025 artfynd.xlsx", "A 30489-2025")</f>
        <v/>
      </c>
      <c r="X191">
        <f>HYPERLINK("https://klasma.github.io/Logging_0980/kartor/A 30489-2025 karta.png", "A 30489-2025")</f>
        <v/>
      </c>
      <c r="Y191">
        <f>HYPERLINK("https://klasma.github.io/Logging_0980/kartor_geotiff/A 30489-2025 georefererad karta.tif", "A 30489-2025")</f>
        <v/>
      </c>
      <c r="AA191">
        <f>HYPERLINK("https://klasma.github.io/Logging_0980/klagomål/A 30489-2025 FSC-klagomål.docx", "A 30489-2025")</f>
        <v/>
      </c>
      <c r="AB191">
        <f>HYPERLINK("https://klasma.github.io/Logging_0980/klagomålsmail/A 30489-2025 FSC-klagomål mail.docx", "A 30489-2025")</f>
        <v/>
      </c>
      <c r="AC191">
        <f>HYPERLINK("https://klasma.github.io/Logging_0980/tillsyn/A 30489-2025 tillsynsbegäran.docx", "A 30489-2025")</f>
        <v/>
      </c>
      <c r="AD191">
        <f>HYPERLINK("https://klasma.github.io/Logging_0980/tillsynsmail/A 30489-2025 tillsynsbegäran mail.docx", "A 30489-2025")</f>
        <v/>
      </c>
    </row>
    <row r="192" ht="15" customHeight="1">
      <c r="A192" t="inlineStr">
        <is>
          <t>A 4662-2026</t>
        </is>
      </c>
      <c r="B192" t="inlineStr">
        <is>
          <t>avverkningsanmälan</t>
        </is>
      </c>
      <c r="C192" t="inlineStr">
        <is>
          <t>Föryngringsavverkning</t>
        </is>
      </c>
      <c r="D192" s="1" t="n">
        <v>46048</v>
      </c>
      <c r="E192" s="1" t="n">
        <v>46306</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69112-2021</t>
        </is>
      </c>
      <c r="B193" t="inlineStr">
        <is>
          <t>avverkningsanmälan</t>
        </is>
      </c>
      <c r="C193" t="inlineStr">
        <is>
          <t>Avverkning för annat ändamål</t>
        </is>
      </c>
      <c r="D193" s="1" t="n">
        <v>44530</v>
      </c>
      <c r="E193" s="1" t="n">
        <v>46306</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22782-2023</t>
        </is>
      </c>
      <c r="B194" t="inlineStr">
        <is>
          <t>avverkningsanmälan</t>
        </is>
      </c>
      <c r="C194" t="inlineStr">
        <is>
          <t>Föryngringsavverkning</t>
        </is>
      </c>
      <c r="D194" s="1" t="n">
        <v>45072</v>
      </c>
      <c r="E194" s="1" t="n">
        <v>46306</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46306</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46306</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46306</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30176-2026</t>
        </is>
      </c>
      <c r="B198" t="inlineStr">
        <is>
          <t>avverkningsanmälan</t>
        </is>
      </c>
      <c r="C198" t="inlineStr">
        <is>
          <t>Avverkning för annat ändamål</t>
        </is>
      </c>
      <c r="D198" s="1" t="n">
        <v>46203</v>
      </c>
      <c r="E198" s="1" t="n">
        <v>46306</v>
      </c>
      <c r="F198" t="inlineStr">
        <is>
          <t>GOTLANDS LÄN</t>
        </is>
      </c>
      <c r="G198" t="inlineStr">
        <is>
          <t>GOTLAND</t>
        </is>
      </c>
      <c r="I198" t="n">
        <v>3.7</v>
      </c>
      <c r="J198" t="n">
        <v>1</v>
      </c>
      <c r="K198" t="n">
        <v>0</v>
      </c>
      <c r="L198" t="n">
        <v>0</v>
      </c>
      <c r="M198" t="n">
        <v>0</v>
      </c>
      <c r="N198" t="n">
        <v>0</v>
      </c>
      <c r="O198" t="n">
        <v>0</v>
      </c>
      <c r="P198" t="n">
        <v>0</v>
      </c>
      <c r="Q198" t="n">
        <v>0</v>
      </c>
      <c r="R198" t="n">
        <v>0</v>
      </c>
      <c r="S198" t="n">
        <v>1</v>
      </c>
      <c r="T198" t="n">
        <v>1</v>
      </c>
      <c r="U198" t="n">
        <v>0</v>
      </c>
      <c r="V198" s="2" t="inlineStr">
        <is>
          <t>Bredarun</t>
        </is>
      </c>
      <c r="W198">
        <f>HYPERLINK("https://klasma.github.io/Logging_0980/artfynd/A 30176-2026 artfynd.xlsx", "A 30176-2026")</f>
        <v/>
      </c>
      <c r="X198">
        <f>HYPERLINK("https://klasma.github.io/Logging_0980/kartor/A 30176-2026 karta.png", "A 30176-2026")</f>
        <v/>
      </c>
      <c r="Y198">
        <f>HYPERLINK("https://klasma.github.io/Logging_0980/kartor_geotiff/A 30176-2026 georefererad karta.tif", "A 30176-2026")</f>
        <v/>
      </c>
      <c r="AA198">
        <f>HYPERLINK("https://klasma.github.io/Logging_0980/klagomål/A 30176-2026 FSC-klagomål.docx", "A 30176-2026")</f>
        <v/>
      </c>
      <c r="AB198">
        <f>HYPERLINK("https://klasma.github.io/Logging_0980/klagomålsmail/A 30176-2026 FSC-klagomål mail.docx", "A 30176-2026")</f>
        <v/>
      </c>
      <c r="AC198">
        <f>HYPERLINK("https://klasma.github.io/Logging_0980/tillsyn/A 30176-2026 tillsynsbegäran.docx", "A 30176-2026")</f>
        <v/>
      </c>
      <c r="AD198">
        <f>HYPERLINK("https://klasma.github.io/Logging_0980/tillsynsmail/A 30176-2026 tillsynsbegäran mail.docx", "A 30176-2026")</f>
        <v/>
      </c>
    </row>
    <row r="199" ht="15" customHeight="1">
      <c r="A199" t="inlineStr">
        <is>
          <t>A 18036-2026</t>
        </is>
      </c>
      <c r="B199" t="inlineStr">
        <is>
          <t>avverkningsanmälan</t>
        </is>
      </c>
      <c r="C199" t="inlineStr">
        <is>
          <t>Föryngringsavverkning</t>
        </is>
      </c>
      <c r="D199" s="1" t="n">
        <v>46125</v>
      </c>
      <c r="E199" s="1" t="n">
        <v>46306</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46306</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64700-2021</t>
        </is>
      </c>
      <c r="B201" t="inlineStr">
        <is>
          <t>avverkningsanmälan</t>
        </is>
      </c>
      <c r="C201" t="inlineStr">
        <is>
          <t>Avverkning för att bevara och utveckla /försöksver</t>
        </is>
      </c>
      <c r="D201" s="1" t="n">
        <v>44511</v>
      </c>
      <c r="E201" s="1" t="n">
        <v>46306</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10218-2025</t>
        </is>
      </c>
      <c r="B202" t="inlineStr">
        <is>
          <t>avverkningsanmälan</t>
        </is>
      </c>
      <c r="C202" t="inlineStr">
        <is>
          <t>Föryngringsavverkning</t>
        </is>
      </c>
      <c r="D202" s="1" t="n">
        <v>45720</v>
      </c>
      <c r="E202" s="1" t="n">
        <v>46306</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t="n">
        <v>1</v>
      </c>
      <c r="V202" s="2" t="inlineStr">
        <is>
          <t>Kalktallört</t>
        </is>
      </c>
      <c r="W202">
        <f>HYPERLINK("https://klasma.github.io/Logging_0980/artfynd/A 10218-2025 artfynd.xlsx", "A 10218-2025")</f>
        <v/>
      </c>
      <c r="X202">
        <f>HYPERLINK("https://klasma.github.io/Logging_0980/kartor/A 10218-2025 karta.png", "A 10218-2025")</f>
        <v/>
      </c>
      <c r="Y202">
        <f>HYPERLINK("https://klasma.github.io/Logging_0980/kartor_geotiff/A 10218-2025 georefererad karta.tif", "A 10218-2025")</f>
        <v/>
      </c>
      <c r="AA202">
        <f>HYPERLINK("https://klasma.github.io/Logging_0980/klagomål/A 10218-2025 FSC-klagomål.docx", "A 10218-2025")</f>
        <v/>
      </c>
      <c r="AB202">
        <f>HYPERLINK("https://klasma.github.io/Logging_0980/klagomålsmail/A 10218-2025 FSC-klagomål mail.docx", "A 10218-2025")</f>
        <v/>
      </c>
      <c r="AC202">
        <f>HYPERLINK("https://klasma.github.io/Logging_0980/tillsyn/A 10218-2025 tillsynsbegäran.docx", "A 10218-2025")</f>
        <v/>
      </c>
      <c r="AD202">
        <f>HYPERLINK("https://klasma.github.io/Logging_0980/tillsynsmail/A 10218-2025 tillsynsbegäran mail.docx", "A 10218-2025")</f>
        <v/>
      </c>
    </row>
    <row r="203" ht="15" customHeight="1">
      <c r="A203" t="inlineStr">
        <is>
          <t>A 5863-2026</t>
        </is>
      </c>
      <c r="B203" t="inlineStr">
        <is>
          <t>avverkningsanmälan</t>
        </is>
      </c>
      <c r="C203" t="inlineStr">
        <is>
          <t>Föryngringsavverkning</t>
        </is>
      </c>
      <c r="D203" s="1" t="n">
        <v>46052</v>
      </c>
      <c r="E203" s="1" t="n">
        <v>46306</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35</v>
      </c>
      <c r="U203" t="n">
        <v>25</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S 2744-2023</t>
        </is>
      </c>
      <c r="B204" t="inlineStr">
        <is>
          <t>samrådsanmälan</t>
        </is>
      </c>
      <c r="C204" t="inlineStr">
        <is>
          <t>Annan skogsbruksåtgärd</t>
        </is>
      </c>
      <c r="D204" s="1" t="n">
        <v>45159</v>
      </c>
      <c r="E204" s="1" t="n">
        <v>46306</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46306</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46306</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46306</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46306</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46306</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46306</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46306</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46306</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46306</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46306</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46306</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46306</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46306</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14413-2022</t>
        </is>
      </c>
      <c r="B218" t="inlineStr">
        <is>
          <t>avverkningsanmälan</t>
        </is>
      </c>
      <c r="C218" t="inlineStr">
        <is>
          <t>Avverkning för annat ändamål</t>
        </is>
      </c>
      <c r="D218" s="1" t="n">
        <v>44652</v>
      </c>
      <c r="E218" s="1" t="n">
        <v>46306</v>
      </c>
      <c r="F218" t="inlineStr">
        <is>
          <t>GOTLANDS LÄN</t>
        </is>
      </c>
      <c r="G218" t="inlineStr">
        <is>
          <t>GOTLAND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46306</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46306</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46306</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46306</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46306</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46306</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1394-2023</t>
        </is>
      </c>
      <c r="B225" t="inlineStr">
        <is>
          <t>avverkningsanmälan</t>
        </is>
      </c>
      <c r="C225" t="inlineStr">
        <is>
          <t>Föryngringsavverkning</t>
        </is>
      </c>
      <c r="D225" s="1" t="n">
        <v>44936</v>
      </c>
      <c r="E225" s="1" t="n">
        <v>46306</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25866-2022</t>
        </is>
      </c>
      <c r="B226" t="inlineStr">
        <is>
          <t>avverkningsanmälan</t>
        </is>
      </c>
      <c r="C226" t="inlineStr">
        <is>
          <t>Föryngringsavverkning</t>
        </is>
      </c>
      <c r="D226" s="1" t="n">
        <v>44733</v>
      </c>
      <c r="E226" s="1" t="n">
        <v>46306</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43229-2023</t>
        </is>
      </c>
      <c r="B227" t="inlineStr">
        <is>
          <t>avverkningsanmälan</t>
        </is>
      </c>
      <c r="C227" t="inlineStr">
        <is>
          <t>Föryngringsavverkning</t>
        </is>
      </c>
      <c r="D227" s="1" t="n">
        <v>45183</v>
      </c>
      <c r="E227" s="1" t="n">
        <v>46306</v>
      </c>
      <c r="F227" t="inlineStr">
        <is>
          <t>GOTLANDS LÄN</t>
        </is>
      </c>
      <c r="G227" t="inlineStr">
        <is>
          <t>GOTLAND</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27095-2022</t>
        </is>
      </c>
      <c r="B228" t="inlineStr">
        <is>
          <t>avverkningsanmälan</t>
        </is>
      </c>
      <c r="C228" t="inlineStr">
        <is>
          <t>Avverkning för annat ändamål</t>
        </is>
      </c>
      <c r="D228" s="1" t="n">
        <v>44741</v>
      </c>
      <c r="E228" s="1" t="n">
        <v>46306</v>
      </c>
      <c r="F228" t="inlineStr">
        <is>
          <t>GOTLANDS LÄN</t>
        </is>
      </c>
      <c r="G228" t="inlineStr">
        <is>
          <t>GOTLAND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22899-2023</t>
        </is>
      </c>
      <c r="B229" t="inlineStr">
        <is>
          <t>avverkningsanmälan</t>
        </is>
      </c>
      <c r="C229" t="inlineStr">
        <is>
          <t>Föryngringsavverkning</t>
        </is>
      </c>
      <c r="D229" s="1" t="n">
        <v>45072</v>
      </c>
      <c r="E229" s="1" t="n">
        <v>46306</v>
      </c>
      <c r="F229" t="inlineStr">
        <is>
          <t>GOTLANDS LÄN</t>
        </is>
      </c>
      <c r="G229" t="inlineStr">
        <is>
          <t>GOTLAND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1462-2025</t>
        </is>
      </c>
      <c r="B230" t="inlineStr">
        <is>
          <t>avverkningsanmälan</t>
        </is>
      </c>
      <c r="C230" t="inlineStr">
        <is>
          <t>Föryngringsavverkning</t>
        </is>
      </c>
      <c r="D230" s="1" t="n">
        <v>45670</v>
      </c>
      <c r="E230" s="1" t="n">
        <v>46306</v>
      </c>
      <c r="F230" t="inlineStr">
        <is>
          <t>GOTLANDS LÄN</t>
        </is>
      </c>
      <c r="G230" t="inlineStr">
        <is>
          <t>GOTLAND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23978-2023</t>
        </is>
      </c>
      <c r="B231" t="inlineStr">
        <is>
          <t>avverkningsanmälan</t>
        </is>
      </c>
      <c r="C231" t="inlineStr">
        <is>
          <t>Föryngringsavverkning</t>
        </is>
      </c>
      <c r="D231" s="1" t="n">
        <v>45078</v>
      </c>
      <c r="E231" s="1" t="n">
        <v>46306</v>
      </c>
      <c r="F231" t="inlineStr">
        <is>
          <t>GOTLANDS LÄN</t>
        </is>
      </c>
      <c r="G231" t="inlineStr">
        <is>
          <t>GOTLAND</t>
        </is>
      </c>
      <c r="H231" t="inlineStr">
        <is>
          <t>Naturvårdsverket</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34407-2023</t>
        </is>
      </c>
      <c r="B232" t="inlineStr">
        <is>
          <t>avverkningsanmälan</t>
        </is>
      </c>
      <c r="C232" t="inlineStr">
        <is>
          <t>Föryngringsavverkning</t>
        </is>
      </c>
      <c r="D232" s="1" t="n">
        <v>45132</v>
      </c>
      <c r="E232" s="1" t="n">
        <v>46306</v>
      </c>
      <c r="F232" t="inlineStr">
        <is>
          <t>GOTLANDS LÄN</t>
        </is>
      </c>
      <c r="G232" t="inlineStr">
        <is>
          <t>GOTLAND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11013-2024</t>
        </is>
      </c>
      <c r="B233" t="inlineStr">
        <is>
          <t>avverkningsanmälan</t>
        </is>
      </c>
      <c r="C233" t="inlineStr">
        <is>
          <t>Föryngringsavverkning</t>
        </is>
      </c>
      <c r="D233" s="1" t="n">
        <v>45370</v>
      </c>
      <c r="E233" s="1" t="n">
        <v>46306</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27694-2024</t>
        </is>
      </c>
      <c r="B234" t="inlineStr">
        <is>
          <t>avverkningsanmälan</t>
        </is>
      </c>
      <c r="C234" t="inlineStr">
        <is>
          <t>Föryngringsavverkning</t>
        </is>
      </c>
      <c r="D234" s="1" t="n">
        <v>45475</v>
      </c>
      <c r="E234" s="1" t="n">
        <v>46306</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25129-2023</t>
        </is>
      </c>
      <c r="B235" t="inlineStr">
        <is>
          <t>avverkningsanmälan</t>
        </is>
      </c>
      <c r="C235" t="inlineStr">
        <is>
          <t>Föryngringsavverkning</t>
        </is>
      </c>
      <c r="D235" s="1" t="n">
        <v>45086</v>
      </c>
      <c r="E235" s="1" t="n">
        <v>46306</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24192-2023</t>
        </is>
      </c>
      <c r="B236" t="inlineStr">
        <is>
          <t>avverkningsanmälan</t>
        </is>
      </c>
      <c r="C236" t="inlineStr">
        <is>
          <t>Föryngringsavverkning</t>
        </is>
      </c>
      <c r="D236" s="1" t="n">
        <v>45079</v>
      </c>
      <c r="E236" s="1" t="n">
        <v>46306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15083-2025</t>
        </is>
      </c>
      <c r="B237" t="inlineStr">
        <is>
          <t>avverkningsanmälan</t>
        </is>
      </c>
      <c r="C237" t="inlineStr">
        <is>
          <t>Avverkning för annat ändamål</t>
        </is>
      </c>
      <c r="D237" s="1" t="n">
        <v>45743</v>
      </c>
      <c r="E237" s="1" t="n">
        <v>46306</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13037-2025</t>
        </is>
      </c>
      <c r="B238" t="inlineStr">
        <is>
          <t>avverkningsanmälan</t>
        </is>
      </c>
      <c r="C238" t="inlineStr">
        <is>
          <t>Avverkning för att bevara och utveckla /försöksver</t>
        </is>
      </c>
      <c r="D238" s="1" t="n">
        <v>45734</v>
      </c>
      <c r="E238" s="1" t="n">
        <v>46306</v>
      </c>
      <c r="F238" t="inlineStr">
        <is>
          <t>GOTLANDS LÄN</t>
        </is>
      </c>
      <c r="G238" t="inlineStr">
        <is>
          <t>GOTLAND</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5386-2023</t>
        </is>
      </c>
      <c r="B239" t="inlineStr">
        <is>
          <t>avverkningsanmälan</t>
        </is>
      </c>
      <c r="C239" t="inlineStr">
        <is>
          <t>Föryngringsavverkning</t>
        </is>
      </c>
      <c r="D239" s="1" t="n">
        <v>44959</v>
      </c>
      <c r="E239" s="1" t="n">
        <v>46306</v>
      </c>
      <c r="F239" t="inlineStr">
        <is>
          <t>GOTLANDS LÄN</t>
        </is>
      </c>
      <c r="G239" t="inlineStr">
        <is>
          <t>GOTLAND</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46306</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46306</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46306</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20855-2023</t>
        </is>
      </c>
      <c r="B243" t="inlineStr">
        <is>
          <t>avverkningsanmälan</t>
        </is>
      </c>
      <c r="C243" t="inlineStr">
        <is>
          <t>Föryngringsavverkning</t>
        </is>
      </c>
      <c r="D243" s="1" t="n">
        <v>45058</v>
      </c>
      <c r="E243" s="1" t="n">
        <v>46306</v>
      </c>
      <c r="F243" t="inlineStr">
        <is>
          <t>GOTLANDS LÄN</t>
        </is>
      </c>
      <c r="G243" t="inlineStr">
        <is>
          <t>GOTLAND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58132-2023</t>
        </is>
      </c>
      <c r="B244" t="inlineStr">
        <is>
          <t>avverkningsanmälan</t>
        </is>
      </c>
      <c r="C244" t="inlineStr">
        <is>
          <t>Föryngringsavverkning</t>
        </is>
      </c>
      <c r="D244" s="1" t="n">
        <v>45250</v>
      </c>
      <c r="E244" s="1" t="n">
        <v>46306</v>
      </c>
      <c r="F244" t="inlineStr">
        <is>
          <t>GOTLANDS LÄN</t>
        </is>
      </c>
      <c r="G244" t="inlineStr">
        <is>
          <t>GOTLAND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1000-2024</t>
        </is>
      </c>
      <c r="B245" t="inlineStr">
        <is>
          <t>avverkningsanmälan</t>
        </is>
      </c>
      <c r="C245" t="inlineStr">
        <is>
          <t>Föryngringsavverkning</t>
        </is>
      </c>
      <c r="D245" s="1" t="n">
        <v>45301</v>
      </c>
      <c r="E245" s="1" t="n">
        <v>46306</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46306</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49884-2023</t>
        </is>
      </c>
      <c r="B247" t="inlineStr">
        <is>
          <t>avverkningsanmälan</t>
        </is>
      </c>
      <c r="C247" t="inlineStr">
        <is>
          <t>Föryngringsavverkning</t>
        </is>
      </c>
      <c r="D247" s="1" t="n">
        <v>45213</v>
      </c>
      <c r="E247" s="1" t="n">
        <v>46306</v>
      </c>
      <c r="F247" t="inlineStr">
        <is>
          <t>GOTLANDS LÄN</t>
        </is>
      </c>
      <c r="G247" t="inlineStr">
        <is>
          <t>GOTLAND</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44919-2022</t>
        </is>
      </c>
      <c r="B248" t="inlineStr">
        <is>
          <t>avverkningsanmälan</t>
        </is>
      </c>
      <c r="C248" t="inlineStr">
        <is>
          <t>Föryngringsavverkning</t>
        </is>
      </c>
      <c r="D248" s="1" t="n">
        <v>44841</v>
      </c>
      <c r="E248" s="1" t="n">
        <v>46306</v>
      </c>
      <c r="F248" t="inlineStr">
        <is>
          <t>GOTLANDS LÄN</t>
        </is>
      </c>
      <c r="G248" t="inlineStr">
        <is>
          <t>GOTLAND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47762-2023</t>
        </is>
      </c>
      <c r="B249" t="inlineStr">
        <is>
          <t>avverkningsanmälan</t>
        </is>
      </c>
      <c r="C249" t="inlineStr">
        <is>
          <t>Föryngringsavverkning</t>
        </is>
      </c>
      <c r="D249" s="1" t="n">
        <v>45203</v>
      </c>
      <c r="E249" s="1" t="n">
        <v>46306</v>
      </c>
      <c r="F249" t="inlineStr">
        <is>
          <t>GOTLANDS LÄN</t>
        </is>
      </c>
      <c r="G249" t="inlineStr">
        <is>
          <t>GOTLAND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876-2024</t>
        </is>
      </c>
      <c r="B250" t="inlineStr">
        <is>
          <t>avverkningsanmälan</t>
        </is>
      </c>
      <c r="C250" t="inlineStr">
        <is>
          <t>Avverkning för annat ändamål</t>
        </is>
      </c>
      <c r="D250" s="1" t="n">
        <v>45301</v>
      </c>
      <c r="E250" s="1" t="n">
        <v>46306</v>
      </c>
      <c r="F250" t="inlineStr">
        <is>
          <t>GOTLANDS LÄN</t>
        </is>
      </c>
      <c r="G250" t="inlineStr">
        <is>
          <t>GOTLAND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60086-2022</t>
        </is>
      </c>
      <c r="B251" t="inlineStr">
        <is>
          <t>avverkningsanmälan</t>
        </is>
      </c>
      <c r="C251" t="inlineStr">
        <is>
          <t>Föryngringsavverkning</t>
        </is>
      </c>
      <c r="D251" s="1" t="n">
        <v>44909</v>
      </c>
      <c r="E251" s="1" t="n">
        <v>46306</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48503-2023</t>
        </is>
      </c>
      <c r="B252" t="inlineStr">
        <is>
          <t>avverkningsanmälan</t>
        </is>
      </c>
      <c r="C252" t="inlineStr">
        <is>
          <t>Föryngringsavverkning</t>
        </is>
      </c>
      <c r="D252" s="1" t="n">
        <v>45207</v>
      </c>
      <c r="E252" s="1" t="n">
        <v>46306</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22704-2023</t>
        </is>
      </c>
      <c r="B253" t="inlineStr">
        <is>
          <t>avverkningsanmälan</t>
        </is>
      </c>
      <c r="C253" t="inlineStr">
        <is>
          <t>Föryngringsavverkning</t>
        </is>
      </c>
      <c r="D253" s="1" t="n">
        <v>45071</v>
      </c>
      <c r="E253" s="1" t="n">
        <v>46306</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28425-2023</t>
        </is>
      </c>
      <c r="B254" t="inlineStr">
        <is>
          <t>avverkningsanmälan</t>
        </is>
      </c>
      <c r="C254" t="inlineStr">
        <is>
          <t>Föryngringsavverkning</t>
        </is>
      </c>
      <c r="D254" s="1" t="n">
        <v>45102</v>
      </c>
      <c r="E254" s="1" t="n">
        <v>46306</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65901-2021</t>
        </is>
      </c>
      <c r="B255" t="inlineStr">
        <is>
          <t>avverkningsanmälan</t>
        </is>
      </c>
      <c r="C255" t="inlineStr">
        <is>
          <t>Föryngringsavverkning</t>
        </is>
      </c>
      <c r="D255" s="1" t="n">
        <v>44516</v>
      </c>
      <c r="E255" s="1" t="n">
        <v>46306</v>
      </c>
      <c r="F255" t="inlineStr">
        <is>
          <t>GOTLANDS LÄN</t>
        </is>
      </c>
      <c r="G255" t="inlineStr">
        <is>
          <t>GOTLAND</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46306</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46306</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46306</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3431-2025</t>
        </is>
      </c>
      <c r="B259" t="inlineStr">
        <is>
          <t>avverkningsanmälan</t>
        </is>
      </c>
      <c r="C259" t="inlineStr">
        <is>
          <t>Föryngringsavverkning</t>
        </is>
      </c>
      <c r="D259" s="1" t="n">
        <v>45680</v>
      </c>
      <c r="E259" s="1" t="n">
        <v>46306</v>
      </c>
      <c r="F259" t="inlineStr">
        <is>
          <t>GOTLANDS LÄN</t>
        </is>
      </c>
      <c r="G259" t="inlineStr">
        <is>
          <t>GOTLAND</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9947-2024</t>
        </is>
      </c>
      <c r="B260" t="inlineStr">
        <is>
          <t>avverkningsanmälan</t>
        </is>
      </c>
      <c r="C260" t="inlineStr">
        <is>
          <t>Föryngringsavverkning</t>
        </is>
      </c>
      <c r="D260" s="1" t="n">
        <v>45363</v>
      </c>
      <c r="E260" s="1" t="n">
        <v>46306</v>
      </c>
      <c r="F260" t="inlineStr">
        <is>
          <t>GOTLANDS LÄN</t>
        </is>
      </c>
      <c r="G260" t="inlineStr">
        <is>
          <t>GOTLAND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17682-2024</t>
        </is>
      </c>
      <c r="B261" t="inlineStr">
        <is>
          <t>avverkningsanmälan</t>
        </is>
      </c>
      <c r="C261" t="inlineStr">
        <is>
          <t>Föryngringsavverkning</t>
        </is>
      </c>
      <c r="D261" s="1" t="n">
        <v>45418</v>
      </c>
      <c r="E261" s="1" t="n">
        <v>46306</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57522-2022</t>
        </is>
      </c>
      <c r="B262" t="inlineStr">
        <is>
          <t>avverkningsanmälan</t>
        </is>
      </c>
      <c r="C262" t="inlineStr">
        <is>
          <t>Föryngringsavverkning</t>
        </is>
      </c>
      <c r="D262" s="1" t="n">
        <v>44896</v>
      </c>
      <c r="E262" s="1" t="n">
        <v>46306</v>
      </c>
      <c r="F262" t="inlineStr">
        <is>
          <t>GOTLANDS LÄN</t>
        </is>
      </c>
      <c r="G262" t="inlineStr">
        <is>
          <t>GOTLAND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20356-2022</t>
        </is>
      </c>
      <c r="B263" t="inlineStr">
        <is>
          <t>avverkningsanmälan</t>
        </is>
      </c>
      <c r="C263" t="inlineStr">
        <is>
          <t>Avverkning för annat ändamål</t>
        </is>
      </c>
      <c r="D263" s="1" t="n">
        <v>44699</v>
      </c>
      <c r="E263" s="1" t="n">
        <v>46306</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37202-2024</t>
        </is>
      </c>
      <c r="B264" t="inlineStr">
        <is>
          <t>avverkningsanmälan</t>
        </is>
      </c>
      <c r="C264" t="inlineStr">
        <is>
          <t>Föryngringsavverkning</t>
        </is>
      </c>
      <c r="D264" s="1" t="n">
        <v>45539</v>
      </c>
      <c r="E264" s="1" t="n">
        <v>46306</v>
      </c>
      <c r="F264" t="inlineStr">
        <is>
          <t>GOTLANDS LÄN</t>
        </is>
      </c>
      <c r="G264" t="inlineStr">
        <is>
          <t>GOTLAND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46527-2023</t>
        </is>
      </c>
      <c r="B265" t="inlineStr">
        <is>
          <t>avverkningsanmälan</t>
        </is>
      </c>
      <c r="C265" t="inlineStr">
        <is>
          <t>Avverkning för annat ändamål</t>
        </is>
      </c>
      <c r="D265" s="1" t="n">
        <v>45197</v>
      </c>
      <c r="E265" s="1" t="n">
        <v>46306</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3964-2024</t>
        </is>
      </c>
      <c r="B266" t="inlineStr">
        <is>
          <t>avverkningsanmälan</t>
        </is>
      </c>
      <c r="C266" t="inlineStr">
        <is>
          <t>Föryngringsavverkning</t>
        </is>
      </c>
      <c r="D266" s="1" t="n">
        <v>45322</v>
      </c>
      <c r="E266" s="1" t="n">
        <v>46306</v>
      </c>
      <c r="F266" t="inlineStr">
        <is>
          <t>GOTLANDS LÄN</t>
        </is>
      </c>
      <c r="G266" t="inlineStr">
        <is>
          <t>GOTLAND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63516-2023</t>
        </is>
      </c>
      <c r="B267" t="inlineStr">
        <is>
          <t>avverkningsanmälan</t>
        </is>
      </c>
      <c r="C267" t="inlineStr">
        <is>
          <t>Föryngringsavverkning</t>
        </is>
      </c>
      <c r="D267" s="1" t="n">
        <v>45274</v>
      </c>
      <c r="E267" s="1" t="n">
        <v>46306</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45084-2024</t>
        </is>
      </c>
      <c r="B268" t="inlineStr">
        <is>
          <t>avverkningsanmälan</t>
        </is>
      </c>
      <c r="C268" t="inlineStr">
        <is>
          <t>Föryngringsavverkning</t>
        </is>
      </c>
      <c r="D268" s="1" t="n">
        <v>45575</v>
      </c>
      <c r="E268" s="1" t="n">
        <v>46306</v>
      </c>
      <c r="F268" t="inlineStr">
        <is>
          <t>GOTLANDS LÄN</t>
        </is>
      </c>
      <c r="G268" t="inlineStr">
        <is>
          <t>GOTLAND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2774-2024</t>
        </is>
      </c>
      <c r="B269" t="inlineStr">
        <is>
          <t>avverkningsanmälan</t>
        </is>
      </c>
      <c r="C269" t="inlineStr">
        <is>
          <t>Föryngringsavverkning</t>
        </is>
      </c>
      <c r="D269" s="1" t="n">
        <v>45314</v>
      </c>
      <c r="E269" s="1" t="n">
        <v>46306</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46306</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46306</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46306</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46306</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46306</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46306</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46306</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46306</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40373-2025</t>
        </is>
      </c>
      <c r="B278" t="inlineStr">
        <is>
          <t>avverkningsanmälan</t>
        </is>
      </c>
      <c r="C278" t="inlineStr">
        <is>
          <t>Föryngringsavverkning</t>
        </is>
      </c>
      <c r="D278" s="1" t="n">
        <v>45895</v>
      </c>
      <c r="E278" s="1" t="n">
        <v>46306</v>
      </c>
      <c r="F278" t="inlineStr">
        <is>
          <t>GOTLANDS LÄN</t>
        </is>
      </c>
      <c r="G278" t="inlineStr">
        <is>
          <t>GOTLAND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46306</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46306</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14635-2023</t>
        </is>
      </c>
      <c r="B281" t="inlineStr">
        <is>
          <t>avverkningsanmälan</t>
        </is>
      </c>
      <c r="C281" t="inlineStr">
        <is>
          <t>Föryngringsavverkning</t>
        </is>
      </c>
      <c r="D281" s="1" t="n">
        <v>45013</v>
      </c>
      <c r="E281" s="1" t="n">
        <v>46306</v>
      </c>
      <c r="F281" t="inlineStr">
        <is>
          <t>GOTLANDS LÄN</t>
        </is>
      </c>
      <c r="G281" t="inlineStr">
        <is>
          <t>GOTLAND</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46306</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59469-2024</t>
        </is>
      </c>
      <c r="B283" t="inlineStr">
        <is>
          <t>avverkningsanmälan</t>
        </is>
      </c>
      <c r="C283" t="inlineStr">
        <is>
          <t>Föryngringsavverkning</t>
        </is>
      </c>
      <c r="D283" s="1" t="n">
        <v>45638</v>
      </c>
      <c r="E283" s="1" t="n">
        <v>46306</v>
      </c>
      <c r="F283" t="inlineStr">
        <is>
          <t>GOTLANDS LÄN</t>
        </is>
      </c>
      <c r="G283" t="inlineStr">
        <is>
          <t>GOTLAND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7858-2025</t>
        </is>
      </c>
      <c r="B284" t="inlineStr">
        <is>
          <t>avverkningsanmälan</t>
        </is>
      </c>
      <c r="C284" t="inlineStr">
        <is>
          <t>Föryngringsavverkning</t>
        </is>
      </c>
      <c r="D284" s="1" t="n">
        <v>45706</v>
      </c>
      <c r="E284" s="1" t="n">
        <v>46306</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53935-2024</t>
        </is>
      </c>
      <c r="B285" t="inlineStr">
        <is>
          <t>avverkningsanmälan</t>
        </is>
      </c>
      <c r="C285" t="inlineStr">
        <is>
          <t>Föryngringsavverkning</t>
        </is>
      </c>
      <c r="D285" s="1" t="n">
        <v>45615</v>
      </c>
      <c r="E285" s="1" t="n">
        <v>46306</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58780-2024</t>
        </is>
      </c>
      <c r="B286" t="inlineStr">
        <is>
          <t>avverkningsanmälan</t>
        </is>
      </c>
      <c r="C286" t="inlineStr">
        <is>
          <t>Föryngringsavverkning</t>
        </is>
      </c>
      <c r="D286" s="1" t="n">
        <v>45635</v>
      </c>
      <c r="E286" s="1" t="n">
        <v>46306</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5891-2025</t>
        </is>
      </c>
      <c r="B287" t="inlineStr">
        <is>
          <t>avverkningsanmälan</t>
        </is>
      </c>
      <c r="C287" t="inlineStr">
        <is>
          <t>Föryngringsavverkning</t>
        </is>
      </c>
      <c r="D287" s="1" t="n">
        <v>45695</v>
      </c>
      <c r="E287" s="1" t="n">
        <v>46306</v>
      </c>
      <c r="F287" t="inlineStr">
        <is>
          <t>GOTLANDS LÄN</t>
        </is>
      </c>
      <c r="G287" t="inlineStr">
        <is>
          <t>GOTLAND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33876-2024</t>
        </is>
      </c>
      <c r="B288" t="inlineStr">
        <is>
          <t>avverkningsanmälan</t>
        </is>
      </c>
      <c r="C288" t="inlineStr">
        <is>
          <t>Föryngringsavverkning</t>
        </is>
      </c>
      <c r="D288" s="1" t="n">
        <v>45521</v>
      </c>
      <c r="E288" s="1" t="n">
        <v>46306</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46306</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28285-2024</t>
        </is>
      </c>
      <c r="B290" t="inlineStr">
        <is>
          <t>avverkningsanmälan</t>
        </is>
      </c>
      <c r="C290" t="inlineStr">
        <is>
          <t>Avverkning för annat ändamål</t>
        </is>
      </c>
      <c r="D290" s="1" t="n">
        <v>45477</v>
      </c>
      <c r="E290" s="1" t="n">
        <v>46306</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46306</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61682-2024</t>
        </is>
      </c>
      <c r="B292" t="inlineStr">
        <is>
          <t>avverkningsanmälan</t>
        </is>
      </c>
      <c r="C292" t="inlineStr">
        <is>
          <t>Föryngringsavverkning</t>
        </is>
      </c>
      <c r="D292" s="1" t="n">
        <v>45647</v>
      </c>
      <c r="E292" s="1" t="n">
        <v>46306</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46306</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64969-2023</t>
        </is>
      </c>
      <c r="B294" t="inlineStr">
        <is>
          <t>avverkningsanmälan</t>
        </is>
      </c>
      <c r="C294" t="inlineStr">
        <is>
          <t>Föryngringsavverkning</t>
        </is>
      </c>
      <c r="D294" s="1" t="n">
        <v>45284</v>
      </c>
      <c r="E294" s="1" t="n">
        <v>46306</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48843-2024</t>
        </is>
      </c>
      <c r="B295" t="inlineStr">
        <is>
          <t>avverkningsanmälan</t>
        </is>
      </c>
      <c r="C295" t="inlineStr">
        <is>
          <t>Föryngringsavverkning</t>
        </is>
      </c>
      <c r="D295" s="1" t="n">
        <v>45593</v>
      </c>
      <c r="E295" s="1" t="n">
        <v>46306</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17541-2024</t>
        </is>
      </c>
      <c r="B296" t="inlineStr">
        <is>
          <t>avverkningsanmälan</t>
        </is>
      </c>
      <c r="C296" t="inlineStr">
        <is>
          <t>Föryngringsavverkning</t>
        </is>
      </c>
      <c r="D296" s="1" t="n">
        <v>45415</v>
      </c>
      <c r="E296" s="1" t="n">
        <v>46306</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21389-2025</t>
        </is>
      </c>
      <c r="B297" t="inlineStr">
        <is>
          <t>avverkningsanmälan</t>
        </is>
      </c>
      <c r="C297" t="inlineStr">
        <is>
          <t>Föryngringsavverkning</t>
        </is>
      </c>
      <c r="D297" s="1" t="n">
        <v>45782</v>
      </c>
      <c r="E297" s="1" t="n">
        <v>46306</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43951-2025</t>
        </is>
      </c>
      <c r="B298" t="inlineStr">
        <is>
          <t>avverkningsanmälan</t>
        </is>
      </c>
      <c r="C298" t="inlineStr">
        <is>
          <t>Föryngringsavverkning</t>
        </is>
      </c>
      <c r="D298" s="1" t="n">
        <v>45915</v>
      </c>
      <c r="E298" s="1" t="n">
        <v>46306</v>
      </c>
      <c r="F298" t="inlineStr">
        <is>
          <t>GOTLANDS LÄN</t>
        </is>
      </c>
      <c r="G298" t="inlineStr">
        <is>
          <t>GOTLAND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15434-2024</t>
        </is>
      </c>
      <c r="B299" t="inlineStr">
        <is>
          <t>avverkningsanmälan</t>
        </is>
      </c>
      <c r="C299" t="inlineStr">
        <is>
          <t>Föryngringsavverkning</t>
        </is>
      </c>
      <c r="D299" s="1" t="n">
        <v>45401</v>
      </c>
      <c r="E299" s="1" t="n">
        <v>46306</v>
      </c>
      <c r="F299" t="inlineStr">
        <is>
          <t>GOTLANDS LÄN</t>
        </is>
      </c>
      <c r="G299" t="inlineStr">
        <is>
          <t>GOTLAND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5943-2024</t>
        </is>
      </c>
      <c r="B300" t="inlineStr">
        <is>
          <t>avverkningsanmälan</t>
        </is>
      </c>
      <c r="C300" t="inlineStr">
        <is>
          <t>Avverkning för annat ändamål</t>
        </is>
      </c>
      <c r="D300" s="1" t="n">
        <v>45336</v>
      </c>
      <c r="E300" s="1" t="n">
        <v>46306</v>
      </c>
      <c r="F300" t="inlineStr">
        <is>
          <t>GOTLANDS LÄN</t>
        </is>
      </c>
      <c r="G300" t="inlineStr">
        <is>
          <t>GOTLAND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54073-2022</t>
        </is>
      </c>
      <c r="B301" t="inlineStr">
        <is>
          <t>avverkningsanmälan</t>
        </is>
      </c>
      <c r="C301" t="inlineStr">
        <is>
          <t>Föryngringsavverkning</t>
        </is>
      </c>
      <c r="D301" s="1" t="n">
        <v>44881</v>
      </c>
      <c r="E301" s="1" t="n">
        <v>46306</v>
      </c>
      <c r="F301" t="inlineStr">
        <is>
          <t>GOTLANDS LÄN</t>
        </is>
      </c>
      <c r="G301" t="inlineStr">
        <is>
          <t>GOTLAND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16361-2024</t>
        </is>
      </c>
      <c r="B302" t="inlineStr">
        <is>
          <t>avverkningsanmälan</t>
        </is>
      </c>
      <c r="C302" t="inlineStr">
        <is>
          <t>Föryngringsavverkning</t>
        </is>
      </c>
      <c r="D302" s="1" t="n">
        <v>45407</v>
      </c>
      <c r="E302" s="1" t="n">
        <v>46306</v>
      </c>
      <c r="F302" t="inlineStr">
        <is>
          <t>GOTLANDS LÄN</t>
        </is>
      </c>
      <c r="G302" t="inlineStr">
        <is>
          <t>GOTLAND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41038-2023</t>
        </is>
      </c>
      <c r="B303" t="inlineStr">
        <is>
          <t>avverkningsanmälan</t>
        </is>
      </c>
      <c r="C303" t="inlineStr">
        <is>
          <t>Föryngringsavverkning</t>
        </is>
      </c>
      <c r="D303" s="1" t="n">
        <v>45173</v>
      </c>
      <c r="E303" s="1" t="n">
        <v>46306</v>
      </c>
      <c r="F303" t="inlineStr">
        <is>
          <t>GOTLANDS LÄN</t>
        </is>
      </c>
      <c r="G303" t="inlineStr">
        <is>
          <t>GOTLAND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17688-2024</t>
        </is>
      </c>
      <c r="B304" t="inlineStr">
        <is>
          <t>avverkningsanmälan</t>
        </is>
      </c>
      <c r="C304" t="inlineStr">
        <is>
          <t>Föryngringsavverkning</t>
        </is>
      </c>
      <c r="D304" s="1" t="n">
        <v>45418</v>
      </c>
      <c r="E304" s="1" t="n">
        <v>46306</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46306</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57356-2023</t>
        </is>
      </c>
      <c r="B306" t="inlineStr">
        <is>
          <t>avverkningsanmälan</t>
        </is>
      </c>
      <c r="C306" t="inlineStr">
        <is>
          <t>Föryngringsavverkning</t>
        </is>
      </c>
      <c r="D306" s="1" t="n">
        <v>45240</v>
      </c>
      <c r="E306" s="1" t="n">
        <v>46306</v>
      </c>
      <c r="F306" t="inlineStr">
        <is>
          <t>GOTLANDS LÄN</t>
        </is>
      </c>
      <c r="G306" t="inlineStr">
        <is>
          <t>GOTLAND</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10656-2024</t>
        </is>
      </c>
      <c r="B307" t="inlineStr">
        <is>
          <t>avverkningsanmälan</t>
        </is>
      </c>
      <c r="C307" t="inlineStr">
        <is>
          <t>Föryngringsavverkning</t>
        </is>
      </c>
      <c r="D307" s="1" t="n">
        <v>45368</v>
      </c>
      <c r="E307" s="1" t="n">
        <v>46306</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14427-2024</t>
        </is>
      </c>
      <c r="B308" t="inlineStr">
        <is>
          <t>avverkningsanmälan</t>
        </is>
      </c>
      <c r="C308" t="inlineStr">
        <is>
          <t>Avverkning för att bevara och utveckla /försöksver</t>
        </is>
      </c>
      <c r="D308" s="1" t="n">
        <v>45394</v>
      </c>
      <c r="E308" s="1" t="n">
        <v>46306</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28506-2023</t>
        </is>
      </c>
      <c r="B309" t="inlineStr">
        <is>
          <t>avverkningsanmälan</t>
        </is>
      </c>
      <c r="C309" t="inlineStr">
        <is>
          <t>Avverkning för annat ändamål</t>
        </is>
      </c>
      <c r="D309" s="1" t="n">
        <v>45103</v>
      </c>
      <c r="E309" s="1" t="n">
        <v>46306</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21420-2024</t>
        </is>
      </c>
      <c r="B310" t="inlineStr">
        <is>
          <t>avverkningsanmälan</t>
        </is>
      </c>
      <c r="C310" t="inlineStr">
        <is>
          <t>Föryngringsavverkning</t>
        </is>
      </c>
      <c r="D310" s="1" t="n">
        <v>45441</v>
      </c>
      <c r="E310" s="1" t="n">
        <v>46306</v>
      </c>
      <c r="F310" t="inlineStr">
        <is>
          <t>GOTLANDS LÄN</t>
        </is>
      </c>
      <c r="G310" t="inlineStr">
        <is>
          <t>GOTLAND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46306</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31802-2024</t>
        </is>
      </c>
      <c r="B312" t="inlineStr">
        <is>
          <t>avverkningsanmälan</t>
        </is>
      </c>
      <c r="C312" t="inlineStr">
        <is>
          <t>Avverkning för annat ändamål</t>
        </is>
      </c>
      <c r="D312" s="1" t="n">
        <v>45509</v>
      </c>
      <c r="E312" s="1" t="n">
        <v>46306</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46306</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46306</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35512-2023</t>
        </is>
      </c>
      <c r="B315" t="inlineStr">
        <is>
          <t>avverkningsanmälan</t>
        </is>
      </c>
      <c r="C315" t="inlineStr">
        <is>
          <t>Föryngringsavverkning</t>
        </is>
      </c>
      <c r="D315" s="1" t="n">
        <v>45147</v>
      </c>
      <c r="E315" s="1" t="n">
        <v>46306</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5905-2024</t>
        </is>
      </c>
      <c r="B316" t="inlineStr">
        <is>
          <t>avverkningsanmälan</t>
        </is>
      </c>
      <c r="C316" t="inlineStr">
        <is>
          <t>Föryngringsavverkning</t>
        </is>
      </c>
      <c r="D316" s="1" t="n">
        <v>45335</v>
      </c>
      <c r="E316" s="1" t="n">
        <v>46306</v>
      </c>
      <c r="F316" t="inlineStr">
        <is>
          <t>GOTLANDS LÄN</t>
        </is>
      </c>
      <c r="G316" t="inlineStr">
        <is>
          <t>GOTLAND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6749-2025</t>
        </is>
      </c>
      <c r="B317" t="inlineStr">
        <is>
          <t>avverkningsanmälan</t>
        </is>
      </c>
      <c r="C317" t="inlineStr">
        <is>
          <t>Föryngringsavverkning</t>
        </is>
      </c>
      <c r="D317" s="1" t="n">
        <v>45700</v>
      </c>
      <c r="E317" s="1" t="n">
        <v>46306</v>
      </c>
      <c r="F317" t="inlineStr">
        <is>
          <t>GOTLANDS LÄN</t>
        </is>
      </c>
      <c r="G317" t="inlineStr">
        <is>
          <t>GOTLAND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1291-2023</t>
        </is>
      </c>
      <c r="B318" t="inlineStr">
        <is>
          <t>avverkningsanmälan</t>
        </is>
      </c>
      <c r="C318" t="inlineStr">
        <is>
          <t>Föryngringsavverkning</t>
        </is>
      </c>
      <c r="D318" s="1" t="n">
        <v>44936</v>
      </c>
      <c r="E318" s="1" t="n">
        <v>46306</v>
      </c>
      <c r="F318" t="inlineStr">
        <is>
          <t>GOTLANDS LÄN</t>
        </is>
      </c>
      <c r="G318" t="inlineStr">
        <is>
          <t>GOTLAND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46949-2024</t>
        </is>
      </c>
      <c r="B319" t="inlineStr">
        <is>
          <t>avverkningsanmälan</t>
        </is>
      </c>
      <c r="C319" t="inlineStr">
        <is>
          <t>Föryngringsavverkning</t>
        </is>
      </c>
      <c r="D319" s="1" t="n">
        <v>45585</v>
      </c>
      <c r="E319" s="1" t="n">
        <v>46306</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23698-2025</t>
        </is>
      </c>
      <c r="B320" t="inlineStr">
        <is>
          <t>avverkningsanmälan</t>
        </is>
      </c>
      <c r="C320" t="inlineStr">
        <is>
          <t>Föryngringsavverkning</t>
        </is>
      </c>
      <c r="D320" s="1" t="n">
        <v>45793</v>
      </c>
      <c r="E320" s="1" t="n">
        <v>46306</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46306</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46306</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47637-2025</t>
        </is>
      </c>
      <c r="B323" t="inlineStr">
        <is>
          <t>avverkningsanmälan</t>
        </is>
      </c>
      <c r="C323" t="inlineStr">
        <is>
          <t>Föryngringsavverkning</t>
        </is>
      </c>
      <c r="D323" s="1" t="n">
        <v>45931</v>
      </c>
      <c r="E323" s="1" t="n">
        <v>46306</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46306</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46306</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5462-2025</t>
        </is>
      </c>
      <c r="B326" t="inlineStr">
        <is>
          <t>avverkningsanmälan</t>
        </is>
      </c>
      <c r="C326" t="inlineStr">
        <is>
          <t>Föryngringsavverkning</t>
        </is>
      </c>
      <c r="D326" s="1" t="n">
        <v>45693</v>
      </c>
      <c r="E326" s="1" t="n">
        <v>46306</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8484-2025</t>
        </is>
      </c>
      <c r="B327" t="inlineStr">
        <is>
          <t>avverkningsanmälan</t>
        </is>
      </c>
      <c r="C327" t="inlineStr">
        <is>
          <t>Avverkning för annat ändamål</t>
        </is>
      </c>
      <c r="D327" s="1" t="n">
        <v>45709</v>
      </c>
      <c r="E327" s="1" t="n">
        <v>46306</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7636-2025</t>
        </is>
      </c>
      <c r="B328" t="inlineStr">
        <is>
          <t>avverkningsanmälan</t>
        </is>
      </c>
      <c r="C328" t="inlineStr">
        <is>
          <t>Föryngringsavverkning</t>
        </is>
      </c>
      <c r="D328" s="1" t="n">
        <v>45705</v>
      </c>
      <c r="E328" s="1" t="n">
        <v>46306</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7639-2025</t>
        </is>
      </c>
      <c r="B329" t="inlineStr">
        <is>
          <t>avverkningsanmälan</t>
        </is>
      </c>
      <c r="C329" t="inlineStr">
        <is>
          <t>Föryngringsavverkning</t>
        </is>
      </c>
      <c r="D329" s="1" t="n">
        <v>45705</v>
      </c>
      <c r="E329" s="1" t="n">
        <v>46306</v>
      </c>
      <c r="F329" t="inlineStr">
        <is>
          <t>GOTLANDS LÄN</t>
        </is>
      </c>
      <c r="G329" t="inlineStr">
        <is>
          <t>GOTLAND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46306</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46306</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46306</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20356-2022</t>
        </is>
      </c>
      <c r="B333" t="inlineStr">
        <is>
          <t>avverkningsanmälan</t>
        </is>
      </c>
      <c r="C333" t="inlineStr">
        <is>
          <t>Avverkning för annat ändamål</t>
        </is>
      </c>
      <c r="D333" s="1" t="n">
        <v>44699</v>
      </c>
      <c r="E333" s="1" t="n">
        <v>46306</v>
      </c>
      <c r="F333" t="inlineStr">
        <is>
          <t>GOTLANDS LÄN</t>
        </is>
      </c>
      <c r="G333" t="inlineStr">
        <is>
          <t>GOTLAND</t>
        </is>
      </c>
      <c r="H333" t="inlineStr">
        <is>
          <t>Övriga Aktiebolag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48734-2022</t>
        </is>
      </c>
      <c r="B334" t="inlineStr">
        <is>
          <t>avverkningsanmälan</t>
        </is>
      </c>
      <c r="C334" t="inlineStr">
        <is>
          <t>Föryngringsavverkning</t>
        </is>
      </c>
      <c r="D334" s="1" t="n">
        <v>44855</v>
      </c>
      <c r="E334" s="1" t="n">
        <v>46306</v>
      </c>
      <c r="F334" t="inlineStr">
        <is>
          <t>GOTLANDS LÄN</t>
        </is>
      </c>
      <c r="G334" t="inlineStr">
        <is>
          <t>GOTLAND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49874-2024</t>
        </is>
      </c>
      <c r="B335" t="inlineStr">
        <is>
          <t>avverkningsanmälan</t>
        </is>
      </c>
      <c r="C335" t="inlineStr">
        <is>
          <t>Föryngringsavverkning</t>
        </is>
      </c>
      <c r="D335" s="1" t="n">
        <v>45597</v>
      </c>
      <c r="E335" s="1" t="n">
        <v>46306</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46400-2023</t>
        </is>
      </c>
      <c r="B336" t="inlineStr">
        <is>
          <t>avverkningsanmälan</t>
        </is>
      </c>
      <c r="C336" t="inlineStr">
        <is>
          <t>Föryngringsavverkning</t>
        </is>
      </c>
      <c r="D336" s="1" t="n">
        <v>45197</v>
      </c>
      <c r="E336" s="1" t="n">
        <v>46306</v>
      </c>
      <c r="F336" t="inlineStr">
        <is>
          <t>GOTLANDS LÄN</t>
        </is>
      </c>
      <c r="G336" t="inlineStr">
        <is>
          <t>GOTLAND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46306</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46306</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57685-2022</t>
        </is>
      </c>
      <c r="B339" t="inlineStr">
        <is>
          <t>avverkningsanmälan</t>
        </is>
      </c>
      <c r="C339" t="inlineStr">
        <is>
          <t>Föryngringsavverkning</t>
        </is>
      </c>
      <c r="D339" s="1" t="n">
        <v>44897</v>
      </c>
      <c r="E339" s="1" t="n">
        <v>46306</v>
      </c>
      <c r="F339" t="inlineStr">
        <is>
          <t>GOTLANDS LÄN</t>
        </is>
      </c>
      <c r="G339" t="inlineStr">
        <is>
          <t>GOTLAND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46306</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49730-2025</t>
        </is>
      </c>
      <c r="B341" t="inlineStr">
        <is>
          <t>avverkningsanmälan</t>
        </is>
      </c>
      <c r="C341" t="inlineStr">
        <is>
          <t>Föryngringsavverkning</t>
        </is>
      </c>
      <c r="D341" s="1" t="n">
        <v>45939</v>
      </c>
      <c r="E341" s="1" t="n">
        <v>46306</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30815-2023</t>
        </is>
      </c>
      <c r="B342" t="inlineStr">
        <is>
          <t>avverkningsanmälan</t>
        </is>
      </c>
      <c r="C342" t="inlineStr">
        <is>
          <t>Avverkning för annat ändamål</t>
        </is>
      </c>
      <c r="D342" s="1" t="n">
        <v>45112</v>
      </c>
      <c r="E342" s="1" t="n">
        <v>46306</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46306</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22897-2023</t>
        </is>
      </c>
      <c r="B344" t="inlineStr">
        <is>
          <t>avverkningsanmälan</t>
        </is>
      </c>
      <c r="C344" t="inlineStr">
        <is>
          <t>Föryngringsavverkning</t>
        </is>
      </c>
      <c r="D344" s="1" t="n">
        <v>45072</v>
      </c>
      <c r="E344" s="1" t="n">
        <v>46306</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46306</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61897-2024</t>
        </is>
      </c>
      <c r="B346" t="inlineStr">
        <is>
          <t>avverkningsanmälan</t>
        </is>
      </c>
      <c r="C346" t="inlineStr">
        <is>
          <t>Föryngringsavverkning</t>
        </is>
      </c>
      <c r="D346" s="1" t="n">
        <v>45652</v>
      </c>
      <c r="E346" s="1" t="n">
        <v>46306</v>
      </c>
      <c r="F346" t="inlineStr">
        <is>
          <t>GOTLANDS LÄN</t>
        </is>
      </c>
      <c r="G346" t="inlineStr">
        <is>
          <t>GOTLAND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23516-2023</t>
        </is>
      </c>
      <c r="B347" t="inlineStr">
        <is>
          <t>avverkningsanmälan</t>
        </is>
      </c>
      <c r="C347" t="inlineStr">
        <is>
          <t>Föryngringsavverkning</t>
        </is>
      </c>
      <c r="D347" s="1" t="n">
        <v>45076</v>
      </c>
      <c r="E347" s="1" t="n">
        <v>46306</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7850-2025</t>
        </is>
      </c>
      <c r="B348" t="inlineStr">
        <is>
          <t>avverkningsanmälan</t>
        </is>
      </c>
      <c r="C348" t="inlineStr">
        <is>
          <t>Föryngringsavverkning</t>
        </is>
      </c>
      <c r="D348" s="1" t="n">
        <v>45706</v>
      </c>
      <c r="E348" s="1" t="n">
        <v>46306</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63763-2023</t>
        </is>
      </c>
      <c r="B349" t="inlineStr">
        <is>
          <t>avverkningsanmälan</t>
        </is>
      </c>
      <c r="C349" t="inlineStr">
        <is>
          <t>Föryngringsavverkning</t>
        </is>
      </c>
      <c r="D349" s="1" t="n">
        <v>45278</v>
      </c>
      <c r="E349" s="1" t="n">
        <v>46306</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8444-2025</t>
        </is>
      </c>
      <c r="B350" t="inlineStr">
        <is>
          <t>avverkningsanmälan</t>
        </is>
      </c>
      <c r="C350" t="inlineStr">
        <is>
          <t>Föryngringsavverkning</t>
        </is>
      </c>
      <c r="D350" s="1" t="n">
        <v>45709</v>
      </c>
      <c r="E350" s="1" t="n">
        <v>46306</v>
      </c>
      <c r="F350" t="inlineStr">
        <is>
          <t>GOTLANDS LÄN</t>
        </is>
      </c>
      <c r="G350" t="inlineStr">
        <is>
          <t>GOTLAND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20165-2022</t>
        </is>
      </c>
      <c r="B351" t="inlineStr">
        <is>
          <t>avverkningsanmälan</t>
        </is>
      </c>
      <c r="C351" t="inlineStr">
        <is>
          <t>Föryngringsavverkning</t>
        </is>
      </c>
      <c r="D351" s="1" t="n">
        <v>44698</v>
      </c>
      <c r="E351" s="1" t="n">
        <v>46306</v>
      </c>
      <c r="F351" t="inlineStr">
        <is>
          <t>GOTLANDS LÄN</t>
        </is>
      </c>
      <c r="G351" t="inlineStr">
        <is>
          <t>GOTLAND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46306</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12032-2025</t>
        </is>
      </c>
      <c r="B353" t="inlineStr">
        <is>
          <t>avverkningsanmälan</t>
        </is>
      </c>
      <c r="C353" t="inlineStr">
        <is>
          <t>Föryngringsavverkning</t>
        </is>
      </c>
      <c r="D353" s="1" t="n">
        <v>45728</v>
      </c>
      <c r="E353" s="1" t="n">
        <v>46306</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38787-2023</t>
        </is>
      </c>
      <c r="B354" t="inlineStr">
        <is>
          <t>avverkningsanmälan</t>
        </is>
      </c>
      <c r="C354" t="inlineStr">
        <is>
          <t>Föryngringsavverkning</t>
        </is>
      </c>
      <c r="D354" s="1" t="n">
        <v>45163</v>
      </c>
      <c r="E354" s="1" t="n">
        <v>46306</v>
      </c>
      <c r="F354" t="inlineStr">
        <is>
          <t>GOTLANDS LÄN</t>
        </is>
      </c>
      <c r="G354" t="inlineStr">
        <is>
          <t>GOTLAND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43231-2023</t>
        </is>
      </c>
      <c r="B355" t="inlineStr">
        <is>
          <t>avverkningsanmälan</t>
        </is>
      </c>
      <c r="C355" t="inlineStr">
        <is>
          <t>Föryngringsavverkning</t>
        </is>
      </c>
      <c r="D355" s="1" t="n">
        <v>45183</v>
      </c>
      <c r="E355" s="1" t="n">
        <v>46306</v>
      </c>
      <c r="F355" t="inlineStr">
        <is>
          <t>GOTLANDS LÄN</t>
        </is>
      </c>
      <c r="G355" t="inlineStr">
        <is>
          <t>GOTLAND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58160-2024</t>
        </is>
      </c>
      <c r="B356" t="inlineStr">
        <is>
          <t>avverkningsanmälan</t>
        </is>
      </c>
      <c r="C356" t="inlineStr">
        <is>
          <t>Föryngringsavverkning</t>
        </is>
      </c>
      <c r="D356" s="1" t="n">
        <v>45632</v>
      </c>
      <c r="E356" s="1" t="n">
        <v>46306</v>
      </c>
      <c r="F356" t="inlineStr">
        <is>
          <t>GOTLANDS LÄN</t>
        </is>
      </c>
      <c r="G356" t="inlineStr">
        <is>
          <t>GOTLAND</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17532-2024</t>
        </is>
      </c>
      <c r="B357" t="inlineStr">
        <is>
          <t>avverkningsanmälan</t>
        </is>
      </c>
      <c r="C357" t="inlineStr">
        <is>
          <t>Föryngringsavverkning</t>
        </is>
      </c>
      <c r="D357" s="1" t="n">
        <v>45415</v>
      </c>
      <c r="E357" s="1" t="n">
        <v>46306</v>
      </c>
      <c r="F357" t="inlineStr">
        <is>
          <t>GOTLANDS LÄN</t>
        </is>
      </c>
      <c r="G357" t="inlineStr">
        <is>
          <t>GOTLAND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1734-2025</t>
        </is>
      </c>
      <c r="B358" t="inlineStr">
        <is>
          <t>avverkningsanmälan</t>
        </is>
      </c>
      <c r="C358" t="inlineStr">
        <is>
          <t>Föryngringsavverkning</t>
        </is>
      </c>
      <c r="D358" s="1" t="n">
        <v>45671</v>
      </c>
      <c r="E358" s="1" t="n">
        <v>46306</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20993-2023</t>
        </is>
      </c>
      <c r="B359" t="inlineStr">
        <is>
          <t>avverkningsanmälan</t>
        </is>
      </c>
      <c r="C359" t="inlineStr">
        <is>
          <t>Föryngringsavverkning</t>
        </is>
      </c>
      <c r="D359" s="1" t="n">
        <v>45056</v>
      </c>
      <c r="E359" s="1" t="n">
        <v>46306</v>
      </c>
      <c r="F359" t="inlineStr">
        <is>
          <t>GOTLANDS LÄN</t>
        </is>
      </c>
      <c r="G359" t="inlineStr">
        <is>
          <t>GOTLAND</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12596-2023</t>
        </is>
      </c>
      <c r="B360" t="inlineStr">
        <is>
          <t>avverkningsanmälan</t>
        </is>
      </c>
      <c r="C360" t="inlineStr">
        <is>
          <t>Föryngringsavverkning</t>
        </is>
      </c>
      <c r="D360" s="1" t="n">
        <v>45000</v>
      </c>
      <c r="E360" s="1" t="n">
        <v>46306</v>
      </c>
      <c r="F360" t="inlineStr">
        <is>
          <t>GOTLANDS LÄN</t>
        </is>
      </c>
      <c r="G360" t="inlineStr">
        <is>
          <t>GOTLAND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2125-2025</t>
        </is>
      </c>
      <c r="B361" t="inlineStr">
        <is>
          <t>avverkningsanmälan</t>
        </is>
      </c>
      <c r="C361" t="inlineStr">
        <is>
          <t>Föryngringsavverkning</t>
        </is>
      </c>
      <c r="D361" s="1" t="n">
        <v>45672</v>
      </c>
      <c r="E361" s="1" t="n">
        <v>46306</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12155-2023</t>
        </is>
      </c>
      <c r="B362" t="inlineStr">
        <is>
          <t>avverkningsanmälan</t>
        </is>
      </c>
      <c r="C362" t="inlineStr">
        <is>
          <t>Föryngringsavverkning</t>
        </is>
      </c>
      <c r="D362" s="1" t="n">
        <v>44998</v>
      </c>
      <c r="E362" s="1" t="n">
        <v>46306</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46306</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46306</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16109-2025</t>
        </is>
      </c>
      <c r="B365" t="inlineStr">
        <is>
          <t>avverkningsanmälan</t>
        </is>
      </c>
      <c r="C365" t="inlineStr">
        <is>
          <t>Avverkning för annat ändamål</t>
        </is>
      </c>
      <c r="D365" s="1" t="n">
        <v>45750</v>
      </c>
      <c r="E365" s="1" t="n">
        <v>46306</v>
      </c>
      <c r="F365" t="inlineStr">
        <is>
          <t>GOTLANDS LÄN</t>
        </is>
      </c>
      <c r="G365" t="inlineStr">
        <is>
          <t>GOTLAND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38234-2023</t>
        </is>
      </c>
      <c r="B366" t="inlineStr">
        <is>
          <t>avverkningsanmälan</t>
        </is>
      </c>
      <c r="C366" t="inlineStr">
        <is>
          <t>Föryngringsavverkning</t>
        </is>
      </c>
      <c r="D366" s="1" t="n">
        <v>45161</v>
      </c>
      <c r="E366" s="1" t="n">
        <v>46306</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50744-2024</t>
        </is>
      </c>
      <c r="B367" t="inlineStr">
        <is>
          <t>avverkningsanmälan</t>
        </is>
      </c>
      <c r="C367" t="inlineStr">
        <is>
          <t>Föryngringsavverkning</t>
        </is>
      </c>
      <c r="D367" s="1" t="n">
        <v>45602</v>
      </c>
      <c r="E367" s="1" t="n">
        <v>46306</v>
      </c>
      <c r="F367" t="inlineStr">
        <is>
          <t>GOTLANDS LÄN</t>
        </is>
      </c>
      <c r="G367" t="inlineStr">
        <is>
          <t>GOTLAND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1446-2025</t>
        </is>
      </c>
      <c r="B368" t="inlineStr">
        <is>
          <t>avverkningsanmälan</t>
        </is>
      </c>
      <c r="C368" t="inlineStr">
        <is>
          <t>Föryngringsavverkning</t>
        </is>
      </c>
      <c r="D368" s="1" t="n">
        <v>45669</v>
      </c>
      <c r="E368" s="1" t="n">
        <v>46306</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42338-2023</t>
        </is>
      </c>
      <c r="B369" t="inlineStr">
        <is>
          <t>avverkningsanmälan</t>
        </is>
      </c>
      <c r="C369" t="inlineStr">
        <is>
          <t>Föryngringsavverkning</t>
        </is>
      </c>
      <c r="D369" s="1" t="n">
        <v>45180</v>
      </c>
      <c r="E369" s="1" t="n">
        <v>46306</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35123-2025</t>
        </is>
      </c>
      <c r="B370" t="inlineStr">
        <is>
          <t>avverkningsanmälan</t>
        </is>
      </c>
      <c r="C370" t="inlineStr">
        <is>
          <t>Föryngringsavverkning</t>
        </is>
      </c>
      <c r="D370" s="1" t="n">
        <v>45852</v>
      </c>
      <c r="E370" s="1" t="n">
        <v>46306</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43901-2023</t>
        </is>
      </c>
      <c r="B371" t="inlineStr">
        <is>
          <t>avverkningsanmälan</t>
        </is>
      </c>
      <c r="C371" t="inlineStr">
        <is>
          <t>Föryngringsavverkning</t>
        </is>
      </c>
      <c r="D371" s="1" t="n">
        <v>45187</v>
      </c>
      <c r="E371" s="1" t="n">
        <v>46306</v>
      </c>
      <c r="F371" t="inlineStr">
        <is>
          <t>GOTLANDS LÄN</t>
        </is>
      </c>
      <c r="G371" t="inlineStr">
        <is>
          <t>GOTLAND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32669-2024</t>
        </is>
      </c>
      <c r="B372" t="inlineStr">
        <is>
          <t>avverkningsanmälan</t>
        </is>
      </c>
      <c r="C372" t="inlineStr">
        <is>
          <t>Föryngringsavverkning</t>
        </is>
      </c>
      <c r="D372" s="1" t="n">
        <v>45514</v>
      </c>
      <c r="E372" s="1" t="n">
        <v>46306</v>
      </c>
      <c r="F372" t="inlineStr">
        <is>
          <t>GOTLANDS LÄN</t>
        </is>
      </c>
      <c r="G372" t="inlineStr">
        <is>
          <t>GOTLAND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10746-2025</t>
        </is>
      </c>
      <c r="B373" t="inlineStr">
        <is>
          <t>avverkningsanmälan</t>
        </is>
      </c>
      <c r="C373" t="inlineStr">
        <is>
          <t>Föryngringsavverkning</t>
        </is>
      </c>
      <c r="D373" s="1" t="n">
        <v>45722</v>
      </c>
      <c r="E373" s="1" t="n">
        <v>46306</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16501-2023</t>
        </is>
      </c>
      <c r="B374" t="inlineStr">
        <is>
          <t>avverkningsanmälan</t>
        </is>
      </c>
      <c r="C374" t="inlineStr">
        <is>
          <t>Avverkning för att bevara och utveckla /försöksver</t>
        </is>
      </c>
      <c r="D374" s="1" t="n">
        <v>45029</v>
      </c>
      <c r="E374" s="1" t="n">
        <v>46306</v>
      </c>
      <c r="F374" t="inlineStr">
        <is>
          <t>GOTLANDS LÄN</t>
        </is>
      </c>
      <c r="G374" t="inlineStr">
        <is>
          <t>GOTLAND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56799-2025</t>
        </is>
      </c>
      <c r="B375" t="inlineStr">
        <is>
          <t>avverkningsanmälan</t>
        </is>
      </c>
      <c r="C375" t="inlineStr">
        <is>
          <t>Föryngringsavverkning</t>
        </is>
      </c>
      <c r="D375" s="1" t="n">
        <v>45978</v>
      </c>
      <c r="E375" s="1" t="n">
        <v>46306</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15216-2025</t>
        </is>
      </c>
      <c r="B376" t="inlineStr">
        <is>
          <t>avverkningsanmälan</t>
        </is>
      </c>
      <c r="C376" t="inlineStr">
        <is>
          <t>Föryngringsavverkning</t>
        </is>
      </c>
      <c r="D376" s="1" t="n">
        <v>45744</v>
      </c>
      <c r="E376" s="1" t="n">
        <v>46306</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43790-2024</t>
        </is>
      </c>
      <c r="B377" t="inlineStr">
        <is>
          <t>avverkningsanmälan</t>
        </is>
      </c>
      <c r="C377" t="inlineStr">
        <is>
          <t>Föryngringsavverkning</t>
        </is>
      </c>
      <c r="D377" s="1" t="n">
        <v>45571</v>
      </c>
      <c r="E377" s="1" t="n">
        <v>46306</v>
      </c>
      <c r="F377" t="inlineStr">
        <is>
          <t>GOTLANDS LÄN</t>
        </is>
      </c>
      <c r="G377" t="inlineStr">
        <is>
          <t>GOTLAND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15001-2025</t>
        </is>
      </c>
      <c r="B378" t="inlineStr">
        <is>
          <t>avverkningsanmälan</t>
        </is>
      </c>
      <c r="C378" t="inlineStr">
        <is>
          <t>Föryngringsavverkning</t>
        </is>
      </c>
      <c r="D378" s="1" t="n">
        <v>45743</v>
      </c>
      <c r="E378" s="1" t="n">
        <v>46306</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46306</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30488-2025</t>
        </is>
      </c>
      <c r="B380" t="inlineStr">
        <is>
          <t>avverkningsanmälan</t>
        </is>
      </c>
      <c r="C380" t="inlineStr">
        <is>
          <t>Föryngringsavverkning</t>
        </is>
      </c>
      <c r="D380" s="1" t="n">
        <v>45830</v>
      </c>
      <c r="E380" s="1" t="n">
        <v>46306</v>
      </c>
      <c r="F380" t="inlineStr">
        <is>
          <t>GOTLANDS LÄN</t>
        </is>
      </c>
      <c r="G380" t="inlineStr">
        <is>
          <t>GOTLAND</t>
        </is>
      </c>
      <c r="H380" t="inlineStr">
        <is>
          <t>Kyrkan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17847-2025</t>
        </is>
      </c>
      <c r="B381" t="inlineStr">
        <is>
          <t>avverkningsanmälan</t>
        </is>
      </c>
      <c r="C381" t="inlineStr">
        <is>
          <t>Föryngringsavverkning</t>
        </is>
      </c>
      <c r="D381" s="1" t="n">
        <v>45758</v>
      </c>
      <c r="E381" s="1" t="n">
        <v>46306</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10492-2023</t>
        </is>
      </c>
      <c r="B382" t="inlineStr">
        <is>
          <t>avverkningsanmälan</t>
        </is>
      </c>
      <c r="C382" t="inlineStr">
        <is>
          <t>Föryngringsavverkning</t>
        </is>
      </c>
      <c r="D382" s="1" t="n">
        <v>44987</v>
      </c>
      <c r="E382" s="1" t="n">
        <v>46306</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18742-2025</t>
        </is>
      </c>
      <c r="B383" t="inlineStr">
        <is>
          <t>avverkningsanmälan</t>
        </is>
      </c>
      <c r="C383" t="inlineStr">
        <is>
          <t>Avverkning för annat ändamål</t>
        </is>
      </c>
      <c r="D383" s="1" t="n">
        <v>45763</v>
      </c>
      <c r="E383" s="1" t="n">
        <v>46306</v>
      </c>
      <c r="F383" t="inlineStr">
        <is>
          <t>GOTLANDS LÄN</t>
        </is>
      </c>
      <c r="G383" t="inlineStr">
        <is>
          <t>GOTLAND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35129-2025</t>
        </is>
      </c>
      <c r="B384" t="inlineStr">
        <is>
          <t>avverkningsanmälan</t>
        </is>
      </c>
      <c r="C384" t="inlineStr">
        <is>
          <t>Föryngringsavverkning</t>
        </is>
      </c>
      <c r="D384" s="1" t="n">
        <v>45852</v>
      </c>
      <c r="E384" s="1" t="n">
        <v>46306</v>
      </c>
      <c r="F384" t="inlineStr">
        <is>
          <t>GOTLANDS LÄN</t>
        </is>
      </c>
      <c r="G384" t="inlineStr">
        <is>
          <t>GOTLAND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10653-2023</t>
        </is>
      </c>
      <c r="B385" t="inlineStr">
        <is>
          <t>avverkningsanmälan</t>
        </is>
      </c>
      <c r="C385" t="inlineStr">
        <is>
          <t>Föryngringsavverkning</t>
        </is>
      </c>
      <c r="D385" s="1" t="n">
        <v>44988</v>
      </c>
      <c r="E385" s="1" t="n">
        <v>46306</v>
      </c>
      <c r="F385" t="inlineStr">
        <is>
          <t>GOTLANDS LÄN</t>
        </is>
      </c>
      <c r="G385" t="inlineStr">
        <is>
          <t>GOTLAND</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4990-2025</t>
        </is>
      </c>
      <c r="B386" t="inlineStr">
        <is>
          <t>avverkningsanmälan</t>
        </is>
      </c>
      <c r="C386" t="inlineStr">
        <is>
          <t>Föryngringsavverkning</t>
        </is>
      </c>
      <c r="D386" s="1" t="n">
        <v>45691</v>
      </c>
      <c r="E386" s="1" t="n">
        <v>46306</v>
      </c>
      <c r="F386" t="inlineStr">
        <is>
          <t>GOTLANDS LÄN</t>
        </is>
      </c>
      <c r="G386" t="inlineStr">
        <is>
          <t>GOTLAND</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873-2024</t>
        </is>
      </c>
      <c r="B387" t="inlineStr">
        <is>
          <t>avverkningsanmälan</t>
        </is>
      </c>
      <c r="C387" t="inlineStr">
        <is>
          <t>Avverkning för annat ändamål</t>
        </is>
      </c>
      <c r="D387" s="1" t="n">
        <v>45301</v>
      </c>
      <c r="E387" s="1" t="n">
        <v>46306</v>
      </c>
      <c r="F387" t="inlineStr">
        <is>
          <t>GOTLANDS LÄN</t>
        </is>
      </c>
      <c r="G387" t="inlineStr">
        <is>
          <t>GOTLAND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22275-2023</t>
        </is>
      </c>
      <c r="B388" t="inlineStr">
        <is>
          <t>avverkningsanmälan</t>
        </is>
      </c>
      <c r="C388" t="inlineStr">
        <is>
          <t>Föryngringsavverkning</t>
        </is>
      </c>
      <c r="D388" s="1" t="n">
        <v>45070</v>
      </c>
      <c r="E388" s="1" t="n">
        <v>46306</v>
      </c>
      <c r="F388" t="inlineStr">
        <is>
          <t>GOTLANDS LÄN</t>
        </is>
      </c>
      <c r="G388" t="inlineStr">
        <is>
          <t>GOTLAND</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12322-2025</t>
        </is>
      </c>
      <c r="B389" t="inlineStr">
        <is>
          <t>avverkningsanmälan</t>
        </is>
      </c>
      <c r="C389" t="inlineStr">
        <is>
          <t>Föryngringsavverkning</t>
        </is>
      </c>
      <c r="D389" s="1" t="n">
        <v>45730</v>
      </c>
      <c r="E389" s="1" t="n">
        <v>46306</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46306</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5884-2025</t>
        </is>
      </c>
      <c r="B391" t="inlineStr">
        <is>
          <t>avverkningsanmälan</t>
        </is>
      </c>
      <c r="C391" t="inlineStr">
        <is>
          <t>Föryngringsavverkning</t>
        </is>
      </c>
      <c r="D391" s="1" t="n">
        <v>45695</v>
      </c>
      <c r="E391" s="1" t="n">
        <v>46306</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5897-2025</t>
        </is>
      </c>
      <c r="B392" t="inlineStr">
        <is>
          <t>avverkningsanmälan</t>
        </is>
      </c>
      <c r="C392" t="inlineStr">
        <is>
          <t>Föryngringsavverkning</t>
        </is>
      </c>
      <c r="D392" s="1" t="n">
        <v>45695</v>
      </c>
      <c r="E392" s="1" t="n">
        <v>46306</v>
      </c>
      <c r="F392" t="inlineStr">
        <is>
          <t>GOTLANDS LÄN</t>
        </is>
      </c>
      <c r="G392" t="inlineStr">
        <is>
          <t>GOTLAND</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46306</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46306</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6108-2025</t>
        </is>
      </c>
      <c r="B395" t="inlineStr">
        <is>
          <t>avverkningsanmälan</t>
        </is>
      </c>
      <c r="C395" t="inlineStr">
        <is>
          <t>Föryngringsavverkning</t>
        </is>
      </c>
      <c r="D395" s="1" t="n">
        <v>45698</v>
      </c>
      <c r="E395" s="1" t="n">
        <v>46306</v>
      </c>
      <c r="F395" t="inlineStr">
        <is>
          <t>GOTLANDS LÄN</t>
        </is>
      </c>
      <c r="G395" t="inlineStr">
        <is>
          <t>GOTLAND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21142-2025</t>
        </is>
      </c>
      <c r="B396" t="inlineStr">
        <is>
          <t>avverkningsanmälan</t>
        </is>
      </c>
      <c r="C396" t="inlineStr">
        <is>
          <t>Föryngringsavverkning</t>
        </is>
      </c>
      <c r="D396" s="1" t="n">
        <v>45779</v>
      </c>
      <c r="E396" s="1" t="n">
        <v>46306</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61596-2023</t>
        </is>
      </c>
      <c r="B397" t="inlineStr">
        <is>
          <t>avverkningsanmälan</t>
        </is>
      </c>
      <c r="C397" t="inlineStr">
        <is>
          <t>Föryngringsavverkning</t>
        </is>
      </c>
      <c r="D397" s="1" t="n">
        <v>45265</v>
      </c>
      <c r="E397" s="1" t="n">
        <v>46306</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49697-2023</t>
        </is>
      </c>
      <c r="B398" t="inlineStr">
        <is>
          <t>avverkningsanmälan</t>
        </is>
      </c>
      <c r="C398" t="inlineStr">
        <is>
          <t>Föryngringsavverkning</t>
        </is>
      </c>
      <c r="D398" s="1" t="n">
        <v>45212</v>
      </c>
      <c r="E398" s="1" t="n">
        <v>46306</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18938-2025</t>
        </is>
      </c>
      <c r="B399" t="inlineStr">
        <is>
          <t>avverkningsanmälan</t>
        </is>
      </c>
      <c r="C399" t="inlineStr">
        <is>
          <t>Föryngringsavverkning</t>
        </is>
      </c>
      <c r="D399" s="1" t="n">
        <v>45764</v>
      </c>
      <c r="E399" s="1" t="n">
        <v>46306</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60675-2021</t>
        </is>
      </c>
      <c r="B400" t="inlineStr">
        <is>
          <t>avverkningsanmälan</t>
        </is>
      </c>
      <c r="C400" t="inlineStr">
        <is>
          <t>Föryngringsavverkning</t>
        </is>
      </c>
      <c r="D400" s="1" t="n">
        <v>44496</v>
      </c>
      <c r="E400" s="1" t="n">
        <v>46306</v>
      </c>
      <c r="F400" t="inlineStr">
        <is>
          <t>GOTLANDS LÄN</t>
        </is>
      </c>
      <c r="G400" t="inlineStr">
        <is>
          <t>GOTLAND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20307-2025</t>
        </is>
      </c>
      <c r="B401" t="inlineStr">
        <is>
          <t>avverkningsanmälan</t>
        </is>
      </c>
      <c r="C401" t="inlineStr">
        <is>
          <t>Föryngringsavverkning</t>
        </is>
      </c>
      <c r="D401" s="1" t="n">
        <v>45774</v>
      </c>
      <c r="E401" s="1" t="n">
        <v>46306</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17901-2023</t>
        </is>
      </c>
      <c r="B402" t="inlineStr">
        <is>
          <t>avverkningsanmälan</t>
        </is>
      </c>
      <c r="C402" t="inlineStr">
        <is>
          <t>Föryngringsavverkning</t>
        </is>
      </c>
      <c r="D402" s="1" t="n">
        <v>45039</v>
      </c>
      <c r="E402" s="1" t="n">
        <v>46306</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37728-2024</t>
        </is>
      </c>
      <c r="B403" t="inlineStr">
        <is>
          <t>avverkningsanmälan</t>
        </is>
      </c>
      <c r="C403" t="inlineStr">
        <is>
          <t>Föryngringsavverkning</t>
        </is>
      </c>
      <c r="D403" s="1" t="n">
        <v>45541</v>
      </c>
      <c r="E403" s="1" t="n">
        <v>46306</v>
      </c>
      <c r="F403" t="inlineStr">
        <is>
          <t>GOTLANDS LÄN</t>
        </is>
      </c>
      <c r="G403" t="inlineStr">
        <is>
          <t>GOTLAND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46306</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46306</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46306</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46396-2023</t>
        </is>
      </c>
      <c r="B407" t="inlineStr">
        <is>
          <t>avverkningsanmälan</t>
        </is>
      </c>
      <c r="C407" t="inlineStr">
        <is>
          <t>Föryngringsavverkning</t>
        </is>
      </c>
      <c r="D407" s="1" t="n">
        <v>45197</v>
      </c>
      <c r="E407" s="1" t="n">
        <v>46306</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65249-2023</t>
        </is>
      </c>
      <c r="B408" t="inlineStr">
        <is>
          <t>avverkningsanmälan</t>
        </is>
      </c>
      <c r="C408" t="inlineStr">
        <is>
          <t>Föryngringsavverkning</t>
        </is>
      </c>
      <c r="D408" s="1" t="n">
        <v>45290</v>
      </c>
      <c r="E408" s="1" t="n">
        <v>46306</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17724-2024</t>
        </is>
      </c>
      <c r="B409" t="inlineStr">
        <is>
          <t>avverkningsanmälan</t>
        </is>
      </c>
      <c r="C409" t="inlineStr">
        <is>
          <t>Föryngringsavverkning</t>
        </is>
      </c>
      <c r="D409" s="1" t="n">
        <v>45418</v>
      </c>
      <c r="E409" s="1" t="n">
        <v>46306</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46306</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46306</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17780-2022</t>
        </is>
      </c>
      <c r="B412" t="inlineStr">
        <is>
          <t>avverkningsanmälan</t>
        </is>
      </c>
      <c r="C412" t="inlineStr">
        <is>
          <t>Föryngringsavverkning</t>
        </is>
      </c>
      <c r="D412" s="1" t="n">
        <v>44682</v>
      </c>
      <c r="E412" s="1" t="n">
        <v>46306</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59986-2022</t>
        </is>
      </c>
      <c r="B413" t="inlineStr">
        <is>
          <t>avverkningsanmälan</t>
        </is>
      </c>
      <c r="C413" t="inlineStr">
        <is>
          <t>Avverkning för annat ändamål</t>
        </is>
      </c>
      <c r="D413" s="1" t="n">
        <v>44909</v>
      </c>
      <c r="E413" s="1" t="n">
        <v>46306</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11874-2024</t>
        </is>
      </c>
      <c r="B414" t="inlineStr">
        <is>
          <t>avverkningsanmälan</t>
        </is>
      </c>
      <c r="C414" t="inlineStr">
        <is>
          <t>Föryngringsavverkning</t>
        </is>
      </c>
      <c r="D414" s="1" t="n">
        <v>45376</v>
      </c>
      <c r="E414" s="1" t="n">
        <v>46306</v>
      </c>
      <c r="F414" t="inlineStr">
        <is>
          <t>GOTLANDS LÄN</t>
        </is>
      </c>
      <c r="G414" t="inlineStr">
        <is>
          <t>GOTLAND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46306</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61694-2023</t>
        </is>
      </c>
      <c r="B416" t="inlineStr">
        <is>
          <t>avverkningsanmälan</t>
        </is>
      </c>
      <c r="C416" t="inlineStr">
        <is>
          <t>Föryngringsavverkning</t>
        </is>
      </c>
      <c r="D416" s="1" t="n">
        <v>45264</v>
      </c>
      <c r="E416" s="1" t="n">
        <v>46306</v>
      </c>
      <c r="F416" t="inlineStr">
        <is>
          <t>GOTLANDS LÄN</t>
        </is>
      </c>
      <c r="G416" t="inlineStr">
        <is>
          <t>GOTLAND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18804-2026</t>
        </is>
      </c>
      <c r="B417" t="inlineStr">
        <is>
          <t>avverkningsanmälan</t>
        </is>
      </c>
      <c r="C417" t="inlineStr">
        <is>
          <t>Föryngringsavverkning</t>
        </is>
      </c>
      <c r="D417" s="1" t="n">
        <v>46128</v>
      </c>
      <c r="E417" s="1" t="n">
        <v>46306</v>
      </c>
      <c r="F417" t="inlineStr">
        <is>
          <t>GOTLANDS LÄN</t>
        </is>
      </c>
      <c r="G417" t="inlineStr">
        <is>
          <t>GOTLAND</t>
        </is>
      </c>
      <c r="H417" t="inlineStr">
        <is>
          <t>Kyrkan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46306</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46306</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26467-2025</t>
        </is>
      </c>
      <c r="B420" t="inlineStr">
        <is>
          <t>avverkningsanmälan</t>
        </is>
      </c>
      <c r="C420" t="inlineStr">
        <is>
          <t>Föryngringsavverkning</t>
        </is>
      </c>
      <c r="D420" s="1" t="n">
        <v>45807</v>
      </c>
      <c r="E420" s="1" t="n">
        <v>46306</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29207-2025</t>
        </is>
      </c>
      <c r="B421" t="inlineStr">
        <is>
          <t>avverkningsanmälan</t>
        </is>
      </c>
      <c r="C421" t="inlineStr">
        <is>
          <t>Föryngringsavverkning</t>
        </is>
      </c>
      <c r="D421" s="1" t="n">
        <v>45823</v>
      </c>
      <c r="E421" s="1" t="n">
        <v>46306</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25796-2025</t>
        </is>
      </c>
      <c r="B422" t="inlineStr">
        <is>
          <t>avverkningsanmälan</t>
        </is>
      </c>
      <c r="C422" t="inlineStr">
        <is>
          <t>Föryngringsavverkning</t>
        </is>
      </c>
      <c r="D422" s="1" t="n">
        <v>45804</v>
      </c>
      <c r="E422" s="1" t="n">
        <v>46306</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2180-2025</t>
        </is>
      </c>
      <c r="B423" t="inlineStr">
        <is>
          <t>avverkningsanmälan</t>
        </is>
      </c>
      <c r="C423" t="inlineStr">
        <is>
          <t>Föryngringsavverkning</t>
        </is>
      </c>
      <c r="D423" s="1" t="n">
        <v>45673</v>
      </c>
      <c r="E423" s="1" t="n">
        <v>46306</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62754-2025</t>
        </is>
      </c>
      <c r="B424" t="inlineStr">
        <is>
          <t>avverkningsanmälan</t>
        </is>
      </c>
      <c r="C424" t="inlineStr">
        <is>
          <t>Föryngringsavverkning</t>
        </is>
      </c>
      <c r="D424" s="1" t="n">
        <v>46008</v>
      </c>
      <c r="E424" s="1" t="n">
        <v>46306</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20225-2025</t>
        </is>
      </c>
      <c r="B425" t="inlineStr">
        <is>
          <t>avverkningsanmälan</t>
        </is>
      </c>
      <c r="C425" t="inlineStr">
        <is>
          <t>Föryngringsavverkning</t>
        </is>
      </c>
      <c r="D425" s="1" t="n">
        <v>45772</v>
      </c>
      <c r="E425" s="1" t="n">
        <v>46306</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32379-2025</t>
        </is>
      </c>
      <c r="B426" t="inlineStr">
        <is>
          <t>avverkningsanmälan</t>
        </is>
      </c>
      <c r="C426" t="inlineStr">
        <is>
          <t>Föryngringsavverkning</t>
        </is>
      </c>
      <c r="D426" s="1" t="n">
        <v>45837</v>
      </c>
      <c r="E426" s="1" t="n">
        <v>46306</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45112-2024</t>
        </is>
      </c>
      <c r="B427" t="inlineStr">
        <is>
          <t>avverkningsanmälan</t>
        </is>
      </c>
      <c r="C427" t="inlineStr">
        <is>
          <t>Föryngringsavverkning</t>
        </is>
      </c>
      <c r="D427" s="1" t="n">
        <v>45575</v>
      </c>
      <c r="E427" s="1" t="n">
        <v>46306</v>
      </c>
      <c r="F427" t="inlineStr">
        <is>
          <t>GOTLANDS LÄN</t>
        </is>
      </c>
      <c r="G427" t="inlineStr">
        <is>
          <t>GOTLAND</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46306</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46306</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1854-2026</t>
        </is>
      </c>
      <c r="B430" t="inlineStr">
        <is>
          <t>avverkningsanmälan</t>
        </is>
      </c>
      <c r="C430" t="inlineStr">
        <is>
          <t>Föryngringsavverkning</t>
        </is>
      </c>
      <c r="D430" s="1" t="n">
        <v>46035</v>
      </c>
      <c r="E430" s="1" t="n">
        <v>46306</v>
      </c>
      <c r="F430" t="inlineStr">
        <is>
          <t>GOTLANDS LÄN</t>
        </is>
      </c>
      <c r="G430" t="inlineStr">
        <is>
          <t>GOTLAND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46306</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13910-2025</t>
        </is>
      </c>
      <c r="B432" t="inlineStr">
        <is>
          <t>avverkningsanmälan</t>
        </is>
      </c>
      <c r="C432" t="inlineStr">
        <is>
          <t>Föryngringsavverkning</t>
        </is>
      </c>
      <c r="D432" s="1" t="n">
        <v>45737</v>
      </c>
      <c r="E432" s="1" t="n">
        <v>46306</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39479-2022</t>
        </is>
      </c>
      <c r="B433" t="inlineStr">
        <is>
          <t>avverkningsanmälan</t>
        </is>
      </c>
      <c r="C433" t="inlineStr">
        <is>
          <t>Föryngringsavverkning</t>
        </is>
      </c>
      <c r="D433" s="1" t="n">
        <v>44818</v>
      </c>
      <c r="E433" s="1" t="n">
        <v>46306</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61078-2025</t>
        </is>
      </c>
      <c r="B434" t="inlineStr">
        <is>
          <t>avverkningsanmälan</t>
        </is>
      </c>
      <c r="C434" t="inlineStr">
        <is>
          <t>Föryngringsavverkning</t>
        </is>
      </c>
      <c r="D434" s="1" t="n">
        <v>46000</v>
      </c>
      <c r="E434" s="1" t="n">
        <v>46306</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46306</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811-2023</t>
        </is>
      </c>
      <c r="B436" t="inlineStr">
        <is>
          <t>avverkningsanmälan</t>
        </is>
      </c>
      <c r="C436" t="inlineStr">
        <is>
          <t>Föryngringsavverkning</t>
        </is>
      </c>
      <c r="D436" s="1" t="n">
        <v>44931</v>
      </c>
      <c r="E436" s="1" t="n">
        <v>46306</v>
      </c>
      <c r="F436" t="inlineStr">
        <is>
          <t>GOTLANDS LÄN</t>
        </is>
      </c>
      <c r="G436" t="inlineStr">
        <is>
          <t>GOTLAND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36-2026</t>
        </is>
      </c>
      <c r="B437" t="inlineStr">
        <is>
          <t>avverkningsanmälan</t>
        </is>
      </c>
      <c r="C437" t="inlineStr">
        <is>
          <t>Föryngringsavverkning</t>
        </is>
      </c>
      <c r="D437" s="1" t="n">
        <v>46024</v>
      </c>
      <c r="E437" s="1" t="n">
        <v>46306</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6959-2026</t>
        </is>
      </c>
      <c r="B438" t="inlineStr">
        <is>
          <t>avverkningsanmälan</t>
        </is>
      </c>
      <c r="C438" t="inlineStr">
        <is>
          <t>Föryngringsavverkning</t>
        </is>
      </c>
      <c r="D438" s="1" t="n">
        <v>46057</v>
      </c>
      <c r="E438" s="1" t="n">
        <v>46306</v>
      </c>
      <c r="F438" t="inlineStr">
        <is>
          <t>GOTLANDS LÄN</t>
        </is>
      </c>
      <c r="G438" t="inlineStr">
        <is>
          <t>GOTLAND</t>
        </is>
      </c>
      <c r="H438" t="inlineStr">
        <is>
          <t>Kyrkan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38165-2023</t>
        </is>
      </c>
      <c r="B439" t="inlineStr">
        <is>
          <t>avverkningsanmälan</t>
        </is>
      </c>
      <c r="C439" t="inlineStr">
        <is>
          <t>Föryngringsavverkning</t>
        </is>
      </c>
      <c r="D439" s="1" t="n">
        <v>45161</v>
      </c>
      <c r="E439" s="1" t="n">
        <v>46306</v>
      </c>
      <c r="F439" t="inlineStr">
        <is>
          <t>GOTLANDS LÄN</t>
        </is>
      </c>
      <c r="G439" t="inlineStr">
        <is>
          <t>GOTLAND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46306</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18918-2025</t>
        </is>
      </c>
      <c r="B441" t="inlineStr">
        <is>
          <t>avverkningsanmälan</t>
        </is>
      </c>
      <c r="C441" t="inlineStr">
        <is>
          <t>Avverkning för annat ändamål</t>
        </is>
      </c>
      <c r="D441" s="1" t="n">
        <v>45764</v>
      </c>
      <c r="E441" s="1" t="n">
        <v>46306</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46306</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46306</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2719-2023</t>
        </is>
      </c>
      <c r="B444" t="inlineStr">
        <is>
          <t>avverkningsanmälan</t>
        </is>
      </c>
      <c r="C444" t="inlineStr">
        <is>
          <t>Föryngringsavverkning</t>
        </is>
      </c>
      <c r="D444" s="1" t="n">
        <v>44944</v>
      </c>
      <c r="E444" s="1" t="n">
        <v>46306</v>
      </c>
      <c r="F444" t="inlineStr">
        <is>
          <t>GOTLANDS LÄN</t>
        </is>
      </c>
      <c r="G444" t="inlineStr">
        <is>
          <t>GOTLAND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2415-2026</t>
        </is>
      </c>
      <c r="B445" t="inlineStr">
        <is>
          <t>avverkningsanmälan</t>
        </is>
      </c>
      <c r="C445" t="inlineStr">
        <is>
          <t>Föryngringsavverkning</t>
        </is>
      </c>
      <c r="D445" s="1" t="n">
        <v>46036</v>
      </c>
      <c r="E445" s="1" t="n">
        <v>46306</v>
      </c>
      <c r="F445" t="inlineStr">
        <is>
          <t>GOTLANDS LÄN</t>
        </is>
      </c>
      <c r="G445" t="inlineStr">
        <is>
          <t>GOTLAND</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42007-2023</t>
        </is>
      </c>
      <c r="B446" t="inlineStr">
        <is>
          <t>avverkningsanmälan</t>
        </is>
      </c>
      <c r="C446" t="inlineStr">
        <is>
          <t>Avverkning för annat ändamål</t>
        </is>
      </c>
      <c r="D446" s="1" t="n">
        <v>45177</v>
      </c>
      <c r="E446" s="1" t="n">
        <v>46306</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9887-2025</t>
        </is>
      </c>
      <c r="B447" t="inlineStr">
        <is>
          <t>avverkningsanmälan</t>
        </is>
      </c>
      <c r="C447" t="inlineStr">
        <is>
          <t>Föryngringsavverkning</t>
        </is>
      </c>
      <c r="D447" s="1" t="n">
        <v>45716</v>
      </c>
      <c r="E447" s="1" t="n">
        <v>46306</v>
      </c>
      <c r="F447" t="inlineStr">
        <is>
          <t>GOTLANDS LÄN</t>
        </is>
      </c>
      <c r="G447" t="inlineStr">
        <is>
          <t>GOTLAND</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27596-2023</t>
        </is>
      </c>
      <c r="B448" t="inlineStr">
        <is>
          <t>avverkningsanmälan</t>
        </is>
      </c>
      <c r="C448" t="inlineStr">
        <is>
          <t>Avverkning för annat ändamål</t>
        </is>
      </c>
      <c r="D448" s="1" t="n">
        <v>45097</v>
      </c>
      <c r="E448" s="1" t="n">
        <v>46306</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46306</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46306</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4646-2026</t>
        </is>
      </c>
      <c r="B451" t="inlineStr">
        <is>
          <t>avverkningsanmälan</t>
        </is>
      </c>
      <c r="C451" t="inlineStr">
        <is>
          <t>Föryngringsavverkning</t>
        </is>
      </c>
      <c r="D451" s="1" t="n">
        <v>46048</v>
      </c>
      <c r="E451" s="1" t="n">
        <v>46306</v>
      </c>
      <c r="F451" t="inlineStr">
        <is>
          <t>GOTLANDS LÄN</t>
        </is>
      </c>
      <c r="G451" t="inlineStr">
        <is>
          <t>GOTLAND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21247-2022</t>
        </is>
      </c>
      <c r="B452" t="inlineStr">
        <is>
          <t>avverkningsanmälan</t>
        </is>
      </c>
      <c r="C452" t="inlineStr">
        <is>
          <t>Föryngringsavverkning</t>
        </is>
      </c>
      <c r="D452" s="1" t="n">
        <v>44705</v>
      </c>
      <c r="E452" s="1" t="n">
        <v>46306</v>
      </c>
      <c r="F452" t="inlineStr">
        <is>
          <t>GOTLANDS LÄN</t>
        </is>
      </c>
      <c r="G452" t="inlineStr">
        <is>
          <t>GOTLAND</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456-2023</t>
        </is>
      </c>
      <c r="B453" t="inlineStr">
        <is>
          <t>avverkningsanmälan</t>
        </is>
      </c>
      <c r="C453" t="inlineStr">
        <is>
          <t>Föryngringsavverkning</t>
        </is>
      </c>
      <c r="D453" s="1" t="n">
        <v>44929</v>
      </c>
      <c r="E453" s="1" t="n">
        <v>46306</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4634-2026</t>
        </is>
      </c>
      <c r="B454" t="inlineStr">
        <is>
          <t>avverkningsanmälan</t>
        </is>
      </c>
      <c r="C454" t="inlineStr">
        <is>
          <t>Föryngringsavverkning</t>
        </is>
      </c>
      <c r="D454" s="1" t="n">
        <v>46048</v>
      </c>
      <c r="E454" s="1" t="n">
        <v>46306</v>
      </c>
      <c r="F454" t="inlineStr">
        <is>
          <t>GOTLANDS LÄN</t>
        </is>
      </c>
      <c r="G454" t="inlineStr">
        <is>
          <t>GOTLAND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2714-2023</t>
        </is>
      </c>
      <c r="B455" t="inlineStr">
        <is>
          <t>avverkningsanmälan</t>
        </is>
      </c>
      <c r="C455" t="inlineStr">
        <is>
          <t>Föryngringsavverkning</t>
        </is>
      </c>
      <c r="D455" s="1" t="n">
        <v>44944</v>
      </c>
      <c r="E455" s="1" t="n">
        <v>46306</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4670-2026</t>
        </is>
      </c>
      <c r="B456" t="inlineStr">
        <is>
          <t>avverkningsanmälan</t>
        </is>
      </c>
      <c r="C456" t="inlineStr">
        <is>
          <t>Föryngringsavverkning</t>
        </is>
      </c>
      <c r="D456" s="1" t="n">
        <v>46048</v>
      </c>
      <c r="E456" s="1" t="n">
        <v>46306</v>
      </c>
      <c r="F456" t="inlineStr">
        <is>
          <t>GOTLANDS LÄN</t>
        </is>
      </c>
      <c r="G456" t="inlineStr">
        <is>
          <t>GOTLAND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4421-2024</t>
        </is>
      </c>
      <c r="B457" t="inlineStr">
        <is>
          <t>avverkningsanmälan</t>
        </is>
      </c>
      <c r="C457" t="inlineStr">
        <is>
          <t>Föryngringsavverkning</t>
        </is>
      </c>
      <c r="D457" s="1" t="n">
        <v>45327</v>
      </c>
      <c r="E457" s="1" t="n">
        <v>46306</v>
      </c>
      <c r="F457" t="inlineStr">
        <is>
          <t>GOTLANDS LÄN</t>
        </is>
      </c>
      <c r="G457" t="inlineStr">
        <is>
          <t>GOTLAND</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51782-2023</t>
        </is>
      </c>
      <c r="B458" t="inlineStr">
        <is>
          <t>avverkningsanmälan</t>
        </is>
      </c>
      <c r="C458" t="inlineStr">
        <is>
          <t>Föryngringsavverkning</t>
        </is>
      </c>
      <c r="D458" s="1" t="n">
        <v>45222</v>
      </c>
      <c r="E458" s="1" t="n">
        <v>46306</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54268-2022</t>
        </is>
      </c>
      <c r="B459" t="inlineStr">
        <is>
          <t>avverkningsanmälan</t>
        </is>
      </c>
      <c r="C459" t="inlineStr">
        <is>
          <t>Föryngringsavverkning</t>
        </is>
      </c>
      <c r="D459" s="1" t="n">
        <v>44882</v>
      </c>
      <c r="E459" s="1" t="n">
        <v>46306</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7627-2026</t>
        </is>
      </c>
      <c r="B460" t="inlineStr">
        <is>
          <t>avverkningsanmälan</t>
        </is>
      </c>
      <c r="C460" t="inlineStr">
        <is>
          <t>Föryngringsavverkning</t>
        </is>
      </c>
      <c r="D460" s="1" t="n">
        <v>46062</v>
      </c>
      <c r="E460" s="1" t="n">
        <v>46306</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46306</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9519-2026</t>
        </is>
      </c>
      <c r="B462" t="inlineStr">
        <is>
          <t>avverkningsanmälan</t>
        </is>
      </c>
      <c r="C462" t="inlineStr">
        <is>
          <t>Föryngringsavverkning</t>
        </is>
      </c>
      <c r="D462" s="1" t="n">
        <v>46071</v>
      </c>
      <c r="E462" s="1" t="n">
        <v>46306</v>
      </c>
      <c r="F462" t="inlineStr">
        <is>
          <t>GOTLANDS LÄN</t>
        </is>
      </c>
      <c r="G462" t="inlineStr">
        <is>
          <t>GOTLAND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9521-2026</t>
        </is>
      </c>
      <c r="B463" t="inlineStr">
        <is>
          <t>avverkningsanmälan</t>
        </is>
      </c>
      <c r="C463" t="inlineStr">
        <is>
          <t>Föryngringsavverkning</t>
        </is>
      </c>
      <c r="D463" s="1" t="n">
        <v>46071</v>
      </c>
      <c r="E463" s="1" t="n">
        <v>46306</v>
      </c>
      <c r="F463" t="inlineStr">
        <is>
          <t>GOTLANDS LÄN</t>
        </is>
      </c>
      <c r="G463" t="inlineStr">
        <is>
          <t>GOTLAND</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9524-2026</t>
        </is>
      </c>
      <c r="B464" t="inlineStr">
        <is>
          <t>avverkningsanmälan</t>
        </is>
      </c>
      <c r="C464" t="inlineStr">
        <is>
          <t>Föryngringsavverkning</t>
        </is>
      </c>
      <c r="D464" s="1" t="n">
        <v>46071</v>
      </c>
      <c r="E464" s="1" t="n">
        <v>46306</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22281-2026</t>
        </is>
      </c>
      <c r="B465" t="inlineStr">
        <is>
          <t>avverkningsanmälan</t>
        </is>
      </c>
      <c r="C465" t="inlineStr">
        <is>
          <t>Avverkning för annat ändamål</t>
        </is>
      </c>
      <c r="D465" s="1" t="n">
        <v>46154</v>
      </c>
      <c r="E465" s="1" t="n">
        <v>46306</v>
      </c>
      <c r="F465" t="inlineStr">
        <is>
          <t>GOTLANDS LÄN</t>
        </is>
      </c>
      <c r="G465" t="inlineStr">
        <is>
          <t>GOTLAND</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22348-2026</t>
        </is>
      </c>
      <c r="B466" t="inlineStr">
        <is>
          <t>avverkningsanmälan</t>
        </is>
      </c>
      <c r="C466" t="inlineStr">
        <is>
          <t>Föryngringsavverkning</t>
        </is>
      </c>
      <c r="D466" s="1" t="n">
        <v>46154</v>
      </c>
      <c r="E466" s="1" t="n">
        <v>46306</v>
      </c>
      <c r="F466" t="inlineStr">
        <is>
          <t>GOTLANDS LÄN</t>
        </is>
      </c>
      <c r="G466" t="inlineStr">
        <is>
          <t>GOTLAND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22351-2026</t>
        </is>
      </c>
      <c r="B467" t="inlineStr">
        <is>
          <t>avverkningsanmälan</t>
        </is>
      </c>
      <c r="C467" t="inlineStr">
        <is>
          <t>Föryngringsavverkning</t>
        </is>
      </c>
      <c r="D467" s="1" t="n">
        <v>46154</v>
      </c>
      <c r="E467" s="1" t="n">
        <v>46306</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46306</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35096-2025</t>
        </is>
      </c>
      <c r="B469" t="inlineStr">
        <is>
          <t>avverkningsanmälan</t>
        </is>
      </c>
      <c r="C469" t="inlineStr">
        <is>
          <t>Föryngringsavverkning</t>
        </is>
      </c>
      <c r="D469" s="1" t="n">
        <v>45852</v>
      </c>
      <c r="E469" s="1" t="n">
        <v>46306</v>
      </c>
      <c r="F469" t="inlineStr">
        <is>
          <t>GOTLANDS LÄN</t>
        </is>
      </c>
      <c r="G469" t="inlineStr">
        <is>
          <t>GOTLAND</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46306</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24448-2026</t>
        </is>
      </c>
      <c r="B471" t="inlineStr">
        <is>
          <t>avverkningsanmälan</t>
        </is>
      </c>
      <c r="C471" t="inlineStr">
        <is>
          <t>Föryngringsavverkning</t>
        </is>
      </c>
      <c r="D471" s="1" t="n">
        <v>46170</v>
      </c>
      <c r="E471" s="1" t="n">
        <v>46306</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27354-2026</t>
        </is>
      </c>
      <c r="B472" t="inlineStr">
        <is>
          <t>avverkningsanmälan</t>
        </is>
      </c>
      <c r="C472" t="inlineStr">
        <is>
          <t>Föryngringsavverkning</t>
        </is>
      </c>
      <c r="D472" s="1" t="n">
        <v>46184</v>
      </c>
      <c r="E472" s="1" t="n">
        <v>46306</v>
      </c>
      <c r="F472" t="inlineStr">
        <is>
          <t>GOTLANDS LÄN</t>
        </is>
      </c>
      <c r="G472" t="inlineStr">
        <is>
          <t>GOTLAND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30925-2026</t>
        </is>
      </c>
      <c r="B473" t="inlineStr">
        <is>
          <t>avverkningsanmälan</t>
        </is>
      </c>
      <c r="C473" t="inlineStr">
        <is>
          <t>Föryngringsavverkning</t>
        </is>
      </c>
      <c r="D473" s="1" t="n">
        <v>46213</v>
      </c>
      <c r="E473" s="1" t="n">
        <v>46306</v>
      </c>
      <c r="F473" t="inlineStr">
        <is>
          <t>GOTLANDS LÄN</t>
        </is>
      </c>
      <c r="G473" t="inlineStr">
        <is>
          <t>GOTLAND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30926-2026</t>
        </is>
      </c>
      <c r="B474" t="inlineStr">
        <is>
          <t>avverkningsanmälan</t>
        </is>
      </c>
      <c r="C474" t="inlineStr">
        <is>
          <t>Föryngringsavverkning</t>
        </is>
      </c>
      <c r="D474" s="1" t="n">
        <v>46213</v>
      </c>
      <c r="E474" s="1" t="n">
        <v>46306</v>
      </c>
      <c r="F474" t="inlineStr">
        <is>
          <t>GOTLANDS LÄN</t>
        </is>
      </c>
      <c r="G474" t="inlineStr">
        <is>
          <t>GOTLAND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31287-2026</t>
        </is>
      </c>
      <c r="B475" t="inlineStr">
        <is>
          <t>avverkningsanmälan</t>
        </is>
      </c>
      <c r="C475" t="inlineStr">
        <is>
          <t>Föryngringsavverkning</t>
        </is>
      </c>
      <c r="D475" s="1" t="n">
        <v>46218</v>
      </c>
      <c r="E475" s="1" t="n">
        <v>46306</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31695-2026</t>
        </is>
      </c>
      <c r="B476" t="inlineStr">
        <is>
          <t>avverkningsanmälan</t>
        </is>
      </c>
      <c r="C476" t="inlineStr">
        <is>
          <t>Föryngringsavverkning</t>
        </is>
      </c>
      <c r="D476" s="1" t="n">
        <v>46226</v>
      </c>
      <c r="E476" s="1" t="n">
        <v>46306</v>
      </c>
      <c r="F476" t="inlineStr">
        <is>
          <t>GOTLANDS LÄN</t>
        </is>
      </c>
      <c r="G476" t="inlineStr">
        <is>
          <t>GOTLAND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36499-2026</t>
        </is>
      </c>
      <c r="B477" t="inlineStr">
        <is>
          <t>avverkningsanmälan</t>
        </is>
      </c>
      <c r="C477" t="inlineStr">
        <is>
          <t>Föryngringsavverkning</t>
        </is>
      </c>
      <c r="D477" s="1" t="n">
        <v>46268</v>
      </c>
      <c r="E477" s="1" t="n">
        <v>46306</v>
      </c>
      <c r="F477" t="inlineStr">
        <is>
          <t>GOTLANDS LÄN</t>
        </is>
      </c>
      <c r="G477" t="inlineStr">
        <is>
          <t>GOTLAND</t>
        </is>
      </c>
      <c r="H477" t="inlineStr">
        <is>
          <t>Kommuner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36510-2026</t>
        </is>
      </c>
      <c r="B478" t="inlineStr">
        <is>
          <t>avverkningsanmälan</t>
        </is>
      </c>
      <c r="C478" t="inlineStr">
        <is>
          <t>Föryngringsavverkning</t>
        </is>
      </c>
      <c r="D478" s="1" t="n">
        <v>46268</v>
      </c>
      <c r="E478" s="1" t="n">
        <v>46306</v>
      </c>
      <c r="F478" t="inlineStr">
        <is>
          <t>GOTLANDS LÄN</t>
        </is>
      </c>
      <c r="G478" t="inlineStr">
        <is>
          <t>GOTLAND</t>
        </is>
      </c>
      <c r="H478" t="inlineStr">
        <is>
          <t>Kommuner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46306</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46306</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38311-2026</t>
        </is>
      </c>
      <c r="B481" t="inlineStr">
        <is>
          <t>avverkningsanmälan</t>
        </is>
      </c>
      <c r="C481" t="inlineStr">
        <is>
          <t>Föryngringsavverkning</t>
        </is>
      </c>
      <c r="D481" s="1" t="n">
        <v>46282</v>
      </c>
      <c r="E481" s="1" t="n">
        <v>46306</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46306</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38928-2026</t>
        </is>
      </c>
      <c r="B483" t="inlineStr">
        <is>
          <t>avverkningsanmälan</t>
        </is>
      </c>
      <c r="C483" t="inlineStr">
        <is>
          <t>Föryngringsavverkning</t>
        </is>
      </c>
      <c r="D483" s="1" t="n">
        <v>46286</v>
      </c>
      <c r="E483" s="1" t="n">
        <v>46306</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32626-2026</t>
        </is>
      </c>
      <c r="B484" t="inlineStr">
        <is>
          <t>avverkningsanmälan</t>
        </is>
      </c>
      <c r="C484" t="inlineStr">
        <is>
          <t>Föryngringsavverkning</t>
        </is>
      </c>
      <c r="D484" s="1" t="n">
        <v>46240</v>
      </c>
      <c r="E484" s="1" t="n">
        <v>46306</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46306</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22275-2026</t>
        </is>
      </c>
      <c r="B486" t="inlineStr">
        <is>
          <t>avverkningsanmälan</t>
        </is>
      </c>
      <c r="C486" t="inlineStr">
        <is>
          <t>Föryngringsavverkning</t>
        </is>
      </c>
      <c r="D486" s="1" t="n">
        <v>46154</v>
      </c>
      <c r="E486" s="1" t="n">
        <v>46306</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22887-2026</t>
        </is>
      </c>
      <c r="B487" t="inlineStr">
        <is>
          <t>avverkningsanmälan</t>
        </is>
      </c>
      <c r="C487" t="inlineStr">
        <is>
          <t>Avverkning för att bevara och utveckla /försöksver</t>
        </is>
      </c>
      <c r="D487" s="1" t="n">
        <v>46160</v>
      </c>
      <c r="E487" s="1" t="n">
        <v>46306</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23504-2026</t>
        </is>
      </c>
      <c r="B488" t="inlineStr">
        <is>
          <t>avverkningsanmälan</t>
        </is>
      </c>
      <c r="C488" t="inlineStr">
        <is>
          <t>Föryngringsavverkning</t>
        </is>
      </c>
      <c r="D488" s="1" t="n">
        <v>46163</v>
      </c>
      <c r="E488" s="1" t="n">
        <v>46306</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27164-2026</t>
        </is>
      </c>
      <c r="B489" t="inlineStr">
        <is>
          <t>avverkningsanmälan</t>
        </is>
      </c>
      <c r="C489" t="inlineStr">
        <is>
          <t>Föryngringsavverkning</t>
        </is>
      </c>
      <c r="D489" s="1" t="n">
        <v>46188</v>
      </c>
      <c r="E489" s="1" t="n">
        <v>46306</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27341-2026</t>
        </is>
      </c>
      <c r="B490" t="inlineStr">
        <is>
          <t>avverkningsanmälan</t>
        </is>
      </c>
      <c r="C490" t="inlineStr">
        <is>
          <t>Föryngringsavverkning</t>
        </is>
      </c>
      <c r="D490" s="1" t="n">
        <v>46188</v>
      </c>
      <c r="E490" s="1" t="n">
        <v>46306</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39400-2026</t>
        </is>
      </c>
      <c r="B491" t="inlineStr">
        <is>
          <t>avverkningsanmälan</t>
        </is>
      </c>
      <c r="C491" t="inlineStr">
        <is>
          <t>Föryngringsavverkning</t>
        </is>
      </c>
      <c r="D491" s="1" t="n">
        <v>46288</v>
      </c>
      <c r="E491" s="1" t="n">
        <v>46306</v>
      </c>
      <c r="F491" t="inlineStr">
        <is>
          <t>GOTLANDS LÄN</t>
        </is>
      </c>
      <c r="G491" t="inlineStr">
        <is>
          <t>GOTLAND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10284-2026</t>
        </is>
      </c>
      <c r="B492" t="inlineStr">
        <is>
          <t>avverkningsanmälan</t>
        </is>
      </c>
      <c r="C492" t="inlineStr">
        <is>
          <t>Avverkning för annat ändamål</t>
        </is>
      </c>
      <c r="D492" s="1" t="n">
        <v>46076</v>
      </c>
      <c r="E492" s="1" t="n">
        <v>46306</v>
      </c>
      <c r="F492" t="inlineStr">
        <is>
          <t>GOTLANDS LÄN</t>
        </is>
      </c>
      <c r="G492" t="inlineStr">
        <is>
          <t>GOTLAND</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40001-2026</t>
        </is>
      </c>
      <c r="B493" t="inlineStr">
        <is>
          <t>avverkningsanmälan</t>
        </is>
      </c>
      <c r="C493" t="inlineStr">
        <is>
          <t>Föryngringsavverkning</t>
        </is>
      </c>
      <c r="D493" s="1" t="n">
        <v>46293</v>
      </c>
      <c r="E493" s="1" t="n">
        <v>46306</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39967-2026</t>
        </is>
      </c>
      <c r="B494" t="inlineStr">
        <is>
          <t>avverkningsanmälan</t>
        </is>
      </c>
      <c r="C494" t="inlineStr">
        <is>
          <t>Föryngringsavverkning</t>
        </is>
      </c>
      <c r="D494" s="1" t="n">
        <v>46292</v>
      </c>
      <c r="E494" s="1" t="n">
        <v>46306</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40372-2025</t>
        </is>
      </c>
      <c r="B495" t="inlineStr">
        <is>
          <t>avverkningsanmälan</t>
        </is>
      </c>
      <c r="C495" t="inlineStr">
        <is>
          <t>Föryngringsavverkning</t>
        </is>
      </c>
      <c r="D495" s="1" t="n">
        <v>45895</v>
      </c>
      <c r="E495" s="1" t="n">
        <v>46306</v>
      </c>
      <c r="F495" t="inlineStr">
        <is>
          <t>GOTLANDS LÄN</t>
        </is>
      </c>
      <c r="G495" t="inlineStr">
        <is>
          <t>GOTLAND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28012-2026</t>
        </is>
      </c>
      <c r="B496" t="inlineStr">
        <is>
          <t>avverkningsanmälan</t>
        </is>
      </c>
      <c r="C496" t="inlineStr">
        <is>
          <t>Föryngringsavverkning</t>
        </is>
      </c>
      <c r="D496" s="1" t="n">
        <v>46195</v>
      </c>
      <c r="E496" s="1" t="n">
        <v>46306</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41129-2026</t>
        </is>
      </c>
      <c r="B497" t="inlineStr">
        <is>
          <t>avverkningsanmälan</t>
        </is>
      </c>
      <c r="C497" t="inlineStr">
        <is>
          <t>Föryngringsavverkning</t>
        </is>
      </c>
      <c r="D497" s="1" t="n">
        <v>46300</v>
      </c>
      <c r="E497" s="1" t="n">
        <v>46306</v>
      </c>
      <c r="F497" t="inlineStr">
        <is>
          <t>GOTLANDS LÄN</t>
        </is>
      </c>
      <c r="G497" t="inlineStr">
        <is>
          <t>GOTLAND</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46306</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46306</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46306</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46306</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46306</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46306</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46306</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46306</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46306</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46306</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46306</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46306</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46306</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46306</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46306</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46306</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46306</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46306</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2026-10-11T02:01:15Z</dcterms:created>
  <dcterms:modified xmlns:dcterms="http://purl.org/dc/terms/" xmlns:xsi="http://www.w3.org/2001/XMLSchema-instance" xsi:type="dcterms:W3CDTF">2026-10-11T02:01:15Z</dcterms:modified>
</cp:coreProperties>
</file>