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45939</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45939</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45939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45939</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45939</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45939</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45939</v>
      </c>
      <c r="D16" t="inlineStr">
        <is>
          <t>GOTLANDS LÄN</t>
        </is>
      </c>
      <c r="E16" t="inlineStr">
        <is>
          <t>GOTLAND</t>
        </is>
      </c>
      <c r="G16" t="n">
        <v>8.300000000000001</v>
      </c>
      <c r="H16" t="n">
        <v>6</v>
      </c>
      <c r="I16" t="n">
        <v>8</v>
      </c>
      <c r="J16" t="n">
        <v>9</v>
      </c>
      <c r="K16" t="n">
        <v>5</v>
      </c>
      <c r="L16" t="n">
        <v>1</v>
      </c>
      <c r="M16" t="n">
        <v>0</v>
      </c>
      <c r="N16" t="n">
        <v>0</v>
      </c>
      <c r="O16" t="n">
        <v>16</v>
      </c>
      <c r="P16" t="n">
        <v>6</v>
      </c>
      <c r="Q16" t="n">
        <v>26</v>
      </c>
      <c r="R16" s="2" t="inlineStr">
        <is>
          <t>Ask
Granrotsspindling
Gulsträngad fagerspindling
Narrspindling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922-2023</t>
        </is>
      </c>
      <c r="B17" s="1" t="n">
        <v>44932</v>
      </c>
      <c r="C17" s="1" t="n">
        <v>45939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45939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45939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45939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45939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45939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45939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45939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45939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45939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45939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45939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45939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45939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24309-2025</t>
        </is>
      </c>
      <c r="B33" s="1" t="n">
        <v>45797</v>
      </c>
      <c r="C33" s="1" t="n">
        <v>45939</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25779-2022</t>
        </is>
      </c>
      <c r="B34" s="1" t="n">
        <v>44733</v>
      </c>
      <c r="C34" s="1" t="n">
        <v>45939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41238-2025</t>
        </is>
      </c>
      <c r="B35" s="1" t="n">
        <v>45898</v>
      </c>
      <c r="C35" s="1" t="n">
        <v>45939</v>
      </c>
      <c r="D35" t="inlineStr">
        <is>
          <t>GOTLANDS LÄN</t>
        </is>
      </c>
      <c r="E35" t="inlineStr">
        <is>
          <t>GOTLAND</t>
        </is>
      </c>
      <c r="G35" t="n">
        <v>7.1</v>
      </c>
      <c r="H35" t="n">
        <v>2</v>
      </c>
      <c r="I35" t="n">
        <v>7</v>
      </c>
      <c r="J35" t="n">
        <v>4</v>
      </c>
      <c r="K35" t="n">
        <v>3</v>
      </c>
      <c r="L35" t="n">
        <v>0</v>
      </c>
      <c r="M35" t="n">
        <v>0</v>
      </c>
      <c r="N35" t="n">
        <v>0</v>
      </c>
      <c r="O35" t="n">
        <v>7</v>
      </c>
      <c r="P35" t="n">
        <v>3</v>
      </c>
      <c r="Q35" t="n">
        <v>14</v>
      </c>
      <c r="R35" s="2" t="inlineStr">
        <is>
          <t>Granrotsspindling
Mörkfjällig olivspindling
Violettfläckig spindling
Bittermusseron
Havsörn
Odörspindling
Tallticka
Anisspindling
Dropptaggsvamp
Fjällig taggsvamp s.str.
Granbarkgnagare
Olivspindling
Skarp dropptaggsvamp
Skogsknipprot</t>
        </is>
      </c>
      <c r="S35">
        <f>HYPERLINK("https://klasma.github.io/Logging_0980/artfynd/A 41238-2025 artfynd.xlsx", "A 41238-2025")</f>
        <v/>
      </c>
      <c r="T35">
        <f>HYPERLINK("https://klasma.github.io/Logging_0980/kartor/A 41238-2025 karta.png", "A 41238-2025")</f>
        <v/>
      </c>
      <c r="V35">
        <f>HYPERLINK("https://klasma.github.io/Logging_0980/klagomål/A 41238-2025 FSC-klagomål.docx", "A 41238-2025")</f>
        <v/>
      </c>
      <c r="W35">
        <f>HYPERLINK("https://klasma.github.io/Logging_0980/klagomålsmail/A 41238-2025 FSC-klagomål mail.docx", "A 41238-2025")</f>
        <v/>
      </c>
      <c r="X35">
        <f>HYPERLINK("https://klasma.github.io/Logging_0980/tillsyn/A 41238-2025 tillsynsbegäran.docx", "A 41238-2025")</f>
        <v/>
      </c>
      <c r="Y35">
        <f>HYPERLINK("https://klasma.github.io/Logging_0980/tillsynsmail/A 41238-2025 tillsynsbegäran mail.docx", "A 41238-2025")</f>
        <v/>
      </c>
      <c r="Z35">
        <f>HYPERLINK("https://klasma.github.io/Logging_0980/fåglar/A 41238-2025 prioriterade fågelarter.docx", "A 41238-2025")</f>
        <v/>
      </c>
    </row>
    <row r="36" ht="15" customHeight="1">
      <c r="A36" t="inlineStr">
        <is>
          <t>A 35141-2022</t>
        </is>
      </c>
      <c r="B36" s="1" t="n">
        <v>44797.53318287037</v>
      </c>
      <c r="C36" s="1" t="n">
        <v>45939</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45939</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2804-2023</t>
        </is>
      </c>
      <c r="B38" s="1" t="n">
        <v>44944</v>
      </c>
      <c r="C38" s="1" t="n">
        <v>45939</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44204-2022</t>
        </is>
      </c>
      <c r="B39" s="1" t="n">
        <v>44839</v>
      </c>
      <c r="C39" s="1" t="n">
        <v>45939</v>
      </c>
      <c r="D39" t="inlineStr">
        <is>
          <t>GOTLANDS LÄN</t>
        </is>
      </c>
      <c r="E39" t="inlineStr">
        <is>
          <t>GOTLAND</t>
        </is>
      </c>
      <c r="G39" t="n">
        <v>2.3</v>
      </c>
      <c r="H39" t="n">
        <v>2</v>
      </c>
      <c r="I39" t="n">
        <v>5</v>
      </c>
      <c r="J39" t="n">
        <v>3</v>
      </c>
      <c r="K39" t="n">
        <v>4</v>
      </c>
      <c r="L39" t="n">
        <v>1</v>
      </c>
      <c r="M39" t="n">
        <v>0</v>
      </c>
      <c r="N39" t="n">
        <v>0</v>
      </c>
      <c r="O39" t="n">
        <v>8</v>
      </c>
      <c r="P39" t="n">
        <v>5</v>
      </c>
      <c r="Q39" t="n">
        <v>13</v>
      </c>
      <c r="R39" s="2" t="inlineStr">
        <is>
          <t>Sienamusseron
Bitter taggsvamp
Fläckfingersvamp
Granrotsspindling
Violettfläckig spindling
Duvhök
Odörspindling
Spillkråka
Anisspindling
Blomkålssvamp
Blå slemspindling
Olivspindling
Tjockfotad fingersvamp</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445-2023</t>
        </is>
      </c>
      <c r="B40" s="1" t="n">
        <v>44929</v>
      </c>
      <c r="C40" s="1" t="n">
        <v>45939</v>
      </c>
      <c r="D40" t="inlineStr">
        <is>
          <t>GOTLANDS LÄN</t>
        </is>
      </c>
      <c r="E40" t="inlineStr">
        <is>
          <t>GOTLAND</t>
        </is>
      </c>
      <c r="G40" t="n">
        <v>4.9</v>
      </c>
      <c r="H40" t="n">
        <v>3</v>
      </c>
      <c r="I40" t="n">
        <v>3</v>
      </c>
      <c r="J40" t="n">
        <v>5</v>
      </c>
      <c r="K40" t="n">
        <v>4</v>
      </c>
      <c r="L40" t="n">
        <v>0</v>
      </c>
      <c r="M40" t="n">
        <v>0</v>
      </c>
      <c r="N40" t="n">
        <v>0</v>
      </c>
      <c r="O40" t="n">
        <v>10</v>
      </c>
      <c r="P40" t="n">
        <v>4</v>
      </c>
      <c r="Q40" t="n">
        <v>13</v>
      </c>
      <c r="R40" s="2" t="inlineStr">
        <is>
          <t>Garderönn
Granrotsspindling
Gulsträngad fagerspindling
Taggfingersvamp
Duvhök
Jordtistel
Odörspindling
Spillkråka
Svinrot
Trollspindling
Besk kastanjemusseron
Rödgul trumpetsvamp
Vårärt</t>
        </is>
      </c>
      <c r="S40">
        <f>HYPERLINK("https://klasma.github.io/Logging_0980/artfynd/A 445-2023 artfynd.xlsx", "A 445-2023")</f>
        <v/>
      </c>
      <c r="T40">
        <f>HYPERLINK("https://klasma.github.io/Logging_0980/kartor/A 445-2023 karta.png", "A 445-2023")</f>
        <v/>
      </c>
      <c r="V40">
        <f>HYPERLINK("https://klasma.github.io/Logging_0980/klagomål/A 445-2023 FSC-klagomål.docx", "A 445-2023")</f>
        <v/>
      </c>
      <c r="W40">
        <f>HYPERLINK("https://klasma.github.io/Logging_0980/klagomålsmail/A 445-2023 FSC-klagomål mail.docx", "A 445-2023")</f>
        <v/>
      </c>
      <c r="X40">
        <f>HYPERLINK("https://klasma.github.io/Logging_0980/tillsyn/A 445-2023 tillsynsbegäran.docx", "A 445-2023")</f>
        <v/>
      </c>
      <c r="Y40">
        <f>HYPERLINK("https://klasma.github.io/Logging_0980/tillsynsmail/A 445-2023 tillsynsbegäran mail.docx", "A 445-2023")</f>
        <v/>
      </c>
      <c r="Z40">
        <f>HYPERLINK("https://klasma.github.io/Logging_0980/fåglar/A 445-2023 prioriterade fågelarter.docx", "A 445-2023")</f>
        <v/>
      </c>
    </row>
    <row r="41" ht="15" customHeight="1">
      <c r="A41" t="inlineStr">
        <is>
          <t>A 63872-2021</t>
        </is>
      </c>
      <c r="B41" s="1" t="n">
        <v>44509</v>
      </c>
      <c r="C41" s="1" t="n">
        <v>45939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45939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3324-2023</t>
        </is>
      </c>
      <c r="B43" s="1" t="n">
        <v>44949</v>
      </c>
      <c r="C43" s="1" t="n">
        <v>45939</v>
      </c>
      <c r="D43" t="inlineStr">
        <is>
          <t>GOTLANDS LÄN</t>
        </is>
      </c>
      <c r="E43" t="inlineStr">
        <is>
          <t>GOTLAND</t>
        </is>
      </c>
      <c r="G43" t="n">
        <v>6.2</v>
      </c>
      <c r="H43" t="n">
        <v>0</v>
      </c>
      <c r="I43" t="n">
        <v>4</v>
      </c>
      <c r="J43" t="n">
        <v>2</v>
      </c>
      <c r="K43" t="n">
        <v>6</v>
      </c>
      <c r="L43" t="n">
        <v>0</v>
      </c>
      <c r="M43" t="n">
        <v>0</v>
      </c>
      <c r="N43" t="n">
        <v>0</v>
      </c>
      <c r="O43" t="n">
        <v>8</v>
      </c>
      <c r="P43" t="n">
        <v>6</v>
      </c>
      <c r="Q43" t="n">
        <v>12</v>
      </c>
      <c r="R43" s="2" t="inlineStr">
        <is>
          <t>Blåfotad fagerspindling
Duvspindling
Granrotsspindling
Gulsträngad fagerspindling
Svartgrön spindling
Tvillingspindling
Odörspindling
Äggspindling
Anisspindling
Blå slemspindling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15850-2025</t>
        </is>
      </c>
      <c r="B44" s="1" t="n">
        <v>45748</v>
      </c>
      <c r="C44" s="1" t="n">
        <v>45939</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HYPERLINK("https://klasma.github.io/Logging_0980/artfynd/A 15850-2025 artfynd.xlsx", "A 15850-2025")</f>
        <v/>
      </c>
      <c r="T44">
        <f>HYPERLINK("https://klasma.github.io/Logging_0980/kartor/A 15850-2025 karta.png", "A 15850-2025")</f>
        <v/>
      </c>
      <c r="V44">
        <f>HYPERLINK("https://klasma.github.io/Logging_0980/klagomål/A 15850-2025 FSC-klagomål.docx", "A 15850-2025")</f>
        <v/>
      </c>
      <c r="W44">
        <f>HYPERLINK("https://klasma.github.io/Logging_0980/klagomålsmail/A 15850-2025 FSC-klagomål mail.docx", "A 15850-2025")</f>
        <v/>
      </c>
      <c r="X44">
        <f>HYPERLINK("https://klasma.github.io/Logging_0980/tillsyn/A 15850-2025 tillsynsbegäran.docx", "A 15850-2025")</f>
        <v/>
      </c>
      <c r="Y44">
        <f>HYPERLINK("https://klasma.github.io/Logging_0980/tillsynsmail/A 15850-2025 tillsynsbegäran mail.docx", "A 15850-2025")</f>
        <v/>
      </c>
      <c r="Z44">
        <f>HYPERLINK("https://klasma.github.io/Logging_0980/fåglar/A 15850-2025 prioriterade fågelarter.docx", "A 15850-2025")</f>
        <v/>
      </c>
    </row>
    <row r="45" ht="15" customHeight="1">
      <c r="A45" t="inlineStr">
        <is>
          <t>A 43201-2023</t>
        </is>
      </c>
      <c r="B45" s="1" t="n">
        <v>45183</v>
      </c>
      <c r="C45" s="1" t="n">
        <v>45939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6052-2024</t>
        </is>
      </c>
      <c r="B47" s="1" t="n">
        <v>45336</v>
      </c>
      <c r="C47" s="1" t="n">
        <v>45939</v>
      </c>
      <c r="D47" t="inlineStr">
        <is>
          <t>GOTLANDS LÄN</t>
        </is>
      </c>
      <c r="E47" t="inlineStr">
        <is>
          <t>GOTLAND</t>
        </is>
      </c>
      <c r="G47" t="n">
        <v>10.3</v>
      </c>
      <c r="H47" t="n">
        <v>1</v>
      </c>
      <c r="I47" t="n">
        <v>3</v>
      </c>
      <c r="J47" t="n">
        <v>6</v>
      </c>
      <c r="K47" t="n">
        <v>2</v>
      </c>
      <c r="L47" t="n">
        <v>0</v>
      </c>
      <c r="M47" t="n">
        <v>0</v>
      </c>
      <c r="N47" t="n">
        <v>0</v>
      </c>
      <c r="O47" t="n">
        <v>8</v>
      </c>
      <c r="P47" t="n">
        <v>2</v>
      </c>
      <c r="Q47" t="n">
        <v>11</v>
      </c>
      <c r="R47" s="2" t="inlineStr">
        <is>
          <t>Lansettfibbla
Narrspindling
Ladlav
Odörspindling
Smedbock
Svinrot
Tallticka
Vippärt
Anisspindling
Nästrot
Vårärt</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584-2023</t>
        </is>
      </c>
      <c r="B48" s="1" t="n">
        <v>44930</v>
      </c>
      <c r="C48" s="1" t="n">
        <v>45939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45939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17766-2024</t>
        </is>
      </c>
      <c r="B50" s="1" t="n">
        <v>45418</v>
      </c>
      <c r="C50" s="1" t="n">
        <v>45939</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1719-2025</t>
        </is>
      </c>
      <c r="B51" s="1" t="n">
        <v>45671</v>
      </c>
      <c r="C51" s="1" t="n">
        <v>45939</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22404-2024</t>
        </is>
      </c>
      <c r="B52" s="1" t="n">
        <v>45446</v>
      </c>
      <c r="C52" s="1" t="n">
        <v>45939</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14354-2024</t>
        </is>
      </c>
      <c r="B53" s="1" t="n">
        <v>45393</v>
      </c>
      <c r="C53" s="1" t="n">
        <v>45939</v>
      </c>
      <c r="D53" t="inlineStr">
        <is>
          <t>GOTLANDS LÄN</t>
        </is>
      </c>
      <c r="E53" t="inlineStr">
        <is>
          <t>GOTLAND</t>
        </is>
      </c>
      <c r="G53" t="n">
        <v>2.4</v>
      </c>
      <c r="H53" t="n">
        <v>6</v>
      </c>
      <c r="I53" t="n">
        <v>4</v>
      </c>
      <c r="J53" t="n">
        <v>4</v>
      </c>
      <c r="K53" t="n">
        <v>0</v>
      </c>
      <c r="L53" t="n">
        <v>0</v>
      </c>
      <c r="M53" t="n">
        <v>0</v>
      </c>
      <c r="N53" t="n">
        <v>0</v>
      </c>
      <c r="O53" t="n">
        <v>4</v>
      </c>
      <c r="P53" t="n">
        <v>0</v>
      </c>
      <c r="Q53" t="n">
        <v>10</v>
      </c>
      <c r="R53" s="2" t="inlineStr">
        <is>
          <t>Dårgräsfjäril
Smedbock
Svinrot
Ängsskära
Blåmossa
Nästrot
Skogsknipprot
Tvåblad
Fläcknycklar
Nattviol</t>
        </is>
      </c>
      <c r="S53">
        <f>HYPERLINK("https://klasma.github.io/Logging_0980/artfynd/A 14354-2024 artfynd.xlsx", "A 14354-2024")</f>
        <v/>
      </c>
      <c r="T53">
        <f>HYPERLINK("https://klasma.github.io/Logging_0980/kartor/A 14354-2024 karta.png", "A 14354-2024")</f>
        <v/>
      </c>
      <c r="V53">
        <f>HYPERLINK("https://klasma.github.io/Logging_0980/klagomål/A 14354-2024 FSC-klagomål.docx", "A 14354-2024")</f>
        <v/>
      </c>
      <c r="W53">
        <f>HYPERLINK("https://klasma.github.io/Logging_0980/klagomålsmail/A 14354-2024 FSC-klagomål mail.docx", "A 14354-2024")</f>
        <v/>
      </c>
      <c r="X53">
        <f>HYPERLINK("https://klasma.github.io/Logging_0980/tillsyn/A 14354-2024 tillsynsbegäran.docx", "A 14354-2024")</f>
        <v/>
      </c>
      <c r="Y53">
        <f>HYPERLINK("https://klasma.github.io/Logging_0980/tillsynsmail/A 14354-2024 tillsynsbegäran mail.docx", "A 14354-2024")</f>
        <v/>
      </c>
    </row>
    <row r="54" ht="15" customHeight="1">
      <c r="A54" t="inlineStr">
        <is>
          <t>A 39376-2023</t>
        </is>
      </c>
      <c r="B54" s="1" t="n">
        <v>45166</v>
      </c>
      <c r="C54" s="1" t="n">
        <v>45939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45939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45939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45939</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45939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18541-2024</t>
        </is>
      </c>
      <c r="B60" s="1" t="n">
        <v>45425</v>
      </c>
      <c r="C60" s="1" t="n">
        <v>45939</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4984-2025</t>
        </is>
      </c>
      <c r="B61" s="1" t="n">
        <v>45691.29891203704</v>
      </c>
      <c r="C61" s="1" t="n">
        <v>45939</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45248-2024</t>
        </is>
      </c>
      <c r="B62" s="1" t="n">
        <v>45576</v>
      </c>
      <c r="C62" s="1" t="n">
        <v>45939</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10419-2025</t>
        </is>
      </c>
      <c r="B63" s="1" t="n">
        <v>45720</v>
      </c>
      <c r="C63" s="1" t="n">
        <v>45939</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45939</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45939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25205-2021</t>
        </is>
      </c>
      <c r="B66" s="1" t="n">
        <v>44342</v>
      </c>
      <c r="C66" s="1" t="n">
        <v>45939</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446-2023</t>
        </is>
      </c>
      <c r="B67" s="1" t="n">
        <v>44929</v>
      </c>
      <c r="C67" s="1" t="n">
        <v>45939</v>
      </c>
      <c r="D67" t="inlineStr">
        <is>
          <t>GOTLANDS LÄN</t>
        </is>
      </c>
      <c r="E67" t="inlineStr">
        <is>
          <t>GOTLAND</t>
        </is>
      </c>
      <c r="G67" t="n">
        <v>7.1</v>
      </c>
      <c r="H67" t="n">
        <v>2</v>
      </c>
      <c r="I67" t="n">
        <v>3</v>
      </c>
      <c r="J67" t="n">
        <v>2</v>
      </c>
      <c r="K67" t="n">
        <v>1</v>
      </c>
      <c r="L67" t="n">
        <v>0</v>
      </c>
      <c r="M67" t="n">
        <v>0</v>
      </c>
      <c r="N67" t="n">
        <v>0</v>
      </c>
      <c r="O67" t="n">
        <v>3</v>
      </c>
      <c r="P67" t="n">
        <v>1</v>
      </c>
      <c r="Q67" t="n">
        <v>6</v>
      </c>
      <c r="R67" s="2" t="inlineStr">
        <is>
          <t>Svartgrön spindling
Spillkråka
Äggspindling
Kastanjefjällskivling
Skogsknipprot
Svavelriska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54527-2023</t>
        </is>
      </c>
      <c r="B68" s="1" t="n">
        <v>45233</v>
      </c>
      <c r="C68" s="1" t="n">
        <v>45939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45939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45939</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65819-2020</t>
        </is>
      </c>
      <c r="B71" s="1" t="n">
        <v>44174</v>
      </c>
      <c r="C71" s="1" t="n">
        <v>45939</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45939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45939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66091-2021</t>
        </is>
      </c>
      <c r="B74" s="1" t="n">
        <v>44517</v>
      </c>
      <c r="C74" s="1" t="n">
        <v>45939</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45939</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44944-2022</t>
        </is>
      </c>
      <c r="B76" s="1" t="n">
        <v>44841</v>
      </c>
      <c r="C76" s="1" t="n">
        <v>45939</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42936-2024</t>
        </is>
      </c>
      <c r="B77" s="1" t="n">
        <v>45567</v>
      </c>
      <c r="C77" s="1" t="n">
        <v>45939</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2213-2023</t>
        </is>
      </c>
      <c r="B78" s="1" t="n">
        <v>44942</v>
      </c>
      <c r="C78" s="1" t="n">
        <v>45939</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45939</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45939</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16375-2025</t>
        </is>
      </c>
      <c r="B81" s="1" t="n">
        <v>45751.41064814815</v>
      </c>
      <c r="C81" s="1" t="n">
        <v>45939</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45939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29331-2021</t>
        </is>
      </c>
      <c r="B83" s="1" t="n">
        <v>44361</v>
      </c>
      <c r="C83" s="1" t="n">
        <v>45939</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45939</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45939</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43197-2023</t>
        </is>
      </c>
      <c r="B86" s="1" t="n">
        <v>45183</v>
      </c>
      <c r="C86" s="1" t="n">
        <v>45939</v>
      </c>
      <c r="D86" t="inlineStr">
        <is>
          <t>GOTLANDS LÄN</t>
        </is>
      </c>
      <c r="E86" t="inlineStr">
        <is>
          <t>GOTLAND</t>
        </is>
      </c>
      <c r="G86" t="n">
        <v>3.7</v>
      </c>
      <c r="H86" t="n">
        <v>2</v>
      </c>
      <c r="I86" t="n">
        <v>1</v>
      </c>
      <c r="J86" t="n">
        <v>1</v>
      </c>
      <c r="K86" t="n">
        <v>1</v>
      </c>
      <c r="L86" t="n">
        <v>0</v>
      </c>
      <c r="M86" t="n">
        <v>0</v>
      </c>
      <c r="N86" t="n">
        <v>0</v>
      </c>
      <c r="O86" t="n">
        <v>2</v>
      </c>
      <c r="P86" t="n">
        <v>1</v>
      </c>
      <c r="Q86" t="n">
        <v>4</v>
      </c>
      <c r="R86" s="2" t="inlineStr">
        <is>
          <t>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8265-2023</t>
        </is>
      </c>
      <c r="B87" s="1" t="n">
        <v>44974</v>
      </c>
      <c r="C87" s="1" t="n">
        <v>45939</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1971-2023</t>
        </is>
      </c>
      <c r="B88" s="1" t="n">
        <v>44939</v>
      </c>
      <c r="C88" s="1" t="n">
        <v>45939</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45939</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186-2023</t>
        </is>
      </c>
      <c r="B90" s="1" t="n">
        <v>44928</v>
      </c>
      <c r="C90" s="1" t="n">
        <v>45939</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45939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45939</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45939</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45939</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45939</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20833-2024</t>
        </is>
      </c>
      <c r="B96" s="1" t="n">
        <v>45439</v>
      </c>
      <c r="C96" s="1" t="n">
        <v>45939</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55029-2020</t>
        </is>
      </c>
      <c r="B97" s="1" t="n">
        <v>44130</v>
      </c>
      <c r="C97" s="1" t="n">
        <v>45939</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45939</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45939</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45939</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45939</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45939</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32718-2021</t>
        </is>
      </c>
      <c r="B103" s="1" t="n">
        <v>44375</v>
      </c>
      <c r="C103" s="1" t="n">
        <v>45939</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48126-2022</t>
        </is>
      </c>
      <c r="B104" s="1" t="n">
        <v>44857</v>
      </c>
      <c r="C104" s="1" t="n">
        <v>45939</v>
      </c>
      <c r="D104" t="inlineStr">
        <is>
          <t>GOTLANDS LÄN</t>
        </is>
      </c>
      <c r="E104" t="inlineStr">
        <is>
          <t>GOTLAND</t>
        </is>
      </c>
      <c r="G104" t="n">
        <v>9.800000000000001</v>
      </c>
      <c r="H104" t="n">
        <v>1</v>
      </c>
      <c r="I104" t="n">
        <v>0</v>
      </c>
      <c r="J104" t="n">
        <v>3</v>
      </c>
      <c r="K104" t="n">
        <v>0</v>
      </c>
      <c r="L104" t="n">
        <v>0</v>
      </c>
      <c r="M104" t="n">
        <v>0</v>
      </c>
      <c r="N104" t="n">
        <v>0</v>
      </c>
      <c r="O104" t="n">
        <v>3</v>
      </c>
      <c r="P104" t="n">
        <v>0</v>
      </c>
      <c r="Q104" t="n">
        <v>3</v>
      </c>
      <c r="R104" s="2" t="inlineStr">
        <is>
          <t>Jordtistel
Spillkråka
Svinrot</t>
        </is>
      </c>
      <c r="S104">
        <f>HYPERLINK("https://klasma.github.io/Logging_0980/artfynd/A 48126-2022 artfynd.xlsx", "A 48126-2022")</f>
        <v/>
      </c>
      <c r="T104">
        <f>HYPERLINK("https://klasma.github.io/Logging_0980/kartor/A 48126-2022 karta.png", "A 48126-2022")</f>
        <v/>
      </c>
      <c r="V104">
        <f>HYPERLINK("https://klasma.github.io/Logging_0980/klagomål/A 48126-2022 FSC-klagomål.docx", "A 48126-2022")</f>
        <v/>
      </c>
      <c r="W104">
        <f>HYPERLINK("https://klasma.github.io/Logging_0980/klagomålsmail/A 48126-2022 FSC-klagomål mail.docx", "A 48126-2022")</f>
        <v/>
      </c>
      <c r="X104">
        <f>HYPERLINK("https://klasma.github.io/Logging_0980/tillsyn/A 48126-2022 tillsynsbegäran.docx", "A 48126-2022")</f>
        <v/>
      </c>
      <c r="Y104">
        <f>HYPERLINK("https://klasma.github.io/Logging_0980/tillsynsmail/A 48126-2022 tillsynsbegäran mail.docx", "A 48126-2022")</f>
        <v/>
      </c>
      <c r="Z104">
        <f>HYPERLINK("https://klasma.github.io/Logging_0980/fåglar/A 48126-2022 prioriterade fågelarter.docx", "A 48126-2022")</f>
        <v/>
      </c>
    </row>
    <row r="105" ht="15" customHeight="1">
      <c r="A105" t="inlineStr">
        <is>
          <t>A 62326-2020</t>
        </is>
      </c>
      <c r="B105" s="1" t="n">
        <v>44160</v>
      </c>
      <c r="C105" s="1" t="n">
        <v>45939</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43013-2022</t>
        </is>
      </c>
      <c r="B106" s="1" t="n">
        <v>44833</v>
      </c>
      <c r="C106" s="1" t="n">
        <v>45939</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5235-2025</t>
        </is>
      </c>
      <c r="B107" s="1" t="n">
        <v>45692.26797453704</v>
      </c>
      <c r="C107" s="1" t="n">
        <v>45939</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73144-2021</t>
        </is>
      </c>
      <c r="B108" s="1" t="n">
        <v>44550</v>
      </c>
      <c r="C108" s="1" t="n">
        <v>45939</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53552-2021</t>
        </is>
      </c>
      <c r="B109" s="1" t="n">
        <v>44468</v>
      </c>
      <c r="C109" s="1" t="n">
        <v>45939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17982-2023</t>
        </is>
      </c>
      <c r="B110" s="1" t="n">
        <v>45040</v>
      </c>
      <c r="C110" s="1" t="n">
        <v>45939</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45939</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13499-2022</t>
        </is>
      </c>
      <c r="B112" s="1" t="n">
        <v>44647.79203703703</v>
      </c>
      <c r="C112" s="1" t="n">
        <v>45939</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30490-2025</t>
        </is>
      </c>
      <c r="B113" s="1" t="n">
        <v>45830</v>
      </c>
      <c r="C113" s="1" t="n">
        <v>45939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12315-2024</t>
        </is>
      </c>
      <c r="B114" s="1" t="n">
        <v>45378.6434837963</v>
      </c>
      <c r="C114" s="1" t="n">
        <v>45939</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45939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29870-2021</t>
        </is>
      </c>
      <c r="B117" s="1" t="n">
        <v>44362</v>
      </c>
      <c r="C117" s="1" t="n">
        <v>45939</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45939</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45939</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45939</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45939</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60665-2021</t>
        </is>
      </c>
      <c r="B123" s="1" t="n">
        <v>44496</v>
      </c>
      <c r="C123" s="1" t="n">
        <v>45939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26077-2024</t>
        </is>
      </c>
      <c r="B124" s="1" t="n">
        <v>45467</v>
      </c>
      <c r="C124" s="1" t="n">
        <v>45939</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58701-2020</t>
        </is>
      </c>
      <c r="B125" s="1" t="n">
        <v>44146</v>
      </c>
      <c r="C125" s="1" t="n">
        <v>45939</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20838-2024</t>
        </is>
      </c>
      <c r="B126" s="1" t="n">
        <v>45439</v>
      </c>
      <c r="C126" s="1" t="n">
        <v>45939</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28276-2024</t>
        </is>
      </c>
      <c r="B127" s="1" t="n">
        <v>45477</v>
      </c>
      <c r="C127" s="1" t="n">
        <v>45939</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28276-2024 artfynd.xlsx", "A 28276-2024")</f>
        <v/>
      </c>
      <c r="T127">
        <f>HYPERLINK("https://klasma.github.io/Logging_0980/kartor/A 28276-2024 karta.png", "A 28276-2024")</f>
        <v/>
      </c>
      <c r="V127">
        <f>HYPERLINK("https://klasma.github.io/Logging_0980/klagomål/A 28276-2024 FSC-klagomål.docx", "A 28276-2024")</f>
        <v/>
      </c>
      <c r="W127">
        <f>HYPERLINK("https://klasma.github.io/Logging_0980/klagomålsmail/A 28276-2024 FSC-klagomål mail.docx", "A 28276-2024")</f>
        <v/>
      </c>
      <c r="X127">
        <f>HYPERLINK("https://klasma.github.io/Logging_0980/tillsyn/A 28276-2024 tillsynsbegäran.docx", "A 28276-2024")</f>
        <v/>
      </c>
      <c r="Y127">
        <f>HYPERLINK("https://klasma.github.io/Logging_0980/tillsynsmail/A 28276-2024 tillsynsbegäran mail.docx", "A 28276-2024")</f>
        <v/>
      </c>
    </row>
    <row r="128" ht="15" customHeight="1">
      <c r="A128" t="inlineStr">
        <is>
          <t>A 64263-2020</t>
        </is>
      </c>
      <c r="B128" s="1" t="n">
        <v>44168</v>
      </c>
      <c r="C128" s="1" t="n">
        <v>45939</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21879-2025</t>
        </is>
      </c>
      <c r="B129" s="1" t="n">
        <v>45784.40533564815</v>
      </c>
      <c r="C129" s="1" t="n">
        <v>45939</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13627-2023</t>
        </is>
      </c>
      <c r="B130" s="1" t="n">
        <v>45006</v>
      </c>
      <c r="C130" s="1" t="n">
        <v>45939</v>
      </c>
      <c r="D130" t="inlineStr">
        <is>
          <t>GOTLANDS LÄN</t>
        </is>
      </c>
      <c r="E130" t="inlineStr">
        <is>
          <t>GOTLAND</t>
        </is>
      </c>
      <c r="G130" t="n">
        <v>10.7</v>
      </c>
      <c r="H130" t="n">
        <v>0</v>
      </c>
      <c r="I130" t="n">
        <v>0</v>
      </c>
      <c r="J130" t="n">
        <v>1</v>
      </c>
      <c r="K130" t="n">
        <v>1</v>
      </c>
      <c r="L130" t="n">
        <v>0</v>
      </c>
      <c r="M130" t="n">
        <v>0</v>
      </c>
      <c r="N130" t="n">
        <v>0</v>
      </c>
      <c r="O130" t="n">
        <v>2</v>
      </c>
      <c r="P130" t="n">
        <v>1</v>
      </c>
      <c r="Q130" t="n">
        <v>2</v>
      </c>
      <c r="R130" s="2" t="inlineStr">
        <is>
          <t>Sammetsbockrot
Igelkott</t>
        </is>
      </c>
      <c r="S130">
        <f>HYPERLINK("https://klasma.github.io/Logging_0980/artfynd/A 13627-2023 artfynd.xlsx", "A 13627-2023")</f>
        <v/>
      </c>
      <c r="T130">
        <f>HYPERLINK("https://klasma.github.io/Logging_0980/kartor/A 13627-2023 karta.png", "A 13627-2023")</f>
        <v/>
      </c>
      <c r="V130">
        <f>HYPERLINK("https://klasma.github.io/Logging_0980/klagomål/A 13627-2023 FSC-klagomål.docx", "A 13627-2023")</f>
        <v/>
      </c>
      <c r="W130">
        <f>HYPERLINK("https://klasma.github.io/Logging_0980/klagomålsmail/A 13627-2023 FSC-klagomål mail.docx", "A 13627-2023")</f>
        <v/>
      </c>
      <c r="X130">
        <f>HYPERLINK("https://klasma.github.io/Logging_0980/tillsyn/A 13627-2023 tillsynsbegäran.docx", "A 13627-2023")</f>
        <v/>
      </c>
      <c r="Y130">
        <f>HYPERLINK("https://klasma.github.io/Logging_0980/tillsynsmail/A 13627-2023 tillsynsbegäran mail.docx", "A 13627-2023")</f>
        <v/>
      </c>
    </row>
    <row r="131" ht="15" customHeight="1">
      <c r="A131" t="inlineStr">
        <is>
          <t>A 54357-2024</t>
        </is>
      </c>
      <c r="B131" s="1" t="n">
        <v>45617.40662037037</v>
      </c>
      <c r="C131" s="1" t="n">
        <v>45939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45939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45939</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45939</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45939</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24-2021</t>
        </is>
      </c>
      <c r="B137" s="1" t="n">
        <v>44197</v>
      </c>
      <c r="C137" s="1" t="n">
        <v>45939</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45939</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45939</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45939</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45939</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45939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15637-2024</t>
        </is>
      </c>
      <c r="B144" s="1" t="n">
        <v>45403.6684837963</v>
      </c>
      <c r="C144" s="1" t="n">
        <v>45939</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17723-2021</t>
        </is>
      </c>
      <c r="B145" s="1" t="n">
        <v>44300</v>
      </c>
      <c r="C145" s="1" t="n">
        <v>45939</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63299-2020</t>
        </is>
      </c>
      <c r="B146" s="1" t="n">
        <v>44165</v>
      </c>
      <c r="C146" s="1" t="n">
        <v>45939</v>
      </c>
      <c r="D146" t="inlineStr">
        <is>
          <t>GOTLANDS LÄN</t>
        </is>
      </c>
      <c r="E146" t="inlineStr">
        <is>
          <t>GOTLAND</t>
        </is>
      </c>
      <c r="G146" t="n">
        <v>12.9</v>
      </c>
      <c r="H146" t="n">
        <v>1</v>
      </c>
      <c r="I146" t="n">
        <v>0</v>
      </c>
      <c r="J146" t="n">
        <v>1</v>
      </c>
      <c r="K146" t="n">
        <v>0</v>
      </c>
      <c r="L146" t="n">
        <v>0</v>
      </c>
      <c r="M146" t="n">
        <v>0</v>
      </c>
      <c r="N146" t="n">
        <v>0</v>
      </c>
      <c r="O146" t="n">
        <v>1</v>
      </c>
      <c r="P146" t="n">
        <v>0</v>
      </c>
      <c r="Q146" t="n">
        <v>1</v>
      </c>
      <c r="R146" s="2" t="inlineStr">
        <is>
          <t>Svartfläckig blåvinge</t>
        </is>
      </c>
      <c r="S146">
        <f>HYPERLINK("https://klasma.github.io/Logging_0980/artfynd/A 63299-2020 artfynd.xlsx", "A 63299-2020")</f>
        <v/>
      </c>
      <c r="T146">
        <f>HYPERLINK("https://klasma.github.io/Logging_0980/kartor/A 63299-2020 karta.png", "A 63299-2020")</f>
        <v/>
      </c>
      <c r="V146">
        <f>HYPERLINK("https://klasma.github.io/Logging_0980/klagomål/A 63299-2020 FSC-klagomål.docx", "A 63299-2020")</f>
        <v/>
      </c>
      <c r="W146">
        <f>HYPERLINK("https://klasma.github.io/Logging_0980/klagomålsmail/A 63299-2020 FSC-klagomål mail.docx", "A 63299-2020")</f>
        <v/>
      </c>
      <c r="X146">
        <f>HYPERLINK("https://klasma.github.io/Logging_0980/tillsyn/A 63299-2020 tillsynsbegäran.docx", "A 63299-2020")</f>
        <v/>
      </c>
      <c r="Y146">
        <f>HYPERLINK("https://klasma.github.io/Logging_0980/tillsynsmail/A 63299-2020 tillsynsbegäran mail.docx", "A 63299-2020")</f>
        <v/>
      </c>
    </row>
    <row r="147" ht="15" customHeight="1">
      <c r="A147" t="inlineStr">
        <is>
          <t>A 27168-2022</t>
        </is>
      </c>
      <c r="B147" s="1" t="n">
        <v>44741</v>
      </c>
      <c r="C147" s="1" t="n">
        <v>45939</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44619-2025</t>
        </is>
      </c>
      <c r="B148" s="1" t="n">
        <v>45917</v>
      </c>
      <c r="C148" s="1" t="n">
        <v>45939</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22782-2023</t>
        </is>
      </c>
      <c r="B149" s="1" t="n">
        <v>45072</v>
      </c>
      <c r="C149" s="1" t="n">
        <v>45939</v>
      </c>
      <c r="D149" t="inlineStr">
        <is>
          <t>GOTLANDS LÄN</t>
        </is>
      </c>
      <c r="E149" t="inlineStr">
        <is>
          <t>GOTLAND</t>
        </is>
      </c>
      <c r="F149" t="inlineStr">
        <is>
          <t>Kyrkan</t>
        </is>
      </c>
      <c r="G149" t="n">
        <v>3.1</v>
      </c>
      <c r="H149" t="n">
        <v>1</v>
      </c>
      <c r="I149" t="n">
        <v>0</v>
      </c>
      <c r="J149" t="n">
        <v>0</v>
      </c>
      <c r="K149" t="n">
        <v>0</v>
      </c>
      <c r="L149" t="n">
        <v>0</v>
      </c>
      <c r="M149" t="n">
        <v>0</v>
      </c>
      <c r="N149" t="n">
        <v>0</v>
      </c>
      <c r="O149" t="n">
        <v>0</v>
      </c>
      <c r="P149" t="n">
        <v>0</v>
      </c>
      <c r="Q149" t="n">
        <v>1</v>
      </c>
      <c r="R149" s="2" t="inlineStr">
        <is>
          <t>Ängsnycklar × skogsnycklar</t>
        </is>
      </c>
      <c r="S149">
        <f>HYPERLINK("https://klasma.github.io/Logging_0980/artfynd/A 22782-2023 artfynd.xlsx", "A 22782-2023")</f>
        <v/>
      </c>
      <c r="T149">
        <f>HYPERLINK("https://klasma.github.io/Logging_0980/kartor/A 22782-2023 karta.png", "A 22782-2023")</f>
        <v/>
      </c>
      <c r="V149">
        <f>HYPERLINK("https://klasma.github.io/Logging_0980/klagomål/A 22782-2023 FSC-klagomål.docx", "A 22782-2023")</f>
        <v/>
      </c>
      <c r="W149">
        <f>HYPERLINK("https://klasma.github.io/Logging_0980/klagomålsmail/A 22782-2023 FSC-klagomål mail.docx", "A 22782-2023")</f>
        <v/>
      </c>
      <c r="X149">
        <f>HYPERLINK("https://klasma.github.io/Logging_0980/tillsyn/A 22782-2023 tillsynsbegäran.docx", "A 22782-2023")</f>
        <v/>
      </c>
      <c r="Y149">
        <f>HYPERLINK("https://klasma.github.io/Logging_0980/tillsynsmail/A 22782-2023 tillsynsbegäran mail.docx", "A 22782-2023")</f>
        <v/>
      </c>
    </row>
    <row r="150" ht="15" customHeight="1">
      <c r="A150" t="inlineStr">
        <is>
          <t>A 22883-2024</t>
        </is>
      </c>
      <c r="B150" s="1" t="n">
        <v>45448.66368055555</v>
      </c>
      <c r="C150" s="1" t="n">
        <v>45939</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12924-2025</t>
        </is>
      </c>
      <c r="B151" s="1" t="n">
        <v>45734</v>
      </c>
      <c r="C151" s="1" t="n">
        <v>45939</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2476-2025</t>
        </is>
      </c>
      <c r="B152" s="1" t="n">
        <v>45673</v>
      </c>
      <c r="C152" s="1" t="n">
        <v>45939</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45939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13939-2021</t>
        </is>
      </c>
      <c r="B154" s="1" t="n">
        <v>44277</v>
      </c>
      <c r="C154" s="1" t="n">
        <v>45939</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62552-2022</t>
        </is>
      </c>
      <c r="B155" s="1" t="n">
        <v>44924</v>
      </c>
      <c r="C155" s="1" t="n">
        <v>45939</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25977-2024</t>
        </is>
      </c>
      <c r="B156" s="1" t="n">
        <v>45467.69356481481</v>
      </c>
      <c r="C156" s="1" t="n">
        <v>45939</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44088-2022</t>
        </is>
      </c>
      <c r="B157" s="1" t="n">
        <v>44839</v>
      </c>
      <c r="C157" s="1" t="n">
        <v>45939</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24245-2022</t>
        </is>
      </c>
      <c r="B158" s="1" t="n">
        <v>44725</v>
      </c>
      <c r="C158" s="1" t="n">
        <v>45939</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65927-2021</t>
        </is>
      </c>
      <c r="B159" s="1" t="n">
        <v>44516</v>
      </c>
      <c r="C159" s="1" t="n">
        <v>45939</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61796-2022</t>
        </is>
      </c>
      <c r="B160" s="1" t="n">
        <v>44917</v>
      </c>
      <c r="C160" s="1" t="n">
        <v>45939</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c r="Z160">
        <f>HYPERLINK("https://klasma.github.io/Logging_0980/fåglar/A 61796-2022 prioriterade fågelarter.docx", "A 61796-2022")</f>
        <v/>
      </c>
    </row>
    <row r="161" ht="15" customHeight="1">
      <c r="A161" t="inlineStr">
        <is>
          <t>A 44308-2021</t>
        </is>
      </c>
      <c r="B161" s="1" t="n">
        <v>44434</v>
      </c>
      <c r="C161" s="1" t="n">
        <v>45939</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49847-2023</t>
        </is>
      </c>
      <c r="B162" s="1" t="n">
        <v>45212</v>
      </c>
      <c r="C162" s="1" t="n">
        <v>45939</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447-2023</t>
        </is>
      </c>
      <c r="B163" s="1" t="n">
        <v>44929</v>
      </c>
      <c r="C163" s="1" t="n">
        <v>45939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46527-2023</t>
        </is>
      </c>
      <c r="B164" s="1" t="n">
        <v>45197</v>
      </c>
      <c r="C164" s="1" t="n">
        <v>45939</v>
      </c>
      <c r="D164" t="inlineStr">
        <is>
          <t>GOTLANDS LÄN</t>
        </is>
      </c>
      <c r="E164" t="inlineStr">
        <is>
          <t>GOTLAND</t>
        </is>
      </c>
      <c r="G164" t="n">
        <v>0.9</v>
      </c>
      <c r="H164" t="n">
        <v>0</v>
      </c>
      <c r="I164" t="n">
        <v>0</v>
      </c>
      <c r="J164" t="n">
        <v>1</v>
      </c>
      <c r="K164" t="n">
        <v>0</v>
      </c>
      <c r="L164" t="n">
        <v>0</v>
      </c>
      <c r="M164" t="n">
        <v>0</v>
      </c>
      <c r="N164" t="n">
        <v>0</v>
      </c>
      <c r="O164" t="n">
        <v>1</v>
      </c>
      <c r="P164" t="n">
        <v>0</v>
      </c>
      <c r="Q164" t="n">
        <v>1</v>
      </c>
      <c r="R164" s="2" t="inlineStr">
        <is>
          <t>Guldgräshoppa</t>
        </is>
      </c>
      <c r="S164">
        <f>HYPERLINK("https://klasma.github.io/Logging_0980/artfynd/A 46527-2023 artfynd.xlsx", "A 46527-2023")</f>
        <v/>
      </c>
      <c r="T164">
        <f>HYPERLINK("https://klasma.github.io/Logging_0980/kartor/A 46527-2023 karta.png", "A 46527-2023")</f>
        <v/>
      </c>
      <c r="V164">
        <f>HYPERLINK("https://klasma.github.io/Logging_0980/klagomål/A 46527-2023 FSC-klagomål.docx", "A 46527-2023")</f>
        <v/>
      </c>
      <c r="W164">
        <f>HYPERLINK("https://klasma.github.io/Logging_0980/klagomålsmail/A 46527-2023 FSC-klagomål mail.docx", "A 46527-2023")</f>
        <v/>
      </c>
      <c r="X164">
        <f>HYPERLINK("https://klasma.github.io/Logging_0980/tillsyn/A 46527-2023 tillsynsbegäran.docx", "A 46527-2023")</f>
        <v/>
      </c>
      <c r="Y164">
        <f>HYPERLINK("https://klasma.github.io/Logging_0980/tillsynsmail/A 46527-2023 tillsynsbegäran mail.docx", "A 46527-2023")</f>
        <v/>
      </c>
    </row>
    <row r="165" ht="15" customHeight="1">
      <c r="A165" t="inlineStr">
        <is>
          <t>A 12324-2025</t>
        </is>
      </c>
      <c r="B165" s="1" t="n">
        <v>45730</v>
      </c>
      <c r="C165" s="1" t="n">
        <v>45939</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947-2023</t>
        </is>
      </c>
      <c r="B166" s="1" t="n">
        <v>44934</v>
      </c>
      <c r="C166" s="1" t="n">
        <v>45939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20429-2025</t>
        </is>
      </c>
      <c r="B167" s="1" t="n">
        <v>45775.47728009259</v>
      </c>
      <c r="C167" s="1" t="n">
        <v>45939</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37591-2023</t>
        </is>
      </c>
      <c r="B168" s="1" t="n">
        <v>45159</v>
      </c>
      <c r="C168" s="1" t="n">
        <v>45939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39812-2025</t>
        </is>
      </c>
      <c r="B169" s="1" t="n">
        <v>45891</v>
      </c>
      <c r="C169" s="1" t="n">
        <v>45939</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49304-2024</t>
        </is>
      </c>
      <c r="B170" s="1" t="n">
        <v>45595.54996527778</v>
      </c>
      <c r="C170" s="1" t="n">
        <v>45939</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45939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45939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21466-2025</t>
        </is>
      </c>
      <c r="B173" s="1" t="n">
        <v>45782</v>
      </c>
      <c r="C173" s="1" t="n">
        <v>45939</v>
      </c>
      <c r="D173" t="inlineStr">
        <is>
          <t>GOTLANDS LÄN</t>
        </is>
      </c>
      <c r="E173" t="inlineStr">
        <is>
          <t>GOTLAND</t>
        </is>
      </c>
      <c r="F173" t="inlineStr">
        <is>
          <t>Övriga statliga verk och myndigheter</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HYPERLINK("https://klasma.github.io/Logging_0980/artfynd/A 21466-2025 artfynd.xlsx", "A 21466-2025")</f>
        <v/>
      </c>
      <c r="T173">
        <f>HYPERLINK("https://klasma.github.io/Logging_0980/kartor/A 21466-2025 karta.png", "A 21466-2025")</f>
        <v/>
      </c>
      <c r="V173">
        <f>HYPERLINK("https://klasma.github.io/Logging_0980/klagomål/A 21466-2025 FSC-klagomål.docx", "A 21466-2025")</f>
        <v/>
      </c>
      <c r="W173">
        <f>HYPERLINK("https://klasma.github.io/Logging_0980/klagomålsmail/A 21466-2025 FSC-klagomål mail.docx", "A 21466-2025")</f>
        <v/>
      </c>
      <c r="X173">
        <f>HYPERLINK("https://klasma.github.io/Logging_0980/tillsyn/A 21466-2025 tillsynsbegäran.docx", "A 21466-2025")</f>
        <v/>
      </c>
      <c r="Y173">
        <f>HYPERLINK("https://klasma.github.io/Logging_0980/tillsynsmail/A 21466-2025 tillsynsbegäran mail.docx", "A 21466-2025")</f>
        <v/>
      </c>
    </row>
    <row r="174" ht="15" customHeight="1">
      <c r="A174" t="inlineStr">
        <is>
          <t>A 14915-2025</t>
        </is>
      </c>
      <c r="B174" s="1" t="n">
        <v>45743.53121527778</v>
      </c>
      <c r="C174" s="1" t="n">
        <v>45939</v>
      </c>
      <c r="D174" t="inlineStr">
        <is>
          <t>GOTLANDS LÄN</t>
        </is>
      </c>
      <c r="E174" t="inlineStr">
        <is>
          <t>GOTLAND</t>
        </is>
      </c>
      <c r="G174" t="n">
        <v>5.9</v>
      </c>
      <c r="H174" t="n">
        <v>0</v>
      </c>
      <c r="I174" t="n">
        <v>0</v>
      </c>
      <c r="J174" t="n">
        <v>1</v>
      </c>
      <c r="K174" t="n">
        <v>0</v>
      </c>
      <c r="L174" t="n">
        <v>0</v>
      </c>
      <c r="M174" t="n">
        <v>0</v>
      </c>
      <c r="N174" t="n">
        <v>0</v>
      </c>
      <c r="O174" t="n">
        <v>1</v>
      </c>
      <c r="P174" t="n">
        <v>0</v>
      </c>
      <c r="Q174" t="n">
        <v>1</v>
      </c>
      <c r="R174" s="2" t="inlineStr">
        <is>
          <t>Igelkott</t>
        </is>
      </c>
      <c r="S174">
        <f>HYPERLINK("https://klasma.github.io/Logging_0980/artfynd/A 14915-2025 artfynd.xlsx", "A 14915-2025")</f>
        <v/>
      </c>
      <c r="T174">
        <f>HYPERLINK("https://klasma.github.io/Logging_0980/kartor/A 14915-2025 karta.png", "A 14915-2025")</f>
        <v/>
      </c>
      <c r="V174">
        <f>HYPERLINK("https://klasma.github.io/Logging_0980/klagomål/A 14915-2025 FSC-klagomål.docx", "A 14915-2025")</f>
        <v/>
      </c>
      <c r="W174">
        <f>HYPERLINK("https://klasma.github.io/Logging_0980/klagomålsmail/A 14915-2025 FSC-klagomål mail.docx", "A 14915-2025")</f>
        <v/>
      </c>
      <c r="X174">
        <f>HYPERLINK("https://klasma.github.io/Logging_0980/tillsyn/A 14915-2025 tillsynsbegäran.docx", "A 14915-2025")</f>
        <v/>
      </c>
      <c r="Y174">
        <f>HYPERLINK("https://klasma.github.io/Logging_0980/tillsynsmail/A 14915-2025 tillsynsbegäran mail.docx", "A 14915-2025")</f>
        <v/>
      </c>
    </row>
    <row r="175" ht="15" customHeight="1">
      <c r="A175" t="inlineStr">
        <is>
          <t>A 27589-2023</t>
        </is>
      </c>
      <c r="B175" s="1" t="n">
        <v>45097</v>
      </c>
      <c r="C175" s="1" t="n">
        <v>45939</v>
      </c>
      <c r="D175" t="inlineStr">
        <is>
          <t>GOTLANDS LÄN</t>
        </is>
      </c>
      <c r="E175" t="inlineStr">
        <is>
          <t>GOTLAND</t>
        </is>
      </c>
      <c r="G175" t="n">
        <v>5.4</v>
      </c>
      <c r="H175" t="n">
        <v>0</v>
      </c>
      <c r="I175" t="n">
        <v>0</v>
      </c>
      <c r="J175" t="n">
        <v>0</v>
      </c>
      <c r="K175" t="n">
        <v>0</v>
      </c>
      <c r="L175" t="n">
        <v>0</v>
      </c>
      <c r="M175" t="n">
        <v>1</v>
      </c>
      <c r="N175" t="n">
        <v>0</v>
      </c>
      <c r="O175" t="n">
        <v>1</v>
      </c>
      <c r="P175" t="n">
        <v>1</v>
      </c>
      <c r="Q175" t="n">
        <v>1</v>
      </c>
      <c r="R175" s="2" t="inlineStr">
        <is>
          <t>Skogsalm</t>
        </is>
      </c>
      <c r="S175">
        <f>HYPERLINK("https://klasma.github.io/Logging_0980/artfynd/A 27589-2023 artfynd.xlsx", "A 27589-2023")</f>
        <v/>
      </c>
      <c r="T175">
        <f>HYPERLINK("https://klasma.github.io/Logging_0980/kartor/A 27589-2023 karta.png", "A 27589-2023")</f>
        <v/>
      </c>
      <c r="V175">
        <f>HYPERLINK("https://klasma.github.io/Logging_0980/klagomål/A 27589-2023 FSC-klagomål.docx", "A 27589-2023")</f>
        <v/>
      </c>
      <c r="W175">
        <f>HYPERLINK("https://klasma.github.io/Logging_0980/klagomålsmail/A 27589-2023 FSC-klagomål mail.docx", "A 27589-2023")</f>
        <v/>
      </c>
      <c r="X175">
        <f>HYPERLINK("https://klasma.github.io/Logging_0980/tillsyn/A 27589-2023 tillsynsbegäran.docx", "A 27589-2023")</f>
        <v/>
      </c>
      <c r="Y175">
        <f>HYPERLINK("https://klasma.github.io/Logging_0980/tillsynsmail/A 27589-2023 tillsynsbegäran mail.docx", "A 27589-2023")</f>
        <v/>
      </c>
    </row>
    <row r="176" ht="15" customHeight="1">
      <c r="A176" t="inlineStr">
        <is>
          <t>A 1477-2024</t>
        </is>
      </c>
      <c r="B176" s="1" t="n">
        <v>45305.37987268518</v>
      </c>
      <c r="C176" s="1" t="n">
        <v>45939</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35574-2024</t>
        </is>
      </c>
      <c r="B177" s="1" t="n">
        <v>45531</v>
      </c>
      <c r="C177" s="1" t="n">
        <v>45939</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10440-2024</t>
        </is>
      </c>
      <c r="B178" s="1" t="n">
        <v>45366.32818287037</v>
      </c>
      <c r="C178" s="1" t="n">
        <v>45939</v>
      </c>
      <c r="D178" t="inlineStr">
        <is>
          <t>GOTLANDS LÄN</t>
        </is>
      </c>
      <c r="E178" t="inlineStr">
        <is>
          <t>GOTLAND</t>
        </is>
      </c>
      <c r="G178" t="n">
        <v>2.5</v>
      </c>
      <c r="H178" t="n">
        <v>1</v>
      </c>
      <c r="I178" t="n">
        <v>0</v>
      </c>
      <c r="J178" t="n">
        <v>1</v>
      </c>
      <c r="K178" t="n">
        <v>0</v>
      </c>
      <c r="L178" t="n">
        <v>0</v>
      </c>
      <c r="M178" t="n">
        <v>0</v>
      </c>
      <c r="N178" t="n">
        <v>0</v>
      </c>
      <c r="O178" t="n">
        <v>1</v>
      </c>
      <c r="P178" t="n">
        <v>0</v>
      </c>
      <c r="Q178" t="n">
        <v>1</v>
      </c>
      <c r="R178" s="2" t="inlineStr">
        <is>
          <t>Mindre hackspett</t>
        </is>
      </c>
      <c r="S178">
        <f>HYPERLINK("https://klasma.github.io/Logging_0980/artfynd/A 10440-2024 artfynd.xlsx", "A 10440-2024")</f>
        <v/>
      </c>
      <c r="T178">
        <f>HYPERLINK("https://klasma.github.io/Logging_0980/kartor/A 10440-2024 karta.png", "A 10440-2024")</f>
        <v/>
      </c>
      <c r="V178">
        <f>HYPERLINK("https://klasma.github.io/Logging_0980/klagomål/A 10440-2024 FSC-klagomål.docx", "A 10440-2024")</f>
        <v/>
      </c>
      <c r="W178">
        <f>HYPERLINK("https://klasma.github.io/Logging_0980/klagomålsmail/A 10440-2024 FSC-klagomål mail.docx", "A 10440-2024")</f>
        <v/>
      </c>
      <c r="X178">
        <f>HYPERLINK("https://klasma.github.io/Logging_0980/tillsyn/A 10440-2024 tillsynsbegäran.docx", "A 10440-2024")</f>
        <v/>
      </c>
      <c r="Y178">
        <f>HYPERLINK("https://klasma.github.io/Logging_0980/tillsynsmail/A 10440-2024 tillsynsbegäran mail.docx", "A 10440-2024")</f>
        <v/>
      </c>
      <c r="Z178">
        <f>HYPERLINK("https://klasma.github.io/Logging_0980/fåglar/A 10440-2024 prioriterade fågelarter.docx", "A 10440-2024")</f>
        <v/>
      </c>
    </row>
    <row r="179" ht="15" customHeight="1">
      <c r="A179" t="inlineStr">
        <is>
          <t>A 7637-2025</t>
        </is>
      </c>
      <c r="B179" s="1" t="n">
        <v>45705.77181712963</v>
      </c>
      <c r="C179" s="1" t="n">
        <v>45939</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6303-2024</t>
        </is>
      </c>
      <c r="B180" s="1" t="n">
        <v>45338.35376157407</v>
      </c>
      <c r="C180" s="1" t="n">
        <v>45939</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26461-2025</t>
        </is>
      </c>
      <c r="B181" s="1" t="n">
        <v>45807.43337962963</v>
      </c>
      <c r="C181" s="1" t="n">
        <v>45939</v>
      </c>
      <c r="D181" t="inlineStr">
        <is>
          <t>GOTLANDS LÄN</t>
        </is>
      </c>
      <c r="E181" t="inlineStr">
        <is>
          <t>GOTLAND</t>
        </is>
      </c>
      <c r="G181" t="n">
        <v>4.1</v>
      </c>
      <c r="H181" t="n">
        <v>0</v>
      </c>
      <c r="I181" t="n">
        <v>0</v>
      </c>
      <c r="J181" t="n">
        <v>0</v>
      </c>
      <c r="K181" t="n">
        <v>1</v>
      </c>
      <c r="L181" t="n">
        <v>0</v>
      </c>
      <c r="M181" t="n">
        <v>0</v>
      </c>
      <c r="N181" t="n">
        <v>0</v>
      </c>
      <c r="O181" t="n">
        <v>1</v>
      </c>
      <c r="P181" t="n">
        <v>1</v>
      </c>
      <c r="Q181" t="n">
        <v>1</v>
      </c>
      <c r="R181" s="2" t="inlineStr">
        <is>
          <t>Gotlandsmåra</t>
        </is>
      </c>
      <c r="S181">
        <f>HYPERLINK("https://klasma.github.io/Logging_0980/artfynd/A 26461-2025 artfynd.xlsx", "A 26461-2025")</f>
        <v/>
      </c>
      <c r="T181">
        <f>HYPERLINK("https://klasma.github.io/Logging_0980/kartor/A 26461-2025 karta.png", "A 26461-2025")</f>
        <v/>
      </c>
      <c r="V181">
        <f>HYPERLINK("https://klasma.github.io/Logging_0980/klagomål/A 26461-2025 FSC-klagomål.docx", "A 26461-2025")</f>
        <v/>
      </c>
      <c r="W181">
        <f>HYPERLINK("https://klasma.github.io/Logging_0980/klagomålsmail/A 26461-2025 FSC-klagomål mail.docx", "A 26461-2025")</f>
        <v/>
      </c>
      <c r="X181">
        <f>HYPERLINK("https://klasma.github.io/Logging_0980/tillsyn/A 26461-2025 tillsynsbegäran.docx", "A 26461-2025")</f>
        <v/>
      </c>
      <c r="Y181">
        <f>HYPERLINK("https://klasma.github.io/Logging_0980/tillsynsmail/A 26461-2025 tillsynsbegäran mail.docx", "A 26461-2025")</f>
        <v/>
      </c>
    </row>
    <row r="182" ht="15" customHeight="1">
      <c r="A182" t="inlineStr">
        <is>
          <t>A 34809-2024</t>
        </is>
      </c>
      <c r="B182" s="1" t="n">
        <v>45526</v>
      </c>
      <c r="C182" s="1" t="n">
        <v>45939</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34141-2024</t>
        </is>
      </c>
      <c r="B183" s="1" t="n">
        <v>45524.36229166666</v>
      </c>
      <c r="C183" s="1" t="n">
        <v>45939</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45939</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61561-2023</t>
        </is>
      </c>
      <c r="B185" s="1" t="n">
        <v>45265</v>
      </c>
      <c r="C185" s="1" t="n">
        <v>45939</v>
      </c>
      <c r="D185" t="inlineStr">
        <is>
          <t>GOTLANDS LÄN</t>
        </is>
      </c>
      <c r="E185" t="inlineStr">
        <is>
          <t>GOTLAND</t>
        </is>
      </c>
      <c r="G185" t="n">
        <v>7.4</v>
      </c>
      <c r="H185" t="n">
        <v>0</v>
      </c>
      <c r="I185" t="n">
        <v>0</v>
      </c>
      <c r="J185" t="n">
        <v>1</v>
      </c>
      <c r="K185" t="n">
        <v>0</v>
      </c>
      <c r="L185" t="n">
        <v>0</v>
      </c>
      <c r="M185" t="n">
        <v>0</v>
      </c>
      <c r="N185" t="n">
        <v>0</v>
      </c>
      <c r="O185" t="n">
        <v>1</v>
      </c>
      <c r="P185" t="n">
        <v>0</v>
      </c>
      <c r="Q185" t="n">
        <v>1</v>
      </c>
      <c r="R185" s="2" t="inlineStr">
        <is>
          <t>Loppstarr</t>
        </is>
      </c>
      <c r="S185">
        <f>HYPERLINK("https://klasma.github.io/Logging_0980/artfynd/A 61561-2023 artfynd.xlsx", "A 61561-2023")</f>
        <v/>
      </c>
      <c r="T185">
        <f>HYPERLINK("https://klasma.github.io/Logging_0980/kartor/A 61561-2023 karta.png", "A 61561-2023")</f>
        <v/>
      </c>
      <c r="V185">
        <f>HYPERLINK("https://klasma.github.io/Logging_0980/klagomål/A 61561-2023 FSC-klagomål.docx", "A 61561-2023")</f>
        <v/>
      </c>
      <c r="W185">
        <f>HYPERLINK("https://klasma.github.io/Logging_0980/klagomålsmail/A 61561-2023 FSC-klagomål mail.docx", "A 61561-2023")</f>
        <v/>
      </c>
      <c r="X185">
        <f>HYPERLINK("https://klasma.github.io/Logging_0980/tillsyn/A 61561-2023 tillsynsbegäran.docx", "A 61561-2023")</f>
        <v/>
      </c>
      <c r="Y185">
        <f>HYPERLINK("https://klasma.github.io/Logging_0980/tillsynsmail/A 61561-2023 tillsynsbegäran mail.docx", "A 61561-2023")</f>
        <v/>
      </c>
    </row>
    <row r="186" ht="15" customHeight="1">
      <c r="A186" t="inlineStr">
        <is>
          <t>A 19901-2021</t>
        </is>
      </c>
      <c r="B186" s="1" t="n">
        <v>44312</v>
      </c>
      <c r="C186" s="1" t="n">
        <v>45939</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45939</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45939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45939</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45939</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45939</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45939</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45939</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45939</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45939</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45939</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45939</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45939</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45939</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45939</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45939</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45939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45939</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45939</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45939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45939</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45939</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45939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45939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2608-2021</t>
        </is>
      </c>
      <c r="B231" s="1" t="n">
        <v>44214</v>
      </c>
      <c r="C231" s="1" t="n">
        <v>45939</v>
      </c>
      <c r="D231" t="inlineStr">
        <is>
          <t>GOTLANDS LÄN</t>
        </is>
      </c>
      <c r="E231" t="inlineStr">
        <is>
          <t>GOTLAND</t>
        </is>
      </c>
      <c r="G231" t="n">
        <v>3.9</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45939</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45939</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45939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45939</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45939</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45939</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45939</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45939</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44942-2022</t>
        </is>
      </c>
      <c r="B241" s="1" t="n">
        <v>44841</v>
      </c>
      <c r="C241" s="1" t="n">
        <v>45939</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9613-2025</t>
        </is>
      </c>
      <c r="B242" s="1" t="n">
        <v>45715</v>
      </c>
      <c r="C242" s="1" t="n">
        <v>45939</v>
      </c>
      <c r="D242" t="inlineStr">
        <is>
          <t>GOTLANDS LÄN</t>
        </is>
      </c>
      <c r="E242" t="inlineStr">
        <is>
          <t>GOTLAND</t>
        </is>
      </c>
      <c r="G242" t="n">
        <v>3.5</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45939</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1229-2021</t>
        </is>
      </c>
      <c r="B244" s="1" t="n">
        <v>44208</v>
      </c>
      <c r="C244" s="1" t="n">
        <v>45939</v>
      </c>
      <c r="D244" t="inlineStr">
        <is>
          <t>GOTLANDS LÄN</t>
        </is>
      </c>
      <c r="E244" t="inlineStr">
        <is>
          <t>GOTLAND</t>
        </is>
      </c>
      <c r="G244" t="n">
        <v>5.3</v>
      </c>
      <c r="H244" t="n">
        <v>0</v>
      </c>
      <c r="I244" t="n">
        <v>0</v>
      </c>
      <c r="J244" t="n">
        <v>0</v>
      </c>
      <c r="K244" t="n">
        <v>0</v>
      </c>
      <c r="L244" t="n">
        <v>0</v>
      </c>
      <c r="M244" t="n">
        <v>0</v>
      </c>
      <c r="N244" t="n">
        <v>0</v>
      </c>
      <c r="O244" t="n">
        <v>0</v>
      </c>
      <c r="P244" t="n">
        <v>0</v>
      </c>
      <c r="Q244" t="n">
        <v>0</v>
      </c>
      <c r="R244" s="2" t="inlineStr"/>
    </row>
    <row r="245" ht="15" customHeight="1">
      <c r="A245" t="inlineStr">
        <is>
          <t>A 5751-2024</t>
        </is>
      </c>
      <c r="B245" s="1" t="n">
        <v>45335.32702546296</v>
      </c>
      <c r="C245" s="1" t="n">
        <v>45939</v>
      </c>
      <c r="D245" t="inlineStr">
        <is>
          <t>GOTLANDS LÄN</t>
        </is>
      </c>
      <c r="E245" t="inlineStr">
        <is>
          <t>GOTLAND</t>
        </is>
      </c>
      <c r="G245" t="n">
        <v>4.2</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45939</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62120-2020</t>
        </is>
      </c>
      <c r="B247" s="1" t="n">
        <v>44158</v>
      </c>
      <c r="C247" s="1" t="n">
        <v>45939</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30055-2021</t>
        </is>
      </c>
      <c r="B248" s="1" t="n">
        <v>44363</v>
      </c>
      <c r="C248" s="1" t="n">
        <v>45939</v>
      </c>
      <c r="D248" t="inlineStr">
        <is>
          <t>GOTLANDS LÄN</t>
        </is>
      </c>
      <c r="E248" t="inlineStr">
        <is>
          <t>GOTLAND</t>
        </is>
      </c>
      <c r="G248" t="n">
        <v>1.8</v>
      </c>
      <c r="H248" t="n">
        <v>0</v>
      </c>
      <c r="I248" t="n">
        <v>0</v>
      </c>
      <c r="J248" t="n">
        <v>0</v>
      </c>
      <c r="K248" t="n">
        <v>0</v>
      </c>
      <c r="L248" t="n">
        <v>0</v>
      </c>
      <c r="M248" t="n">
        <v>0</v>
      </c>
      <c r="N248" t="n">
        <v>0</v>
      </c>
      <c r="O248" t="n">
        <v>0</v>
      </c>
      <c r="P248" t="n">
        <v>0</v>
      </c>
      <c r="Q248" t="n">
        <v>0</v>
      </c>
      <c r="R248" s="2" t="inlineStr"/>
    </row>
    <row r="249" ht="15" customHeight="1">
      <c r="A249" t="inlineStr">
        <is>
          <t>A 3271-2021</t>
        </is>
      </c>
      <c r="B249" s="1" t="n">
        <v>44217</v>
      </c>
      <c r="C249" s="1" t="n">
        <v>45939</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59986-2022</t>
        </is>
      </c>
      <c r="B250" s="1" t="n">
        <v>44909</v>
      </c>
      <c r="C250" s="1" t="n">
        <v>45939</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14536-2021</t>
        </is>
      </c>
      <c r="B251" s="1" t="n">
        <v>44279.66168981481</v>
      </c>
      <c r="C251" s="1" t="n">
        <v>45939</v>
      </c>
      <c r="D251" t="inlineStr">
        <is>
          <t>GOTLANDS LÄN</t>
        </is>
      </c>
      <c r="E251" t="inlineStr">
        <is>
          <t>GOTLAND</t>
        </is>
      </c>
      <c r="G251" t="n">
        <v>8.5</v>
      </c>
      <c r="H251" t="n">
        <v>0</v>
      </c>
      <c r="I251" t="n">
        <v>0</v>
      </c>
      <c r="J251" t="n">
        <v>0</v>
      </c>
      <c r="K251" t="n">
        <v>0</v>
      </c>
      <c r="L251" t="n">
        <v>0</v>
      </c>
      <c r="M251" t="n">
        <v>0</v>
      </c>
      <c r="N251" t="n">
        <v>0</v>
      </c>
      <c r="O251" t="n">
        <v>0</v>
      </c>
      <c r="P251" t="n">
        <v>0</v>
      </c>
      <c r="Q251" t="n">
        <v>0</v>
      </c>
      <c r="R251" s="2" t="inlineStr"/>
    </row>
    <row r="252" ht="15" customHeight="1">
      <c r="A252" t="inlineStr">
        <is>
          <t>A 57685-2022</t>
        </is>
      </c>
      <c r="B252" s="1" t="n">
        <v>44897.4777662037</v>
      </c>
      <c r="C252" s="1" t="n">
        <v>45939</v>
      </c>
      <c r="D252" t="inlineStr">
        <is>
          <t>GOTLANDS LÄN</t>
        </is>
      </c>
      <c r="E252" t="inlineStr">
        <is>
          <t>GOTLAND</t>
        </is>
      </c>
      <c r="G252" t="n">
        <v>3.7</v>
      </c>
      <c r="H252" t="n">
        <v>0</v>
      </c>
      <c r="I252" t="n">
        <v>0</v>
      </c>
      <c r="J252" t="n">
        <v>0</v>
      </c>
      <c r="K252" t="n">
        <v>0</v>
      </c>
      <c r="L252" t="n">
        <v>0</v>
      </c>
      <c r="M252" t="n">
        <v>0</v>
      </c>
      <c r="N252" t="n">
        <v>0</v>
      </c>
      <c r="O252" t="n">
        <v>0</v>
      </c>
      <c r="P252" t="n">
        <v>0</v>
      </c>
      <c r="Q252" t="n">
        <v>0</v>
      </c>
      <c r="R252" s="2" t="inlineStr"/>
    </row>
    <row r="253" ht="15" customHeight="1">
      <c r="A253" t="inlineStr">
        <is>
          <t>A 65393-2021</t>
        </is>
      </c>
      <c r="B253" s="1" t="n">
        <v>44515</v>
      </c>
      <c r="C253" s="1" t="n">
        <v>45939</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30815-2023</t>
        </is>
      </c>
      <c r="B254" s="1" t="n">
        <v>45112</v>
      </c>
      <c r="C254" s="1" t="n">
        <v>45939</v>
      </c>
      <c r="D254" t="inlineStr">
        <is>
          <t>GOTLANDS LÄN</t>
        </is>
      </c>
      <c r="E254" t="inlineStr">
        <is>
          <t>GOTLAND</t>
        </is>
      </c>
      <c r="G254" t="n">
        <v>6</v>
      </c>
      <c r="H254" t="n">
        <v>0</v>
      </c>
      <c r="I254" t="n">
        <v>0</v>
      </c>
      <c r="J254" t="n">
        <v>0</v>
      </c>
      <c r="K254" t="n">
        <v>0</v>
      </c>
      <c r="L254" t="n">
        <v>0</v>
      </c>
      <c r="M254" t="n">
        <v>0</v>
      </c>
      <c r="N254" t="n">
        <v>0</v>
      </c>
      <c r="O254" t="n">
        <v>0</v>
      </c>
      <c r="P254" t="n">
        <v>0</v>
      </c>
      <c r="Q254" t="n">
        <v>0</v>
      </c>
      <c r="R254" s="2" t="inlineStr"/>
    </row>
    <row r="255" ht="15" customHeight="1">
      <c r="A255" t="inlineStr">
        <is>
          <t>A 24966-2023</t>
        </is>
      </c>
      <c r="B255" s="1" t="n">
        <v>45085</v>
      </c>
      <c r="C255" s="1" t="n">
        <v>45939</v>
      </c>
      <c r="D255" t="inlineStr">
        <is>
          <t>GOTLANDS LÄN</t>
        </is>
      </c>
      <c r="E255" t="inlineStr">
        <is>
          <t>GOTLAND</t>
        </is>
      </c>
      <c r="G255" t="n">
        <v>7</v>
      </c>
      <c r="H255" t="n">
        <v>0</v>
      </c>
      <c r="I255" t="n">
        <v>0</v>
      </c>
      <c r="J255" t="n">
        <v>0</v>
      </c>
      <c r="K255" t="n">
        <v>0</v>
      </c>
      <c r="L255" t="n">
        <v>0</v>
      </c>
      <c r="M255" t="n">
        <v>0</v>
      </c>
      <c r="N255" t="n">
        <v>0</v>
      </c>
      <c r="O255" t="n">
        <v>0</v>
      </c>
      <c r="P255" t="n">
        <v>0</v>
      </c>
      <c r="Q255" t="n">
        <v>0</v>
      </c>
      <c r="R255" s="2" t="inlineStr"/>
    </row>
    <row r="256" ht="15" customHeight="1">
      <c r="A256" t="inlineStr">
        <is>
          <t>A 46189-2022</t>
        </is>
      </c>
      <c r="B256" s="1" t="n">
        <v>44847</v>
      </c>
      <c r="C256" s="1" t="n">
        <v>45939</v>
      </c>
      <c r="D256" t="inlineStr">
        <is>
          <t>GOTLANDS LÄN</t>
        </is>
      </c>
      <c r="E256" t="inlineStr">
        <is>
          <t>GOTLAND</t>
        </is>
      </c>
      <c r="G256" t="n">
        <v>0.4</v>
      </c>
      <c r="H256" t="n">
        <v>0</v>
      </c>
      <c r="I256" t="n">
        <v>0</v>
      </c>
      <c r="J256" t="n">
        <v>0</v>
      </c>
      <c r="K256" t="n">
        <v>0</v>
      </c>
      <c r="L256" t="n">
        <v>0</v>
      </c>
      <c r="M256" t="n">
        <v>0</v>
      </c>
      <c r="N256" t="n">
        <v>0</v>
      </c>
      <c r="O256" t="n">
        <v>0</v>
      </c>
      <c r="P256" t="n">
        <v>0</v>
      </c>
      <c r="Q256" t="n">
        <v>0</v>
      </c>
      <c r="R256" s="2" t="inlineStr"/>
    </row>
    <row r="257" ht="15" customHeight="1">
      <c r="A257" t="inlineStr">
        <is>
          <t>A 7034-2023</t>
        </is>
      </c>
      <c r="B257" s="1" t="n">
        <v>44968.32108796296</v>
      </c>
      <c r="C257" s="1" t="n">
        <v>45939</v>
      </c>
      <c r="D257" t="inlineStr">
        <is>
          <t>GOTLANDS LÄN</t>
        </is>
      </c>
      <c r="E257" t="inlineStr">
        <is>
          <t>GOTLAND</t>
        </is>
      </c>
      <c r="G257" t="n">
        <v>1.6</v>
      </c>
      <c r="H257" t="n">
        <v>0</v>
      </c>
      <c r="I257" t="n">
        <v>0</v>
      </c>
      <c r="J257" t="n">
        <v>0</v>
      </c>
      <c r="K257" t="n">
        <v>0</v>
      </c>
      <c r="L257" t="n">
        <v>0</v>
      </c>
      <c r="M257" t="n">
        <v>0</v>
      </c>
      <c r="N257" t="n">
        <v>0</v>
      </c>
      <c r="O257" t="n">
        <v>0</v>
      </c>
      <c r="P257" t="n">
        <v>0</v>
      </c>
      <c r="Q257" t="n">
        <v>0</v>
      </c>
      <c r="R257" s="2" t="inlineStr"/>
    </row>
    <row r="258" ht="15" customHeight="1">
      <c r="A258" t="inlineStr">
        <is>
          <t>A 7042-2023</t>
        </is>
      </c>
      <c r="B258" s="1" t="n">
        <v>44968</v>
      </c>
      <c r="C258" s="1" t="n">
        <v>45939</v>
      </c>
      <c r="D258" t="inlineStr">
        <is>
          <t>GOTLANDS LÄN</t>
        </is>
      </c>
      <c r="E258" t="inlineStr">
        <is>
          <t>GOTLAND</t>
        </is>
      </c>
      <c r="G258" t="n">
        <v>0.7</v>
      </c>
      <c r="H258" t="n">
        <v>0</v>
      </c>
      <c r="I258" t="n">
        <v>0</v>
      </c>
      <c r="J258" t="n">
        <v>0</v>
      </c>
      <c r="K258" t="n">
        <v>0</v>
      </c>
      <c r="L258" t="n">
        <v>0</v>
      </c>
      <c r="M258" t="n">
        <v>0</v>
      </c>
      <c r="N258" t="n">
        <v>0</v>
      </c>
      <c r="O258" t="n">
        <v>0</v>
      </c>
      <c r="P258" t="n">
        <v>0</v>
      </c>
      <c r="Q258" t="n">
        <v>0</v>
      </c>
      <c r="R258" s="2" t="inlineStr"/>
    </row>
    <row r="259" ht="15" customHeight="1">
      <c r="A259" t="inlineStr">
        <is>
          <t>A 23516-2023</t>
        </is>
      </c>
      <c r="B259" s="1" t="n">
        <v>45076.93391203704</v>
      </c>
      <c r="C259" s="1" t="n">
        <v>45939</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64660-2023</t>
        </is>
      </c>
      <c r="B260" s="1" t="n">
        <v>45281.60122685185</v>
      </c>
      <c r="C260" s="1" t="n">
        <v>45939</v>
      </c>
      <c r="D260" t="inlineStr">
        <is>
          <t>GOTLANDS LÄN</t>
        </is>
      </c>
      <c r="E260" t="inlineStr">
        <is>
          <t>GOTLAND</t>
        </is>
      </c>
      <c r="G260" t="n">
        <v>6.3</v>
      </c>
      <c r="H260" t="n">
        <v>0</v>
      </c>
      <c r="I260" t="n">
        <v>0</v>
      </c>
      <c r="J260" t="n">
        <v>0</v>
      </c>
      <c r="K260" t="n">
        <v>0</v>
      </c>
      <c r="L260" t="n">
        <v>0</v>
      </c>
      <c r="M260" t="n">
        <v>0</v>
      </c>
      <c r="N260" t="n">
        <v>0</v>
      </c>
      <c r="O260" t="n">
        <v>0</v>
      </c>
      <c r="P260" t="n">
        <v>0</v>
      </c>
      <c r="Q260" t="n">
        <v>0</v>
      </c>
      <c r="R260" s="2" t="inlineStr"/>
    </row>
    <row r="261" ht="15" customHeight="1">
      <c r="A261" t="inlineStr">
        <is>
          <t>A 11874-2024</t>
        </is>
      </c>
      <c r="B261" s="1" t="n">
        <v>45376.46956018519</v>
      </c>
      <c r="C261" s="1" t="n">
        <v>45939</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63763-2023</t>
        </is>
      </c>
      <c r="B262" s="1" t="n">
        <v>45278.33944444444</v>
      </c>
      <c r="C262" s="1" t="n">
        <v>45939</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43911-2025</t>
        </is>
      </c>
      <c r="B263" s="1" t="n">
        <v>45914.3881712963</v>
      </c>
      <c r="C263" s="1" t="n">
        <v>45939</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42041-2024</t>
        </is>
      </c>
      <c r="B264" s="1" t="n">
        <v>45561</v>
      </c>
      <c r="C264" s="1" t="n">
        <v>45939</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61694-2023</t>
        </is>
      </c>
      <c r="B265" s="1" t="n">
        <v>45264</v>
      </c>
      <c r="C265" s="1" t="n">
        <v>45939</v>
      </c>
      <c r="D265" t="inlineStr">
        <is>
          <t>GOTLANDS LÄN</t>
        </is>
      </c>
      <c r="E265" t="inlineStr">
        <is>
          <t>GOTLAND</t>
        </is>
      </c>
      <c r="G265" t="n">
        <v>4.6</v>
      </c>
      <c r="H265" t="n">
        <v>0</v>
      </c>
      <c r="I265" t="n">
        <v>0</v>
      </c>
      <c r="J265" t="n">
        <v>0</v>
      </c>
      <c r="K265" t="n">
        <v>0</v>
      </c>
      <c r="L265" t="n">
        <v>0</v>
      </c>
      <c r="M265" t="n">
        <v>0</v>
      </c>
      <c r="N265" t="n">
        <v>0</v>
      </c>
      <c r="O265" t="n">
        <v>0</v>
      </c>
      <c r="P265" t="n">
        <v>0</v>
      </c>
      <c r="Q265" t="n">
        <v>0</v>
      </c>
      <c r="R265" s="2" t="inlineStr"/>
    </row>
    <row r="266" ht="15" customHeight="1">
      <c r="A266" t="inlineStr">
        <is>
          <t>A 43951-2025</t>
        </is>
      </c>
      <c r="B266" s="1" t="n">
        <v>45915.38119212963</v>
      </c>
      <c r="C266" s="1" t="n">
        <v>45939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63229-2021</t>
        </is>
      </c>
      <c r="B267" s="1" t="n">
        <v>44508.34518518519</v>
      </c>
      <c r="C267" s="1" t="n">
        <v>45939</v>
      </c>
      <c r="D267" t="inlineStr">
        <is>
          <t>GOTLANDS LÄN</t>
        </is>
      </c>
      <c r="E267" t="inlineStr">
        <is>
          <t>GOTLAND</t>
        </is>
      </c>
      <c r="F267" t="inlineStr">
        <is>
          <t>Kyrkan</t>
        </is>
      </c>
      <c r="G267" t="n">
        <v>3.8</v>
      </c>
      <c r="H267" t="n">
        <v>0</v>
      </c>
      <c r="I267" t="n">
        <v>0</v>
      </c>
      <c r="J267" t="n">
        <v>0</v>
      </c>
      <c r="K267" t="n">
        <v>0</v>
      </c>
      <c r="L267" t="n">
        <v>0</v>
      </c>
      <c r="M267" t="n">
        <v>0</v>
      </c>
      <c r="N267" t="n">
        <v>0</v>
      </c>
      <c r="O267" t="n">
        <v>0</v>
      </c>
      <c r="P267" t="n">
        <v>0</v>
      </c>
      <c r="Q267" t="n">
        <v>0</v>
      </c>
      <c r="R267" s="2" t="inlineStr"/>
    </row>
    <row r="268" ht="15" customHeight="1">
      <c r="A268" t="inlineStr">
        <is>
          <t>A 46375-2024</t>
        </is>
      </c>
      <c r="B268" s="1" t="n">
        <v>45582</v>
      </c>
      <c r="C268" s="1" t="n">
        <v>45939</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45939</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64555-2023</t>
        </is>
      </c>
      <c r="B270" s="1" t="n">
        <v>45281</v>
      </c>
      <c r="C270" s="1" t="n">
        <v>45939</v>
      </c>
      <c r="D270" t="inlineStr">
        <is>
          <t>GOTLANDS LÄN</t>
        </is>
      </c>
      <c r="E270" t="inlineStr">
        <is>
          <t>GOTLAND</t>
        </is>
      </c>
      <c r="G270" t="n">
        <v>3.5</v>
      </c>
      <c r="H270" t="n">
        <v>0</v>
      </c>
      <c r="I270" t="n">
        <v>0</v>
      </c>
      <c r="J270" t="n">
        <v>0</v>
      </c>
      <c r="K270" t="n">
        <v>0</v>
      </c>
      <c r="L270" t="n">
        <v>0</v>
      </c>
      <c r="M270" t="n">
        <v>0</v>
      </c>
      <c r="N270" t="n">
        <v>0</v>
      </c>
      <c r="O270" t="n">
        <v>0</v>
      </c>
      <c r="P270" t="n">
        <v>0</v>
      </c>
      <c r="Q270" t="n">
        <v>0</v>
      </c>
      <c r="R270" s="2" t="inlineStr"/>
    </row>
    <row r="271" ht="15" customHeight="1">
      <c r="A271" t="inlineStr">
        <is>
          <t>A 64831-2023</t>
        </is>
      </c>
      <c r="B271" s="1" t="n">
        <v>45282.44924768519</v>
      </c>
      <c r="C271" s="1" t="n">
        <v>45939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49314-2024</t>
        </is>
      </c>
      <c r="B272" s="1" t="n">
        <v>45595.55893518519</v>
      </c>
      <c r="C272" s="1" t="n">
        <v>45939</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14804-2021</t>
        </is>
      </c>
      <c r="B273" s="1" t="n">
        <v>44280</v>
      </c>
      <c r="C273" s="1" t="n">
        <v>45939</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999-2023</t>
        </is>
      </c>
      <c r="B274" s="1" t="n">
        <v>44935</v>
      </c>
      <c r="C274" s="1" t="n">
        <v>45939</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27602-2023</t>
        </is>
      </c>
      <c r="B275" s="1" t="n">
        <v>45097</v>
      </c>
      <c r="C275" s="1" t="n">
        <v>45939</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44919-2022</t>
        </is>
      </c>
      <c r="B276" s="1" t="n">
        <v>44841</v>
      </c>
      <c r="C276" s="1" t="n">
        <v>45939</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6108-2025</t>
        </is>
      </c>
      <c r="B277" s="1" t="n">
        <v>45698.29880787037</v>
      </c>
      <c r="C277" s="1" t="n">
        <v>45939</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21142-2025</t>
        </is>
      </c>
      <c r="B278" s="1" t="n">
        <v>45779</v>
      </c>
      <c r="C278" s="1" t="n">
        <v>45939</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10158-2025</t>
        </is>
      </c>
      <c r="B279" s="1" t="n">
        <v>45719</v>
      </c>
      <c r="C279" s="1" t="n">
        <v>45939</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1734-2025</t>
        </is>
      </c>
      <c r="B280" s="1" t="n">
        <v>45671.3840625</v>
      </c>
      <c r="C280" s="1" t="n">
        <v>45939</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4377-2023</t>
        </is>
      </c>
      <c r="B281" s="1" t="n">
        <v>44955.5502662037</v>
      </c>
      <c r="C281" s="1" t="n">
        <v>45939</v>
      </c>
      <c r="D281" t="inlineStr">
        <is>
          <t>GOTLANDS LÄN</t>
        </is>
      </c>
      <c r="E281" t="inlineStr">
        <is>
          <t>GOTLAND</t>
        </is>
      </c>
      <c r="F281" t="inlineStr">
        <is>
          <t>Kyrkan</t>
        </is>
      </c>
      <c r="G281" t="n">
        <v>0.6</v>
      </c>
      <c r="H281" t="n">
        <v>0</v>
      </c>
      <c r="I281" t="n">
        <v>0</v>
      </c>
      <c r="J281" t="n">
        <v>0</v>
      </c>
      <c r="K281" t="n">
        <v>0</v>
      </c>
      <c r="L281" t="n">
        <v>0</v>
      </c>
      <c r="M281" t="n">
        <v>0</v>
      </c>
      <c r="N281" t="n">
        <v>0</v>
      </c>
      <c r="O281" t="n">
        <v>0</v>
      </c>
      <c r="P281" t="n">
        <v>0</v>
      </c>
      <c r="Q281" t="n">
        <v>0</v>
      </c>
      <c r="R281" s="2" t="inlineStr"/>
    </row>
    <row r="282" ht="15" customHeight="1">
      <c r="A282" t="inlineStr">
        <is>
          <t>A 4387-2023</t>
        </is>
      </c>
      <c r="B282" s="1" t="n">
        <v>44955.73359953704</v>
      </c>
      <c r="C282" s="1" t="n">
        <v>45939</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20993-2023</t>
        </is>
      </c>
      <c r="B283" s="1" t="n">
        <v>45056</v>
      </c>
      <c r="C283" s="1" t="n">
        <v>45939</v>
      </c>
      <c r="D283" t="inlineStr">
        <is>
          <t>GOTLANDS LÄN</t>
        </is>
      </c>
      <c r="E283" t="inlineStr">
        <is>
          <t>GOTLAND</t>
        </is>
      </c>
      <c r="G283" t="n">
        <v>7.1</v>
      </c>
      <c r="H283" t="n">
        <v>0</v>
      </c>
      <c r="I283" t="n">
        <v>0</v>
      </c>
      <c r="J283" t="n">
        <v>0</v>
      </c>
      <c r="K283" t="n">
        <v>0</v>
      </c>
      <c r="L283" t="n">
        <v>0</v>
      </c>
      <c r="M283" t="n">
        <v>0</v>
      </c>
      <c r="N283" t="n">
        <v>0</v>
      </c>
      <c r="O283" t="n">
        <v>0</v>
      </c>
      <c r="P283" t="n">
        <v>0</v>
      </c>
      <c r="Q283" t="n">
        <v>0</v>
      </c>
      <c r="R283" s="2" t="inlineStr"/>
    </row>
    <row r="284" ht="15" customHeight="1">
      <c r="A284" t="inlineStr">
        <is>
          <t>A 48503-2023</t>
        </is>
      </c>
      <c r="B284" s="1" t="n">
        <v>45207</v>
      </c>
      <c r="C284" s="1" t="n">
        <v>45939</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39479-2022</t>
        </is>
      </c>
      <c r="B285" s="1" t="n">
        <v>44818</v>
      </c>
      <c r="C285" s="1" t="n">
        <v>45939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65901-2021</t>
        </is>
      </c>
      <c r="B286" s="1" t="n">
        <v>44516</v>
      </c>
      <c r="C286" s="1" t="n">
        <v>45939</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51963-2024</t>
        </is>
      </c>
      <c r="B287" s="1" t="n">
        <v>45607.64833333333</v>
      </c>
      <c r="C287" s="1" t="n">
        <v>45939</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811-2023</t>
        </is>
      </c>
      <c r="B288" s="1" t="n">
        <v>44931</v>
      </c>
      <c r="C288" s="1" t="n">
        <v>45939</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12596-2023</t>
        </is>
      </c>
      <c r="B289" s="1" t="n">
        <v>45000.43310185185</v>
      </c>
      <c r="C289" s="1" t="n">
        <v>45939</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2125-2025</t>
        </is>
      </c>
      <c r="B290" s="1" t="n">
        <v>45672.64940972222</v>
      </c>
      <c r="C290" s="1" t="n">
        <v>45939</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46389-2021</t>
        </is>
      </c>
      <c r="B291" s="1" t="n">
        <v>44443</v>
      </c>
      <c r="C291" s="1" t="n">
        <v>45939</v>
      </c>
      <c r="D291" t="inlineStr">
        <is>
          <t>GOTLANDS LÄN</t>
        </is>
      </c>
      <c r="E291" t="inlineStr">
        <is>
          <t>GOTLAND</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12155-2023</t>
        </is>
      </c>
      <c r="B292" s="1" t="n">
        <v>44998.49106481481</v>
      </c>
      <c r="C292" s="1" t="n">
        <v>45939</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457-2023</t>
        </is>
      </c>
      <c r="B293" s="1" t="n">
        <v>44929.87238425926</v>
      </c>
      <c r="C293" s="1" t="n">
        <v>45939</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45939</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459-2023</t>
        </is>
      </c>
      <c r="B295" s="1" t="n">
        <v>44929.87423611111</v>
      </c>
      <c r="C295" s="1" t="n">
        <v>45939</v>
      </c>
      <c r="D295" t="inlineStr">
        <is>
          <t>GOTLANDS LÄN</t>
        </is>
      </c>
      <c r="E295" t="inlineStr">
        <is>
          <t>GOTLAND</t>
        </is>
      </c>
      <c r="G295" t="n">
        <v>4.2</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45939</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38234-2023</t>
        </is>
      </c>
      <c r="B297" s="1" t="n">
        <v>45161.56663194444</v>
      </c>
      <c r="C297" s="1" t="n">
        <v>45939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26810-2021</t>
        </is>
      </c>
      <c r="B298" s="1" t="n">
        <v>44349.55087962963</v>
      </c>
      <c r="C298" s="1" t="n">
        <v>45939</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18938-2025</t>
        </is>
      </c>
      <c r="B299" s="1" t="n">
        <v>45764.49172453704</v>
      </c>
      <c r="C299" s="1" t="n">
        <v>45939</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50744-2024</t>
        </is>
      </c>
      <c r="B300" s="1" t="n">
        <v>45602.4187037037</v>
      </c>
      <c r="C300" s="1" t="n">
        <v>45939</v>
      </c>
      <c r="D300" t="inlineStr">
        <is>
          <t>GOTLANDS LÄN</t>
        </is>
      </c>
      <c r="E300" t="inlineStr">
        <is>
          <t>GOTLAND</t>
        </is>
      </c>
      <c r="G300" t="n">
        <v>3.2</v>
      </c>
      <c r="H300" t="n">
        <v>0</v>
      </c>
      <c r="I300" t="n">
        <v>0</v>
      </c>
      <c r="J300" t="n">
        <v>0</v>
      </c>
      <c r="K300" t="n">
        <v>0</v>
      </c>
      <c r="L300" t="n">
        <v>0</v>
      </c>
      <c r="M300" t="n">
        <v>0</v>
      </c>
      <c r="N300" t="n">
        <v>0</v>
      </c>
      <c r="O300" t="n">
        <v>0</v>
      </c>
      <c r="P300" t="n">
        <v>0</v>
      </c>
      <c r="Q300" t="n">
        <v>0</v>
      </c>
      <c r="R300" s="2" t="inlineStr"/>
    </row>
    <row r="301" ht="15" customHeight="1">
      <c r="A301" t="inlineStr">
        <is>
          <t>A 9947-2024</t>
        </is>
      </c>
      <c r="B301" s="1" t="n">
        <v>45363</v>
      </c>
      <c r="C301" s="1" t="n">
        <v>45939</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5923-2023</t>
        </is>
      </c>
      <c r="B302" s="1" t="n">
        <v>44963.69503472222</v>
      </c>
      <c r="C302" s="1" t="n">
        <v>45939</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44304-2021</t>
        </is>
      </c>
      <c r="B303" s="1" t="n">
        <v>44434</v>
      </c>
      <c r="C303" s="1" t="n">
        <v>45939</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33853-2024</t>
        </is>
      </c>
      <c r="B304" s="1" t="n">
        <v>45520.64298611111</v>
      </c>
      <c r="C304" s="1" t="n">
        <v>45939</v>
      </c>
      <c r="D304" t="inlineStr">
        <is>
          <t>GOTLANDS LÄN</t>
        </is>
      </c>
      <c r="E304" t="inlineStr">
        <is>
          <t>GOTLAND</t>
        </is>
      </c>
      <c r="G304" t="n">
        <v>3.9</v>
      </c>
      <c r="H304" t="n">
        <v>0</v>
      </c>
      <c r="I304" t="n">
        <v>0</v>
      </c>
      <c r="J304" t="n">
        <v>0</v>
      </c>
      <c r="K304" t="n">
        <v>0</v>
      </c>
      <c r="L304" t="n">
        <v>0</v>
      </c>
      <c r="M304" t="n">
        <v>0</v>
      </c>
      <c r="N304" t="n">
        <v>0</v>
      </c>
      <c r="O304" t="n">
        <v>0</v>
      </c>
      <c r="P304" t="n">
        <v>0</v>
      </c>
      <c r="Q304" t="n">
        <v>0</v>
      </c>
      <c r="R304" s="2" t="inlineStr"/>
    </row>
    <row r="305" ht="15" customHeight="1">
      <c r="A305" t="inlineStr">
        <is>
          <t>A 18918-2025</t>
        </is>
      </c>
      <c r="B305" s="1" t="n">
        <v>45764</v>
      </c>
      <c r="C305" s="1" t="n">
        <v>45939</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45939</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30489-2025</t>
        </is>
      </c>
      <c r="B307" s="1" t="n">
        <v>45830</v>
      </c>
      <c r="C307" s="1" t="n">
        <v>45939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2674-2023</t>
        </is>
      </c>
      <c r="B308" s="1" t="n">
        <v>44944</v>
      </c>
      <c r="C308" s="1" t="n">
        <v>45939</v>
      </c>
      <c r="D308" t="inlineStr">
        <is>
          <t>GOTLANDS LÄN</t>
        </is>
      </c>
      <c r="E308" t="inlineStr">
        <is>
          <t>GOTLAND</t>
        </is>
      </c>
      <c r="G308" t="n">
        <v>2.5</v>
      </c>
      <c r="H308" t="n">
        <v>0</v>
      </c>
      <c r="I308" t="n">
        <v>0</v>
      </c>
      <c r="J308" t="n">
        <v>0</v>
      </c>
      <c r="K308" t="n">
        <v>0</v>
      </c>
      <c r="L308" t="n">
        <v>0</v>
      </c>
      <c r="M308" t="n">
        <v>0</v>
      </c>
      <c r="N308" t="n">
        <v>0</v>
      </c>
      <c r="O308" t="n">
        <v>0</v>
      </c>
      <c r="P308" t="n">
        <v>0</v>
      </c>
      <c r="Q308" t="n">
        <v>0</v>
      </c>
      <c r="R308" s="2" t="inlineStr"/>
    </row>
    <row r="309" ht="15" customHeight="1">
      <c r="A309" t="inlineStr">
        <is>
          <t>A 20307-2025</t>
        </is>
      </c>
      <c r="B309" s="1" t="n">
        <v>45774.95546296296</v>
      </c>
      <c r="C309" s="1" t="n">
        <v>45939</v>
      </c>
      <c r="D309" t="inlineStr">
        <is>
          <t>GOTLANDS LÄN</t>
        </is>
      </c>
      <c r="E309" t="inlineStr">
        <is>
          <t>GOTLAND</t>
        </is>
      </c>
      <c r="G309" t="n">
        <v>6.8</v>
      </c>
      <c r="H309" t="n">
        <v>0</v>
      </c>
      <c r="I309" t="n">
        <v>0</v>
      </c>
      <c r="J309" t="n">
        <v>0</v>
      </c>
      <c r="K309" t="n">
        <v>0</v>
      </c>
      <c r="L309" t="n">
        <v>0</v>
      </c>
      <c r="M309" t="n">
        <v>0</v>
      </c>
      <c r="N309" t="n">
        <v>0</v>
      </c>
      <c r="O309" t="n">
        <v>0</v>
      </c>
      <c r="P309" t="n">
        <v>0</v>
      </c>
      <c r="Q309" t="n">
        <v>0</v>
      </c>
      <c r="R309" s="2" t="inlineStr"/>
    </row>
    <row r="310" ht="15" customHeight="1">
      <c r="A310" t="inlineStr">
        <is>
          <t>A 17682-2024</t>
        </is>
      </c>
      <c r="B310" s="1" t="n">
        <v>45418.42966435185</v>
      </c>
      <c r="C310" s="1" t="n">
        <v>45939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57522-2022</t>
        </is>
      </c>
      <c r="B311" s="1" t="n">
        <v>44896</v>
      </c>
      <c r="C311" s="1" t="n">
        <v>45939</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10655-2023</t>
        </is>
      </c>
      <c r="B312" s="1" t="n">
        <v>44988.49543981482</v>
      </c>
      <c r="C312" s="1" t="n">
        <v>45939</v>
      </c>
      <c r="D312" t="inlineStr">
        <is>
          <t>GOTLANDS LÄN</t>
        </is>
      </c>
      <c r="E312" t="inlineStr">
        <is>
          <t>GOTLAND</t>
        </is>
      </c>
      <c r="F312" t="inlineStr">
        <is>
          <t>Kyrkan</t>
        </is>
      </c>
      <c r="G312" t="n">
        <v>2</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45939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2719-2023</t>
        </is>
      </c>
      <c r="B314" s="1" t="n">
        <v>44944.55361111111</v>
      </c>
      <c r="C314" s="1" t="n">
        <v>45939</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26891-2024</t>
        </is>
      </c>
      <c r="B315" s="1" t="n">
        <v>45470.65540509259</v>
      </c>
      <c r="C315" s="1" t="n">
        <v>45939</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45939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42007-2023</t>
        </is>
      </c>
      <c r="B317" s="1" t="n">
        <v>45177</v>
      </c>
      <c r="C317" s="1" t="n">
        <v>45939</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9887-2025</t>
        </is>
      </c>
      <c r="B318" s="1" t="n">
        <v>45716</v>
      </c>
      <c r="C318" s="1" t="n">
        <v>45939</v>
      </c>
      <c r="D318" t="inlineStr">
        <is>
          <t>GOTLANDS LÄN</t>
        </is>
      </c>
      <c r="E318" t="inlineStr">
        <is>
          <t>GOTLAND</t>
        </is>
      </c>
      <c r="G318" t="n">
        <v>7.5</v>
      </c>
      <c r="H318" t="n">
        <v>0</v>
      </c>
      <c r="I318" t="n">
        <v>0</v>
      </c>
      <c r="J318" t="n">
        <v>0</v>
      </c>
      <c r="K318" t="n">
        <v>0</v>
      </c>
      <c r="L318" t="n">
        <v>0</v>
      </c>
      <c r="M318" t="n">
        <v>0</v>
      </c>
      <c r="N318" t="n">
        <v>0</v>
      </c>
      <c r="O318" t="n">
        <v>0</v>
      </c>
      <c r="P318" t="n">
        <v>0</v>
      </c>
      <c r="Q318" t="n">
        <v>0</v>
      </c>
      <c r="R318" s="2" t="inlineStr"/>
    </row>
    <row r="319" ht="15" customHeight="1">
      <c r="A319" t="inlineStr">
        <is>
          <t>A 38165-2023</t>
        </is>
      </c>
      <c r="B319" s="1" t="n">
        <v>45161</v>
      </c>
      <c r="C319" s="1" t="n">
        <v>45939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1446-2025</t>
        </is>
      </c>
      <c r="B320" s="1" t="n">
        <v>45669.86035879629</v>
      </c>
      <c r="C320" s="1" t="n">
        <v>45939</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27596-2023</t>
        </is>
      </c>
      <c r="B321" s="1" t="n">
        <v>45097</v>
      </c>
      <c r="C321" s="1" t="n">
        <v>45939</v>
      </c>
      <c r="D321" t="inlineStr">
        <is>
          <t>GOTLANDS LÄN</t>
        </is>
      </c>
      <c r="E321" t="inlineStr">
        <is>
          <t>GOTLAND</t>
        </is>
      </c>
      <c r="G321" t="n">
        <v>3.6</v>
      </c>
      <c r="H321" t="n">
        <v>0</v>
      </c>
      <c r="I321" t="n">
        <v>0</v>
      </c>
      <c r="J321" t="n">
        <v>0</v>
      </c>
      <c r="K321" t="n">
        <v>0</v>
      </c>
      <c r="L321" t="n">
        <v>0</v>
      </c>
      <c r="M321" t="n">
        <v>0</v>
      </c>
      <c r="N321" t="n">
        <v>0</v>
      </c>
      <c r="O321" t="n">
        <v>0</v>
      </c>
      <c r="P321" t="n">
        <v>0</v>
      </c>
      <c r="Q321" t="n">
        <v>0</v>
      </c>
      <c r="R321" s="2" t="inlineStr"/>
    </row>
    <row r="322" ht="15" customHeight="1">
      <c r="A322" t="inlineStr">
        <is>
          <t>A 24001-2021</t>
        </is>
      </c>
      <c r="B322" s="1" t="n">
        <v>44335</v>
      </c>
      <c r="C322" s="1" t="n">
        <v>45939</v>
      </c>
      <c r="D322" t="inlineStr">
        <is>
          <t>GOTLANDS LÄN</t>
        </is>
      </c>
      <c r="E322" t="inlineStr">
        <is>
          <t>GOTLAND</t>
        </is>
      </c>
      <c r="G322" t="n">
        <v>3.4</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45939</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2292-2021</t>
        </is>
      </c>
      <c r="B324" s="1" t="n">
        <v>44212</v>
      </c>
      <c r="C324" s="1" t="n">
        <v>45939</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24825-2024</t>
        </is>
      </c>
      <c r="B325" s="1" t="n">
        <v>45461</v>
      </c>
      <c r="C325" s="1" t="n">
        <v>45939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6696-2023</t>
        </is>
      </c>
      <c r="B326" s="1" t="n">
        <v>44966.66425925926</v>
      </c>
      <c r="C326" s="1" t="n">
        <v>45939</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43901-2023</t>
        </is>
      </c>
      <c r="B327" s="1" t="n">
        <v>45187</v>
      </c>
      <c r="C327" s="1" t="n">
        <v>45939</v>
      </c>
      <c r="D327" t="inlineStr">
        <is>
          <t>GOTLANDS LÄN</t>
        </is>
      </c>
      <c r="E327" t="inlineStr">
        <is>
          <t>GOTLAND</t>
        </is>
      </c>
      <c r="G327" t="n">
        <v>5.4</v>
      </c>
      <c r="H327" t="n">
        <v>0</v>
      </c>
      <c r="I327" t="n">
        <v>0</v>
      </c>
      <c r="J327" t="n">
        <v>0</v>
      </c>
      <c r="K327" t="n">
        <v>0</v>
      </c>
      <c r="L327" t="n">
        <v>0</v>
      </c>
      <c r="M327" t="n">
        <v>0</v>
      </c>
      <c r="N327" t="n">
        <v>0</v>
      </c>
      <c r="O327" t="n">
        <v>0</v>
      </c>
      <c r="P327" t="n">
        <v>0</v>
      </c>
      <c r="Q327" t="n">
        <v>0</v>
      </c>
      <c r="R327" s="2" t="inlineStr"/>
    </row>
    <row r="328" ht="15" customHeight="1">
      <c r="A328" t="inlineStr">
        <is>
          <t>A 21247-2022</t>
        </is>
      </c>
      <c r="B328" s="1" t="n">
        <v>44705.38832175926</v>
      </c>
      <c r="C328" s="1" t="n">
        <v>45939</v>
      </c>
      <c r="D328" t="inlineStr">
        <is>
          <t>GOTLANDS LÄN</t>
        </is>
      </c>
      <c r="E328" t="inlineStr">
        <is>
          <t>GOTLAND</t>
        </is>
      </c>
      <c r="G328" t="n">
        <v>16.2</v>
      </c>
      <c r="H328" t="n">
        <v>0</v>
      </c>
      <c r="I328" t="n">
        <v>0</v>
      </c>
      <c r="J328" t="n">
        <v>0</v>
      </c>
      <c r="K328" t="n">
        <v>0</v>
      </c>
      <c r="L328" t="n">
        <v>0</v>
      </c>
      <c r="M328" t="n">
        <v>0</v>
      </c>
      <c r="N328" t="n">
        <v>0</v>
      </c>
      <c r="O328" t="n">
        <v>0</v>
      </c>
      <c r="P328" t="n">
        <v>0</v>
      </c>
      <c r="Q328" t="n">
        <v>0</v>
      </c>
      <c r="R328" s="2" t="inlineStr"/>
    </row>
    <row r="329" ht="15" customHeight="1">
      <c r="A329" t="inlineStr">
        <is>
          <t>A 456-2023</t>
        </is>
      </c>
      <c r="B329" s="1" t="n">
        <v>44929.87122685185</v>
      </c>
      <c r="C329" s="1" t="n">
        <v>45939</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10746-2025</t>
        </is>
      </c>
      <c r="B330" s="1" t="n">
        <v>45722.42766203704</v>
      </c>
      <c r="C330" s="1" t="n">
        <v>45939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2714-2023</t>
        </is>
      </c>
      <c r="B331" s="1" t="n">
        <v>44944.54896990741</v>
      </c>
      <c r="C331" s="1" t="n">
        <v>45939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45939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30365-2024</t>
        </is>
      </c>
      <c r="B333" s="1" t="n">
        <v>45491.3716087963</v>
      </c>
      <c r="C333" s="1" t="n">
        <v>45939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4421-2024</t>
        </is>
      </c>
      <c r="B334" s="1" t="n">
        <v>45327.45173611111</v>
      </c>
      <c r="C334" s="1" t="n">
        <v>45939</v>
      </c>
      <c r="D334" t="inlineStr">
        <is>
          <t>GOTLANDS LÄN</t>
        </is>
      </c>
      <c r="E334" t="inlineStr">
        <is>
          <t>GOTLAND</t>
        </is>
      </c>
      <c r="G334" t="n">
        <v>5.1</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45939</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51782-2023</t>
        </is>
      </c>
      <c r="B336" s="1" t="n">
        <v>45222.80952546297</v>
      </c>
      <c r="C336" s="1" t="n">
        <v>45939</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54268-2022</t>
        </is>
      </c>
      <c r="B337" s="1" t="n">
        <v>44882</v>
      </c>
      <c r="C337" s="1" t="n">
        <v>45939</v>
      </c>
      <c r="D337" t="inlineStr">
        <is>
          <t>GOTLANDS LÄN</t>
        </is>
      </c>
      <c r="E337" t="inlineStr">
        <is>
          <t>GOTLAND</t>
        </is>
      </c>
      <c r="G337" t="n">
        <v>2.7</v>
      </c>
      <c r="H337" t="n">
        <v>0</v>
      </c>
      <c r="I337" t="n">
        <v>0</v>
      </c>
      <c r="J337" t="n">
        <v>0</v>
      </c>
      <c r="K337" t="n">
        <v>0</v>
      </c>
      <c r="L337" t="n">
        <v>0</v>
      </c>
      <c r="M337" t="n">
        <v>0</v>
      </c>
      <c r="N337" t="n">
        <v>0</v>
      </c>
      <c r="O337" t="n">
        <v>0</v>
      </c>
      <c r="P337" t="n">
        <v>0</v>
      </c>
      <c r="Q337" t="n">
        <v>0</v>
      </c>
      <c r="R337" s="2" t="inlineStr"/>
    </row>
    <row r="338" ht="15" customHeight="1">
      <c r="A338" t="inlineStr">
        <is>
          <t>A 27930-2021</t>
        </is>
      </c>
      <c r="B338" s="1" t="n">
        <v>44354</v>
      </c>
      <c r="C338" s="1" t="n">
        <v>45939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57534-2022</t>
        </is>
      </c>
      <c r="B339" s="1" t="n">
        <v>44896</v>
      </c>
      <c r="C339" s="1" t="n">
        <v>45939</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45939</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25866-2022</t>
        </is>
      </c>
      <c r="B341" s="1" t="n">
        <v>44733</v>
      </c>
      <c r="C341" s="1" t="n">
        <v>45939</v>
      </c>
      <c r="D341" t="inlineStr">
        <is>
          <t>GOTLANDS LÄN</t>
        </is>
      </c>
      <c r="E341" t="inlineStr">
        <is>
          <t>GOTLAND</t>
        </is>
      </c>
      <c r="G341" t="n">
        <v>2.9</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45939</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1175-2025</t>
        </is>
      </c>
      <c r="B343" s="1" t="n">
        <v>45667.34449074074</v>
      </c>
      <c r="C343" s="1" t="n">
        <v>45939</v>
      </c>
      <c r="D343" t="inlineStr">
        <is>
          <t>GOTLANDS LÄN</t>
        </is>
      </c>
      <c r="E343" t="inlineStr">
        <is>
          <t>GOTLAND</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61962-2024</t>
        </is>
      </c>
      <c r="B344" s="1" t="n">
        <v>45653.54340277778</v>
      </c>
      <c r="C344" s="1" t="n">
        <v>45939</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27095-2022</t>
        </is>
      </c>
      <c r="B345" s="1" t="n">
        <v>44741</v>
      </c>
      <c r="C345" s="1" t="n">
        <v>45939</v>
      </c>
      <c r="D345" t="inlineStr">
        <is>
          <t>GOTLANDS LÄN</t>
        </is>
      </c>
      <c r="E345" t="inlineStr">
        <is>
          <t>GOTLAND</t>
        </is>
      </c>
      <c r="F345" t="inlineStr">
        <is>
          <t>Övriga Aktiebolag</t>
        </is>
      </c>
      <c r="G345" t="n">
        <v>2.9</v>
      </c>
      <c r="H345" t="n">
        <v>0</v>
      </c>
      <c r="I345" t="n">
        <v>0</v>
      </c>
      <c r="J345" t="n">
        <v>0</v>
      </c>
      <c r="K345" t="n">
        <v>0</v>
      </c>
      <c r="L345" t="n">
        <v>0</v>
      </c>
      <c r="M345" t="n">
        <v>0</v>
      </c>
      <c r="N345" t="n">
        <v>0</v>
      </c>
      <c r="O345" t="n">
        <v>0</v>
      </c>
      <c r="P345" t="n">
        <v>0</v>
      </c>
      <c r="Q345" t="n">
        <v>0</v>
      </c>
      <c r="R345" s="2" t="inlineStr"/>
    </row>
    <row r="346" ht="15" customHeight="1">
      <c r="A346" t="inlineStr">
        <is>
          <t>A 22899-2023</t>
        </is>
      </c>
      <c r="B346" s="1" t="n">
        <v>45072</v>
      </c>
      <c r="C346" s="1" t="n">
        <v>45939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1273-2023</t>
        </is>
      </c>
      <c r="B347" s="1" t="n">
        <v>44936</v>
      </c>
      <c r="C347" s="1" t="n">
        <v>45939</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10492-2023</t>
        </is>
      </c>
      <c r="B348" s="1" t="n">
        <v>44987</v>
      </c>
      <c r="C348" s="1" t="n">
        <v>45939</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23978-2023</t>
        </is>
      </c>
      <c r="B349" s="1" t="n">
        <v>45078</v>
      </c>
      <c r="C349" s="1" t="n">
        <v>45939</v>
      </c>
      <c r="D349" t="inlineStr">
        <is>
          <t>GOTLANDS LÄN</t>
        </is>
      </c>
      <c r="E349" t="inlineStr">
        <is>
          <t>GOTLAND</t>
        </is>
      </c>
      <c r="F349" t="inlineStr">
        <is>
          <t>Naturvårdsverket</t>
        </is>
      </c>
      <c r="G349" t="n">
        <v>1.7</v>
      </c>
      <c r="H349" t="n">
        <v>0</v>
      </c>
      <c r="I349" t="n">
        <v>0</v>
      </c>
      <c r="J349" t="n">
        <v>0</v>
      </c>
      <c r="K349" t="n">
        <v>0</v>
      </c>
      <c r="L349" t="n">
        <v>0</v>
      </c>
      <c r="M349" t="n">
        <v>0</v>
      </c>
      <c r="N349" t="n">
        <v>0</v>
      </c>
      <c r="O349" t="n">
        <v>0</v>
      </c>
      <c r="P349" t="n">
        <v>0</v>
      </c>
      <c r="Q349" t="n">
        <v>0</v>
      </c>
      <c r="R349" s="2" t="inlineStr"/>
    </row>
    <row r="350" ht="15" customHeight="1">
      <c r="A350" t="inlineStr">
        <is>
          <t>A 34407-2023</t>
        </is>
      </c>
      <c r="B350" s="1" t="n">
        <v>45132</v>
      </c>
      <c r="C350" s="1" t="n">
        <v>45939</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11013-2024</t>
        </is>
      </c>
      <c r="B351" s="1" t="n">
        <v>45370</v>
      </c>
      <c r="C351" s="1" t="n">
        <v>45939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45939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27694-2024</t>
        </is>
      </c>
      <c r="B353" s="1" t="n">
        <v>45475</v>
      </c>
      <c r="C353" s="1" t="n">
        <v>45939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45692-2023</t>
        </is>
      </c>
      <c r="B354" s="1" t="n">
        <v>45195</v>
      </c>
      <c r="C354" s="1" t="n">
        <v>45939</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15083-2025</t>
        </is>
      </c>
      <c r="B355" s="1" t="n">
        <v>45743</v>
      </c>
      <c r="C355" s="1" t="n">
        <v>45939</v>
      </c>
      <c r="D355" t="inlineStr">
        <is>
          <t>GOTLANDS LÄN</t>
        </is>
      </c>
      <c r="E355" t="inlineStr">
        <is>
          <t>GOTLAND</t>
        </is>
      </c>
      <c r="G355" t="n">
        <v>2.3</v>
      </c>
      <c r="H355" t="n">
        <v>0</v>
      </c>
      <c r="I355" t="n">
        <v>0</v>
      </c>
      <c r="J355" t="n">
        <v>0</v>
      </c>
      <c r="K355" t="n">
        <v>0</v>
      </c>
      <c r="L355" t="n">
        <v>0</v>
      </c>
      <c r="M355" t="n">
        <v>0</v>
      </c>
      <c r="N355" t="n">
        <v>0</v>
      </c>
      <c r="O355" t="n">
        <v>0</v>
      </c>
      <c r="P355" t="n">
        <v>0</v>
      </c>
      <c r="Q355" t="n">
        <v>0</v>
      </c>
      <c r="R355" s="2" t="inlineStr"/>
    </row>
    <row r="356" ht="15" customHeight="1">
      <c r="A356" t="inlineStr">
        <is>
          <t>A 5909-2025</t>
        </is>
      </c>
      <c r="B356" s="1" t="n">
        <v>45695.40634259259</v>
      </c>
      <c r="C356" s="1" t="n">
        <v>45939</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10653-2023</t>
        </is>
      </c>
      <c r="B357" s="1" t="n">
        <v>44988.48859953704</v>
      </c>
      <c r="C357" s="1" t="n">
        <v>45939</v>
      </c>
      <c r="D357" t="inlineStr">
        <is>
          <t>GOTLANDS LÄN</t>
        </is>
      </c>
      <c r="E357" t="inlineStr">
        <is>
          <t>GOTLAND</t>
        </is>
      </c>
      <c r="F357" t="inlineStr">
        <is>
          <t>Kyrkan</t>
        </is>
      </c>
      <c r="G357" t="n">
        <v>3</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45939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13037-2025</t>
        </is>
      </c>
      <c r="B359" s="1" t="n">
        <v>45734</v>
      </c>
      <c r="C359" s="1" t="n">
        <v>45939</v>
      </c>
      <c r="D359" t="inlineStr">
        <is>
          <t>GOTLANDS LÄN</t>
        </is>
      </c>
      <c r="E359" t="inlineStr">
        <is>
          <t>GOTLAND</t>
        </is>
      </c>
      <c r="G359" t="n">
        <v>9.5</v>
      </c>
      <c r="H359" t="n">
        <v>0</v>
      </c>
      <c r="I359" t="n">
        <v>0</v>
      </c>
      <c r="J359" t="n">
        <v>0</v>
      </c>
      <c r="K359" t="n">
        <v>0</v>
      </c>
      <c r="L359" t="n">
        <v>0</v>
      </c>
      <c r="M359" t="n">
        <v>0</v>
      </c>
      <c r="N359" t="n">
        <v>0</v>
      </c>
      <c r="O359" t="n">
        <v>0</v>
      </c>
      <c r="P359" t="n">
        <v>0</v>
      </c>
      <c r="Q359" t="n">
        <v>0</v>
      </c>
      <c r="R359" s="2" t="inlineStr"/>
    </row>
    <row r="360" ht="15" customHeight="1">
      <c r="A360" t="inlineStr">
        <is>
          <t>A 458-2023</t>
        </is>
      </c>
      <c r="B360" s="1" t="n">
        <v>44929</v>
      </c>
      <c r="C360" s="1" t="n">
        <v>45939</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4990-2025</t>
        </is>
      </c>
      <c r="B361" s="1" t="n">
        <v>45691</v>
      </c>
      <c r="C361" s="1" t="n">
        <v>45939</v>
      </c>
      <c r="D361" t="inlineStr">
        <is>
          <t>GOTLANDS LÄN</t>
        </is>
      </c>
      <c r="E361" t="inlineStr">
        <is>
          <t>GOTLAND</t>
        </is>
      </c>
      <c r="G361" t="n">
        <v>7.7</v>
      </c>
      <c r="H361" t="n">
        <v>0</v>
      </c>
      <c r="I361" t="n">
        <v>0</v>
      </c>
      <c r="J361" t="n">
        <v>0</v>
      </c>
      <c r="K361" t="n">
        <v>0</v>
      </c>
      <c r="L361" t="n">
        <v>0</v>
      </c>
      <c r="M361" t="n">
        <v>0</v>
      </c>
      <c r="N361" t="n">
        <v>0</v>
      </c>
      <c r="O361" t="n">
        <v>0</v>
      </c>
      <c r="P361" t="n">
        <v>0</v>
      </c>
      <c r="Q361" t="n">
        <v>0</v>
      </c>
      <c r="R361" s="2" t="inlineStr"/>
    </row>
    <row r="362" ht="15" customHeight="1">
      <c r="A362" t="inlineStr">
        <is>
          <t>A 44228-2022</t>
        </is>
      </c>
      <c r="B362" s="1" t="n">
        <v>44839.51599537037</v>
      </c>
      <c r="C362" s="1" t="n">
        <v>45939</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28285-2024</t>
        </is>
      </c>
      <c r="B363" s="1" t="n">
        <v>45477</v>
      </c>
      <c r="C363" s="1" t="n">
        <v>45939</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58132-2023</t>
        </is>
      </c>
      <c r="B364" s="1" t="n">
        <v>45250</v>
      </c>
      <c r="C364" s="1" t="n">
        <v>45939</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45939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45939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43081-2022</t>
        </is>
      </c>
      <c r="B367" s="1" t="n">
        <v>44833</v>
      </c>
      <c r="C367" s="1" t="n">
        <v>45939</v>
      </c>
      <c r="D367" t="inlineStr">
        <is>
          <t>GOTLANDS LÄN</t>
        </is>
      </c>
      <c r="E367" t="inlineStr">
        <is>
          <t>GOTLAND</t>
        </is>
      </c>
      <c r="G367" t="n">
        <v>6.8</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45939</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49884-2023</t>
        </is>
      </c>
      <c r="B369" s="1" t="n">
        <v>45213</v>
      </c>
      <c r="C369" s="1" t="n">
        <v>45939</v>
      </c>
      <c r="D369" t="inlineStr">
        <is>
          <t>GOTLANDS LÄN</t>
        </is>
      </c>
      <c r="E369" t="inlineStr">
        <is>
          <t>GOTLAND</t>
        </is>
      </c>
      <c r="G369" t="n">
        <v>8.9</v>
      </c>
      <c r="H369" t="n">
        <v>0</v>
      </c>
      <c r="I369" t="n">
        <v>0</v>
      </c>
      <c r="J369" t="n">
        <v>0</v>
      </c>
      <c r="K369" t="n">
        <v>0</v>
      </c>
      <c r="L369" t="n">
        <v>0</v>
      </c>
      <c r="M369" t="n">
        <v>0</v>
      </c>
      <c r="N369" t="n">
        <v>0</v>
      </c>
      <c r="O369" t="n">
        <v>0</v>
      </c>
      <c r="P369" t="n">
        <v>0</v>
      </c>
      <c r="Q369" t="n">
        <v>0</v>
      </c>
      <c r="R369" s="2" t="inlineStr"/>
    </row>
    <row r="370" ht="15" customHeight="1">
      <c r="A370" t="inlineStr">
        <is>
          <t>A 5884-2025</t>
        </is>
      </c>
      <c r="B370" s="1" t="n">
        <v>45695.37482638889</v>
      </c>
      <c r="C370" s="1" t="n">
        <v>45939</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5897-2025</t>
        </is>
      </c>
      <c r="B371" s="1" t="n">
        <v>45695.39273148148</v>
      </c>
      <c r="C371" s="1" t="n">
        <v>45939</v>
      </c>
      <c r="D371" t="inlineStr">
        <is>
          <t>GOTLANDS LÄN</t>
        </is>
      </c>
      <c r="E371" t="inlineStr">
        <is>
          <t>GOTLAND</t>
        </is>
      </c>
      <c r="G371" t="n">
        <v>3.7</v>
      </c>
      <c r="H371" t="n">
        <v>0</v>
      </c>
      <c r="I371" t="n">
        <v>0</v>
      </c>
      <c r="J371" t="n">
        <v>0</v>
      </c>
      <c r="K371" t="n">
        <v>0</v>
      </c>
      <c r="L371" t="n">
        <v>0</v>
      </c>
      <c r="M371" t="n">
        <v>0</v>
      </c>
      <c r="N371" t="n">
        <v>0</v>
      </c>
      <c r="O371" t="n">
        <v>0</v>
      </c>
      <c r="P371" t="n">
        <v>0</v>
      </c>
      <c r="Q371" t="n">
        <v>0</v>
      </c>
      <c r="R371" s="2" t="inlineStr"/>
    </row>
    <row r="372" ht="15" customHeight="1">
      <c r="A372" t="inlineStr">
        <is>
          <t>A 876-2024</t>
        </is>
      </c>
      <c r="B372" s="1" t="n">
        <v>45301</v>
      </c>
      <c r="C372" s="1" t="n">
        <v>45939</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6796-2025</t>
        </is>
      </c>
      <c r="B373" s="1" t="n">
        <v>45700.66559027778</v>
      </c>
      <c r="C373" s="1" t="n">
        <v>45939</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49693-2023</t>
        </is>
      </c>
      <c r="B374" s="1" t="n">
        <v>45212.38138888889</v>
      </c>
      <c r="C374" s="1" t="n">
        <v>45939</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49697-2023</t>
        </is>
      </c>
      <c r="B375" s="1" t="n">
        <v>45212.38909722222</v>
      </c>
      <c r="C375" s="1" t="n">
        <v>45939</v>
      </c>
      <c r="D375" t="inlineStr">
        <is>
          <t>GOTLANDS LÄN</t>
        </is>
      </c>
      <c r="E375" t="inlineStr">
        <is>
          <t>GOTLAND</t>
        </is>
      </c>
      <c r="G375" t="n">
        <v>4.4</v>
      </c>
      <c r="H375" t="n">
        <v>0</v>
      </c>
      <c r="I375" t="n">
        <v>0</v>
      </c>
      <c r="J375" t="n">
        <v>0</v>
      </c>
      <c r="K375" t="n">
        <v>0</v>
      </c>
      <c r="L375" t="n">
        <v>0</v>
      </c>
      <c r="M375" t="n">
        <v>0</v>
      </c>
      <c r="N375" t="n">
        <v>0</v>
      </c>
      <c r="O375" t="n">
        <v>0</v>
      </c>
      <c r="P375" t="n">
        <v>0</v>
      </c>
      <c r="Q375" t="n">
        <v>0</v>
      </c>
      <c r="R375" s="2" t="inlineStr"/>
    </row>
    <row r="376" ht="15" customHeight="1">
      <c r="A376" t="inlineStr">
        <is>
          <t>A 58388-2022</t>
        </is>
      </c>
      <c r="B376" s="1" t="n">
        <v>44894</v>
      </c>
      <c r="C376" s="1" t="n">
        <v>45939</v>
      </c>
      <c r="D376" t="inlineStr">
        <is>
          <t>GOTLANDS LÄN</t>
        </is>
      </c>
      <c r="E376" t="inlineStr">
        <is>
          <t>GOTLAND</t>
        </is>
      </c>
      <c r="F376" t="inlineStr">
        <is>
          <t>Övriga statliga verk och myndigheter</t>
        </is>
      </c>
      <c r="G376" t="n">
        <v>3.1</v>
      </c>
      <c r="H376" t="n">
        <v>0</v>
      </c>
      <c r="I376" t="n">
        <v>0</v>
      </c>
      <c r="J376" t="n">
        <v>0</v>
      </c>
      <c r="K376" t="n">
        <v>0</v>
      </c>
      <c r="L376" t="n">
        <v>0</v>
      </c>
      <c r="M376" t="n">
        <v>0</v>
      </c>
      <c r="N376" t="n">
        <v>0</v>
      </c>
      <c r="O376" t="n">
        <v>0</v>
      </c>
      <c r="P376" t="n">
        <v>0</v>
      </c>
      <c r="Q376" t="n">
        <v>0</v>
      </c>
      <c r="R376" s="2" t="inlineStr"/>
    </row>
    <row r="377" ht="15" customHeight="1">
      <c r="A377" t="inlineStr">
        <is>
          <t>A 20356-2022</t>
        </is>
      </c>
      <c r="B377" s="1" t="n">
        <v>44699</v>
      </c>
      <c r="C377" s="1" t="n">
        <v>45939</v>
      </c>
      <c r="D377" t="inlineStr">
        <is>
          <t>GOTLANDS LÄN</t>
        </is>
      </c>
      <c r="E377" t="inlineStr">
        <is>
          <t>GOTLAND</t>
        </is>
      </c>
      <c r="F377" t="inlineStr">
        <is>
          <t>Övriga Aktiebolag</t>
        </is>
      </c>
      <c r="G377" t="n">
        <v>4.4</v>
      </c>
      <c r="H377" t="n">
        <v>0</v>
      </c>
      <c r="I377" t="n">
        <v>0</v>
      </c>
      <c r="J377" t="n">
        <v>0</v>
      </c>
      <c r="K377" t="n">
        <v>0</v>
      </c>
      <c r="L377" t="n">
        <v>0</v>
      </c>
      <c r="M377" t="n">
        <v>0</v>
      </c>
      <c r="N377" t="n">
        <v>0</v>
      </c>
      <c r="O377" t="n">
        <v>0</v>
      </c>
      <c r="P377" t="n">
        <v>0</v>
      </c>
      <c r="Q377" t="n">
        <v>0</v>
      </c>
      <c r="R377" s="2" t="inlineStr"/>
    </row>
    <row r="378" ht="15" customHeight="1">
      <c r="A378" t="inlineStr">
        <is>
          <t>A 21792-2024</t>
        </is>
      </c>
      <c r="B378" s="1" t="n">
        <v>45442.64326388889</v>
      </c>
      <c r="C378" s="1" t="n">
        <v>45939</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17901-2023</t>
        </is>
      </c>
      <c r="B379" s="1" t="n">
        <v>45039</v>
      </c>
      <c r="C379" s="1" t="n">
        <v>45939</v>
      </c>
      <c r="D379" t="inlineStr">
        <is>
          <t>GOTLANDS LÄN</t>
        </is>
      </c>
      <c r="E379" t="inlineStr">
        <is>
          <t>GOTLAND</t>
        </is>
      </c>
      <c r="F379" t="inlineStr">
        <is>
          <t>Kyrkan</t>
        </is>
      </c>
      <c r="G379" t="n">
        <v>0.6</v>
      </c>
      <c r="H379" t="n">
        <v>0</v>
      </c>
      <c r="I379" t="n">
        <v>0</v>
      </c>
      <c r="J379" t="n">
        <v>0</v>
      </c>
      <c r="K379" t="n">
        <v>0</v>
      </c>
      <c r="L379" t="n">
        <v>0</v>
      </c>
      <c r="M379" t="n">
        <v>0</v>
      </c>
      <c r="N379" t="n">
        <v>0</v>
      </c>
      <c r="O379" t="n">
        <v>0</v>
      </c>
      <c r="P379" t="n">
        <v>0</v>
      </c>
      <c r="Q379" t="n">
        <v>0</v>
      </c>
      <c r="R379" s="2" t="inlineStr"/>
    </row>
    <row r="380" ht="15" customHeight="1">
      <c r="A380" t="inlineStr">
        <is>
          <t>A 52892-2021</t>
        </is>
      </c>
      <c r="B380" s="1" t="n">
        <v>44467.49048611111</v>
      </c>
      <c r="C380" s="1" t="n">
        <v>45939</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22704-2023</t>
        </is>
      </c>
      <c r="B381" s="1" t="n">
        <v>45071</v>
      </c>
      <c r="C381" s="1" t="n">
        <v>45939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28425-2023</t>
        </is>
      </c>
      <c r="B382" s="1" t="n">
        <v>45102</v>
      </c>
      <c r="C382" s="1" t="n">
        <v>45939</v>
      </c>
      <c r="D382" t="inlineStr">
        <is>
          <t>GOTLANDS LÄN</t>
        </is>
      </c>
      <c r="E382" t="inlineStr">
        <is>
          <t>GOTLAND</t>
        </is>
      </c>
      <c r="G382" t="n">
        <v>0.5</v>
      </c>
      <c r="H382" t="n">
        <v>0</v>
      </c>
      <c r="I382" t="n">
        <v>0</v>
      </c>
      <c r="J382" t="n">
        <v>0</v>
      </c>
      <c r="K382" t="n">
        <v>0</v>
      </c>
      <c r="L382" t="n">
        <v>0</v>
      </c>
      <c r="M382" t="n">
        <v>0</v>
      </c>
      <c r="N382" t="n">
        <v>0</v>
      </c>
      <c r="O382" t="n">
        <v>0</v>
      </c>
      <c r="P382" t="n">
        <v>0</v>
      </c>
      <c r="Q382" t="n">
        <v>0</v>
      </c>
      <c r="R382" s="2" t="inlineStr"/>
    </row>
    <row r="383" ht="15" customHeight="1">
      <c r="A383" t="inlineStr">
        <is>
          <t>A 58476-2022</t>
        </is>
      </c>
      <c r="B383" s="1" t="n">
        <v>44902</v>
      </c>
      <c r="C383" s="1" t="n">
        <v>45939</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17688-2024</t>
        </is>
      </c>
      <c r="B384" s="1" t="n">
        <v>45418.43575231481</v>
      </c>
      <c r="C384" s="1" t="n">
        <v>45939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45939</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45939</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4568-2025</t>
        </is>
      </c>
      <c r="B387" s="1" t="n">
        <v>45687</v>
      </c>
      <c r="C387" s="1" t="n">
        <v>45939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43200-2023</t>
        </is>
      </c>
      <c r="B388" s="1" t="n">
        <v>45183</v>
      </c>
      <c r="C388" s="1" t="n">
        <v>45939</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43223-2023</t>
        </is>
      </c>
      <c r="B389" s="1" t="n">
        <v>45183.45642361111</v>
      </c>
      <c r="C389" s="1" t="n">
        <v>45939</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12327-2025</t>
        </is>
      </c>
      <c r="B390" s="1" t="n">
        <v>45730</v>
      </c>
      <c r="C390" s="1" t="n">
        <v>45939</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17724-2024</t>
        </is>
      </c>
      <c r="B391" s="1" t="n">
        <v>45418.55096064815</v>
      </c>
      <c r="C391" s="1" t="n">
        <v>45939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3431-2025</t>
        </is>
      </c>
      <c r="B392" s="1" t="n">
        <v>45680.42935185185</v>
      </c>
      <c r="C392" s="1" t="n">
        <v>45939</v>
      </c>
      <c r="D392" t="inlineStr">
        <is>
          <t>GOTLANDS LÄN</t>
        </is>
      </c>
      <c r="E392" t="inlineStr">
        <is>
          <t>GOTLAND</t>
        </is>
      </c>
      <c r="G392" t="n">
        <v>4.8</v>
      </c>
      <c r="H392" t="n">
        <v>0</v>
      </c>
      <c r="I392" t="n">
        <v>0</v>
      </c>
      <c r="J392" t="n">
        <v>0</v>
      </c>
      <c r="K392" t="n">
        <v>0</v>
      </c>
      <c r="L392" t="n">
        <v>0</v>
      </c>
      <c r="M392" t="n">
        <v>0</v>
      </c>
      <c r="N392" t="n">
        <v>0</v>
      </c>
      <c r="O392" t="n">
        <v>0</v>
      </c>
      <c r="P392" t="n">
        <v>0</v>
      </c>
      <c r="Q392" t="n">
        <v>0</v>
      </c>
      <c r="R392" s="2" t="inlineStr"/>
    </row>
    <row r="393" ht="15" customHeight="1">
      <c r="A393" t="inlineStr">
        <is>
          <t>A 34312-2024</t>
        </is>
      </c>
      <c r="B393" s="1" t="n">
        <v>45524.69703703704</v>
      </c>
      <c r="C393" s="1" t="n">
        <v>45939</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12209-2024</t>
        </is>
      </c>
      <c r="B394" s="1" t="n">
        <v>45378</v>
      </c>
      <c r="C394" s="1" t="n">
        <v>45939</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12210-2024</t>
        </is>
      </c>
      <c r="B395" s="1" t="n">
        <v>45378</v>
      </c>
      <c r="C395" s="1" t="n">
        <v>45939</v>
      </c>
      <c r="D395" t="inlineStr">
        <is>
          <t>GOTLANDS LÄN</t>
        </is>
      </c>
      <c r="E395" t="inlineStr">
        <is>
          <t>GOTLAND</t>
        </is>
      </c>
      <c r="G395" t="n">
        <v>4.1</v>
      </c>
      <c r="H395" t="n">
        <v>0</v>
      </c>
      <c r="I395" t="n">
        <v>0</v>
      </c>
      <c r="J395" t="n">
        <v>0</v>
      </c>
      <c r="K395" t="n">
        <v>0</v>
      </c>
      <c r="L395" t="n">
        <v>0</v>
      </c>
      <c r="M395" t="n">
        <v>0</v>
      </c>
      <c r="N395" t="n">
        <v>0</v>
      </c>
      <c r="O395" t="n">
        <v>0</v>
      </c>
      <c r="P395" t="n">
        <v>0</v>
      </c>
      <c r="Q395" t="n">
        <v>0</v>
      </c>
      <c r="R395" s="2" t="inlineStr"/>
    </row>
    <row r="396" ht="15" customHeight="1">
      <c r="A396" t="inlineStr">
        <is>
          <t>A 35512-2023</t>
        </is>
      </c>
      <c r="B396" s="1" t="n">
        <v>45147.25623842593</v>
      </c>
      <c r="C396" s="1" t="n">
        <v>45939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1364-2025</t>
        </is>
      </c>
      <c r="B397" s="1" t="n">
        <v>45667.63929398148</v>
      </c>
      <c r="C397" s="1" t="n">
        <v>45939</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5905-2024</t>
        </is>
      </c>
      <c r="B398" s="1" t="n">
        <v>45335.88993055555</v>
      </c>
      <c r="C398" s="1" t="n">
        <v>45939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15042-2025</t>
        </is>
      </c>
      <c r="B399" s="1" t="n">
        <v>45743</v>
      </c>
      <c r="C399" s="1" t="n">
        <v>45939</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1291-2023</t>
        </is>
      </c>
      <c r="B400" s="1" t="n">
        <v>44936.47561342592</v>
      </c>
      <c r="C400" s="1" t="n">
        <v>45939</v>
      </c>
      <c r="D400" t="inlineStr">
        <is>
          <t>GOTLANDS LÄN</t>
        </is>
      </c>
      <c r="E400" t="inlineStr">
        <is>
          <t>GOTLAND</t>
        </is>
      </c>
      <c r="G400" t="n">
        <v>7.4</v>
      </c>
      <c r="H400" t="n">
        <v>0</v>
      </c>
      <c r="I400" t="n">
        <v>0</v>
      </c>
      <c r="J400" t="n">
        <v>0</v>
      </c>
      <c r="K400" t="n">
        <v>0</v>
      </c>
      <c r="L400" t="n">
        <v>0</v>
      </c>
      <c r="M400" t="n">
        <v>0</v>
      </c>
      <c r="N400" t="n">
        <v>0</v>
      </c>
      <c r="O400" t="n">
        <v>0</v>
      </c>
      <c r="P400" t="n">
        <v>0</v>
      </c>
      <c r="Q400" t="n">
        <v>0</v>
      </c>
      <c r="R400" s="2" t="inlineStr"/>
    </row>
    <row r="401" ht="15" customHeight="1">
      <c r="A401" t="inlineStr">
        <is>
          <t>A 69112-2021</t>
        </is>
      </c>
      <c r="B401" s="1" t="n">
        <v>44530</v>
      </c>
      <c r="C401" s="1" t="n">
        <v>45939</v>
      </c>
      <c r="D401" t="inlineStr">
        <is>
          <t>GOTLANDS LÄN</t>
        </is>
      </c>
      <c r="E401" t="inlineStr">
        <is>
          <t>GOTLAND</t>
        </is>
      </c>
      <c r="G401" t="n">
        <v>4.2</v>
      </c>
      <c r="H401" t="n">
        <v>0</v>
      </c>
      <c r="I401" t="n">
        <v>0</v>
      </c>
      <c r="J401" t="n">
        <v>0</v>
      </c>
      <c r="K401" t="n">
        <v>0</v>
      </c>
      <c r="L401" t="n">
        <v>0</v>
      </c>
      <c r="M401" t="n">
        <v>0</v>
      </c>
      <c r="N401" t="n">
        <v>0</v>
      </c>
      <c r="O401" t="n">
        <v>0</v>
      </c>
      <c r="P401" t="n">
        <v>0</v>
      </c>
      <c r="Q401" t="n">
        <v>0</v>
      </c>
      <c r="R401" s="2" t="inlineStr"/>
    </row>
    <row r="402" ht="15" customHeight="1">
      <c r="A402" t="inlineStr">
        <is>
          <t>A 2180-2025</t>
        </is>
      </c>
      <c r="B402" s="1" t="n">
        <v>45673</v>
      </c>
      <c r="C402" s="1" t="n">
        <v>45939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15436-2025</t>
        </is>
      </c>
      <c r="B403" s="1" t="n">
        <v>45747.47462962963</v>
      </c>
      <c r="C403" s="1" t="n">
        <v>45939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49257-2024</t>
        </is>
      </c>
      <c r="B404" s="1" t="n">
        <v>45595.47627314815</v>
      </c>
      <c r="C404" s="1" t="n">
        <v>45939</v>
      </c>
      <c r="D404" t="inlineStr">
        <is>
          <t>GOTLANDS LÄN</t>
        </is>
      </c>
      <c r="E404" t="inlineStr">
        <is>
          <t>GOTLAND</t>
        </is>
      </c>
      <c r="G404" t="n">
        <v>6.3</v>
      </c>
      <c r="H404" t="n">
        <v>0</v>
      </c>
      <c r="I404" t="n">
        <v>0</v>
      </c>
      <c r="J404" t="n">
        <v>0</v>
      </c>
      <c r="K404" t="n">
        <v>0</v>
      </c>
      <c r="L404" t="n">
        <v>0</v>
      </c>
      <c r="M404" t="n">
        <v>0</v>
      </c>
      <c r="N404" t="n">
        <v>0</v>
      </c>
      <c r="O404" t="n">
        <v>0</v>
      </c>
      <c r="P404" t="n">
        <v>0</v>
      </c>
      <c r="Q404" t="n">
        <v>0</v>
      </c>
      <c r="R404" s="2" t="inlineStr"/>
    </row>
    <row r="405" ht="15" customHeight="1">
      <c r="A405" t="inlineStr">
        <is>
          <t>A 7638-2025</t>
        </is>
      </c>
      <c r="B405" s="1" t="n">
        <v>45705.77306712963</v>
      </c>
      <c r="C405" s="1" t="n">
        <v>45939</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50482-2024</t>
        </is>
      </c>
      <c r="B406" s="1" t="n">
        <v>45601.48114583334</v>
      </c>
      <c r="C406" s="1" t="n">
        <v>45939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45939</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37202-2024</t>
        </is>
      </c>
      <c r="B408" s="1" t="n">
        <v>45539.67310185185</v>
      </c>
      <c r="C408" s="1" t="n">
        <v>45939</v>
      </c>
      <c r="D408" t="inlineStr">
        <is>
          <t>GOTLANDS LÄN</t>
        </is>
      </c>
      <c r="E408" t="inlineStr">
        <is>
          <t>GOTLAND</t>
        </is>
      </c>
      <c r="G408" t="n">
        <v>0.3</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45939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56115-2023</t>
        </is>
      </c>
      <c r="B410" s="1" t="n">
        <v>45236</v>
      </c>
      <c r="C410" s="1" t="n">
        <v>45939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58230-2024</t>
        </is>
      </c>
      <c r="B411" s="1" t="n">
        <v>45632.51625</v>
      </c>
      <c r="C411" s="1" t="n">
        <v>45939</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45939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1462-2025</t>
        </is>
      </c>
      <c r="B413" s="1" t="n">
        <v>45670.36319444444</v>
      </c>
      <c r="C413" s="1" t="n">
        <v>45939</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45939</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45939</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45939</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18993-2025</t>
        </is>
      </c>
      <c r="B417" s="1" t="n">
        <v>45764</v>
      </c>
      <c r="C417" s="1" t="n">
        <v>45939</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25129-2023</t>
        </is>
      </c>
      <c r="B418" s="1" t="n">
        <v>45086.44261574074</v>
      </c>
      <c r="C418" s="1" t="n">
        <v>45939</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24192-2023</t>
        </is>
      </c>
      <c r="B419" s="1" t="n">
        <v>45079</v>
      </c>
      <c r="C419" s="1" t="n">
        <v>45939</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45939</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45939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45939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45939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45939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45939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5386-2023</t>
        </is>
      </c>
      <c r="B426" s="1" t="n">
        <v>44959</v>
      </c>
      <c r="C426" s="1" t="n">
        <v>45939</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60709-2023</t>
        </is>
      </c>
      <c r="B427" s="1" t="n">
        <v>45260</v>
      </c>
      <c r="C427" s="1" t="n">
        <v>45939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47147-2025</t>
        </is>
      </c>
      <c r="B428" s="1" t="n">
        <v>45929.71716435185</v>
      </c>
      <c r="C428" s="1" t="n">
        <v>45939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7026-2023</t>
        </is>
      </c>
      <c r="B429" s="1" t="n">
        <v>44968.30340277778</v>
      </c>
      <c r="C429" s="1" t="n">
        <v>45939</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20855-2023</t>
        </is>
      </c>
      <c r="B430" s="1" t="n">
        <v>45058.82172453704</v>
      </c>
      <c r="C430" s="1" t="n">
        <v>45939</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30135-2025</t>
        </is>
      </c>
      <c r="B431" s="1" t="n">
        <v>45826</v>
      </c>
      <c r="C431" s="1" t="n">
        <v>45939</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64208-2021</t>
        </is>
      </c>
      <c r="B432" s="1" t="n">
        <v>44510</v>
      </c>
      <c r="C432" s="1" t="n">
        <v>45939</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20356-2022</t>
        </is>
      </c>
      <c r="B433" s="1" t="n">
        <v>44699</v>
      </c>
      <c r="C433" s="1" t="n">
        <v>45939</v>
      </c>
      <c r="D433" t="inlineStr">
        <is>
          <t>GOTLANDS LÄN</t>
        </is>
      </c>
      <c r="E433" t="inlineStr">
        <is>
          <t>GOTLAND</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48734-2022</t>
        </is>
      </c>
      <c r="B434" s="1" t="n">
        <v>44855</v>
      </c>
      <c r="C434" s="1" t="n">
        <v>45939</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39764-2022</t>
        </is>
      </c>
      <c r="B435" s="1" t="n">
        <v>44819</v>
      </c>
      <c r="C435" s="1" t="n">
        <v>45939</v>
      </c>
      <c r="D435" t="inlineStr">
        <is>
          <t>GOTLANDS LÄN</t>
        </is>
      </c>
      <c r="E435" t="inlineStr">
        <is>
          <t>GOTLAND</t>
        </is>
      </c>
      <c r="F435" t="inlineStr">
        <is>
          <t>Kyrkan</t>
        </is>
      </c>
      <c r="G435" t="n">
        <v>3.7</v>
      </c>
      <c r="H435" t="n">
        <v>0</v>
      </c>
      <c r="I435" t="n">
        <v>0</v>
      </c>
      <c r="J435" t="n">
        <v>0</v>
      </c>
      <c r="K435" t="n">
        <v>0</v>
      </c>
      <c r="L435" t="n">
        <v>0</v>
      </c>
      <c r="M435" t="n">
        <v>0</v>
      </c>
      <c r="N435" t="n">
        <v>0</v>
      </c>
      <c r="O435" t="n">
        <v>0</v>
      </c>
      <c r="P435" t="n">
        <v>0</v>
      </c>
      <c r="Q435" t="n">
        <v>0</v>
      </c>
      <c r="R435" s="2" t="inlineStr"/>
    </row>
    <row r="436" ht="15" customHeight="1">
      <c r="A436" t="inlineStr">
        <is>
          <t>A 14141-2024</t>
        </is>
      </c>
      <c r="B436" s="1" t="n">
        <v>45392.85193287037</v>
      </c>
      <c r="C436" s="1" t="n">
        <v>45939</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16373-2025</t>
        </is>
      </c>
      <c r="B437" s="1" t="n">
        <v>45751</v>
      </c>
      <c r="C437" s="1" t="n">
        <v>45939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12599-2025</t>
        </is>
      </c>
      <c r="B438" s="1" t="n">
        <v>45733.29546296296</v>
      </c>
      <c r="C438" s="1" t="n">
        <v>45939</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29809-2022</t>
        </is>
      </c>
      <c r="B439" s="1" t="n">
        <v>44755.8713425926</v>
      </c>
      <c r="C439" s="1" t="n">
        <v>45939</v>
      </c>
      <c r="D439" t="inlineStr">
        <is>
          <t>GOTLANDS LÄN</t>
        </is>
      </c>
      <c r="E439" t="inlineStr">
        <is>
          <t>GOTLAND</t>
        </is>
      </c>
      <c r="G439" t="n">
        <v>11.5</v>
      </c>
      <c r="H439" t="n">
        <v>0</v>
      </c>
      <c r="I439" t="n">
        <v>0</v>
      </c>
      <c r="J439" t="n">
        <v>0</v>
      </c>
      <c r="K439" t="n">
        <v>0</v>
      </c>
      <c r="L439" t="n">
        <v>0</v>
      </c>
      <c r="M439" t="n">
        <v>0</v>
      </c>
      <c r="N439" t="n">
        <v>0</v>
      </c>
      <c r="O439" t="n">
        <v>0</v>
      </c>
      <c r="P439" t="n">
        <v>0</v>
      </c>
      <c r="Q439" t="n">
        <v>0</v>
      </c>
      <c r="R439" s="2" t="inlineStr"/>
    </row>
    <row r="440" ht="15" customHeight="1">
      <c r="A440" t="inlineStr">
        <is>
          <t>A 35141-2025</t>
        </is>
      </c>
      <c r="B440" s="1" t="n">
        <v>45852.65206018519</v>
      </c>
      <c r="C440" s="1" t="n">
        <v>45939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1000-2024</t>
        </is>
      </c>
      <c r="B441" s="1" t="n">
        <v>45301.63371527778</v>
      </c>
      <c r="C441" s="1" t="n">
        <v>45939</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1010-2024</t>
        </is>
      </c>
      <c r="B442" s="1" t="n">
        <v>45301</v>
      </c>
      <c r="C442" s="1" t="n">
        <v>45939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46836-2025</t>
        </is>
      </c>
      <c r="B443" s="1" t="n">
        <v>45928.31511574074</v>
      </c>
      <c r="C443" s="1" t="n">
        <v>45939</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58211-2024</t>
        </is>
      </c>
      <c r="B444" s="1" t="n">
        <v>45632.49292824074</v>
      </c>
      <c r="C444" s="1" t="n">
        <v>45939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35142-2025</t>
        </is>
      </c>
      <c r="B445" s="1" t="n">
        <v>45852.65532407408</v>
      </c>
      <c r="C445" s="1" t="n">
        <v>45939</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30956-2024</t>
        </is>
      </c>
      <c r="B446" s="1" t="n">
        <v>45499.42527777778</v>
      </c>
      <c r="C446" s="1" t="n">
        <v>45939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45939</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14635-2023</t>
        </is>
      </c>
      <c r="B448" s="1" t="n">
        <v>45013.69365740741</v>
      </c>
      <c r="C448" s="1" t="n">
        <v>45939</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59469-2024</t>
        </is>
      </c>
      <c r="B449" s="1" t="n">
        <v>45638</v>
      </c>
      <c r="C449" s="1" t="n">
        <v>45939</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45939</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53935-2024</t>
        </is>
      </c>
      <c r="B451" s="1" t="n">
        <v>45615</v>
      </c>
      <c r="C451" s="1" t="n">
        <v>45939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18223-2025</t>
        </is>
      </c>
      <c r="B452" s="1" t="n">
        <v>45761</v>
      </c>
      <c r="C452" s="1" t="n">
        <v>45939</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4420-2025</t>
        </is>
      </c>
      <c r="B453" s="1" t="n">
        <v>45686.47157407407</v>
      </c>
      <c r="C453" s="1" t="n">
        <v>45939</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47637-2025</t>
        </is>
      </c>
      <c r="B454" s="1" t="n">
        <v>45931.49753472222</v>
      </c>
      <c r="C454" s="1" t="n">
        <v>45939</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47762-2023</t>
        </is>
      </c>
      <c r="B455" s="1" t="n">
        <v>45203.86256944444</v>
      </c>
      <c r="C455" s="1" t="n">
        <v>45939</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39752-2025</t>
        </is>
      </c>
      <c r="B456" s="1" t="n">
        <v>45891</v>
      </c>
      <c r="C456" s="1" t="n">
        <v>45939</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5891-2025</t>
        </is>
      </c>
      <c r="B457" s="1" t="n">
        <v>45695.38327546296</v>
      </c>
      <c r="C457" s="1" t="n">
        <v>45939</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47578-2025</t>
        </is>
      </c>
      <c r="B458" s="1" t="n">
        <v>45931</v>
      </c>
      <c r="C458" s="1" t="n">
        <v>45939</v>
      </c>
      <c r="D458" t="inlineStr">
        <is>
          <t>GOTLANDS LÄN</t>
        </is>
      </c>
      <c r="E458" t="inlineStr">
        <is>
          <t>GOTLAND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46545-2024</t>
        </is>
      </c>
      <c r="B459" s="1" t="n">
        <v>45582.65831018519</v>
      </c>
      <c r="C459" s="1" t="n">
        <v>45939</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38649-2025</t>
        </is>
      </c>
      <c r="B460" s="1" t="n">
        <v>45884</v>
      </c>
      <c r="C460" s="1" t="n">
        <v>45939</v>
      </c>
      <c r="D460" t="inlineStr">
        <is>
          <t>GOTLANDS LÄN</t>
        </is>
      </c>
      <c r="E460" t="inlineStr">
        <is>
          <t>GOTLAND</t>
        </is>
      </c>
      <c r="G460" t="n">
        <v>1.5</v>
      </c>
      <c r="H460" t="n">
        <v>0</v>
      </c>
      <c r="I460" t="n">
        <v>0</v>
      </c>
      <c r="J460" t="n">
        <v>0</v>
      </c>
      <c r="K460" t="n">
        <v>0</v>
      </c>
      <c r="L460" t="n">
        <v>0</v>
      </c>
      <c r="M460" t="n">
        <v>0</v>
      </c>
      <c r="N460" t="n">
        <v>0</v>
      </c>
      <c r="O460" t="n">
        <v>0</v>
      </c>
      <c r="P460" t="n">
        <v>0</v>
      </c>
      <c r="Q460" t="n">
        <v>0</v>
      </c>
      <c r="R460" s="2" t="inlineStr"/>
    </row>
    <row r="461" ht="15" customHeight="1">
      <c r="A461" t="inlineStr">
        <is>
          <t>A 39816-2025</t>
        </is>
      </c>
      <c r="B461" s="1" t="n">
        <v>45891</v>
      </c>
      <c r="C461" s="1" t="n">
        <v>45939</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40103-2025</t>
        </is>
      </c>
      <c r="B462" s="1" t="n">
        <v>45894.4880324074</v>
      </c>
      <c r="C462" s="1" t="n">
        <v>45939</v>
      </c>
      <c r="D462" t="inlineStr">
        <is>
          <t>GOTLANDS LÄN</t>
        </is>
      </c>
      <c r="E462" t="inlineStr">
        <is>
          <t>GOTLAND</t>
        </is>
      </c>
      <c r="G462" t="n">
        <v>0.9</v>
      </c>
      <c r="H462" t="n">
        <v>0</v>
      </c>
      <c r="I462" t="n">
        <v>0</v>
      </c>
      <c r="J462" t="n">
        <v>0</v>
      </c>
      <c r="K462" t="n">
        <v>0</v>
      </c>
      <c r="L462" t="n">
        <v>0</v>
      </c>
      <c r="M462" t="n">
        <v>0</v>
      </c>
      <c r="N462" t="n">
        <v>0</v>
      </c>
      <c r="O462" t="n">
        <v>0</v>
      </c>
      <c r="P462" t="n">
        <v>0</v>
      </c>
      <c r="Q462" t="n">
        <v>0</v>
      </c>
      <c r="R462" s="2" t="inlineStr"/>
    </row>
    <row r="463" ht="15" customHeight="1">
      <c r="A463" t="inlineStr">
        <is>
          <t>A 40373-2025</t>
        </is>
      </c>
      <c r="B463" s="1" t="n">
        <v>45895.51821759259</v>
      </c>
      <c r="C463" s="1" t="n">
        <v>45939</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60086-2022</t>
        </is>
      </c>
      <c r="B464" s="1" t="n">
        <v>44909</v>
      </c>
      <c r="C464" s="1" t="n">
        <v>45939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40499-2025</t>
        </is>
      </c>
      <c r="B465" s="1" t="n">
        <v>45896.32517361111</v>
      </c>
      <c r="C465" s="1" t="n">
        <v>45939</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39278-2025</t>
        </is>
      </c>
      <c r="B466" s="1" t="n">
        <v>45889</v>
      </c>
      <c r="C466" s="1" t="n">
        <v>45939</v>
      </c>
      <c r="D466" t="inlineStr">
        <is>
          <t>GOTLANDS LÄN</t>
        </is>
      </c>
      <c r="E466" t="inlineStr">
        <is>
          <t>GOTLAND</t>
        </is>
      </c>
      <c r="G466" t="n">
        <v>3.7</v>
      </c>
      <c r="H466" t="n">
        <v>0</v>
      </c>
      <c r="I466" t="n">
        <v>0</v>
      </c>
      <c r="J466" t="n">
        <v>0</v>
      </c>
      <c r="K466" t="n">
        <v>0</v>
      </c>
      <c r="L466" t="n">
        <v>0</v>
      </c>
      <c r="M466" t="n">
        <v>0</v>
      </c>
      <c r="N466" t="n">
        <v>0</v>
      </c>
      <c r="O466" t="n">
        <v>0</v>
      </c>
      <c r="P466" t="n">
        <v>0</v>
      </c>
      <c r="Q466" t="n">
        <v>0</v>
      </c>
      <c r="R466" s="2" t="inlineStr"/>
    </row>
    <row r="467" ht="15" customHeight="1">
      <c r="A467" t="inlineStr">
        <is>
          <t>A 28480-2023</t>
        </is>
      </c>
      <c r="B467" s="1" t="n">
        <v>45103</v>
      </c>
      <c r="C467" s="1" t="n">
        <v>45939</v>
      </c>
      <c r="D467" t="inlineStr">
        <is>
          <t>GOTLANDS LÄN</t>
        </is>
      </c>
      <c r="E467" t="inlineStr">
        <is>
          <t>GOTLAND</t>
        </is>
      </c>
      <c r="G467" t="n">
        <v>5.7</v>
      </c>
      <c r="H467" t="n">
        <v>0</v>
      </c>
      <c r="I467" t="n">
        <v>0</v>
      </c>
      <c r="J467" t="n">
        <v>0</v>
      </c>
      <c r="K467" t="n">
        <v>0</v>
      </c>
      <c r="L467" t="n">
        <v>0</v>
      </c>
      <c r="M467" t="n">
        <v>0</v>
      </c>
      <c r="N467" t="n">
        <v>0</v>
      </c>
      <c r="O467" t="n">
        <v>0</v>
      </c>
      <c r="P467" t="n">
        <v>0</v>
      </c>
      <c r="Q467" t="n">
        <v>0</v>
      </c>
      <c r="R467" s="2" t="inlineStr"/>
    </row>
    <row r="468" ht="15" customHeight="1">
      <c r="A468" t="inlineStr">
        <is>
          <t>A 28485-2023</t>
        </is>
      </c>
      <c r="B468" s="1" t="n">
        <v>45103.43731481482</v>
      </c>
      <c r="C468" s="1" t="n">
        <v>45939</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45939</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40372-2025</t>
        </is>
      </c>
      <c r="B470" s="1" t="n">
        <v>45895.5162037037</v>
      </c>
      <c r="C470" s="1" t="n">
        <v>45939</v>
      </c>
      <c r="D470" t="inlineStr">
        <is>
          <t>GOTLANDS LÄN</t>
        </is>
      </c>
      <c r="E470" t="inlineStr">
        <is>
          <t>GOTLAND</t>
        </is>
      </c>
      <c r="G470" t="n">
        <v>3.3</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45939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44949-2023</t>
        </is>
      </c>
      <c r="B472" s="1" t="n">
        <v>45190.69520833333</v>
      </c>
      <c r="C472" s="1" t="n">
        <v>45939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39819-2025</t>
        </is>
      </c>
      <c r="B473" s="1" t="n">
        <v>45891.53418981482</v>
      </c>
      <c r="C473" s="1" t="n">
        <v>45939</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20794-2025</t>
        </is>
      </c>
      <c r="B474" s="1" t="n">
        <v>45776</v>
      </c>
      <c r="C474" s="1" t="n">
        <v>45939</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37222-2021</t>
        </is>
      </c>
      <c r="B475" s="1" t="n">
        <v>44396</v>
      </c>
      <c r="C475" s="1" t="n">
        <v>45939</v>
      </c>
      <c r="D475" t="inlineStr">
        <is>
          <t>GOTLANDS LÄN</t>
        </is>
      </c>
      <c r="E475" t="inlineStr">
        <is>
          <t>GOTLAND</t>
        </is>
      </c>
      <c r="G475" t="n">
        <v>3</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45939</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20805-2025</t>
        </is>
      </c>
      <c r="B477" s="1" t="n">
        <v>45776</v>
      </c>
      <c r="C477" s="1" t="n">
        <v>45939</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39849-2025</t>
        </is>
      </c>
      <c r="B478" s="1" t="n">
        <v>45891.58502314815</v>
      </c>
      <c r="C478" s="1" t="n">
        <v>45939</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21389-2025</t>
        </is>
      </c>
      <c r="B479" s="1" t="n">
        <v>45782</v>
      </c>
      <c r="C479" s="1" t="n">
        <v>45939</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3964-2024</t>
        </is>
      </c>
      <c r="B480" s="1" t="n">
        <v>45322</v>
      </c>
      <c r="C480" s="1" t="n">
        <v>45939</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45084-2024</t>
        </is>
      </c>
      <c r="B481" s="1" t="n">
        <v>45575</v>
      </c>
      <c r="C481" s="1" t="n">
        <v>45939</v>
      </c>
      <c r="D481" t="inlineStr">
        <is>
          <t>GOTLANDS LÄN</t>
        </is>
      </c>
      <c r="E481" t="inlineStr">
        <is>
          <t>GOTLAND</t>
        </is>
      </c>
      <c r="G481" t="n">
        <v>6.8</v>
      </c>
      <c r="H481" t="n">
        <v>0</v>
      </c>
      <c r="I481" t="n">
        <v>0</v>
      </c>
      <c r="J481" t="n">
        <v>0</v>
      </c>
      <c r="K481" t="n">
        <v>0</v>
      </c>
      <c r="L481" t="n">
        <v>0</v>
      </c>
      <c r="M481" t="n">
        <v>0</v>
      </c>
      <c r="N481" t="n">
        <v>0</v>
      </c>
      <c r="O481" t="n">
        <v>0</v>
      </c>
      <c r="P481" t="n">
        <v>0</v>
      </c>
      <c r="Q481" t="n">
        <v>0</v>
      </c>
      <c r="R481" s="2" t="inlineStr"/>
    </row>
    <row r="482" ht="15" customHeight="1">
      <c r="A482" t="inlineStr">
        <is>
          <t>A 21651-2025</t>
        </is>
      </c>
      <c r="B482" s="1" t="n">
        <v>45783</v>
      </c>
      <c r="C482" s="1" t="n">
        <v>45939</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5217-2023</t>
        </is>
      </c>
      <c r="B483" s="1" t="n">
        <v>44959.39582175926</v>
      </c>
      <c r="C483" s="1" t="n">
        <v>45939</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1677-2023</t>
        </is>
      </c>
      <c r="B484" s="1" t="n">
        <v>44938</v>
      </c>
      <c r="C484" s="1" t="n">
        <v>45939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45244-2024</t>
        </is>
      </c>
      <c r="B485" s="1" t="n">
        <v>45576</v>
      </c>
      <c r="C485" s="1" t="n">
        <v>45939</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57356-2023</t>
        </is>
      </c>
      <c r="B486" s="1" t="n">
        <v>45240</v>
      </c>
      <c r="C486" s="1" t="n">
        <v>45939</v>
      </c>
      <c r="D486" t="inlineStr">
        <is>
          <t>GOTLANDS LÄN</t>
        </is>
      </c>
      <c r="E486" t="inlineStr">
        <is>
          <t>GOTLAND</t>
        </is>
      </c>
      <c r="G486" t="n">
        <v>6.4</v>
      </c>
      <c r="H486" t="n">
        <v>0</v>
      </c>
      <c r="I486" t="n">
        <v>0</v>
      </c>
      <c r="J486" t="n">
        <v>0</v>
      </c>
      <c r="K486" t="n">
        <v>0</v>
      </c>
      <c r="L486" t="n">
        <v>0</v>
      </c>
      <c r="M486" t="n">
        <v>0</v>
      </c>
      <c r="N486" t="n">
        <v>0</v>
      </c>
      <c r="O486" t="n">
        <v>0</v>
      </c>
      <c r="P486" t="n">
        <v>0</v>
      </c>
      <c r="Q486" t="n">
        <v>0</v>
      </c>
      <c r="R486" s="2" t="inlineStr"/>
    </row>
    <row r="487" ht="15" customHeight="1">
      <c r="A487" t="inlineStr">
        <is>
          <t>A 10656-2024</t>
        </is>
      </c>
      <c r="B487" s="1" t="n">
        <v>45368</v>
      </c>
      <c r="C487" s="1" t="n">
        <v>45939</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8260-2023</t>
        </is>
      </c>
      <c r="B488" s="1" t="n">
        <v>44974.61608796296</v>
      </c>
      <c r="C488" s="1" t="n">
        <v>45939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64969-2023</t>
        </is>
      </c>
      <c r="B489" s="1" t="n">
        <v>45284.54009259259</v>
      </c>
      <c r="C489" s="1" t="n">
        <v>45939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48843-2024</t>
        </is>
      </c>
      <c r="B490" s="1" t="n">
        <v>45593</v>
      </c>
      <c r="C490" s="1" t="n">
        <v>45939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17541-2024</t>
        </is>
      </c>
      <c r="B491" s="1" t="n">
        <v>45415</v>
      </c>
      <c r="C491" s="1" t="n">
        <v>45939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28506-2023</t>
        </is>
      </c>
      <c r="B492" s="1" t="n">
        <v>45103</v>
      </c>
      <c r="C492" s="1" t="n">
        <v>45939</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2241-2025</t>
        </is>
      </c>
      <c r="B493" s="1" t="n">
        <v>45673.48710648148</v>
      </c>
      <c r="C493" s="1" t="n">
        <v>45939</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21420-2024</t>
        </is>
      </c>
      <c r="B494" s="1" t="n">
        <v>45441.38293981482</v>
      </c>
      <c r="C494" s="1" t="n">
        <v>45939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23188-2025</t>
        </is>
      </c>
      <c r="B495" s="1" t="n">
        <v>45791</v>
      </c>
      <c r="C495" s="1" t="n">
        <v>45939</v>
      </c>
      <c r="D495" t="inlineStr">
        <is>
          <t>GOTLANDS LÄN</t>
        </is>
      </c>
      <c r="E495" t="inlineStr">
        <is>
          <t>GOTLAND</t>
        </is>
      </c>
      <c r="G495" t="n">
        <v>6.2</v>
      </c>
      <c r="H495" t="n">
        <v>0</v>
      </c>
      <c r="I495" t="n">
        <v>0</v>
      </c>
      <c r="J495" t="n">
        <v>0</v>
      </c>
      <c r="K495" t="n">
        <v>0</v>
      </c>
      <c r="L495" t="n">
        <v>0</v>
      </c>
      <c r="M495" t="n">
        <v>0</v>
      </c>
      <c r="N495" t="n">
        <v>0</v>
      </c>
      <c r="O495" t="n">
        <v>0</v>
      </c>
      <c r="P495" t="n">
        <v>0</v>
      </c>
      <c r="Q495" t="n">
        <v>0</v>
      </c>
      <c r="R495" s="2" t="inlineStr"/>
    </row>
    <row r="496" ht="15" customHeight="1">
      <c r="A496" t="inlineStr">
        <is>
          <t>A 15434-2024</t>
        </is>
      </c>
      <c r="B496" s="1" t="n">
        <v>45401.38836805556</v>
      </c>
      <c r="C496" s="1" t="n">
        <v>45939</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23473-2025</t>
        </is>
      </c>
      <c r="B497" s="1" t="n">
        <v>45792</v>
      </c>
      <c r="C497" s="1" t="n">
        <v>45939</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45939</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23856-2025</t>
        </is>
      </c>
      <c r="B499" s="1" t="n">
        <v>45793</v>
      </c>
      <c r="C499" s="1" t="n">
        <v>45939</v>
      </c>
      <c r="D499" t="inlineStr">
        <is>
          <t>GOTLANDS LÄN</t>
        </is>
      </c>
      <c r="E499" t="inlineStr">
        <is>
          <t>GOTLAND</t>
        </is>
      </c>
      <c r="G499" t="n">
        <v>4.4</v>
      </c>
      <c r="H499" t="n">
        <v>0</v>
      </c>
      <c r="I499" t="n">
        <v>0</v>
      </c>
      <c r="J499" t="n">
        <v>0</v>
      </c>
      <c r="K499" t="n">
        <v>0</v>
      </c>
      <c r="L499" t="n">
        <v>0</v>
      </c>
      <c r="M499" t="n">
        <v>0</v>
      </c>
      <c r="N499" t="n">
        <v>0</v>
      </c>
      <c r="O499" t="n">
        <v>0</v>
      </c>
      <c r="P499" t="n">
        <v>0</v>
      </c>
      <c r="Q499" t="n">
        <v>0</v>
      </c>
      <c r="R499" s="2" t="inlineStr"/>
    </row>
    <row r="500" ht="15" customHeight="1">
      <c r="A500" t="inlineStr">
        <is>
          <t>A 54073-2022</t>
        </is>
      </c>
      <c r="B500" s="1" t="n">
        <v>44881.50380787037</v>
      </c>
      <c r="C500" s="1" t="n">
        <v>45939</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16361-2024</t>
        </is>
      </c>
      <c r="B501" s="1" t="n">
        <v>45407</v>
      </c>
      <c r="C501" s="1" t="n">
        <v>45939</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15073-2025</t>
        </is>
      </c>
      <c r="B502" s="1" t="n">
        <v>45743</v>
      </c>
      <c r="C502" s="1" t="n">
        <v>45939</v>
      </c>
      <c r="D502" t="inlineStr">
        <is>
          <t>GOTLANDS LÄN</t>
        </is>
      </c>
      <c r="E502" t="inlineStr">
        <is>
          <t>GOTLAND</t>
        </is>
      </c>
      <c r="G502" t="n">
        <v>12.1</v>
      </c>
      <c r="H502" t="n">
        <v>0</v>
      </c>
      <c r="I502" t="n">
        <v>0</v>
      </c>
      <c r="J502" t="n">
        <v>0</v>
      </c>
      <c r="K502" t="n">
        <v>0</v>
      </c>
      <c r="L502" t="n">
        <v>0</v>
      </c>
      <c r="M502" t="n">
        <v>0</v>
      </c>
      <c r="N502" t="n">
        <v>0</v>
      </c>
      <c r="O502" t="n">
        <v>0</v>
      </c>
      <c r="P502" t="n">
        <v>0</v>
      </c>
      <c r="Q502" t="n">
        <v>0</v>
      </c>
      <c r="R502" s="2" t="inlineStr"/>
    </row>
    <row r="503" ht="15" customHeight="1">
      <c r="A503" t="inlineStr">
        <is>
          <t>A 41038-2023</t>
        </is>
      </c>
      <c r="B503" s="1" t="n">
        <v>45173.60959490741</v>
      </c>
      <c r="C503" s="1" t="n">
        <v>45939</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6749-2025</t>
        </is>
      </c>
      <c r="B504" s="1" t="n">
        <v>45700</v>
      </c>
      <c r="C504" s="1" t="n">
        <v>45939</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23698-2025</t>
        </is>
      </c>
      <c r="B505" s="1" t="n">
        <v>45793</v>
      </c>
      <c r="C505" s="1" t="n">
        <v>45939</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14427-2024</t>
        </is>
      </c>
      <c r="B506" s="1" t="n">
        <v>45394</v>
      </c>
      <c r="C506" s="1" t="n">
        <v>45939</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31802-2024</t>
        </is>
      </c>
      <c r="B507" s="1" t="n">
        <v>45509</v>
      </c>
      <c r="C507" s="1" t="n">
        <v>45939</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8036-2022</t>
        </is>
      </c>
      <c r="B508" s="1" t="n">
        <v>44609.44362268518</v>
      </c>
      <c r="C508" s="1" t="n">
        <v>45939</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12846-2025</t>
        </is>
      </c>
      <c r="B509" s="1" t="n">
        <v>45733.65049768519</v>
      </c>
      <c r="C509" s="1" t="n">
        <v>45939</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5462-2025</t>
        </is>
      </c>
      <c r="B510" s="1" t="n">
        <v>45693.29331018519</v>
      </c>
      <c r="C510" s="1" t="n">
        <v>45939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46949-2024</t>
        </is>
      </c>
      <c r="B511" s="1" t="n">
        <v>45585</v>
      </c>
      <c r="C511" s="1" t="n">
        <v>45939</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10650-2022</t>
        </is>
      </c>
      <c r="B512" s="1" t="n">
        <v>44624.57945601852</v>
      </c>
      <c r="C512" s="1" t="n">
        <v>45939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25796-2025</t>
        </is>
      </c>
      <c r="B513" s="1" t="n">
        <v>45804.39543981481</v>
      </c>
      <c r="C513" s="1" t="n">
        <v>45939</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11634-2024</t>
        </is>
      </c>
      <c r="B514" s="1" t="n">
        <v>45373</v>
      </c>
      <c r="C514" s="1" t="n">
        <v>45939</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1351-2025</t>
        </is>
      </c>
      <c r="B515" s="1" t="n">
        <v>45667.62246527777</v>
      </c>
      <c r="C515" s="1" t="n">
        <v>45939</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45939</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49874-2024</t>
        </is>
      </c>
      <c r="B517" s="1" t="n">
        <v>45597.49274305555</v>
      </c>
      <c r="C517" s="1" t="n">
        <v>45939</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26391-2025</t>
        </is>
      </c>
      <c r="B518" s="1" t="n">
        <v>45806</v>
      </c>
      <c r="C518" s="1" t="n">
        <v>45939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42201-2023</t>
        </is>
      </c>
      <c r="B519" s="1" t="n">
        <v>45179</v>
      </c>
      <c r="C519" s="1" t="n">
        <v>45939</v>
      </c>
      <c r="D519" t="inlineStr">
        <is>
          <t>GOTLANDS LÄN</t>
        </is>
      </c>
      <c r="E519" t="inlineStr">
        <is>
          <t>GOTLAND</t>
        </is>
      </c>
      <c r="G519" t="n">
        <v>11.9</v>
      </c>
      <c r="H519" t="n">
        <v>0</v>
      </c>
      <c r="I519" t="n">
        <v>0</v>
      </c>
      <c r="J519" t="n">
        <v>0</v>
      </c>
      <c r="K519" t="n">
        <v>0</v>
      </c>
      <c r="L519" t="n">
        <v>0</v>
      </c>
      <c r="M519" t="n">
        <v>0</v>
      </c>
      <c r="N519" t="n">
        <v>0</v>
      </c>
      <c r="O519" t="n">
        <v>0</v>
      </c>
      <c r="P519" t="n">
        <v>0</v>
      </c>
      <c r="Q519" t="n">
        <v>0</v>
      </c>
      <c r="R519" s="2" t="inlineStr"/>
    </row>
    <row r="520" ht="15" customHeight="1">
      <c r="A520" t="inlineStr">
        <is>
          <t>A 46400-2023</t>
        </is>
      </c>
      <c r="B520" s="1" t="n">
        <v>45197.49290509259</v>
      </c>
      <c r="C520" s="1" t="n">
        <v>45939</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9875-2025</t>
        </is>
      </c>
      <c r="B521" s="1" t="n">
        <v>45716</v>
      </c>
      <c r="C521" s="1" t="n">
        <v>45939</v>
      </c>
      <c r="D521" t="inlineStr">
        <is>
          <t>GOTLANDS LÄN</t>
        </is>
      </c>
      <c r="E521" t="inlineStr">
        <is>
          <t>GOTLAND</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21164-2024</t>
        </is>
      </c>
      <c r="B522" s="1" t="n">
        <v>45440</v>
      </c>
      <c r="C522" s="1" t="n">
        <v>45939</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8045-2022</t>
        </is>
      </c>
      <c r="B523" s="1" t="n">
        <v>44609</v>
      </c>
      <c r="C523" s="1" t="n">
        <v>45939</v>
      </c>
      <c r="D523" t="inlineStr">
        <is>
          <t>GOTLANDS LÄN</t>
        </is>
      </c>
      <c r="E523" t="inlineStr">
        <is>
          <t>GOTLAND</t>
        </is>
      </c>
      <c r="G523" t="n">
        <v>7</v>
      </c>
      <c r="H523" t="n">
        <v>0</v>
      </c>
      <c r="I523" t="n">
        <v>0</v>
      </c>
      <c r="J523" t="n">
        <v>0</v>
      </c>
      <c r="K523" t="n">
        <v>0</v>
      </c>
      <c r="L523" t="n">
        <v>0</v>
      </c>
      <c r="M523" t="n">
        <v>0</v>
      </c>
      <c r="N523" t="n">
        <v>0</v>
      </c>
      <c r="O523" t="n">
        <v>0</v>
      </c>
      <c r="P523" t="n">
        <v>0</v>
      </c>
      <c r="Q523" t="n">
        <v>0</v>
      </c>
      <c r="R523" s="2" t="inlineStr"/>
    </row>
    <row r="524" ht="15" customHeight="1">
      <c r="A524" t="inlineStr">
        <is>
          <t>A 26457-2025</t>
        </is>
      </c>
      <c r="B524" s="1" t="n">
        <v>45807.42773148148</v>
      </c>
      <c r="C524" s="1" t="n">
        <v>45939</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45939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26465-2025</t>
        </is>
      </c>
      <c r="B526" s="1" t="n">
        <v>45807.44377314814</v>
      </c>
      <c r="C526" s="1" t="n">
        <v>45939</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22897-2023</t>
        </is>
      </c>
      <c r="B527" s="1" t="n">
        <v>45072.55239583334</v>
      </c>
      <c r="C527" s="1" t="n">
        <v>45939</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26660-2025</t>
        </is>
      </c>
      <c r="B528" s="1" t="n">
        <v>45810.39737268518</v>
      </c>
      <c r="C528" s="1" t="n">
        <v>45939</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61897-2024</t>
        </is>
      </c>
      <c r="B529" s="1" t="n">
        <v>45652.75685185185</v>
      </c>
      <c r="C529" s="1" t="n">
        <v>45939</v>
      </c>
      <c r="D529" t="inlineStr">
        <is>
          <t>GOTLANDS LÄN</t>
        </is>
      </c>
      <c r="E529" t="inlineStr">
        <is>
          <t>GOTLAND</t>
        </is>
      </c>
      <c r="G529" t="n">
        <v>6.4</v>
      </c>
      <c r="H529" t="n">
        <v>0</v>
      </c>
      <c r="I529" t="n">
        <v>0</v>
      </c>
      <c r="J529" t="n">
        <v>0</v>
      </c>
      <c r="K529" t="n">
        <v>0</v>
      </c>
      <c r="L529" t="n">
        <v>0</v>
      </c>
      <c r="M529" t="n">
        <v>0</v>
      </c>
      <c r="N529" t="n">
        <v>0</v>
      </c>
      <c r="O529" t="n">
        <v>0</v>
      </c>
      <c r="P529" t="n">
        <v>0</v>
      </c>
      <c r="Q529" t="n">
        <v>0</v>
      </c>
      <c r="R529" s="2" t="inlineStr"/>
    </row>
    <row r="530" ht="15" customHeight="1">
      <c r="A530" t="inlineStr">
        <is>
          <t>A 49962-2023</t>
        </is>
      </c>
      <c r="B530" s="1" t="n">
        <v>45215.38775462963</v>
      </c>
      <c r="C530" s="1" t="n">
        <v>45939</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27371-2025</t>
        </is>
      </c>
      <c r="B531" s="1" t="n">
        <v>45812</v>
      </c>
      <c r="C531" s="1" t="n">
        <v>45939</v>
      </c>
      <c r="D531" t="inlineStr">
        <is>
          <t>GOTLANDS LÄN</t>
        </is>
      </c>
      <c r="E531" t="inlineStr">
        <is>
          <t>GOTLAND</t>
        </is>
      </c>
      <c r="G531" t="n">
        <v>8</v>
      </c>
      <c r="H531" t="n">
        <v>0</v>
      </c>
      <c r="I531" t="n">
        <v>0</v>
      </c>
      <c r="J531" t="n">
        <v>0</v>
      </c>
      <c r="K531" t="n">
        <v>0</v>
      </c>
      <c r="L531" t="n">
        <v>0</v>
      </c>
      <c r="M531" t="n">
        <v>0</v>
      </c>
      <c r="N531" t="n">
        <v>0</v>
      </c>
      <c r="O531" t="n">
        <v>0</v>
      </c>
      <c r="P531" t="n">
        <v>0</v>
      </c>
      <c r="Q531" t="n">
        <v>0</v>
      </c>
      <c r="R531" s="2" t="inlineStr"/>
    </row>
    <row r="532" ht="15" customHeight="1">
      <c r="A532" t="inlineStr">
        <is>
          <t>A 27355-2025</t>
        </is>
      </c>
      <c r="B532" s="1" t="n">
        <v>45812</v>
      </c>
      <c r="C532" s="1" t="n">
        <v>45939</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6739-2025</t>
        </is>
      </c>
      <c r="B533" s="1" t="n">
        <v>45700</v>
      </c>
      <c r="C533" s="1" t="n">
        <v>45939</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7850-2025</t>
        </is>
      </c>
      <c r="B534" s="1" t="n">
        <v>45706</v>
      </c>
      <c r="C534" s="1" t="n">
        <v>45939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20165-2022</t>
        </is>
      </c>
      <c r="B535" s="1" t="n">
        <v>44698.49854166667</v>
      </c>
      <c r="C535" s="1" t="n">
        <v>45939</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40294-2022</t>
        </is>
      </c>
      <c r="B536" s="1" t="n">
        <v>44821</v>
      </c>
      <c r="C536" s="1" t="n">
        <v>45939</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45728.64472222222</v>
      </c>
      <c r="C537" s="1" t="n">
        <v>45939</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38787-2023</t>
        </is>
      </c>
      <c r="B538" s="1" t="n">
        <v>45163</v>
      </c>
      <c r="C538" s="1" t="n">
        <v>45939</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8444-2025</t>
        </is>
      </c>
      <c r="B539" s="1" t="n">
        <v>45709</v>
      </c>
      <c r="C539" s="1" t="n">
        <v>45939</v>
      </c>
      <c r="D539" t="inlineStr">
        <is>
          <t>GOTLANDS LÄN</t>
        </is>
      </c>
      <c r="E539" t="inlineStr">
        <is>
          <t>GOTLAND</t>
        </is>
      </c>
      <c r="G539" t="n">
        <v>5.2</v>
      </c>
      <c r="H539" t="n">
        <v>0</v>
      </c>
      <c r="I539" t="n">
        <v>0</v>
      </c>
      <c r="J539" t="n">
        <v>0</v>
      </c>
      <c r="K539" t="n">
        <v>0</v>
      </c>
      <c r="L539" t="n">
        <v>0</v>
      </c>
      <c r="M539" t="n">
        <v>0</v>
      </c>
      <c r="N539" t="n">
        <v>0</v>
      </c>
      <c r="O539" t="n">
        <v>0</v>
      </c>
      <c r="P539" t="n">
        <v>0</v>
      </c>
      <c r="Q539" t="n">
        <v>0</v>
      </c>
      <c r="R539" s="2" t="inlineStr"/>
    </row>
    <row r="540" ht="15" customHeight="1">
      <c r="A540" t="inlineStr">
        <is>
          <t>A 43231-2023</t>
        </is>
      </c>
      <c r="B540" s="1" t="n">
        <v>45183.47025462963</v>
      </c>
      <c r="C540" s="1" t="n">
        <v>45939</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45939</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19905-2025</t>
        </is>
      </c>
      <c r="B542" s="1" t="n">
        <v>45771</v>
      </c>
      <c r="C542" s="1" t="n">
        <v>45939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29196-2025</t>
        </is>
      </c>
      <c r="B543" s="1" t="n">
        <v>45822</v>
      </c>
      <c r="C543" s="1" t="n">
        <v>45939</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3935-2025</t>
        </is>
      </c>
      <c r="B544" s="1" t="n">
        <v>45684.46070601852</v>
      </c>
      <c r="C544" s="1" t="n">
        <v>45939</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29207-2025</t>
        </is>
      </c>
      <c r="B545" s="1" t="n">
        <v>45823</v>
      </c>
      <c r="C545" s="1" t="n">
        <v>45939</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30061-2025</t>
        </is>
      </c>
      <c r="B546" s="1" t="n">
        <v>45826.61488425926</v>
      </c>
      <c r="C546" s="1" t="n">
        <v>45939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20225-2025</t>
        </is>
      </c>
      <c r="B547" s="1" t="n">
        <v>45772.65802083333</v>
      </c>
      <c r="C547" s="1" t="n">
        <v>45939</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883-2025</t>
        </is>
      </c>
      <c r="B548" s="1" t="n">
        <v>45665</v>
      </c>
      <c r="C548" s="1" t="n">
        <v>45939</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58160-2024</t>
        </is>
      </c>
      <c r="B549" s="1" t="n">
        <v>45632.44927083333</v>
      </c>
      <c r="C549" s="1" t="n">
        <v>45939</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45939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17144-2025</t>
        </is>
      </c>
      <c r="B551" s="1" t="n">
        <v>45755.9499537037</v>
      </c>
      <c r="C551" s="1" t="n">
        <v>45939</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32379-2025</t>
        </is>
      </c>
      <c r="B552" s="1" t="n">
        <v>45837</v>
      </c>
      <c r="C552" s="1" t="n">
        <v>45939</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56009-2024</t>
        </is>
      </c>
      <c r="B553" s="1" t="n">
        <v>45623.80864583333</v>
      </c>
      <c r="C553" s="1" t="n">
        <v>45939</v>
      </c>
      <c r="D553" t="inlineStr">
        <is>
          <t>GOTLANDS LÄN</t>
        </is>
      </c>
      <c r="E553" t="inlineStr">
        <is>
          <t>GOTLAND</t>
        </is>
      </c>
      <c r="G553" t="n">
        <v>2.8</v>
      </c>
      <c r="H553" t="n">
        <v>0</v>
      </c>
      <c r="I553" t="n">
        <v>0</v>
      </c>
      <c r="J553" t="n">
        <v>0</v>
      </c>
      <c r="K553" t="n">
        <v>0</v>
      </c>
      <c r="L553" t="n">
        <v>0</v>
      </c>
      <c r="M553" t="n">
        <v>0</v>
      </c>
      <c r="N553" t="n">
        <v>0</v>
      </c>
      <c r="O553" t="n">
        <v>0</v>
      </c>
      <c r="P553" t="n">
        <v>0</v>
      </c>
      <c r="Q553" t="n">
        <v>0</v>
      </c>
      <c r="R553" s="2" t="inlineStr"/>
    </row>
    <row r="554" ht="15" customHeight="1">
      <c r="A554" t="inlineStr">
        <is>
          <t>A 42338-2023</t>
        </is>
      </c>
      <c r="B554" s="1" t="n">
        <v>45180</v>
      </c>
      <c r="C554" s="1" t="n">
        <v>45939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32467-2025</t>
        </is>
      </c>
      <c r="B555" s="1" t="n">
        <v>45838.42111111111</v>
      </c>
      <c r="C555" s="1" t="n">
        <v>45939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32378-2025</t>
        </is>
      </c>
      <c r="B556" s="1" t="n">
        <v>45837</v>
      </c>
      <c r="C556" s="1" t="n">
        <v>45939</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16109-2025</t>
        </is>
      </c>
      <c r="B557" s="1" t="n">
        <v>45750</v>
      </c>
      <c r="C557" s="1" t="n">
        <v>45939</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33078-2025</t>
        </is>
      </c>
      <c r="B558" s="1" t="n">
        <v>45840</v>
      </c>
      <c r="C558" s="1" t="n">
        <v>45939</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45939</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33011-2025</t>
        </is>
      </c>
      <c r="B560" s="1" t="n">
        <v>45840</v>
      </c>
      <c r="C560" s="1" t="n">
        <v>45939</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45939</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61386-2023</t>
        </is>
      </c>
      <c r="B562" s="1" t="n">
        <v>45264</v>
      </c>
      <c r="C562" s="1" t="n">
        <v>45939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873-2024</t>
        </is>
      </c>
      <c r="B563" s="1" t="n">
        <v>45301</v>
      </c>
      <c r="C563" s="1" t="n">
        <v>45939</v>
      </c>
      <c r="D563" t="inlineStr">
        <is>
          <t>GOTLANDS LÄN</t>
        </is>
      </c>
      <c r="E563" t="inlineStr">
        <is>
          <t>GOTLAND</t>
        </is>
      </c>
      <c r="G563" t="n">
        <v>2.7</v>
      </c>
      <c r="H563" t="n">
        <v>0</v>
      </c>
      <c r="I563" t="n">
        <v>0</v>
      </c>
      <c r="J563" t="n">
        <v>0</v>
      </c>
      <c r="K563" t="n">
        <v>0</v>
      </c>
      <c r="L563" t="n">
        <v>0</v>
      </c>
      <c r="M563" t="n">
        <v>0</v>
      </c>
      <c r="N563" t="n">
        <v>0</v>
      </c>
      <c r="O563" t="n">
        <v>0</v>
      </c>
      <c r="P563" t="n">
        <v>0</v>
      </c>
      <c r="Q563" t="n">
        <v>0</v>
      </c>
      <c r="R563" s="2" t="inlineStr"/>
    </row>
    <row r="564" ht="15" customHeight="1">
      <c r="A564" t="inlineStr">
        <is>
          <t>A 49411-2023</t>
        </is>
      </c>
      <c r="B564" s="1" t="n">
        <v>45205</v>
      </c>
      <c r="C564" s="1" t="n">
        <v>45939</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45939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22275-2023</t>
        </is>
      </c>
      <c r="B566" s="1" t="n">
        <v>45070.39875</v>
      </c>
      <c r="C566" s="1" t="n">
        <v>45939</v>
      </c>
      <c r="D566" t="inlineStr">
        <is>
          <t>GOTLANDS LÄN</t>
        </is>
      </c>
      <c r="E566" t="inlineStr">
        <is>
          <t>GOTLAND</t>
        </is>
      </c>
      <c r="G566" t="n">
        <v>7.2</v>
      </c>
      <c r="H566" t="n">
        <v>0</v>
      </c>
      <c r="I566" t="n">
        <v>0</v>
      </c>
      <c r="J566" t="n">
        <v>0</v>
      </c>
      <c r="K566" t="n">
        <v>0</v>
      </c>
      <c r="L566" t="n">
        <v>0</v>
      </c>
      <c r="M566" t="n">
        <v>0</v>
      </c>
      <c r="N566" t="n">
        <v>0</v>
      </c>
      <c r="O566" t="n">
        <v>0</v>
      </c>
      <c r="P566" t="n">
        <v>0</v>
      </c>
      <c r="Q566" t="n">
        <v>0</v>
      </c>
      <c r="R566" s="2" t="inlineStr"/>
    </row>
    <row r="567" ht="15" customHeight="1">
      <c r="A567" t="inlineStr">
        <is>
          <t>A 12322-2025</t>
        </is>
      </c>
      <c r="B567" s="1" t="n">
        <v>45730</v>
      </c>
      <c r="C567" s="1" t="n">
        <v>45939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45939</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35096-2025</t>
        </is>
      </c>
      <c r="B569" s="1" t="n">
        <v>45852.54356481481</v>
      </c>
      <c r="C569" s="1" t="n">
        <v>45939</v>
      </c>
      <c r="D569" t="inlineStr">
        <is>
          <t>GOTLANDS LÄN</t>
        </is>
      </c>
      <c r="E569" t="inlineStr">
        <is>
          <t>GOTLAND</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14797-2024</t>
        </is>
      </c>
      <c r="B570" s="1" t="n">
        <v>45397.87030092593</v>
      </c>
      <c r="C570" s="1" t="n">
        <v>45939</v>
      </c>
      <c r="D570" t="inlineStr">
        <is>
          <t>GOTLANDS LÄN</t>
        </is>
      </c>
      <c r="E570" t="inlineStr">
        <is>
          <t>GOTLAND</t>
        </is>
      </c>
      <c r="G570" t="n">
        <v>8.1</v>
      </c>
      <c r="H570" t="n">
        <v>0</v>
      </c>
      <c r="I570" t="n">
        <v>0</v>
      </c>
      <c r="J570" t="n">
        <v>0</v>
      </c>
      <c r="K570" t="n">
        <v>0</v>
      </c>
      <c r="L570" t="n">
        <v>0</v>
      </c>
      <c r="M570" t="n">
        <v>0</v>
      </c>
      <c r="N570" t="n">
        <v>0</v>
      </c>
      <c r="O570" t="n">
        <v>0</v>
      </c>
      <c r="P570" t="n">
        <v>0</v>
      </c>
      <c r="Q570" t="n">
        <v>0</v>
      </c>
      <c r="R570" s="2" t="inlineStr"/>
    </row>
    <row r="571" ht="15" customHeight="1">
      <c r="A571" t="inlineStr">
        <is>
          <t>A 999-2024</t>
        </is>
      </c>
      <c r="B571" s="1" t="n">
        <v>45301</v>
      </c>
      <c r="C571" s="1" t="n">
        <v>45939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61596-2023</t>
        </is>
      </c>
      <c r="B572" s="1" t="n">
        <v>45265</v>
      </c>
      <c r="C572" s="1" t="n">
        <v>45939</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30104-2025</t>
        </is>
      </c>
      <c r="B573" s="1" t="n">
        <v>45826.68806712963</v>
      </c>
      <c r="C573" s="1" t="n">
        <v>45939</v>
      </c>
      <c r="D573" t="inlineStr">
        <is>
          <t>GOTLANDS LÄN</t>
        </is>
      </c>
      <c r="E573" t="inlineStr">
        <is>
          <t>GOTLAND</t>
        </is>
      </c>
      <c r="G573" t="n">
        <v>15.4</v>
      </c>
      <c r="H573" t="n">
        <v>0</v>
      </c>
      <c r="I573" t="n">
        <v>0</v>
      </c>
      <c r="J573" t="n">
        <v>0</v>
      </c>
      <c r="K573" t="n">
        <v>0</v>
      </c>
      <c r="L573" t="n">
        <v>0</v>
      </c>
      <c r="M573" t="n">
        <v>0</v>
      </c>
      <c r="N573" t="n">
        <v>0</v>
      </c>
      <c r="O573" t="n">
        <v>0</v>
      </c>
      <c r="P573" t="n">
        <v>0</v>
      </c>
      <c r="Q573" t="n">
        <v>0</v>
      </c>
      <c r="R573" s="2" t="inlineStr"/>
    </row>
    <row r="574" ht="15" customHeight="1">
      <c r="A574" t="inlineStr">
        <is>
          <t>A 14638-2025</t>
        </is>
      </c>
      <c r="B574" s="1" t="n">
        <v>45742</v>
      </c>
      <c r="C574" s="1" t="n">
        <v>45939</v>
      </c>
      <c r="D574" t="inlineStr">
        <is>
          <t>GOTLANDS LÄN</t>
        </is>
      </c>
      <c r="E574" t="inlineStr">
        <is>
          <t>GOTLAND</t>
        </is>
      </c>
      <c r="G574" t="n">
        <v>13.4</v>
      </c>
      <c r="H574" t="n">
        <v>0</v>
      </c>
      <c r="I574" t="n">
        <v>0</v>
      </c>
      <c r="J574" t="n">
        <v>0</v>
      </c>
      <c r="K574" t="n">
        <v>0</v>
      </c>
      <c r="L574" t="n">
        <v>0</v>
      </c>
      <c r="M574" t="n">
        <v>0</v>
      </c>
      <c r="N574" t="n">
        <v>0</v>
      </c>
      <c r="O574" t="n">
        <v>0</v>
      </c>
      <c r="P574" t="n">
        <v>0</v>
      </c>
      <c r="Q574" t="n">
        <v>0</v>
      </c>
      <c r="R574" s="2" t="inlineStr"/>
    </row>
    <row r="575" ht="15" customHeight="1">
      <c r="A575" t="inlineStr">
        <is>
          <t>A 35290-2025</t>
        </is>
      </c>
      <c r="B575" s="1" t="n">
        <v>45854.38502314815</v>
      </c>
      <c r="C575" s="1" t="n">
        <v>45939</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32669-2024</t>
        </is>
      </c>
      <c r="B576" s="1" t="n">
        <v>45514</v>
      </c>
      <c r="C576" s="1" t="n">
        <v>45939</v>
      </c>
      <c r="D576" t="inlineStr">
        <is>
          <t>GOTLANDS LÄN</t>
        </is>
      </c>
      <c r="E576" t="inlineStr">
        <is>
          <t>GOTLAND</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60675-2021</t>
        </is>
      </c>
      <c r="B577" s="1" t="n">
        <v>44496.64855324074</v>
      </c>
      <c r="C577" s="1" t="n">
        <v>45939</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37728-2024</t>
        </is>
      </c>
      <c r="B578" s="1" t="n">
        <v>45541</v>
      </c>
      <c r="C578" s="1" t="n">
        <v>45939</v>
      </c>
      <c r="D578" t="inlineStr">
        <is>
          <t>GOTLANDS LÄN</t>
        </is>
      </c>
      <c r="E578" t="inlineStr">
        <is>
          <t>GOTLAND</t>
        </is>
      </c>
      <c r="G578" t="n">
        <v>0.4</v>
      </c>
      <c r="H578" t="n">
        <v>0</v>
      </c>
      <c r="I578" t="n">
        <v>0</v>
      </c>
      <c r="J578" t="n">
        <v>0</v>
      </c>
      <c r="K578" t="n">
        <v>0</v>
      </c>
      <c r="L578" t="n">
        <v>0</v>
      </c>
      <c r="M578" t="n">
        <v>0</v>
      </c>
      <c r="N578" t="n">
        <v>0</v>
      </c>
      <c r="O578" t="n">
        <v>0</v>
      </c>
      <c r="P578" t="n">
        <v>0</v>
      </c>
      <c r="Q578" t="n">
        <v>0</v>
      </c>
      <c r="R578" s="2" t="inlineStr"/>
    </row>
    <row r="579" ht="15" customHeight="1">
      <c r="A579" t="inlineStr">
        <is>
          <t>A 35537-2025</t>
        </is>
      </c>
      <c r="B579" s="1" t="n">
        <v>45856</v>
      </c>
      <c r="C579" s="1" t="n">
        <v>45939</v>
      </c>
      <c r="D579" t="inlineStr">
        <is>
          <t>GOTLANDS LÄN</t>
        </is>
      </c>
      <c r="E579" t="inlineStr">
        <is>
          <t>GOTLAND</t>
        </is>
      </c>
      <c r="G579" t="n">
        <v>16.8</v>
      </c>
      <c r="H579" t="n">
        <v>0</v>
      </c>
      <c r="I579" t="n">
        <v>0</v>
      </c>
      <c r="J579" t="n">
        <v>0</v>
      </c>
      <c r="K579" t="n">
        <v>0</v>
      </c>
      <c r="L579" t="n">
        <v>0</v>
      </c>
      <c r="M579" t="n">
        <v>0</v>
      </c>
      <c r="N579" t="n">
        <v>0</v>
      </c>
      <c r="O579" t="n">
        <v>0</v>
      </c>
      <c r="P579" t="n">
        <v>0</v>
      </c>
      <c r="Q579" t="n">
        <v>0</v>
      </c>
      <c r="R579" s="2" t="inlineStr"/>
    </row>
    <row r="580" ht="15" customHeight="1">
      <c r="A580" t="inlineStr">
        <is>
          <t>A 35550-2025</t>
        </is>
      </c>
      <c r="B580" s="1" t="n">
        <v>45856.49324074074</v>
      </c>
      <c r="C580" s="1" t="n">
        <v>45939</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22287-2022</t>
        </is>
      </c>
      <c r="B581" s="1" t="n">
        <v>44712</v>
      </c>
      <c r="C581" s="1" t="n">
        <v>45939</v>
      </c>
      <c r="D581" t="inlineStr">
        <is>
          <t>GOTLANDS LÄN</t>
        </is>
      </c>
      <c r="E581" t="inlineStr">
        <is>
          <t>GOTLAND</t>
        </is>
      </c>
      <c r="G581" t="n">
        <v>6.1</v>
      </c>
      <c r="H581" t="n">
        <v>0</v>
      </c>
      <c r="I581" t="n">
        <v>0</v>
      </c>
      <c r="J581" t="n">
        <v>0</v>
      </c>
      <c r="K581" t="n">
        <v>0</v>
      </c>
      <c r="L581" t="n">
        <v>0</v>
      </c>
      <c r="M581" t="n">
        <v>0</v>
      </c>
      <c r="N581" t="n">
        <v>0</v>
      </c>
      <c r="O581" t="n">
        <v>0</v>
      </c>
      <c r="P581" t="n">
        <v>0</v>
      </c>
      <c r="Q581" t="n">
        <v>0</v>
      </c>
      <c r="R581" s="2" t="inlineStr"/>
    </row>
    <row r="582" ht="15" customHeight="1">
      <c r="A582" t="inlineStr">
        <is>
          <t>A 54074-2022</t>
        </is>
      </c>
      <c r="B582" s="1" t="n">
        <v>44881</v>
      </c>
      <c r="C582" s="1" t="n">
        <v>45939</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65249-2023</t>
        </is>
      </c>
      <c r="B583" s="1" t="n">
        <v>45290</v>
      </c>
      <c r="C583" s="1" t="n">
        <v>45939</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41551-2025</t>
        </is>
      </c>
      <c r="B584" s="1" t="n">
        <v>45901.58854166666</v>
      </c>
      <c r="C584" s="1" t="n">
        <v>45939</v>
      </c>
      <c r="D584" t="inlineStr">
        <is>
          <t>GOTLANDS LÄN</t>
        </is>
      </c>
      <c r="E584" t="inlineStr">
        <is>
          <t>GOTLAND</t>
        </is>
      </c>
      <c r="G584" t="n">
        <v>5.6</v>
      </c>
      <c r="H584" t="n">
        <v>0</v>
      </c>
      <c r="I584" t="n">
        <v>0</v>
      </c>
      <c r="J584" t="n">
        <v>0</v>
      </c>
      <c r="K584" t="n">
        <v>0</v>
      </c>
      <c r="L584" t="n">
        <v>0</v>
      </c>
      <c r="M584" t="n">
        <v>0</v>
      </c>
      <c r="N584" t="n">
        <v>0</v>
      </c>
      <c r="O584" t="n">
        <v>0</v>
      </c>
      <c r="P584" t="n">
        <v>0</v>
      </c>
      <c r="Q584" t="n">
        <v>0</v>
      </c>
      <c r="R584" s="2" t="inlineStr"/>
    </row>
    <row r="585" ht="15" customHeight="1">
      <c r="A585" t="inlineStr">
        <is>
          <t>A 41435-2025</t>
        </is>
      </c>
      <c r="B585" s="1" t="n">
        <v>45901.39974537037</v>
      </c>
      <c r="C585" s="1" t="n">
        <v>45939</v>
      </c>
      <c r="D585" t="inlineStr">
        <is>
          <t>GOTLANDS LÄN</t>
        </is>
      </c>
      <c r="E585" t="inlineStr">
        <is>
          <t>GOTLAND</t>
        </is>
      </c>
      <c r="G585" t="n">
        <v>4.9</v>
      </c>
      <c r="H585" t="n">
        <v>0</v>
      </c>
      <c r="I585" t="n">
        <v>0</v>
      </c>
      <c r="J585" t="n">
        <v>0</v>
      </c>
      <c r="K585" t="n">
        <v>0</v>
      </c>
      <c r="L585" t="n">
        <v>0</v>
      </c>
      <c r="M585" t="n">
        <v>0</v>
      </c>
      <c r="N585" t="n">
        <v>0</v>
      </c>
      <c r="O585" t="n">
        <v>0</v>
      </c>
      <c r="P585" t="n">
        <v>0</v>
      </c>
      <c r="Q585" t="n">
        <v>0</v>
      </c>
      <c r="R585" s="2" t="inlineStr"/>
    </row>
    <row r="586" ht="15" customHeight="1">
      <c r="A586" t="inlineStr">
        <is>
          <t>A 15216-2025</t>
        </is>
      </c>
      <c r="B586" s="1" t="n">
        <v>45744</v>
      </c>
      <c r="C586" s="1" t="n">
        <v>45939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43790-2024</t>
        </is>
      </c>
      <c r="B587" s="1" t="n">
        <v>45571</v>
      </c>
      <c r="C587" s="1" t="n">
        <v>45939</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13910-2025</t>
        </is>
      </c>
      <c r="B588" s="1" t="n">
        <v>45737</v>
      </c>
      <c r="C588" s="1" t="n">
        <v>45939</v>
      </c>
      <c r="D588" t="inlineStr">
        <is>
          <t>GOTLANDS LÄN</t>
        </is>
      </c>
      <c r="E588" t="inlineStr">
        <is>
          <t>GOTLAND</t>
        </is>
      </c>
      <c r="F588" t="inlineStr">
        <is>
          <t>Kommuner</t>
        </is>
      </c>
      <c r="G588" t="n">
        <v>3.2</v>
      </c>
      <c r="H588" t="n">
        <v>0</v>
      </c>
      <c r="I588" t="n">
        <v>0</v>
      </c>
      <c r="J588" t="n">
        <v>0</v>
      </c>
      <c r="K588" t="n">
        <v>0</v>
      </c>
      <c r="L588" t="n">
        <v>0</v>
      </c>
      <c r="M588" t="n">
        <v>0</v>
      </c>
      <c r="N588" t="n">
        <v>0</v>
      </c>
      <c r="O588" t="n">
        <v>0</v>
      </c>
      <c r="P588" t="n">
        <v>0</v>
      </c>
      <c r="Q588" t="n">
        <v>0</v>
      </c>
      <c r="R588" s="2" t="inlineStr"/>
    </row>
    <row r="589" ht="15" customHeight="1">
      <c r="A589" t="inlineStr">
        <is>
          <t>A 15001-2025</t>
        </is>
      </c>
      <c r="B589" s="1" t="n">
        <v>45743</v>
      </c>
      <c r="C589" s="1" t="n">
        <v>45939</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30488-2025</t>
        </is>
      </c>
      <c r="B590" s="1" t="n">
        <v>45830</v>
      </c>
      <c r="C590" s="1" t="n">
        <v>45939</v>
      </c>
      <c r="D590" t="inlineStr">
        <is>
          <t>GOTLANDS LÄN</t>
        </is>
      </c>
      <c r="E590" t="inlineStr">
        <is>
          <t>GOTLAND</t>
        </is>
      </c>
      <c r="F590" t="inlineStr">
        <is>
          <t>Kyrkan</t>
        </is>
      </c>
      <c r="G590" t="n">
        <v>3.9</v>
      </c>
      <c r="H590" t="n">
        <v>0</v>
      </c>
      <c r="I590" t="n">
        <v>0</v>
      </c>
      <c r="J590" t="n">
        <v>0</v>
      </c>
      <c r="K590" t="n">
        <v>0</v>
      </c>
      <c r="L590" t="n">
        <v>0</v>
      </c>
      <c r="M590" t="n">
        <v>0</v>
      </c>
      <c r="N590" t="n">
        <v>0</v>
      </c>
      <c r="O590" t="n">
        <v>0</v>
      </c>
      <c r="P590" t="n">
        <v>0</v>
      </c>
      <c r="Q590" t="n">
        <v>0</v>
      </c>
      <c r="R590" s="2" t="inlineStr"/>
    </row>
    <row r="591" ht="15" customHeight="1">
      <c r="A591" t="inlineStr">
        <is>
          <t>A 42608-2025</t>
        </is>
      </c>
      <c r="B591" s="1" t="n">
        <v>45905</v>
      </c>
      <c r="C591" s="1" t="n">
        <v>45939</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17780-2022</t>
        </is>
      </c>
      <c r="B593" s="1" t="n">
        <v>44682.82622685185</v>
      </c>
      <c r="C593" s="1" t="n">
        <v>45939</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18742-2025</t>
        </is>
      </c>
      <c r="B594" s="1" t="n">
        <v>45763</v>
      </c>
      <c r="C594" s="1" t="n">
        <v>45939</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36319-2025</t>
        </is>
      </c>
      <c r="B595" s="1" t="n">
        <v>45868</v>
      </c>
      <c r="C595" s="1" t="n">
        <v>45939</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45939</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44410-2025</t>
        </is>
      </c>
      <c r="B597" s="1" t="n">
        <v>45916.53699074074</v>
      </c>
      <c r="C597" s="1" t="n">
        <v>45939</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c r="A598" t="inlineStr">
        <is>
          <t>A 44405-2025</t>
        </is>
      </c>
      <c r="B598" s="1" t="n">
        <v>45916.52405092592</v>
      </c>
      <c r="C598" s="1" t="n">
        <v>45939</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2025-10-09T12:34:41Z</dcterms:created>
  <dcterms:modified xmlns:dcterms="http://purl.org/dc/terms/" xmlns:xsi="http://www.w3.org/2001/XMLSchema-instance" xsi:type="dcterms:W3CDTF">2025-10-09T12:34:41Z</dcterms:modified>
</cp:coreProperties>
</file>