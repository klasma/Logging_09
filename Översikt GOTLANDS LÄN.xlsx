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45901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45901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4572-2025</t>
        </is>
      </c>
      <c r="B9" s="1" t="n">
        <v>45687</v>
      </c>
      <c r="C9" s="1" t="n">
        <v>45901</v>
      </c>
      <c r="D9" t="inlineStr">
        <is>
          <t>GOTLANDS LÄN</t>
        </is>
      </c>
      <c r="E9" t="inlineStr">
        <is>
          <t>GOTLAND</t>
        </is>
      </c>
      <c r="G9" t="n">
        <v>6.2</v>
      </c>
      <c r="H9" t="n">
        <v>13</v>
      </c>
      <c r="I9" t="n">
        <v>2</v>
      </c>
      <c r="J9" t="n">
        <v>10</v>
      </c>
      <c r="K9" t="n">
        <v>0</v>
      </c>
      <c r="L9" t="n">
        <v>1</v>
      </c>
      <c r="M9" t="n">
        <v>0</v>
      </c>
      <c r="N9" t="n">
        <v>0</v>
      </c>
      <c r="O9" t="n">
        <v>11</v>
      </c>
      <c r="P9" t="n">
        <v>1</v>
      </c>
      <c r="Q9" t="n">
        <v>18</v>
      </c>
      <c r="R9" s="2" t="inlineStr">
        <is>
          <t>Brun glada
Apollofjäril
Axveronika
Backtimjan
Havsörn
Jordtistel
Mindre hackspett
Reliktbock
Solvända
Spillkråka
Svartfläckig blåvinge
Purpurknipprot
Skogsknipprot
Brudsporre
Grönvit nattviol
Nattviol
Sankt pers nycklar
Blåsippa</t>
        </is>
      </c>
      <c r="S9">
        <f>HYPERLINK("https://klasma.github.io/Logging_0980/artfynd/A 4572-2025 artfynd.xlsx", "A 4572-2025")</f>
        <v/>
      </c>
      <c r="T9">
        <f>HYPERLINK("https://klasma.github.io/Logging_0980/kartor/A 4572-2025 karta.png", "A 4572-2025")</f>
        <v/>
      </c>
      <c r="V9">
        <f>HYPERLINK("https://klasma.github.io/Logging_0980/klagomål/A 4572-2025 FSC-klagomål.docx", "A 4572-2025")</f>
        <v/>
      </c>
      <c r="W9">
        <f>HYPERLINK("https://klasma.github.io/Logging_0980/klagomålsmail/A 4572-2025 FSC-klagomål mail.docx", "A 4572-2025")</f>
        <v/>
      </c>
      <c r="X9">
        <f>HYPERLINK("https://klasma.github.io/Logging_0980/tillsyn/A 4572-2025 tillsynsbegäran.docx", "A 4572-2025")</f>
        <v/>
      </c>
      <c r="Y9">
        <f>HYPERLINK("https://klasma.github.io/Logging_0980/tillsynsmail/A 4572-2025 tillsynsbegäran mail.docx", "A 4572-2025")</f>
        <v/>
      </c>
      <c r="Z9">
        <f>HYPERLINK("https://klasma.github.io/Logging_0980/fåglar/A 4572-2025 prioriterade fågelarter.docx", "A 4572-2025")</f>
        <v/>
      </c>
    </row>
    <row r="10" ht="15" customHeight="1">
      <c r="A10" t="inlineStr">
        <is>
          <t>A 530-2024</t>
        </is>
      </c>
      <c r="B10" s="1" t="n">
        <v>45299</v>
      </c>
      <c r="C10" s="1" t="n">
        <v>45901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8645-2025</t>
        </is>
      </c>
      <c r="B11" s="1" t="n">
        <v>45712</v>
      </c>
      <c r="C11" s="1" t="n">
        <v>45901</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62551-2022</t>
        </is>
      </c>
      <c r="B12" s="1" t="n">
        <v>44924</v>
      </c>
      <c r="C12" s="1" t="n">
        <v>45901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61664-2023</t>
        </is>
      </c>
      <c r="B13" s="1" t="n">
        <v>45265</v>
      </c>
      <c r="C13" s="1" t="n">
        <v>45901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45901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45901</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45901</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45901</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45901</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45901</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33728-2025</t>
        </is>
      </c>
      <c r="B22" s="1" t="n">
        <v>45842.29344907407</v>
      </c>
      <c r="C22" s="1" t="n">
        <v>45901</v>
      </c>
      <c r="D22" t="inlineStr">
        <is>
          <t>GOTLANDS LÄN</t>
        </is>
      </c>
      <c r="E22" t="inlineStr">
        <is>
          <t>GOTLAND</t>
        </is>
      </c>
      <c r="G22" t="n">
        <v>9.5</v>
      </c>
      <c r="H22" t="n">
        <v>3</v>
      </c>
      <c r="I22" t="n">
        <v>3</v>
      </c>
      <c r="J22" t="n">
        <v>6</v>
      </c>
      <c r="K22" t="n">
        <v>3</v>
      </c>
      <c r="L22" t="n">
        <v>2</v>
      </c>
      <c r="M22" t="n">
        <v>0</v>
      </c>
      <c r="N22" t="n">
        <v>0</v>
      </c>
      <c r="O22" t="n">
        <v>11</v>
      </c>
      <c r="P22" t="n">
        <v>5</v>
      </c>
      <c r="Q22" t="n">
        <v>14</v>
      </c>
      <c r="R22" s="2" t="inlineStr">
        <is>
          <t>Ask
Sienamusseron
Gotlandsmåra
Läderdoftande fingersvamp
Mörkfjällig olivspindling
Axveronika
Backtimjan
Duvhök
Jordtistel
Svartfläckig blåvinge
Svinrot
Olivspindling
Skogsknipprot
Svavelriska</t>
        </is>
      </c>
      <c r="S22">
        <f>HYPERLINK("https://klasma.github.io/Logging_0980/artfynd/A 33728-2025 artfynd.xlsx", "A 33728-2025")</f>
        <v/>
      </c>
      <c r="T22">
        <f>HYPERLINK("https://klasma.github.io/Logging_0980/kartor/A 33728-2025 karta.png", "A 33728-2025")</f>
        <v/>
      </c>
      <c r="V22">
        <f>HYPERLINK("https://klasma.github.io/Logging_0980/klagomål/A 33728-2025 FSC-klagomål.docx", "A 33728-2025")</f>
        <v/>
      </c>
      <c r="W22">
        <f>HYPERLINK("https://klasma.github.io/Logging_0980/klagomålsmail/A 33728-2025 FSC-klagomål mail.docx", "A 33728-2025")</f>
        <v/>
      </c>
      <c r="X22">
        <f>HYPERLINK("https://klasma.github.io/Logging_0980/tillsyn/A 33728-2025 tillsynsbegäran.docx", "A 33728-2025")</f>
        <v/>
      </c>
      <c r="Y22">
        <f>HYPERLINK("https://klasma.github.io/Logging_0980/tillsynsmail/A 33728-2025 tillsynsbegäran mail.docx", "A 33728-2025")</f>
        <v/>
      </c>
      <c r="Z22">
        <f>HYPERLINK("https://klasma.github.io/Logging_0980/fåglar/A 33728-2025 prioriterade fågelarter.docx", "A 33728-2025")</f>
        <v/>
      </c>
    </row>
    <row r="23" ht="15" customHeight="1">
      <c r="A23" t="inlineStr">
        <is>
          <t>A 24309-2025</t>
        </is>
      </c>
      <c r="B23" s="1" t="n">
        <v>45797</v>
      </c>
      <c r="C23" s="1" t="n">
        <v>45901</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569-2023</t>
        </is>
      </c>
      <c r="B24" s="1" t="n">
        <v>44930</v>
      </c>
      <c r="C24" s="1" t="n">
        <v>45901</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2804-2023</t>
        </is>
      </c>
      <c r="B25" s="1" t="n">
        <v>44944</v>
      </c>
      <c r="C25" s="1" t="n">
        <v>45901</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45901</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45901</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45901</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45901</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45901</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45901</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45901</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45901</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45901</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45901</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45901</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45901</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16353-2025</t>
        </is>
      </c>
      <c r="B54" s="1" t="n">
        <v>45751</v>
      </c>
      <c r="C54" s="1" t="n">
        <v>45901</v>
      </c>
      <c r="D54" t="inlineStr">
        <is>
          <t>GOTLANDS LÄN</t>
        </is>
      </c>
      <c r="E54" t="inlineStr">
        <is>
          <t>GOTLAND</t>
        </is>
      </c>
      <c r="G54" t="n">
        <v>8.800000000000001</v>
      </c>
      <c r="H54" t="n">
        <v>0</v>
      </c>
      <c r="I54" t="n">
        <v>6</v>
      </c>
      <c r="J54" t="n">
        <v>1</v>
      </c>
      <c r="K54" t="n">
        <v>0</v>
      </c>
      <c r="L54" t="n">
        <v>0</v>
      </c>
      <c r="M54" t="n">
        <v>0</v>
      </c>
      <c r="N54" t="n">
        <v>0</v>
      </c>
      <c r="O54" t="n">
        <v>1</v>
      </c>
      <c r="P54" t="n">
        <v>0</v>
      </c>
      <c r="Q54" t="n">
        <v>7</v>
      </c>
      <c r="R54" s="2" t="inlineStr">
        <is>
          <t>Flattoppad klubbsvamp
Anisspindling
Fjällig taggsvamp s.str.
Guldkremla
Kryddspindling
Rödgul trumpetsvamp
Svavelriska</t>
        </is>
      </c>
      <c r="S54">
        <f>HYPERLINK("https://klasma.github.io/Logging_0980/artfynd/A 16353-2025 artfynd.xlsx", "A 16353-2025")</f>
        <v/>
      </c>
      <c r="T54">
        <f>HYPERLINK("https://klasma.github.io/Logging_0980/kartor/A 16353-2025 karta.png", "A 16353-2025")</f>
        <v/>
      </c>
      <c r="V54">
        <f>HYPERLINK("https://klasma.github.io/Logging_0980/klagomål/A 16353-2025 FSC-klagomål.docx", "A 16353-2025")</f>
        <v/>
      </c>
      <c r="W54">
        <f>HYPERLINK("https://klasma.github.io/Logging_0980/klagomålsmail/A 16353-2025 FSC-klagomål mail.docx", "A 16353-2025")</f>
        <v/>
      </c>
      <c r="X54">
        <f>HYPERLINK("https://klasma.github.io/Logging_0980/tillsyn/A 16353-2025 tillsynsbegäran.docx", "A 16353-2025")</f>
        <v/>
      </c>
      <c r="Y54">
        <f>HYPERLINK("https://klasma.github.io/Logging_0980/tillsynsmail/A 16353-2025 tillsynsbegäran mail.docx", "A 16353-2025")</f>
        <v/>
      </c>
    </row>
    <row r="55" ht="15" customHeight="1">
      <c r="A55" t="inlineStr">
        <is>
          <t>A 4984-2025</t>
        </is>
      </c>
      <c r="B55" s="1" t="n">
        <v>45691.29891203704</v>
      </c>
      <c r="C55" s="1" t="n">
        <v>45901</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45901</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45901</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45901</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45901</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45901</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16823-2024</t>
        </is>
      </c>
      <c r="B62" s="1" t="n">
        <v>45411</v>
      </c>
      <c r="C62" s="1" t="n">
        <v>45901</v>
      </c>
      <c r="D62" t="inlineStr">
        <is>
          <t>GOTLANDS LÄN</t>
        </is>
      </c>
      <c r="E62" t="inlineStr">
        <is>
          <t>GOTLAND</t>
        </is>
      </c>
      <c r="G62" t="n">
        <v>25.4</v>
      </c>
      <c r="H62" t="n">
        <v>5</v>
      </c>
      <c r="I62" t="n">
        <v>1</v>
      </c>
      <c r="J62" t="n">
        <v>2</v>
      </c>
      <c r="K62" t="n">
        <v>0</v>
      </c>
      <c r="L62" t="n">
        <v>0</v>
      </c>
      <c r="M62" t="n">
        <v>0</v>
      </c>
      <c r="N62" t="n">
        <v>0</v>
      </c>
      <c r="O62" t="n">
        <v>2</v>
      </c>
      <c r="P62" t="n">
        <v>0</v>
      </c>
      <c r="Q62" t="n">
        <v>6</v>
      </c>
      <c r="R62" s="2" t="inlineStr">
        <is>
          <t>Gulsparv
Jordtistel
Flugblomster
Brudsporre
Johannesnycklar
Sankt pers nycklar</t>
        </is>
      </c>
      <c r="S62">
        <f>HYPERLINK("https://klasma.github.io/Logging_0980/artfynd/A 16823-2024 artfynd.xlsx", "A 16823-2024")</f>
        <v/>
      </c>
      <c r="T62">
        <f>HYPERLINK("https://klasma.github.io/Logging_0980/kartor/A 16823-2024 karta.png", "A 16823-2024")</f>
        <v/>
      </c>
      <c r="V62">
        <f>HYPERLINK("https://klasma.github.io/Logging_0980/klagomål/A 16823-2024 FSC-klagomål.docx", "A 16823-2024")</f>
        <v/>
      </c>
      <c r="W62">
        <f>HYPERLINK("https://klasma.github.io/Logging_0980/klagomålsmail/A 16823-2024 FSC-klagomål mail.docx", "A 16823-2024")</f>
        <v/>
      </c>
      <c r="X62">
        <f>HYPERLINK("https://klasma.github.io/Logging_0980/tillsyn/A 16823-2024 tillsynsbegäran.docx", "A 16823-2024")</f>
        <v/>
      </c>
      <c r="Y62">
        <f>HYPERLINK("https://klasma.github.io/Logging_0980/tillsynsmail/A 16823-2024 tillsynsbegäran mail.docx", "A 16823-2024")</f>
        <v/>
      </c>
      <c r="Z62">
        <f>HYPERLINK("https://klasma.github.io/Logging_0980/fåglar/A 16823-2024 prioriterade fågelarter.docx", "A 16823-2024")</f>
        <v/>
      </c>
    </row>
    <row r="63" ht="15" customHeight="1">
      <c r="A63" t="inlineStr">
        <is>
          <t>A 7038-2023</t>
        </is>
      </c>
      <c r="B63" s="1" t="n">
        <v>44968</v>
      </c>
      <c r="C63" s="1" t="n">
        <v>45901</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54527-2023</t>
        </is>
      </c>
      <c r="B64" s="1" t="n">
        <v>45233</v>
      </c>
      <c r="C64" s="1" t="n">
        <v>45901</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45901</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45901</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45901</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45901</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45901</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35293-2025</t>
        </is>
      </c>
      <c r="B70" s="1" t="n">
        <v>45854.39438657407</v>
      </c>
      <c r="C70" s="1" t="n">
        <v>45901</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44944-2022</t>
        </is>
      </c>
      <c r="B71" s="1" t="n">
        <v>44841</v>
      </c>
      <c r="C71" s="1" t="n">
        <v>45901</v>
      </c>
      <c r="D71" t="inlineStr">
        <is>
          <t>GOTLANDS LÄN</t>
        </is>
      </c>
      <c r="E71" t="inlineStr">
        <is>
          <t>GOTLAND</t>
        </is>
      </c>
      <c r="G71" t="n">
        <v>2.8</v>
      </c>
      <c r="H71" t="n">
        <v>0</v>
      </c>
      <c r="I71" t="n">
        <v>3</v>
      </c>
      <c r="J71" t="n">
        <v>2</v>
      </c>
      <c r="K71" t="n">
        <v>0</v>
      </c>
      <c r="L71" t="n">
        <v>0</v>
      </c>
      <c r="M71" t="n">
        <v>0</v>
      </c>
      <c r="N71" t="n">
        <v>0</v>
      </c>
      <c r="O71" t="n">
        <v>2</v>
      </c>
      <c r="P71" t="n">
        <v>0</v>
      </c>
      <c r="Q71" t="n">
        <v>5</v>
      </c>
      <c r="R71" s="2" t="inlineStr">
        <is>
          <t>Denisespindling
Odörspindling
Anisspindling
Fjällig taggsvamp s.str.
Rödgul trumpetsvamp</t>
        </is>
      </c>
      <c r="S71">
        <f>HYPERLINK("https://klasma.github.io/Logging_0980/artfynd/A 44944-2022 artfynd.xlsx", "A 44944-2022")</f>
        <v/>
      </c>
      <c r="T71">
        <f>HYPERLINK("https://klasma.github.io/Logging_0980/kartor/A 44944-2022 karta.png", "A 44944-2022")</f>
        <v/>
      </c>
      <c r="V71">
        <f>HYPERLINK("https://klasma.github.io/Logging_0980/klagomål/A 44944-2022 FSC-klagomål.docx", "A 44944-2022")</f>
        <v/>
      </c>
      <c r="W71">
        <f>HYPERLINK("https://klasma.github.io/Logging_0980/klagomålsmail/A 44944-2022 FSC-klagomål mail.docx", "A 44944-2022")</f>
        <v/>
      </c>
      <c r="X71">
        <f>HYPERLINK("https://klasma.github.io/Logging_0980/tillsyn/A 44944-2022 tillsynsbegäran.docx", "A 44944-2022")</f>
        <v/>
      </c>
      <c r="Y71">
        <f>HYPERLINK("https://klasma.github.io/Logging_0980/tillsynsmail/A 44944-2022 tillsynsbegäran mail.docx", "A 44944-2022")</f>
        <v/>
      </c>
    </row>
    <row r="72" ht="15" customHeight="1">
      <c r="A72" t="inlineStr">
        <is>
          <t>A 32326-2024</t>
        </is>
      </c>
      <c r="B72" s="1" t="n">
        <v>45512</v>
      </c>
      <c r="C72" s="1" t="n">
        <v>45901</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45901</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45901</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45901</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45901</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45901</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45901</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45901</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45901</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45901</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45901</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45901</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45901</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45901</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45901</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45901</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45901</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45901</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45901</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45901</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45901</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45901</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30490-2025</t>
        </is>
      </c>
      <c r="B96" s="1" t="n">
        <v>45830</v>
      </c>
      <c r="C96" s="1" t="n">
        <v>45901</v>
      </c>
      <c r="D96" t="inlineStr">
        <is>
          <t>GOTLANDS LÄN</t>
        </is>
      </c>
      <c r="E96" t="inlineStr">
        <is>
          <t>GOTLAND</t>
        </is>
      </c>
      <c r="G96" t="n">
        <v>7.9</v>
      </c>
      <c r="H96" t="n">
        <v>1</v>
      </c>
      <c r="I96" t="n">
        <v>0</v>
      </c>
      <c r="J96" t="n">
        <v>2</v>
      </c>
      <c r="K96" t="n">
        <v>0</v>
      </c>
      <c r="L96" t="n">
        <v>0</v>
      </c>
      <c r="M96" t="n">
        <v>0</v>
      </c>
      <c r="N96" t="n">
        <v>0</v>
      </c>
      <c r="O96" t="n">
        <v>2</v>
      </c>
      <c r="P96" t="n">
        <v>0</v>
      </c>
      <c r="Q96" t="n">
        <v>3</v>
      </c>
      <c r="R96" s="2" t="inlineStr">
        <is>
          <t>Klasefibbla
Majviva
Nattviol</t>
        </is>
      </c>
      <c r="S96">
        <f>HYPERLINK("https://klasma.github.io/Logging_0980/artfynd/A 30490-2025 artfynd.xlsx", "A 30490-2025")</f>
        <v/>
      </c>
      <c r="T96">
        <f>HYPERLINK("https://klasma.github.io/Logging_0980/kartor/A 30490-2025 karta.png", "A 30490-2025")</f>
        <v/>
      </c>
      <c r="V96">
        <f>HYPERLINK("https://klasma.github.io/Logging_0980/klagomål/A 30490-2025 FSC-klagomål.docx", "A 30490-2025")</f>
        <v/>
      </c>
      <c r="W96">
        <f>HYPERLINK("https://klasma.github.io/Logging_0980/klagomålsmail/A 30490-2025 FSC-klagomål mail.docx", "A 30490-2025")</f>
        <v/>
      </c>
      <c r="X96">
        <f>HYPERLINK("https://klasma.github.io/Logging_0980/tillsyn/A 30490-2025 tillsynsbegäran.docx", "A 30490-2025")</f>
        <v/>
      </c>
      <c r="Y96">
        <f>HYPERLINK("https://klasma.github.io/Logging_0980/tillsynsmail/A 30490-2025 tillsynsbegäran mail.docx", "A 30490-2025")</f>
        <v/>
      </c>
    </row>
    <row r="97" ht="15" customHeight="1">
      <c r="A97" t="inlineStr">
        <is>
          <t>A 20831-2024</t>
        </is>
      </c>
      <c r="B97" s="1" t="n">
        <v>45439</v>
      </c>
      <c r="C97" s="1" t="n">
        <v>45901</v>
      </c>
      <c r="D97" t="inlineStr">
        <is>
          <t>GOTLANDS LÄN</t>
        </is>
      </c>
      <c r="E97" t="inlineStr">
        <is>
          <t>GOTLAND</t>
        </is>
      </c>
      <c r="G97" t="n">
        <v>2.9</v>
      </c>
      <c r="H97" t="n">
        <v>2</v>
      </c>
      <c r="I97" t="n">
        <v>1</v>
      </c>
      <c r="J97" t="n">
        <v>2</v>
      </c>
      <c r="K97" t="n">
        <v>0</v>
      </c>
      <c r="L97" t="n">
        <v>0</v>
      </c>
      <c r="M97" t="n">
        <v>0</v>
      </c>
      <c r="N97" t="n">
        <v>0</v>
      </c>
      <c r="O97" t="n">
        <v>2</v>
      </c>
      <c r="P97" t="n">
        <v>0</v>
      </c>
      <c r="Q97" t="n">
        <v>3</v>
      </c>
      <c r="R97" s="2" t="inlineStr">
        <is>
          <t>Dårgräsfjäril
Svinrot
Skogsknipprot</t>
        </is>
      </c>
      <c r="S97">
        <f>HYPERLINK("https://klasma.github.io/Logging_0980/artfynd/A 20831-2024 artfynd.xlsx", "A 20831-2024")</f>
        <v/>
      </c>
      <c r="T97">
        <f>HYPERLINK("https://klasma.github.io/Logging_0980/kartor/A 20831-2024 karta.png", "A 20831-2024")</f>
        <v/>
      </c>
      <c r="V97">
        <f>HYPERLINK("https://klasma.github.io/Logging_0980/klagomål/A 20831-2024 FSC-klagomål.docx", "A 20831-2024")</f>
        <v/>
      </c>
      <c r="W97">
        <f>HYPERLINK("https://klasma.github.io/Logging_0980/klagomålsmail/A 20831-2024 FSC-klagomål mail.docx", "A 20831-2024")</f>
        <v/>
      </c>
      <c r="X97">
        <f>HYPERLINK("https://klasma.github.io/Logging_0980/tillsyn/A 20831-2024 tillsynsbegäran.docx", "A 20831-2024")</f>
        <v/>
      </c>
      <c r="Y97">
        <f>HYPERLINK("https://klasma.github.io/Logging_0980/tillsynsmail/A 20831-2024 tillsynsbegäran mail.docx", "A 20831-2024")</f>
        <v/>
      </c>
    </row>
    <row r="98" ht="15" customHeight="1">
      <c r="A98" t="inlineStr">
        <is>
          <t>A 12315-2024</t>
        </is>
      </c>
      <c r="B98" s="1" t="n">
        <v>45378.6434837963</v>
      </c>
      <c r="C98" s="1" t="n">
        <v>45901</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45901</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45901</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62326-2020</t>
        </is>
      </c>
      <c r="B101" s="1" t="n">
        <v>44160</v>
      </c>
      <c r="C101" s="1" t="n">
        <v>45901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53552-2021</t>
        </is>
      </c>
      <c r="B102" s="1" t="n">
        <v>44468</v>
      </c>
      <c r="C102" s="1" t="n">
        <v>45901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29870-2021</t>
        </is>
      </c>
      <c r="B103" s="1" t="n">
        <v>44362</v>
      </c>
      <c r="C103" s="1" t="n">
        <v>45901</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45901</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45901</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45901</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45901</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45901</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45901</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45901</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26077-2024</t>
        </is>
      </c>
      <c r="B111" s="1" t="n">
        <v>45467</v>
      </c>
      <c r="C111" s="1" t="n">
        <v>45901</v>
      </c>
      <c r="D111" t="inlineStr">
        <is>
          <t>GOTLANDS LÄN</t>
        </is>
      </c>
      <c r="E111" t="inlineStr">
        <is>
          <t>GOTLAND</t>
        </is>
      </c>
      <c r="G111" t="n">
        <v>4.6</v>
      </c>
      <c r="H111" t="n">
        <v>0</v>
      </c>
      <c r="I111" t="n">
        <v>0</v>
      </c>
      <c r="J111" t="n">
        <v>1</v>
      </c>
      <c r="K111" t="n">
        <v>0</v>
      </c>
      <c r="L111" t="n">
        <v>1</v>
      </c>
      <c r="M111" t="n">
        <v>0</v>
      </c>
      <c r="N111" t="n">
        <v>0</v>
      </c>
      <c r="O111" t="n">
        <v>2</v>
      </c>
      <c r="P111" t="n">
        <v>1</v>
      </c>
      <c r="Q111" t="n">
        <v>2</v>
      </c>
      <c r="R111" s="2" t="inlineStr">
        <is>
          <t>Ask
Tallticka</t>
        </is>
      </c>
      <c r="S111">
        <f>HYPERLINK("https://klasma.github.io/Logging_0980/artfynd/A 26077-2024 artfynd.xlsx", "A 26077-2024")</f>
        <v/>
      </c>
      <c r="T111">
        <f>HYPERLINK("https://klasma.github.io/Logging_0980/kartor/A 26077-2024 karta.png", "A 26077-2024")</f>
        <v/>
      </c>
      <c r="V111">
        <f>HYPERLINK("https://klasma.github.io/Logging_0980/klagomål/A 26077-2024 FSC-klagomål.docx", "A 26077-2024")</f>
        <v/>
      </c>
      <c r="W111">
        <f>HYPERLINK("https://klasma.github.io/Logging_0980/klagomålsmail/A 26077-2024 FSC-klagomål mail.docx", "A 26077-2024")</f>
        <v/>
      </c>
      <c r="X111">
        <f>HYPERLINK("https://klasma.github.io/Logging_0980/tillsyn/A 26077-2024 tillsynsbegäran.docx", "A 26077-2024")</f>
        <v/>
      </c>
      <c r="Y111">
        <f>HYPERLINK("https://klasma.github.io/Logging_0980/tillsynsmail/A 26077-2024 tillsynsbegäran mail.docx", "A 26077-2024")</f>
        <v/>
      </c>
    </row>
    <row r="112" ht="15" customHeight="1">
      <c r="A112" t="inlineStr">
        <is>
          <t>A 54357-2024</t>
        </is>
      </c>
      <c r="B112" s="1" t="n">
        <v>45617.40662037037</v>
      </c>
      <c r="C112" s="1" t="n">
        <v>45901</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58701-2020</t>
        </is>
      </c>
      <c r="B113" s="1" t="n">
        <v>44146</v>
      </c>
      <c r="C113" s="1" t="n">
        <v>45901</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45901</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45901</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45901</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45901</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41238-2025</t>
        </is>
      </c>
      <c r="B118" s="1" t="n">
        <v>45898</v>
      </c>
      <c r="C118" s="1" t="n">
        <v>45901</v>
      </c>
      <c r="D118" t="inlineStr">
        <is>
          <t>GOTLANDS LÄN</t>
        </is>
      </c>
      <c r="E118" t="inlineStr">
        <is>
          <t>GOTLAND</t>
        </is>
      </c>
      <c r="G118" t="n">
        <v>7.1</v>
      </c>
      <c r="H118" t="n">
        <v>1</v>
      </c>
      <c r="I118" t="n">
        <v>2</v>
      </c>
      <c r="J118" t="n">
        <v>0</v>
      </c>
      <c r="K118" t="n">
        <v>0</v>
      </c>
      <c r="L118" t="n">
        <v>0</v>
      </c>
      <c r="M118" t="n">
        <v>0</v>
      </c>
      <c r="N118" t="n">
        <v>0</v>
      </c>
      <c r="O118" t="n">
        <v>0</v>
      </c>
      <c r="P118" t="n">
        <v>0</v>
      </c>
      <c r="Q118" t="n">
        <v>2</v>
      </c>
      <c r="R118" s="2" t="inlineStr">
        <is>
          <t>Granbarkgnagare
Skogsknipprot</t>
        </is>
      </c>
      <c r="S118">
        <f>HYPERLINK("https://klasma.github.io/Logging_0980/artfynd/A 41238-2025 artfynd.xlsx", "A 41238-2025")</f>
        <v/>
      </c>
      <c r="T118">
        <f>HYPERLINK("https://klasma.github.io/Logging_0980/kartor/A 41238-2025 karta.png", "A 41238-2025")</f>
        <v/>
      </c>
      <c r="V118">
        <f>HYPERLINK("https://klasma.github.io/Logging_0980/klagomål/A 41238-2025 FSC-klagomål.docx", "A 41238-2025")</f>
        <v/>
      </c>
      <c r="W118">
        <f>HYPERLINK("https://klasma.github.io/Logging_0980/klagomålsmail/A 41238-2025 FSC-klagomål mail.docx", "A 41238-2025")</f>
        <v/>
      </c>
      <c r="X118">
        <f>HYPERLINK("https://klasma.github.io/Logging_0980/tillsyn/A 41238-2025 tillsynsbegäran.docx", "A 41238-2025")</f>
        <v/>
      </c>
      <c r="Y118">
        <f>HYPERLINK("https://klasma.github.io/Logging_0980/tillsynsmail/A 41238-2025 tillsynsbegäran mail.docx", "A 41238-2025")</f>
        <v/>
      </c>
    </row>
    <row r="119" ht="15" customHeight="1">
      <c r="A119" t="inlineStr">
        <is>
          <t>A 55649-2024</t>
        </is>
      </c>
      <c r="B119" s="1" t="n">
        <v>45622.63053240741</v>
      </c>
      <c r="C119" s="1" t="n">
        <v>45901</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20838-2024</t>
        </is>
      </c>
      <c r="B120" s="1" t="n">
        <v>45439</v>
      </c>
      <c r="C120" s="1" t="n">
        <v>45901</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45901</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45901</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45901</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45901</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45901</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45901</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45901</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45901</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45901</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63576-2021</t>
        </is>
      </c>
      <c r="B130" s="1" t="n">
        <v>44508</v>
      </c>
      <c r="C130" s="1" t="n">
        <v>45901</v>
      </c>
      <c r="D130" t="inlineStr">
        <is>
          <t>GOTLANDS LÄN</t>
        </is>
      </c>
      <c r="E130" t="inlineStr">
        <is>
          <t>GOTLAND</t>
        </is>
      </c>
      <c r="F130" t="inlineStr">
        <is>
          <t>Kyrkan</t>
        </is>
      </c>
      <c r="G130" t="n">
        <v>4.1</v>
      </c>
      <c r="H130" t="n">
        <v>1</v>
      </c>
      <c r="I130" t="n">
        <v>0</v>
      </c>
      <c r="J130" t="n">
        <v>1</v>
      </c>
      <c r="K130" t="n">
        <v>0</v>
      </c>
      <c r="L130" t="n">
        <v>0</v>
      </c>
      <c r="M130" t="n">
        <v>0</v>
      </c>
      <c r="N130" t="n">
        <v>0</v>
      </c>
      <c r="O130" t="n">
        <v>1</v>
      </c>
      <c r="P130" t="n">
        <v>0</v>
      </c>
      <c r="Q130" t="n">
        <v>1</v>
      </c>
      <c r="R130" s="2" t="inlineStr">
        <is>
          <t>Dårgräsfjäril</t>
        </is>
      </c>
      <c r="S130">
        <f>HYPERLINK("https://klasma.github.io/Logging_0980/artfynd/A 63576-2021 artfynd.xlsx", "A 63576-2021")</f>
        <v/>
      </c>
      <c r="T130">
        <f>HYPERLINK("https://klasma.github.io/Logging_0980/kartor/A 63576-2021 karta.png", "A 63576-2021")</f>
        <v/>
      </c>
      <c r="V130">
        <f>HYPERLINK("https://klasma.github.io/Logging_0980/klagomål/A 63576-2021 FSC-klagomål.docx", "A 63576-2021")</f>
        <v/>
      </c>
      <c r="W130">
        <f>HYPERLINK("https://klasma.github.io/Logging_0980/klagomålsmail/A 63576-2021 FSC-klagomål mail.docx", "A 63576-2021")</f>
        <v/>
      </c>
      <c r="X130">
        <f>HYPERLINK("https://klasma.github.io/Logging_0980/tillsyn/A 63576-2021 tillsynsbegäran.docx", "A 63576-2021")</f>
        <v/>
      </c>
      <c r="Y130">
        <f>HYPERLINK("https://klasma.github.io/Logging_0980/tillsynsmail/A 63576-2021 tillsynsbegäran mail.docx", "A 63576-2021")</f>
        <v/>
      </c>
    </row>
    <row r="131" ht="15" customHeight="1">
      <c r="A131" t="inlineStr">
        <is>
          <t>A 10218-2025</t>
        </is>
      </c>
      <c r="B131" s="1" t="n">
        <v>45720</v>
      </c>
      <c r="C131" s="1" t="n">
        <v>45901</v>
      </c>
      <c r="D131" t="inlineStr">
        <is>
          <t>GOTLANDS LÄN</t>
        </is>
      </c>
      <c r="E131" t="inlineStr">
        <is>
          <t>GOTLAND</t>
        </is>
      </c>
      <c r="G131" t="n">
        <v>8.1</v>
      </c>
      <c r="H131" t="n">
        <v>0</v>
      </c>
      <c r="I131" t="n">
        <v>1</v>
      </c>
      <c r="J131" t="n">
        <v>0</v>
      </c>
      <c r="K131" t="n">
        <v>0</v>
      </c>
      <c r="L131" t="n">
        <v>0</v>
      </c>
      <c r="M131" t="n">
        <v>0</v>
      </c>
      <c r="N131" t="n">
        <v>0</v>
      </c>
      <c r="O131" t="n">
        <v>0</v>
      </c>
      <c r="P131" t="n">
        <v>0</v>
      </c>
      <c r="Q131" t="n">
        <v>1</v>
      </c>
      <c r="R131" s="2" t="inlineStr">
        <is>
          <t>Kalktallört</t>
        </is>
      </c>
      <c r="S131">
        <f>HYPERLINK("https://klasma.github.io/Logging_0980/artfynd/A 10218-2025 artfynd.xlsx", "A 10218-2025")</f>
        <v/>
      </c>
      <c r="T131">
        <f>HYPERLINK("https://klasma.github.io/Logging_0980/kartor/A 10218-2025 karta.png", "A 10218-2025")</f>
        <v/>
      </c>
      <c r="V131">
        <f>HYPERLINK("https://klasma.github.io/Logging_0980/klagomål/A 10218-2025 FSC-klagomål.docx", "A 10218-2025")</f>
        <v/>
      </c>
      <c r="W131">
        <f>HYPERLINK("https://klasma.github.io/Logging_0980/klagomålsmail/A 10218-2025 FSC-klagomål mail.docx", "A 10218-2025")</f>
        <v/>
      </c>
      <c r="X131">
        <f>HYPERLINK("https://klasma.github.io/Logging_0980/tillsyn/A 10218-2025 tillsynsbegäran.docx", "A 10218-2025")</f>
        <v/>
      </c>
      <c r="Y131">
        <f>HYPERLINK("https://klasma.github.io/Logging_0980/tillsynsmail/A 10218-2025 tillsynsbegäran mail.docx", "A 10218-2025")</f>
        <v/>
      </c>
    </row>
    <row r="132" ht="15" customHeight="1">
      <c r="A132" t="inlineStr">
        <is>
          <t>A 12379-2024</t>
        </is>
      </c>
      <c r="B132" s="1" t="n">
        <v>45379.28155092592</v>
      </c>
      <c r="C132" s="1" t="n">
        <v>45901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20429-2025</t>
        </is>
      </c>
      <c r="B133" s="1" t="n">
        <v>45775.47728009259</v>
      </c>
      <c r="C133" s="1" t="n">
        <v>45901</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45901</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45901</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21466-2025</t>
        </is>
      </c>
      <c r="B136" s="1" t="n">
        <v>45782</v>
      </c>
      <c r="C136" s="1" t="n">
        <v>45901</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27589-2023</t>
        </is>
      </c>
      <c r="B137" s="1" t="n">
        <v>45097</v>
      </c>
      <c r="C137" s="1" t="n">
        <v>45901</v>
      </c>
      <c r="D137" t="inlineStr">
        <is>
          <t>GOTLANDS LÄN</t>
        </is>
      </c>
      <c r="E137" t="inlineStr">
        <is>
          <t>GOTLAND</t>
        </is>
      </c>
      <c r="G137" t="n">
        <v>5.4</v>
      </c>
      <c r="H137" t="n">
        <v>0</v>
      </c>
      <c r="I137" t="n">
        <v>0</v>
      </c>
      <c r="J137" t="n">
        <v>0</v>
      </c>
      <c r="K137" t="n">
        <v>0</v>
      </c>
      <c r="L137" t="n">
        <v>0</v>
      </c>
      <c r="M137" t="n">
        <v>1</v>
      </c>
      <c r="N137" t="n">
        <v>0</v>
      </c>
      <c r="O137" t="n">
        <v>1</v>
      </c>
      <c r="P137" t="n">
        <v>1</v>
      </c>
      <c r="Q137" t="n">
        <v>1</v>
      </c>
      <c r="R137" s="2" t="inlineStr">
        <is>
          <t>Skogsalm</t>
        </is>
      </c>
      <c r="S137">
        <f>HYPERLINK("https://klasma.github.io/Logging_0980/artfynd/A 27589-2023 artfynd.xlsx", "A 27589-2023")</f>
        <v/>
      </c>
      <c r="T137">
        <f>HYPERLINK("https://klasma.github.io/Logging_0980/kartor/A 27589-2023 karta.png", "A 27589-2023")</f>
        <v/>
      </c>
      <c r="V137">
        <f>HYPERLINK("https://klasma.github.io/Logging_0980/klagomål/A 27589-2023 FSC-klagomål.docx", "A 27589-2023")</f>
        <v/>
      </c>
      <c r="W137">
        <f>HYPERLINK("https://klasma.github.io/Logging_0980/klagomålsmail/A 27589-2023 FSC-klagomål mail.docx", "A 27589-2023")</f>
        <v/>
      </c>
      <c r="X137">
        <f>HYPERLINK("https://klasma.github.io/Logging_0980/tillsyn/A 27589-2023 tillsynsbegäran.docx", "A 27589-2023")</f>
        <v/>
      </c>
      <c r="Y137">
        <f>HYPERLINK("https://klasma.github.io/Logging_0980/tillsynsmail/A 27589-2023 tillsynsbegäran mail.docx", "A 27589-2023")</f>
        <v/>
      </c>
    </row>
    <row r="138" ht="15" customHeight="1">
      <c r="A138" t="inlineStr">
        <is>
          <t>A 35574-2024</t>
        </is>
      </c>
      <c r="B138" s="1" t="n">
        <v>45531</v>
      </c>
      <c r="C138" s="1" t="n">
        <v>45901</v>
      </c>
      <c r="D138" t="inlineStr">
        <is>
          <t>GOTLANDS LÄN</t>
        </is>
      </c>
      <c r="E138" t="inlineStr">
        <is>
          <t>GOTLAND</t>
        </is>
      </c>
      <c r="G138" t="n">
        <v>5.7</v>
      </c>
      <c r="H138" t="n">
        <v>0</v>
      </c>
      <c r="I138" t="n">
        <v>1</v>
      </c>
      <c r="J138" t="n">
        <v>0</v>
      </c>
      <c r="K138" t="n">
        <v>0</v>
      </c>
      <c r="L138" t="n">
        <v>0</v>
      </c>
      <c r="M138" t="n">
        <v>0</v>
      </c>
      <c r="N138" t="n">
        <v>0</v>
      </c>
      <c r="O138" t="n">
        <v>0</v>
      </c>
      <c r="P138" t="n">
        <v>0</v>
      </c>
      <c r="Q138" t="n">
        <v>1</v>
      </c>
      <c r="R138" s="2" t="inlineStr">
        <is>
          <t>Murgröna</t>
        </is>
      </c>
      <c r="S138">
        <f>HYPERLINK("https://klasma.github.io/Logging_0980/artfynd/A 35574-2024 artfynd.xlsx", "A 35574-2024")</f>
        <v/>
      </c>
      <c r="T138">
        <f>HYPERLINK("https://klasma.github.io/Logging_0980/kartor/A 35574-2024 karta.png", "A 35574-2024")</f>
        <v/>
      </c>
      <c r="V138">
        <f>HYPERLINK("https://klasma.github.io/Logging_0980/klagomål/A 35574-2024 FSC-klagomål.docx", "A 35574-2024")</f>
        <v/>
      </c>
      <c r="W138">
        <f>HYPERLINK("https://klasma.github.io/Logging_0980/klagomålsmail/A 35574-2024 FSC-klagomål mail.docx", "A 35574-2024")</f>
        <v/>
      </c>
      <c r="X138">
        <f>HYPERLINK("https://klasma.github.io/Logging_0980/tillsyn/A 35574-2024 tillsynsbegäran.docx", "A 35574-2024")</f>
        <v/>
      </c>
      <c r="Y138">
        <f>HYPERLINK("https://klasma.github.io/Logging_0980/tillsynsmail/A 35574-2024 tillsynsbegäran mail.docx", "A 35574-2024")</f>
        <v/>
      </c>
    </row>
    <row r="139" ht="15" customHeight="1">
      <c r="A139" t="inlineStr">
        <is>
          <t>A 10440-2024</t>
        </is>
      </c>
      <c r="B139" s="1" t="n">
        <v>45366.32818287037</v>
      </c>
      <c r="C139" s="1" t="n">
        <v>45901</v>
      </c>
      <c r="D139" t="inlineStr">
        <is>
          <t>GOTLANDS LÄN</t>
        </is>
      </c>
      <c r="E139" t="inlineStr">
        <is>
          <t>GOTLAND</t>
        </is>
      </c>
      <c r="G139" t="n">
        <v>2.5</v>
      </c>
      <c r="H139" t="n">
        <v>1</v>
      </c>
      <c r="I139" t="n">
        <v>0</v>
      </c>
      <c r="J139" t="n">
        <v>1</v>
      </c>
      <c r="K139" t="n">
        <v>0</v>
      </c>
      <c r="L139" t="n">
        <v>0</v>
      </c>
      <c r="M139" t="n">
        <v>0</v>
      </c>
      <c r="N139" t="n">
        <v>0</v>
      </c>
      <c r="O139" t="n">
        <v>1</v>
      </c>
      <c r="P139" t="n">
        <v>0</v>
      </c>
      <c r="Q139" t="n">
        <v>1</v>
      </c>
      <c r="R139" s="2" t="inlineStr">
        <is>
          <t>Mindre hackspett</t>
        </is>
      </c>
      <c r="S139">
        <f>HYPERLINK("https://klasma.github.io/Logging_0980/artfynd/A 10440-2024 artfynd.xlsx", "A 10440-2024")</f>
        <v/>
      </c>
      <c r="T139">
        <f>HYPERLINK("https://klasma.github.io/Logging_0980/kartor/A 10440-2024 karta.png", "A 10440-2024")</f>
        <v/>
      </c>
      <c r="V139">
        <f>HYPERLINK("https://klasma.github.io/Logging_0980/klagomål/A 10440-2024 FSC-klagomål.docx", "A 10440-2024")</f>
        <v/>
      </c>
      <c r="W139">
        <f>HYPERLINK("https://klasma.github.io/Logging_0980/klagomålsmail/A 10440-2024 FSC-klagomål mail.docx", "A 10440-2024")</f>
        <v/>
      </c>
      <c r="X139">
        <f>HYPERLINK("https://klasma.github.io/Logging_0980/tillsyn/A 10440-2024 tillsynsbegäran.docx", "A 10440-2024")</f>
        <v/>
      </c>
      <c r="Y139">
        <f>HYPERLINK("https://klasma.github.io/Logging_0980/tillsynsmail/A 10440-2024 tillsynsbegäran mail.docx", "A 10440-2024")</f>
        <v/>
      </c>
      <c r="Z139">
        <f>HYPERLINK("https://klasma.github.io/Logging_0980/fåglar/A 10440-2024 prioriterade fågelarter.docx", "A 10440-2024")</f>
        <v/>
      </c>
    </row>
    <row r="140" ht="15" customHeight="1">
      <c r="A140" t="inlineStr">
        <is>
          <t>A 7637-2025</t>
        </is>
      </c>
      <c r="B140" s="1" t="n">
        <v>45705.77181712963</v>
      </c>
      <c r="C140" s="1" t="n">
        <v>45901</v>
      </c>
      <c r="D140" t="inlineStr">
        <is>
          <t>GOTLANDS LÄN</t>
        </is>
      </c>
      <c r="E140" t="inlineStr">
        <is>
          <t>GOTLAND</t>
        </is>
      </c>
      <c r="G140" t="n">
        <v>3.7</v>
      </c>
      <c r="H140" t="n">
        <v>0</v>
      </c>
      <c r="I140" t="n">
        <v>0</v>
      </c>
      <c r="J140" t="n">
        <v>0</v>
      </c>
      <c r="K140" t="n">
        <v>0</v>
      </c>
      <c r="L140" t="n">
        <v>0</v>
      </c>
      <c r="M140" t="n">
        <v>1</v>
      </c>
      <c r="N140" t="n">
        <v>0</v>
      </c>
      <c r="O140" t="n">
        <v>1</v>
      </c>
      <c r="P140" t="n">
        <v>1</v>
      </c>
      <c r="Q140" t="n">
        <v>1</v>
      </c>
      <c r="R140" s="2" t="inlineStr">
        <is>
          <t>Skogsalm</t>
        </is>
      </c>
      <c r="S140">
        <f>HYPERLINK("https://klasma.github.io/Logging_0980/artfynd/A 7637-2025 artfynd.xlsx", "A 7637-2025")</f>
        <v/>
      </c>
      <c r="T140">
        <f>HYPERLINK("https://klasma.github.io/Logging_0980/kartor/A 7637-2025 karta.png", "A 7637-2025")</f>
        <v/>
      </c>
      <c r="V140">
        <f>HYPERLINK("https://klasma.github.io/Logging_0980/klagomål/A 7637-2025 FSC-klagomål.docx", "A 7637-2025")</f>
        <v/>
      </c>
      <c r="W140">
        <f>HYPERLINK("https://klasma.github.io/Logging_0980/klagomålsmail/A 7637-2025 FSC-klagomål mail.docx", "A 7637-2025")</f>
        <v/>
      </c>
      <c r="X140">
        <f>HYPERLINK("https://klasma.github.io/Logging_0980/tillsyn/A 7637-2025 tillsynsbegäran.docx", "A 7637-2025")</f>
        <v/>
      </c>
      <c r="Y140">
        <f>HYPERLINK("https://klasma.github.io/Logging_0980/tillsynsmail/A 7637-2025 tillsynsbegäran mail.docx", "A 7637-2025")</f>
        <v/>
      </c>
    </row>
    <row r="141" ht="15" customHeight="1">
      <c r="A141" t="inlineStr">
        <is>
          <t>A 44958-2020</t>
        </is>
      </c>
      <c r="B141" s="1" t="n">
        <v>44088</v>
      </c>
      <c r="C141" s="1" t="n">
        <v>45901</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25977-2024</t>
        </is>
      </c>
      <c r="B142" s="1" t="n">
        <v>45467.69356481481</v>
      </c>
      <c r="C142" s="1" t="n">
        <v>45901</v>
      </c>
      <c r="D142" t="inlineStr">
        <is>
          <t>GOTLANDS LÄN</t>
        </is>
      </c>
      <c r="E142" t="inlineStr">
        <is>
          <t>GOTLAND</t>
        </is>
      </c>
      <c r="G142" t="n">
        <v>3</v>
      </c>
      <c r="H142" t="n">
        <v>1</v>
      </c>
      <c r="I142" t="n">
        <v>0</v>
      </c>
      <c r="J142" t="n">
        <v>0</v>
      </c>
      <c r="K142" t="n">
        <v>0</v>
      </c>
      <c r="L142" t="n">
        <v>0</v>
      </c>
      <c r="M142" t="n">
        <v>0</v>
      </c>
      <c r="N142" t="n">
        <v>0</v>
      </c>
      <c r="O142" t="n">
        <v>0</v>
      </c>
      <c r="P142" t="n">
        <v>0</v>
      </c>
      <c r="Q142" t="n">
        <v>1</v>
      </c>
      <c r="R142" s="2" t="inlineStr">
        <is>
          <t>Nattviol</t>
        </is>
      </c>
      <c r="S142">
        <f>HYPERLINK("https://klasma.github.io/Logging_0980/artfynd/A 25977-2024 artfynd.xlsx", "A 25977-2024")</f>
        <v/>
      </c>
      <c r="T142">
        <f>HYPERLINK("https://klasma.github.io/Logging_0980/kartor/A 25977-2024 karta.png", "A 25977-2024")</f>
        <v/>
      </c>
      <c r="V142">
        <f>HYPERLINK("https://klasma.github.io/Logging_0980/klagomål/A 25977-2024 FSC-klagomål.docx", "A 25977-2024")</f>
        <v/>
      </c>
      <c r="W142">
        <f>HYPERLINK("https://klasma.github.io/Logging_0980/klagomålsmail/A 25977-2024 FSC-klagomål mail.docx", "A 25977-2024")</f>
        <v/>
      </c>
      <c r="X142">
        <f>HYPERLINK("https://klasma.github.io/Logging_0980/tillsyn/A 25977-2024 tillsynsbegäran.docx", "A 25977-2024")</f>
        <v/>
      </c>
      <c r="Y142">
        <f>HYPERLINK("https://klasma.github.io/Logging_0980/tillsynsmail/A 25977-2024 tillsynsbegäran mail.docx", "A 25977-2024")</f>
        <v/>
      </c>
    </row>
    <row r="143" ht="15" customHeight="1">
      <c r="A143" t="inlineStr">
        <is>
          <t>A 12924-2025</t>
        </is>
      </c>
      <c r="B143" s="1" t="n">
        <v>45734</v>
      </c>
      <c r="C143" s="1" t="n">
        <v>45901</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6303-2024</t>
        </is>
      </c>
      <c r="B144" s="1" t="n">
        <v>45338.35376157407</v>
      </c>
      <c r="C144" s="1" t="n">
        <v>45901</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45901</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26461-2025</t>
        </is>
      </c>
      <c r="B146" s="1" t="n">
        <v>45807.43337962963</v>
      </c>
      <c r="C146" s="1" t="n">
        <v>45901</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44468-2024</t>
        </is>
      </c>
      <c r="B147" s="1" t="n">
        <v>45574.36651620371</v>
      </c>
      <c r="C147" s="1" t="n">
        <v>45901</v>
      </c>
      <c r="D147" t="inlineStr">
        <is>
          <t>GOTLANDS LÄN</t>
        </is>
      </c>
      <c r="E147" t="inlineStr">
        <is>
          <t>GOTLAND</t>
        </is>
      </c>
      <c r="G147" t="n">
        <v>7</v>
      </c>
      <c r="H147" t="n">
        <v>0</v>
      </c>
      <c r="I147" t="n">
        <v>0</v>
      </c>
      <c r="J147" t="n">
        <v>0</v>
      </c>
      <c r="K147" t="n">
        <v>0</v>
      </c>
      <c r="L147" t="n">
        <v>0</v>
      </c>
      <c r="M147" t="n">
        <v>1</v>
      </c>
      <c r="N147" t="n">
        <v>0</v>
      </c>
      <c r="O147" t="n">
        <v>1</v>
      </c>
      <c r="P147" t="n">
        <v>1</v>
      </c>
      <c r="Q147" t="n">
        <v>1</v>
      </c>
      <c r="R147" s="2" t="inlineStr">
        <is>
          <t>Skogsalm</t>
        </is>
      </c>
      <c r="S147">
        <f>HYPERLINK("https://klasma.github.io/Logging_0980/artfynd/A 44468-2024 artfynd.xlsx", "A 44468-2024")</f>
        <v/>
      </c>
      <c r="T147">
        <f>HYPERLINK("https://klasma.github.io/Logging_0980/kartor/A 44468-2024 karta.png", "A 44468-2024")</f>
        <v/>
      </c>
      <c r="V147">
        <f>HYPERLINK("https://klasma.github.io/Logging_0980/klagomål/A 44468-2024 FSC-klagomål.docx", "A 44468-2024")</f>
        <v/>
      </c>
      <c r="W147">
        <f>HYPERLINK("https://klasma.github.io/Logging_0980/klagomålsmail/A 44468-2024 FSC-klagomål mail.docx", "A 44468-2024")</f>
        <v/>
      </c>
      <c r="X147">
        <f>HYPERLINK("https://klasma.github.io/Logging_0980/tillsyn/A 44468-2024 tillsynsbegäran.docx", "A 44468-2024")</f>
        <v/>
      </c>
      <c r="Y147">
        <f>HYPERLINK("https://klasma.github.io/Logging_0980/tillsynsmail/A 44468-2024 tillsynsbegäran mail.docx", "A 44468-2024")</f>
        <v/>
      </c>
    </row>
    <row r="148" ht="15" customHeight="1">
      <c r="A148" t="inlineStr">
        <is>
          <t>A 61796-2022</t>
        </is>
      </c>
      <c r="B148" s="1" t="n">
        <v>44917</v>
      </c>
      <c r="C148" s="1" t="n">
        <v>45901</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34809-2024</t>
        </is>
      </c>
      <c r="B149" s="1" t="n">
        <v>45526</v>
      </c>
      <c r="C149" s="1" t="n">
        <v>45901</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43219-2023</t>
        </is>
      </c>
      <c r="B150" s="1" t="n">
        <v>45183</v>
      </c>
      <c r="C150" s="1" t="n">
        <v>45901</v>
      </c>
      <c r="D150" t="inlineStr">
        <is>
          <t>GOTLANDS LÄN</t>
        </is>
      </c>
      <c r="E150" t="inlineStr">
        <is>
          <t>GOTLAND</t>
        </is>
      </c>
      <c r="G150" t="n">
        <v>3.6</v>
      </c>
      <c r="H150" t="n">
        <v>1</v>
      </c>
      <c r="I150" t="n">
        <v>0</v>
      </c>
      <c r="J150" t="n">
        <v>0</v>
      </c>
      <c r="K150" t="n">
        <v>0</v>
      </c>
      <c r="L150" t="n">
        <v>0</v>
      </c>
      <c r="M150" t="n">
        <v>0</v>
      </c>
      <c r="N150" t="n">
        <v>0</v>
      </c>
      <c r="O150" t="n">
        <v>0</v>
      </c>
      <c r="P150" t="n">
        <v>0</v>
      </c>
      <c r="Q150" t="n">
        <v>1</v>
      </c>
      <c r="R150" s="2" t="inlineStr">
        <is>
          <t>Skogsduva</t>
        </is>
      </c>
      <c r="S150">
        <f>HYPERLINK("https://klasma.github.io/Logging_0980/artfynd/A 43219-2023 artfynd.xlsx", "A 43219-2023")</f>
        <v/>
      </c>
      <c r="T150">
        <f>HYPERLINK("https://klasma.github.io/Logging_0980/kartor/A 43219-2023 karta.png", "A 43219-2023")</f>
        <v/>
      </c>
      <c r="V150">
        <f>HYPERLINK("https://klasma.github.io/Logging_0980/klagomål/A 43219-2023 FSC-klagomål.docx", "A 43219-2023")</f>
        <v/>
      </c>
      <c r="W150">
        <f>HYPERLINK("https://klasma.github.io/Logging_0980/klagomålsmail/A 43219-2023 FSC-klagomål mail.docx", "A 43219-2023")</f>
        <v/>
      </c>
      <c r="X150">
        <f>HYPERLINK("https://klasma.github.io/Logging_0980/tillsyn/A 43219-2023 tillsynsbegäran.docx", "A 43219-2023")</f>
        <v/>
      </c>
      <c r="Y150">
        <f>HYPERLINK("https://klasma.github.io/Logging_0980/tillsynsmail/A 43219-2023 tillsynsbegäran mail.docx", "A 43219-2023")</f>
        <v/>
      </c>
      <c r="Z150">
        <f>HYPERLINK("https://klasma.github.io/Logging_0980/fåglar/A 43219-2023 prioriterade fågelarter.docx", "A 43219-2023")</f>
        <v/>
      </c>
    </row>
    <row r="151" ht="15" customHeight="1">
      <c r="A151" t="inlineStr">
        <is>
          <t>A 15637-2024</t>
        </is>
      </c>
      <c r="B151" s="1" t="n">
        <v>45403.6684837963</v>
      </c>
      <c r="C151" s="1" t="n">
        <v>45901</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45901</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2476-2025</t>
        </is>
      </c>
      <c r="B153" s="1" t="n">
        <v>45673</v>
      </c>
      <c r="C153" s="1" t="n">
        <v>45901</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9862-2024</t>
        </is>
      </c>
      <c r="B154" s="1" t="n">
        <v>45363</v>
      </c>
      <c r="C154" s="1" t="n">
        <v>45901</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61561-2023</t>
        </is>
      </c>
      <c r="B155" s="1" t="n">
        <v>45265</v>
      </c>
      <c r="C155" s="1" t="n">
        <v>45901</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8725-2025</t>
        </is>
      </c>
      <c r="B156" s="1" t="n">
        <v>45712</v>
      </c>
      <c r="C156" s="1" t="n">
        <v>45901</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45901</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39812-2025</t>
        </is>
      </c>
      <c r="B158" s="1" t="n">
        <v>45891</v>
      </c>
      <c r="C158" s="1" t="n">
        <v>45901</v>
      </c>
      <c r="D158" t="inlineStr">
        <is>
          <t>GOTLANDS LÄN</t>
        </is>
      </c>
      <c r="E158" t="inlineStr">
        <is>
          <t>GOTLAND</t>
        </is>
      </c>
      <c r="G158" t="n">
        <v>6</v>
      </c>
      <c r="H158" t="n">
        <v>1</v>
      </c>
      <c r="I158" t="n">
        <v>0</v>
      </c>
      <c r="J158" t="n">
        <v>0</v>
      </c>
      <c r="K158" t="n">
        <v>0</v>
      </c>
      <c r="L158" t="n">
        <v>1</v>
      </c>
      <c r="M158" t="n">
        <v>0</v>
      </c>
      <c r="N158" t="n">
        <v>0</v>
      </c>
      <c r="O158" t="n">
        <v>1</v>
      </c>
      <c r="P158" t="n">
        <v>1</v>
      </c>
      <c r="Q158" t="n">
        <v>1</v>
      </c>
      <c r="R158" s="2" t="inlineStr">
        <is>
          <t>Nålkörvel</t>
        </is>
      </c>
      <c r="S158">
        <f>HYPERLINK("https://klasma.github.io/Logging_0980/artfynd/A 39812-2025 artfynd.xlsx", "A 39812-2025")</f>
        <v/>
      </c>
      <c r="T158">
        <f>HYPERLINK("https://klasma.github.io/Logging_0980/kartor/A 39812-2025 karta.png", "A 39812-2025")</f>
        <v/>
      </c>
      <c r="V158">
        <f>HYPERLINK("https://klasma.github.io/Logging_0980/klagomål/A 39812-2025 FSC-klagomål.docx", "A 39812-2025")</f>
        <v/>
      </c>
      <c r="W158">
        <f>HYPERLINK("https://klasma.github.io/Logging_0980/klagomålsmail/A 39812-2025 FSC-klagomål mail.docx", "A 39812-2025")</f>
        <v/>
      </c>
      <c r="X158">
        <f>HYPERLINK("https://klasma.github.io/Logging_0980/tillsyn/A 39812-2025 tillsynsbegäran.docx", "A 39812-2025")</f>
        <v/>
      </c>
      <c r="Y158">
        <f>HYPERLINK("https://klasma.github.io/Logging_0980/tillsynsmail/A 39812-2025 tillsynsbegäran mail.docx", "A 39812-2025")</f>
        <v/>
      </c>
    </row>
    <row r="159" ht="15" customHeight="1">
      <c r="A159" t="inlineStr">
        <is>
          <t>A 62552-2022</t>
        </is>
      </c>
      <c r="B159" s="1" t="n">
        <v>44924</v>
      </c>
      <c r="C159" s="1" t="n">
        <v>45901</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44088-2022</t>
        </is>
      </c>
      <c r="B160" s="1" t="n">
        <v>44839</v>
      </c>
      <c r="C160" s="1" t="n">
        <v>45901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63299-2020</t>
        </is>
      </c>
      <c r="B161" s="1" t="n">
        <v>44165</v>
      </c>
      <c r="C161" s="1" t="n">
        <v>45901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45901</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45901</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45901</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45901</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45901</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45901</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45901</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45901</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45901</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45901</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45901</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45901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45901</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45901</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45901</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45901</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45901</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45901</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45901</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45901</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45901</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45901</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45901</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45901</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45901</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45901</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45901</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45901</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45901</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45901</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45901</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45901</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45901</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45901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45901</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45901</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45901</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45901</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45901</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45901</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45901</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45901</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45901</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45901</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45901</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45901</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45901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45901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45901</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1229-2021</t>
        </is>
      </c>
      <c r="B219" s="1" t="n">
        <v>44208</v>
      </c>
      <c r="C219" s="1" t="n">
        <v>45901</v>
      </c>
      <c r="D219" t="inlineStr">
        <is>
          <t>GOTLANDS LÄN</t>
        </is>
      </c>
      <c r="E219" t="inlineStr">
        <is>
          <t>GOTLAND</t>
        </is>
      </c>
      <c r="G219" t="n">
        <v>5.3</v>
      </c>
      <c r="H219" t="n">
        <v>0</v>
      </c>
      <c r="I219" t="n">
        <v>0</v>
      </c>
      <c r="J219" t="n">
        <v>0</v>
      </c>
      <c r="K219" t="n">
        <v>0</v>
      </c>
      <c r="L219" t="n">
        <v>0</v>
      </c>
      <c r="M219" t="n">
        <v>0</v>
      </c>
      <c r="N219" t="n">
        <v>0</v>
      </c>
      <c r="O219" t="n">
        <v>0</v>
      </c>
      <c r="P219" t="n">
        <v>0</v>
      </c>
      <c r="Q219" t="n">
        <v>0</v>
      </c>
      <c r="R219" s="2" t="inlineStr"/>
    </row>
    <row r="220" ht="15" customHeight="1">
      <c r="A220" t="inlineStr">
        <is>
          <t>A 62120-2020</t>
        </is>
      </c>
      <c r="B220" s="1" t="n">
        <v>44158</v>
      </c>
      <c r="C220" s="1" t="n">
        <v>45901</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45901</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45901</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45901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45901</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45901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45901</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45901</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45901</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45901</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45901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45901</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45901</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45901</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37037-2021</t>
        </is>
      </c>
      <c r="B234" s="1" t="n">
        <v>44393.84688657407</v>
      </c>
      <c r="C234" s="1" t="n">
        <v>45901</v>
      </c>
      <c r="D234" t="inlineStr">
        <is>
          <t>GOTLANDS LÄN</t>
        </is>
      </c>
      <c r="E234" t="inlineStr">
        <is>
          <t>GOTLAND</t>
        </is>
      </c>
      <c r="G234" t="n">
        <v>10.2</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45901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45901</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46545-2024</t>
        </is>
      </c>
      <c r="B237" s="1" t="n">
        <v>45582.65831018519</v>
      </c>
      <c r="C237" s="1" t="n">
        <v>45901</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9613-2025</t>
        </is>
      </c>
      <c r="B238" s="1" t="n">
        <v>45715</v>
      </c>
      <c r="C238" s="1" t="n">
        <v>45901</v>
      </c>
      <c r="D238" t="inlineStr">
        <is>
          <t>GOTLANDS LÄN</t>
        </is>
      </c>
      <c r="E238" t="inlineStr">
        <is>
          <t>GOTLAND</t>
        </is>
      </c>
      <c r="G238" t="n">
        <v>3.5</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45901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45901</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60086-2022</t>
        </is>
      </c>
      <c r="B241" s="1" t="n">
        <v>44909</v>
      </c>
      <c r="C241" s="1" t="n">
        <v>45901</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45901</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28480-2023</t>
        </is>
      </c>
      <c r="B243" s="1" t="n">
        <v>45103</v>
      </c>
      <c r="C243" s="1" t="n">
        <v>45901</v>
      </c>
      <c r="D243" t="inlineStr">
        <is>
          <t>GOTLANDS LÄN</t>
        </is>
      </c>
      <c r="E243" t="inlineStr">
        <is>
          <t>GOTLAND</t>
        </is>
      </c>
      <c r="G243" t="n">
        <v>5.7</v>
      </c>
      <c r="H243" t="n">
        <v>0</v>
      </c>
      <c r="I243" t="n">
        <v>0</v>
      </c>
      <c r="J243" t="n">
        <v>0</v>
      </c>
      <c r="K243" t="n">
        <v>0</v>
      </c>
      <c r="L243" t="n">
        <v>0</v>
      </c>
      <c r="M243" t="n">
        <v>0</v>
      </c>
      <c r="N243" t="n">
        <v>0</v>
      </c>
      <c r="O243" t="n">
        <v>0</v>
      </c>
      <c r="P243" t="n">
        <v>0</v>
      </c>
      <c r="Q243" t="n">
        <v>0</v>
      </c>
      <c r="R243" s="2" t="inlineStr"/>
    </row>
    <row r="244" ht="15" customHeight="1">
      <c r="A244" t="inlineStr">
        <is>
          <t>A 28485-2023</t>
        </is>
      </c>
      <c r="B244" s="1" t="n">
        <v>45103.43731481482</v>
      </c>
      <c r="C244" s="1" t="n">
        <v>45901</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45901</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37591-2023</t>
        </is>
      </c>
      <c r="B246" s="1" t="n">
        <v>45159</v>
      </c>
      <c r="C246" s="1" t="n">
        <v>45901</v>
      </c>
      <c r="D246" t="inlineStr">
        <is>
          <t>GOTLANDS LÄN</t>
        </is>
      </c>
      <c r="E246" t="inlineStr">
        <is>
          <t>GOTLAND</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30282-2022</t>
        </is>
      </c>
      <c r="B247" s="1" t="n">
        <v>44760</v>
      </c>
      <c r="C247" s="1" t="n">
        <v>45901</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62915-2021</t>
        </is>
      </c>
      <c r="B248" s="1" t="n">
        <v>44504</v>
      </c>
      <c r="C248" s="1" t="n">
        <v>45901</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18223-2025</t>
        </is>
      </c>
      <c r="B249" s="1" t="n">
        <v>45761</v>
      </c>
      <c r="C249" s="1" t="n">
        <v>45901</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4420-2025</t>
        </is>
      </c>
      <c r="B250" s="1" t="n">
        <v>45686.47157407407</v>
      </c>
      <c r="C250" s="1" t="n">
        <v>45901</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4868-2024</t>
        </is>
      </c>
      <c r="B251" s="1" t="n">
        <v>45329</v>
      </c>
      <c r="C251" s="1" t="n">
        <v>45901</v>
      </c>
      <c r="D251" t="inlineStr">
        <is>
          <t>GOTLANDS LÄN</t>
        </is>
      </c>
      <c r="E251" t="inlineStr">
        <is>
          <t>GOTLAND</t>
        </is>
      </c>
      <c r="G251" t="n">
        <v>7.1</v>
      </c>
      <c r="H251" t="n">
        <v>0</v>
      </c>
      <c r="I251" t="n">
        <v>0</v>
      </c>
      <c r="J251" t="n">
        <v>0</v>
      </c>
      <c r="K251" t="n">
        <v>0</v>
      </c>
      <c r="L251" t="n">
        <v>0</v>
      </c>
      <c r="M251" t="n">
        <v>0</v>
      </c>
      <c r="N251" t="n">
        <v>0</v>
      </c>
      <c r="O251" t="n">
        <v>0</v>
      </c>
      <c r="P251" t="n">
        <v>0</v>
      </c>
      <c r="Q251" t="n">
        <v>0</v>
      </c>
      <c r="R251" s="2" t="inlineStr"/>
    </row>
    <row r="252" ht="15" customHeight="1">
      <c r="A252" t="inlineStr">
        <is>
          <t>A 6108-2025</t>
        </is>
      </c>
      <c r="B252" s="1" t="n">
        <v>45698.29880787037</v>
      </c>
      <c r="C252" s="1" t="n">
        <v>45901</v>
      </c>
      <c r="D252" t="inlineStr">
        <is>
          <t>GOTLANDS LÄN</t>
        </is>
      </c>
      <c r="E252" t="inlineStr">
        <is>
          <t>GOTLAND</t>
        </is>
      </c>
      <c r="G252" t="n">
        <v>2.8</v>
      </c>
      <c r="H252" t="n">
        <v>0</v>
      </c>
      <c r="I252" t="n">
        <v>0</v>
      </c>
      <c r="J252" t="n">
        <v>0</v>
      </c>
      <c r="K252" t="n">
        <v>0</v>
      </c>
      <c r="L252" t="n">
        <v>0</v>
      </c>
      <c r="M252" t="n">
        <v>0</v>
      </c>
      <c r="N252" t="n">
        <v>0</v>
      </c>
      <c r="O252" t="n">
        <v>0</v>
      </c>
      <c r="P252" t="n">
        <v>0</v>
      </c>
      <c r="Q252" t="n">
        <v>0</v>
      </c>
      <c r="R252" s="2" t="inlineStr"/>
    </row>
    <row r="253" ht="15" customHeight="1">
      <c r="A253" t="inlineStr">
        <is>
          <t>A 8701-2025</t>
        </is>
      </c>
      <c r="B253" s="1" t="n">
        <v>45712</v>
      </c>
      <c r="C253" s="1" t="n">
        <v>45901</v>
      </c>
      <c r="D253" t="inlineStr">
        <is>
          <t>GOTLANDS LÄN</t>
        </is>
      </c>
      <c r="E253" t="inlineStr">
        <is>
          <t>GOTLAND</t>
        </is>
      </c>
      <c r="G253" t="n">
        <v>7</v>
      </c>
      <c r="H253" t="n">
        <v>0</v>
      </c>
      <c r="I253" t="n">
        <v>0</v>
      </c>
      <c r="J253" t="n">
        <v>0</v>
      </c>
      <c r="K253" t="n">
        <v>0</v>
      </c>
      <c r="L253" t="n">
        <v>0</v>
      </c>
      <c r="M253" t="n">
        <v>0</v>
      </c>
      <c r="N253" t="n">
        <v>0</v>
      </c>
      <c r="O253" t="n">
        <v>0</v>
      </c>
      <c r="P253" t="n">
        <v>0</v>
      </c>
      <c r="Q253" t="n">
        <v>0</v>
      </c>
      <c r="R253" s="2" t="inlineStr"/>
    </row>
    <row r="254" ht="15" customHeight="1">
      <c r="A254" t="inlineStr">
        <is>
          <t>A 44949-2023</t>
        </is>
      </c>
      <c r="B254" s="1" t="n">
        <v>45190.69520833333</v>
      </c>
      <c r="C254" s="1" t="n">
        <v>45901</v>
      </c>
      <c r="D254" t="inlineStr">
        <is>
          <t>GOTLANDS LÄN</t>
        </is>
      </c>
      <c r="E254" t="inlineStr">
        <is>
          <t>GOTLAND</t>
        </is>
      </c>
      <c r="G254" t="n">
        <v>1.4</v>
      </c>
      <c r="H254" t="n">
        <v>0</v>
      </c>
      <c r="I254" t="n">
        <v>0</v>
      </c>
      <c r="J254" t="n">
        <v>0</v>
      </c>
      <c r="K254" t="n">
        <v>0</v>
      </c>
      <c r="L254" t="n">
        <v>0</v>
      </c>
      <c r="M254" t="n">
        <v>0</v>
      </c>
      <c r="N254" t="n">
        <v>0</v>
      </c>
      <c r="O254" t="n">
        <v>0</v>
      </c>
      <c r="P254" t="n">
        <v>0</v>
      </c>
      <c r="Q254" t="n">
        <v>0</v>
      </c>
      <c r="R254" s="2" t="inlineStr"/>
    </row>
    <row r="255" ht="15" customHeight="1">
      <c r="A255" t="inlineStr">
        <is>
          <t>A 5891-2025</t>
        </is>
      </c>
      <c r="B255" s="1" t="n">
        <v>45695.38327546296</v>
      </c>
      <c r="C255" s="1" t="n">
        <v>45901</v>
      </c>
      <c r="D255" t="inlineStr">
        <is>
          <t>GOTLANDS LÄN</t>
        </is>
      </c>
      <c r="E255" t="inlineStr">
        <is>
          <t>GOTLAND</t>
        </is>
      </c>
      <c r="G255" t="n">
        <v>0.8</v>
      </c>
      <c r="H255" t="n">
        <v>0</v>
      </c>
      <c r="I255" t="n">
        <v>0</v>
      </c>
      <c r="J255" t="n">
        <v>0</v>
      </c>
      <c r="K255" t="n">
        <v>0</v>
      </c>
      <c r="L255" t="n">
        <v>0</v>
      </c>
      <c r="M255" t="n">
        <v>0</v>
      </c>
      <c r="N255" t="n">
        <v>0</v>
      </c>
      <c r="O255" t="n">
        <v>0</v>
      </c>
      <c r="P255" t="n">
        <v>0</v>
      </c>
      <c r="Q255" t="n">
        <v>0</v>
      </c>
      <c r="R255" s="2" t="inlineStr"/>
    </row>
    <row r="256" ht="15" customHeight="1">
      <c r="A256" t="inlineStr">
        <is>
          <t>A 24966-2023</t>
        </is>
      </c>
      <c r="B256" s="1" t="n">
        <v>45085</v>
      </c>
      <c r="C256" s="1" t="n">
        <v>45901</v>
      </c>
      <c r="D256" t="inlineStr">
        <is>
          <t>GOTLANDS LÄN</t>
        </is>
      </c>
      <c r="E256" t="inlineStr">
        <is>
          <t>GOTLAND</t>
        </is>
      </c>
      <c r="G256" t="n">
        <v>7</v>
      </c>
      <c r="H256" t="n">
        <v>0</v>
      </c>
      <c r="I256" t="n">
        <v>0</v>
      </c>
      <c r="J256" t="n">
        <v>0</v>
      </c>
      <c r="K256" t="n">
        <v>0</v>
      </c>
      <c r="L256" t="n">
        <v>0</v>
      </c>
      <c r="M256" t="n">
        <v>0</v>
      </c>
      <c r="N256" t="n">
        <v>0</v>
      </c>
      <c r="O256" t="n">
        <v>0</v>
      </c>
      <c r="P256" t="n">
        <v>0</v>
      </c>
      <c r="Q256" t="n">
        <v>0</v>
      </c>
      <c r="R256" s="2" t="inlineStr"/>
    </row>
    <row r="257" ht="15" customHeight="1">
      <c r="A257" t="inlineStr">
        <is>
          <t>A 46189-2022</t>
        </is>
      </c>
      <c r="B257" s="1" t="n">
        <v>44847</v>
      </c>
      <c r="C257" s="1" t="n">
        <v>45901</v>
      </c>
      <c r="D257" t="inlineStr">
        <is>
          <t>GOTLANDS LÄN</t>
        </is>
      </c>
      <c r="E257" t="inlineStr">
        <is>
          <t>GOTLAND</t>
        </is>
      </c>
      <c r="G257" t="n">
        <v>0.4</v>
      </c>
      <c r="H257" t="n">
        <v>0</v>
      </c>
      <c r="I257" t="n">
        <v>0</v>
      </c>
      <c r="J257" t="n">
        <v>0</v>
      </c>
      <c r="K257" t="n">
        <v>0</v>
      </c>
      <c r="L257" t="n">
        <v>0</v>
      </c>
      <c r="M257" t="n">
        <v>0</v>
      </c>
      <c r="N257" t="n">
        <v>0</v>
      </c>
      <c r="O257" t="n">
        <v>0</v>
      </c>
      <c r="P257" t="n">
        <v>0</v>
      </c>
      <c r="Q257" t="n">
        <v>0</v>
      </c>
      <c r="R257" s="2" t="inlineStr"/>
    </row>
    <row r="258" ht="15" customHeight="1">
      <c r="A258" t="inlineStr">
        <is>
          <t>A 37222-2021</t>
        </is>
      </c>
      <c r="B258" s="1" t="n">
        <v>44396</v>
      </c>
      <c r="C258" s="1" t="n">
        <v>45901</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7835-2024</t>
        </is>
      </c>
      <c r="B259" s="1" t="n">
        <v>45349.83138888889</v>
      </c>
      <c r="C259" s="1" t="n">
        <v>45901</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45901</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20812-2025</t>
        </is>
      </c>
      <c r="B261" s="1" t="n">
        <v>45776</v>
      </c>
      <c r="C261" s="1" t="n">
        <v>45901</v>
      </c>
      <c r="D261" t="inlineStr">
        <is>
          <t>GOTLANDS LÄN</t>
        </is>
      </c>
      <c r="E261" t="inlineStr">
        <is>
          <t>GOTLAND</t>
        </is>
      </c>
      <c r="G261" t="n">
        <v>3</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45901</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45901</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22031-2024</t>
        </is>
      </c>
      <c r="B264" s="1" t="n">
        <v>45443.60075231481</v>
      </c>
      <c r="C264" s="1" t="n">
        <v>45901</v>
      </c>
      <c r="D264" t="inlineStr">
        <is>
          <t>GOTLANDS LÄN</t>
        </is>
      </c>
      <c r="E264" t="inlineStr">
        <is>
          <t>GOTLAND</t>
        </is>
      </c>
      <c r="G264" t="n">
        <v>2.3</v>
      </c>
      <c r="H264" t="n">
        <v>0</v>
      </c>
      <c r="I264" t="n">
        <v>0</v>
      </c>
      <c r="J264" t="n">
        <v>0</v>
      </c>
      <c r="K264" t="n">
        <v>0</v>
      </c>
      <c r="L264" t="n">
        <v>0</v>
      </c>
      <c r="M264" t="n">
        <v>0</v>
      </c>
      <c r="N264" t="n">
        <v>0</v>
      </c>
      <c r="O264" t="n">
        <v>0</v>
      </c>
      <c r="P264" t="n">
        <v>0</v>
      </c>
      <c r="Q264" t="n">
        <v>0</v>
      </c>
      <c r="R264" s="2" t="inlineStr"/>
    </row>
    <row r="265" ht="15" customHeight="1">
      <c r="A265" t="inlineStr">
        <is>
          <t>A 44204-2022</t>
        </is>
      </c>
      <c r="B265" s="1" t="n">
        <v>44839</v>
      </c>
      <c r="C265" s="1" t="n">
        <v>45901</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49314-2024</t>
        </is>
      </c>
      <c r="B266" s="1" t="n">
        <v>45595.55893518519</v>
      </c>
      <c r="C266" s="1" t="n">
        <v>45901</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45084-2024</t>
        </is>
      </c>
      <c r="B267" s="1" t="n">
        <v>45575</v>
      </c>
      <c r="C267" s="1" t="n">
        <v>45901</v>
      </c>
      <c r="D267" t="inlineStr">
        <is>
          <t>GOTLANDS LÄN</t>
        </is>
      </c>
      <c r="E267" t="inlineStr">
        <is>
          <t>GOTLAND</t>
        </is>
      </c>
      <c r="G267" t="n">
        <v>6.8</v>
      </c>
      <c r="H267" t="n">
        <v>0</v>
      </c>
      <c r="I267" t="n">
        <v>0</v>
      </c>
      <c r="J267" t="n">
        <v>0</v>
      </c>
      <c r="K267" t="n">
        <v>0</v>
      </c>
      <c r="L267" t="n">
        <v>0</v>
      </c>
      <c r="M267" t="n">
        <v>0</v>
      </c>
      <c r="N267" t="n">
        <v>0</v>
      </c>
      <c r="O267" t="n">
        <v>0</v>
      </c>
      <c r="P267" t="n">
        <v>0</v>
      </c>
      <c r="Q267" t="n">
        <v>0</v>
      </c>
      <c r="R267" s="2" t="inlineStr"/>
    </row>
    <row r="268" ht="15" customHeight="1">
      <c r="A268" t="inlineStr">
        <is>
          <t>A 21389-2025</t>
        </is>
      </c>
      <c r="B268" s="1" t="n">
        <v>45782</v>
      </c>
      <c r="C268" s="1" t="n">
        <v>45901</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44919-2022</t>
        </is>
      </c>
      <c r="B269" s="1" t="n">
        <v>44841</v>
      </c>
      <c r="C269" s="1" t="n">
        <v>45901</v>
      </c>
      <c r="D269" t="inlineStr">
        <is>
          <t>GOTLANDS LÄN</t>
        </is>
      </c>
      <c r="E269" t="inlineStr">
        <is>
          <t>GOTLAND</t>
        </is>
      </c>
      <c r="G269" t="n">
        <v>2.2</v>
      </c>
      <c r="H269" t="n">
        <v>0</v>
      </c>
      <c r="I269" t="n">
        <v>0</v>
      </c>
      <c r="J269" t="n">
        <v>0</v>
      </c>
      <c r="K269" t="n">
        <v>0</v>
      </c>
      <c r="L269" t="n">
        <v>0</v>
      </c>
      <c r="M269" t="n">
        <v>0</v>
      </c>
      <c r="N269" t="n">
        <v>0</v>
      </c>
      <c r="O269" t="n">
        <v>0</v>
      </c>
      <c r="P269" t="n">
        <v>0</v>
      </c>
      <c r="Q269" t="n">
        <v>0</v>
      </c>
      <c r="R269" s="2" t="inlineStr"/>
    </row>
    <row r="270" ht="15" customHeight="1">
      <c r="A270" t="inlineStr">
        <is>
          <t>A 21142-2025</t>
        </is>
      </c>
      <c r="B270" s="1" t="n">
        <v>45779</v>
      </c>
      <c r="C270" s="1" t="n">
        <v>45901</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21651-2025</t>
        </is>
      </c>
      <c r="B271" s="1" t="n">
        <v>45783</v>
      </c>
      <c r="C271" s="1" t="n">
        <v>45901</v>
      </c>
      <c r="D271" t="inlineStr">
        <is>
          <t>GOTLANDS LÄN</t>
        </is>
      </c>
      <c r="E271" t="inlineStr">
        <is>
          <t>GOTLAND</t>
        </is>
      </c>
      <c r="G271" t="n">
        <v>4.2</v>
      </c>
      <c r="H271" t="n">
        <v>0</v>
      </c>
      <c r="I271" t="n">
        <v>0</v>
      </c>
      <c r="J271" t="n">
        <v>0</v>
      </c>
      <c r="K271" t="n">
        <v>0</v>
      </c>
      <c r="L271" t="n">
        <v>0</v>
      </c>
      <c r="M271" t="n">
        <v>0</v>
      </c>
      <c r="N271" t="n">
        <v>0</v>
      </c>
      <c r="O271" t="n">
        <v>0</v>
      </c>
      <c r="P271" t="n">
        <v>0</v>
      </c>
      <c r="Q271" t="n">
        <v>0</v>
      </c>
      <c r="R271" s="2" t="inlineStr"/>
    </row>
    <row r="272" ht="15" customHeight="1">
      <c r="A272" t="inlineStr">
        <is>
          <t>A 13627-2023</t>
        </is>
      </c>
      <c r="B272" s="1" t="n">
        <v>45006</v>
      </c>
      <c r="C272" s="1" t="n">
        <v>45901</v>
      </c>
      <c r="D272" t="inlineStr">
        <is>
          <t>GOTLANDS LÄN</t>
        </is>
      </c>
      <c r="E272" t="inlineStr">
        <is>
          <t>GOTLAND</t>
        </is>
      </c>
      <c r="G272" t="n">
        <v>10.7</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45901</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65901-2021</t>
        </is>
      </c>
      <c r="B274" s="1" t="n">
        <v>44516</v>
      </c>
      <c r="C274" s="1" t="n">
        <v>45901</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14915-2025</t>
        </is>
      </c>
      <c r="B275" s="1" t="n">
        <v>45743.53121527778</v>
      </c>
      <c r="C275" s="1" t="n">
        <v>45901</v>
      </c>
      <c r="D275" t="inlineStr">
        <is>
          <t>GOTLANDS LÄN</t>
        </is>
      </c>
      <c r="E275" t="inlineStr">
        <is>
          <t>GOTLAND</t>
        </is>
      </c>
      <c r="G275" t="n">
        <v>5.9</v>
      </c>
      <c r="H275" t="n">
        <v>0</v>
      </c>
      <c r="I275" t="n">
        <v>0</v>
      </c>
      <c r="J275" t="n">
        <v>0</v>
      </c>
      <c r="K275" t="n">
        <v>0</v>
      </c>
      <c r="L275" t="n">
        <v>0</v>
      </c>
      <c r="M275" t="n">
        <v>0</v>
      </c>
      <c r="N275" t="n">
        <v>0</v>
      </c>
      <c r="O275" t="n">
        <v>0</v>
      </c>
      <c r="P275" t="n">
        <v>0</v>
      </c>
      <c r="Q275" t="n">
        <v>0</v>
      </c>
      <c r="R275" s="2" t="inlineStr"/>
    </row>
    <row r="276" ht="15" customHeight="1">
      <c r="A276" t="inlineStr">
        <is>
          <t>A 5217-2023</t>
        </is>
      </c>
      <c r="B276" s="1" t="n">
        <v>44959.39582175926</v>
      </c>
      <c r="C276" s="1" t="n">
        <v>45901</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44649-2021</t>
        </is>
      </c>
      <c r="B277" s="1" t="n">
        <v>44437</v>
      </c>
      <c r="C277" s="1" t="n">
        <v>45901</v>
      </c>
      <c r="D277" t="inlineStr">
        <is>
          <t>GOTLANDS LÄN</t>
        </is>
      </c>
      <c r="E277" t="inlineStr">
        <is>
          <t>GOTLAND</t>
        </is>
      </c>
      <c r="G277" t="n">
        <v>8.1</v>
      </c>
      <c r="H277" t="n">
        <v>0</v>
      </c>
      <c r="I277" t="n">
        <v>0</v>
      </c>
      <c r="J277" t="n">
        <v>0</v>
      </c>
      <c r="K277" t="n">
        <v>0</v>
      </c>
      <c r="L277" t="n">
        <v>0</v>
      </c>
      <c r="M277" t="n">
        <v>0</v>
      </c>
      <c r="N277" t="n">
        <v>0</v>
      </c>
      <c r="O277" t="n">
        <v>0</v>
      </c>
      <c r="P277" t="n">
        <v>0</v>
      </c>
      <c r="Q277" t="n">
        <v>0</v>
      </c>
      <c r="R277" s="2" t="inlineStr"/>
    </row>
    <row r="278" ht="15" customHeight="1">
      <c r="A278" t="inlineStr">
        <is>
          <t>A 43790-2024</t>
        </is>
      </c>
      <c r="B278" s="1" t="n">
        <v>45571</v>
      </c>
      <c r="C278" s="1" t="n">
        <v>45901</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45901</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1477-2024</t>
        </is>
      </c>
      <c r="B280" s="1" t="n">
        <v>45305.37987268518</v>
      </c>
      <c r="C280" s="1" t="n">
        <v>45901</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44304-2021</t>
        </is>
      </c>
      <c r="B281" s="1" t="n">
        <v>44434</v>
      </c>
      <c r="C281" s="1" t="n">
        <v>45901</v>
      </c>
      <c r="D281" t="inlineStr">
        <is>
          <t>GOTLANDS LÄN</t>
        </is>
      </c>
      <c r="E281" t="inlineStr">
        <is>
          <t>GOTLAND</t>
        </is>
      </c>
      <c r="G281" t="n">
        <v>5.8</v>
      </c>
      <c r="H281" t="n">
        <v>0</v>
      </c>
      <c r="I281" t="n">
        <v>0</v>
      </c>
      <c r="J281" t="n">
        <v>0</v>
      </c>
      <c r="K281" t="n">
        <v>0</v>
      </c>
      <c r="L281" t="n">
        <v>0</v>
      </c>
      <c r="M281" t="n">
        <v>0</v>
      </c>
      <c r="N281" t="n">
        <v>0</v>
      </c>
      <c r="O281" t="n">
        <v>0</v>
      </c>
      <c r="P281" t="n">
        <v>0</v>
      </c>
      <c r="Q281" t="n">
        <v>0</v>
      </c>
      <c r="R281" s="2" t="inlineStr"/>
    </row>
    <row r="282" ht="15" customHeight="1">
      <c r="A282" t="inlineStr">
        <is>
          <t>A 1677-2023</t>
        </is>
      </c>
      <c r="B282" s="1" t="n">
        <v>44938</v>
      </c>
      <c r="C282" s="1" t="n">
        <v>45901</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45901</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45244-2024</t>
        </is>
      </c>
      <c r="B285" s="1" t="n">
        <v>45576</v>
      </c>
      <c r="C285" s="1" t="n">
        <v>45901</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45901</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57356-2023</t>
        </is>
      </c>
      <c r="B287" s="1" t="n">
        <v>45240</v>
      </c>
      <c r="C287" s="1" t="n">
        <v>45901</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45901</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8260-2023</t>
        </is>
      </c>
      <c r="B289" s="1" t="n">
        <v>44974.61608796296</v>
      </c>
      <c r="C289" s="1" t="n">
        <v>45901</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64969-2023</t>
        </is>
      </c>
      <c r="B290" s="1" t="n">
        <v>45284.54009259259</v>
      </c>
      <c r="C290" s="1" t="n">
        <v>45901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48843-2024</t>
        </is>
      </c>
      <c r="B291" s="1" t="n">
        <v>45593</v>
      </c>
      <c r="C291" s="1" t="n">
        <v>45901</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17541-2024</t>
        </is>
      </c>
      <c r="B292" s="1" t="n">
        <v>45415</v>
      </c>
      <c r="C292" s="1" t="n">
        <v>45901</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45901</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21420-2024</t>
        </is>
      </c>
      <c r="B294" s="1" t="n">
        <v>45441.38293981482</v>
      </c>
      <c r="C294" s="1" t="n">
        <v>45901</v>
      </c>
      <c r="D294" t="inlineStr">
        <is>
          <t>GOTLANDS LÄN</t>
        </is>
      </c>
      <c r="E294" t="inlineStr">
        <is>
          <t>GOTLAND</t>
        </is>
      </c>
      <c r="G294" t="n">
        <v>4.1</v>
      </c>
      <c r="H294" t="n">
        <v>0</v>
      </c>
      <c r="I294" t="n">
        <v>0</v>
      </c>
      <c r="J294" t="n">
        <v>0</v>
      </c>
      <c r="K294" t="n">
        <v>0</v>
      </c>
      <c r="L294" t="n">
        <v>0</v>
      </c>
      <c r="M294" t="n">
        <v>0</v>
      </c>
      <c r="N294" t="n">
        <v>0</v>
      </c>
      <c r="O294" t="n">
        <v>0</v>
      </c>
      <c r="P294" t="n">
        <v>0</v>
      </c>
      <c r="Q294" t="n">
        <v>0</v>
      </c>
      <c r="R294" s="2" t="inlineStr"/>
    </row>
    <row r="295" ht="15" customHeight="1">
      <c r="A295" t="inlineStr">
        <is>
          <t>A 23188-2025</t>
        </is>
      </c>
      <c r="B295" s="1" t="n">
        <v>45791</v>
      </c>
      <c r="C295" s="1" t="n">
        <v>45901</v>
      </c>
      <c r="D295" t="inlineStr">
        <is>
          <t>GOTLANDS LÄN</t>
        </is>
      </c>
      <c r="E295" t="inlineStr">
        <is>
          <t>GOTLAND</t>
        </is>
      </c>
      <c r="G295" t="n">
        <v>6.2</v>
      </c>
      <c r="H295" t="n">
        <v>0</v>
      </c>
      <c r="I295" t="n">
        <v>0</v>
      </c>
      <c r="J295" t="n">
        <v>0</v>
      </c>
      <c r="K295" t="n">
        <v>0</v>
      </c>
      <c r="L295" t="n">
        <v>0</v>
      </c>
      <c r="M295" t="n">
        <v>0</v>
      </c>
      <c r="N295" t="n">
        <v>0</v>
      </c>
      <c r="O295" t="n">
        <v>0</v>
      </c>
      <c r="P295" t="n">
        <v>0</v>
      </c>
      <c r="Q295" t="n">
        <v>0</v>
      </c>
      <c r="R295" s="2" t="inlineStr"/>
    </row>
    <row r="296" ht="15" customHeight="1">
      <c r="A296" t="inlineStr">
        <is>
          <t>A 63516-2023</t>
        </is>
      </c>
      <c r="B296" s="1" t="n">
        <v>45274</v>
      </c>
      <c r="C296" s="1" t="n">
        <v>45901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2241-2025</t>
        </is>
      </c>
      <c r="B297" s="1" t="n">
        <v>45673.48710648148</v>
      </c>
      <c r="C297" s="1" t="n">
        <v>45901</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45901</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15434-2024</t>
        </is>
      </c>
      <c r="B299" s="1" t="n">
        <v>45401.38836805556</v>
      </c>
      <c r="C299" s="1" t="n">
        <v>45901</v>
      </c>
      <c r="D299" t="inlineStr">
        <is>
          <t>GOTLANDS LÄN</t>
        </is>
      </c>
      <c r="E299" t="inlineStr">
        <is>
          <t>GOTLAND</t>
        </is>
      </c>
      <c r="G299" t="n">
        <v>2.5</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45901</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54073-2022</t>
        </is>
      </c>
      <c r="B301" s="1" t="n">
        <v>44881.50380787037</v>
      </c>
      <c r="C301" s="1" t="n">
        <v>45901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16361-2024</t>
        </is>
      </c>
      <c r="B302" s="1" t="n">
        <v>45407</v>
      </c>
      <c r="C302" s="1" t="n">
        <v>45901</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41038-2023</t>
        </is>
      </c>
      <c r="B303" s="1" t="n">
        <v>45173.60959490741</v>
      </c>
      <c r="C303" s="1" t="n">
        <v>45901</v>
      </c>
      <c r="D303" t="inlineStr">
        <is>
          <t>GOTLANDS LÄN</t>
        </is>
      </c>
      <c r="E303" t="inlineStr">
        <is>
          <t>GOTLAND</t>
        </is>
      </c>
      <c r="G303" t="n">
        <v>2.7</v>
      </c>
      <c r="H303" t="n">
        <v>0</v>
      </c>
      <c r="I303" t="n">
        <v>0</v>
      </c>
      <c r="J303" t="n">
        <v>0</v>
      </c>
      <c r="K303" t="n">
        <v>0</v>
      </c>
      <c r="L303" t="n">
        <v>0</v>
      </c>
      <c r="M303" t="n">
        <v>0</v>
      </c>
      <c r="N303" t="n">
        <v>0</v>
      </c>
      <c r="O303" t="n">
        <v>0</v>
      </c>
      <c r="P303" t="n">
        <v>0</v>
      </c>
      <c r="Q303" t="n">
        <v>0</v>
      </c>
      <c r="R303" s="2" t="inlineStr"/>
    </row>
    <row r="304" ht="15" customHeight="1">
      <c r="A304" t="inlineStr">
        <is>
          <t>A 23856-2025</t>
        </is>
      </c>
      <c r="B304" s="1" t="n">
        <v>45793</v>
      </c>
      <c r="C304" s="1" t="n">
        <v>45901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23700-2025</t>
        </is>
      </c>
      <c r="B305" s="1" t="n">
        <v>45793</v>
      </c>
      <c r="C305" s="1" t="n">
        <v>45901</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24001-2021</t>
        </is>
      </c>
      <c r="B306" s="1" t="n">
        <v>44335</v>
      </c>
      <c r="C306" s="1" t="n">
        <v>45901</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15073-2025</t>
        </is>
      </c>
      <c r="B307" s="1" t="n">
        <v>45743</v>
      </c>
      <c r="C307" s="1" t="n">
        <v>45901</v>
      </c>
      <c r="D307" t="inlineStr">
        <is>
          <t>GOTLANDS LÄN</t>
        </is>
      </c>
      <c r="E307" t="inlineStr">
        <is>
          <t>GOTLAND</t>
        </is>
      </c>
      <c r="G307" t="n">
        <v>12.1</v>
      </c>
      <c r="H307" t="n">
        <v>0</v>
      </c>
      <c r="I307" t="n">
        <v>0</v>
      </c>
      <c r="J307" t="n">
        <v>0</v>
      </c>
      <c r="K307" t="n">
        <v>0</v>
      </c>
      <c r="L307" t="n">
        <v>0</v>
      </c>
      <c r="M307" t="n">
        <v>0</v>
      </c>
      <c r="N307" t="n">
        <v>0</v>
      </c>
      <c r="O307" t="n">
        <v>0</v>
      </c>
      <c r="P307" t="n">
        <v>0</v>
      </c>
      <c r="Q307" t="n">
        <v>0</v>
      </c>
      <c r="R307" s="2" t="inlineStr"/>
    </row>
    <row r="308" ht="15" customHeight="1">
      <c r="A308" t="inlineStr">
        <is>
          <t>A 6749-2025</t>
        </is>
      </c>
      <c r="B308" s="1" t="n">
        <v>45700</v>
      </c>
      <c r="C308" s="1" t="n">
        <v>45901</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30365-2024</t>
        </is>
      </c>
      <c r="B309" s="1" t="n">
        <v>45491.3716087963</v>
      </c>
      <c r="C309" s="1" t="n">
        <v>45901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34142-2024</t>
        </is>
      </c>
      <c r="B310" s="1" t="n">
        <v>45524.36521990741</v>
      </c>
      <c r="C310" s="1" t="n">
        <v>45901</v>
      </c>
      <c r="D310" t="inlineStr">
        <is>
          <t>GOTLANDS LÄN</t>
        </is>
      </c>
      <c r="E310" t="inlineStr">
        <is>
          <t>GOTLAND</t>
        </is>
      </c>
      <c r="G310" t="n">
        <v>6</v>
      </c>
      <c r="H310" t="n">
        <v>0</v>
      </c>
      <c r="I310" t="n">
        <v>0</v>
      </c>
      <c r="J310" t="n">
        <v>0</v>
      </c>
      <c r="K310" t="n">
        <v>0</v>
      </c>
      <c r="L310" t="n">
        <v>0</v>
      </c>
      <c r="M310" t="n">
        <v>0</v>
      </c>
      <c r="N310" t="n">
        <v>0</v>
      </c>
      <c r="O310" t="n">
        <v>0</v>
      </c>
      <c r="P310" t="n">
        <v>0</v>
      </c>
      <c r="Q310" t="n">
        <v>0</v>
      </c>
      <c r="R310" s="2" t="inlineStr"/>
    </row>
    <row r="311" ht="15" customHeight="1">
      <c r="A311" t="inlineStr">
        <is>
          <t>A 14427-2024</t>
        </is>
      </c>
      <c r="B311" s="1" t="n">
        <v>45394</v>
      </c>
      <c r="C311" s="1" t="n">
        <v>45901</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15075-2025</t>
        </is>
      </c>
      <c r="B312" s="1" t="n">
        <v>45743</v>
      </c>
      <c r="C312" s="1" t="n">
        <v>45901</v>
      </c>
      <c r="D312" t="inlineStr">
        <is>
          <t>GOTLANDS LÄN</t>
        </is>
      </c>
      <c r="E312" t="inlineStr">
        <is>
          <t>GOTLAND</t>
        </is>
      </c>
      <c r="G312" t="n">
        <v>20.9</v>
      </c>
      <c r="H312" t="n">
        <v>0</v>
      </c>
      <c r="I312" t="n">
        <v>0</v>
      </c>
      <c r="J312" t="n">
        <v>0</v>
      </c>
      <c r="K312" t="n">
        <v>0</v>
      </c>
      <c r="L312" t="n">
        <v>0</v>
      </c>
      <c r="M312" t="n">
        <v>0</v>
      </c>
      <c r="N312" t="n">
        <v>0</v>
      </c>
      <c r="O312" t="n">
        <v>0</v>
      </c>
      <c r="P312" t="n">
        <v>0</v>
      </c>
      <c r="Q312" t="n">
        <v>0</v>
      </c>
      <c r="R312" s="2" t="inlineStr"/>
    </row>
    <row r="313" ht="15" customHeight="1">
      <c r="A313" t="inlineStr">
        <is>
          <t>A 1681-2023</t>
        </is>
      </c>
      <c r="B313" s="1" t="n">
        <v>44938.39715277778</v>
      </c>
      <c r="C313" s="1" t="n">
        <v>45901</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23698-2025</t>
        </is>
      </c>
      <c r="B314" s="1" t="n">
        <v>45793</v>
      </c>
      <c r="C314" s="1" t="n">
        <v>45901</v>
      </c>
      <c r="D314" t="inlineStr">
        <is>
          <t>GOTLANDS LÄN</t>
        </is>
      </c>
      <c r="E314" t="inlineStr">
        <is>
          <t>GOTLAND</t>
        </is>
      </c>
      <c r="G314" t="n">
        <v>0.8</v>
      </c>
      <c r="H314" t="n">
        <v>0</v>
      </c>
      <c r="I314" t="n">
        <v>0</v>
      </c>
      <c r="J314" t="n">
        <v>0</v>
      </c>
      <c r="K314" t="n">
        <v>0</v>
      </c>
      <c r="L314" t="n">
        <v>0</v>
      </c>
      <c r="M314" t="n">
        <v>0</v>
      </c>
      <c r="N314" t="n">
        <v>0</v>
      </c>
      <c r="O314" t="n">
        <v>0</v>
      </c>
      <c r="P314" t="n">
        <v>0</v>
      </c>
      <c r="Q314" t="n">
        <v>0</v>
      </c>
      <c r="R314" s="2" t="inlineStr"/>
    </row>
    <row r="315" ht="15" customHeight="1">
      <c r="A315" t="inlineStr">
        <is>
          <t>A 31802-2024</t>
        </is>
      </c>
      <c r="B315" s="1" t="n">
        <v>45509</v>
      </c>
      <c r="C315" s="1" t="n">
        <v>45901</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6099-2024</t>
        </is>
      </c>
      <c r="B316" s="1" t="n">
        <v>45337</v>
      </c>
      <c r="C316" s="1" t="n">
        <v>45901</v>
      </c>
      <c r="D316" t="inlineStr">
        <is>
          <t>GOTLANDS LÄN</t>
        </is>
      </c>
      <c r="E316" t="inlineStr">
        <is>
          <t>GOTLAND</t>
        </is>
      </c>
      <c r="G316" t="n">
        <v>12.6</v>
      </c>
      <c r="H316" t="n">
        <v>0</v>
      </c>
      <c r="I316" t="n">
        <v>0</v>
      </c>
      <c r="J316" t="n">
        <v>0</v>
      </c>
      <c r="K316" t="n">
        <v>0</v>
      </c>
      <c r="L316" t="n">
        <v>0</v>
      </c>
      <c r="M316" t="n">
        <v>0</v>
      </c>
      <c r="N316" t="n">
        <v>0</v>
      </c>
      <c r="O316" t="n">
        <v>0</v>
      </c>
      <c r="P316" t="n">
        <v>0</v>
      </c>
      <c r="Q316" t="n">
        <v>0</v>
      </c>
      <c r="R316" s="2" t="inlineStr"/>
    </row>
    <row r="317" ht="15" customHeight="1">
      <c r="A317" t="inlineStr">
        <is>
          <t>A 1273-2023</t>
        </is>
      </c>
      <c r="B317" s="1" t="n">
        <v>44936</v>
      </c>
      <c r="C317" s="1" t="n">
        <v>45901</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8684-2025</t>
        </is>
      </c>
      <c r="B318" s="1" t="n">
        <v>45712.45605324074</v>
      </c>
      <c r="C318" s="1" t="n">
        <v>45901</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8036-2022</t>
        </is>
      </c>
      <c r="B319" s="1" t="n">
        <v>44609.44362268518</v>
      </c>
      <c r="C319" s="1" t="n">
        <v>45901</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58780-2024</t>
        </is>
      </c>
      <c r="B320" s="1" t="n">
        <v>45635.84113425926</v>
      </c>
      <c r="C320" s="1" t="n">
        <v>45901</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12846-2025</t>
        </is>
      </c>
      <c r="B321" s="1" t="n">
        <v>45733.65049768519</v>
      </c>
      <c r="C321" s="1" t="n">
        <v>45901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45692-2023</t>
        </is>
      </c>
      <c r="B322" s="1" t="n">
        <v>45195</v>
      </c>
      <c r="C322" s="1" t="n">
        <v>45901</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5462-2025</t>
        </is>
      </c>
      <c r="B323" s="1" t="n">
        <v>45693.29331018519</v>
      </c>
      <c r="C323" s="1" t="n">
        <v>45901</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33876-2024</t>
        </is>
      </c>
      <c r="B324" s="1" t="n">
        <v>45521.87988425926</v>
      </c>
      <c r="C324" s="1" t="n">
        <v>45901</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46778-2020</t>
        </is>
      </c>
      <c r="B325" s="1" t="n">
        <v>44096</v>
      </c>
      <c r="C325" s="1" t="n">
        <v>45901</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28285-2024</t>
        </is>
      </c>
      <c r="B326" s="1" t="n">
        <v>45477</v>
      </c>
      <c r="C326" s="1" t="n">
        <v>45901</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61100-2022</t>
        </is>
      </c>
      <c r="B327" s="1" t="n">
        <v>44915</v>
      </c>
      <c r="C327" s="1" t="n">
        <v>45901</v>
      </c>
      <c r="D327" t="inlineStr">
        <is>
          <t>GOTLANDS LÄN</t>
        </is>
      </c>
      <c r="E327" t="inlineStr">
        <is>
          <t>GOTLAND</t>
        </is>
      </c>
      <c r="G327" t="n">
        <v>1.4</v>
      </c>
      <c r="H327" t="n">
        <v>0</v>
      </c>
      <c r="I327" t="n">
        <v>0</v>
      </c>
      <c r="J327" t="n">
        <v>0</v>
      </c>
      <c r="K327" t="n">
        <v>0</v>
      </c>
      <c r="L327" t="n">
        <v>0</v>
      </c>
      <c r="M327" t="n">
        <v>0</v>
      </c>
      <c r="N327" t="n">
        <v>0</v>
      </c>
      <c r="O327" t="n">
        <v>0</v>
      </c>
      <c r="P327" t="n">
        <v>0</v>
      </c>
      <c r="Q327" t="n">
        <v>0</v>
      </c>
      <c r="R327" s="2" t="inlineStr"/>
    </row>
    <row r="328" ht="15" customHeight="1">
      <c r="A328" t="inlineStr">
        <is>
          <t>A 25796-2025</t>
        </is>
      </c>
      <c r="B328" s="1" t="n">
        <v>45804.39543981481</v>
      </c>
      <c r="C328" s="1" t="n">
        <v>45901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61682-2024</t>
        </is>
      </c>
      <c r="B329" s="1" t="n">
        <v>45647.48824074074</v>
      </c>
      <c r="C329" s="1" t="n">
        <v>45901</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45901</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25678-2025</t>
        </is>
      </c>
      <c r="B331" s="1" t="n">
        <v>45803.64118055555</v>
      </c>
      <c r="C331" s="1" t="n">
        <v>45901</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43785-2024</t>
        </is>
      </c>
      <c r="B332" s="1" t="n">
        <v>45570</v>
      </c>
      <c r="C332" s="1" t="n">
        <v>45901</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10650-2022</t>
        </is>
      </c>
      <c r="B333" s="1" t="n">
        <v>44624.57945601852</v>
      </c>
      <c r="C333" s="1" t="n">
        <v>45901</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45901</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45901</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21792-2024</t>
        </is>
      </c>
      <c r="B336" s="1" t="n">
        <v>45442.64326388889</v>
      </c>
      <c r="C336" s="1" t="n">
        <v>45901</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26457-2025</t>
        </is>
      </c>
      <c r="B337" s="1" t="n">
        <v>45807.42773148148</v>
      </c>
      <c r="C337" s="1" t="n">
        <v>45901</v>
      </c>
      <c r="D337" t="inlineStr">
        <is>
          <t>GOTLANDS LÄN</t>
        </is>
      </c>
      <c r="E337" t="inlineStr">
        <is>
          <t>GOTLAND</t>
        </is>
      </c>
      <c r="G337" t="n">
        <v>5.7</v>
      </c>
      <c r="H337" t="n">
        <v>0</v>
      </c>
      <c r="I337" t="n">
        <v>0</v>
      </c>
      <c r="J337" t="n">
        <v>0</v>
      </c>
      <c r="K337" t="n">
        <v>0</v>
      </c>
      <c r="L337" t="n">
        <v>0</v>
      </c>
      <c r="M337" t="n">
        <v>0</v>
      </c>
      <c r="N337" t="n">
        <v>0</v>
      </c>
      <c r="O337" t="n">
        <v>0</v>
      </c>
      <c r="P337" t="n">
        <v>0</v>
      </c>
      <c r="Q337" t="n">
        <v>0</v>
      </c>
      <c r="R337" s="2" t="inlineStr"/>
    </row>
    <row r="338" ht="15" customHeight="1">
      <c r="A338" t="inlineStr">
        <is>
          <t>A 26467-2025</t>
        </is>
      </c>
      <c r="B338" s="1" t="n">
        <v>45807.44640046296</v>
      </c>
      <c r="C338" s="1" t="n">
        <v>45901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11634-2024</t>
        </is>
      </c>
      <c r="B339" s="1" t="n">
        <v>45373</v>
      </c>
      <c r="C339" s="1" t="n">
        <v>45901</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1351-2025</t>
        </is>
      </c>
      <c r="B340" s="1" t="n">
        <v>45667.62246527777</v>
      </c>
      <c r="C340" s="1" t="n">
        <v>45901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26465-2025</t>
        </is>
      </c>
      <c r="B341" s="1" t="n">
        <v>45807.44377314814</v>
      </c>
      <c r="C341" s="1" t="n">
        <v>45901</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39496-2022</t>
        </is>
      </c>
      <c r="B342" s="1" t="n">
        <v>44818</v>
      </c>
      <c r="C342" s="1" t="n">
        <v>45901</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45901</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49874-2024</t>
        </is>
      </c>
      <c r="B344" s="1" t="n">
        <v>45597.49274305555</v>
      </c>
      <c r="C344" s="1" t="n">
        <v>45901</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3930-2025</t>
        </is>
      </c>
      <c r="B345" s="1" t="n">
        <v>45684.45427083333</v>
      </c>
      <c r="C345" s="1" t="n">
        <v>45901</v>
      </c>
      <c r="D345" t="inlineStr">
        <is>
          <t>GOTLANDS LÄN</t>
        </is>
      </c>
      <c r="E345" t="inlineStr">
        <is>
          <t>GOTLAND</t>
        </is>
      </c>
      <c r="G345" t="n">
        <v>5.2</v>
      </c>
      <c r="H345" t="n">
        <v>0</v>
      </c>
      <c r="I345" t="n">
        <v>0</v>
      </c>
      <c r="J345" t="n">
        <v>0</v>
      </c>
      <c r="K345" t="n">
        <v>0</v>
      </c>
      <c r="L345" t="n">
        <v>0</v>
      </c>
      <c r="M345" t="n">
        <v>0</v>
      </c>
      <c r="N345" t="n">
        <v>0</v>
      </c>
      <c r="O345" t="n">
        <v>0</v>
      </c>
      <c r="P345" t="n">
        <v>0</v>
      </c>
      <c r="Q345" t="n">
        <v>0</v>
      </c>
      <c r="R345" s="2" t="inlineStr"/>
    </row>
    <row r="346" ht="15" customHeight="1">
      <c r="A346" t="inlineStr">
        <is>
          <t>A 42201-2023</t>
        </is>
      </c>
      <c r="B346" s="1" t="n">
        <v>45179</v>
      </c>
      <c r="C346" s="1" t="n">
        <v>45901</v>
      </c>
      <c r="D346" t="inlineStr">
        <is>
          <t>GOTLANDS LÄN</t>
        </is>
      </c>
      <c r="E346" t="inlineStr">
        <is>
          <t>GOTLAND</t>
        </is>
      </c>
      <c r="G346" t="n">
        <v>11.9</v>
      </c>
      <c r="H346" t="n">
        <v>0</v>
      </c>
      <c r="I346" t="n">
        <v>0</v>
      </c>
      <c r="J346" t="n">
        <v>0</v>
      </c>
      <c r="K346" t="n">
        <v>0</v>
      </c>
      <c r="L346" t="n">
        <v>0</v>
      </c>
      <c r="M346" t="n">
        <v>0</v>
      </c>
      <c r="N346" t="n">
        <v>0</v>
      </c>
      <c r="O346" t="n">
        <v>0</v>
      </c>
      <c r="P346" t="n">
        <v>0</v>
      </c>
      <c r="Q346" t="n">
        <v>0</v>
      </c>
      <c r="R346" s="2" t="inlineStr"/>
    </row>
    <row r="347" ht="15" customHeight="1">
      <c r="A347" t="inlineStr">
        <is>
          <t>A 27348-2025</t>
        </is>
      </c>
      <c r="B347" s="1" t="n">
        <v>45812.62451388889</v>
      </c>
      <c r="C347" s="1" t="n">
        <v>45901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18993-2025</t>
        </is>
      </c>
      <c r="B348" s="1" t="n">
        <v>45764</v>
      </c>
      <c r="C348" s="1" t="n">
        <v>45901</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46400-2023</t>
        </is>
      </c>
      <c r="B349" s="1" t="n">
        <v>45197.49290509259</v>
      </c>
      <c r="C349" s="1" t="n">
        <v>45901</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17688-2024</t>
        </is>
      </c>
      <c r="B350" s="1" t="n">
        <v>45418.43575231481</v>
      </c>
      <c r="C350" s="1" t="n">
        <v>45901</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9875-2025</t>
        </is>
      </c>
      <c r="B351" s="1" t="n">
        <v>45716</v>
      </c>
      <c r="C351" s="1" t="n">
        <v>45901</v>
      </c>
      <c r="D351" t="inlineStr">
        <is>
          <t>GOTLANDS LÄN</t>
        </is>
      </c>
      <c r="E351" t="inlineStr">
        <is>
          <t>GOTLAND</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19002-2025</t>
        </is>
      </c>
      <c r="B352" s="1" t="n">
        <v>45764</v>
      </c>
      <c r="C352" s="1" t="n">
        <v>45901</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27371-2025</t>
        </is>
      </c>
      <c r="B353" s="1" t="n">
        <v>45812</v>
      </c>
      <c r="C353" s="1" t="n">
        <v>45901</v>
      </c>
      <c r="D353" t="inlineStr">
        <is>
          <t>GOTLANDS LÄN</t>
        </is>
      </c>
      <c r="E353" t="inlineStr">
        <is>
          <t>GOTLAND</t>
        </is>
      </c>
      <c r="G353" t="n">
        <v>8</v>
      </c>
      <c r="H353" t="n">
        <v>0</v>
      </c>
      <c r="I353" t="n">
        <v>0</v>
      </c>
      <c r="J353" t="n">
        <v>0</v>
      </c>
      <c r="K353" t="n">
        <v>0</v>
      </c>
      <c r="L353" t="n">
        <v>0</v>
      </c>
      <c r="M353" t="n">
        <v>0</v>
      </c>
      <c r="N353" t="n">
        <v>0</v>
      </c>
      <c r="O353" t="n">
        <v>0</v>
      </c>
      <c r="P353" t="n">
        <v>0</v>
      </c>
      <c r="Q353" t="n">
        <v>0</v>
      </c>
      <c r="R353" s="2" t="inlineStr"/>
    </row>
    <row r="354" ht="15" customHeight="1">
      <c r="A354" t="inlineStr">
        <is>
          <t>A 27355-2025</t>
        </is>
      </c>
      <c r="B354" s="1" t="n">
        <v>45812</v>
      </c>
      <c r="C354" s="1" t="n">
        <v>45901</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45901</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45901</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45901</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21164-2024</t>
        </is>
      </c>
      <c r="B358" s="1" t="n">
        <v>45440</v>
      </c>
      <c r="C358" s="1" t="n">
        <v>45901</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8045-2022</t>
        </is>
      </c>
      <c r="B359" s="1" t="n">
        <v>44609</v>
      </c>
      <c r="C359" s="1" t="n">
        <v>45901</v>
      </c>
      <c r="D359" t="inlineStr">
        <is>
          <t>GOTLANDS LÄN</t>
        </is>
      </c>
      <c r="E359" t="inlineStr">
        <is>
          <t>GOTLAND</t>
        </is>
      </c>
      <c r="G359" t="n">
        <v>7</v>
      </c>
      <c r="H359" t="n">
        <v>0</v>
      </c>
      <c r="I359" t="n">
        <v>0</v>
      </c>
      <c r="J359" t="n">
        <v>0</v>
      </c>
      <c r="K359" t="n">
        <v>0</v>
      </c>
      <c r="L359" t="n">
        <v>0</v>
      </c>
      <c r="M359" t="n">
        <v>0</v>
      </c>
      <c r="N359" t="n">
        <v>0</v>
      </c>
      <c r="O359" t="n">
        <v>0</v>
      </c>
      <c r="P359" t="n">
        <v>0</v>
      </c>
      <c r="Q359" t="n">
        <v>0</v>
      </c>
      <c r="R359" s="2" t="inlineStr"/>
    </row>
    <row r="360" ht="15" customHeight="1">
      <c r="A360" t="inlineStr">
        <is>
          <t>A 8444-2025</t>
        </is>
      </c>
      <c r="B360" s="1" t="n">
        <v>45709</v>
      </c>
      <c r="C360" s="1" t="n">
        <v>45901</v>
      </c>
      <c r="D360" t="inlineStr">
        <is>
          <t>GOTLANDS LÄN</t>
        </is>
      </c>
      <c r="E360" t="inlineStr">
        <is>
          <t>GOTLAND</t>
        </is>
      </c>
      <c r="G360" t="n">
        <v>5.2</v>
      </c>
      <c r="H360" t="n">
        <v>0</v>
      </c>
      <c r="I360" t="n">
        <v>0</v>
      </c>
      <c r="J360" t="n">
        <v>0</v>
      </c>
      <c r="K360" t="n">
        <v>0</v>
      </c>
      <c r="L360" t="n">
        <v>0</v>
      </c>
      <c r="M360" t="n">
        <v>0</v>
      </c>
      <c r="N360" t="n">
        <v>0</v>
      </c>
      <c r="O360" t="n">
        <v>0</v>
      </c>
      <c r="P360" t="n">
        <v>0</v>
      </c>
      <c r="Q360" t="n">
        <v>0</v>
      </c>
      <c r="R360" s="2" t="inlineStr"/>
    </row>
    <row r="361" ht="15" customHeight="1">
      <c r="A361" t="inlineStr">
        <is>
          <t>A 4568-2025</t>
        </is>
      </c>
      <c r="B361" s="1" t="n">
        <v>45687</v>
      </c>
      <c r="C361" s="1" t="n">
        <v>45901</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22897-2023</t>
        </is>
      </c>
      <c r="B362" s="1" t="n">
        <v>45072.55239583334</v>
      </c>
      <c r="C362" s="1" t="n">
        <v>45901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61897-2024</t>
        </is>
      </c>
      <c r="B363" s="1" t="n">
        <v>45652.75685185185</v>
      </c>
      <c r="C363" s="1" t="n">
        <v>45901</v>
      </c>
      <c r="D363" t="inlineStr">
        <is>
          <t>GOTLANDS LÄN</t>
        </is>
      </c>
      <c r="E363" t="inlineStr">
        <is>
          <t>GOTLAND</t>
        </is>
      </c>
      <c r="G363" t="n">
        <v>6.4</v>
      </c>
      <c r="H363" t="n">
        <v>0</v>
      </c>
      <c r="I363" t="n">
        <v>0</v>
      </c>
      <c r="J363" t="n">
        <v>0</v>
      </c>
      <c r="K363" t="n">
        <v>0</v>
      </c>
      <c r="L363" t="n">
        <v>0</v>
      </c>
      <c r="M363" t="n">
        <v>0</v>
      </c>
      <c r="N363" t="n">
        <v>0</v>
      </c>
      <c r="O363" t="n">
        <v>0</v>
      </c>
      <c r="P363" t="n">
        <v>0</v>
      </c>
      <c r="Q363" t="n">
        <v>0</v>
      </c>
      <c r="R363" s="2" t="inlineStr"/>
    </row>
    <row r="364" ht="15" customHeight="1">
      <c r="A364" t="inlineStr">
        <is>
          <t>A 35512-2023</t>
        </is>
      </c>
      <c r="B364" s="1" t="n">
        <v>45147.25623842593</v>
      </c>
      <c r="C364" s="1" t="n">
        <v>45901</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5905-2024</t>
        </is>
      </c>
      <c r="B365" s="1" t="n">
        <v>45335.88993055555</v>
      </c>
      <c r="C365" s="1" t="n">
        <v>45901</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45901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49962-2023</t>
        </is>
      </c>
      <c r="B367" s="1" t="n">
        <v>45215.38775462963</v>
      </c>
      <c r="C367" s="1" t="n">
        <v>45901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45901</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1291-2023</t>
        </is>
      </c>
      <c r="B369" s="1" t="n">
        <v>44936.47561342592</v>
      </c>
      <c r="C369" s="1" t="n">
        <v>45901</v>
      </c>
      <c r="D369" t="inlineStr">
        <is>
          <t>GOTLANDS LÄN</t>
        </is>
      </c>
      <c r="E369" t="inlineStr">
        <is>
          <t>GOTLAND</t>
        </is>
      </c>
      <c r="G369" t="n">
        <v>7.4</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45901</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57652-2023</t>
        </is>
      </c>
      <c r="B371" s="1" t="n">
        <v>45246</v>
      </c>
      <c r="C371" s="1" t="n">
        <v>45901</v>
      </c>
      <c r="D371" t="inlineStr">
        <is>
          <t>GOTLANDS LÄN</t>
        </is>
      </c>
      <c r="E371" t="inlineStr">
        <is>
          <t>GOTLAND</t>
        </is>
      </c>
      <c r="G371" t="n">
        <v>7.2</v>
      </c>
      <c r="H371" t="n">
        <v>0</v>
      </c>
      <c r="I371" t="n">
        <v>0</v>
      </c>
      <c r="J371" t="n">
        <v>0</v>
      </c>
      <c r="K371" t="n">
        <v>0</v>
      </c>
      <c r="L371" t="n">
        <v>0</v>
      </c>
      <c r="M371" t="n">
        <v>0</v>
      </c>
      <c r="N371" t="n">
        <v>0</v>
      </c>
      <c r="O371" t="n">
        <v>0</v>
      </c>
      <c r="P371" t="n">
        <v>0</v>
      </c>
      <c r="Q371" t="n">
        <v>0</v>
      </c>
      <c r="R371" s="2" t="inlineStr"/>
    </row>
    <row r="372" ht="15" customHeight="1">
      <c r="A372" t="inlineStr">
        <is>
          <t>A 20165-2022</t>
        </is>
      </c>
      <c r="B372" s="1" t="n">
        <v>44698.49854166667</v>
      </c>
      <c r="C372" s="1" t="n">
        <v>45901</v>
      </c>
      <c r="D372" t="inlineStr">
        <is>
          <t>GOTLANDS LÄN</t>
        </is>
      </c>
      <c r="E372" t="inlineStr">
        <is>
          <t>GOTLAND</t>
        </is>
      </c>
      <c r="G372" t="n">
        <v>4.1</v>
      </c>
      <c r="H372" t="n">
        <v>0</v>
      </c>
      <c r="I372" t="n">
        <v>0</v>
      </c>
      <c r="J372" t="n">
        <v>0</v>
      </c>
      <c r="K372" t="n">
        <v>0</v>
      </c>
      <c r="L372" t="n">
        <v>0</v>
      </c>
      <c r="M372" t="n">
        <v>0</v>
      </c>
      <c r="N372" t="n">
        <v>0</v>
      </c>
      <c r="O372" t="n">
        <v>0</v>
      </c>
      <c r="P372" t="n">
        <v>0</v>
      </c>
      <c r="Q372" t="n">
        <v>0</v>
      </c>
      <c r="R372" s="2" t="inlineStr"/>
    </row>
    <row r="373" ht="15" customHeight="1">
      <c r="A373" t="inlineStr">
        <is>
          <t>A 49315-2024</t>
        </is>
      </c>
      <c r="B373" s="1" t="n">
        <v>45595</v>
      </c>
      <c r="C373" s="1" t="n">
        <v>45901</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40294-2022</t>
        </is>
      </c>
      <c r="B374" s="1" t="n">
        <v>44821</v>
      </c>
      <c r="C374" s="1" t="n">
        <v>45901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30157-2025</t>
        </is>
      </c>
      <c r="B375" s="1" t="n">
        <v>45826</v>
      </c>
      <c r="C375" s="1" t="n">
        <v>45901</v>
      </c>
      <c r="D375" t="inlineStr">
        <is>
          <t>GOTLANDS LÄN</t>
        </is>
      </c>
      <c r="E375" t="inlineStr">
        <is>
          <t>GOTLAND</t>
        </is>
      </c>
      <c r="G375" t="n">
        <v>2.5</v>
      </c>
      <c r="H375" t="n">
        <v>0</v>
      </c>
      <c r="I375" t="n">
        <v>0</v>
      </c>
      <c r="J375" t="n">
        <v>0</v>
      </c>
      <c r="K375" t="n">
        <v>0</v>
      </c>
      <c r="L375" t="n">
        <v>0</v>
      </c>
      <c r="M375" t="n">
        <v>0</v>
      </c>
      <c r="N375" t="n">
        <v>0</v>
      </c>
      <c r="O375" t="n">
        <v>0</v>
      </c>
      <c r="P375" t="n">
        <v>0</v>
      </c>
      <c r="Q375" t="n">
        <v>0</v>
      </c>
      <c r="R375" s="2" t="inlineStr"/>
    </row>
    <row r="376" ht="15" customHeight="1">
      <c r="A376" t="inlineStr">
        <is>
          <t>A 45106-2024</t>
        </is>
      </c>
      <c r="B376" s="1" t="n">
        <v>45575</v>
      </c>
      <c r="C376" s="1" t="n">
        <v>45901</v>
      </c>
      <c r="D376" t="inlineStr">
        <is>
          <t>GOTLANDS LÄN</t>
        </is>
      </c>
      <c r="E376" t="inlineStr">
        <is>
          <t>GOTLAND</t>
        </is>
      </c>
      <c r="G376" t="n">
        <v>10</v>
      </c>
      <c r="H376" t="n">
        <v>0</v>
      </c>
      <c r="I376" t="n">
        <v>0</v>
      </c>
      <c r="J376" t="n">
        <v>0</v>
      </c>
      <c r="K376" t="n">
        <v>0</v>
      </c>
      <c r="L376" t="n">
        <v>0</v>
      </c>
      <c r="M376" t="n">
        <v>0</v>
      </c>
      <c r="N376" t="n">
        <v>0</v>
      </c>
      <c r="O376" t="n">
        <v>0</v>
      </c>
      <c r="P376" t="n">
        <v>0</v>
      </c>
      <c r="Q376" t="n">
        <v>0</v>
      </c>
      <c r="R376" s="2" t="inlineStr"/>
    </row>
    <row r="377" ht="15" customHeight="1">
      <c r="A377" t="inlineStr">
        <is>
          <t>A 45112-2024</t>
        </is>
      </c>
      <c r="B377" s="1" t="n">
        <v>45575</v>
      </c>
      <c r="C377" s="1" t="n">
        <v>45901</v>
      </c>
      <c r="D377" t="inlineStr">
        <is>
          <t>GOTLANDS LÄN</t>
        </is>
      </c>
      <c r="E377" t="inlineStr">
        <is>
          <t>GOTLAND</t>
        </is>
      </c>
      <c r="G377" t="n">
        <v>5.1</v>
      </c>
      <c r="H377" t="n">
        <v>0</v>
      </c>
      <c r="I377" t="n">
        <v>0</v>
      </c>
      <c r="J377" t="n">
        <v>0</v>
      </c>
      <c r="K377" t="n">
        <v>0</v>
      </c>
      <c r="L377" t="n">
        <v>0</v>
      </c>
      <c r="M377" t="n">
        <v>0</v>
      </c>
      <c r="N377" t="n">
        <v>0</v>
      </c>
      <c r="O377" t="n">
        <v>0</v>
      </c>
      <c r="P377" t="n">
        <v>0</v>
      </c>
      <c r="Q377" t="n">
        <v>0</v>
      </c>
      <c r="R377" s="2" t="inlineStr"/>
    </row>
    <row r="378" ht="15" customHeight="1">
      <c r="A378" t="inlineStr">
        <is>
          <t>A 12032-2025</t>
        </is>
      </c>
      <c r="B378" s="1" t="n">
        <v>45728.64472222222</v>
      </c>
      <c r="C378" s="1" t="n">
        <v>45901</v>
      </c>
      <c r="D378" t="inlineStr">
        <is>
          <t>GOTLANDS LÄN</t>
        </is>
      </c>
      <c r="E378" t="inlineStr">
        <is>
          <t>GOTLAND</t>
        </is>
      </c>
      <c r="G378" t="n">
        <v>1.4</v>
      </c>
      <c r="H378" t="n">
        <v>0</v>
      </c>
      <c r="I378" t="n">
        <v>0</v>
      </c>
      <c r="J378" t="n">
        <v>0</v>
      </c>
      <c r="K378" t="n">
        <v>0</v>
      </c>
      <c r="L378" t="n">
        <v>0</v>
      </c>
      <c r="M378" t="n">
        <v>0</v>
      </c>
      <c r="N378" t="n">
        <v>0</v>
      </c>
      <c r="O378" t="n">
        <v>0</v>
      </c>
      <c r="P378" t="n">
        <v>0</v>
      </c>
      <c r="Q378" t="n">
        <v>0</v>
      </c>
      <c r="R378" s="2" t="inlineStr"/>
    </row>
    <row r="379" ht="15" customHeight="1">
      <c r="A379" t="inlineStr">
        <is>
          <t>A 30061-2025</t>
        </is>
      </c>
      <c r="B379" s="1" t="n">
        <v>45826.61488425926</v>
      </c>
      <c r="C379" s="1" t="n">
        <v>45901</v>
      </c>
      <c r="D379" t="inlineStr">
        <is>
          <t>GOTLANDS LÄN</t>
        </is>
      </c>
      <c r="E379" t="inlineStr">
        <is>
          <t>GOTLAND</t>
        </is>
      </c>
      <c r="G379" t="n">
        <v>4.1</v>
      </c>
      <c r="H379" t="n">
        <v>0</v>
      </c>
      <c r="I379" t="n">
        <v>0</v>
      </c>
      <c r="J379" t="n">
        <v>0</v>
      </c>
      <c r="K379" t="n">
        <v>0</v>
      </c>
      <c r="L379" t="n">
        <v>0</v>
      </c>
      <c r="M379" t="n">
        <v>0</v>
      </c>
      <c r="N379" t="n">
        <v>0</v>
      </c>
      <c r="O379" t="n">
        <v>0</v>
      </c>
      <c r="P379" t="n">
        <v>0</v>
      </c>
      <c r="Q379" t="n">
        <v>0</v>
      </c>
      <c r="R379" s="2" t="inlineStr"/>
    </row>
    <row r="380" ht="15" customHeight="1">
      <c r="A380" t="inlineStr">
        <is>
          <t>A 38787-2023</t>
        </is>
      </c>
      <c r="B380" s="1" t="n">
        <v>45163</v>
      </c>
      <c r="C380" s="1" t="n">
        <v>45901</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45901</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58160-2024</t>
        </is>
      </c>
      <c r="B382" s="1" t="n">
        <v>45632.44927083333</v>
      </c>
      <c r="C382" s="1" t="n">
        <v>45901</v>
      </c>
      <c r="D382" t="inlineStr">
        <is>
          <t>GOTLANDS LÄN</t>
        </is>
      </c>
      <c r="E382" t="inlineStr">
        <is>
          <t>GOTLAND</t>
        </is>
      </c>
      <c r="G382" t="n">
        <v>5.6</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45901</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45901</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8484-2025</t>
        </is>
      </c>
      <c r="B385" s="1" t="n">
        <v>45709</v>
      </c>
      <c r="C385" s="1" t="n">
        <v>45901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7635-2025</t>
        </is>
      </c>
      <c r="B386" s="1" t="n">
        <v>45705</v>
      </c>
      <c r="C386" s="1" t="n">
        <v>45901</v>
      </c>
      <c r="D386" t="inlineStr">
        <is>
          <t>GOTLANDS LÄN</t>
        </is>
      </c>
      <c r="E386" t="inlineStr">
        <is>
          <t>GOTLAND</t>
        </is>
      </c>
      <c r="G386" t="n">
        <v>0.9</v>
      </c>
      <c r="H386" t="n">
        <v>0</v>
      </c>
      <c r="I386" t="n">
        <v>0</v>
      </c>
      <c r="J386" t="n">
        <v>0</v>
      </c>
      <c r="K386" t="n">
        <v>0</v>
      </c>
      <c r="L386" t="n">
        <v>0</v>
      </c>
      <c r="M386" t="n">
        <v>0</v>
      </c>
      <c r="N386" t="n">
        <v>0</v>
      </c>
      <c r="O386" t="n">
        <v>0</v>
      </c>
      <c r="P386" t="n">
        <v>0</v>
      </c>
      <c r="Q386" t="n">
        <v>0</v>
      </c>
      <c r="R386" s="2" t="inlineStr"/>
    </row>
    <row r="387" ht="15" customHeight="1">
      <c r="A387" t="inlineStr">
        <is>
          <t>A 7636-2025</t>
        </is>
      </c>
      <c r="B387" s="1" t="n">
        <v>45705.7687962963</v>
      </c>
      <c r="C387" s="1" t="n">
        <v>45901</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7639-2025</t>
        </is>
      </c>
      <c r="B388" s="1" t="n">
        <v>45705.77465277778</v>
      </c>
      <c r="C388" s="1" t="n">
        <v>45901</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43231-2023</t>
        </is>
      </c>
      <c r="B389" s="1" t="n">
        <v>45183.47025462963</v>
      </c>
      <c r="C389" s="1" t="n">
        <v>45901</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45901</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45901</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45901</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45901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29809-2022</t>
        </is>
      </c>
      <c r="B394" s="1" t="n">
        <v>44755.8713425926</v>
      </c>
      <c r="C394" s="1" t="n">
        <v>45901</v>
      </c>
      <c r="D394" t="inlineStr">
        <is>
          <t>GOTLANDS LÄN</t>
        </is>
      </c>
      <c r="E394" t="inlineStr">
        <is>
          <t>GOTLAND</t>
        </is>
      </c>
      <c r="G394" t="n">
        <v>11.5</v>
      </c>
      <c r="H394" t="n">
        <v>0</v>
      </c>
      <c r="I394" t="n">
        <v>0</v>
      </c>
      <c r="J394" t="n">
        <v>0</v>
      </c>
      <c r="K394" t="n">
        <v>0</v>
      </c>
      <c r="L394" t="n">
        <v>0</v>
      </c>
      <c r="M394" t="n">
        <v>0</v>
      </c>
      <c r="N394" t="n">
        <v>0</v>
      </c>
      <c r="O394" t="n">
        <v>0</v>
      </c>
      <c r="P394" t="n">
        <v>0</v>
      </c>
      <c r="Q394" t="n">
        <v>0</v>
      </c>
      <c r="R394" s="2" t="inlineStr"/>
    </row>
    <row r="395" ht="15" customHeight="1">
      <c r="A395" t="inlineStr">
        <is>
          <t>A 30488-2025</t>
        </is>
      </c>
      <c r="B395" s="1" t="n">
        <v>45830</v>
      </c>
      <c r="C395" s="1" t="n">
        <v>45901</v>
      </c>
      <c r="D395" t="inlineStr">
        <is>
          <t>GOTLANDS LÄN</t>
        </is>
      </c>
      <c r="E395" t="inlineStr">
        <is>
          <t>GOTLAND</t>
        </is>
      </c>
      <c r="F395" t="inlineStr">
        <is>
          <t>Kyrkan</t>
        </is>
      </c>
      <c r="G395" t="n">
        <v>3.9</v>
      </c>
      <c r="H395" t="n">
        <v>0</v>
      </c>
      <c r="I395" t="n">
        <v>0</v>
      </c>
      <c r="J395" t="n">
        <v>0</v>
      </c>
      <c r="K395" t="n">
        <v>0</v>
      </c>
      <c r="L395" t="n">
        <v>0</v>
      </c>
      <c r="M395" t="n">
        <v>0</v>
      </c>
      <c r="N395" t="n">
        <v>0</v>
      </c>
      <c r="O395" t="n">
        <v>0</v>
      </c>
      <c r="P395" t="n">
        <v>0</v>
      </c>
      <c r="Q395" t="n">
        <v>0</v>
      </c>
      <c r="R395" s="2" t="inlineStr"/>
    </row>
    <row r="396" ht="15" customHeight="1">
      <c r="A396" t="inlineStr">
        <is>
          <t>A 3935-2025</t>
        </is>
      </c>
      <c r="B396" s="1" t="n">
        <v>45684.46070601852</v>
      </c>
      <c r="C396" s="1" t="n">
        <v>45901</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30489-2025</t>
        </is>
      </c>
      <c r="B397" s="1" t="n">
        <v>45830</v>
      </c>
      <c r="C397" s="1" t="n">
        <v>45901</v>
      </c>
      <c r="D397" t="inlineStr">
        <is>
          <t>GOTLANDS LÄN</t>
        </is>
      </c>
      <c r="E397" t="inlineStr">
        <is>
          <t>GOTLAND</t>
        </is>
      </c>
      <c r="G397" t="n">
        <v>4.6</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45901</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45901</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30815-2023</t>
        </is>
      </c>
      <c r="B400" s="1" t="n">
        <v>45112</v>
      </c>
      <c r="C400" s="1" t="n">
        <v>45901</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20225-2025</t>
        </is>
      </c>
      <c r="B401" s="1" t="n">
        <v>45772.65802083333</v>
      </c>
      <c r="C401" s="1" t="n">
        <v>45901</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883-2025</t>
        </is>
      </c>
      <c r="B402" s="1" t="n">
        <v>45665</v>
      </c>
      <c r="C402" s="1" t="n">
        <v>45901</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45901</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7034-2023</t>
        </is>
      </c>
      <c r="B404" s="1" t="n">
        <v>44968.32108796296</v>
      </c>
      <c r="C404" s="1" t="n">
        <v>45901</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7042-2023</t>
        </is>
      </c>
      <c r="B405" s="1" t="n">
        <v>44968</v>
      </c>
      <c r="C405" s="1" t="n">
        <v>45901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23516-2023</t>
        </is>
      </c>
      <c r="B406" s="1" t="n">
        <v>45076.93391203704</v>
      </c>
      <c r="C406" s="1" t="n">
        <v>45901</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64660-2023</t>
        </is>
      </c>
      <c r="B407" s="1" t="n">
        <v>45281.60122685185</v>
      </c>
      <c r="C407" s="1" t="n">
        <v>45901</v>
      </c>
      <c r="D407" t="inlineStr">
        <is>
          <t>GOTLANDS LÄN</t>
        </is>
      </c>
      <c r="E407" t="inlineStr">
        <is>
          <t>GOTLAND</t>
        </is>
      </c>
      <c r="G407" t="n">
        <v>6.3</v>
      </c>
      <c r="H407" t="n">
        <v>0</v>
      </c>
      <c r="I407" t="n">
        <v>0</v>
      </c>
      <c r="J407" t="n">
        <v>0</v>
      </c>
      <c r="K407" t="n">
        <v>0</v>
      </c>
      <c r="L407" t="n">
        <v>0</v>
      </c>
      <c r="M407" t="n">
        <v>0</v>
      </c>
      <c r="N407" t="n">
        <v>0</v>
      </c>
      <c r="O407" t="n">
        <v>0</v>
      </c>
      <c r="P407" t="n">
        <v>0</v>
      </c>
      <c r="Q407" t="n">
        <v>0</v>
      </c>
      <c r="R407" s="2" t="inlineStr"/>
    </row>
    <row r="408" ht="15" customHeight="1">
      <c r="A408" t="inlineStr">
        <is>
          <t>A 10497-2025</t>
        </is>
      </c>
      <c r="B408" s="1" t="n">
        <v>45721</v>
      </c>
      <c r="C408" s="1" t="n">
        <v>45901</v>
      </c>
      <c r="D408" t="inlineStr">
        <is>
          <t>GOTLANDS LÄN</t>
        </is>
      </c>
      <c r="E408" t="inlineStr">
        <is>
          <t>GOTLAND</t>
        </is>
      </c>
      <c r="G408" t="n">
        <v>0.9</v>
      </c>
      <c r="H408" t="n">
        <v>0</v>
      </c>
      <c r="I408" t="n">
        <v>0</v>
      </c>
      <c r="J408" t="n">
        <v>0</v>
      </c>
      <c r="K408" t="n">
        <v>0</v>
      </c>
      <c r="L408" t="n">
        <v>0</v>
      </c>
      <c r="M408" t="n">
        <v>0</v>
      </c>
      <c r="N408" t="n">
        <v>0</v>
      </c>
      <c r="O408" t="n">
        <v>0</v>
      </c>
      <c r="P408" t="n">
        <v>0</v>
      </c>
      <c r="Q408" t="n">
        <v>0</v>
      </c>
      <c r="R408" s="2" t="inlineStr"/>
    </row>
    <row r="409" ht="15" customHeight="1">
      <c r="A409" t="inlineStr">
        <is>
          <t>A 63763-2023</t>
        </is>
      </c>
      <c r="B409" s="1" t="n">
        <v>45278.33944444444</v>
      </c>
      <c r="C409" s="1" t="n">
        <v>45901</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45901</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32686-2025</t>
        </is>
      </c>
      <c r="B411" s="1" t="n">
        <v>45838</v>
      </c>
      <c r="C411" s="1" t="n">
        <v>45901</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1066-2024</t>
        </is>
      </c>
      <c r="B412" s="1" t="n">
        <v>45302.285</v>
      </c>
      <c r="C412" s="1" t="n">
        <v>45901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17144-2025</t>
        </is>
      </c>
      <c r="B413" s="1" t="n">
        <v>45755.9499537037</v>
      </c>
      <c r="C413" s="1" t="n">
        <v>45901</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45901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63229-2021</t>
        </is>
      </c>
      <c r="B415" s="1" t="n">
        <v>44508.34518518519</v>
      </c>
      <c r="C415" s="1" t="n">
        <v>45901</v>
      </c>
      <c r="D415" t="inlineStr">
        <is>
          <t>GOTLANDS LÄN</t>
        </is>
      </c>
      <c r="E415" t="inlineStr">
        <is>
          <t>GOTLAND</t>
        </is>
      </c>
      <c r="F415" t="inlineStr">
        <is>
          <t>Kyrkan</t>
        </is>
      </c>
      <c r="G415" t="n">
        <v>3.8</v>
      </c>
      <c r="H415" t="n">
        <v>0</v>
      </c>
      <c r="I415" t="n">
        <v>0</v>
      </c>
      <c r="J415" t="n">
        <v>0</v>
      </c>
      <c r="K415" t="n">
        <v>0</v>
      </c>
      <c r="L415" t="n">
        <v>0</v>
      </c>
      <c r="M415" t="n">
        <v>0</v>
      </c>
      <c r="N415" t="n">
        <v>0</v>
      </c>
      <c r="O415" t="n">
        <v>0</v>
      </c>
      <c r="P415" t="n">
        <v>0</v>
      </c>
      <c r="Q415" t="n">
        <v>0</v>
      </c>
      <c r="R415" s="2" t="inlineStr"/>
    </row>
    <row r="416" ht="15" customHeight="1">
      <c r="A416" t="inlineStr">
        <is>
          <t>A 46375-2024</t>
        </is>
      </c>
      <c r="B416" s="1" t="n">
        <v>45582</v>
      </c>
      <c r="C416" s="1" t="n">
        <v>45901</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10158-2025</t>
        </is>
      </c>
      <c r="B417" s="1" t="n">
        <v>45719</v>
      </c>
      <c r="C417" s="1" t="n">
        <v>45901</v>
      </c>
      <c r="D417" t="inlineStr">
        <is>
          <t>GOTLANDS LÄN</t>
        </is>
      </c>
      <c r="E417" t="inlineStr">
        <is>
          <t>GOTLAND</t>
        </is>
      </c>
      <c r="G417" t="n">
        <v>3.5</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45901</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32378-2025</t>
        </is>
      </c>
      <c r="B419" s="1" t="n">
        <v>45837</v>
      </c>
      <c r="C419" s="1" t="n">
        <v>45901</v>
      </c>
      <c r="D419" t="inlineStr">
        <is>
          <t>GOTLANDS LÄN</t>
        </is>
      </c>
      <c r="E419" t="inlineStr">
        <is>
          <t>GOTLAND</t>
        </is>
      </c>
      <c r="G419" t="n">
        <v>4.1</v>
      </c>
      <c r="H419" t="n">
        <v>0</v>
      </c>
      <c r="I419" t="n">
        <v>0</v>
      </c>
      <c r="J419" t="n">
        <v>0</v>
      </c>
      <c r="K419" t="n">
        <v>0</v>
      </c>
      <c r="L419" t="n">
        <v>0</v>
      </c>
      <c r="M419" t="n">
        <v>0</v>
      </c>
      <c r="N419" t="n">
        <v>0</v>
      </c>
      <c r="O419" t="n">
        <v>0</v>
      </c>
      <c r="P419" t="n">
        <v>0</v>
      </c>
      <c r="Q419" t="n">
        <v>0</v>
      </c>
      <c r="R419" s="2" t="inlineStr"/>
    </row>
    <row r="420" ht="15" customHeight="1">
      <c r="A420" t="inlineStr">
        <is>
          <t>A 16109-2025</t>
        </is>
      </c>
      <c r="B420" s="1" t="n">
        <v>45750</v>
      </c>
      <c r="C420" s="1" t="n">
        <v>45901</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33078-2025</t>
        </is>
      </c>
      <c r="B421" s="1" t="n">
        <v>45840</v>
      </c>
      <c r="C421" s="1" t="n">
        <v>45901</v>
      </c>
      <c r="D421" t="inlineStr">
        <is>
          <t>GOTLANDS LÄN</t>
        </is>
      </c>
      <c r="E421" t="inlineStr">
        <is>
          <t>GOTLAND</t>
        </is>
      </c>
      <c r="G421" t="n">
        <v>0.8</v>
      </c>
      <c r="H421" t="n">
        <v>0</v>
      </c>
      <c r="I421" t="n">
        <v>0</v>
      </c>
      <c r="J421" t="n">
        <v>0</v>
      </c>
      <c r="K421" t="n">
        <v>0</v>
      </c>
      <c r="L421" t="n">
        <v>0</v>
      </c>
      <c r="M421" t="n">
        <v>0</v>
      </c>
      <c r="N421" t="n">
        <v>0</v>
      </c>
      <c r="O421" t="n">
        <v>0</v>
      </c>
      <c r="P421" t="n">
        <v>0</v>
      </c>
      <c r="Q421" t="n">
        <v>0</v>
      </c>
      <c r="R421" s="2" t="inlineStr"/>
    </row>
    <row r="422" ht="15" customHeight="1">
      <c r="A422" t="inlineStr">
        <is>
          <t>A 56009-2024</t>
        </is>
      </c>
      <c r="B422" s="1" t="n">
        <v>45623.80864583333</v>
      </c>
      <c r="C422" s="1" t="n">
        <v>45901</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20660-2025</t>
        </is>
      </c>
      <c r="B423" s="1" t="n">
        <v>45776</v>
      </c>
      <c r="C423" s="1" t="n">
        <v>45901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42338-2023</t>
        </is>
      </c>
      <c r="B424" s="1" t="n">
        <v>45180</v>
      </c>
      <c r="C424" s="1" t="n">
        <v>45901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33007-2025</t>
        </is>
      </c>
      <c r="B425" s="1" t="n">
        <v>45840</v>
      </c>
      <c r="C425" s="1" t="n">
        <v>45901</v>
      </c>
      <c r="D425" t="inlineStr">
        <is>
          <t>GOTLANDS LÄN</t>
        </is>
      </c>
      <c r="E425" t="inlineStr">
        <is>
          <t>GOTLAND</t>
        </is>
      </c>
      <c r="G425" t="n">
        <v>4.9</v>
      </c>
      <c r="H425" t="n">
        <v>0</v>
      </c>
      <c r="I425" t="n">
        <v>0</v>
      </c>
      <c r="J425" t="n">
        <v>0</v>
      </c>
      <c r="K425" t="n">
        <v>0</v>
      </c>
      <c r="L425" t="n">
        <v>0</v>
      </c>
      <c r="M425" t="n">
        <v>0</v>
      </c>
      <c r="N425" t="n">
        <v>0</v>
      </c>
      <c r="O425" t="n">
        <v>0</v>
      </c>
      <c r="P425" t="n">
        <v>0</v>
      </c>
      <c r="Q425" t="n">
        <v>0</v>
      </c>
      <c r="R425" s="2" t="inlineStr"/>
    </row>
    <row r="426" ht="15" customHeight="1">
      <c r="A426" t="inlineStr">
        <is>
          <t>A 33011-2025</t>
        </is>
      </c>
      <c r="B426" s="1" t="n">
        <v>45840</v>
      </c>
      <c r="C426" s="1" t="n">
        <v>45901</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1734-2025</t>
        </is>
      </c>
      <c r="B427" s="1" t="n">
        <v>45671.3840625</v>
      </c>
      <c r="C427" s="1" t="n">
        <v>45901</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45901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20993-2023</t>
        </is>
      </c>
      <c r="B429" s="1" t="n">
        <v>45056</v>
      </c>
      <c r="C429" s="1" t="n">
        <v>45901</v>
      </c>
      <c r="D429" t="inlineStr">
        <is>
          <t>GOTLANDS LÄN</t>
        </is>
      </c>
      <c r="E429" t="inlineStr">
        <is>
          <t>GOTLAND</t>
        </is>
      </c>
      <c r="G429" t="n">
        <v>7.1</v>
      </c>
      <c r="H429" t="n">
        <v>0</v>
      </c>
      <c r="I429" t="n">
        <v>0</v>
      </c>
      <c r="J429" t="n">
        <v>0</v>
      </c>
      <c r="K429" t="n">
        <v>0</v>
      </c>
      <c r="L429" t="n">
        <v>0</v>
      </c>
      <c r="M429" t="n">
        <v>0</v>
      </c>
      <c r="N429" t="n">
        <v>0</v>
      </c>
      <c r="O429" t="n">
        <v>0</v>
      </c>
      <c r="P429" t="n">
        <v>0</v>
      </c>
      <c r="Q429" t="n">
        <v>0</v>
      </c>
      <c r="R429" s="2" t="inlineStr"/>
    </row>
    <row r="430" ht="15" customHeight="1">
      <c r="A430" t="inlineStr">
        <is>
          <t>A 581-2023</t>
        </is>
      </c>
      <c r="B430" s="1" t="n">
        <v>44930</v>
      </c>
      <c r="C430" s="1" t="n">
        <v>45901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12596-2023</t>
        </is>
      </c>
      <c r="B431" s="1" t="n">
        <v>45000.43310185185</v>
      </c>
      <c r="C431" s="1" t="n">
        <v>45901</v>
      </c>
      <c r="D431" t="inlineStr">
        <is>
          <t>GOTLANDS LÄN</t>
        </is>
      </c>
      <c r="E431" t="inlineStr">
        <is>
          <t>GOTLAND</t>
        </is>
      </c>
      <c r="G431" t="n">
        <v>4.1</v>
      </c>
      <c r="H431" t="n">
        <v>0</v>
      </c>
      <c r="I431" t="n">
        <v>0</v>
      </c>
      <c r="J431" t="n">
        <v>0</v>
      </c>
      <c r="K431" t="n">
        <v>0</v>
      </c>
      <c r="L431" t="n">
        <v>0</v>
      </c>
      <c r="M431" t="n">
        <v>0</v>
      </c>
      <c r="N431" t="n">
        <v>0</v>
      </c>
      <c r="O431" t="n">
        <v>0</v>
      </c>
      <c r="P431" t="n">
        <v>0</v>
      </c>
      <c r="Q431" t="n">
        <v>0</v>
      </c>
      <c r="R431" s="2" t="inlineStr"/>
    </row>
    <row r="432" ht="15" customHeight="1">
      <c r="A432" t="inlineStr">
        <is>
          <t>A 2125-2025</t>
        </is>
      </c>
      <c r="B432" s="1" t="n">
        <v>45672.64940972222</v>
      </c>
      <c r="C432" s="1" t="n">
        <v>45901</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61386-2023</t>
        </is>
      </c>
      <c r="B433" s="1" t="n">
        <v>45264</v>
      </c>
      <c r="C433" s="1" t="n">
        <v>45901</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12155-2023</t>
        </is>
      </c>
      <c r="B434" s="1" t="n">
        <v>44998.49106481481</v>
      </c>
      <c r="C434" s="1" t="n">
        <v>45901</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457-2023</t>
        </is>
      </c>
      <c r="B435" s="1" t="n">
        <v>44929.87238425926</v>
      </c>
      <c r="C435" s="1" t="n">
        <v>45901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459-2023</t>
        </is>
      </c>
      <c r="B436" s="1" t="n">
        <v>44929.87423611111</v>
      </c>
      <c r="C436" s="1" t="n">
        <v>45901</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873-2024</t>
        </is>
      </c>
      <c r="B437" s="1" t="n">
        <v>45301</v>
      </c>
      <c r="C437" s="1" t="n">
        <v>45901</v>
      </c>
      <c r="D437" t="inlineStr">
        <is>
          <t>GOTLANDS LÄN</t>
        </is>
      </c>
      <c r="E437" t="inlineStr">
        <is>
          <t>GOTLAND</t>
        </is>
      </c>
      <c r="G437" t="n">
        <v>2.7</v>
      </c>
      <c r="H437" t="n">
        <v>0</v>
      </c>
      <c r="I437" t="n">
        <v>0</v>
      </c>
      <c r="J437" t="n">
        <v>0</v>
      </c>
      <c r="K437" t="n">
        <v>0</v>
      </c>
      <c r="L437" t="n">
        <v>0</v>
      </c>
      <c r="M437" t="n">
        <v>0</v>
      </c>
      <c r="N437" t="n">
        <v>0</v>
      </c>
      <c r="O437" t="n">
        <v>0</v>
      </c>
      <c r="P437" t="n">
        <v>0</v>
      </c>
      <c r="Q437" t="n">
        <v>0</v>
      </c>
      <c r="R437" s="2" t="inlineStr"/>
    </row>
    <row r="438" ht="15" customHeight="1">
      <c r="A438" t="inlineStr">
        <is>
          <t>A 38234-2023</t>
        </is>
      </c>
      <c r="B438" s="1" t="n">
        <v>45161.56663194444</v>
      </c>
      <c r="C438" s="1" t="n">
        <v>45901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49411-2023</t>
        </is>
      </c>
      <c r="B439" s="1" t="n">
        <v>45205</v>
      </c>
      <c r="C439" s="1" t="n">
        <v>45901</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50744-2024</t>
        </is>
      </c>
      <c r="B440" s="1" t="n">
        <v>45602.4187037037</v>
      </c>
      <c r="C440" s="1" t="n">
        <v>45901</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45901</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45901</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53934-2024</t>
        </is>
      </c>
      <c r="B443" s="1" t="n">
        <v>45615</v>
      </c>
      <c r="C443" s="1" t="n">
        <v>45901</v>
      </c>
      <c r="D443" t="inlineStr">
        <is>
          <t>GOTLANDS LÄN</t>
        </is>
      </c>
      <c r="E443" t="inlineStr">
        <is>
          <t>GOTLAND</t>
        </is>
      </c>
      <c r="G443" t="n">
        <v>5</v>
      </c>
      <c r="H443" t="n">
        <v>0</v>
      </c>
      <c r="I443" t="n">
        <v>0</v>
      </c>
      <c r="J443" t="n">
        <v>0</v>
      </c>
      <c r="K443" t="n">
        <v>0</v>
      </c>
      <c r="L443" t="n">
        <v>0</v>
      </c>
      <c r="M443" t="n">
        <v>0</v>
      </c>
      <c r="N443" t="n">
        <v>0</v>
      </c>
      <c r="O443" t="n">
        <v>0</v>
      </c>
      <c r="P443" t="n">
        <v>0</v>
      </c>
      <c r="Q443" t="n">
        <v>0</v>
      </c>
      <c r="R443" s="2" t="inlineStr"/>
    </row>
    <row r="444" ht="15" customHeight="1">
      <c r="A444" t="inlineStr">
        <is>
          <t>A 14797-2024</t>
        </is>
      </c>
      <c r="B444" s="1" t="n">
        <v>45397.87030092593</v>
      </c>
      <c r="C444" s="1" t="n">
        <v>45901</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45901</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39278-2025</t>
        </is>
      </c>
      <c r="B446" s="1" t="n">
        <v>45889</v>
      </c>
      <c r="C446" s="1" t="n">
        <v>45901</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45901</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45901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45901</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40235-2025</t>
        </is>
      </c>
      <c r="B450" s="1" t="n">
        <v>45894.74005787037</v>
      </c>
      <c r="C450" s="1" t="n">
        <v>45901</v>
      </c>
      <c r="D450" t="inlineStr">
        <is>
          <t>GOTLANDS LÄN</t>
        </is>
      </c>
      <c r="E450" t="inlineStr">
        <is>
          <t>GOTLAND</t>
        </is>
      </c>
      <c r="G450" t="n">
        <v>10.6</v>
      </c>
      <c r="H450" t="n">
        <v>0</v>
      </c>
      <c r="I450" t="n">
        <v>0</v>
      </c>
      <c r="J450" t="n">
        <v>0</v>
      </c>
      <c r="K450" t="n">
        <v>0</v>
      </c>
      <c r="L450" t="n">
        <v>0</v>
      </c>
      <c r="M450" t="n">
        <v>0</v>
      </c>
      <c r="N450" t="n">
        <v>0</v>
      </c>
      <c r="O450" t="n">
        <v>0</v>
      </c>
      <c r="P450" t="n">
        <v>0</v>
      </c>
      <c r="Q450" t="n">
        <v>0</v>
      </c>
      <c r="R450" s="2" t="inlineStr"/>
    </row>
    <row r="451" ht="15" customHeight="1">
      <c r="A451" t="inlineStr">
        <is>
          <t>A 35123-2025</t>
        </is>
      </c>
      <c r="B451" s="1" t="n">
        <v>45852.614375</v>
      </c>
      <c r="C451" s="1" t="n">
        <v>45901</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35133-2025</t>
        </is>
      </c>
      <c r="B452" s="1" t="n">
        <v>45852.6363425926</v>
      </c>
      <c r="C452" s="1" t="n">
        <v>45901</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60675-2021</t>
        </is>
      </c>
      <c r="B453" s="1" t="n">
        <v>44496.64855324074</v>
      </c>
      <c r="C453" s="1" t="n">
        <v>45901</v>
      </c>
      <c r="D453" t="inlineStr">
        <is>
          <t>GOTLANDS LÄN</t>
        </is>
      </c>
      <c r="E453" t="inlineStr">
        <is>
          <t>GOTLAND</t>
        </is>
      </c>
      <c r="G453" t="n">
        <v>4.6</v>
      </c>
      <c r="H453" t="n">
        <v>0</v>
      </c>
      <c r="I453" t="n">
        <v>0</v>
      </c>
      <c r="J453" t="n">
        <v>0</v>
      </c>
      <c r="K453" t="n">
        <v>0</v>
      </c>
      <c r="L453" t="n">
        <v>0</v>
      </c>
      <c r="M453" t="n">
        <v>0</v>
      </c>
      <c r="N453" t="n">
        <v>0</v>
      </c>
      <c r="O453" t="n">
        <v>0</v>
      </c>
      <c r="P453" t="n">
        <v>0</v>
      </c>
      <c r="Q453" t="n">
        <v>0</v>
      </c>
      <c r="R453" s="2" t="inlineStr"/>
    </row>
    <row r="454" ht="15" customHeight="1">
      <c r="A454" t="inlineStr">
        <is>
          <t>A 36319-2025</t>
        </is>
      </c>
      <c r="B454" s="1" t="n">
        <v>45868.38543981482</v>
      </c>
      <c r="C454" s="1" t="n">
        <v>45901</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37728-2024</t>
        </is>
      </c>
      <c r="B455" s="1" t="n">
        <v>45541</v>
      </c>
      <c r="C455" s="1" t="n">
        <v>45901</v>
      </c>
      <c r="D455" t="inlineStr">
        <is>
          <t>GOTLANDS LÄN</t>
        </is>
      </c>
      <c r="E455" t="inlineStr">
        <is>
          <t>GOTLAND</t>
        </is>
      </c>
      <c r="G455" t="n">
        <v>0.4</v>
      </c>
      <c r="H455" t="n">
        <v>0</v>
      </c>
      <c r="I455" t="n">
        <v>0</v>
      </c>
      <c r="J455" t="n">
        <v>0</v>
      </c>
      <c r="K455" t="n">
        <v>0</v>
      </c>
      <c r="L455" t="n">
        <v>0</v>
      </c>
      <c r="M455" t="n">
        <v>0</v>
      </c>
      <c r="N455" t="n">
        <v>0</v>
      </c>
      <c r="O455" t="n">
        <v>0</v>
      </c>
      <c r="P455" t="n">
        <v>0</v>
      </c>
      <c r="Q455" t="n">
        <v>0</v>
      </c>
      <c r="R455" s="2" t="inlineStr"/>
    </row>
    <row r="456" ht="15" customHeight="1">
      <c r="A456" t="inlineStr">
        <is>
          <t>A 39814-2025</t>
        </is>
      </c>
      <c r="B456" s="1" t="n">
        <v>45891.52694444444</v>
      </c>
      <c r="C456" s="1" t="n">
        <v>45901</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35141-2025</t>
        </is>
      </c>
      <c r="B457" s="1" t="n">
        <v>45852.65206018519</v>
      </c>
      <c r="C457" s="1" t="n">
        <v>45901</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35096-2025</t>
        </is>
      </c>
      <c r="B458" s="1" t="n">
        <v>45852.54356481481</v>
      </c>
      <c r="C458" s="1" t="n">
        <v>45901</v>
      </c>
      <c r="D458" t="inlineStr">
        <is>
          <t>GOTLANDS LÄN</t>
        </is>
      </c>
      <c r="E458" t="inlineStr">
        <is>
          <t>GOTLAND</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45901</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39849-2025</t>
        </is>
      </c>
      <c r="B460" s="1" t="n">
        <v>45891.58502314815</v>
      </c>
      <c r="C460" s="1" t="n">
        <v>45901</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40103-2025</t>
        </is>
      </c>
      <c r="B461" s="1" t="n">
        <v>45894.4880324074</v>
      </c>
      <c r="C461" s="1" t="n">
        <v>45901</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35129-2025</t>
        </is>
      </c>
      <c r="B462" s="1" t="n">
        <v>45852.63224537037</v>
      </c>
      <c r="C462" s="1" t="n">
        <v>45901</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22287-2022</t>
        </is>
      </c>
      <c r="B463" s="1" t="n">
        <v>44712</v>
      </c>
      <c r="C463" s="1" t="n">
        <v>45901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39819-2025</t>
        </is>
      </c>
      <c r="B464" s="1" t="n">
        <v>45891.53418981482</v>
      </c>
      <c r="C464" s="1" t="n">
        <v>45901</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1446-2025</t>
        </is>
      </c>
      <c r="B465" s="1" t="n">
        <v>45669.86035879629</v>
      </c>
      <c r="C465" s="1" t="n">
        <v>45901</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10813-2025</t>
        </is>
      </c>
      <c r="B466" s="1" t="n">
        <v>45722.54163194444</v>
      </c>
      <c r="C466" s="1" t="n">
        <v>45901</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40372-2025</t>
        </is>
      </c>
      <c r="B467" s="1" t="n">
        <v>45895.5162037037</v>
      </c>
      <c r="C467" s="1" t="n">
        <v>45901</v>
      </c>
      <c r="D467" t="inlineStr">
        <is>
          <t>GOTLANDS LÄN</t>
        </is>
      </c>
      <c r="E467" t="inlineStr">
        <is>
          <t>GOTLAND</t>
        </is>
      </c>
      <c r="G467" t="n">
        <v>3.3</v>
      </c>
      <c r="H467" t="n">
        <v>0</v>
      </c>
      <c r="I467" t="n">
        <v>0</v>
      </c>
      <c r="J467" t="n">
        <v>0</v>
      </c>
      <c r="K467" t="n">
        <v>0</v>
      </c>
      <c r="L467" t="n">
        <v>0</v>
      </c>
      <c r="M467" t="n">
        <v>0</v>
      </c>
      <c r="N467" t="n">
        <v>0</v>
      </c>
      <c r="O467" t="n">
        <v>0</v>
      </c>
      <c r="P467" t="n">
        <v>0</v>
      </c>
      <c r="Q467" t="n">
        <v>0</v>
      </c>
      <c r="R467" s="2" t="inlineStr"/>
    </row>
    <row r="468" ht="15" customHeight="1">
      <c r="A468" t="inlineStr">
        <is>
          <t>A 40373-2025</t>
        </is>
      </c>
      <c r="B468" s="1" t="n">
        <v>45895.51821759259</v>
      </c>
      <c r="C468" s="1" t="n">
        <v>45901</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30104-2025</t>
        </is>
      </c>
      <c r="B469" s="1" t="n">
        <v>45826.68806712963</v>
      </c>
      <c r="C469" s="1" t="n">
        <v>45901</v>
      </c>
      <c r="D469" t="inlineStr">
        <is>
          <t>GOTLANDS LÄN</t>
        </is>
      </c>
      <c r="E469" t="inlineStr">
        <is>
          <t>GOTLAND</t>
        </is>
      </c>
      <c r="G469" t="n">
        <v>15.4</v>
      </c>
      <c r="H469" t="n">
        <v>0</v>
      </c>
      <c r="I469" t="n">
        <v>0</v>
      </c>
      <c r="J469" t="n">
        <v>0</v>
      </c>
      <c r="K469" t="n">
        <v>0</v>
      </c>
      <c r="L469" t="n">
        <v>0</v>
      </c>
      <c r="M469" t="n">
        <v>0</v>
      </c>
      <c r="N469" t="n">
        <v>0</v>
      </c>
      <c r="O469" t="n">
        <v>0</v>
      </c>
      <c r="P469" t="n">
        <v>0</v>
      </c>
      <c r="Q469" t="n">
        <v>0</v>
      </c>
      <c r="R469" s="2" t="inlineStr"/>
    </row>
    <row r="470" ht="15" customHeight="1">
      <c r="A470" t="inlineStr">
        <is>
          <t>A 40499-2025</t>
        </is>
      </c>
      <c r="B470" s="1" t="n">
        <v>45896.32517361111</v>
      </c>
      <c r="C470" s="1" t="n">
        <v>45901</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54074-2022</t>
        </is>
      </c>
      <c r="B471" s="1" t="n">
        <v>44881</v>
      </c>
      <c r="C471" s="1" t="n">
        <v>45901</v>
      </c>
      <c r="D471" t="inlineStr">
        <is>
          <t>GOTLANDS LÄN</t>
        </is>
      </c>
      <c r="E471" t="inlineStr">
        <is>
          <t>GOTLAND</t>
        </is>
      </c>
      <c r="G471" t="n">
        <v>0.9</v>
      </c>
      <c r="H471" t="n">
        <v>0</v>
      </c>
      <c r="I471" t="n">
        <v>0</v>
      </c>
      <c r="J471" t="n">
        <v>0</v>
      </c>
      <c r="K471" t="n">
        <v>0</v>
      </c>
      <c r="L471" t="n">
        <v>0</v>
      </c>
      <c r="M471" t="n">
        <v>0</v>
      </c>
      <c r="N471" t="n">
        <v>0</v>
      </c>
      <c r="O471" t="n">
        <v>0</v>
      </c>
      <c r="P471" t="n">
        <v>0</v>
      </c>
      <c r="Q471" t="n">
        <v>0</v>
      </c>
      <c r="R471" s="2" t="inlineStr"/>
    </row>
    <row r="472" ht="15" customHeight="1">
      <c r="A472" t="inlineStr">
        <is>
          <t>A 35290-2025</t>
        </is>
      </c>
      <c r="B472" s="1" t="n">
        <v>45854.38502314815</v>
      </c>
      <c r="C472" s="1" t="n">
        <v>45901</v>
      </c>
      <c r="D472" t="inlineStr">
        <is>
          <t>GOTLANDS LÄN</t>
        </is>
      </c>
      <c r="E472" t="inlineStr">
        <is>
          <t>GOTLAND</t>
        </is>
      </c>
      <c r="G472" t="n">
        <v>5.4</v>
      </c>
      <c r="H472" t="n">
        <v>0</v>
      </c>
      <c r="I472" t="n">
        <v>0</v>
      </c>
      <c r="J472" t="n">
        <v>0</v>
      </c>
      <c r="K472" t="n">
        <v>0</v>
      </c>
      <c r="L472" t="n">
        <v>0</v>
      </c>
      <c r="M472" t="n">
        <v>0</v>
      </c>
      <c r="N472" t="n">
        <v>0</v>
      </c>
      <c r="O472" t="n">
        <v>0</v>
      </c>
      <c r="P472" t="n">
        <v>0</v>
      </c>
      <c r="Q472" t="n">
        <v>0</v>
      </c>
      <c r="R472" s="2" t="inlineStr"/>
    </row>
    <row r="473" ht="15" customHeight="1">
      <c r="A473" t="inlineStr">
        <is>
          <t>A 39752-2025</t>
        </is>
      </c>
      <c r="B473" s="1" t="n">
        <v>45891</v>
      </c>
      <c r="C473" s="1" t="n">
        <v>45901</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45901</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32669-2024</t>
        </is>
      </c>
      <c r="B475" s="1" t="n">
        <v>45514</v>
      </c>
      <c r="C475" s="1" t="n">
        <v>45901</v>
      </c>
      <c r="D475" t="inlineStr">
        <is>
          <t>GOTLANDS LÄN</t>
        </is>
      </c>
      <c r="E475" t="inlineStr">
        <is>
          <t>GOTLAND</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31264-2021</t>
        </is>
      </c>
      <c r="B476" s="1" t="n">
        <v>44368</v>
      </c>
      <c r="C476" s="1" t="n">
        <v>45901</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65249-2023</t>
        </is>
      </c>
      <c r="B477" s="1" t="n">
        <v>45290</v>
      </c>
      <c r="C477" s="1" t="n">
        <v>45901</v>
      </c>
      <c r="D477" t="inlineStr">
        <is>
          <t>GOTLANDS LÄN</t>
        </is>
      </c>
      <c r="E477" t="inlineStr">
        <is>
          <t>GOTLAND</t>
        </is>
      </c>
      <c r="G477" t="n">
        <v>2.4</v>
      </c>
      <c r="H477" t="n">
        <v>0</v>
      </c>
      <c r="I477" t="n">
        <v>0</v>
      </c>
      <c r="J477" t="n">
        <v>0</v>
      </c>
      <c r="K477" t="n">
        <v>0</v>
      </c>
      <c r="L477" t="n">
        <v>0</v>
      </c>
      <c r="M477" t="n">
        <v>0</v>
      </c>
      <c r="N477" t="n">
        <v>0</v>
      </c>
      <c r="O477" t="n">
        <v>0</v>
      </c>
      <c r="P477" t="n">
        <v>0</v>
      </c>
      <c r="Q477" t="n">
        <v>0</v>
      </c>
      <c r="R477" s="2" t="inlineStr"/>
    </row>
    <row r="478" ht="15" customHeight="1">
      <c r="A478" t="inlineStr">
        <is>
          <t>A 43901-2023</t>
        </is>
      </c>
      <c r="B478" s="1" t="n">
        <v>45187</v>
      </c>
      <c r="C478" s="1" t="n">
        <v>45901</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2035-2025</t>
        </is>
      </c>
      <c r="B479" s="1" t="n">
        <v>45672</v>
      </c>
      <c r="C479" s="1" t="n">
        <v>45901</v>
      </c>
      <c r="D479" t="inlineStr">
        <is>
          <t>GOTLANDS LÄN</t>
        </is>
      </c>
      <c r="E479" t="inlineStr">
        <is>
          <t>GOTLAND</t>
        </is>
      </c>
      <c r="G479" t="n">
        <v>7.5</v>
      </c>
      <c r="H479" t="n">
        <v>0</v>
      </c>
      <c r="I479" t="n">
        <v>0</v>
      </c>
      <c r="J479" t="n">
        <v>0</v>
      </c>
      <c r="K479" t="n">
        <v>0</v>
      </c>
      <c r="L479" t="n">
        <v>0</v>
      </c>
      <c r="M479" t="n">
        <v>0</v>
      </c>
      <c r="N479" t="n">
        <v>0</v>
      </c>
      <c r="O479" t="n">
        <v>0</v>
      </c>
      <c r="P479" t="n">
        <v>0</v>
      </c>
      <c r="Q479" t="n">
        <v>0</v>
      </c>
      <c r="R479" s="2" t="inlineStr"/>
    </row>
    <row r="480" ht="15" customHeight="1">
      <c r="A480" t="inlineStr">
        <is>
          <t>A 35537-2025</t>
        </is>
      </c>
      <c r="B480" s="1" t="n">
        <v>45856</v>
      </c>
      <c r="C480" s="1" t="n">
        <v>45901</v>
      </c>
      <c r="D480" t="inlineStr">
        <is>
          <t>GOTLANDS LÄN</t>
        </is>
      </c>
      <c r="E480" t="inlineStr">
        <is>
          <t>GOTLAND</t>
        </is>
      </c>
      <c r="G480" t="n">
        <v>16.8</v>
      </c>
      <c r="H480" t="n">
        <v>0</v>
      </c>
      <c r="I480" t="n">
        <v>0</v>
      </c>
      <c r="J480" t="n">
        <v>0</v>
      </c>
      <c r="K480" t="n">
        <v>0</v>
      </c>
      <c r="L480" t="n">
        <v>0</v>
      </c>
      <c r="M480" t="n">
        <v>0</v>
      </c>
      <c r="N480" t="n">
        <v>0</v>
      </c>
      <c r="O480" t="n">
        <v>0</v>
      </c>
      <c r="P480" t="n">
        <v>0</v>
      </c>
      <c r="Q480" t="n">
        <v>0</v>
      </c>
      <c r="R480" s="2" t="inlineStr"/>
    </row>
    <row r="481" ht="15" customHeight="1">
      <c r="A481" t="inlineStr">
        <is>
          <t>A 10746-2025</t>
        </is>
      </c>
      <c r="B481" s="1" t="n">
        <v>45722.42766203704</v>
      </c>
      <c r="C481" s="1" t="n">
        <v>45901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35550-2025</t>
        </is>
      </c>
      <c r="B482" s="1" t="n">
        <v>45856.49324074074</v>
      </c>
      <c r="C482" s="1" t="n">
        <v>45901</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16501-2023</t>
        </is>
      </c>
      <c r="B483" s="1" t="n">
        <v>45029</v>
      </c>
      <c r="C483" s="1" t="n">
        <v>45901</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55334-2024</t>
        </is>
      </c>
      <c r="B484" s="1" t="n">
        <v>45621</v>
      </c>
      <c r="C484" s="1" t="n">
        <v>45901</v>
      </c>
      <c r="D484" t="inlineStr">
        <is>
          <t>GOTLANDS LÄN</t>
        </is>
      </c>
      <c r="E484" t="inlineStr">
        <is>
          <t>GOTLAND</t>
        </is>
      </c>
      <c r="G484" t="n">
        <v>21.7</v>
      </c>
      <c r="H484" t="n">
        <v>0</v>
      </c>
      <c r="I484" t="n">
        <v>0</v>
      </c>
      <c r="J484" t="n">
        <v>0</v>
      </c>
      <c r="K484" t="n">
        <v>0</v>
      </c>
      <c r="L484" t="n">
        <v>0</v>
      </c>
      <c r="M484" t="n">
        <v>0</v>
      </c>
      <c r="N484" t="n">
        <v>0</v>
      </c>
      <c r="O484" t="n">
        <v>0</v>
      </c>
      <c r="P484" t="n">
        <v>0</v>
      </c>
      <c r="Q484" t="n">
        <v>0</v>
      </c>
      <c r="R484" s="2" t="inlineStr"/>
    </row>
    <row r="485" ht="15" customHeight="1">
      <c r="A485" t="inlineStr">
        <is>
          <t>A 27930-2021</t>
        </is>
      </c>
      <c r="B485" s="1" t="n">
        <v>44354</v>
      </c>
      <c r="C485" s="1" t="n">
        <v>45901</v>
      </c>
      <c r="D485" t="inlineStr">
        <is>
          <t>GOTLANDS LÄN</t>
        </is>
      </c>
      <c r="E485" t="inlineStr">
        <is>
          <t>GOTLAND</t>
        </is>
      </c>
      <c r="G485" t="n">
        <v>2.5</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45653.54340277778</v>
      </c>
      <c r="C486" s="1" t="n">
        <v>45901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13910-2025</t>
        </is>
      </c>
      <c r="B487" s="1" t="n">
        <v>45737</v>
      </c>
      <c r="C487" s="1" t="n">
        <v>45901</v>
      </c>
      <c r="D487" t="inlineStr">
        <is>
          <t>GOTLANDS LÄN</t>
        </is>
      </c>
      <c r="E487" t="inlineStr">
        <is>
          <t>GOTLAND</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45901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1728-2025</t>
        </is>
      </c>
      <c r="B489" s="1" t="n">
        <v>45671.3565162037</v>
      </c>
      <c r="C489" s="1" t="n">
        <v>45901</v>
      </c>
      <c r="D489" t="inlineStr">
        <is>
          <t>GOTLANDS LÄN</t>
        </is>
      </c>
      <c r="E489" t="inlineStr">
        <is>
          <t>GOTLAND</t>
        </is>
      </c>
      <c r="G489" t="n">
        <v>2</v>
      </c>
      <c r="H489" t="n">
        <v>0</v>
      </c>
      <c r="I489" t="n">
        <v>0</v>
      </c>
      <c r="J489" t="n">
        <v>0</v>
      </c>
      <c r="K489" t="n">
        <v>0</v>
      </c>
      <c r="L489" t="n">
        <v>0</v>
      </c>
      <c r="M489" t="n">
        <v>0</v>
      </c>
      <c r="N489" t="n">
        <v>0</v>
      </c>
      <c r="O489" t="n">
        <v>0</v>
      </c>
      <c r="P489" t="n">
        <v>0</v>
      </c>
      <c r="Q489" t="n">
        <v>0</v>
      </c>
      <c r="R489" s="2" t="inlineStr"/>
    </row>
    <row r="490" ht="15" customHeight="1">
      <c r="A490" t="inlineStr">
        <is>
          <t>A 17780-2022</t>
        </is>
      </c>
      <c r="B490" s="1" t="n">
        <v>44682.82622685185</v>
      </c>
      <c r="C490" s="1" t="n">
        <v>45901</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5909-2025</t>
        </is>
      </c>
      <c r="B491" s="1" t="n">
        <v>45695.40634259259</v>
      </c>
      <c r="C491" s="1" t="n">
        <v>45901</v>
      </c>
      <c r="D491" t="inlineStr">
        <is>
          <t>GOTLANDS LÄN</t>
        </is>
      </c>
      <c r="E491" t="inlineStr">
        <is>
          <t>GOTLAND</t>
        </is>
      </c>
      <c r="G491" t="n">
        <v>2.9</v>
      </c>
      <c r="H491" t="n">
        <v>0</v>
      </c>
      <c r="I491" t="n">
        <v>0</v>
      </c>
      <c r="J491" t="n">
        <v>0</v>
      </c>
      <c r="K491" t="n">
        <v>0</v>
      </c>
      <c r="L491" t="n">
        <v>0</v>
      </c>
      <c r="M491" t="n">
        <v>0</v>
      </c>
      <c r="N491" t="n">
        <v>0</v>
      </c>
      <c r="O491" t="n">
        <v>0</v>
      </c>
      <c r="P491" t="n">
        <v>0</v>
      </c>
      <c r="Q491" t="n">
        <v>0</v>
      </c>
      <c r="R491" s="2" t="inlineStr"/>
    </row>
    <row r="492" ht="15" customHeight="1">
      <c r="A492" t="inlineStr">
        <is>
          <t>A 10653-2023</t>
        </is>
      </c>
      <c r="B492" s="1" t="n">
        <v>44988.48859953704</v>
      </c>
      <c r="C492" s="1" t="n">
        <v>45901</v>
      </c>
      <c r="D492" t="inlineStr">
        <is>
          <t>GOTLANDS LÄN</t>
        </is>
      </c>
      <c r="E492" t="inlineStr">
        <is>
          <t>GOTLAND</t>
        </is>
      </c>
      <c r="F492" t="inlineStr">
        <is>
          <t>Kyrkan</t>
        </is>
      </c>
      <c r="G492" t="n">
        <v>3</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45901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4990-2025</t>
        </is>
      </c>
      <c r="B494" s="1" t="n">
        <v>45691</v>
      </c>
      <c r="C494" s="1" t="n">
        <v>45901</v>
      </c>
      <c r="D494" t="inlineStr">
        <is>
          <t>GOTLANDS LÄN</t>
        </is>
      </c>
      <c r="E494" t="inlineStr">
        <is>
          <t>GOTLAND</t>
        </is>
      </c>
      <c r="G494" t="n">
        <v>7.7</v>
      </c>
      <c r="H494" t="n">
        <v>0</v>
      </c>
      <c r="I494" t="n">
        <v>0</v>
      </c>
      <c r="J494" t="n">
        <v>0</v>
      </c>
      <c r="K494" t="n">
        <v>0</v>
      </c>
      <c r="L494" t="n">
        <v>0</v>
      </c>
      <c r="M494" t="n">
        <v>0</v>
      </c>
      <c r="N494" t="n">
        <v>0</v>
      </c>
      <c r="O494" t="n">
        <v>0</v>
      </c>
      <c r="P494" t="n">
        <v>0</v>
      </c>
      <c r="Q494" t="n">
        <v>0</v>
      </c>
      <c r="R494" s="2" t="inlineStr"/>
    </row>
    <row r="495" ht="15" customHeight="1">
      <c r="A495" t="inlineStr">
        <is>
          <t>A 59986-2022</t>
        </is>
      </c>
      <c r="B495" s="1" t="n">
        <v>44909</v>
      </c>
      <c r="C495" s="1" t="n">
        <v>45901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14536-2021</t>
        </is>
      </c>
      <c r="B496" s="1" t="n">
        <v>44279.66168981481</v>
      </c>
      <c r="C496" s="1" t="n">
        <v>45901</v>
      </c>
      <c r="D496" t="inlineStr">
        <is>
          <t>GOTLANDS LÄN</t>
        </is>
      </c>
      <c r="E496" t="inlineStr">
        <is>
          <t>GOTLAND</t>
        </is>
      </c>
      <c r="G496" t="n">
        <v>8.5</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45901</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32958-2021</t>
        </is>
      </c>
      <c r="B498" s="1" t="n">
        <v>44376</v>
      </c>
      <c r="C498" s="1" t="n">
        <v>45901</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5884-2025</t>
        </is>
      </c>
      <c r="B499" s="1" t="n">
        <v>45695.37482638889</v>
      </c>
      <c r="C499" s="1" t="n">
        <v>45901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5897-2025</t>
        </is>
      </c>
      <c r="B500" s="1" t="n">
        <v>45695.39273148148</v>
      </c>
      <c r="C500" s="1" t="n">
        <v>45901</v>
      </c>
      <c r="D500" t="inlineStr">
        <is>
          <t>GOTLANDS LÄN</t>
        </is>
      </c>
      <c r="E500" t="inlineStr">
        <is>
          <t>GOTLAND</t>
        </is>
      </c>
      <c r="G500" t="n">
        <v>3.7</v>
      </c>
      <c r="H500" t="n">
        <v>0</v>
      </c>
      <c r="I500" t="n">
        <v>0</v>
      </c>
      <c r="J500" t="n">
        <v>0</v>
      </c>
      <c r="K500" t="n">
        <v>0</v>
      </c>
      <c r="L500" t="n">
        <v>0</v>
      </c>
      <c r="M500" t="n">
        <v>0</v>
      </c>
      <c r="N500" t="n">
        <v>0</v>
      </c>
      <c r="O500" t="n">
        <v>0</v>
      </c>
      <c r="P500" t="n">
        <v>0</v>
      </c>
      <c r="Q500" t="n">
        <v>0</v>
      </c>
      <c r="R500" s="2" t="inlineStr"/>
    </row>
    <row r="501" ht="15" customHeight="1">
      <c r="A501" t="inlineStr">
        <is>
          <t>A 49693-2023</t>
        </is>
      </c>
      <c r="B501" s="1" t="n">
        <v>45212.38138888889</v>
      </c>
      <c r="C501" s="1" t="n">
        <v>45901</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49697-2023</t>
        </is>
      </c>
      <c r="B502" s="1" t="n">
        <v>45212.38909722222</v>
      </c>
      <c r="C502" s="1" t="n">
        <v>45901</v>
      </c>
      <c r="D502" t="inlineStr">
        <is>
          <t>GOTLANDS LÄN</t>
        </is>
      </c>
      <c r="E502" t="inlineStr">
        <is>
          <t>GOTLAND</t>
        </is>
      </c>
      <c r="G502" t="n">
        <v>4.4</v>
      </c>
      <c r="H502" t="n">
        <v>0</v>
      </c>
      <c r="I502" t="n">
        <v>0</v>
      </c>
      <c r="J502" t="n">
        <v>0</v>
      </c>
      <c r="K502" t="n">
        <v>0</v>
      </c>
      <c r="L502" t="n">
        <v>0</v>
      </c>
      <c r="M502" t="n">
        <v>0</v>
      </c>
      <c r="N502" t="n">
        <v>0</v>
      </c>
      <c r="O502" t="n">
        <v>0</v>
      </c>
      <c r="P502" t="n">
        <v>0</v>
      </c>
      <c r="Q502" t="n">
        <v>0</v>
      </c>
      <c r="R502" s="2" t="inlineStr"/>
    </row>
    <row r="503" ht="15" customHeight="1">
      <c r="A503" t="inlineStr">
        <is>
          <t>A 17901-2023</t>
        </is>
      </c>
      <c r="B503" s="1" t="n">
        <v>45039</v>
      </c>
      <c r="C503" s="1" t="n">
        <v>45901</v>
      </c>
      <c r="D503" t="inlineStr">
        <is>
          <t>GOTLANDS LÄN</t>
        </is>
      </c>
      <c r="E503" t="inlineStr">
        <is>
          <t>GOTLAND</t>
        </is>
      </c>
      <c r="F503" t="inlineStr">
        <is>
          <t>Kyrkan</t>
        </is>
      </c>
      <c r="G503" t="n">
        <v>0.6</v>
      </c>
      <c r="H503" t="n">
        <v>0</v>
      </c>
      <c r="I503" t="n">
        <v>0</v>
      </c>
      <c r="J503" t="n">
        <v>0</v>
      </c>
      <c r="K503" t="n">
        <v>0</v>
      </c>
      <c r="L503" t="n">
        <v>0</v>
      </c>
      <c r="M503" t="n">
        <v>0</v>
      </c>
      <c r="N503" t="n">
        <v>0</v>
      </c>
      <c r="O503" t="n">
        <v>0</v>
      </c>
      <c r="P503" t="n">
        <v>0</v>
      </c>
      <c r="Q503" t="n">
        <v>0</v>
      </c>
      <c r="R503" s="2" t="inlineStr"/>
    </row>
    <row r="504" ht="15" customHeight="1">
      <c r="A504" t="inlineStr">
        <is>
          <t>A 11874-2024</t>
        </is>
      </c>
      <c r="B504" s="1" t="n">
        <v>45376.46956018519</v>
      </c>
      <c r="C504" s="1" t="n">
        <v>45901</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2292-2021</t>
        </is>
      </c>
      <c r="B505" s="1" t="n">
        <v>44212</v>
      </c>
      <c r="C505" s="1" t="n">
        <v>45901</v>
      </c>
      <c r="D505" t="inlineStr">
        <is>
          <t>GOTLANDS LÄN</t>
        </is>
      </c>
      <c r="E505" t="inlineStr">
        <is>
          <t>GOTLAND</t>
        </is>
      </c>
      <c r="G505" t="n">
        <v>3</v>
      </c>
      <c r="H505" t="n">
        <v>0</v>
      </c>
      <c r="I505" t="n">
        <v>0</v>
      </c>
      <c r="J505" t="n">
        <v>0</v>
      </c>
      <c r="K505" t="n">
        <v>0</v>
      </c>
      <c r="L505" t="n">
        <v>0</v>
      </c>
      <c r="M505" t="n">
        <v>0</v>
      </c>
      <c r="N505" t="n">
        <v>0</v>
      </c>
      <c r="O505" t="n">
        <v>0</v>
      </c>
      <c r="P505" t="n">
        <v>0</v>
      </c>
      <c r="Q505" t="n">
        <v>0</v>
      </c>
      <c r="R505" s="2" t="inlineStr"/>
    </row>
    <row r="506" ht="15" customHeight="1">
      <c r="A506" t="inlineStr">
        <is>
          <t>A 42041-2024</t>
        </is>
      </c>
      <c r="B506" s="1" t="n">
        <v>45561</v>
      </c>
      <c r="C506" s="1" t="n">
        <v>45901</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61694-2023</t>
        </is>
      </c>
      <c r="B507" s="1" t="n">
        <v>45264</v>
      </c>
      <c r="C507" s="1" t="n">
        <v>45901</v>
      </c>
      <c r="D507" t="inlineStr">
        <is>
          <t>GOTLANDS LÄN</t>
        </is>
      </c>
      <c r="E507" t="inlineStr">
        <is>
          <t>GOTLAND</t>
        </is>
      </c>
      <c r="G507" t="n">
        <v>4.6</v>
      </c>
      <c r="H507" t="n">
        <v>0</v>
      </c>
      <c r="I507" t="n">
        <v>0</v>
      </c>
      <c r="J507" t="n">
        <v>0</v>
      </c>
      <c r="K507" t="n">
        <v>0</v>
      </c>
      <c r="L507" t="n">
        <v>0</v>
      </c>
      <c r="M507" t="n">
        <v>0</v>
      </c>
      <c r="N507" t="n">
        <v>0</v>
      </c>
      <c r="O507" t="n">
        <v>0</v>
      </c>
      <c r="P507" t="n">
        <v>0</v>
      </c>
      <c r="Q507" t="n">
        <v>0</v>
      </c>
      <c r="R507" s="2" t="inlineStr"/>
    </row>
    <row r="508" ht="15" customHeight="1">
      <c r="A508" t="inlineStr">
        <is>
          <t>A 52892-2021</t>
        </is>
      </c>
      <c r="B508" s="1" t="n">
        <v>44467.49048611111</v>
      </c>
      <c r="C508" s="1" t="n">
        <v>45901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1713-2025</t>
        </is>
      </c>
      <c r="B509" s="1" t="n">
        <v>45671.32342592593</v>
      </c>
      <c r="C509" s="1" t="n">
        <v>45901</v>
      </c>
      <c r="D509" t="inlineStr">
        <is>
          <t>GOTLANDS LÄN</t>
        </is>
      </c>
      <c r="E509" t="inlineStr">
        <is>
          <t>GOTLAND</t>
        </is>
      </c>
      <c r="G509" t="n">
        <v>10.1</v>
      </c>
      <c r="H509" t="n">
        <v>0</v>
      </c>
      <c r="I509" t="n">
        <v>0</v>
      </c>
      <c r="J509" t="n">
        <v>0</v>
      </c>
      <c r="K509" t="n">
        <v>0</v>
      </c>
      <c r="L509" t="n">
        <v>0</v>
      </c>
      <c r="M509" t="n">
        <v>0</v>
      </c>
      <c r="N509" t="n">
        <v>0</v>
      </c>
      <c r="O509" t="n">
        <v>0</v>
      </c>
      <c r="P509" t="n">
        <v>0</v>
      </c>
      <c r="Q509" t="n">
        <v>0</v>
      </c>
      <c r="R509" s="2" t="inlineStr"/>
    </row>
    <row r="510" ht="15" customHeight="1">
      <c r="A510" t="inlineStr">
        <is>
          <t>A 46396-2023</t>
        </is>
      </c>
      <c r="B510" s="1" t="n">
        <v>45197</v>
      </c>
      <c r="C510" s="1" t="n">
        <v>45901</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64555-2023</t>
        </is>
      </c>
      <c r="B511" s="1" t="n">
        <v>45281</v>
      </c>
      <c r="C511" s="1" t="n">
        <v>45901</v>
      </c>
      <c r="D511" t="inlineStr">
        <is>
          <t>GOTLANDS LÄN</t>
        </is>
      </c>
      <c r="E511" t="inlineStr">
        <is>
          <t>GOTLAND</t>
        </is>
      </c>
      <c r="G511" t="n">
        <v>3.5</v>
      </c>
      <c r="H511" t="n">
        <v>0</v>
      </c>
      <c r="I511" t="n">
        <v>0</v>
      </c>
      <c r="J511" t="n">
        <v>0</v>
      </c>
      <c r="K511" t="n">
        <v>0</v>
      </c>
      <c r="L511" t="n">
        <v>0</v>
      </c>
      <c r="M511" t="n">
        <v>0</v>
      </c>
      <c r="N511" t="n">
        <v>0</v>
      </c>
      <c r="O511" t="n">
        <v>0</v>
      </c>
      <c r="P511" t="n">
        <v>0</v>
      </c>
      <c r="Q511" t="n">
        <v>0</v>
      </c>
      <c r="R511" s="2" t="inlineStr"/>
    </row>
    <row r="512" ht="15" customHeight="1">
      <c r="A512" t="inlineStr">
        <is>
          <t>A 64831-2023</t>
        </is>
      </c>
      <c r="B512" s="1" t="n">
        <v>45282.44924768519</v>
      </c>
      <c r="C512" s="1" t="n">
        <v>45901</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14804-2021</t>
        </is>
      </c>
      <c r="B513" s="1" t="n">
        <v>44280</v>
      </c>
      <c r="C513" s="1" t="n">
        <v>45901</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17724-2024</t>
        </is>
      </c>
      <c r="B514" s="1" t="n">
        <v>45418.55096064815</v>
      </c>
      <c r="C514" s="1" t="n">
        <v>45901</v>
      </c>
      <c r="D514" t="inlineStr">
        <is>
          <t>GOTLANDS LÄN</t>
        </is>
      </c>
      <c r="E514" t="inlineStr">
        <is>
          <t>GOTLAND</t>
        </is>
      </c>
      <c r="G514" t="n">
        <v>2</v>
      </c>
      <c r="H514" t="n">
        <v>0</v>
      </c>
      <c r="I514" t="n">
        <v>0</v>
      </c>
      <c r="J514" t="n">
        <v>0</v>
      </c>
      <c r="K514" t="n">
        <v>0</v>
      </c>
      <c r="L514" t="n">
        <v>0</v>
      </c>
      <c r="M514" t="n">
        <v>0</v>
      </c>
      <c r="N514" t="n">
        <v>0</v>
      </c>
      <c r="O514" t="n">
        <v>0</v>
      </c>
      <c r="P514" t="n">
        <v>0</v>
      </c>
      <c r="Q514" t="n">
        <v>0</v>
      </c>
      <c r="R514" s="2" t="inlineStr"/>
    </row>
    <row r="515" ht="15" customHeight="1">
      <c r="A515" t="inlineStr">
        <is>
          <t>A 999-2023</t>
        </is>
      </c>
      <c r="B515" s="1" t="n">
        <v>44935</v>
      </c>
      <c r="C515" s="1" t="n">
        <v>45901</v>
      </c>
      <c r="D515" t="inlineStr">
        <is>
          <t>GOTLANDS LÄN</t>
        </is>
      </c>
      <c r="E515" t="inlineStr">
        <is>
          <t>GOTLAND</t>
        </is>
      </c>
      <c r="G515" t="n">
        <v>4.7</v>
      </c>
      <c r="H515" t="n">
        <v>0</v>
      </c>
      <c r="I515" t="n">
        <v>0</v>
      </c>
      <c r="J515" t="n">
        <v>0</v>
      </c>
      <c r="K515" t="n">
        <v>0</v>
      </c>
      <c r="L515" t="n">
        <v>0</v>
      </c>
      <c r="M515" t="n">
        <v>0</v>
      </c>
      <c r="N515" t="n">
        <v>0</v>
      </c>
      <c r="O515" t="n">
        <v>0</v>
      </c>
      <c r="P515" t="n">
        <v>0</v>
      </c>
      <c r="Q515" t="n">
        <v>0</v>
      </c>
      <c r="R515" s="2" t="inlineStr"/>
    </row>
    <row r="516" ht="15" customHeight="1">
      <c r="A516" t="inlineStr">
        <is>
          <t>A 34312-2024</t>
        </is>
      </c>
      <c r="B516" s="1" t="n">
        <v>45524.69703703704</v>
      </c>
      <c r="C516" s="1" t="n">
        <v>45901</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27602-2023</t>
        </is>
      </c>
      <c r="B517" s="1" t="n">
        <v>45097</v>
      </c>
      <c r="C517" s="1" t="n">
        <v>45901</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45901</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45901</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69112-2021</t>
        </is>
      </c>
      <c r="B520" s="1" t="n">
        <v>44530</v>
      </c>
      <c r="C520" s="1" t="n">
        <v>45901</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4377-2023</t>
        </is>
      </c>
      <c r="B521" s="1" t="n">
        <v>44955.5502662037</v>
      </c>
      <c r="C521" s="1" t="n">
        <v>45901</v>
      </c>
      <c r="D521" t="inlineStr">
        <is>
          <t>GOTLANDS LÄN</t>
        </is>
      </c>
      <c r="E521" t="inlineStr">
        <is>
          <t>GOTLAND</t>
        </is>
      </c>
      <c r="F521" t="inlineStr">
        <is>
          <t>Kyrkan</t>
        </is>
      </c>
      <c r="G521" t="n">
        <v>0.6</v>
      </c>
      <c r="H521" t="n">
        <v>0</v>
      </c>
      <c r="I521" t="n">
        <v>0</v>
      </c>
      <c r="J521" t="n">
        <v>0</v>
      </c>
      <c r="K521" t="n">
        <v>0</v>
      </c>
      <c r="L521" t="n">
        <v>0</v>
      </c>
      <c r="M521" t="n">
        <v>0</v>
      </c>
      <c r="N521" t="n">
        <v>0</v>
      </c>
      <c r="O521" t="n">
        <v>0</v>
      </c>
      <c r="P521" t="n">
        <v>0</v>
      </c>
      <c r="Q521" t="n">
        <v>0</v>
      </c>
      <c r="R521" s="2" t="inlineStr"/>
    </row>
    <row r="522" ht="15" customHeight="1">
      <c r="A522" t="inlineStr">
        <is>
          <t>A 4387-2023</t>
        </is>
      </c>
      <c r="B522" s="1" t="n">
        <v>44955.73359953704</v>
      </c>
      <c r="C522" s="1" t="n">
        <v>45901</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45901</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45901</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45901</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1394-2023</t>
        </is>
      </c>
      <c r="B526" s="1" t="n">
        <v>44936.72997685185</v>
      </c>
      <c r="C526" s="1" t="n">
        <v>45901</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58230-2024</t>
        </is>
      </c>
      <c r="B527" s="1" t="n">
        <v>45632.51625</v>
      </c>
      <c r="C527" s="1" t="n">
        <v>45901</v>
      </c>
      <c r="D527" t="inlineStr">
        <is>
          <t>GOTLANDS LÄN</t>
        </is>
      </c>
      <c r="E527" t="inlineStr">
        <is>
          <t>GOTLAND</t>
        </is>
      </c>
      <c r="G527" t="n">
        <v>7.3</v>
      </c>
      <c r="H527" t="n">
        <v>0</v>
      </c>
      <c r="I527" t="n">
        <v>0</v>
      </c>
      <c r="J527" t="n">
        <v>0</v>
      </c>
      <c r="K527" t="n">
        <v>0</v>
      </c>
      <c r="L527" t="n">
        <v>0</v>
      </c>
      <c r="M527" t="n">
        <v>0</v>
      </c>
      <c r="N527" t="n">
        <v>0</v>
      </c>
      <c r="O527" t="n">
        <v>0</v>
      </c>
      <c r="P527" t="n">
        <v>0</v>
      </c>
      <c r="Q527" t="n">
        <v>0</v>
      </c>
      <c r="R527" s="2" t="inlineStr"/>
    </row>
    <row r="528" ht="15" customHeight="1">
      <c r="A528" t="inlineStr">
        <is>
          <t>A 51963-2024</t>
        </is>
      </c>
      <c r="B528" s="1" t="n">
        <v>45607.64833333333</v>
      </c>
      <c r="C528" s="1" t="n">
        <v>45901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45901</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22883-2024</t>
        </is>
      </c>
      <c r="B530" s="1" t="n">
        <v>45448.66368055555</v>
      </c>
      <c r="C530" s="1" t="n">
        <v>45901</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811-2023</t>
        </is>
      </c>
      <c r="B531" s="1" t="n">
        <v>44931</v>
      </c>
      <c r="C531" s="1" t="n">
        <v>45901</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46389-2021</t>
        </is>
      </c>
      <c r="B532" s="1" t="n">
        <v>44443</v>
      </c>
      <c r="C532" s="1" t="n">
        <v>45901</v>
      </c>
      <c r="D532" t="inlineStr">
        <is>
          <t>GOTLANDS LÄN</t>
        </is>
      </c>
      <c r="E532" t="inlineStr">
        <is>
          <t>GOTLAND</t>
        </is>
      </c>
      <c r="F532" t="inlineStr">
        <is>
          <t>Kyrkan</t>
        </is>
      </c>
      <c r="G532" t="n">
        <v>2.1</v>
      </c>
      <c r="H532" t="n">
        <v>0</v>
      </c>
      <c r="I532" t="n">
        <v>0</v>
      </c>
      <c r="J532" t="n">
        <v>0</v>
      </c>
      <c r="K532" t="n">
        <v>0</v>
      </c>
      <c r="L532" t="n">
        <v>0</v>
      </c>
      <c r="M532" t="n">
        <v>0</v>
      </c>
      <c r="N532" t="n">
        <v>0</v>
      </c>
      <c r="O532" t="n">
        <v>0</v>
      </c>
      <c r="P532" t="n">
        <v>0</v>
      </c>
      <c r="Q532" t="n">
        <v>0</v>
      </c>
      <c r="R532" s="2" t="inlineStr"/>
    </row>
    <row r="533" ht="15" customHeight="1">
      <c r="A533" t="inlineStr">
        <is>
          <t>A 25129-2023</t>
        </is>
      </c>
      <c r="B533" s="1" t="n">
        <v>45086.44261574074</v>
      </c>
      <c r="C533" s="1" t="n">
        <v>45901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17343-2025</t>
        </is>
      </c>
      <c r="B534" s="1" t="n">
        <v>45756.6687037037</v>
      </c>
      <c r="C534" s="1" t="n">
        <v>45901</v>
      </c>
      <c r="D534" t="inlineStr">
        <is>
          <t>GOTLANDS LÄN</t>
        </is>
      </c>
      <c r="E534" t="inlineStr">
        <is>
          <t>GOTLAND</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24192-2023</t>
        </is>
      </c>
      <c r="B535" s="1" t="n">
        <v>45079</v>
      </c>
      <c r="C535" s="1" t="n">
        <v>45901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18914-2025</t>
        </is>
      </c>
      <c r="B536" s="1" t="n">
        <v>45764.46783564815</v>
      </c>
      <c r="C536" s="1" t="n">
        <v>45901</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26810-2021</t>
        </is>
      </c>
      <c r="B537" s="1" t="n">
        <v>44349.55087962963</v>
      </c>
      <c r="C537" s="1" t="n">
        <v>45901</v>
      </c>
      <c r="D537" t="inlineStr">
        <is>
          <t>GOTLANDS LÄN</t>
        </is>
      </c>
      <c r="E537" t="inlineStr">
        <is>
          <t>GOTLAND</t>
        </is>
      </c>
      <c r="G537" t="n">
        <v>3.5</v>
      </c>
      <c r="H537" t="n">
        <v>0</v>
      </c>
      <c r="I537" t="n">
        <v>0</v>
      </c>
      <c r="J537" t="n">
        <v>0</v>
      </c>
      <c r="K537" t="n">
        <v>0</v>
      </c>
      <c r="L537" t="n">
        <v>0</v>
      </c>
      <c r="M537" t="n">
        <v>0</v>
      </c>
      <c r="N537" t="n">
        <v>0</v>
      </c>
      <c r="O537" t="n">
        <v>0</v>
      </c>
      <c r="P537" t="n">
        <v>0</v>
      </c>
      <c r="Q537" t="n">
        <v>0</v>
      </c>
      <c r="R537" s="2" t="inlineStr"/>
    </row>
    <row r="538" ht="15" customHeight="1">
      <c r="A538" t="inlineStr">
        <is>
          <t>A 18742-2025</t>
        </is>
      </c>
      <c r="B538" s="1" t="n">
        <v>45763</v>
      </c>
      <c r="C538" s="1" t="n">
        <v>45901</v>
      </c>
      <c r="D538" t="inlineStr">
        <is>
          <t>GOTLANDS LÄN</t>
        </is>
      </c>
      <c r="E538" t="inlineStr">
        <is>
          <t>GOTLAND</t>
        </is>
      </c>
      <c r="G538" t="n">
        <v>3.4</v>
      </c>
      <c r="H538" t="n">
        <v>0</v>
      </c>
      <c r="I538" t="n">
        <v>0</v>
      </c>
      <c r="J538" t="n">
        <v>0</v>
      </c>
      <c r="K538" t="n">
        <v>0</v>
      </c>
      <c r="L538" t="n">
        <v>0</v>
      </c>
      <c r="M538" t="n">
        <v>0</v>
      </c>
      <c r="N538" t="n">
        <v>0</v>
      </c>
      <c r="O538" t="n">
        <v>0</v>
      </c>
      <c r="P538" t="n">
        <v>0</v>
      </c>
      <c r="Q538" t="n">
        <v>0</v>
      </c>
      <c r="R538" s="2" t="inlineStr"/>
    </row>
    <row r="539" ht="15" customHeight="1">
      <c r="A539" t="inlineStr">
        <is>
          <t>A 5386-2023</t>
        </is>
      </c>
      <c r="B539" s="1" t="n">
        <v>44959</v>
      </c>
      <c r="C539" s="1" t="n">
        <v>45901</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7026-2023</t>
        </is>
      </c>
      <c r="B540" s="1" t="n">
        <v>44968.30340277778</v>
      </c>
      <c r="C540" s="1" t="n">
        <v>45901</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20855-2023</t>
        </is>
      </c>
      <c r="B541" s="1" t="n">
        <v>45058.82172453704</v>
      </c>
      <c r="C541" s="1" t="n">
        <v>45901</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45901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33853-2024</t>
        </is>
      </c>
      <c r="B543" s="1" t="n">
        <v>45520.64298611111</v>
      </c>
      <c r="C543" s="1" t="n">
        <v>45901</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18918-2025</t>
        </is>
      </c>
      <c r="B544" s="1" t="n">
        <v>45764</v>
      </c>
      <c r="C544" s="1" t="n">
        <v>45901</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2674-2023</t>
        </is>
      </c>
      <c r="B545" s="1" t="n">
        <v>44944</v>
      </c>
      <c r="C545" s="1" t="n">
        <v>45901</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45901</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1000-2024</t>
        </is>
      </c>
      <c r="B547" s="1" t="n">
        <v>45301.63371527778</v>
      </c>
      <c r="C547" s="1" t="n">
        <v>45901</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1010-2024</t>
        </is>
      </c>
      <c r="B548" s="1" t="n">
        <v>45301</v>
      </c>
      <c r="C548" s="1" t="n">
        <v>45901</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10655-2023</t>
        </is>
      </c>
      <c r="B549" s="1" t="n">
        <v>44988.49543981482</v>
      </c>
      <c r="C549" s="1" t="n">
        <v>45901</v>
      </c>
      <c r="D549" t="inlineStr">
        <is>
          <t>GOTLANDS LÄN</t>
        </is>
      </c>
      <c r="E549" t="inlineStr">
        <is>
          <t>GOTLAND</t>
        </is>
      </c>
      <c r="F549" t="inlineStr">
        <is>
          <t>Kyrkan</t>
        </is>
      </c>
      <c r="G549" t="n">
        <v>2</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44944.55361111111</v>
      </c>
      <c r="C550" s="1" t="n">
        <v>45901</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26891-2024</t>
        </is>
      </c>
      <c r="B551" s="1" t="n">
        <v>45470.65540509259</v>
      </c>
      <c r="C551" s="1" t="n">
        <v>45901</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47762-2023</t>
        </is>
      </c>
      <c r="B552" s="1" t="n">
        <v>45203.86256944444</v>
      </c>
      <c r="C552" s="1" t="n">
        <v>45901</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45901</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45901</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38165-2023</t>
        </is>
      </c>
      <c r="B555" s="1" t="n">
        <v>45161</v>
      </c>
      <c r="C555" s="1" t="n">
        <v>45901</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27596-2023</t>
        </is>
      </c>
      <c r="B556" s="1" t="n">
        <v>45097</v>
      </c>
      <c r="C556" s="1" t="n">
        <v>45901</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24825-2024</t>
        </is>
      </c>
      <c r="B557" s="1" t="n">
        <v>45461</v>
      </c>
      <c r="C557" s="1" t="n">
        <v>45901</v>
      </c>
      <c r="D557" t="inlineStr">
        <is>
          <t>GOTLANDS LÄN</t>
        </is>
      </c>
      <c r="E557" t="inlineStr">
        <is>
          <t>GOTLAND</t>
        </is>
      </c>
      <c r="G557" t="n">
        <v>1.3</v>
      </c>
      <c r="H557" t="n">
        <v>0</v>
      </c>
      <c r="I557" t="n">
        <v>0</v>
      </c>
      <c r="J557" t="n">
        <v>0</v>
      </c>
      <c r="K557" t="n">
        <v>0</v>
      </c>
      <c r="L557" t="n">
        <v>0</v>
      </c>
      <c r="M557" t="n">
        <v>0</v>
      </c>
      <c r="N557" t="n">
        <v>0</v>
      </c>
      <c r="O557" t="n">
        <v>0</v>
      </c>
      <c r="P557" t="n">
        <v>0</v>
      </c>
      <c r="Q557" t="n">
        <v>0</v>
      </c>
      <c r="R557" s="2" t="inlineStr"/>
    </row>
    <row r="558" ht="15" customHeight="1">
      <c r="A558" t="inlineStr">
        <is>
          <t>A 6696-2023</t>
        </is>
      </c>
      <c r="B558" s="1" t="n">
        <v>44966.66425925926</v>
      </c>
      <c r="C558" s="1" t="n">
        <v>45901</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21247-2022</t>
        </is>
      </c>
      <c r="B559" s="1" t="n">
        <v>44705.38832175926</v>
      </c>
      <c r="C559" s="1" t="n">
        <v>45901</v>
      </c>
      <c r="D559" t="inlineStr">
        <is>
          <t>GOTLANDS LÄN</t>
        </is>
      </c>
      <c r="E559" t="inlineStr">
        <is>
          <t>GOTLAND</t>
        </is>
      </c>
      <c r="G559" t="n">
        <v>16.2</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44929.87122685185</v>
      </c>
      <c r="C560" s="1" t="n">
        <v>45901</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44944.54896990741</v>
      </c>
      <c r="C561" s="1" t="n">
        <v>45901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4421-2024</t>
        </is>
      </c>
      <c r="B562" s="1" t="n">
        <v>45327.45173611111</v>
      </c>
      <c r="C562" s="1" t="n">
        <v>45901</v>
      </c>
      <c r="D562" t="inlineStr">
        <is>
          <t>GOTLANDS LÄN</t>
        </is>
      </c>
      <c r="E562" t="inlineStr">
        <is>
          <t>GOTLAND</t>
        </is>
      </c>
      <c r="G562" t="n">
        <v>5.1</v>
      </c>
      <c r="H562" t="n">
        <v>0</v>
      </c>
      <c r="I562" t="n">
        <v>0</v>
      </c>
      <c r="J562" t="n">
        <v>0</v>
      </c>
      <c r="K562" t="n">
        <v>0</v>
      </c>
      <c r="L562" t="n">
        <v>0</v>
      </c>
      <c r="M562" t="n">
        <v>0</v>
      </c>
      <c r="N562" t="n">
        <v>0</v>
      </c>
      <c r="O562" t="n">
        <v>0</v>
      </c>
      <c r="P562" t="n">
        <v>0</v>
      </c>
      <c r="Q562" t="n">
        <v>0</v>
      </c>
      <c r="R562" s="2" t="inlineStr"/>
    </row>
    <row r="563" ht="15" customHeight="1">
      <c r="A563" t="inlineStr">
        <is>
          <t>A 51782-2023</t>
        </is>
      </c>
      <c r="B563" s="1" t="n">
        <v>45222.80952546297</v>
      </c>
      <c r="C563" s="1" t="n">
        <v>45901</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54268-2022</t>
        </is>
      </c>
      <c r="B564" s="1" t="n">
        <v>44882</v>
      </c>
      <c r="C564" s="1" t="n">
        <v>45901</v>
      </c>
      <c r="D564" t="inlineStr">
        <is>
          <t>GOTLANDS LÄN</t>
        </is>
      </c>
      <c r="E564" t="inlineStr">
        <is>
          <t>GOTLAND</t>
        </is>
      </c>
      <c r="G564" t="n">
        <v>2.7</v>
      </c>
      <c r="H564" t="n">
        <v>0</v>
      </c>
      <c r="I564" t="n">
        <v>0</v>
      </c>
      <c r="J564" t="n">
        <v>0</v>
      </c>
      <c r="K564" t="n">
        <v>0</v>
      </c>
      <c r="L564" t="n">
        <v>0</v>
      </c>
      <c r="M564" t="n">
        <v>0</v>
      </c>
      <c r="N564" t="n">
        <v>0</v>
      </c>
      <c r="O564" t="n">
        <v>0</v>
      </c>
      <c r="P564" t="n">
        <v>0</v>
      </c>
      <c r="Q564" t="n">
        <v>0</v>
      </c>
      <c r="R564" s="2" t="inlineStr"/>
    </row>
    <row r="565" ht="15" customHeight="1">
      <c r="A565" t="inlineStr">
        <is>
          <t>A 57534-2022</t>
        </is>
      </c>
      <c r="B565" s="1" t="n">
        <v>44896</v>
      </c>
      <c r="C565" s="1" t="n">
        <v>45901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25866-2022</t>
        </is>
      </c>
      <c r="B566" s="1" t="n">
        <v>44733</v>
      </c>
      <c r="C566" s="1" t="n">
        <v>45901</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43229-2023</t>
        </is>
      </c>
      <c r="B567" s="1" t="n">
        <v>45183.46704861111</v>
      </c>
      <c r="C567" s="1" t="n">
        <v>45901</v>
      </c>
      <c r="D567" t="inlineStr">
        <is>
          <t>GOTLANDS LÄN</t>
        </is>
      </c>
      <c r="E567" t="inlineStr">
        <is>
          <t>GOTLAND</t>
        </is>
      </c>
      <c r="G567" t="n">
        <v>7.1</v>
      </c>
      <c r="H567" t="n">
        <v>0</v>
      </c>
      <c r="I567" t="n">
        <v>0</v>
      </c>
      <c r="J567" t="n">
        <v>0</v>
      </c>
      <c r="K567" t="n">
        <v>0</v>
      </c>
      <c r="L567" t="n">
        <v>0</v>
      </c>
      <c r="M567" t="n">
        <v>0</v>
      </c>
      <c r="N567" t="n">
        <v>0</v>
      </c>
      <c r="O567" t="n">
        <v>0</v>
      </c>
      <c r="P567" t="n">
        <v>0</v>
      </c>
      <c r="Q567" t="n">
        <v>0</v>
      </c>
      <c r="R567" s="2" t="inlineStr"/>
    </row>
    <row r="568" ht="15" customHeight="1">
      <c r="A568" t="inlineStr">
        <is>
          <t>A 1175-2025</t>
        </is>
      </c>
      <c r="B568" s="1" t="n">
        <v>45667.34449074074</v>
      </c>
      <c r="C568" s="1" t="n">
        <v>45901</v>
      </c>
      <c r="D568" t="inlineStr">
        <is>
          <t>GOTLANDS LÄN</t>
        </is>
      </c>
      <c r="E568" t="inlineStr">
        <is>
          <t>GOTLAND</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27095-2022</t>
        </is>
      </c>
      <c r="B569" s="1" t="n">
        <v>44741</v>
      </c>
      <c r="C569" s="1" t="n">
        <v>45901</v>
      </c>
      <c r="D569" t="inlineStr">
        <is>
          <t>GOTLANDS LÄN</t>
        </is>
      </c>
      <c r="E569" t="inlineStr">
        <is>
          <t>GOTLAND</t>
        </is>
      </c>
      <c r="F569" t="inlineStr">
        <is>
          <t>Övriga Aktiebolag</t>
        </is>
      </c>
      <c r="G569" t="n">
        <v>2.9</v>
      </c>
      <c r="H569" t="n">
        <v>0</v>
      </c>
      <c r="I569" t="n">
        <v>0</v>
      </c>
      <c r="J569" t="n">
        <v>0</v>
      </c>
      <c r="K569" t="n">
        <v>0</v>
      </c>
      <c r="L569" t="n">
        <v>0</v>
      </c>
      <c r="M569" t="n">
        <v>0</v>
      </c>
      <c r="N569" t="n">
        <v>0</v>
      </c>
      <c r="O569" t="n">
        <v>0</v>
      </c>
      <c r="P569" t="n">
        <v>0</v>
      </c>
      <c r="Q569" t="n">
        <v>0</v>
      </c>
      <c r="R569" s="2" t="inlineStr"/>
    </row>
    <row r="570" ht="15" customHeight="1">
      <c r="A570" t="inlineStr">
        <is>
          <t>A 22899-2023</t>
        </is>
      </c>
      <c r="B570" s="1" t="n">
        <v>45072</v>
      </c>
      <c r="C570" s="1" t="n">
        <v>45901</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23978-2023</t>
        </is>
      </c>
      <c r="B571" s="1" t="n">
        <v>45078</v>
      </c>
      <c r="C571" s="1" t="n">
        <v>45901</v>
      </c>
      <c r="D571" t="inlineStr">
        <is>
          <t>GOTLANDS LÄN</t>
        </is>
      </c>
      <c r="E571" t="inlineStr">
        <is>
          <t>GOTLAND</t>
        </is>
      </c>
      <c r="F571" t="inlineStr">
        <is>
          <t>Naturvårdsverket</t>
        </is>
      </c>
      <c r="G571" t="n">
        <v>1.7</v>
      </c>
      <c r="H571" t="n">
        <v>0</v>
      </c>
      <c r="I571" t="n">
        <v>0</v>
      </c>
      <c r="J571" t="n">
        <v>0</v>
      </c>
      <c r="K571" t="n">
        <v>0</v>
      </c>
      <c r="L571" t="n">
        <v>0</v>
      </c>
      <c r="M571" t="n">
        <v>0</v>
      </c>
      <c r="N571" t="n">
        <v>0</v>
      </c>
      <c r="O571" t="n">
        <v>0</v>
      </c>
      <c r="P571" t="n">
        <v>0</v>
      </c>
      <c r="Q571" t="n">
        <v>0</v>
      </c>
      <c r="R571" s="2" t="inlineStr"/>
    </row>
    <row r="572" ht="15" customHeight="1">
      <c r="A572" t="inlineStr">
        <is>
          <t>A 34407-2023</t>
        </is>
      </c>
      <c r="B572" s="1" t="n">
        <v>45132</v>
      </c>
      <c r="C572" s="1" t="n">
        <v>45901</v>
      </c>
      <c r="D572" t="inlineStr">
        <is>
          <t>GOTLANDS LÄN</t>
        </is>
      </c>
      <c r="E572" t="inlineStr">
        <is>
          <t>GOTLAND</t>
        </is>
      </c>
      <c r="G572" t="n">
        <v>4.4</v>
      </c>
      <c r="H572" t="n">
        <v>0</v>
      </c>
      <c r="I572" t="n">
        <v>0</v>
      </c>
      <c r="J572" t="n">
        <v>0</v>
      </c>
      <c r="K572" t="n">
        <v>0</v>
      </c>
      <c r="L572" t="n">
        <v>0</v>
      </c>
      <c r="M572" t="n">
        <v>0</v>
      </c>
      <c r="N572" t="n">
        <v>0</v>
      </c>
      <c r="O572" t="n">
        <v>0</v>
      </c>
      <c r="P572" t="n">
        <v>0</v>
      </c>
      <c r="Q572" t="n">
        <v>0</v>
      </c>
      <c r="R572" s="2" t="inlineStr"/>
    </row>
    <row r="573" ht="15" customHeight="1">
      <c r="A573" t="inlineStr">
        <is>
          <t>A 11013-2024</t>
        </is>
      </c>
      <c r="B573" s="1" t="n">
        <v>45370</v>
      </c>
      <c r="C573" s="1" t="n">
        <v>45901</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27694-2024</t>
        </is>
      </c>
      <c r="B574" s="1" t="n">
        <v>45475</v>
      </c>
      <c r="C574" s="1" t="n">
        <v>45901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15083-2025</t>
        </is>
      </c>
      <c r="B575" s="1" t="n">
        <v>45743</v>
      </c>
      <c r="C575" s="1" t="n">
        <v>45901</v>
      </c>
      <c r="D575" t="inlineStr">
        <is>
          <t>GOTLANDS LÄN</t>
        </is>
      </c>
      <c r="E575" t="inlineStr">
        <is>
          <t>GOTLAND</t>
        </is>
      </c>
      <c r="G575" t="n">
        <v>2.3</v>
      </c>
      <c r="H575" t="n">
        <v>0</v>
      </c>
      <c r="I575" t="n">
        <v>0</v>
      </c>
      <c r="J575" t="n">
        <v>0</v>
      </c>
      <c r="K575" t="n">
        <v>0</v>
      </c>
      <c r="L575" t="n">
        <v>0</v>
      </c>
      <c r="M575" t="n">
        <v>0</v>
      </c>
      <c r="N575" t="n">
        <v>0</v>
      </c>
      <c r="O575" t="n">
        <v>0</v>
      </c>
      <c r="P575" t="n">
        <v>0</v>
      </c>
      <c r="Q575" t="n">
        <v>0</v>
      </c>
      <c r="R575" s="2" t="inlineStr"/>
    </row>
    <row r="576" ht="15" customHeight="1">
      <c r="A576" t="inlineStr">
        <is>
          <t>A 13037-2025</t>
        </is>
      </c>
      <c r="B576" s="1" t="n">
        <v>45734</v>
      </c>
      <c r="C576" s="1" t="n">
        <v>45901</v>
      </c>
      <c r="D576" t="inlineStr">
        <is>
          <t>GOTLANDS LÄN</t>
        </is>
      </c>
      <c r="E576" t="inlineStr">
        <is>
          <t>GOTLAND</t>
        </is>
      </c>
      <c r="G576" t="n">
        <v>9.5</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45901</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44228-2022</t>
        </is>
      </c>
      <c r="B578" s="1" t="n">
        <v>44839.51599537037</v>
      </c>
      <c r="C578" s="1" t="n">
        <v>45901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58132-2023</t>
        </is>
      </c>
      <c r="B579" s="1" t="n">
        <v>45250</v>
      </c>
      <c r="C579" s="1" t="n">
        <v>45901</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49884-2023</t>
        </is>
      </c>
      <c r="B580" s="1" t="n">
        <v>45213</v>
      </c>
      <c r="C580" s="1" t="n">
        <v>45901</v>
      </c>
      <c r="D580" t="inlineStr">
        <is>
          <t>GOTLANDS LÄN</t>
        </is>
      </c>
      <c r="E580" t="inlineStr">
        <is>
          <t>GOTLAND</t>
        </is>
      </c>
      <c r="G580" t="n">
        <v>8.9</v>
      </c>
      <c r="H580" t="n">
        <v>0</v>
      </c>
      <c r="I580" t="n">
        <v>0</v>
      </c>
      <c r="J580" t="n">
        <v>0</v>
      </c>
      <c r="K580" t="n">
        <v>0</v>
      </c>
      <c r="L580" t="n">
        <v>0</v>
      </c>
      <c r="M580" t="n">
        <v>0</v>
      </c>
      <c r="N580" t="n">
        <v>0</v>
      </c>
      <c r="O580" t="n">
        <v>0</v>
      </c>
      <c r="P580" t="n">
        <v>0</v>
      </c>
      <c r="Q580" t="n">
        <v>0</v>
      </c>
      <c r="R580" s="2" t="inlineStr"/>
    </row>
    <row r="581" ht="15" customHeight="1">
      <c r="A581" t="inlineStr">
        <is>
          <t>A 17847-2025</t>
        </is>
      </c>
      <c r="B581" s="1" t="n">
        <v>45758</v>
      </c>
      <c r="C581" s="1" t="n">
        <v>45901</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45901</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6796-2025</t>
        </is>
      </c>
      <c r="B583" s="1" t="n">
        <v>45700.66559027778</v>
      </c>
      <c r="C583" s="1" t="n">
        <v>45901</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45901</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45901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45901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45901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45901</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45901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45901</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45901</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45901</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45901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45901</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45901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45901</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10652-2025</t>
        </is>
      </c>
      <c r="B597" s="1" t="n">
        <v>45721.68640046296</v>
      </c>
      <c r="C597" s="1" t="n">
        <v>45901</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45901</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37202-2024</t>
        </is>
      </c>
      <c r="B599" s="1" t="n">
        <v>45539.67310185185</v>
      </c>
      <c r="C599" s="1" t="n">
        <v>45901</v>
      </c>
      <c r="D599" t="inlineStr">
        <is>
          <t>GOTLANDS LÄN</t>
        </is>
      </c>
      <c r="E599" t="inlineStr">
        <is>
          <t>GOTLAND</t>
        </is>
      </c>
      <c r="G599" t="n">
        <v>0.3</v>
      </c>
      <c r="H599" t="n">
        <v>0</v>
      </c>
      <c r="I599" t="n">
        <v>0</v>
      </c>
      <c r="J599" t="n">
        <v>0</v>
      </c>
      <c r="K599" t="n">
        <v>0</v>
      </c>
      <c r="L599" t="n">
        <v>0</v>
      </c>
      <c r="M599" t="n">
        <v>0</v>
      </c>
      <c r="N599" t="n">
        <v>0</v>
      </c>
      <c r="O599" t="n">
        <v>0</v>
      </c>
      <c r="P599" t="n">
        <v>0</v>
      </c>
      <c r="Q599" t="n">
        <v>0</v>
      </c>
      <c r="R599" s="2" t="inlineStr"/>
    </row>
    <row r="600" ht="15" customHeight="1">
      <c r="A600" t="inlineStr">
        <is>
          <t>A 56115-2023</t>
        </is>
      </c>
      <c r="B600" s="1" t="n">
        <v>45236</v>
      </c>
      <c r="C600" s="1" t="n">
        <v>45901</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2774-2024</t>
        </is>
      </c>
      <c r="B601" s="1" t="n">
        <v>45314.62375</v>
      </c>
      <c r="C601" s="1" t="n">
        <v>45901</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60709-2023</t>
        </is>
      </c>
      <c r="B602" s="1" t="n">
        <v>45260</v>
      </c>
      <c r="C602" s="1" t="n">
        <v>45901</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64208-2021</t>
        </is>
      </c>
      <c r="B603" s="1" t="n">
        <v>44510</v>
      </c>
      <c r="C603" s="1" t="n">
        <v>45901</v>
      </c>
      <c r="D603" t="inlineStr">
        <is>
          <t>GOTLANDS LÄN</t>
        </is>
      </c>
      <c r="E603" t="inlineStr">
        <is>
          <t>GOTLAND</t>
        </is>
      </c>
      <c r="G603" t="n">
        <v>4.7</v>
      </c>
      <c r="H603" t="n">
        <v>0</v>
      </c>
      <c r="I603" t="n">
        <v>0</v>
      </c>
      <c r="J603" t="n">
        <v>0</v>
      </c>
      <c r="K603" t="n">
        <v>0</v>
      </c>
      <c r="L603" t="n">
        <v>0</v>
      </c>
      <c r="M603" t="n">
        <v>0</v>
      </c>
      <c r="N603" t="n">
        <v>0</v>
      </c>
      <c r="O603" t="n">
        <v>0</v>
      </c>
      <c r="P603" t="n">
        <v>0</v>
      </c>
      <c r="Q603" t="n">
        <v>0</v>
      </c>
      <c r="R603" s="2" t="inlineStr"/>
    </row>
    <row r="604" ht="15" customHeight="1">
      <c r="A604" t="inlineStr">
        <is>
          <t>A 39764-2022</t>
        </is>
      </c>
      <c r="B604" s="1" t="n">
        <v>44819</v>
      </c>
      <c r="C604" s="1" t="n">
        <v>45901</v>
      </c>
      <c r="D604" t="inlineStr">
        <is>
          <t>GOTLANDS LÄN</t>
        </is>
      </c>
      <c r="E604" t="inlineStr">
        <is>
          <t>GOTLAND</t>
        </is>
      </c>
      <c r="F604" t="inlineStr">
        <is>
          <t>Kyrkan</t>
        </is>
      </c>
      <c r="G604" t="n">
        <v>3.7</v>
      </c>
      <c r="H604" t="n">
        <v>0</v>
      </c>
      <c r="I604" t="n">
        <v>0</v>
      </c>
      <c r="J604" t="n">
        <v>0</v>
      </c>
      <c r="K604" t="n">
        <v>0</v>
      </c>
      <c r="L604" t="n">
        <v>0</v>
      </c>
      <c r="M604" t="n">
        <v>0</v>
      </c>
      <c r="N604" t="n">
        <v>0</v>
      </c>
      <c r="O604" t="n">
        <v>0</v>
      </c>
      <c r="P604" t="n">
        <v>0</v>
      </c>
      <c r="Q604" t="n">
        <v>0</v>
      </c>
      <c r="R604" s="2" t="inlineStr"/>
    </row>
    <row r="605" ht="15" customHeight="1">
      <c r="A605" t="inlineStr">
        <is>
          <t>A 58211-2024</t>
        </is>
      </c>
      <c r="B605" s="1" t="n">
        <v>45632.49292824074</v>
      </c>
      <c r="C605" s="1" t="n">
        <v>45901</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30956-2024</t>
        </is>
      </c>
      <c r="B606" s="1" t="n">
        <v>45499.42527777778</v>
      </c>
      <c r="C606" s="1" t="n">
        <v>45901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30892-2024</t>
        </is>
      </c>
      <c r="B607" s="1" t="n">
        <v>45491</v>
      </c>
      <c r="C607" s="1" t="n">
        <v>45901</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45013.69365740741</v>
      </c>
      <c r="C608" s="1" t="n">
        <v>45901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59469-2024</t>
        </is>
      </c>
      <c r="B609" s="1" t="n">
        <v>45638</v>
      </c>
      <c r="C609" s="1" t="n">
        <v>45901</v>
      </c>
      <c r="D609" t="inlineStr">
        <is>
          <t>GOTLANDS LÄN</t>
        </is>
      </c>
      <c r="E609" t="inlineStr">
        <is>
          <t>GOTLAND</t>
        </is>
      </c>
      <c r="G609" t="n">
        <v>0.4</v>
      </c>
      <c r="H609" t="n">
        <v>0</v>
      </c>
      <c r="I609" t="n">
        <v>0</v>
      </c>
      <c r="J609" t="n">
        <v>0</v>
      </c>
      <c r="K609" t="n">
        <v>0</v>
      </c>
      <c r="L609" t="n">
        <v>0</v>
      </c>
      <c r="M609" t="n">
        <v>0</v>
      </c>
      <c r="N609" t="n">
        <v>0</v>
      </c>
      <c r="O609" t="n">
        <v>0</v>
      </c>
      <c r="P609" t="n">
        <v>0</v>
      </c>
      <c r="Q609" t="n">
        <v>0</v>
      </c>
      <c r="R609" s="2" t="inlineStr"/>
    </row>
    <row r="610">
      <c r="A610" t="inlineStr">
        <is>
          <t>A 7858-2025</t>
        </is>
      </c>
      <c r="B610" s="1" t="n">
        <v>45706.68633101852</v>
      </c>
      <c r="C610" s="1" t="n">
        <v>45901</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2025-09-01T08:29:40Z</dcterms:created>
  <dcterms:modified xmlns:dcterms="http://purl.org/dc/terms/" xmlns:xsi="http://www.w3.org/2001/XMLSchema-instance" xsi:type="dcterms:W3CDTF">2025-09-01T08:29:41Z</dcterms:modified>
</cp:coreProperties>
</file>