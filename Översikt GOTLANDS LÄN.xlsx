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46022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46022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46022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46022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46022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46022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46022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46022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46022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46022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46022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46022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46022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46022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46022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46022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46022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46022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46022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46022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46022</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46022</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46022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46022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46022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46022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46022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46022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46022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46022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46022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46022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46022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46022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46022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46022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46022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46022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46022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46022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46022</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46022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46022</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2649-2023</t>
        </is>
      </c>
      <c r="B57" s="1" t="n">
        <v>44943</v>
      </c>
      <c r="C57" s="1" t="n">
        <v>46022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46022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46022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46022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46022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46022</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46022</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56687-2025</t>
        </is>
      </c>
      <c r="B64" s="1" t="n">
        <v>45975.84065972222</v>
      </c>
      <c r="C64" s="1" t="n">
        <v>46022</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46022</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46022</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46022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46022</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4984-2025</t>
        </is>
      </c>
      <c r="B69" s="1" t="n">
        <v>45691.29891203704</v>
      </c>
      <c r="C69" s="1" t="n">
        <v>46022</v>
      </c>
      <c r="D69" t="inlineStr">
        <is>
          <t>GOTLANDS LÄN</t>
        </is>
      </c>
      <c r="E69" t="inlineStr">
        <is>
          <t>GOTLAND</t>
        </is>
      </c>
      <c r="G69" t="n">
        <v>1.3</v>
      </c>
      <c r="H69" t="n">
        <v>4</v>
      </c>
      <c r="I69" t="n">
        <v>2</v>
      </c>
      <c r="J69" t="n">
        <v>3</v>
      </c>
      <c r="K69" t="n">
        <v>0</v>
      </c>
      <c r="L69" t="n">
        <v>0</v>
      </c>
      <c r="M69" t="n">
        <v>0</v>
      </c>
      <c r="N69" t="n">
        <v>0</v>
      </c>
      <c r="O69" t="n">
        <v>3</v>
      </c>
      <c r="P69" t="n">
        <v>0</v>
      </c>
      <c r="Q69" t="n">
        <v>7</v>
      </c>
      <c r="R69" s="2" t="inlineStr">
        <is>
          <t>Gulsparv
Jordtistel
Svinrot
Grönpyrola
Tvåblad
Kärrknipprot
Nattviol</t>
        </is>
      </c>
      <c r="S69">
        <f>HYPERLINK("https://klasma.github.io/Logging_0980/artfynd/A 4984-2025 artfynd.xlsx", "A 4984-2025")</f>
        <v/>
      </c>
      <c r="T69">
        <f>HYPERLINK("https://klasma.github.io/Logging_0980/kartor/A 4984-2025 karta.png", "A 4984-2025")</f>
        <v/>
      </c>
      <c r="V69">
        <f>HYPERLINK("https://klasma.github.io/Logging_0980/klagomål/A 4984-2025 FSC-klagomål.docx", "A 4984-2025")</f>
        <v/>
      </c>
      <c r="W69">
        <f>HYPERLINK("https://klasma.github.io/Logging_0980/klagomålsmail/A 4984-2025 FSC-klagomål mail.docx", "A 4984-2025")</f>
        <v/>
      </c>
      <c r="X69">
        <f>HYPERLINK("https://klasma.github.io/Logging_0980/tillsyn/A 4984-2025 tillsynsbegäran.docx", "A 4984-2025")</f>
        <v/>
      </c>
      <c r="Y69">
        <f>HYPERLINK("https://klasma.github.io/Logging_0980/tillsynsmail/A 4984-2025 tillsynsbegäran mail.docx", "A 4984-2025")</f>
        <v/>
      </c>
      <c r="Z69">
        <f>HYPERLINK("https://klasma.github.io/Logging_0980/fåglar/A 4984-2025 prioriterade fågelarter.docx", "A 4984-2025")</f>
        <v/>
      </c>
    </row>
    <row r="70" ht="15" customHeight="1">
      <c r="A70" t="inlineStr">
        <is>
          <t>A 25205-2021</t>
        </is>
      </c>
      <c r="B70" s="1" t="n">
        <v>44342</v>
      </c>
      <c r="C70" s="1" t="n">
        <v>46022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46022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57773-2025</t>
        </is>
      </c>
      <c r="B72" s="1" t="n">
        <v>45981.56349537037</v>
      </c>
      <c r="C72" s="1" t="n">
        <v>46022</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16823-2024</t>
        </is>
      </c>
      <c r="B73" s="1" t="n">
        <v>45411</v>
      </c>
      <c r="C73" s="1" t="n">
        <v>46022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46022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46022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46022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46022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46022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46022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46022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46022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46022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46022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46022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46022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46022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46022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46022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46022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46022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57463-2025</t>
        </is>
      </c>
      <c r="B91" s="1" t="n">
        <v>45980.54174768519</v>
      </c>
      <c r="C91" s="1" t="n">
        <v>46022</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56717-2024</t>
        </is>
      </c>
      <c r="B92" s="1" t="n">
        <v>45628.3166550926</v>
      </c>
      <c r="C92" s="1" t="n">
        <v>46022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20833-2024</t>
        </is>
      </c>
      <c r="B93" s="1" t="n">
        <v>45439</v>
      </c>
      <c r="C93" s="1" t="n">
        <v>46022</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54523-2023</t>
        </is>
      </c>
      <c r="B94" s="1" t="n">
        <v>45233</v>
      </c>
      <c r="C94" s="1" t="n">
        <v>46022</v>
      </c>
      <c r="D94" t="inlineStr">
        <is>
          <t>GOTLANDS LÄN</t>
        </is>
      </c>
      <c r="E94" t="inlineStr">
        <is>
          <t>GOTLAND</t>
        </is>
      </c>
      <c r="G94" t="n">
        <v>3.7</v>
      </c>
      <c r="H94" t="n">
        <v>2</v>
      </c>
      <c r="I94" t="n">
        <v>0</v>
      </c>
      <c r="J94" t="n">
        <v>1</v>
      </c>
      <c r="K94" t="n">
        <v>1</v>
      </c>
      <c r="L94" t="n">
        <v>0</v>
      </c>
      <c r="M94" t="n">
        <v>0</v>
      </c>
      <c r="N94" t="n">
        <v>0</v>
      </c>
      <c r="O94" t="n">
        <v>2</v>
      </c>
      <c r="P94" t="n">
        <v>1</v>
      </c>
      <c r="Q94" t="n">
        <v>4</v>
      </c>
      <c r="R94" s="2" t="inlineStr">
        <is>
          <t>Sommarklynne
Åkerkulla
Brudsporre
Kärrknipprot</t>
        </is>
      </c>
      <c r="S94">
        <f>HYPERLINK("https://klasma.github.io/Logging_0980/artfynd/A 54523-2023 artfynd.xlsx", "A 54523-2023")</f>
        <v/>
      </c>
      <c r="T94">
        <f>HYPERLINK("https://klasma.github.io/Logging_0980/kartor/A 54523-2023 karta.png", "A 54523-2023")</f>
        <v/>
      </c>
      <c r="V94">
        <f>HYPERLINK("https://klasma.github.io/Logging_0980/klagomål/A 54523-2023 FSC-klagomål.docx", "A 54523-2023")</f>
        <v/>
      </c>
      <c r="W94">
        <f>HYPERLINK("https://klasma.github.io/Logging_0980/klagomålsmail/A 54523-2023 FSC-klagomål mail.docx", "A 54523-2023")</f>
        <v/>
      </c>
      <c r="X94">
        <f>HYPERLINK("https://klasma.github.io/Logging_0980/tillsyn/A 54523-2023 tillsynsbegäran.docx", "A 54523-2023")</f>
        <v/>
      </c>
      <c r="Y94">
        <f>HYPERLINK("https://klasma.github.io/Logging_0980/tillsynsmail/A 54523-2023 tillsynsbegäran mail.docx", "A 54523-2023")</f>
        <v/>
      </c>
    </row>
    <row r="95" ht="15" customHeight="1">
      <c r="A95" t="inlineStr">
        <is>
          <t>A 2485-2025</t>
        </is>
      </c>
      <c r="B95" s="1" t="n">
        <v>45673</v>
      </c>
      <c r="C95" s="1" t="n">
        <v>46022</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6159-2023</t>
        </is>
      </c>
      <c r="B96" s="1" t="n">
        <v>44964</v>
      </c>
      <c r="C96" s="1" t="n">
        <v>46022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46022</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46022</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46022</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46022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46022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46022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46022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46022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46022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46022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55334-2024</t>
        </is>
      </c>
      <c r="B111" s="1" t="n">
        <v>45621</v>
      </c>
      <c r="C111" s="1" t="n">
        <v>46022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13499-2022</t>
        </is>
      </c>
      <c r="B112" s="1" t="n">
        <v>44647.79203703703</v>
      </c>
      <c r="C112" s="1" t="n">
        <v>46022</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45692.26797453704</v>
      </c>
      <c r="C113" s="1" t="n">
        <v>46022</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49709-2025</t>
        </is>
      </c>
      <c r="B114" s="1" t="n">
        <v>45939.68228009259</v>
      </c>
      <c r="C114" s="1" t="n">
        <v>46022</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48126-2022</t>
        </is>
      </c>
      <c r="B115" s="1" t="n">
        <v>44857</v>
      </c>
      <c r="C115" s="1" t="n">
        <v>46022</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46022</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46022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46022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46022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46022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46022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46022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46022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46022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46022</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46022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46022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46022</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46022</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46022</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46008.59275462963</v>
      </c>
      <c r="C136" s="1" t="n">
        <v>46022</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26077-2024</t>
        </is>
      </c>
      <c r="B137" s="1" t="n">
        <v>45467</v>
      </c>
      <c r="C137" s="1" t="n">
        <v>46022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46022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46022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24-2021</t>
        </is>
      </c>
      <c r="B140" s="1" t="n">
        <v>44197</v>
      </c>
      <c r="C140" s="1" t="n">
        <v>46022</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46022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46022</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46022</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63576-2021</t>
        </is>
      </c>
      <c r="B144" s="1" t="n">
        <v>44508</v>
      </c>
      <c r="C144" s="1" t="n">
        <v>46022</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24245-2022</t>
        </is>
      </c>
      <c r="B145" s="1" t="n">
        <v>44725</v>
      </c>
      <c r="C145" s="1" t="n">
        <v>46022</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46022</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21466-2025</t>
        </is>
      </c>
      <c r="B147" s="1" t="n">
        <v>45782</v>
      </c>
      <c r="C147" s="1" t="n">
        <v>46022</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39812-2025</t>
        </is>
      </c>
      <c r="B148" s="1" t="n">
        <v>45891</v>
      </c>
      <c r="C148" s="1" t="n">
        <v>46022</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10440-2024</t>
        </is>
      </c>
      <c r="B149" s="1" t="n">
        <v>45366.32818287037</v>
      </c>
      <c r="C149" s="1" t="n">
        <v>46022</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44308-2021</t>
        </is>
      </c>
      <c r="B150" s="1" t="n">
        <v>44434</v>
      </c>
      <c r="C150" s="1" t="n">
        <v>46022</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46527-2023</t>
        </is>
      </c>
      <c r="B151" s="1" t="n">
        <v>45197</v>
      </c>
      <c r="C151" s="1" t="n">
        <v>46022</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35467-2021</t>
        </is>
      </c>
      <c r="B152" s="1" t="n">
        <v>44385</v>
      </c>
      <c r="C152" s="1" t="n">
        <v>46022</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26461-2025</t>
        </is>
      </c>
      <c r="B153" s="1" t="n">
        <v>45807.43337962963</v>
      </c>
      <c r="C153" s="1" t="n">
        <v>46022</v>
      </c>
      <c r="D153" t="inlineStr">
        <is>
          <t>GOTLANDS LÄN</t>
        </is>
      </c>
      <c r="E153" t="inlineStr">
        <is>
          <t>GOTLAND</t>
        </is>
      </c>
      <c r="G153" t="n">
        <v>4.1</v>
      </c>
      <c r="H153" t="n">
        <v>0</v>
      </c>
      <c r="I153" t="n">
        <v>0</v>
      </c>
      <c r="J153" t="n">
        <v>0</v>
      </c>
      <c r="K153" t="n">
        <v>1</v>
      </c>
      <c r="L153" t="n">
        <v>0</v>
      </c>
      <c r="M153" t="n">
        <v>0</v>
      </c>
      <c r="N153" t="n">
        <v>0</v>
      </c>
      <c r="O153" t="n">
        <v>1</v>
      </c>
      <c r="P153" t="n">
        <v>1</v>
      </c>
      <c r="Q153" t="n">
        <v>1</v>
      </c>
      <c r="R153" s="2" t="inlineStr">
        <is>
          <t>Gotlandsmåra</t>
        </is>
      </c>
      <c r="S153">
        <f>HYPERLINK("https://klasma.github.io/Logging_0980/artfynd/A 26461-2025 artfynd.xlsx", "A 26461-2025")</f>
        <v/>
      </c>
      <c r="T153">
        <f>HYPERLINK("https://klasma.github.io/Logging_0980/kartor/A 26461-2025 karta.png", "A 26461-2025")</f>
        <v/>
      </c>
      <c r="V153">
        <f>HYPERLINK("https://klasma.github.io/Logging_0980/klagomål/A 26461-2025 FSC-klagomål.docx", "A 26461-2025")</f>
        <v/>
      </c>
      <c r="W153">
        <f>HYPERLINK("https://klasma.github.io/Logging_0980/klagomålsmail/A 26461-2025 FSC-klagomål mail.docx", "A 26461-2025")</f>
        <v/>
      </c>
      <c r="X153">
        <f>HYPERLINK("https://klasma.github.io/Logging_0980/tillsyn/A 26461-2025 tillsynsbegäran.docx", "A 26461-2025")</f>
        <v/>
      </c>
      <c r="Y153">
        <f>HYPERLINK("https://klasma.github.io/Logging_0980/tillsynsmail/A 26461-2025 tillsynsbegäran mail.docx", "A 26461-2025")</f>
        <v/>
      </c>
    </row>
    <row r="154" ht="15" customHeight="1">
      <c r="A154" t="inlineStr">
        <is>
          <t>A 44619-2025</t>
        </is>
      </c>
      <c r="B154" s="1" t="n">
        <v>45917</v>
      </c>
      <c r="C154" s="1" t="n">
        <v>46022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17723-2021</t>
        </is>
      </c>
      <c r="B155" s="1" t="n">
        <v>44300</v>
      </c>
      <c r="C155" s="1" t="n">
        <v>46022</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20429-2025</t>
        </is>
      </c>
      <c r="B156" s="1" t="n">
        <v>45775.47728009259</v>
      </c>
      <c r="C156" s="1" t="n">
        <v>46022</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6303-2024</t>
        </is>
      </c>
      <c r="B157" s="1" t="n">
        <v>45338.35376157407</v>
      </c>
      <c r="C157" s="1" t="n">
        <v>46022</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46022</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46022</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46022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49726-2025</t>
        </is>
      </c>
      <c r="B161" s="1" t="n">
        <v>45939.84466435185</v>
      </c>
      <c r="C161" s="1" t="n">
        <v>46022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9862-2024</t>
        </is>
      </c>
      <c r="B162" s="1" t="n">
        <v>45363</v>
      </c>
      <c r="C162" s="1" t="n">
        <v>46022</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34141-2024</t>
        </is>
      </c>
      <c r="B163" s="1" t="n">
        <v>45524.36229166666</v>
      </c>
      <c r="C163" s="1" t="n">
        <v>46022</v>
      </c>
      <c r="D163" t="inlineStr">
        <is>
          <t>GOTLANDS LÄN</t>
        </is>
      </c>
      <c r="E163" t="inlineStr">
        <is>
          <t>GOTLAND</t>
        </is>
      </c>
      <c r="G163" t="n">
        <v>0.9</v>
      </c>
      <c r="H163" t="n">
        <v>0</v>
      </c>
      <c r="I163" t="n">
        <v>1</v>
      </c>
      <c r="J163" t="n">
        <v>0</v>
      </c>
      <c r="K163" t="n">
        <v>0</v>
      </c>
      <c r="L163" t="n">
        <v>0</v>
      </c>
      <c r="M163" t="n">
        <v>0</v>
      </c>
      <c r="N163" t="n">
        <v>0</v>
      </c>
      <c r="O163" t="n">
        <v>0</v>
      </c>
      <c r="P163" t="n">
        <v>0</v>
      </c>
      <c r="Q163" t="n">
        <v>1</v>
      </c>
      <c r="R163" s="2" t="inlineStr">
        <is>
          <t>Strävlosta</t>
        </is>
      </c>
      <c r="S163">
        <f>HYPERLINK("https://klasma.github.io/Logging_0980/artfynd/A 34141-2024 artfynd.xlsx", "A 34141-2024")</f>
        <v/>
      </c>
      <c r="T163">
        <f>HYPERLINK("https://klasma.github.io/Logging_0980/kartor/A 34141-2024 karta.png", "A 34141-2024")</f>
        <v/>
      </c>
      <c r="V163">
        <f>HYPERLINK("https://klasma.github.io/Logging_0980/klagomål/A 34141-2024 FSC-klagomål.docx", "A 34141-2024")</f>
        <v/>
      </c>
      <c r="W163">
        <f>HYPERLINK("https://klasma.github.io/Logging_0980/klagomålsmail/A 34141-2024 FSC-klagomål mail.docx", "A 34141-2024")</f>
        <v/>
      </c>
      <c r="X163">
        <f>HYPERLINK("https://klasma.github.io/Logging_0980/tillsyn/A 34141-2024 tillsynsbegäran.docx", "A 34141-2024")</f>
        <v/>
      </c>
      <c r="Y163">
        <f>HYPERLINK("https://klasma.github.io/Logging_0980/tillsynsmail/A 34141-2024 tillsynsbegäran mail.docx", "A 34141-2024")</f>
        <v/>
      </c>
    </row>
    <row r="164" ht="15" customHeight="1">
      <c r="A164" t="inlineStr">
        <is>
          <t>A 65927-2021</t>
        </is>
      </c>
      <c r="B164" s="1" t="n">
        <v>44516</v>
      </c>
      <c r="C164" s="1" t="n">
        <v>46022</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947-2023</t>
        </is>
      </c>
      <c r="B165" s="1" t="n">
        <v>44934</v>
      </c>
      <c r="C165" s="1" t="n">
        <v>46022</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61561-2023</t>
        </is>
      </c>
      <c r="B166" s="1" t="n">
        <v>45265</v>
      </c>
      <c r="C166" s="1" t="n">
        <v>46022</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12924-2025</t>
        </is>
      </c>
      <c r="B167" s="1" t="n">
        <v>45734</v>
      </c>
      <c r="C167" s="1" t="n">
        <v>46022</v>
      </c>
      <c r="D167" t="inlineStr">
        <is>
          <t>GOTLANDS LÄN</t>
        </is>
      </c>
      <c r="E167" t="inlineStr">
        <is>
          <t>GOTLAND</t>
        </is>
      </c>
      <c r="G167" t="n">
        <v>11.7</v>
      </c>
      <c r="H167" t="n">
        <v>0</v>
      </c>
      <c r="I167" t="n">
        <v>0</v>
      </c>
      <c r="J167" t="n">
        <v>0</v>
      </c>
      <c r="K167" t="n">
        <v>1</v>
      </c>
      <c r="L167" t="n">
        <v>0</v>
      </c>
      <c r="M167" t="n">
        <v>0</v>
      </c>
      <c r="N167" t="n">
        <v>0</v>
      </c>
      <c r="O167" t="n">
        <v>1</v>
      </c>
      <c r="P167" t="n">
        <v>1</v>
      </c>
      <c r="Q167" t="n">
        <v>1</v>
      </c>
      <c r="R167" s="2" t="inlineStr">
        <is>
          <t>Gotlandsmåra</t>
        </is>
      </c>
      <c r="S167">
        <f>HYPERLINK("https://klasma.github.io/Logging_0980/artfynd/A 12924-2025 artfynd.xlsx", "A 12924-2025")</f>
        <v/>
      </c>
      <c r="T167">
        <f>HYPERLINK("https://klasma.github.io/Logging_0980/kartor/A 12924-2025 karta.png", "A 12924-2025")</f>
        <v/>
      </c>
      <c r="V167">
        <f>HYPERLINK("https://klasma.github.io/Logging_0980/klagomål/A 12924-2025 FSC-klagomål.docx", "A 12924-2025")</f>
        <v/>
      </c>
      <c r="W167">
        <f>HYPERLINK("https://klasma.github.io/Logging_0980/klagomålsmail/A 12924-2025 FSC-klagomål mail.docx", "A 12924-2025")</f>
        <v/>
      </c>
      <c r="X167">
        <f>HYPERLINK("https://klasma.github.io/Logging_0980/tillsyn/A 12924-2025 tillsynsbegäran.docx", "A 12924-2025")</f>
        <v/>
      </c>
      <c r="Y167">
        <f>HYPERLINK("https://klasma.github.io/Logging_0980/tillsynsmail/A 12924-2025 tillsynsbegäran mail.docx", "A 12924-2025")</f>
        <v/>
      </c>
    </row>
    <row r="168" ht="15" customHeight="1">
      <c r="A168" t="inlineStr">
        <is>
          <t>A 13939-2021</t>
        </is>
      </c>
      <c r="B168" s="1" t="n">
        <v>44277</v>
      </c>
      <c r="C168" s="1" t="n">
        <v>46022</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12324-2025</t>
        </is>
      </c>
      <c r="B169" s="1" t="n">
        <v>45730</v>
      </c>
      <c r="C169" s="1" t="n">
        <v>46022</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2476-2025</t>
        </is>
      </c>
      <c r="B170" s="1" t="n">
        <v>45673</v>
      </c>
      <c r="C170" s="1" t="n">
        <v>46022</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44304-2021</t>
        </is>
      </c>
      <c r="B171" s="1" t="n">
        <v>44434</v>
      </c>
      <c r="C171" s="1" t="n">
        <v>46022</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Svinrot</t>
        </is>
      </c>
      <c r="S171">
        <f>HYPERLINK("https://klasma.github.io/Logging_0980/artfynd/A 44304-2021 artfynd.xlsx", "A 44304-2021")</f>
        <v/>
      </c>
      <c r="T171">
        <f>HYPERLINK("https://klasma.github.io/Logging_0980/kartor/A 44304-2021 karta.png", "A 44304-2021")</f>
        <v/>
      </c>
      <c r="V171">
        <f>HYPERLINK("https://klasma.github.io/Logging_0980/klagomål/A 44304-2021 FSC-klagomål.docx", "A 44304-2021")</f>
        <v/>
      </c>
      <c r="W171">
        <f>HYPERLINK("https://klasma.github.io/Logging_0980/klagomålsmail/A 44304-2021 FSC-klagomål mail.docx", "A 44304-2021")</f>
        <v/>
      </c>
      <c r="X171">
        <f>HYPERLINK("https://klasma.github.io/Logging_0980/tillsyn/A 44304-2021 tillsynsbegäran.docx", "A 44304-2021")</f>
        <v/>
      </c>
      <c r="Y171">
        <f>HYPERLINK("https://klasma.github.io/Logging_0980/tillsynsmail/A 44304-2021 tillsynsbegäran mail.docx", "A 44304-2021")</f>
        <v/>
      </c>
    </row>
    <row r="172" ht="15" customHeight="1">
      <c r="A172" t="inlineStr">
        <is>
          <t>A 447-2023</t>
        </is>
      </c>
      <c r="B172" s="1" t="n">
        <v>44929</v>
      </c>
      <c r="C172" s="1" t="n">
        <v>46022</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46022</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63149-2025</t>
        </is>
      </c>
      <c r="B174" s="1" t="n">
        <v>46010.35664351852</v>
      </c>
      <c r="C174" s="1" t="n">
        <v>46022</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49304-2024</t>
        </is>
      </c>
      <c r="B175" s="1" t="n">
        <v>45595.54996527778</v>
      </c>
      <c r="C175" s="1" t="n">
        <v>46022</v>
      </c>
      <c r="D175" t="inlineStr">
        <is>
          <t>GOTLANDS LÄN</t>
        </is>
      </c>
      <c r="E175" t="inlineStr">
        <is>
          <t>GOTLAND</t>
        </is>
      </c>
      <c r="G175" t="n">
        <v>10.8</v>
      </c>
      <c r="H175" t="n">
        <v>0</v>
      </c>
      <c r="I175" t="n">
        <v>0</v>
      </c>
      <c r="J175" t="n">
        <v>1</v>
      </c>
      <c r="K175" t="n">
        <v>0</v>
      </c>
      <c r="L175" t="n">
        <v>0</v>
      </c>
      <c r="M175" t="n">
        <v>0</v>
      </c>
      <c r="N175" t="n">
        <v>0</v>
      </c>
      <c r="O175" t="n">
        <v>1</v>
      </c>
      <c r="P175" t="n">
        <v>0</v>
      </c>
      <c r="Q175" t="n">
        <v>1</v>
      </c>
      <c r="R175" s="2" t="inlineStr">
        <is>
          <t>Åkerranunkel</t>
        </is>
      </c>
      <c r="S175">
        <f>HYPERLINK("https://klasma.github.io/Logging_0980/artfynd/A 49304-2024 artfynd.xlsx", "A 49304-2024")</f>
        <v/>
      </c>
      <c r="T175">
        <f>HYPERLINK("https://klasma.github.io/Logging_0980/kartor/A 49304-2024 karta.png", "A 49304-2024")</f>
        <v/>
      </c>
      <c r="V175">
        <f>HYPERLINK("https://klasma.github.io/Logging_0980/klagomål/A 49304-2024 FSC-klagomål.docx", "A 49304-2024")</f>
        <v/>
      </c>
      <c r="W175">
        <f>HYPERLINK("https://klasma.github.io/Logging_0980/klagomålsmail/A 49304-2024 FSC-klagomål mail.docx", "A 49304-2024")</f>
        <v/>
      </c>
      <c r="X175">
        <f>HYPERLINK("https://klasma.github.io/Logging_0980/tillsyn/A 49304-2024 tillsynsbegäran.docx", "A 49304-2024")</f>
        <v/>
      </c>
      <c r="Y175">
        <f>HYPERLINK("https://klasma.github.io/Logging_0980/tillsynsmail/A 49304-2024 tillsynsbegäran mail.docx", "A 49304-2024")</f>
        <v/>
      </c>
    </row>
    <row r="176" ht="15" customHeight="1">
      <c r="A176" t="inlineStr">
        <is>
          <t>A 22782-2023</t>
        </is>
      </c>
      <c r="B176" s="1" t="n">
        <v>45072</v>
      </c>
      <c r="C176" s="1" t="n">
        <v>46022</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44088-2022</t>
        </is>
      </c>
      <c r="B177" s="1" t="n">
        <v>44839</v>
      </c>
      <c r="C177" s="1" t="n">
        <v>46022</v>
      </c>
      <c r="D177" t="inlineStr">
        <is>
          <t>GOTLANDS LÄN</t>
        </is>
      </c>
      <c r="E177" t="inlineStr">
        <is>
          <t>GOTLAND</t>
        </is>
      </c>
      <c r="G177" t="n">
        <v>1.5</v>
      </c>
      <c r="H177" t="n">
        <v>0</v>
      </c>
      <c r="I177" t="n">
        <v>1</v>
      </c>
      <c r="J177" t="n">
        <v>0</v>
      </c>
      <c r="K177" t="n">
        <v>0</v>
      </c>
      <c r="L177" t="n">
        <v>0</v>
      </c>
      <c r="M177" t="n">
        <v>0</v>
      </c>
      <c r="N177" t="n">
        <v>0</v>
      </c>
      <c r="O177" t="n">
        <v>0</v>
      </c>
      <c r="P177" t="n">
        <v>0</v>
      </c>
      <c r="Q177" t="n">
        <v>1</v>
      </c>
      <c r="R177" s="2" t="inlineStr">
        <is>
          <t>Strävlosta</t>
        </is>
      </c>
      <c r="S177">
        <f>HYPERLINK("https://klasma.github.io/Logging_0980/artfynd/A 44088-2022 artfynd.xlsx", "A 44088-2022")</f>
        <v/>
      </c>
      <c r="T177">
        <f>HYPERLINK("https://klasma.github.io/Logging_0980/kartor/A 44088-2022 karta.png", "A 44088-2022")</f>
        <v/>
      </c>
      <c r="V177">
        <f>HYPERLINK("https://klasma.github.io/Logging_0980/klagomål/A 44088-2022 FSC-klagomål.docx", "A 44088-2022")</f>
        <v/>
      </c>
      <c r="W177">
        <f>HYPERLINK("https://klasma.github.io/Logging_0980/klagomålsmail/A 44088-2022 FSC-klagomål mail.docx", "A 44088-2022")</f>
        <v/>
      </c>
      <c r="X177">
        <f>HYPERLINK("https://klasma.github.io/Logging_0980/tillsyn/A 44088-2022 tillsynsbegäran.docx", "A 44088-2022")</f>
        <v/>
      </c>
      <c r="Y177">
        <f>HYPERLINK("https://klasma.github.io/Logging_0980/tillsynsmail/A 44088-2022 tillsynsbegäran mail.docx", "A 44088-2022")</f>
        <v/>
      </c>
    </row>
    <row r="178" ht="15" customHeight="1">
      <c r="A178" t="inlineStr">
        <is>
          <t>A 1477-2024</t>
        </is>
      </c>
      <c r="B178" s="1" t="n">
        <v>45305.37987268518</v>
      </c>
      <c r="C178" s="1" t="n">
        <v>46022</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7637-2025</t>
        </is>
      </c>
      <c r="B179" s="1" t="n">
        <v>45705.77181712963</v>
      </c>
      <c r="C179" s="1" t="n">
        <v>46022</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61796-2022</t>
        </is>
      </c>
      <c r="B180" s="1" t="n">
        <v>44917</v>
      </c>
      <c r="C180" s="1" t="n">
        <v>46022</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46022</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46022</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46022</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46022</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46022</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46022</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49847-2023</t>
        </is>
      </c>
      <c r="B187" s="1" t="n">
        <v>45212</v>
      </c>
      <c r="C187" s="1" t="n">
        <v>46022</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46022</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19901-2021</t>
        </is>
      </c>
      <c r="B189" s="1" t="n">
        <v>44312</v>
      </c>
      <c r="C189" s="1" t="n">
        <v>46022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46022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46022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46022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46022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46022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46022</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46022</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46022</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46022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46022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46022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46022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46022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46022</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46022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46022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46022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46022</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46022</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46022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46022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46022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46022</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46022</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46022</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46022</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46022</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46022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46022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46022</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46022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46022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46022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46022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46022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46022</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46022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46022</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46022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46022</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46022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46022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46022</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46022</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46022</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46022</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46022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46022</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46022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46022</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46022</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46022</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58476-2022</t>
        </is>
      </c>
      <c r="B242" s="1" t="n">
        <v>44902</v>
      </c>
      <c r="C242" s="1" t="n">
        <v>46022</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46022</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46022</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46022</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46022</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61386-2023</t>
        </is>
      </c>
      <c r="B247" s="1" t="n">
        <v>45264</v>
      </c>
      <c r="C247" s="1" t="n">
        <v>46022</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21164-2024</t>
        </is>
      </c>
      <c r="B248" s="1" t="n">
        <v>45440</v>
      </c>
      <c r="C248" s="1" t="n">
        <v>46022</v>
      </c>
      <c r="D248" t="inlineStr">
        <is>
          <t>GOTLANDS LÄN</t>
        </is>
      </c>
      <c r="E248" t="inlineStr">
        <is>
          <t>GOTLAND</t>
        </is>
      </c>
      <c r="G248" t="n">
        <v>6.3</v>
      </c>
      <c r="H248" t="n">
        <v>0</v>
      </c>
      <c r="I248" t="n">
        <v>0</v>
      </c>
      <c r="J248" t="n">
        <v>0</v>
      </c>
      <c r="K248" t="n">
        <v>0</v>
      </c>
      <c r="L248" t="n">
        <v>0</v>
      </c>
      <c r="M248" t="n">
        <v>0</v>
      </c>
      <c r="N248" t="n">
        <v>0</v>
      </c>
      <c r="O248" t="n">
        <v>0</v>
      </c>
      <c r="P248" t="n">
        <v>0</v>
      </c>
      <c r="Q248" t="n">
        <v>0</v>
      </c>
      <c r="R248" s="2" t="inlineStr"/>
    </row>
    <row r="249" ht="15" customHeight="1">
      <c r="A249" t="inlineStr">
        <is>
          <t>A 17541-2024</t>
        </is>
      </c>
      <c r="B249" s="1" t="n">
        <v>45415</v>
      </c>
      <c r="C249" s="1" t="n">
        <v>46022</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883-2025</t>
        </is>
      </c>
      <c r="B250" s="1" t="n">
        <v>45665</v>
      </c>
      <c r="C250" s="1" t="n">
        <v>46022</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13910-2025</t>
        </is>
      </c>
      <c r="B251" s="1" t="n">
        <v>45737</v>
      </c>
      <c r="C251" s="1" t="n">
        <v>46022</v>
      </c>
      <c r="D251" t="inlineStr">
        <is>
          <t>GOTLANDS LÄN</t>
        </is>
      </c>
      <c r="E251" t="inlineStr">
        <is>
          <t>GOTLAND</t>
        </is>
      </c>
      <c r="F251" t="inlineStr">
        <is>
          <t>Kommuner</t>
        </is>
      </c>
      <c r="G251" t="n">
        <v>3.2</v>
      </c>
      <c r="H251" t="n">
        <v>0</v>
      </c>
      <c r="I251" t="n">
        <v>0</v>
      </c>
      <c r="J251" t="n">
        <v>0</v>
      </c>
      <c r="K251" t="n">
        <v>0</v>
      </c>
      <c r="L251" t="n">
        <v>0</v>
      </c>
      <c r="M251" t="n">
        <v>0</v>
      </c>
      <c r="N251" t="n">
        <v>0</v>
      </c>
      <c r="O251" t="n">
        <v>0</v>
      </c>
      <c r="P251" t="n">
        <v>0</v>
      </c>
      <c r="Q251" t="n">
        <v>0</v>
      </c>
      <c r="R251" s="2" t="inlineStr"/>
    </row>
    <row r="252" ht="15" customHeight="1">
      <c r="A252" t="inlineStr">
        <is>
          <t>A 27593-2023</t>
        </is>
      </c>
      <c r="B252" s="1" t="n">
        <v>45097</v>
      </c>
      <c r="C252" s="1" t="n">
        <v>46022</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25129-2023</t>
        </is>
      </c>
      <c r="B253" s="1" t="n">
        <v>45086.44261574074</v>
      </c>
      <c r="C253" s="1" t="n">
        <v>46022</v>
      </c>
      <c r="D253" t="inlineStr">
        <is>
          <t>GOTLANDS LÄN</t>
        </is>
      </c>
      <c r="E253" t="inlineStr">
        <is>
          <t>GOTLAND</t>
        </is>
      </c>
      <c r="G253" t="n">
        <v>1.5</v>
      </c>
      <c r="H253" t="n">
        <v>0</v>
      </c>
      <c r="I253" t="n">
        <v>0</v>
      </c>
      <c r="J253" t="n">
        <v>0</v>
      </c>
      <c r="K253" t="n">
        <v>0</v>
      </c>
      <c r="L253" t="n">
        <v>0</v>
      </c>
      <c r="M253" t="n">
        <v>0</v>
      </c>
      <c r="N253" t="n">
        <v>0</v>
      </c>
      <c r="O253" t="n">
        <v>0</v>
      </c>
      <c r="P253" t="n">
        <v>0</v>
      </c>
      <c r="Q253" t="n">
        <v>0</v>
      </c>
      <c r="R253" s="2" t="inlineStr"/>
    </row>
    <row r="254" ht="15" customHeight="1">
      <c r="A254" t="inlineStr">
        <is>
          <t>A 20794-2025</t>
        </is>
      </c>
      <c r="B254" s="1" t="n">
        <v>45776</v>
      </c>
      <c r="C254" s="1" t="n">
        <v>46022</v>
      </c>
      <c r="D254" t="inlineStr">
        <is>
          <t>GOTLANDS LÄN</t>
        </is>
      </c>
      <c r="E254" t="inlineStr">
        <is>
          <t>GOTLAND</t>
        </is>
      </c>
      <c r="G254" t="n">
        <v>6</v>
      </c>
      <c r="H254" t="n">
        <v>0</v>
      </c>
      <c r="I254" t="n">
        <v>0</v>
      </c>
      <c r="J254" t="n">
        <v>0</v>
      </c>
      <c r="K254" t="n">
        <v>0</v>
      </c>
      <c r="L254" t="n">
        <v>0</v>
      </c>
      <c r="M254" t="n">
        <v>0</v>
      </c>
      <c r="N254" t="n">
        <v>0</v>
      </c>
      <c r="O254" t="n">
        <v>0</v>
      </c>
      <c r="P254" t="n">
        <v>0</v>
      </c>
      <c r="Q254" t="n">
        <v>0</v>
      </c>
      <c r="R254" s="2" t="inlineStr"/>
    </row>
    <row r="255" ht="15" customHeight="1">
      <c r="A255" t="inlineStr">
        <is>
          <t>A 20356-2022</t>
        </is>
      </c>
      <c r="B255" s="1" t="n">
        <v>44699</v>
      </c>
      <c r="C255" s="1" t="n">
        <v>46022</v>
      </c>
      <c r="D255" t="inlineStr">
        <is>
          <t>GOTLANDS LÄN</t>
        </is>
      </c>
      <c r="E255" t="inlineStr">
        <is>
          <t>GOTLAND</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20805-2025</t>
        </is>
      </c>
      <c r="B256" s="1" t="n">
        <v>45776</v>
      </c>
      <c r="C256" s="1" t="n">
        <v>46022</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21389-2025</t>
        </is>
      </c>
      <c r="B257" s="1" t="n">
        <v>45782</v>
      </c>
      <c r="C257" s="1" t="n">
        <v>46022</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2292-2021</t>
        </is>
      </c>
      <c r="B258" s="1" t="n">
        <v>44212</v>
      </c>
      <c r="C258" s="1" t="n">
        <v>46022</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46022</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46022</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21651-2025</t>
        </is>
      </c>
      <c r="B261" s="1" t="n">
        <v>45783</v>
      </c>
      <c r="C261" s="1" t="n">
        <v>46022</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46022</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46022</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3964-2024</t>
        </is>
      </c>
      <c r="B264" s="1" t="n">
        <v>45322</v>
      </c>
      <c r="C264" s="1" t="n">
        <v>46022</v>
      </c>
      <c r="D264" t="inlineStr">
        <is>
          <t>GOTLANDS LÄN</t>
        </is>
      </c>
      <c r="E264" t="inlineStr">
        <is>
          <t>GOTLAND</t>
        </is>
      </c>
      <c r="G264" t="n">
        <v>1.4</v>
      </c>
      <c r="H264" t="n">
        <v>0</v>
      </c>
      <c r="I264" t="n">
        <v>0</v>
      </c>
      <c r="J264" t="n">
        <v>0</v>
      </c>
      <c r="K264" t="n">
        <v>0</v>
      </c>
      <c r="L264" t="n">
        <v>0</v>
      </c>
      <c r="M264" t="n">
        <v>0</v>
      </c>
      <c r="N264" t="n">
        <v>0</v>
      </c>
      <c r="O264" t="n">
        <v>0</v>
      </c>
      <c r="P264" t="n">
        <v>0</v>
      </c>
      <c r="Q264" t="n">
        <v>0</v>
      </c>
      <c r="R264" s="2" t="inlineStr"/>
    </row>
    <row r="265" ht="15" customHeight="1">
      <c r="A265" t="inlineStr">
        <is>
          <t>A 32378-2025</t>
        </is>
      </c>
      <c r="B265" s="1" t="n">
        <v>45837</v>
      </c>
      <c r="C265" s="1" t="n">
        <v>46022</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46022</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46022</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46022</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7026-2023</t>
        </is>
      </c>
      <c r="B269" s="1" t="n">
        <v>44968.30340277778</v>
      </c>
      <c r="C269" s="1" t="n">
        <v>46022</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46022</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46022</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52892-2021</t>
        </is>
      </c>
      <c r="B272" s="1" t="n">
        <v>44467.49048611111</v>
      </c>
      <c r="C272" s="1" t="n">
        <v>46022</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1351-2025</t>
        </is>
      </c>
      <c r="B273" s="1" t="n">
        <v>45667.62246527777</v>
      </c>
      <c r="C273" s="1" t="n">
        <v>46022</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46022</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46022</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46022</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10656-2024</t>
        </is>
      </c>
      <c r="B277" s="1" t="n">
        <v>45368</v>
      </c>
      <c r="C277" s="1" t="n">
        <v>46022</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46022</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57356-2023</t>
        </is>
      </c>
      <c r="B279" s="1" t="n">
        <v>45240</v>
      </c>
      <c r="C279" s="1" t="n">
        <v>46022</v>
      </c>
      <c r="D279" t="inlineStr">
        <is>
          <t>GOTLANDS LÄN</t>
        </is>
      </c>
      <c r="E279" t="inlineStr">
        <is>
          <t>GOTLAND</t>
        </is>
      </c>
      <c r="G279" t="n">
        <v>6.4</v>
      </c>
      <c r="H279" t="n">
        <v>0</v>
      </c>
      <c r="I279" t="n">
        <v>0</v>
      </c>
      <c r="J279" t="n">
        <v>0</v>
      </c>
      <c r="K279" t="n">
        <v>0</v>
      </c>
      <c r="L279" t="n">
        <v>0</v>
      </c>
      <c r="M279" t="n">
        <v>0</v>
      </c>
      <c r="N279" t="n">
        <v>0</v>
      </c>
      <c r="O279" t="n">
        <v>0</v>
      </c>
      <c r="P279" t="n">
        <v>0</v>
      </c>
      <c r="Q279" t="n">
        <v>0</v>
      </c>
      <c r="R279" s="2" t="inlineStr"/>
    </row>
    <row r="280" ht="15" customHeight="1">
      <c r="A280" t="inlineStr">
        <is>
          <t>A 40373-2025</t>
        </is>
      </c>
      <c r="B280" s="1" t="n">
        <v>45895.51821759259</v>
      </c>
      <c r="C280" s="1" t="n">
        <v>46022</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46022</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28506-2023</t>
        </is>
      </c>
      <c r="B282" s="1" t="n">
        <v>45103</v>
      </c>
      <c r="C282" s="1" t="n">
        <v>46022</v>
      </c>
      <c r="D282" t="inlineStr">
        <is>
          <t>GOTLANDS LÄN</t>
        </is>
      </c>
      <c r="E282" t="inlineStr">
        <is>
          <t>GOTLAND</t>
        </is>
      </c>
      <c r="G282" t="n">
        <v>3.2</v>
      </c>
      <c r="H282" t="n">
        <v>0</v>
      </c>
      <c r="I282" t="n">
        <v>0</v>
      </c>
      <c r="J282" t="n">
        <v>0</v>
      </c>
      <c r="K282" t="n">
        <v>0</v>
      </c>
      <c r="L282" t="n">
        <v>0</v>
      </c>
      <c r="M282" t="n">
        <v>0</v>
      </c>
      <c r="N282" t="n">
        <v>0</v>
      </c>
      <c r="O282" t="n">
        <v>0</v>
      </c>
      <c r="P282" t="n">
        <v>0</v>
      </c>
      <c r="Q282" t="n">
        <v>0</v>
      </c>
      <c r="R282" s="2" t="inlineStr"/>
    </row>
    <row r="283" ht="15" customHeight="1">
      <c r="A283" t="inlineStr">
        <is>
          <t>A 23188-2025</t>
        </is>
      </c>
      <c r="B283" s="1" t="n">
        <v>45791</v>
      </c>
      <c r="C283" s="1" t="n">
        <v>46022</v>
      </c>
      <c r="D283" t="inlineStr">
        <is>
          <t>GOTLANDS LÄN</t>
        </is>
      </c>
      <c r="E283" t="inlineStr">
        <is>
          <t>GOTLAND</t>
        </is>
      </c>
      <c r="G283" t="n">
        <v>6.2</v>
      </c>
      <c r="H283" t="n">
        <v>0</v>
      </c>
      <c r="I283" t="n">
        <v>0</v>
      </c>
      <c r="J283" t="n">
        <v>0</v>
      </c>
      <c r="K283" t="n">
        <v>0</v>
      </c>
      <c r="L283" t="n">
        <v>0</v>
      </c>
      <c r="M283" t="n">
        <v>0</v>
      </c>
      <c r="N283" t="n">
        <v>0</v>
      </c>
      <c r="O283" t="n">
        <v>0</v>
      </c>
      <c r="P283" t="n">
        <v>0</v>
      </c>
      <c r="Q283" t="n">
        <v>0</v>
      </c>
      <c r="R283" s="2" t="inlineStr"/>
    </row>
    <row r="284" ht="15" customHeight="1">
      <c r="A284" t="inlineStr">
        <is>
          <t>A 40103-2025</t>
        </is>
      </c>
      <c r="B284" s="1" t="n">
        <v>45894.4880324074</v>
      </c>
      <c r="C284" s="1" t="n">
        <v>46022</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38649-2025</t>
        </is>
      </c>
      <c r="B285" s="1" t="n">
        <v>45884</v>
      </c>
      <c r="C285" s="1" t="n">
        <v>46022</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40499-2025</t>
        </is>
      </c>
      <c r="B286" s="1" t="n">
        <v>45896.32517361111</v>
      </c>
      <c r="C286" s="1" t="n">
        <v>46022</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46022</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35550-2025</t>
        </is>
      </c>
      <c r="B288" s="1" t="n">
        <v>45856.49324074074</v>
      </c>
      <c r="C288" s="1" t="n">
        <v>46022</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23856-2025</t>
        </is>
      </c>
      <c r="B289" s="1" t="n">
        <v>45793</v>
      </c>
      <c r="C289" s="1" t="n">
        <v>46022</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60675-2021</t>
        </is>
      </c>
      <c r="B290" s="1" t="n">
        <v>44496.64855324074</v>
      </c>
      <c r="C290" s="1" t="n">
        <v>46022</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23473-2025</t>
        </is>
      </c>
      <c r="B291" s="1" t="n">
        <v>45792</v>
      </c>
      <c r="C291" s="1" t="n">
        <v>46022</v>
      </c>
      <c r="D291" t="inlineStr">
        <is>
          <t>GOTLANDS LÄN</t>
        </is>
      </c>
      <c r="E291" t="inlineStr">
        <is>
          <t>GOTLAND</t>
        </is>
      </c>
      <c r="G291" t="n">
        <v>3.6</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46022</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5217-2023</t>
        </is>
      </c>
      <c r="B293" s="1" t="n">
        <v>44959.39582175926</v>
      </c>
      <c r="C293" s="1" t="n">
        <v>46022</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23698-2025</t>
        </is>
      </c>
      <c r="B294" s="1" t="n">
        <v>45793</v>
      </c>
      <c r="C294" s="1" t="n">
        <v>46022</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15073-2025</t>
        </is>
      </c>
      <c r="B295" s="1" t="n">
        <v>45743</v>
      </c>
      <c r="C295" s="1" t="n">
        <v>46022</v>
      </c>
      <c r="D295" t="inlineStr">
        <is>
          <t>GOTLANDS LÄN</t>
        </is>
      </c>
      <c r="E295" t="inlineStr">
        <is>
          <t>GOTLAND</t>
        </is>
      </c>
      <c r="G295" t="n">
        <v>12.1</v>
      </c>
      <c r="H295" t="n">
        <v>0</v>
      </c>
      <c r="I295" t="n">
        <v>0</v>
      </c>
      <c r="J295" t="n">
        <v>0</v>
      </c>
      <c r="K295" t="n">
        <v>0</v>
      </c>
      <c r="L295" t="n">
        <v>0</v>
      </c>
      <c r="M295" t="n">
        <v>0</v>
      </c>
      <c r="N295" t="n">
        <v>0</v>
      </c>
      <c r="O295" t="n">
        <v>0</v>
      </c>
      <c r="P295" t="n">
        <v>0</v>
      </c>
      <c r="Q295" t="n">
        <v>0</v>
      </c>
      <c r="R295" s="2" t="inlineStr"/>
    </row>
    <row r="296" ht="15" customHeight="1">
      <c r="A296" t="inlineStr">
        <is>
          <t>A 14638-2025</t>
        </is>
      </c>
      <c r="B296" s="1" t="n">
        <v>45742</v>
      </c>
      <c r="C296" s="1" t="n">
        <v>46022</v>
      </c>
      <c r="D296" t="inlineStr">
        <is>
          <t>GOTLANDS LÄN</t>
        </is>
      </c>
      <c r="E296" t="inlineStr">
        <is>
          <t>GOTLAND</t>
        </is>
      </c>
      <c r="G296" t="n">
        <v>13.4</v>
      </c>
      <c r="H296" t="n">
        <v>0</v>
      </c>
      <c r="I296" t="n">
        <v>0</v>
      </c>
      <c r="J296" t="n">
        <v>0</v>
      </c>
      <c r="K296" t="n">
        <v>0</v>
      </c>
      <c r="L296" t="n">
        <v>0</v>
      </c>
      <c r="M296" t="n">
        <v>0</v>
      </c>
      <c r="N296" t="n">
        <v>0</v>
      </c>
      <c r="O296" t="n">
        <v>0</v>
      </c>
      <c r="P296" t="n">
        <v>0</v>
      </c>
      <c r="Q296" t="n">
        <v>0</v>
      </c>
      <c r="R296" s="2" t="inlineStr"/>
    </row>
    <row r="297" ht="15" customHeight="1">
      <c r="A297" t="inlineStr">
        <is>
          <t>A 39278-2025</t>
        </is>
      </c>
      <c r="B297" s="1" t="n">
        <v>45889</v>
      </c>
      <c r="C297" s="1" t="n">
        <v>46022</v>
      </c>
      <c r="D297" t="inlineStr">
        <is>
          <t>GOTLANDS LÄN</t>
        </is>
      </c>
      <c r="E297" t="inlineStr">
        <is>
          <t>GOTLAND</t>
        </is>
      </c>
      <c r="G297" t="n">
        <v>3.7</v>
      </c>
      <c r="H297" t="n">
        <v>0</v>
      </c>
      <c r="I297" t="n">
        <v>0</v>
      </c>
      <c r="J297" t="n">
        <v>0</v>
      </c>
      <c r="K297" t="n">
        <v>0</v>
      </c>
      <c r="L297" t="n">
        <v>0</v>
      </c>
      <c r="M297" t="n">
        <v>0</v>
      </c>
      <c r="N297" t="n">
        <v>0</v>
      </c>
      <c r="O297" t="n">
        <v>0</v>
      </c>
      <c r="P297" t="n">
        <v>0</v>
      </c>
      <c r="Q297" t="n">
        <v>0</v>
      </c>
      <c r="R297" s="2" t="inlineStr"/>
    </row>
    <row r="298" ht="15" customHeight="1">
      <c r="A298" t="inlineStr">
        <is>
          <t>A 4421-2024</t>
        </is>
      </c>
      <c r="B298" s="1" t="n">
        <v>45327.45173611111</v>
      </c>
      <c r="C298" s="1" t="n">
        <v>46022</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41435-2025</t>
        </is>
      </c>
      <c r="B299" s="1" t="n">
        <v>45901.39974537037</v>
      </c>
      <c r="C299" s="1" t="n">
        <v>46022</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20165-2022</t>
        </is>
      </c>
      <c r="B300" s="1" t="n">
        <v>44698.49854166667</v>
      </c>
      <c r="C300" s="1" t="n">
        <v>46022</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6749-2025</t>
        </is>
      </c>
      <c r="B301" s="1" t="n">
        <v>45700</v>
      </c>
      <c r="C301" s="1" t="n">
        <v>46022</v>
      </c>
      <c r="D301" t="inlineStr">
        <is>
          <t>GOTLANDS LÄN</t>
        </is>
      </c>
      <c r="E301" t="inlineStr">
        <is>
          <t>GOTLAND</t>
        </is>
      </c>
      <c r="G301" t="n">
        <v>4.5</v>
      </c>
      <c r="H301" t="n">
        <v>0</v>
      </c>
      <c r="I301" t="n">
        <v>0</v>
      </c>
      <c r="J301" t="n">
        <v>0</v>
      </c>
      <c r="K301" t="n">
        <v>0</v>
      </c>
      <c r="L301" t="n">
        <v>0</v>
      </c>
      <c r="M301" t="n">
        <v>0</v>
      </c>
      <c r="N301" t="n">
        <v>0</v>
      </c>
      <c r="O301" t="n">
        <v>0</v>
      </c>
      <c r="P301" t="n">
        <v>0</v>
      </c>
      <c r="Q301" t="n">
        <v>0</v>
      </c>
      <c r="R301" s="2" t="inlineStr"/>
    </row>
    <row r="302" ht="15" customHeight="1">
      <c r="A302" t="inlineStr">
        <is>
          <t>A 31264-2021</t>
        </is>
      </c>
      <c r="B302" s="1" t="n">
        <v>44368</v>
      </c>
      <c r="C302" s="1" t="n">
        <v>46022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47578-2025</t>
        </is>
      </c>
      <c r="B303" s="1" t="n">
        <v>45931</v>
      </c>
      <c r="C303" s="1" t="n">
        <v>46022</v>
      </c>
      <c r="D303" t="inlineStr">
        <is>
          <t>GOTLANDS LÄN</t>
        </is>
      </c>
      <c r="E303" t="inlineStr">
        <is>
          <t>GOTLAND</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46022</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43223-2023</t>
        </is>
      </c>
      <c r="B305" s="1" t="n">
        <v>45183.45642361111</v>
      </c>
      <c r="C305" s="1" t="n">
        <v>46022</v>
      </c>
      <c r="D305" t="inlineStr">
        <is>
          <t>GOTLANDS LÄN</t>
        </is>
      </c>
      <c r="E305" t="inlineStr">
        <is>
          <t>GOTLAND</t>
        </is>
      </c>
      <c r="G305" t="n">
        <v>1.8</v>
      </c>
      <c r="H305" t="n">
        <v>0</v>
      </c>
      <c r="I305" t="n">
        <v>0</v>
      </c>
      <c r="J305" t="n">
        <v>0</v>
      </c>
      <c r="K305" t="n">
        <v>0</v>
      </c>
      <c r="L305" t="n">
        <v>0</v>
      </c>
      <c r="M305" t="n">
        <v>0</v>
      </c>
      <c r="N305" t="n">
        <v>0</v>
      </c>
      <c r="O305" t="n">
        <v>0</v>
      </c>
      <c r="P305" t="n">
        <v>0</v>
      </c>
      <c r="Q305" t="n">
        <v>0</v>
      </c>
      <c r="R305" s="2" t="inlineStr"/>
    </row>
    <row r="306" ht="15" customHeight="1">
      <c r="A306" t="inlineStr">
        <is>
          <t>A 61962-2024</t>
        </is>
      </c>
      <c r="B306" s="1" t="n">
        <v>45653.54340277778</v>
      </c>
      <c r="C306" s="1" t="n">
        <v>46022</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46022</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5462-2025</t>
        </is>
      </c>
      <c r="B308" s="1" t="n">
        <v>45693.29331018519</v>
      </c>
      <c r="C308" s="1" t="n">
        <v>46022</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27930-2021</t>
        </is>
      </c>
      <c r="B309" s="1" t="n">
        <v>44354</v>
      </c>
      <c r="C309" s="1" t="n">
        <v>46022</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59469-2024</t>
        </is>
      </c>
      <c r="B310" s="1" t="n">
        <v>45638</v>
      </c>
      <c r="C310" s="1" t="n">
        <v>46022</v>
      </c>
      <c r="D310" t="inlineStr">
        <is>
          <t>GOTLANDS LÄN</t>
        </is>
      </c>
      <c r="E310" t="inlineStr">
        <is>
          <t>GOTLAND</t>
        </is>
      </c>
      <c r="G310" t="n">
        <v>0.4</v>
      </c>
      <c r="H310" t="n">
        <v>0</v>
      </c>
      <c r="I310" t="n">
        <v>0</v>
      </c>
      <c r="J310" t="n">
        <v>0</v>
      </c>
      <c r="K310" t="n">
        <v>0</v>
      </c>
      <c r="L310" t="n">
        <v>0</v>
      </c>
      <c r="M310" t="n">
        <v>0</v>
      </c>
      <c r="N310" t="n">
        <v>0</v>
      </c>
      <c r="O310" t="n">
        <v>0</v>
      </c>
      <c r="P310" t="n">
        <v>0</v>
      </c>
      <c r="Q310" t="n">
        <v>0</v>
      </c>
      <c r="R310" s="2" t="inlineStr"/>
    </row>
    <row r="311" ht="15" customHeight="1">
      <c r="A311" t="inlineStr">
        <is>
          <t>A 16373-2025</t>
        </is>
      </c>
      <c r="B311" s="1" t="n">
        <v>45751</v>
      </c>
      <c r="C311" s="1" t="n">
        <v>46022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46022</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5751-2024</t>
        </is>
      </c>
      <c r="B313" s="1" t="n">
        <v>45335.32702546296</v>
      </c>
      <c r="C313" s="1" t="n">
        <v>46022</v>
      </c>
      <c r="D313" t="inlineStr">
        <is>
          <t>GOTLANDS LÄN</t>
        </is>
      </c>
      <c r="E313" t="inlineStr">
        <is>
          <t>GOTLAND</t>
        </is>
      </c>
      <c r="G313" t="n">
        <v>4.2</v>
      </c>
      <c r="H313" t="n">
        <v>0</v>
      </c>
      <c r="I313" t="n">
        <v>0</v>
      </c>
      <c r="J313" t="n">
        <v>0</v>
      </c>
      <c r="K313" t="n">
        <v>0</v>
      </c>
      <c r="L313" t="n">
        <v>0</v>
      </c>
      <c r="M313" t="n">
        <v>0</v>
      </c>
      <c r="N313" t="n">
        <v>0</v>
      </c>
      <c r="O313" t="n">
        <v>0</v>
      </c>
      <c r="P313" t="n">
        <v>0</v>
      </c>
      <c r="Q313" t="n">
        <v>0</v>
      </c>
      <c r="R313" s="2" t="inlineStr"/>
    </row>
    <row r="314" ht="15" customHeight="1">
      <c r="A314" t="inlineStr">
        <is>
          <t>A 6696-2023</t>
        </is>
      </c>
      <c r="B314" s="1" t="n">
        <v>44966.66425925926</v>
      </c>
      <c r="C314" s="1" t="n">
        <v>46022</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28480-2023</t>
        </is>
      </c>
      <c r="B315" s="1" t="n">
        <v>45103</v>
      </c>
      <c r="C315" s="1" t="n">
        <v>46022</v>
      </c>
      <c r="D315" t="inlineStr">
        <is>
          <t>GOTLANDS LÄN</t>
        </is>
      </c>
      <c r="E315" t="inlineStr">
        <is>
          <t>GOTLAND</t>
        </is>
      </c>
      <c r="G315" t="n">
        <v>5.7</v>
      </c>
      <c r="H315" t="n">
        <v>0</v>
      </c>
      <c r="I315" t="n">
        <v>0</v>
      </c>
      <c r="J315" t="n">
        <v>0</v>
      </c>
      <c r="K315" t="n">
        <v>0</v>
      </c>
      <c r="L315" t="n">
        <v>0</v>
      </c>
      <c r="M315" t="n">
        <v>0</v>
      </c>
      <c r="N315" t="n">
        <v>0</v>
      </c>
      <c r="O315" t="n">
        <v>0</v>
      </c>
      <c r="P315" t="n">
        <v>0</v>
      </c>
      <c r="Q315" t="n">
        <v>0</v>
      </c>
      <c r="R315" s="2" t="inlineStr"/>
    </row>
    <row r="316" ht="15" customHeight="1">
      <c r="A316" t="inlineStr">
        <is>
          <t>A 28485-2023</t>
        </is>
      </c>
      <c r="B316" s="1" t="n">
        <v>45103.43731481482</v>
      </c>
      <c r="C316" s="1" t="n">
        <v>46022</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4990-2025</t>
        </is>
      </c>
      <c r="B317" s="1" t="n">
        <v>45691</v>
      </c>
      <c r="C317" s="1" t="n">
        <v>46022</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49690-2025</t>
        </is>
      </c>
      <c r="B318" s="1" t="n">
        <v>45939.66730324074</v>
      </c>
      <c r="C318" s="1" t="n">
        <v>46022</v>
      </c>
      <c r="D318" t="inlineStr">
        <is>
          <t>GOTLANDS LÄN</t>
        </is>
      </c>
      <c r="E318" t="inlineStr">
        <is>
          <t>GOTLAND</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38165-2023</t>
        </is>
      </c>
      <c r="B319" s="1" t="n">
        <v>45161</v>
      </c>
      <c r="C319" s="1" t="n">
        <v>46022</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46022</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25796-2025</t>
        </is>
      </c>
      <c r="B321" s="1" t="n">
        <v>45804.39543981481</v>
      </c>
      <c r="C321" s="1" t="n">
        <v>46022</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43911-2025</t>
        </is>
      </c>
      <c r="B322" s="1" t="n">
        <v>45914.3881712963</v>
      </c>
      <c r="C322" s="1" t="n">
        <v>46022</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26465-2025</t>
        </is>
      </c>
      <c r="B323" s="1" t="n">
        <v>45807.44377314814</v>
      </c>
      <c r="C323" s="1" t="n">
        <v>46022</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46022</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26457-2025</t>
        </is>
      </c>
      <c r="B325" s="1" t="n">
        <v>45807.42773148148</v>
      </c>
      <c r="C325" s="1" t="n">
        <v>46022</v>
      </c>
      <c r="D325" t="inlineStr">
        <is>
          <t>GOTLANDS LÄN</t>
        </is>
      </c>
      <c r="E325" t="inlineStr">
        <is>
          <t>GOTLAND</t>
        </is>
      </c>
      <c r="G325" t="n">
        <v>5.7</v>
      </c>
      <c r="H325" t="n">
        <v>0</v>
      </c>
      <c r="I325" t="n">
        <v>0</v>
      </c>
      <c r="J325" t="n">
        <v>0</v>
      </c>
      <c r="K325" t="n">
        <v>0</v>
      </c>
      <c r="L325" t="n">
        <v>0</v>
      </c>
      <c r="M325" t="n">
        <v>0</v>
      </c>
      <c r="N325" t="n">
        <v>0</v>
      </c>
      <c r="O325" t="n">
        <v>0</v>
      </c>
      <c r="P325" t="n">
        <v>0</v>
      </c>
      <c r="Q325" t="n">
        <v>0</v>
      </c>
      <c r="R325" s="2" t="inlineStr"/>
    </row>
    <row r="326" ht="15" customHeight="1">
      <c r="A326" t="inlineStr">
        <is>
          <t>A 44410-2025</t>
        </is>
      </c>
      <c r="B326" s="1" t="n">
        <v>45916.53699074074</v>
      </c>
      <c r="C326" s="1" t="n">
        <v>46022</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26467-2025</t>
        </is>
      </c>
      <c r="B327" s="1" t="n">
        <v>45807.44640046296</v>
      </c>
      <c r="C327" s="1" t="n">
        <v>46022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49693-2023</t>
        </is>
      </c>
      <c r="B328" s="1" t="n">
        <v>45212.38138888889</v>
      </c>
      <c r="C328" s="1" t="n">
        <v>46022</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49697-2023</t>
        </is>
      </c>
      <c r="B329" s="1" t="n">
        <v>45212.38909722222</v>
      </c>
      <c r="C329" s="1" t="n">
        <v>46022</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46022</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44405-2025</t>
        </is>
      </c>
      <c r="B331" s="1" t="n">
        <v>45916.52405092592</v>
      </c>
      <c r="C331" s="1" t="n">
        <v>46022</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48503-2023</t>
        </is>
      </c>
      <c r="B332" s="1" t="n">
        <v>45207</v>
      </c>
      <c r="C332" s="1" t="n">
        <v>46022</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26660-2025</t>
        </is>
      </c>
      <c r="B333" s="1" t="n">
        <v>45810.39737268518</v>
      </c>
      <c r="C333" s="1" t="n">
        <v>46022</v>
      </c>
      <c r="D333" t="inlineStr">
        <is>
          <t>GOTLANDS LÄN</t>
        </is>
      </c>
      <c r="E333" t="inlineStr">
        <is>
          <t>GOTLAND</t>
        </is>
      </c>
      <c r="G333" t="n">
        <v>1.8</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46022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27355-2025</t>
        </is>
      </c>
      <c r="B335" s="1" t="n">
        <v>45812</v>
      </c>
      <c r="C335" s="1" t="n">
        <v>46022</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27371-2025</t>
        </is>
      </c>
      <c r="B336" s="1" t="n">
        <v>45812</v>
      </c>
      <c r="C336" s="1" t="n">
        <v>46022</v>
      </c>
      <c r="D336" t="inlineStr">
        <is>
          <t>GOTLANDS LÄN</t>
        </is>
      </c>
      <c r="E336" t="inlineStr">
        <is>
          <t>GOTLAND</t>
        </is>
      </c>
      <c r="G336" t="n">
        <v>8</v>
      </c>
      <c r="H336" t="n">
        <v>0</v>
      </c>
      <c r="I336" t="n">
        <v>0</v>
      </c>
      <c r="J336" t="n">
        <v>0</v>
      </c>
      <c r="K336" t="n">
        <v>0</v>
      </c>
      <c r="L336" t="n">
        <v>0</v>
      </c>
      <c r="M336" t="n">
        <v>0</v>
      </c>
      <c r="N336" t="n">
        <v>0</v>
      </c>
      <c r="O336" t="n">
        <v>0</v>
      </c>
      <c r="P336" t="n">
        <v>0</v>
      </c>
      <c r="Q336" t="n">
        <v>0</v>
      </c>
      <c r="R336" s="2" t="inlineStr"/>
    </row>
    <row r="337" ht="15" customHeight="1">
      <c r="A337" t="inlineStr">
        <is>
          <t>A 22031-2024</t>
        </is>
      </c>
      <c r="B337" s="1" t="n">
        <v>45443.60075231481</v>
      </c>
      <c r="C337" s="1" t="n">
        <v>46022</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17688-2024</t>
        </is>
      </c>
      <c r="B338" s="1" t="n">
        <v>45418.43575231481</v>
      </c>
      <c r="C338" s="1" t="n">
        <v>46022</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46022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7850-2025</t>
        </is>
      </c>
      <c r="B340" s="1" t="n">
        <v>45706</v>
      </c>
      <c r="C340" s="1" t="n">
        <v>46022</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46022</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6739-2025</t>
        </is>
      </c>
      <c r="B342" s="1" t="n">
        <v>45700</v>
      </c>
      <c r="C342" s="1" t="n">
        <v>46022</v>
      </c>
      <c r="D342" t="inlineStr">
        <is>
          <t>GOTLANDS LÄN</t>
        </is>
      </c>
      <c r="E342" t="inlineStr">
        <is>
          <t>GOTLAND</t>
        </is>
      </c>
      <c r="G342" t="n">
        <v>4.5</v>
      </c>
      <c r="H342" t="n">
        <v>0</v>
      </c>
      <c r="I342" t="n">
        <v>0</v>
      </c>
      <c r="J342" t="n">
        <v>0</v>
      </c>
      <c r="K342" t="n">
        <v>0</v>
      </c>
      <c r="L342" t="n">
        <v>0</v>
      </c>
      <c r="M342" t="n">
        <v>0</v>
      </c>
      <c r="N342" t="n">
        <v>0</v>
      </c>
      <c r="O342" t="n">
        <v>0</v>
      </c>
      <c r="P342" t="n">
        <v>0</v>
      </c>
      <c r="Q342" t="n">
        <v>0</v>
      </c>
      <c r="R342" s="2" t="inlineStr"/>
    </row>
    <row r="343" ht="15" customHeight="1">
      <c r="A343" t="inlineStr">
        <is>
          <t>A 6099-2024</t>
        </is>
      </c>
      <c r="B343" s="1" t="n">
        <v>45337</v>
      </c>
      <c r="C343" s="1" t="n">
        <v>46022</v>
      </c>
      <c r="D343" t="inlineStr">
        <is>
          <t>GOTLANDS LÄN</t>
        </is>
      </c>
      <c r="E343" t="inlineStr">
        <is>
          <t>GOTLAND</t>
        </is>
      </c>
      <c r="G343" t="n">
        <v>12.6</v>
      </c>
      <c r="H343" t="n">
        <v>0</v>
      </c>
      <c r="I343" t="n">
        <v>0</v>
      </c>
      <c r="J343" t="n">
        <v>0</v>
      </c>
      <c r="K343" t="n">
        <v>0</v>
      </c>
      <c r="L343" t="n">
        <v>0</v>
      </c>
      <c r="M343" t="n">
        <v>0</v>
      </c>
      <c r="N343" t="n">
        <v>0</v>
      </c>
      <c r="O343" t="n">
        <v>0</v>
      </c>
      <c r="P343" t="n">
        <v>0</v>
      </c>
      <c r="Q343" t="n">
        <v>0</v>
      </c>
      <c r="R343" s="2" t="inlineStr"/>
    </row>
    <row r="344" ht="15" customHeight="1">
      <c r="A344" t="inlineStr">
        <is>
          <t>A 8260-2023</t>
        </is>
      </c>
      <c r="B344" s="1" t="n">
        <v>44974.61608796296</v>
      </c>
      <c r="C344" s="1" t="n">
        <v>46022</v>
      </c>
      <c r="D344" t="inlineStr">
        <is>
          <t>GOTLANDS LÄN</t>
        </is>
      </c>
      <c r="E344" t="inlineStr">
        <is>
          <t>GOTLAND</t>
        </is>
      </c>
      <c r="G344" t="n">
        <v>2.9</v>
      </c>
      <c r="H344" t="n">
        <v>0</v>
      </c>
      <c r="I344" t="n">
        <v>0</v>
      </c>
      <c r="J344" t="n">
        <v>0</v>
      </c>
      <c r="K344" t="n">
        <v>0</v>
      </c>
      <c r="L344" t="n">
        <v>0</v>
      </c>
      <c r="M344" t="n">
        <v>0</v>
      </c>
      <c r="N344" t="n">
        <v>0</v>
      </c>
      <c r="O344" t="n">
        <v>0</v>
      </c>
      <c r="P344" t="n">
        <v>0</v>
      </c>
      <c r="Q344" t="n">
        <v>0</v>
      </c>
      <c r="R344" s="2" t="inlineStr"/>
    </row>
    <row r="345" ht="15" customHeight="1">
      <c r="A345" t="inlineStr">
        <is>
          <t>A 8444-2025</t>
        </is>
      </c>
      <c r="B345" s="1" t="n">
        <v>45709</v>
      </c>
      <c r="C345" s="1" t="n">
        <v>46022</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19905-2025</t>
        </is>
      </c>
      <c r="B346" s="1" t="n">
        <v>45771</v>
      </c>
      <c r="C346" s="1" t="n">
        <v>46022</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46022</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22287-2022</t>
        </is>
      </c>
      <c r="B348" s="1" t="n">
        <v>44712</v>
      </c>
      <c r="C348" s="1" t="n">
        <v>46022</v>
      </c>
      <c r="D348" t="inlineStr">
        <is>
          <t>GOTLANDS LÄN</t>
        </is>
      </c>
      <c r="E348" t="inlineStr">
        <is>
          <t>GOTLAND</t>
        </is>
      </c>
      <c r="G348" t="n">
        <v>6.1</v>
      </c>
      <c r="H348" t="n">
        <v>0</v>
      </c>
      <c r="I348" t="n">
        <v>0</v>
      </c>
      <c r="J348" t="n">
        <v>0</v>
      </c>
      <c r="K348" t="n">
        <v>0</v>
      </c>
      <c r="L348" t="n">
        <v>0</v>
      </c>
      <c r="M348" t="n">
        <v>0</v>
      </c>
      <c r="N348" t="n">
        <v>0</v>
      </c>
      <c r="O348" t="n">
        <v>0</v>
      </c>
      <c r="P348" t="n">
        <v>0</v>
      </c>
      <c r="Q348" t="n">
        <v>0</v>
      </c>
      <c r="R348" s="2" t="inlineStr"/>
    </row>
    <row r="349" ht="15" customHeight="1">
      <c r="A349" t="inlineStr">
        <is>
          <t>A 57534-2022</t>
        </is>
      </c>
      <c r="B349" s="1" t="n">
        <v>44896</v>
      </c>
      <c r="C349" s="1" t="n">
        <v>46022</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46022</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47637-2025</t>
        </is>
      </c>
      <c r="B351" s="1" t="n">
        <v>45931.49753472222</v>
      </c>
      <c r="C351" s="1" t="n">
        <v>46022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29207-2025</t>
        </is>
      </c>
      <c r="B352" s="1" t="n">
        <v>45823</v>
      </c>
      <c r="C352" s="1" t="n">
        <v>46022</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29196-2025</t>
        </is>
      </c>
      <c r="B353" s="1" t="n">
        <v>45822</v>
      </c>
      <c r="C353" s="1" t="n">
        <v>46022</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46022</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30061-2025</t>
        </is>
      </c>
      <c r="B355" s="1" t="n">
        <v>45826.61488425926</v>
      </c>
      <c r="C355" s="1" t="n">
        <v>46022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20855-2023</t>
        </is>
      </c>
      <c r="B356" s="1" t="n">
        <v>45058.82172453704</v>
      </c>
      <c r="C356" s="1" t="n">
        <v>46022</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58160-2024</t>
        </is>
      </c>
      <c r="B357" s="1" t="n">
        <v>45632.44927083333</v>
      </c>
      <c r="C357" s="1" t="n">
        <v>46022</v>
      </c>
      <c r="D357" t="inlineStr">
        <is>
          <t>GOTLANDS LÄN</t>
        </is>
      </c>
      <c r="E357" t="inlineStr">
        <is>
          <t>GOTLAND</t>
        </is>
      </c>
      <c r="G357" t="n">
        <v>5.6</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46022</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46022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60709-2023</t>
        </is>
      </c>
      <c r="B360" s="1" t="n">
        <v>45260</v>
      </c>
      <c r="C360" s="1" t="n">
        <v>46022</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1000-2024</t>
        </is>
      </c>
      <c r="B361" s="1" t="n">
        <v>45301.63371527778</v>
      </c>
      <c r="C361" s="1" t="n">
        <v>46022</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1010-2024</t>
        </is>
      </c>
      <c r="B362" s="1" t="n">
        <v>45301</v>
      </c>
      <c r="C362" s="1" t="n">
        <v>46022</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65249-2023</t>
        </is>
      </c>
      <c r="B363" s="1" t="n">
        <v>45290</v>
      </c>
      <c r="C363" s="1" t="n">
        <v>46022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30956-2024</t>
        </is>
      </c>
      <c r="B364" s="1" t="n">
        <v>45499.42527777778</v>
      </c>
      <c r="C364" s="1" t="n">
        <v>46022</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12596-2023</t>
        </is>
      </c>
      <c r="B365" s="1" t="n">
        <v>45000.43310185185</v>
      </c>
      <c r="C365" s="1" t="n">
        <v>46022</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8045-2022</t>
        </is>
      </c>
      <c r="B366" s="1" t="n">
        <v>44609</v>
      </c>
      <c r="C366" s="1" t="n">
        <v>46022</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50421-2025</t>
        </is>
      </c>
      <c r="B367" s="1" t="n">
        <v>45944.66049768519</v>
      </c>
      <c r="C367" s="1" t="n">
        <v>46022</v>
      </c>
      <c r="D367" t="inlineStr">
        <is>
          <t>GOTLANDS LÄN</t>
        </is>
      </c>
      <c r="E367" t="inlineStr">
        <is>
          <t>GOTLAND</t>
        </is>
      </c>
      <c r="G367" t="n">
        <v>3.9</v>
      </c>
      <c r="H367" t="n">
        <v>0</v>
      </c>
      <c r="I367" t="n">
        <v>0</v>
      </c>
      <c r="J367" t="n">
        <v>0</v>
      </c>
      <c r="K367" t="n">
        <v>0</v>
      </c>
      <c r="L367" t="n">
        <v>0</v>
      </c>
      <c r="M367" t="n">
        <v>0</v>
      </c>
      <c r="N367" t="n">
        <v>0</v>
      </c>
      <c r="O367" t="n">
        <v>0</v>
      </c>
      <c r="P367" t="n">
        <v>0</v>
      </c>
      <c r="Q367" t="n">
        <v>0</v>
      </c>
      <c r="R367" s="2" t="inlineStr"/>
    </row>
    <row r="368" ht="15" customHeight="1">
      <c r="A368" t="inlineStr">
        <is>
          <t>A 16109-2025</t>
        </is>
      </c>
      <c r="B368" s="1" t="n">
        <v>45750</v>
      </c>
      <c r="C368" s="1" t="n">
        <v>46022</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32467-2025</t>
        </is>
      </c>
      <c r="B369" s="1" t="n">
        <v>45838.42111111111</v>
      </c>
      <c r="C369" s="1" t="n">
        <v>46022</v>
      </c>
      <c r="D369" t="inlineStr">
        <is>
          <t>GOTLANDS LÄN</t>
        </is>
      </c>
      <c r="E369" t="inlineStr">
        <is>
          <t>GOTLAND</t>
        </is>
      </c>
      <c r="G369" t="n">
        <v>4.3</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46022</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32379-2025</t>
        </is>
      </c>
      <c r="B371" s="1" t="n">
        <v>45837</v>
      </c>
      <c r="C371" s="1" t="n">
        <v>46022</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999-2024</t>
        </is>
      </c>
      <c r="B372" s="1" t="n">
        <v>45301</v>
      </c>
      <c r="C372" s="1" t="n">
        <v>46022</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65901-2021</t>
        </is>
      </c>
      <c r="B373" s="1" t="n">
        <v>44516</v>
      </c>
      <c r="C373" s="1" t="n">
        <v>46022</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33007-2025</t>
        </is>
      </c>
      <c r="B374" s="1" t="n">
        <v>45840</v>
      </c>
      <c r="C374" s="1" t="n">
        <v>46022</v>
      </c>
      <c r="D374" t="inlineStr">
        <is>
          <t>GOTLANDS LÄN</t>
        </is>
      </c>
      <c r="E374" t="inlineStr">
        <is>
          <t>GOTLAND</t>
        </is>
      </c>
      <c r="G374" t="n">
        <v>4.9</v>
      </c>
      <c r="H374" t="n">
        <v>0</v>
      </c>
      <c r="I374" t="n">
        <v>0</v>
      </c>
      <c r="J374" t="n">
        <v>0</v>
      </c>
      <c r="K374" t="n">
        <v>0</v>
      </c>
      <c r="L374" t="n">
        <v>0</v>
      </c>
      <c r="M374" t="n">
        <v>0</v>
      </c>
      <c r="N374" t="n">
        <v>0</v>
      </c>
      <c r="O374" t="n">
        <v>0</v>
      </c>
      <c r="P374" t="n">
        <v>0</v>
      </c>
      <c r="Q374" t="n">
        <v>0</v>
      </c>
      <c r="R374" s="2" t="inlineStr"/>
    </row>
    <row r="375" ht="15" customHeight="1">
      <c r="A375" t="inlineStr">
        <is>
          <t>A 47762-2023</t>
        </is>
      </c>
      <c r="B375" s="1" t="n">
        <v>45203.86256944444</v>
      </c>
      <c r="C375" s="1" t="n">
        <v>46022</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40294-2022</t>
        </is>
      </c>
      <c r="B376" s="1" t="n">
        <v>44821</v>
      </c>
      <c r="C376" s="1" t="n">
        <v>46022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27602-2023</t>
        </is>
      </c>
      <c r="B377" s="1" t="n">
        <v>45097</v>
      </c>
      <c r="C377" s="1" t="n">
        <v>46022</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58780-2024</t>
        </is>
      </c>
      <c r="B378" s="1" t="n">
        <v>45635.84113425926</v>
      </c>
      <c r="C378" s="1" t="n">
        <v>46022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12322-2025</t>
        </is>
      </c>
      <c r="B379" s="1" t="n">
        <v>45730</v>
      </c>
      <c r="C379" s="1" t="n">
        <v>46022</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24192-2023</t>
        </is>
      </c>
      <c r="B380" s="1" t="n">
        <v>45079</v>
      </c>
      <c r="C380" s="1" t="n">
        <v>46022</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30282-2022</t>
        </is>
      </c>
      <c r="B381" s="1" t="n">
        <v>44760</v>
      </c>
      <c r="C381" s="1" t="n">
        <v>46022</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7835-2024</t>
        </is>
      </c>
      <c r="B382" s="1" t="n">
        <v>45349.83138888889</v>
      </c>
      <c r="C382" s="1" t="n">
        <v>46022</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10650-2022</t>
        </is>
      </c>
      <c r="B383" s="1" t="n">
        <v>44624.57945601852</v>
      </c>
      <c r="C383" s="1" t="n">
        <v>46022</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15413-2025</t>
        </is>
      </c>
      <c r="B384" s="1" t="n">
        <v>45747.451875</v>
      </c>
      <c r="C384" s="1" t="n">
        <v>46022</v>
      </c>
      <c r="D384" t="inlineStr">
        <is>
          <t>GOTLANDS LÄN</t>
        </is>
      </c>
      <c r="E384" t="inlineStr">
        <is>
          <t>GOTLAND</t>
        </is>
      </c>
      <c r="G384" t="n">
        <v>0.6</v>
      </c>
      <c r="H384" t="n">
        <v>0</v>
      </c>
      <c r="I384" t="n">
        <v>0</v>
      </c>
      <c r="J384" t="n">
        <v>0</v>
      </c>
      <c r="K384" t="n">
        <v>0</v>
      </c>
      <c r="L384" t="n">
        <v>0</v>
      </c>
      <c r="M384" t="n">
        <v>0</v>
      </c>
      <c r="N384" t="n">
        <v>0</v>
      </c>
      <c r="O384" t="n">
        <v>0</v>
      </c>
      <c r="P384" t="n">
        <v>0</v>
      </c>
      <c r="Q384" t="n">
        <v>0</v>
      </c>
      <c r="R384" s="2" t="inlineStr"/>
    </row>
    <row r="385" ht="15" customHeight="1">
      <c r="A385" t="inlineStr">
        <is>
          <t>A 26810-2021</t>
        </is>
      </c>
      <c r="B385" s="1" t="n">
        <v>44349.55087962963</v>
      </c>
      <c r="C385" s="1" t="n">
        <v>46022</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59197-2025</t>
        </is>
      </c>
      <c r="B386" s="1" t="n">
        <v>45988.59846064815</v>
      </c>
      <c r="C386" s="1" t="n">
        <v>46022</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35096-2025</t>
        </is>
      </c>
      <c r="B387" s="1" t="n">
        <v>45852.54356481481</v>
      </c>
      <c r="C387" s="1" t="n">
        <v>46022</v>
      </c>
      <c r="D387" t="inlineStr">
        <is>
          <t>GOTLANDS LÄN</t>
        </is>
      </c>
      <c r="E387" t="inlineStr">
        <is>
          <t>GOTLAND</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35123-2025</t>
        </is>
      </c>
      <c r="B388" s="1" t="n">
        <v>45852.614375</v>
      </c>
      <c r="C388" s="1" t="n">
        <v>46022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50928-2025</t>
        </is>
      </c>
      <c r="B389" s="1" t="n">
        <v>45946.67896990741</v>
      </c>
      <c r="C389" s="1" t="n">
        <v>46022</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35290-2025</t>
        </is>
      </c>
      <c r="B390" s="1" t="n">
        <v>45854.38502314815</v>
      </c>
      <c r="C390" s="1" t="n">
        <v>46022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51262-2025</t>
        </is>
      </c>
      <c r="B391" s="1" t="n">
        <v>45949.49872685185</v>
      </c>
      <c r="C391" s="1" t="n">
        <v>46022</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30104-2025</t>
        </is>
      </c>
      <c r="B392" s="1" t="n">
        <v>45826.68806712963</v>
      </c>
      <c r="C392" s="1" t="n">
        <v>46022</v>
      </c>
      <c r="D392" t="inlineStr">
        <is>
          <t>GOTLANDS LÄN</t>
        </is>
      </c>
      <c r="E392" t="inlineStr">
        <is>
          <t>GOTLAND</t>
        </is>
      </c>
      <c r="G392" t="n">
        <v>15.4</v>
      </c>
      <c r="H392" t="n">
        <v>0</v>
      </c>
      <c r="I392" t="n">
        <v>0</v>
      </c>
      <c r="J392" t="n">
        <v>0</v>
      </c>
      <c r="K392" t="n">
        <v>0</v>
      </c>
      <c r="L392" t="n">
        <v>0</v>
      </c>
      <c r="M392" t="n">
        <v>0</v>
      </c>
      <c r="N392" t="n">
        <v>0</v>
      </c>
      <c r="O392" t="n">
        <v>0</v>
      </c>
      <c r="P392" t="n">
        <v>0</v>
      </c>
      <c r="Q392" t="n">
        <v>0</v>
      </c>
      <c r="R392" s="2" t="inlineStr"/>
    </row>
    <row r="393" ht="15" customHeight="1">
      <c r="A393" t="inlineStr">
        <is>
          <t>A 32669-2024</t>
        </is>
      </c>
      <c r="B393" s="1" t="n">
        <v>45514</v>
      </c>
      <c r="C393" s="1" t="n">
        <v>46022</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28425-2023</t>
        </is>
      </c>
      <c r="B394" s="1" t="n">
        <v>45102</v>
      </c>
      <c r="C394" s="1" t="n">
        <v>46022</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35537-2025</t>
        </is>
      </c>
      <c r="B395" s="1" t="n">
        <v>45856</v>
      </c>
      <c r="C395" s="1" t="n">
        <v>46022</v>
      </c>
      <c r="D395" t="inlineStr">
        <is>
          <t>GOTLANDS LÄN</t>
        </is>
      </c>
      <c r="E395" t="inlineStr">
        <is>
          <t>GOTLAND</t>
        </is>
      </c>
      <c r="G395" t="n">
        <v>16.8</v>
      </c>
      <c r="H395" t="n">
        <v>0</v>
      </c>
      <c r="I395" t="n">
        <v>0</v>
      </c>
      <c r="J395" t="n">
        <v>0</v>
      </c>
      <c r="K395" t="n">
        <v>0</v>
      </c>
      <c r="L395" t="n">
        <v>0</v>
      </c>
      <c r="M395" t="n">
        <v>0</v>
      </c>
      <c r="N395" t="n">
        <v>0</v>
      </c>
      <c r="O395" t="n">
        <v>0</v>
      </c>
      <c r="P395" t="n">
        <v>0</v>
      </c>
      <c r="Q395" t="n">
        <v>0</v>
      </c>
      <c r="R395" s="2" t="inlineStr"/>
    </row>
    <row r="396" ht="15" customHeight="1">
      <c r="A396" t="inlineStr">
        <is>
          <t>A 13037-2025</t>
        </is>
      </c>
      <c r="B396" s="1" t="n">
        <v>45734</v>
      </c>
      <c r="C396" s="1" t="n">
        <v>46022</v>
      </c>
      <c r="D396" t="inlineStr">
        <is>
          <t>GOTLANDS LÄN</t>
        </is>
      </c>
      <c r="E396" t="inlineStr">
        <is>
          <t>GOTLAND</t>
        </is>
      </c>
      <c r="G396" t="n">
        <v>9.5</v>
      </c>
      <c r="H396" t="n">
        <v>0</v>
      </c>
      <c r="I396" t="n">
        <v>0</v>
      </c>
      <c r="J396" t="n">
        <v>0</v>
      </c>
      <c r="K396" t="n">
        <v>0</v>
      </c>
      <c r="L396" t="n">
        <v>0</v>
      </c>
      <c r="M396" t="n">
        <v>0</v>
      </c>
      <c r="N396" t="n">
        <v>0</v>
      </c>
      <c r="O396" t="n">
        <v>0</v>
      </c>
      <c r="P396" t="n">
        <v>0</v>
      </c>
      <c r="Q396" t="n">
        <v>0</v>
      </c>
      <c r="R396" s="2" t="inlineStr"/>
    </row>
    <row r="397" ht="15" customHeight="1">
      <c r="A397" t="inlineStr">
        <is>
          <t>A 30488-2025</t>
        </is>
      </c>
      <c r="B397" s="1" t="n">
        <v>45830</v>
      </c>
      <c r="C397" s="1" t="n">
        <v>46022</v>
      </c>
      <c r="D397" t="inlineStr">
        <is>
          <t>GOTLANDS LÄN</t>
        </is>
      </c>
      <c r="E397" t="inlineStr">
        <is>
          <t>GOTLAND</t>
        </is>
      </c>
      <c r="F397" t="inlineStr">
        <is>
          <t>Kyrkan</t>
        </is>
      </c>
      <c r="G397" t="n">
        <v>3.9</v>
      </c>
      <c r="H397" t="n">
        <v>0</v>
      </c>
      <c r="I397" t="n">
        <v>0</v>
      </c>
      <c r="J397" t="n">
        <v>0</v>
      </c>
      <c r="K397" t="n">
        <v>0</v>
      </c>
      <c r="L397" t="n">
        <v>0</v>
      </c>
      <c r="M397" t="n">
        <v>0</v>
      </c>
      <c r="N397" t="n">
        <v>0</v>
      </c>
      <c r="O397" t="n">
        <v>0</v>
      </c>
      <c r="P397" t="n">
        <v>0</v>
      </c>
      <c r="Q397" t="n">
        <v>0</v>
      </c>
      <c r="R397" s="2" t="inlineStr"/>
    </row>
    <row r="398" ht="15" customHeight="1">
      <c r="A398" t="inlineStr">
        <is>
          <t>A 15216-2025</t>
        </is>
      </c>
      <c r="B398" s="1" t="n">
        <v>45744</v>
      </c>
      <c r="C398" s="1" t="n">
        <v>46022</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15001-2025</t>
        </is>
      </c>
      <c r="B399" s="1" t="n">
        <v>45743</v>
      </c>
      <c r="C399" s="1" t="n">
        <v>46022</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43790-2024</t>
        </is>
      </c>
      <c r="B400" s="1" t="n">
        <v>45571</v>
      </c>
      <c r="C400" s="1" t="n">
        <v>46022</v>
      </c>
      <c r="D400" t="inlineStr">
        <is>
          <t>GOTLANDS LÄN</t>
        </is>
      </c>
      <c r="E400" t="inlineStr">
        <is>
          <t>GOTLAND</t>
        </is>
      </c>
      <c r="G400" t="n">
        <v>3.5</v>
      </c>
      <c r="H400" t="n">
        <v>0</v>
      </c>
      <c r="I400" t="n">
        <v>0</v>
      </c>
      <c r="J400" t="n">
        <v>0</v>
      </c>
      <c r="K400" t="n">
        <v>0</v>
      </c>
      <c r="L400" t="n">
        <v>0</v>
      </c>
      <c r="M400" t="n">
        <v>0</v>
      </c>
      <c r="N400" t="n">
        <v>0</v>
      </c>
      <c r="O400" t="n">
        <v>0</v>
      </c>
      <c r="P400" t="n">
        <v>0</v>
      </c>
      <c r="Q400" t="n">
        <v>0</v>
      </c>
      <c r="R400" s="2" t="inlineStr"/>
    </row>
    <row r="401" ht="15" customHeight="1">
      <c r="A401" t="inlineStr">
        <is>
          <t>A 17847-2025</t>
        </is>
      </c>
      <c r="B401" s="1" t="n">
        <v>45758</v>
      </c>
      <c r="C401" s="1" t="n">
        <v>46022</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36319-2025</t>
        </is>
      </c>
      <c r="B402" s="1" t="n">
        <v>45868</v>
      </c>
      <c r="C402" s="1" t="n">
        <v>46022</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18742-2025</t>
        </is>
      </c>
      <c r="B403" s="1" t="n">
        <v>45763</v>
      </c>
      <c r="C403" s="1" t="n">
        <v>46022</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35129-2025</t>
        </is>
      </c>
      <c r="B404" s="1" t="n">
        <v>45852.63224537037</v>
      </c>
      <c r="C404" s="1" t="n">
        <v>46022</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45722.42766203704</v>
      </c>
      <c r="C405" s="1" t="n">
        <v>46022</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43229-2023</t>
        </is>
      </c>
      <c r="B406" s="1" t="n">
        <v>45183.46704861111</v>
      </c>
      <c r="C406" s="1" t="n">
        <v>46022</v>
      </c>
      <c r="D406" t="inlineStr">
        <is>
          <t>GOTLANDS LÄN</t>
        </is>
      </c>
      <c r="E406" t="inlineStr">
        <is>
          <t>GOTLAND</t>
        </is>
      </c>
      <c r="G406" t="n">
        <v>7.1</v>
      </c>
      <c r="H406" t="n">
        <v>0</v>
      </c>
      <c r="I406" t="n">
        <v>0</v>
      </c>
      <c r="J406" t="n">
        <v>0</v>
      </c>
      <c r="K406" t="n">
        <v>0</v>
      </c>
      <c r="L406" t="n">
        <v>0</v>
      </c>
      <c r="M406" t="n">
        <v>0</v>
      </c>
      <c r="N406" t="n">
        <v>0</v>
      </c>
      <c r="O406" t="n">
        <v>0</v>
      </c>
      <c r="P406" t="n">
        <v>0</v>
      </c>
      <c r="Q406" t="n">
        <v>0</v>
      </c>
      <c r="R406" s="2" t="inlineStr"/>
    </row>
    <row r="407" ht="15" customHeight="1">
      <c r="A407" t="inlineStr">
        <is>
          <t>A 41038-2023</t>
        </is>
      </c>
      <c r="B407" s="1" t="n">
        <v>45173.60959490741</v>
      </c>
      <c r="C407" s="1" t="n">
        <v>46022</v>
      </c>
      <c r="D407" t="inlineStr">
        <is>
          <t>GOTLANDS LÄN</t>
        </is>
      </c>
      <c r="E407" t="inlineStr">
        <is>
          <t>GOTLAND</t>
        </is>
      </c>
      <c r="G407" t="n">
        <v>2.7</v>
      </c>
      <c r="H407" t="n">
        <v>0</v>
      </c>
      <c r="I407" t="n">
        <v>0</v>
      </c>
      <c r="J407" t="n">
        <v>0</v>
      </c>
      <c r="K407" t="n">
        <v>0</v>
      </c>
      <c r="L407" t="n">
        <v>0</v>
      </c>
      <c r="M407" t="n">
        <v>0</v>
      </c>
      <c r="N407" t="n">
        <v>0</v>
      </c>
      <c r="O407" t="n">
        <v>0</v>
      </c>
      <c r="P407" t="n">
        <v>0</v>
      </c>
      <c r="Q407" t="n">
        <v>0</v>
      </c>
      <c r="R407" s="2" t="inlineStr"/>
    </row>
    <row r="408" ht="15" customHeight="1">
      <c r="A408" t="inlineStr">
        <is>
          <t>A 30489-2025</t>
        </is>
      </c>
      <c r="B408" s="1" t="n">
        <v>45830</v>
      </c>
      <c r="C408" s="1" t="n">
        <v>46022</v>
      </c>
      <c r="D408" t="inlineStr">
        <is>
          <t>GOTLANDS LÄN</t>
        </is>
      </c>
      <c r="E408" t="inlineStr">
        <is>
          <t>GOTLAND</t>
        </is>
      </c>
      <c r="G408" t="n">
        <v>4.6</v>
      </c>
      <c r="H408" t="n">
        <v>0</v>
      </c>
      <c r="I408" t="n">
        <v>0</v>
      </c>
      <c r="J408" t="n">
        <v>0</v>
      </c>
      <c r="K408" t="n">
        <v>0</v>
      </c>
      <c r="L408" t="n">
        <v>0</v>
      </c>
      <c r="M408" t="n">
        <v>0</v>
      </c>
      <c r="N408" t="n">
        <v>0</v>
      </c>
      <c r="O408" t="n">
        <v>0</v>
      </c>
      <c r="P408" t="n">
        <v>0</v>
      </c>
      <c r="Q408" t="n">
        <v>0</v>
      </c>
      <c r="R408" s="2" t="inlineStr"/>
    </row>
    <row r="409" ht="15" customHeight="1">
      <c r="A409" t="inlineStr">
        <is>
          <t>A 21142-2025</t>
        </is>
      </c>
      <c r="B409" s="1" t="n">
        <v>45779</v>
      </c>
      <c r="C409" s="1" t="n">
        <v>46022</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6108-2025</t>
        </is>
      </c>
      <c r="B410" s="1" t="n">
        <v>45698.29880787037</v>
      </c>
      <c r="C410" s="1" t="n">
        <v>46022</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17343-2025</t>
        </is>
      </c>
      <c r="B411" s="1" t="n">
        <v>45756.6687037037</v>
      </c>
      <c r="C411" s="1" t="n">
        <v>46022</v>
      </c>
      <c r="D411" t="inlineStr">
        <is>
          <t>GOTLANDS LÄN</t>
        </is>
      </c>
      <c r="E411" t="inlineStr">
        <is>
          <t>GOTLAND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18938-2025</t>
        </is>
      </c>
      <c r="B412" s="1" t="n">
        <v>45764.49172453704</v>
      </c>
      <c r="C412" s="1" t="n">
        <v>46022</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20307-2025</t>
        </is>
      </c>
      <c r="B413" s="1" t="n">
        <v>45774.95546296296</v>
      </c>
      <c r="C413" s="1" t="n">
        <v>46022</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24966-2023</t>
        </is>
      </c>
      <c r="B414" s="1" t="n">
        <v>45085</v>
      </c>
      <c r="C414" s="1" t="n">
        <v>46022</v>
      </c>
      <c r="D414" t="inlineStr">
        <is>
          <t>GOTLANDS LÄN</t>
        </is>
      </c>
      <c r="E414" t="inlineStr">
        <is>
          <t>GOTLAND</t>
        </is>
      </c>
      <c r="G414" t="n">
        <v>7</v>
      </c>
      <c r="H414" t="n">
        <v>0</v>
      </c>
      <c r="I414" t="n">
        <v>0</v>
      </c>
      <c r="J414" t="n">
        <v>0</v>
      </c>
      <c r="K414" t="n">
        <v>0</v>
      </c>
      <c r="L414" t="n">
        <v>0</v>
      </c>
      <c r="M414" t="n">
        <v>0</v>
      </c>
      <c r="N414" t="n">
        <v>0</v>
      </c>
      <c r="O414" t="n">
        <v>0</v>
      </c>
      <c r="P414" t="n">
        <v>0</v>
      </c>
      <c r="Q414" t="n">
        <v>0</v>
      </c>
      <c r="R414" s="2" t="inlineStr"/>
    </row>
    <row r="415" ht="15" customHeight="1">
      <c r="A415" t="inlineStr">
        <is>
          <t>A 57652-2023</t>
        </is>
      </c>
      <c r="B415" s="1" t="n">
        <v>45246</v>
      </c>
      <c r="C415" s="1" t="n">
        <v>46022</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46189-2022</t>
        </is>
      </c>
      <c r="B416" s="1" t="n">
        <v>44847</v>
      </c>
      <c r="C416" s="1" t="n">
        <v>46022</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57522-2022</t>
        </is>
      </c>
      <c r="B417" s="1" t="n">
        <v>44896</v>
      </c>
      <c r="C417" s="1" t="n">
        <v>46022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14797-2024</t>
        </is>
      </c>
      <c r="B418" s="1" t="n">
        <v>45397.87030092593</v>
      </c>
      <c r="C418" s="1" t="n">
        <v>46022</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46022</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18993-2025</t>
        </is>
      </c>
      <c r="B420" s="1" t="n">
        <v>45764</v>
      </c>
      <c r="C420" s="1" t="n">
        <v>46022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30135-2025</t>
        </is>
      </c>
      <c r="B421" s="1" t="n">
        <v>45826</v>
      </c>
      <c r="C421" s="1" t="n">
        <v>46022</v>
      </c>
      <c r="D421" t="inlineStr">
        <is>
          <t>GOTLANDS LÄN</t>
        </is>
      </c>
      <c r="E421" t="inlineStr">
        <is>
          <t>GOTLAND</t>
        </is>
      </c>
      <c r="G421" t="n">
        <v>2.7</v>
      </c>
      <c r="H421" t="n">
        <v>0</v>
      </c>
      <c r="I421" t="n">
        <v>0</v>
      </c>
      <c r="J421" t="n">
        <v>0</v>
      </c>
      <c r="K421" t="n">
        <v>0</v>
      </c>
      <c r="L421" t="n">
        <v>0</v>
      </c>
      <c r="M421" t="n">
        <v>0</v>
      </c>
      <c r="N421" t="n">
        <v>0</v>
      </c>
      <c r="O421" t="n">
        <v>0</v>
      </c>
      <c r="P421" t="n">
        <v>0</v>
      </c>
      <c r="Q421" t="n">
        <v>0</v>
      </c>
      <c r="R421" s="2" t="inlineStr"/>
    </row>
    <row r="422" ht="15" customHeight="1">
      <c r="A422" t="inlineStr">
        <is>
          <t>A 7837-2024</t>
        </is>
      </c>
      <c r="B422" s="1" t="n">
        <v>45349.83787037037</v>
      </c>
      <c r="C422" s="1" t="n">
        <v>46022</v>
      </c>
      <c r="D422" t="inlineStr">
        <is>
          <t>GOTLANDS LÄN</t>
        </is>
      </c>
      <c r="E422" t="inlineStr">
        <is>
          <t>GOTLAND</t>
        </is>
      </c>
      <c r="G422" t="n">
        <v>5</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46022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1394-2023</t>
        </is>
      </c>
      <c r="B424" s="1" t="n">
        <v>44936.72997685185</v>
      </c>
      <c r="C424" s="1" t="n">
        <v>46022</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2676-2023</t>
        </is>
      </c>
      <c r="B425" s="1" t="n">
        <v>44944</v>
      </c>
      <c r="C425" s="1" t="n">
        <v>46022</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4387-2023</t>
        </is>
      </c>
      <c r="B426" s="1" t="n">
        <v>44955.73359953704</v>
      </c>
      <c r="C426" s="1" t="n">
        <v>46022</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49411-2023</t>
        </is>
      </c>
      <c r="B427" s="1" t="n">
        <v>45205</v>
      </c>
      <c r="C427" s="1" t="n">
        <v>46022</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12599-2025</t>
        </is>
      </c>
      <c r="B428" s="1" t="n">
        <v>45733.29546296296</v>
      </c>
      <c r="C428" s="1" t="n">
        <v>46022</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46022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46022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22275-2023</t>
        </is>
      </c>
      <c r="B431" s="1" t="n">
        <v>45070.39875</v>
      </c>
      <c r="C431" s="1" t="n">
        <v>46022</v>
      </c>
      <c r="D431" t="inlineStr">
        <is>
          <t>GOTLANDS LÄN</t>
        </is>
      </c>
      <c r="E431" t="inlineStr">
        <is>
          <t>GOTLAND</t>
        </is>
      </c>
      <c r="G431" t="n">
        <v>7.2</v>
      </c>
      <c r="H431" t="n">
        <v>0</v>
      </c>
      <c r="I431" t="n">
        <v>0</v>
      </c>
      <c r="J431" t="n">
        <v>0</v>
      </c>
      <c r="K431" t="n">
        <v>0</v>
      </c>
      <c r="L431" t="n">
        <v>0</v>
      </c>
      <c r="M431" t="n">
        <v>0</v>
      </c>
      <c r="N431" t="n">
        <v>0</v>
      </c>
      <c r="O431" t="n">
        <v>0</v>
      </c>
      <c r="P431" t="n">
        <v>0</v>
      </c>
      <c r="Q431" t="n">
        <v>0</v>
      </c>
      <c r="R431" s="2" t="inlineStr"/>
    </row>
    <row r="432" ht="15" customHeight="1">
      <c r="A432" t="inlineStr">
        <is>
          <t>A 14635-2023</t>
        </is>
      </c>
      <c r="B432" s="1" t="n">
        <v>45013.69365740741</v>
      </c>
      <c r="C432" s="1" t="n">
        <v>46022</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63763-2023</t>
        </is>
      </c>
      <c r="B433" s="1" t="n">
        <v>45278.33944444444</v>
      </c>
      <c r="C433" s="1" t="n">
        <v>46022</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7635-2025</t>
        </is>
      </c>
      <c r="B434" s="1" t="n">
        <v>45705</v>
      </c>
      <c r="C434" s="1" t="n">
        <v>46022</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7636-2025</t>
        </is>
      </c>
      <c r="B435" s="1" t="n">
        <v>45705.7687962963</v>
      </c>
      <c r="C435" s="1" t="n">
        <v>46022</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7639-2025</t>
        </is>
      </c>
      <c r="B436" s="1" t="n">
        <v>45705.77465277778</v>
      </c>
      <c r="C436" s="1" t="n">
        <v>46022</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61682-2024</t>
        </is>
      </c>
      <c r="B437" s="1" t="n">
        <v>45647.48824074074</v>
      </c>
      <c r="C437" s="1" t="n">
        <v>46022</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15434-2024</t>
        </is>
      </c>
      <c r="B438" s="1" t="n">
        <v>45401.38836805556</v>
      </c>
      <c r="C438" s="1" t="n">
        <v>46022</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7034-2023</t>
        </is>
      </c>
      <c r="B439" s="1" t="n">
        <v>44968.32108796296</v>
      </c>
      <c r="C439" s="1" t="n">
        <v>46022</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7042-2023</t>
        </is>
      </c>
      <c r="B440" s="1" t="n">
        <v>44968</v>
      </c>
      <c r="C440" s="1" t="n">
        <v>46022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2180-2025</t>
        </is>
      </c>
      <c r="B441" s="1" t="n">
        <v>45673</v>
      </c>
      <c r="C441" s="1" t="n">
        <v>46022</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53577-2025</t>
        </is>
      </c>
      <c r="B442" s="1" t="n">
        <v>45960.42224537037</v>
      </c>
      <c r="C442" s="1" t="n">
        <v>46022</v>
      </c>
      <c r="D442" t="inlineStr">
        <is>
          <t>GOTLANDS LÄN</t>
        </is>
      </c>
      <c r="E442" t="inlineStr">
        <is>
          <t>GOTLAND</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60384-2025</t>
        </is>
      </c>
      <c r="B443" s="1" t="n">
        <v>45995.37947916667</v>
      </c>
      <c r="C443" s="1" t="n">
        <v>46022</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53569-2025</t>
        </is>
      </c>
      <c r="B444" s="1" t="n">
        <v>45960.41155092593</v>
      </c>
      <c r="C444" s="1" t="n">
        <v>46022</v>
      </c>
      <c r="D444" t="inlineStr">
        <is>
          <t>GOTLANDS LÄN</t>
        </is>
      </c>
      <c r="E444" t="inlineStr">
        <is>
          <t>GOTLAND</t>
        </is>
      </c>
      <c r="F444" t="inlineStr">
        <is>
          <t>Övriga Aktiebolag</t>
        </is>
      </c>
      <c r="G444" t="n">
        <v>11.3</v>
      </c>
      <c r="H444" t="n">
        <v>0</v>
      </c>
      <c r="I444" t="n">
        <v>0</v>
      </c>
      <c r="J444" t="n">
        <v>0</v>
      </c>
      <c r="K444" t="n">
        <v>0</v>
      </c>
      <c r="L444" t="n">
        <v>0</v>
      </c>
      <c r="M444" t="n">
        <v>0</v>
      </c>
      <c r="N444" t="n">
        <v>0</v>
      </c>
      <c r="O444" t="n">
        <v>0</v>
      </c>
      <c r="P444" t="n">
        <v>0</v>
      </c>
      <c r="Q444" t="n">
        <v>0</v>
      </c>
      <c r="R444" s="2" t="inlineStr"/>
    </row>
    <row r="445" ht="15" customHeight="1">
      <c r="A445" t="inlineStr">
        <is>
          <t>A 53587-2025</t>
        </is>
      </c>
      <c r="B445" s="1" t="n">
        <v>45960.43681712963</v>
      </c>
      <c r="C445" s="1" t="n">
        <v>46022</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46022</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61694-2023</t>
        </is>
      </c>
      <c r="B447" s="1" t="n">
        <v>45264</v>
      </c>
      <c r="C447" s="1" t="n">
        <v>46022</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64208-2021</t>
        </is>
      </c>
      <c r="B448" s="1" t="n">
        <v>44510</v>
      </c>
      <c r="C448" s="1" t="n">
        <v>46022</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54268-2022</t>
        </is>
      </c>
      <c r="B449" s="1" t="n">
        <v>44882</v>
      </c>
      <c r="C449" s="1" t="n">
        <v>46022</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1446-2025</t>
        </is>
      </c>
      <c r="B450" s="1" t="n">
        <v>45669.86035879629</v>
      </c>
      <c r="C450" s="1" t="n">
        <v>46022</v>
      </c>
      <c r="D450" t="inlineStr">
        <is>
          <t>GOTLANDS LÄN</t>
        </is>
      </c>
      <c r="E450" t="inlineStr">
        <is>
          <t>GOTLAND</t>
        </is>
      </c>
      <c r="G450" t="n">
        <v>3.1</v>
      </c>
      <c r="H450" t="n">
        <v>0</v>
      </c>
      <c r="I450" t="n">
        <v>0</v>
      </c>
      <c r="J450" t="n">
        <v>0</v>
      </c>
      <c r="K450" t="n">
        <v>0</v>
      </c>
      <c r="L450" t="n">
        <v>0</v>
      </c>
      <c r="M450" t="n">
        <v>0</v>
      </c>
      <c r="N450" t="n">
        <v>0</v>
      </c>
      <c r="O450" t="n">
        <v>0</v>
      </c>
      <c r="P450" t="n">
        <v>0</v>
      </c>
      <c r="Q450" t="n">
        <v>0</v>
      </c>
      <c r="R450" s="2" t="inlineStr"/>
    </row>
    <row r="451" ht="15" customHeight="1">
      <c r="A451" t="inlineStr">
        <is>
          <t>A 1462-2025</t>
        </is>
      </c>
      <c r="B451" s="1" t="n">
        <v>45670.36319444444</v>
      </c>
      <c r="C451" s="1" t="n">
        <v>46022</v>
      </c>
      <c r="D451" t="inlineStr">
        <is>
          <t>GOTLANDS LÄN</t>
        </is>
      </c>
      <c r="E451" t="inlineStr">
        <is>
          <t>GOTLAND</t>
        </is>
      </c>
      <c r="G451" t="n">
        <v>2.8</v>
      </c>
      <c r="H451" t="n">
        <v>0</v>
      </c>
      <c r="I451" t="n">
        <v>0</v>
      </c>
      <c r="J451" t="n">
        <v>0</v>
      </c>
      <c r="K451" t="n">
        <v>0</v>
      </c>
      <c r="L451" t="n">
        <v>0</v>
      </c>
      <c r="M451" t="n">
        <v>0</v>
      </c>
      <c r="N451" t="n">
        <v>0</v>
      </c>
      <c r="O451" t="n">
        <v>0</v>
      </c>
      <c r="P451" t="n">
        <v>0</v>
      </c>
      <c r="Q451" t="n">
        <v>0</v>
      </c>
      <c r="R451" s="2" t="inlineStr"/>
    </row>
    <row r="452" ht="15" customHeight="1">
      <c r="A452" t="inlineStr">
        <is>
          <t>A 57685-2022</t>
        </is>
      </c>
      <c r="B452" s="1" t="n">
        <v>44897.4777662037</v>
      </c>
      <c r="C452" s="1" t="n">
        <v>46022</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811-2023</t>
        </is>
      </c>
      <c r="B453" s="1" t="n">
        <v>44931</v>
      </c>
      <c r="C453" s="1" t="n">
        <v>46022</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54584-2025</t>
        </is>
      </c>
      <c r="B454" s="1" t="n">
        <v>45965.71788194445</v>
      </c>
      <c r="C454" s="1" t="n">
        <v>46022</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53561-2025</t>
        </is>
      </c>
      <c r="B455" s="1" t="n">
        <v>45960.4059375</v>
      </c>
      <c r="C455" s="1" t="n">
        <v>46022</v>
      </c>
      <c r="D455" t="inlineStr">
        <is>
          <t>GOTLANDS LÄN</t>
        </is>
      </c>
      <c r="E455" t="inlineStr">
        <is>
          <t>GOTLAND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5905-2024</t>
        </is>
      </c>
      <c r="B456" s="1" t="n">
        <v>45335.88993055555</v>
      </c>
      <c r="C456" s="1" t="n">
        <v>46022</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3431-2025</t>
        </is>
      </c>
      <c r="B457" s="1" t="n">
        <v>45680.42935185185</v>
      </c>
      <c r="C457" s="1" t="n">
        <v>46022</v>
      </c>
      <c r="D457" t="inlineStr">
        <is>
          <t>GOTLANDS LÄN</t>
        </is>
      </c>
      <c r="E457" t="inlineStr">
        <is>
          <t>GOTLAND</t>
        </is>
      </c>
      <c r="G457" t="n">
        <v>4.8</v>
      </c>
      <c r="H457" t="n">
        <v>0</v>
      </c>
      <c r="I457" t="n">
        <v>0</v>
      </c>
      <c r="J457" t="n">
        <v>0</v>
      </c>
      <c r="K457" t="n">
        <v>0</v>
      </c>
      <c r="L457" t="n">
        <v>0</v>
      </c>
      <c r="M457" t="n">
        <v>0</v>
      </c>
      <c r="N457" t="n">
        <v>0</v>
      </c>
      <c r="O457" t="n">
        <v>0</v>
      </c>
      <c r="P457" t="n">
        <v>0</v>
      </c>
      <c r="Q457" t="n">
        <v>0</v>
      </c>
      <c r="R457" s="2" t="inlineStr"/>
    </row>
    <row r="458" ht="15" customHeight="1">
      <c r="A458" t="inlineStr">
        <is>
          <t>A 34407-2023</t>
        </is>
      </c>
      <c r="B458" s="1" t="n">
        <v>45132</v>
      </c>
      <c r="C458" s="1" t="n">
        <v>46022</v>
      </c>
      <c r="D458" t="inlineStr">
        <is>
          <t>GOTLANDS LÄN</t>
        </is>
      </c>
      <c r="E458" t="inlineStr">
        <is>
          <t>GOTLAND</t>
        </is>
      </c>
      <c r="G458" t="n">
        <v>4.4</v>
      </c>
      <c r="H458" t="n">
        <v>0</v>
      </c>
      <c r="I458" t="n">
        <v>0</v>
      </c>
      <c r="J458" t="n">
        <v>0</v>
      </c>
      <c r="K458" t="n">
        <v>0</v>
      </c>
      <c r="L458" t="n">
        <v>0</v>
      </c>
      <c r="M458" t="n">
        <v>0</v>
      </c>
      <c r="N458" t="n">
        <v>0</v>
      </c>
      <c r="O458" t="n">
        <v>0</v>
      </c>
      <c r="P458" t="n">
        <v>0</v>
      </c>
      <c r="Q458" t="n">
        <v>0</v>
      </c>
      <c r="R458" s="2" t="inlineStr"/>
    </row>
    <row r="459" ht="15" customHeight="1">
      <c r="A459" t="inlineStr">
        <is>
          <t>A 30892-2024</t>
        </is>
      </c>
      <c r="B459" s="1" t="n">
        <v>45491</v>
      </c>
      <c r="C459" s="1" t="n">
        <v>46022</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46022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62103-2025</t>
        </is>
      </c>
      <c r="B461" s="1" t="n">
        <v>46006.41638888889</v>
      </c>
      <c r="C461" s="1" t="n">
        <v>46022</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62066-2025</t>
        </is>
      </c>
      <c r="B462" s="1" t="n">
        <v>46006.34738425926</v>
      </c>
      <c r="C462" s="1" t="n">
        <v>46022</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7858-2025</t>
        </is>
      </c>
      <c r="B463" s="1" t="n">
        <v>45706.68633101852</v>
      </c>
      <c r="C463" s="1" t="n">
        <v>46022</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46545-2024</t>
        </is>
      </c>
      <c r="B464" s="1" t="n">
        <v>45582.65831018519</v>
      </c>
      <c r="C464" s="1" t="n">
        <v>46022</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999-2023</t>
        </is>
      </c>
      <c r="B465" s="1" t="n">
        <v>44935</v>
      </c>
      <c r="C465" s="1" t="n">
        <v>46022</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1364-2025</t>
        </is>
      </c>
      <c r="B466" s="1" t="n">
        <v>45667.63929398148</v>
      </c>
      <c r="C466" s="1" t="n">
        <v>46022</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2125-2025</t>
        </is>
      </c>
      <c r="B467" s="1" t="n">
        <v>45672.64940972222</v>
      </c>
      <c r="C467" s="1" t="n">
        <v>46022</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14141-2024</t>
        </is>
      </c>
      <c r="B468" s="1" t="n">
        <v>45392.85193287037</v>
      </c>
      <c r="C468" s="1" t="n">
        <v>46022</v>
      </c>
      <c r="D468" t="inlineStr">
        <is>
          <t>GOTLANDS LÄN</t>
        </is>
      </c>
      <c r="E468" t="inlineStr">
        <is>
          <t>GOTLAND</t>
        </is>
      </c>
      <c r="G468" t="n">
        <v>5.3</v>
      </c>
      <c r="H468" t="n">
        <v>0</v>
      </c>
      <c r="I468" t="n">
        <v>0</v>
      </c>
      <c r="J468" t="n">
        <v>0</v>
      </c>
      <c r="K468" t="n">
        <v>0</v>
      </c>
      <c r="L468" t="n">
        <v>0</v>
      </c>
      <c r="M468" t="n">
        <v>0</v>
      </c>
      <c r="N468" t="n">
        <v>0</v>
      </c>
      <c r="O468" t="n">
        <v>0</v>
      </c>
      <c r="P468" t="n">
        <v>0</v>
      </c>
      <c r="Q468" t="n">
        <v>0</v>
      </c>
      <c r="R468" s="2" t="inlineStr"/>
    </row>
    <row r="469" ht="15" customHeight="1">
      <c r="A469" t="inlineStr">
        <is>
          <t>A 12155-2023</t>
        </is>
      </c>
      <c r="B469" s="1" t="n">
        <v>44998.49106481481</v>
      </c>
      <c r="C469" s="1" t="n">
        <v>46022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63002-2025</t>
        </is>
      </c>
      <c r="B470" s="1" t="n">
        <v>46009.56564814815</v>
      </c>
      <c r="C470" s="1" t="n">
        <v>46022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2774-2024</t>
        </is>
      </c>
      <c r="B471" s="1" t="n">
        <v>45314.62375</v>
      </c>
      <c r="C471" s="1" t="n">
        <v>46022</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9947-2024</t>
        </is>
      </c>
      <c r="B472" s="1" t="n">
        <v>45363</v>
      </c>
      <c r="C472" s="1" t="n">
        <v>46022</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42007-2023</t>
        </is>
      </c>
      <c r="B473" s="1" t="n">
        <v>45177</v>
      </c>
      <c r="C473" s="1" t="n">
        <v>46022</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15083-2025</t>
        </is>
      </c>
      <c r="B474" s="1" t="n">
        <v>45743</v>
      </c>
      <c r="C474" s="1" t="n">
        <v>46022</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61080-2025</t>
        </is>
      </c>
      <c r="B475" s="1" t="n">
        <v>46000</v>
      </c>
      <c r="C475" s="1" t="n">
        <v>46022</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61078-2025</t>
        </is>
      </c>
      <c r="B476" s="1" t="n">
        <v>46000</v>
      </c>
      <c r="C476" s="1" t="n">
        <v>46022</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1066-2024</t>
        </is>
      </c>
      <c r="B477" s="1" t="n">
        <v>45302.285</v>
      </c>
      <c r="C477" s="1" t="n">
        <v>46022</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37202-2024</t>
        </is>
      </c>
      <c r="B478" s="1" t="n">
        <v>45539.67310185185</v>
      </c>
      <c r="C478" s="1" t="n">
        <v>46022</v>
      </c>
      <c r="D478" t="inlineStr">
        <is>
          <t>GOTLANDS LÄN</t>
        </is>
      </c>
      <c r="E478" t="inlineStr">
        <is>
          <t>GOTLAND</t>
        </is>
      </c>
      <c r="G478" t="n">
        <v>0.3</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46022</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56688-2025</t>
        </is>
      </c>
      <c r="B480" s="1" t="n">
        <v>45975.84331018518</v>
      </c>
      <c r="C480" s="1" t="n">
        <v>46022</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46400-2023</t>
        </is>
      </c>
      <c r="B481" s="1" t="n">
        <v>45197.49290509259</v>
      </c>
      <c r="C481" s="1" t="n">
        <v>46022</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62751-2025</t>
        </is>
      </c>
      <c r="B482" s="1" t="n">
        <v>46008.58076388889</v>
      </c>
      <c r="C482" s="1" t="n">
        <v>46022</v>
      </c>
      <c r="D482" t="inlineStr">
        <is>
          <t>GOTLANDS LÄN</t>
        </is>
      </c>
      <c r="E482" t="inlineStr">
        <is>
          <t>GOTLAND</t>
        </is>
      </c>
      <c r="F482" t="inlineStr">
        <is>
          <t>Övriga Aktiebolag</t>
        </is>
      </c>
      <c r="G482" t="n">
        <v>7.8</v>
      </c>
      <c r="H482" t="n">
        <v>0</v>
      </c>
      <c r="I482" t="n">
        <v>0</v>
      </c>
      <c r="J482" t="n">
        <v>0</v>
      </c>
      <c r="K482" t="n">
        <v>0</v>
      </c>
      <c r="L482" t="n">
        <v>0</v>
      </c>
      <c r="M482" t="n">
        <v>0</v>
      </c>
      <c r="N482" t="n">
        <v>0</v>
      </c>
      <c r="O482" t="n">
        <v>0</v>
      </c>
      <c r="P482" t="n">
        <v>0</v>
      </c>
      <c r="Q482" t="n">
        <v>0</v>
      </c>
      <c r="R482" s="2" t="inlineStr"/>
    </row>
    <row r="483" ht="15" customHeight="1">
      <c r="A483" t="inlineStr">
        <is>
          <t>A 10492-2023</t>
        </is>
      </c>
      <c r="B483" s="1" t="n">
        <v>44987</v>
      </c>
      <c r="C483" s="1" t="n">
        <v>46022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62754-2025</t>
        </is>
      </c>
      <c r="B484" s="1" t="n">
        <v>46008.58765046296</v>
      </c>
      <c r="C484" s="1" t="n">
        <v>46022</v>
      </c>
      <c r="D484" t="inlineStr">
        <is>
          <t>GOTLANDS LÄN</t>
        </is>
      </c>
      <c r="E484" t="inlineStr">
        <is>
          <t>GOTLAND</t>
        </is>
      </c>
      <c r="F484" t="inlineStr">
        <is>
          <t>Övriga Aktiebolag</t>
        </is>
      </c>
      <c r="G484" t="n">
        <v>2.9</v>
      </c>
      <c r="H484" t="n">
        <v>0</v>
      </c>
      <c r="I484" t="n">
        <v>0</v>
      </c>
      <c r="J484" t="n">
        <v>0</v>
      </c>
      <c r="K484" t="n">
        <v>0</v>
      </c>
      <c r="L484" t="n">
        <v>0</v>
      </c>
      <c r="M484" t="n">
        <v>0</v>
      </c>
      <c r="N484" t="n">
        <v>0</v>
      </c>
      <c r="O484" t="n">
        <v>0</v>
      </c>
      <c r="P484" t="n">
        <v>0</v>
      </c>
      <c r="Q484" t="n">
        <v>0</v>
      </c>
      <c r="R484" s="2" t="inlineStr"/>
    </row>
    <row r="485" ht="15" customHeight="1">
      <c r="A485" t="inlineStr">
        <is>
          <t>A 63105-2025</t>
        </is>
      </c>
      <c r="B485" s="1" t="n">
        <v>46009.70571759259</v>
      </c>
      <c r="C485" s="1" t="n">
        <v>46022</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63152-2025</t>
        </is>
      </c>
      <c r="B486" s="1" t="n">
        <v>46010.35789351852</v>
      </c>
      <c r="C486" s="1" t="n">
        <v>46022</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62836-2025</t>
        </is>
      </c>
      <c r="B487" s="1" t="n">
        <v>46008</v>
      </c>
      <c r="C487" s="1" t="n">
        <v>46022</v>
      </c>
      <c r="D487" t="inlineStr">
        <is>
          <t>GOTLANDS LÄN</t>
        </is>
      </c>
      <c r="E487" t="inlineStr">
        <is>
          <t>GOTLAND</t>
        </is>
      </c>
      <c r="G487" t="n">
        <v>6.5</v>
      </c>
      <c r="H487" t="n">
        <v>0</v>
      </c>
      <c r="I487" t="n">
        <v>0</v>
      </c>
      <c r="J487" t="n">
        <v>0</v>
      </c>
      <c r="K487" t="n">
        <v>0</v>
      </c>
      <c r="L487" t="n">
        <v>0</v>
      </c>
      <c r="M487" t="n">
        <v>0</v>
      </c>
      <c r="N487" t="n">
        <v>0</v>
      </c>
      <c r="O487" t="n">
        <v>0</v>
      </c>
      <c r="P487" t="n">
        <v>0</v>
      </c>
      <c r="Q487" t="n">
        <v>0</v>
      </c>
      <c r="R487" s="2" t="inlineStr"/>
    </row>
    <row r="488" ht="15" customHeight="1">
      <c r="A488" t="inlineStr">
        <is>
          <t>A 47147-2025</t>
        </is>
      </c>
      <c r="B488" s="1" t="n">
        <v>45929</v>
      </c>
      <c r="C488" s="1" t="n">
        <v>46022</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56799-2025</t>
        </is>
      </c>
      <c r="B489" s="1" t="n">
        <v>45978.43392361111</v>
      </c>
      <c r="C489" s="1" t="n">
        <v>46022</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63000-2025</t>
        </is>
      </c>
      <c r="B490" s="1" t="n">
        <v>46009.56434027778</v>
      </c>
      <c r="C490" s="1" t="n">
        <v>46022</v>
      </c>
      <c r="D490" t="inlineStr">
        <is>
          <t>GOTLANDS LÄN</t>
        </is>
      </c>
      <c r="E490" t="inlineStr">
        <is>
          <t>GOTLAND</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44919-2022</t>
        </is>
      </c>
      <c r="B491" s="1" t="n">
        <v>44841</v>
      </c>
      <c r="C491" s="1" t="n">
        <v>46022</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16501-2023</t>
        </is>
      </c>
      <c r="B492" s="1" t="n">
        <v>45029</v>
      </c>
      <c r="C492" s="1" t="n">
        <v>46022</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62674-2025</t>
        </is>
      </c>
      <c r="B493" s="1" t="n">
        <v>46008.44890046296</v>
      </c>
      <c r="C493" s="1" t="n">
        <v>46022</v>
      </c>
      <c r="D493" t="inlineStr">
        <is>
          <t>GOTLANDS LÄN</t>
        </is>
      </c>
      <c r="E493" t="inlineStr">
        <is>
          <t>GOTLAND</t>
        </is>
      </c>
      <c r="G493" t="n">
        <v>5</v>
      </c>
      <c r="H493" t="n">
        <v>0</v>
      </c>
      <c r="I493" t="n">
        <v>0</v>
      </c>
      <c r="J493" t="n">
        <v>0</v>
      </c>
      <c r="K493" t="n">
        <v>0</v>
      </c>
      <c r="L493" t="n">
        <v>0</v>
      </c>
      <c r="M493" t="n">
        <v>0</v>
      </c>
      <c r="N493" t="n">
        <v>0</v>
      </c>
      <c r="O493" t="n">
        <v>0</v>
      </c>
      <c r="P493" t="n">
        <v>0</v>
      </c>
      <c r="Q493" t="n">
        <v>0</v>
      </c>
      <c r="R493" s="2" t="inlineStr"/>
    </row>
    <row r="494" ht="15" customHeight="1">
      <c r="A494" t="inlineStr">
        <is>
          <t>A 27095-2022</t>
        </is>
      </c>
      <c r="B494" s="1" t="n">
        <v>44741</v>
      </c>
      <c r="C494" s="1" t="n">
        <v>46022</v>
      </c>
      <c r="D494" t="inlineStr">
        <is>
          <t>GOTLANDS LÄN</t>
        </is>
      </c>
      <c r="E494" t="inlineStr">
        <is>
          <t>GOTLAND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458-2023</t>
        </is>
      </c>
      <c r="B495" s="1" t="n">
        <v>44929</v>
      </c>
      <c r="C495" s="1" t="n">
        <v>46022</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1291-2023</t>
        </is>
      </c>
      <c r="B496" s="1" t="n">
        <v>44936.47561342592</v>
      </c>
      <c r="C496" s="1" t="n">
        <v>46022</v>
      </c>
      <c r="D496" t="inlineStr">
        <is>
          <t>GOTLANDS LÄN</t>
        </is>
      </c>
      <c r="E496" t="inlineStr">
        <is>
          <t>GOTLAND</t>
        </is>
      </c>
      <c r="G496" t="n">
        <v>7.4</v>
      </c>
      <c r="H496" t="n">
        <v>0</v>
      </c>
      <c r="I496" t="n">
        <v>0</v>
      </c>
      <c r="J496" t="n">
        <v>0</v>
      </c>
      <c r="K496" t="n">
        <v>0</v>
      </c>
      <c r="L496" t="n">
        <v>0</v>
      </c>
      <c r="M496" t="n">
        <v>0</v>
      </c>
      <c r="N496" t="n">
        <v>0</v>
      </c>
      <c r="O496" t="n">
        <v>0</v>
      </c>
      <c r="P496" t="n">
        <v>0</v>
      </c>
      <c r="Q496" t="n">
        <v>0</v>
      </c>
      <c r="R496" s="2" t="inlineStr"/>
    </row>
    <row r="497" ht="15" customHeight="1">
      <c r="A497" t="inlineStr">
        <is>
          <t>A 32330-2024</t>
        </is>
      </c>
      <c r="B497" s="1" t="n">
        <v>45512</v>
      </c>
      <c r="C497" s="1" t="n">
        <v>46022</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5891-2025</t>
        </is>
      </c>
      <c r="B498" s="1" t="n">
        <v>45695.38327546296</v>
      </c>
      <c r="C498" s="1" t="n">
        <v>46022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46022</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2719-2023</t>
        </is>
      </c>
      <c r="B500" s="1" t="n">
        <v>44944.55361111111</v>
      </c>
      <c r="C500" s="1" t="n">
        <v>46022</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17144-2025</t>
        </is>
      </c>
      <c r="B501" s="1" t="n">
        <v>45755.9499537037</v>
      </c>
      <c r="C501" s="1" t="n">
        <v>46022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49314-2024</t>
        </is>
      </c>
      <c r="B502" s="1" t="n">
        <v>45595.55893518519</v>
      </c>
      <c r="C502" s="1" t="n">
        <v>46022</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9875-2025</t>
        </is>
      </c>
      <c r="B503" s="1" t="n">
        <v>45716</v>
      </c>
      <c r="C503" s="1" t="n">
        <v>46022</v>
      </c>
      <c r="D503" t="inlineStr">
        <is>
          <t>GOTLANDS LÄN</t>
        </is>
      </c>
      <c r="E503" t="inlineStr">
        <is>
          <t>GOTLAND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44755.8713425926</v>
      </c>
      <c r="C504" s="1" t="n">
        <v>46022</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16361-2024</t>
        </is>
      </c>
      <c r="B505" s="1" t="n">
        <v>45407</v>
      </c>
      <c r="C505" s="1" t="n">
        <v>46022</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46022</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1175-2025</t>
        </is>
      </c>
      <c r="B507" s="1" t="n">
        <v>45667.34449074074</v>
      </c>
      <c r="C507" s="1" t="n">
        <v>46022</v>
      </c>
      <c r="D507" t="inlineStr">
        <is>
          <t>GOTLANDS LÄN</t>
        </is>
      </c>
      <c r="E507" t="inlineStr">
        <is>
          <t>GOTLAND</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46022</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3150-2025</t>
        </is>
      </c>
      <c r="B509" s="1" t="n">
        <v>45679.28974537037</v>
      </c>
      <c r="C509" s="1" t="n">
        <v>46022</v>
      </c>
      <c r="D509" t="inlineStr">
        <is>
          <t>GOTLANDS LÄN</t>
        </is>
      </c>
      <c r="E509" t="inlineStr">
        <is>
          <t>GOTLAND</t>
        </is>
      </c>
      <c r="G509" t="n">
        <v>2.5</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46022</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15436-2025</t>
        </is>
      </c>
      <c r="B511" s="1" t="n">
        <v>45747.47462962963</v>
      </c>
      <c r="C511" s="1" t="n">
        <v>46022</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44705.38832175926</v>
      </c>
      <c r="C512" s="1" t="n">
        <v>46022</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44682.82622685185</v>
      </c>
      <c r="C513" s="1" t="n">
        <v>46022</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63516-2023</t>
        </is>
      </c>
      <c r="B514" s="1" t="n">
        <v>45274</v>
      </c>
      <c r="C514" s="1" t="n">
        <v>46022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53935-2024</t>
        </is>
      </c>
      <c r="B515" s="1" t="n">
        <v>45615</v>
      </c>
      <c r="C515" s="1" t="n">
        <v>46022</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69112-2021</t>
        </is>
      </c>
      <c r="B516" s="1" t="n">
        <v>44530</v>
      </c>
      <c r="C516" s="1" t="n">
        <v>46022</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46022</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23516-2023</t>
        </is>
      </c>
      <c r="B518" s="1" t="n">
        <v>45076.93391203704</v>
      </c>
      <c r="C518" s="1" t="n">
        <v>46022</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43231-2023</t>
        </is>
      </c>
      <c r="B519" s="1" t="n">
        <v>45183.47025462963</v>
      </c>
      <c r="C519" s="1" t="n">
        <v>46022</v>
      </c>
      <c r="D519" t="inlineStr">
        <is>
          <t>GOTLANDS LÄN</t>
        </is>
      </c>
      <c r="E519" t="inlineStr">
        <is>
          <t>GOTLAND</t>
        </is>
      </c>
      <c r="G519" t="n">
        <v>3.6</v>
      </c>
      <c r="H519" t="n">
        <v>0</v>
      </c>
      <c r="I519" t="n">
        <v>0</v>
      </c>
      <c r="J519" t="n">
        <v>0</v>
      </c>
      <c r="K519" t="n">
        <v>0</v>
      </c>
      <c r="L519" t="n">
        <v>0</v>
      </c>
      <c r="M519" t="n">
        <v>0</v>
      </c>
      <c r="N519" t="n">
        <v>0</v>
      </c>
      <c r="O519" t="n">
        <v>0</v>
      </c>
      <c r="P519" t="n">
        <v>0</v>
      </c>
      <c r="Q519" t="n">
        <v>0</v>
      </c>
      <c r="R519" s="2" t="inlineStr"/>
    </row>
    <row r="520" ht="15" customHeight="1">
      <c r="A520" t="inlineStr">
        <is>
          <t>A 58230-2024</t>
        </is>
      </c>
      <c r="B520" s="1" t="n">
        <v>45632.51625</v>
      </c>
      <c r="C520" s="1" t="n">
        <v>46022</v>
      </c>
      <c r="D520" t="inlineStr">
        <is>
          <t>GOTLANDS LÄN</t>
        </is>
      </c>
      <c r="E520" t="inlineStr">
        <is>
          <t>GOTLAND</t>
        </is>
      </c>
      <c r="G520" t="n">
        <v>7.3</v>
      </c>
      <c r="H520" t="n">
        <v>0</v>
      </c>
      <c r="I520" t="n">
        <v>0</v>
      </c>
      <c r="J520" t="n">
        <v>0</v>
      </c>
      <c r="K520" t="n">
        <v>0</v>
      </c>
      <c r="L520" t="n">
        <v>0</v>
      </c>
      <c r="M520" t="n">
        <v>0</v>
      </c>
      <c r="N520" t="n">
        <v>0</v>
      </c>
      <c r="O520" t="n">
        <v>0</v>
      </c>
      <c r="P520" t="n">
        <v>0</v>
      </c>
      <c r="Q520" t="n">
        <v>0</v>
      </c>
      <c r="R520" s="2" t="inlineStr"/>
    </row>
    <row r="521" ht="15" customHeight="1">
      <c r="A521" t="inlineStr">
        <is>
          <t>A 64555-2023</t>
        </is>
      </c>
      <c r="B521" s="1" t="n">
        <v>45281</v>
      </c>
      <c r="C521" s="1" t="n">
        <v>46022</v>
      </c>
      <c r="D521" t="inlineStr">
        <is>
          <t>GOTLANDS LÄN</t>
        </is>
      </c>
      <c r="E521" t="inlineStr">
        <is>
          <t>GOTLAND</t>
        </is>
      </c>
      <c r="G521" t="n">
        <v>3.5</v>
      </c>
      <c r="H521" t="n">
        <v>0</v>
      </c>
      <c r="I521" t="n">
        <v>0</v>
      </c>
      <c r="J521" t="n">
        <v>0</v>
      </c>
      <c r="K521" t="n">
        <v>0</v>
      </c>
      <c r="L521" t="n">
        <v>0</v>
      </c>
      <c r="M521" t="n">
        <v>0</v>
      </c>
      <c r="N521" t="n">
        <v>0</v>
      </c>
      <c r="O521" t="n">
        <v>0</v>
      </c>
      <c r="P521" t="n">
        <v>0</v>
      </c>
      <c r="Q521" t="n">
        <v>0</v>
      </c>
      <c r="R521" s="2" t="inlineStr"/>
    </row>
    <row r="522" ht="15" customHeight="1">
      <c r="A522" t="inlineStr">
        <is>
          <t>A 457-2023</t>
        </is>
      </c>
      <c r="B522" s="1" t="n">
        <v>44929.87238425926</v>
      </c>
      <c r="C522" s="1" t="n">
        <v>46022</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459-2023</t>
        </is>
      </c>
      <c r="B523" s="1" t="n">
        <v>44929.87423611111</v>
      </c>
      <c r="C523" s="1" t="n">
        <v>46022</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46022</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46022</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46022</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46022</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50482-2024</t>
        </is>
      </c>
      <c r="B528" s="1" t="n">
        <v>45601.48114583334</v>
      </c>
      <c r="C528" s="1" t="n">
        <v>46022</v>
      </c>
      <c r="D528" t="inlineStr">
        <is>
          <t>GOTLANDS LÄN</t>
        </is>
      </c>
      <c r="E528" t="inlineStr">
        <is>
          <t>GOTLAND</t>
        </is>
      </c>
      <c r="G528" t="n">
        <v>2.3</v>
      </c>
      <c r="H528" t="n">
        <v>0</v>
      </c>
      <c r="I528" t="n">
        <v>0</v>
      </c>
      <c r="J528" t="n">
        <v>0</v>
      </c>
      <c r="K528" t="n">
        <v>0</v>
      </c>
      <c r="L528" t="n">
        <v>0</v>
      </c>
      <c r="M528" t="n">
        <v>0</v>
      </c>
      <c r="N528" t="n">
        <v>0</v>
      </c>
      <c r="O528" t="n">
        <v>0</v>
      </c>
      <c r="P528" t="n">
        <v>0</v>
      </c>
      <c r="Q528" t="n">
        <v>0</v>
      </c>
      <c r="R528" s="2" t="inlineStr"/>
    </row>
    <row r="529" ht="15" customHeight="1">
      <c r="A529" t="inlineStr">
        <is>
          <t>A 5943-2024</t>
        </is>
      </c>
      <c r="B529" s="1" t="n">
        <v>45336</v>
      </c>
      <c r="C529" s="1" t="n">
        <v>46022</v>
      </c>
      <c r="D529" t="inlineStr">
        <is>
          <t>GOTLANDS LÄN</t>
        </is>
      </c>
      <c r="E529" t="inlineStr">
        <is>
          <t>GOTLAND</t>
        </is>
      </c>
      <c r="G529" t="n">
        <v>4.3</v>
      </c>
      <c r="H529" t="n">
        <v>0</v>
      </c>
      <c r="I529" t="n">
        <v>0</v>
      </c>
      <c r="J529" t="n">
        <v>0</v>
      </c>
      <c r="K529" t="n">
        <v>0</v>
      </c>
      <c r="L529" t="n">
        <v>0</v>
      </c>
      <c r="M529" t="n">
        <v>0</v>
      </c>
      <c r="N529" t="n">
        <v>0</v>
      </c>
      <c r="O529" t="n">
        <v>0</v>
      </c>
      <c r="P529" t="n">
        <v>0</v>
      </c>
      <c r="Q529" t="n">
        <v>0</v>
      </c>
      <c r="R529" s="2" t="inlineStr"/>
    </row>
    <row r="530" ht="15" customHeight="1">
      <c r="A530" t="inlineStr">
        <is>
          <t>A 38234-2023</t>
        </is>
      </c>
      <c r="B530" s="1" t="n">
        <v>45161.56663194444</v>
      </c>
      <c r="C530" s="1" t="n">
        <v>46022</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1273-2023</t>
        </is>
      </c>
      <c r="B531" s="1" t="n">
        <v>44936</v>
      </c>
      <c r="C531" s="1" t="n">
        <v>46022</v>
      </c>
      <c r="D531" t="inlineStr">
        <is>
          <t>GOTLANDS LÄN</t>
        </is>
      </c>
      <c r="E531" t="inlineStr">
        <is>
          <t>GOTLAND</t>
        </is>
      </c>
      <c r="G531" t="n">
        <v>4.5</v>
      </c>
      <c r="H531" t="n">
        <v>0</v>
      </c>
      <c r="I531" t="n">
        <v>0</v>
      </c>
      <c r="J531" t="n">
        <v>0</v>
      </c>
      <c r="K531" t="n">
        <v>0</v>
      </c>
      <c r="L531" t="n">
        <v>0</v>
      </c>
      <c r="M531" t="n">
        <v>0</v>
      </c>
      <c r="N531" t="n">
        <v>0</v>
      </c>
      <c r="O531" t="n">
        <v>0</v>
      </c>
      <c r="P531" t="n">
        <v>0</v>
      </c>
      <c r="Q531" t="n">
        <v>0</v>
      </c>
      <c r="R531" s="2" t="inlineStr"/>
    </row>
    <row r="532" ht="15" customHeight="1">
      <c r="A532" t="inlineStr">
        <is>
          <t>A 17724-2024</t>
        </is>
      </c>
      <c r="B532" s="1" t="n">
        <v>45418.55096064815</v>
      </c>
      <c r="C532" s="1" t="n">
        <v>46022</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23978-2023</t>
        </is>
      </c>
      <c r="B533" s="1" t="n">
        <v>45078</v>
      </c>
      <c r="C533" s="1" t="n">
        <v>46022</v>
      </c>
      <c r="D533" t="inlineStr">
        <is>
          <t>GOTLANDS LÄN</t>
        </is>
      </c>
      <c r="E533" t="inlineStr">
        <is>
          <t>GOTLAND</t>
        </is>
      </c>
      <c r="F533" t="inlineStr">
        <is>
          <t>Naturvårdsverket</t>
        </is>
      </c>
      <c r="G533" t="n">
        <v>1.7</v>
      </c>
      <c r="H533" t="n">
        <v>0</v>
      </c>
      <c r="I533" t="n">
        <v>0</v>
      </c>
      <c r="J533" t="n">
        <v>0</v>
      </c>
      <c r="K533" t="n">
        <v>0</v>
      </c>
      <c r="L533" t="n">
        <v>0</v>
      </c>
      <c r="M533" t="n">
        <v>0</v>
      </c>
      <c r="N533" t="n">
        <v>0</v>
      </c>
      <c r="O533" t="n">
        <v>0</v>
      </c>
      <c r="P533" t="n">
        <v>0</v>
      </c>
      <c r="Q533" t="n">
        <v>0</v>
      </c>
      <c r="R533" s="2" t="inlineStr"/>
    </row>
    <row r="534" ht="15" customHeight="1">
      <c r="A534" t="inlineStr">
        <is>
          <t>A 49884-2023</t>
        </is>
      </c>
      <c r="B534" s="1" t="n">
        <v>45213</v>
      </c>
      <c r="C534" s="1" t="n">
        <v>46022</v>
      </c>
      <c r="D534" t="inlineStr">
        <is>
          <t>GOTLANDS LÄN</t>
        </is>
      </c>
      <c r="E534" t="inlineStr">
        <is>
          <t>GOTLAND</t>
        </is>
      </c>
      <c r="G534" t="n">
        <v>8.9</v>
      </c>
      <c r="H534" t="n">
        <v>0</v>
      </c>
      <c r="I534" t="n">
        <v>0</v>
      </c>
      <c r="J534" t="n">
        <v>0</v>
      </c>
      <c r="K534" t="n">
        <v>0</v>
      </c>
      <c r="L534" t="n">
        <v>0</v>
      </c>
      <c r="M534" t="n">
        <v>0</v>
      </c>
      <c r="N534" t="n">
        <v>0</v>
      </c>
      <c r="O534" t="n">
        <v>0</v>
      </c>
      <c r="P534" t="n">
        <v>0</v>
      </c>
      <c r="Q534" t="n">
        <v>0</v>
      </c>
      <c r="R534" s="2" t="inlineStr"/>
    </row>
    <row r="535" ht="15" customHeight="1">
      <c r="A535" t="inlineStr">
        <is>
          <t>A 12846-2025</t>
        </is>
      </c>
      <c r="B535" s="1" t="n">
        <v>45733.65049768519</v>
      </c>
      <c r="C535" s="1" t="n">
        <v>46022</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43200-2023</t>
        </is>
      </c>
      <c r="B536" s="1" t="n">
        <v>45183</v>
      </c>
      <c r="C536" s="1" t="n">
        <v>46022</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3935-2025</t>
        </is>
      </c>
      <c r="B537" s="1" t="n">
        <v>45684.46070601852</v>
      </c>
      <c r="C537" s="1" t="n">
        <v>46022</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21792-2024</t>
        </is>
      </c>
      <c r="B538" s="1" t="n">
        <v>45442.64326388889</v>
      </c>
      <c r="C538" s="1" t="n">
        <v>46022</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48843-2024</t>
        </is>
      </c>
      <c r="B539" s="1" t="n">
        <v>45593</v>
      </c>
      <c r="C539" s="1" t="n">
        <v>46022</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10653-2023</t>
        </is>
      </c>
      <c r="B540" s="1" t="n">
        <v>44988.48859953704</v>
      </c>
      <c r="C540" s="1" t="n">
        <v>46022</v>
      </c>
      <c r="D540" t="inlineStr">
        <is>
          <t>GOTLANDS LÄN</t>
        </is>
      </c>
      <c r="E540" t="inlineStr">
        <is>
          <t>GOTLAND</t>
        </is>
      </c>
      <c r="F540" t="inlineStr">
        <is>
          <t>Kyrkan</t>
        </is>
      </c>
      <c r="G540" t="n">
        <v>3</v>
      </c>
      <c r="H540" t="n">
        <v>0</v>
      </c>
      <c r="I540" t="n">
        <v>0</v>
      </c>
      <c r="J540" t="n">
        <v>0</v>
      </c>
      <c r="K540" t="n">
        <v>0</v>
      </c>
      <c r="L540" t="n">
        <v>0</v>
      </c>
      <c r="M540" t="n">
        <v>0</v>
      </c>
      <c r="N540" t="n">
        <v>0</v>
      </c>
      <c r="O540" t="n">
        <v>0</v>
      </c>
      <c r="P540" t="n">
        <v>0</v>
      </c>
      <c r="Q540" t="n">
        <v>0</v>
      </c>
      <c r="R540" s="2" t="inlineStr"/>
    </row>
    <row r="541" ht="15" customHeight="1">
      <c r="A541" t="inlineStr">
        <is>
          <t>A 35512-2023</t>
        </is>
      </c>
      <c r="B541" s="1" t="n">
        <v>45147.25623842593</v>
      </c>
      <c r="C541" s="1" t="n">
        <v>46022</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11874-2024</t>
        </is>
      </c>
      <c r="B542" s="1" t="n">
        <v>45376.46956018519</v>
      </c>
      <c r="C542" s="1" t="n">
        <v>46022</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20225-2025</t>
        </is>
      </c>
      <c r="B543" s="1" t="n">
        <v>45772.65802083333</v>
      </c>
      <c r="C543" s="1" t="n">
        <v>46022</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46022</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64831-2023</t>
        </is>
      </c>
      <c r="B545" s="1" t="n">
        <v>45282.44924768519</v>
      </c>
      <c r="C545" s="1" t="n">
        <v>46022</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8036-2022</t>
        </is>
      </c>
      <c r="B546" s="1" t="n">
        <v>44609.44362268518</v>
      </c>
      <c r="C546" s="1" t="n">
        <v>46022</v>
      </c>
      <c r="D546" t="inlineStr">
        <is>
          <t>GOTLANDS LÄN</t>
        </is>
      </c>
      <c r="E546" t="inlineStr">
        <is>
          <t>GOTLAND</t>
        </is>
      </c>
      <c r="G546" t="n">
        <v>6.1</v>
      </c>
      <c r="H546" t="n">
        <v>0</v>
      </c>
      <c r="I546" t="n">
        <v>0</v>
      </c>
      <c r="J546" t="n">
        <v>0</v>
      </c>
      <c r="K546" t="n">
        <v>0</v>
      </c>
      <c r="L546" t="n">
        <v>0</v>
      </c>
      <c r="M546" t="n">
        <v>0</v>
      </c>
      <c r="N546" t="n">
        <v>0</v>
      </c>
      <c r="O546" t="n">
        <v>0</v>
      </c>
      <c r="P546" t="n">
        <v>0</v>
      </c>
      <c r="Q546" t="n">
        <v>0</v>
      </c>
      <c r="R546" s="2" t="inlineStr"/>
    </row>
    <row r="547" ht="15" customHeight="1">
      <c r="A547" t="inlineStr">
        <is>
          <t>A 46375-2024</t>
        </is>
      </c>
      <c r="B547" s="1" t="n">
        <v>45582</v>
      </c>
      <c r="C547" s="1" t="n">
        <v>46022</v>
      </c>
      <c r="D547" t="inlineStr">
        <is>
          <t>GOTLANDS LÄN</t>
        </is>
      </c>
      <c r="E547" t="inlineStr">
        <is>
          <t>GOTLAND</t>
        </is>
      </c>
      <c r="G547" t="n">
        <v>3</v>
      </c>
      <c r="H547" t="n">
        <v>0</v>
      </c>
      <c r="I547" t="n">
        <v>0</v>
      </c>
      <c r="J547" t="n">
        <v>0</v>
      </c>
      <c r="K547" t="n">
        <v>0</v>
      </c>
      <c r="L547" t="n">
        <v>0</v>
      </c>
      <c r="M547" t="n">
        <v>0</v>
      </c>
      <c r="N547" t="n">
        <v>0</v>
      </c>
      <c r="O547" t="n">
        <v>0</v>
      </c>
      <c r="P547" t="n">
        <v>0</v>
      </c>
      <c r="Q547" t="n">
        <v>0</v>
      </c>
      <c r="R547" s="2" t="inlineStr"/>
    </row>
    <row r="548" ht="15" customHeight="1">
      <c r="A548" t="inlineStr">
        <is>
          <t>A 62915-2021</t>
        </is>
      </c>
      <c r="B548" s="1" t="n">
        <v>44504</v>
      </c>
      <c r="C548" s="1" t="n">
        <v>46022</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7638-2025</t>
        </is>
      </c>
      <c r="B549" s="1" t="n">
        <v>45705.77306712963</v>
      </c>
      <c r="C549" s="1" t="n">
        <v>46022</v>
      </c>
      <c r="D549" t="inlineStr">
        <is>
          <t>GOTLANDS LÄN</t>
        </is>
      </c>
      <c r="E549" t="inlineStr">
        <is>
          <t>GOTLAND</t>
        </is>
      </c>
      <c r="G549" t="n">
        <v>2.2</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44955.5502662037</v>
      </c>
      <c r="C550" s="1" t="n">
        <v>46022</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43901-2023</t>
        </is>
      </c>
      <c r="B551" s="1" t="n">
        <v>45187</v>
      </c>
      <c r="C551" s="1" t="n">
        <v>46022</v>
      </c>
      <c r="D551" t="inlineStr">
        <is>
          <t>GOTLANDS LÄN</t>
        </is>
      </c>
      <c r="E551" t="inlineStr">
        <is>
          <t>GOTLAND</t>
        </is>
      </c>
      <c r="G551" t="n">
        <v>5.4</v>
      </c>
      <c r="H551" t="n">
        <v>0</v>
      </c>
      <c r="I551" t="n">
        <v>0</v>
      </c>
      <c r="J551" t="n">
        <v>0</v>
      </c>
      <c r="K551" t="n">
        <v>0</v>
      </c>
      <c r="L551" t="n">
        <v>0</v>
      </c>
      <c r="M551" t="n">
        <v>0</v>
      </c>
      <c r="N551" t="n">
        <v>0</v>
      </c>
      <c r="O551" t="n">
        <v>0</v>
      </c>
      <c r="P551" t="n">
        <v>0</v>
      </c>
      <c r="Q551" t="n">
        <v>0</v>
      </c>
      <c r="R551" s="2" t="inlineStr"/>
    </row>
    <row r="552" ht="15" customHeight="1">
      <c r="A552" t="inlineStr">
        <is>
          <t>A 17532-2024</t>
        </is>
      </c>
      <c r="B552" s="1" t="n">
        <v>45415</v>
      </c>
      <c r="C552" s="1" t="n">
        <v>46022</v>
      </c>
      <c r="D552" t="inlineStr">
        <is>
          <t>GOTLANDS LÄN</t>
        </is>
      </c>
      <c r="E552" t="inlineStr">
        <is>
          <t>GOTLAND</t>
        </is>
      </c>
      <c r="G552" t="n">
        <v>4.3</v>
      </c>
      <c r="H552" t="n">
        <v>0</v>
      </c>
      <c r="I552" t="n">
        <v>0</v>
      </c>
      <c r="J552" t="n">
        <v>0</v>
      </c>
      <c r="K552" t="n">
        <v>0</v>
      </c>
      <c r="L552" t="n">
        <v>0</v>
      </c>
      <c r="M552" t="n">
        <v>0</v>
      </c>
      <c r="N552" t="n">
        <v>0</v>
      </c>
      <c r="O552" t="n">
        <v>0</v>
      </c>
      <c r="P552" t="n">
        <v>0</v>
      </c>
      <c r="Q552" t="n">
        <v>0</v>
      </c>
      <c r="R552" s="2" t="inlineStr"/>
    </row>
    <row r="553" ht="15" customHeight="1">
      <c r="A553" t="inlineStr">
        <is>
          <t>A 45692-2023</t>
        </is>
      </c>
      <c r="B553" s="1" t="n">
        <v>45195</v>
      </c>
      <c r="C553" s="1" t="n">
        <v>46022</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37222-2021</t>
        </is>
      </c>
      <c r="B554" s="1" t="n">
        <v>44396</v>
      </c>
      <c r="C554" s="1" t="n">
        <v>46022</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46396-2023</t>
        </is>
      </c>
      <c r="B555" s="1" t="n">
        <v>45197</v>
      </c>
      <c r="C555" s="1" t="n">
        <v>46022</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46022</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53934-2024</t>
        </is>
      </c>
      <c r="B557" s="1" t="n">
        <v>45615</v>
      </c>
      <c r="C557" s="1" t="n">
        <v>46022</v>
      </c>
      <c r="D557" t="inlineStr">
        <is>
          <t>GOTLANDS LÄN</t>
        </is>
      </c>
      <c r="E557" t="inlineStr">
        <is>
          <t>GOTLAND</t>
        </is>
      </c>
      <c r="G557" t="n">
        <v>5</v>
      </c>
      <c r="H557" t="n">
        <v>0</v>
      </c>
      <c r="I557" t="n">
        <v>0</v>
      </c>
      <c r="J557" t="n">
        <v>0</v>
      </c>
      <c r="K557" t="n">
        <v>0</v>
      </c>
      <c r="L557" t="n">
        <v>0</v>
      </c>
      <c r="M557" t="n">
        <v>0</v>
      </c>
      <c r="N557" t="n">
        <v>0</v>
      </c>
      <c r="O557" t="n">
        <v>0</v>
      </c>
      <c r="P557" t="n">
        <v>0</v>
      </c>
      <c r="Q557" t="n">
        <v>0</v>
      </c>
      <c r="R557" s="2" t="inlineStr"/>
    </row>
    <row r="558" ht="15" customHeight="1">
      <c r="A558" t="inlineStr">
        <is>
          <t>A 58132-2023</t>
        </is>
      </c>
      <c r="B558" s="1" t="n">
        <v>45250</v>
      </c>
      <c r="C558" s="1" t="n">
        <v>46022</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22899-2023</t>
        </is>
      </c>
      <c r="B559" s="1" t="n">
        <v>45072</v>
      </c>
      <c r="C559" s="1" t="n">
        <v>46022</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28285-2024</t>
        </is>
      </c>
      <c r="B560" s="1" t="n">
        <v>45477</v>
      </c>
      <c r="C560" s="1" t="n">
        <v>46022</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46022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1734-2025</t>
        </is>
      </c>
      <c r="B562" s="1" t="n">
        <v>45671.3840625</v>
      </c>
      <c r="C562" s="1" t="n">
        <v>46022</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30365-2024</t>
        </is>
      </c>
      <c r="B563" s="1" t="n">
        <v>45491.3716087963</v>
      </c>
      <c r="C563" s="1" t="n">
        <v>46022</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2674-2023</t>
        </is>
      </c>
      <c r="B564" s="1" t="n">
        <v>44944</v>
      </c>
      <c r="C564" s="1" t="n">
        <v>46022</v>
      </c>
      <c r="D564" t="inlineStr">
        <is>
          <t>GOTLANDS LÄN</t>
        </is>
      </c>
      <c r="E564" t="inlineStr">
        <is>
          <t>GOTLAND</t>
        </is>
      </c>
      <c r="G564" t="n">
        <v>2.5</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46022</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46022</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44988.49543981482</v>
      </c>
      <c r="C567" s="1" t="n">
        <v>46022</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46022</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46022</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49962-2023</t>
        </is>
      </c>
      <c r="B570" s="1" t="n">
        <v>45215.38775462963</v>
      </c>
      <c r="C570" s="1" t="n">
        <v>46022</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50744-2024</t>
        </is>
      </c>
      <c r="B571" s="1" t="n">
        <v>45602.4187037037</v>
      </c>
      <c r="C571" s="1" t="n">
        <v>46022</v>
      </c>
      <c r="D571" t="inlineStr">
        <is>
          <t>GOTLANDS LÄN</t>
        </is>
      </c>
      <c r="E571" t="inlineStr">
        <is>
          <t>GOTLAND</t>
        </is>
      </c>
      <c r="G571" t="n">
        <v>3.2</v>
      </c>
      <c r="H571" t="n">
        <v>0</v>
      </c>
      <c r="I571" t="n">
        <v>0</v>
      </c>
      <c r="J571" t="n">
        <v>0</v>
      </c>
      <c r="K571" t="n">
        <v>0</v>
      </c>
      <c r="L571" t="n">
        <v>0</v>
      </c>
      <c r="M571" t="n">
        <v>0</v>
      </c>
      <c r="N571" t="n">
        <v>0</v>
      </c>
      <c r="O571" t="n">
        <v>0</v>
      </c>
      <c r="P571" t="n">
        <v>0</v>
      </c>
      <c r="Q571" t="n">
        <v>0</v>
      </c>
      <c r="R571" s="2" t="inlineStr"/>
    </row>
    <row r="572" ht="15" customHeight="1">
      <c r="A572" t="inlineStr">
        <is>
          <t>A 45244-2024</t>
        </is>
      </c>
      <c r="B572" s="1" t="n">
        <v>45576</v>
      </c>
      <c r="C572" s="1" t="n">
        <v>46022</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38787-2023</t>
        </is>
      </c>
      <c r="B573" s="1" t="n">
        <v>45163</v>
      </c>
      <c r="C573" s="1" t="n">
        <v>46022</v>
      </c>
      <c r="D573" t="inlineStr">
        <is>
          <t>GOTLANDS LÄN</t>
        </is>
      </c>
      <c r="E573" t="inlineStr">
        <is>
          <t>GOTLAND</t>
        </is>
      </c>
      <c r="G573" t="n">
        <v>0.4</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44944.54896990741</v>
      </c>
      <c r="C574" s="1" t="n">
        <v>46022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22897-2023</t>
        </is>
      </c>
      <c r="B575" s="1" t="n">
        <v>45072.55239583334</v>
      </c>
      <c r="C575" s="1" t="n">
        <v>46022</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4568-2025</t>
        </is>
      </c>
      <c r="B576" s="1" t="n">
        <v>45687</v>
      </c>
      <c r="C576" s="1" t="n">
        <v>46022</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1681-2023</t>
        </is>
      </c>
      <c r="B577" s="1" t="n">
        <v>44938.39715277778</v>
      </c>
      <c r="C577" s="1" t="n">
        <v>46022</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42338-2023</t>
        </is>
      </c>
      <c r="B578" s="1" t="n">
        <v>45180</v>
      </c>
      <c r="C578" s="1" t="n">
        <v>46022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46022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11013-2024</t>
        </is>
      </c>
      <c r="B580" s="1" t="n">
        <v>45370</v>
      </c>
      <c r="C580" s="1" t="n">
        <v>46022</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45084-2024</t>
        </is>
      </c>
      <c r="B581" s="1" t="n">
        <v>45575</v>
      </c>
      <c r="C581" s="1" t="n">
        <v>46022</v>
      </c>
      <c r="D581" t="inlineStr">
        <is>
          <t>GOTLANDS LÄN</t>
        </is>
      </c>
      <c r="E581" t="inlineStr">
        <is>
          <t>GOTLAND</t>
        </is>
      </c>
      <c r="G581" t="n">
        <v>6.8</v>
      </c>
      <c r="H581" t="n">
        <v>0</v>
      </c>
      <c r="I581" t="n">
        <v>0</v>
      </c>
      <c r="J581" t="n">
        <v>0</v>
      </c>
      <c r="K581" t="n">
        <v>0</v>
      </c>
      <c r="L581" t="n">
        <v>0</v>
      </c>
      <c r="M581" t="n">
        <v>0</v>
      </c>
      <c r="N581" t="n">
        <v>0</v>
      </c>
      <c r="O581" t="n">
        <v>0</v>
      </c>
      <c r="P581" t="n">
        <v>0</v>
      </c>
      <c r="Q581" t="n">
        <v>0</v>
      </c>
      <c r="R581" s="2" t="inlineStr"/>
    </row>
    <row r="582" ht="15" customHeight="1">
      <c r="A582" t="inlineStr">
        <is>
          <t>A 20356-2022</t>
        </is>
      </c>
      <c r="B582" s="1" t="n">
        <v>44699</v>
      </c>
      <c r="C582" s="1" t="n">
        <v>46022</v>
      </c>
      <c r="D582" t="inlineStr">
        <is>
          <t>GOTLANDS LÄN</t>
        </is>
      </c>
      <c r="E582" t="inlineStr">
        <is>
          <t>GOTLAND</t>
        </is>
      </c>
      <c r="F582" t="inlineStr">
        <is>
          <t>Övriga Aktiebolag</t>
        </is>
      </c>
      <c r="G582" t="n">
        <v>4.4</v>
      </c>
      <c r="H582" t="n">
        <v>0</v>
      </c>
      <c r="I582" t="n">
        <v>0</v>
      </c>
      <c r="J582" t="n">
        <v>0</v>
      </c>
      <c r="K582" t="n">
        <v>0</v>
      </c>
      <c r="L582" t="n">
        <v>0</v>
      </c>
      <c r="M582" t="n">
        <v>0</v>
      </c>
      <c r="N582" t="n">
        <v>0</v>
      </c>
      <c r="O582" t="n">
        <v>0</v>
      </c>
      <c r="P582" t="n">
        <v>0</v>
      </c>
      <c r="Q582" t="n">
        <v>0</v>
      </c>
      <c r="R582" s="2" t="inlineStr"/>
    </row>
    <row r="583" ht="15" customHeight="1">
      <c r="A583" t="inlineStr">
        <is>
          <t>A 4868-2024</t>
        </is>
      </c>
      <c r="B583" s="1" t="n">
        <v>45329</v>
      </c>
      <c r="C583" s="1" t="n">
        <v>46022</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9613-2025</t>
        </is>
      </c>
      <c r="B584" s="1" t="n">
        <v>45715</v>
      </c>
      <c r="C584" s="1" t="n">
        <v>46022</v>
      </c>
      <c r="D584" t="inlineStr">
        <is>
          <t>GOTLANDS LÄN</t>
        </is>
      </c>
      <c r="E584" t="inlineStr">
        <is>
          <t>GOTLAND</t>
        </is>
      </c>
      <c r="G584" t="n">
        <v>3.5</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46022</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58211-2024</t>
        </is>
      </c>
      <c r="B586" s="1" t="n">
        <v>45632.49292824074</v>
      </c>
      <c r="C586" s="1" t="n">
        <v>46022</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11634-2024</t>
        </is>
      </c>
      <c r="B587" s="1" t="n">
        <v>45373</v>
      </c>
      <c r="C587" s="1" t="n">
        <v>46022</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5884-2025</t>
        </is>
      </c>
      <c r="B588" s="1" t="n">
        <v>45695.37482638889</v>
      </c>
      <c r="C588" s="1" t="n">
        <v>46022</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5897-2025</t>
        </is>
      </c>
      <c r="B589" s="1" t="n">
        <v>45695.39273148148</v>
      </c>
      <c r="C589" s="1" t="n">
        <v>46022</v>
      </c>
      <c r="D589" t="inlineStr">
        <is>
          <t>GOTLANDS LÄN</t>
        </is>
      </c>
      <c r="E589" t="inlineStr">
        <is>
          <t>GOTLAND</t>
        </is>
      </c>
      <c r="G589" t="n">
        <v>3.7</v>
      </c>
      <c r="H589" t="n">
        <v>0</v>
      </c>
      <c r="I589" t="n">
        <v>0</v>
      </c>
      <c r="J589" t="n">
        <v>0</v>
      </c>
      <c r="K589" t="n">
        <v>0</v>
      </c>
      <c r="L589" t="n">
        <v>0</v>
      </c>
      <c r="M589" t="n">
        <v>0</v>
      </c>
      <c r="N589" t="n">
        <v>0</v>
      </c>
      <c r="O589" t="n">
        <v>0</v>
      </c>
      <c r="P589" t="n">
        <v>0</v>
      </c>
      <c r="Q589" t="n">
        <v>0</v>
      </c>
      <c r="R589" s="2" t="inlineStr"/>
    </row>
    <row r="590" ht="15" customHeight="1">
      <c r="A590" t="inlineStr">
        <is>
          <t>A 5909-2025</t>
        </is>
      </c>
      <c r="B590" s="1" t="n">
        <v>45695.40634259259</v>
      </c>
      <c r="C590" s="1" t="n">
        <v>46022</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60086-2022</t>
        </is>
      </c>
      <c r="B591" s="1" t="n">
        <v>44909</v>
      </c>
      <c r="C591" s="1" t="n">
        <v>46022</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22704-2023</t>
        </is>
      </c>
      <c r="B592" s="1" t="n">
        <v>45071</v>
      </c>
      <c r="C592" s="1" t="n">
        <v>46022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25866-2022</t>
        </is>
      </c>
      <c r="B593" s="1" t="n">
        <v>44733</v>
      </c>
      <c r="C593" s="1" t="n">
        <v>46022</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9887-2025</t>
        </is>
      </c>
      <c r="B594" s="1" t="n">
        <v>45716</v>
      </c>
      <c r="C594" s="1" t="n">
        <v>46022</v>
      </c>
      <c r="D594" t="inlineStr">
        <is>
          <t>GOTLANDS LÄN</t>
        </is>
      </c>
      <c r="E594" t="inlineStr">
        <is>
          <t>GOTLAND</t>
        </is>
      </c>
      <c r="G594" t="n">
        <v>7.5</v>
      </c>
      <c r="H594" t="n">
        <v>0</v>
      </c>
      <c r="I594" t="n">
        <v>0</v>
      </c>
      <c r="J594" t="n">
        <v>0</v>
      </c>
      <c r="K594" t="n">
        <v>0</v>
      </c>
      <c r="L594" t="n">
        <v>0</v>
      </c>
      <c r="M594" t="n">
        <v>0</v>
      </c>
      <c r="N594" t="n">
        <v>0</v>
      </c>
      <c r="O594" t="n">
        <v>0</v>
      </c>
      <c r="P594" t="n">
        <v>0</v>
      </c>
      <c r="Q594" t="n">
        <v>0</v>
      </c>
      <c r="R594" s="2" t="inlineStr"/>
    </row>
    <row r="595" ht="15" customHeight="1">
      <c r="A595" t="inlineStr">
        <is>
          <t>A 12209-2024</t>
        </is>
      </c>
      <c r="B595" s="1" t="n">
        <v>45378</v>
      </c>
      <c r="C595" s="1" t="n">
        <v>46022</v>
      </c>
      <c r="D595" t="inlineStr">
        <is>
          <t>GOTLANDS LÄN</t>
        </is>
      </c>
      <c r="E595" t="inlineStr">
        <is>
          <t>GOTLAND</t>
        </is>
      </c>
      <c r="G595" t="n">
        <v>5.3</v>
      </c>
      <c r="H595" t="n">
        <v>0</v>
      </c>
      <c r="I595" t="n">
        <v>0</v>
      </c>
      <c r="J595" t="n">
        <v>0</v>
      </c>
      <c r="K595" t="n">
        <v>0</v>
      </c>
      <c r="L595" t="n">
        <v>0</v>
      </c>
      <c r="M595" t="n">
        <v>0</v>
      </c>
      <c r="N595" t="n">
        <v>0</v>
      </c>
      <c r="O595" t="n">
        <v>0</v>
      </c>
      <c r="P595" t="n">
        <v>0</v>
      </c>
      <c r="Q595" t="n">
        <v>0</v>
      </c>
      <c r="R595" s="2" t="inlineStr"/>
    </row>
    <row r="596" ht="15" customHeight="1">
      <c r="A596" t="inlineStr">
        <is>
          <t>A 12210-2024</t>
        </is>
      </c>
      <c r="B596" s="1" t="n">
        <v>45378</v>
      </c>
      <c r="C596" s="1" t="n">
        <v>46022</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59986-2022</t>
        </is>
      </c>
      <c r="B597" s="1" t="n">
        <v>44909</v>
      </c>
      <c r="C597" s="1" t="n">
        <v>46022</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31802-2024</t>
        </is>
      </c>
      <c r="B598" s="1" t="n">
        <v>45509</v>
      </c>
      <c r="C598" s="1" t="n">
        <v>46022</v>
      </c>
      <c r="D598" t="inlineStr">
        <is>
          <t>GOTLANDS LÄN</t>
        </is>
      </c>
      <c r="E598" t="inlineStr">
        <is>
          <t>GOTLAND</t>
        </is>
      </c>
      <c r="G598" t="n">
        <v>2.8</v>
      </c>
      <c r="H598" t="n">
        <v>0</v>
      </c>
      <c r="I598" t="n">
        <v>0</v>
      </c>
      <c r="J598" t="n">
        <v>0</v>
      </c>
      <c r="K598" t="n">
        <v>0</v>
      </c>
      <c r="L598" t="n">
        <v>0</v>
      </c>
      <c r="M598" t="n">
        <v>0</v>
      </c>
      <c r="N598" t="n">
        <v>0</v>
      </c>
      <c r="O598" t="n">
        <v>0</v>
      </c>
      <c r="P598" t="n">
        <v>0</v>
      </c>
      <c r="Q598" t="n">
        <v>0</v>
      </c>
      <c r="R598" s="2" t="inlineStr"/>
    </row>
    <row r="599" ht="15" customHeight="1">
      <c r="A599" t="inlineStr">
        <is>
          <t>A 20993-2023</t>
        </is>
      </c>
      <c r="B599" s="1" t="n">
        <v>45056</v>
      </c>
      <c r="C599" s="1" t="n">
        <v>46022</v>
      </c>
      <c r="D599" t="inlineStr">
        <is>
          <t>GOTLANDS LÄN</t>
        </is>
      </c>
      <c r="E599" t="inlineStr">
        <is>
          <t>GOTLAND</t>
        </is>
      </c>
      <c r="G599" t="n">
        <v>7.1</v>
      </c>
      <c r="H599" t="n">
        <v>0</v>
      </c>
      <c r="I599" t="n">
        <v>0</v>
      </c>
      <c r="J599" t="n">
        <v>0</v>
      </c>
      <c r="K599" t="n">
        <v>0</v>
      </c>
      <c r="L599" t="n">
        <v>0</v>
      </c>
      <c r="M599" t="n">
        <v>0</v>
      </c>
      <c r="N599" t="n">
        <v>0</v>
      </c>
      <c r="O599" t="n">
        <v>0</v>
      </c>
      <c r="P599" t="n">
        <v>0</v>
      </c>
      <c r="Q599" t="n">
        <v>0</v>
      </c>
      <c r="R599" s="2" t="inlineStr"/>
    </row>
    <row r="600" ht="15" customHeight="1">
      <c r="A600" t="inlineStr">
        <is>
          <t>A 15042-2025</t>
        </is>
      </c>
      <c r="B600" s="1" t="n">
        <v>45743</v>
      </c>
      <c r="C600" s="1" t="n">
        <v>46022</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12327-2025</t>
        </is>
      </c>
      <c r="B601" s="1" t="n">
        <v>45730</v>
      </c>
      <c r="C601" s="1" t="n">
        <v>46022</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4420-2025</t>
        </is>
      </c>
      <c r="B602" s="1" t="n">
        <v>45686.47157407407</v>
      </c>
      <c r="C602" s="1" t="n">
        <v>46022</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14427-2024</t>
        </is>
      </c>
      <c r="B603" s="1" t="n">
        <v>45394</v>
      </c>
      <c r="C603" s="1" t="n">
        <v>46022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49257-2024</t>
        </is>
      </c>
      <c r="B604" s="1" t="n">
        <v>45595.47627314815</v>
      </c>
      <c r="C604" s="1" t="n">
        <v>46022</v>
      </c>
      <c r="D604" t="inlineStr">
        <is>
          <t>GOTLANDS LÄN</t>
        </is>
      </c>
      <c r="E604" t="inlineStr">
        <is>
          <t>GOTLAND</t>
        </is>
      </c>
      <c r="G604" t="n">
        <v>6.3</v>
      </c>
      <c r="H604" t="n">
        <v>0</v>
      </c>
      <c r="I604" t="n">
        <v>0</v>
      </c>
      <c r="J604" t="n">
        <v>0</v>
      </c>
      <c r="K604" t="n">
        <v>0</v>
      </c>
      <c r="L604" t="n">
        <v>0</v>
      </c>
      <c r="M604" t="n">
        <v>0</v>
      </c>
      <c r="N604" t="n">
        <v>0</v>
      </c>
      <c r="O604" t="n">
        <v>0</v>
      </c>
      <c r="P604" t="n">
        <v>0</v>
      </c>
      <c r="Q604" t="n">
        <v>0</v>
      </c>
      <c r="R604" s="2" t="inlineStr"/>
    </row>
    <row r="605" ht="15" customHeight="1">
      <c r="A605" t="inlineStr">
        <is>
          <t>A 49315-2024</t>
        </is>
      </c>
      <c r="B605" s="1" t="n">
        <v>45595</v>
      </c>
      <c r="C605" s="1" t="n">
        <v>46022</v>
      </c>
      <c r="D605" t="inlineStr">
        <is>
          <t>GOTLANDS LÄN</t>
        </is>
      </c>
      <c r="E605" t="inlineStr">
        <is>
          <t>GOTLAND</t>
        </is>
      </c>
      <c r="G605" t="n">
        <v>1.5</v>
      </c>
      <c r="H605" t="n">
        <v>0</v>
      </c>
      <c r="I605" t="n">
        <v>0</v>
      </c>
      <c r="J605" t="n">
        <v>0</v>
      </c>
      <c r="K605" t="n">
        <v>0</v>
      </c>
      <c r="L605" t="n">
        <v>0</v>
      </c>
      <c r="M605" t="n">
        <v>0</v>
      </c>
      <c r="N605" t="n">
        <v>0</v>
      </c>
      <c r="O605" t="n">
        <v>0</v>
      </c>
      <c r="P605" t="n">
        <v>0</v>
      </c>
      <c r="Q605" t="n">
        <v>0</v>
      </c>
      <c r="R605" s="2" t="inlineStr"/>
    </row>
    <row r="606" ht="15" customHeight="1">
      <c r="A606" t="inlineStr">
        <is>
          <t>A 27596-2023</t>
        </is>
      </c>
      <c r="B606" s="1" t="n">
        <v>45097</v>
      </c>
      <c r="C606" s="1" t="n">
        <v>46022</v>
      </c>
      <c r="D606" t="inlineStr">
        <is>
          <t>GOTLANDS LÄN</t>
        </is>
      </c>
      <c r="E606" t="inlineStr">
        <is>
          <t>GOTLAND</t>
        </is>
      </c>
      <c r="G606" t="n">
        <v>3.6</v>
      </c>
      <c r="H606" t="n">
        <v>0</v>
      </c>
      <c r="I606" t="n">
        <v>0</v>
      </c>
      <c r="J606" t="n">
        <v>0</v>
      </c>
      <c r="K606" t="n">
        <v>0</v>
      </c>
      <c r="L606" t="n">
        <v>0</v>
      </c>
      <c r="M606" t="n">
        <v>0</v>
      </c>
      <c r="N606" t="n">
        <v>0</v>
      </c>
      <c r="O606" t="n">
        <v>0</v>
      </c>
      <c r="P606" t="n">
        <v>0</v>
      </c>
      <c r="Q606" t="n">
        <v>0</v>
      </c>
      <c r="R606" s="2" t="inlineStr"/>
    </row>
    <row r="607" ht="15" customHeight="1">
      <c r="A607" t="inlineStr">
        <is>
          <t>A 56115-2023</t>
        </is>
      </c>
      <c r="B607" s="1" t="n">
        <v>45236</v>
      </c>
      <c r="C607" s="1" t="n">
        <v>46022</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64969-2023</t>
        </is>
      </c>
      <c r="B608" s="1" t="n">
        <v>45284.54009259259</v>
      </c>
      <c r="C608" s="1" t="n">
        <v>46022</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33853-2024</t>
        </is>
      </c>
      <c r="B609" s="1" t="n">
        <v>45520.64298611111</v>
      </c>
      <c r="C609" s="1" t="n">
        <v>46022</v>
      </c>
      <c r="D609" t="inlineStr">
        <is>
          <t>GOTLANDS LÄN</t>
        </is>
      </c>
      <c r="E609" t="inlineStr">
        <is>
          <t>GOTLAND</t>
        </is>
      </c>
      <c r="G609" t="n">
        <v>3.9</v>
      </c>
      <c r="H609" t="n">
        <v>0</v>
      </c>
      <c r="I609" t="n">
        <v>0</v>
      </c>
      <c r="J609" t="n">
        <v>0</v>
      </c>
      <c r="K609" t="n">
        <v>0</v>
      </c>
      <c r="L609" t="n">
        <v>0</v>
      </c>
      <c r="M609" t="n">
        <v>0</v>
      </c>
      <c r="N609" t="n">
        <v>0</v>
      </c>
      <c r="O609" t="n">
        <v>0</v>
      </c>
      <c r="P609" t="n">
        <v>0</v>
      </c>
      <c r="Q609" t="n">
        <v>0</v>
      </c>
      <c r="R609" s="2" t="inlineStr"/>
    </row>
    <row r="610" ht="15" customHeight="1">
      <c r="A610" t="inlineStr">
        <is>
          <t>A 18223-2025</t>
        </is>
      </c>
      <c r="B610" s="1" t="n">
        <v>45761</v>
      </c>
      <c r="C610" s="1" t="n">
        <v>46022</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46949-2024</t>
        </is>
      </c>
      <c r="B611" s="1" t="n">
        <v>45585</v>
      </c>
      <c r="C611" s="1" t="n">
        <v>46022</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24001-2021</t>
        </is>
      </c>
      <c r="B612" s="1" t="n">
        <v>44335</v>
      </c>
      <c r="C612" s="1" t="n">
        <v>46022</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39479-2022</t>
        </is>
      </c>
      <c r="B613" s="1" t="n">
        <v>44818</v>
      </c>
      <c r="C613" s="1" t="n">
        <v>46022</v>
      </c>
      <c r="D613" t="inlineStr">
        <is>
          <t>GOTLANDS LÄN</t>
        </is>
      </c>
      <c r="E613" t="inlineStr">
        <is>
          <t>GOTLAND</t>
        </is>
      </c>
      <c r="G613" t="n">
        <v>1.1</v>
      </c>
      <c r="H613" t="n">
        <v>0</v>
      </c>
      <c r="I613" t="n">
        <v>0</v>
      </c>
      <c r="J613" t="n">
        <v>0</v>
      </c>
      <c r="K613" t="n">
        <v>0</v>
      </c>
      <c r="L613" t="n">
        <v>0</v>
      </c>
      <c r="M613" t="n">
        <v>0</v>
      </c>
      <c r="N613" t="n">
        <v>0</v>
      </c>
      <c r="O613" t="n">
        <v>0</v>
      </c>
      <c r="P613" t="n">
        <v>0</v>
      </c>
      <c r="Q613" t="n">
        <v>0</v>
      </c>
      <c r="R613" s="2" t="inlineStr"/>
    </row>
    <row r="614" ht="15" customHeight="1">
      <c r="A614" t="inlineStr">
        <is>
          <t>A 39496-2022</t>
        </is>
      </c>
      <c r="B614" s="1" t="n">
        <v>44818</v>
      </c>
      <c r="C614" s="1" t="n">
        <v>46022</v>
      </c>
      <c r="D614" t="inlineStr">
        <is>
          <t>GOTLANDS LÄN</t>
        </is>
      </c>
      <c r="E614" t="inlineStr">
        <is>
          <t>GOTLAND</t>
        </is>
      </c>
      <c r="G614" t="n">
        <v>2.4</v>
      </c>
      <c r="H614" t="n">
        <v>0</v>
      </c>
      <c r="I614" t="n">
        <v>0</v>
      </c>
      <c r="J614" t="n">
        <v>0</v>
      </c>
      <c r="K614" t="n">
        <v>0</v>
      </c>
      <c r="L614" t="n">
        <v>0</v>
      </c>
      <c r="M614" t="n">
        <v>0</v>
      </c>
      <c r="N614" t="n">
        <v>0</v>
      </c>
      <c r="O614" t="n">
        <v>0</v>
      </c>
      <c r="P614" t="n">
        <v>0</v>
      </c>
      <c r="Q614" t="n">
        <v>0</v>
      </c>
      <c r="R614" s="2" t="inlineStr"/>
    </row>
    <row r="615" ht="15" customHeight="1">
      <c r="A615" t="inlineStr">
        <is>
          <t>A 46389-2021</t>
        </is>
      </c>
      <c r="B615" s="1" t="n">
        <v>44443</v>
      </c>
      <c r="C615" s="1" t="n">
        <v>46022</v>
      </c>
      <c r="D615" t="inlineStr">
        <is>
          <t>GOTLANDS LÄN</t>
        </is>
      </c>
      <c r="E615" t="inlineStr">
        <is>
          <t>GOTLAND</t>
        </is>
      </c>
      <c r="F615" t="inlineStr">
        <is>
          <t>Kyrkan</t>
        </is>
      </c>
      <c r="G615" t="n">
        <v>2.1</v>
      </c>
      <c r="H615" t="n">
        <v>0</v>
      </c>
      <c r="I615" t="n">
        <v>0</v>
      </c>
      <c r="J615" t="n">
        <v>0</v>
      </c>
      <c r="K615" t="n">
        <v>0</v>
      </c>
      <c r="L615" t="n">
        <v>0</v>
      </c>
      <c r="M615" t="n">
        <v>0</v>
      </c>
      <c r="N615" t="n">
        <v>0</v>
      </c>
      <c r="O615" t="n">
        <v>0</v>
      </c>
      <c r="P615" t="n">
        <v>0</v>
      </c>
      <c r="Q615" t="n">
        <v>0</v>
      </c>
      <c r="R615" s="2" t="inlineStr"/>
    </row>
    <row r="616" ht="15" customHeight="1">
      <c r="A616" t="inlineStr">
        <is>
          <t>A 44949-2023</t>
        </is>
      </c>
      <c r="B616" s="1" t="n">
        <v>45190.69520833333</v>
      </c>
      <c r="C616" s="1" t="n">
        <v>46022</v>
      </c>
      <c r="D616" t="inlineStr">
        <is>
          <t>GOTLANDS LÄN</t>
        </is>
      </c>
      <c r="E616" t="inlineStr">
        <is>
          <t>GOTLAND</t>
        </is>
      </c>
      <c r="G616" t="n">
        <v>1.4</v>
      </c>
      <c r="H616" t="n">
        <v>0</v>
      </c>
      <c r="I616" t="n">
        <v>0</v>
      </c>
      <c r="J616" t="n">
        <v>0</v>
      </c>
      <c r="K616" t="n">
        <v>0</v>
      </c>
      <c r="L616" t="n">
        <v>0</v>
      </c>
      <c r="M616" t="n">
        <v>0</v>
      </c>
      <c r="N616" t="n">
        <v>0</v>
      </c>
      <c r="O616" t="n">
        <v>0</v>
      </c>
      <c r="P616" t="n">
        <v>0</v>
      </c>
      <c r="Q616" t="n">
        <v>0</v>
      </c>
      <c r="R616" s="2" t="inlineStr"/>
    </row>
    <row r="617" ht="15" customHeight="1">
      <c r="A617" t="inlineStr">
        <is>
          <t>A 17682-2024</t>
        </is>
      </c>
      <c r="B617" s="1" t="n">
        <v>45418.42966435185</v>
      </c>
      <c r="C617" s="1" t="n">
        <v>46022</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61897-2024</t>
        </is>
      </c>
      <c r="B618" s="1" t="n">
        <v>45652.75685185185</v>
      </c>
      <c r="C618" s="1" t="n">
        <v>46022</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12032-2025</t>
        </is>
      </c>
      <c r="B619" s="1" t="n">
        <v>45728.64472222222</v>
      </c>
      <c r="C619" s="1" t="n">
        <v>46022</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c r="A620" t="inlineStr">
        <is>
          <t>A 15595-2024</t>
        </is>
      </c>
      <c r="B620" s="1" t="n">
        <v>45401.81480324074</v>
      </c>
      <c r="C620" s="1" t="n">
        <v>46022</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2025-12-31T09:53:34Z</dcterms:created>
  <dcterms:modified xmlns:dcterms="http://purl.org/dc/terms/" xmlns:xsi="http://www.w3.org/2001/XMLSchema-instance" xsi:type="dcterms:W3CDTF">2025-12-31T09:53:34Z</dcterms:modified>
</cp:coreProperties>
</file>