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45915</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45915</v>
      </c>
      <c r="D9" t="inlineStr">
        <is>
          <t>GOTLANDS LÄN</t>
        </is>
      </c>
      <c r="E9" t="inlineStr">
        <is>
          <t>GOTLAND</t>
        </is>
      </c>
      <c r="G9" t="n">
        <v>6.1</v>
      </c>
      <c r="H9" t="n">
        <v>11</v>
      </c>
      <c r="I9" t="n">
        <v>8</v>
      </c>
      <c r="J9" t="n">
        <v>6</v>
      </c>
      <c r="K9" t="n">
        <v>1</v>
      </c>
      <c r="L9" t="n">
        <v>1</v>
      </c>
      <c r="M9" t="n">
        <v>0</v>
      </c>
      <c r="N9" t="n">
        <v>0</v>
      </c>
      <c r="O9" t="n">
        <v>8</v>
      </c>
      <c r="P9" t="n">
        <v>2</v>
      </c>
      <c r="Q9" t="n">
        <v>21</v>
      </c>
      <c r="R9"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45915</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45915</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45915</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8645-2025</t>
        </is>
      </c>
      <c r="B13" s="1" t="n">
        <v>45712</v>
      </c>
      <c r="C13" s="1" t="n">
        <v>45915</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45915</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34100-2024</t>
        </is>
      </c>
      <c r="B15" s="1" t="n">
        <v>45523</v>
      </c>
      <c r="C15" s="1" t="n">
        <v>45915</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45915</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15629-2024</t>
        </is>
      </c>
      <c r="B17" s="1" t="n">
        <v>45402.78372685185</v>
      </c>
      <c r="C17" s="1" t="n">
        <v>45915</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62132-2023</t>
        </is>
      </c>
      <c r="B18" s="1" t="n">
        <v>45267</v>
      </c>
      <c r="C18" s="1" t="n">
        <v>45915</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45915</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45915</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17762-2024</t>
        </is>
      </c>
      <c r="B21" s="1" t="n">
        <v>45418</v>
      </c>
      <c r="C21" s="1" t="n">
        <v>45915</v>
      </c>
      <c r="D21" t="inlineStr">
        <is>
          <t>GOTLANDS LÄN</t>
        </is>
      </c>
      <c r="E21" t="inlineStr">
        <is>
          <t>GOTLAND</t>
        </is>
      </c>
      <c r="G21" t="n">
        <v>5.8</v>
      </c>
      <c r="H21" t="n">
        <v>2</v>
      </c>
      <c r="I21" t="n">
        <v>2</v>
      </c>
      <c r="J21" t="n">
        <v>8</v>
      </c>
      <c r="K21" t="n">
        <v>1</v>
      </c>
      <c r="L21" t="n">
        <v>1</v>
      </c>
      <c r="M21" t="n">
        <v>1</v>
      </c>
      <c r="N21" t="n">
        <v>0</v>
      </c>
      <c r="O21" t="n">
        <v>11</v>
      </c>
      <c r="P21" t="n">
        <v>3</v>
      </c>
      <c r="Q21" t="n">
        <v>15</v>
      </c>
      <c r="R21" s="2" t="inlineStr">
        <is>
          <t>Järnek
Naveljordstjärna
Gråfingerört
Axveronika
Backstarr
Backtimjan
Crepis tectorum subsp. tectorum
Kalkvaxing
Odörspindling
Solvända
Svinrot
Anisspindling
Mindre märgborre
Sankt pers nycklar
Blåsippa</t>
        </is>
      </c>
      <c r="S21">
        <f>HYPERLINK("https://klasma.github.io/Logging_0980/artfynd/A 17762-2024 artfynd.xlsx", "A 17762-2024")</f>
        <v/>
      </c>
      <c r="T21">
        <f>HYPERLINK("https://klasma.github.io/Logging_0980/kartor/A 17762-2024 karta.png", "A 17762-2024")</f>
        <v/>
      </c>
      <c r="V21">
        <f>HYPERLINK("https://klasma.github.io/Logging_0980/klagomål/A 17762-2024 FSC-klagomål.docx", "A 17762-2024")</f>
        <v/>
      </c>
      <c r="W21">
        <f>HYPERLINK("https://klasma.github.io/Logging_0980/klagomålsmail/A 17762-2024 FSC-klagomål mail.docx", "A 17762-2024")</f>
        <v/>
      </c>
      <c r="X21">
        <f>HYPERLINK("https://klasma.github.io/Logging_0980/tillsyn/A 17762-2024 tillsynsbegäran.docx", "A 17762-2024")</f>
        <v/>
      </c>
      <c r="Y21">
        <f>HYPERLINK("https://klasma.github.io/Logging_0980/tillsynsmail/A 17762-2024 tillsynsbegäran mail.docx", "A 17762-2024")</f>
        <v/>
      </c>
    </row>
    <row r="22" ht="15" customHeight="1">
      <c r="A22" t="inlineStr">
        <is>
          <t>A 25779-2022</t>
        </is>
      </c>
      <c r="B22" s="1" t="n">
        <v>44733</v>
      </c>
      <c r="C22" s="1" t="n">
        <v>45915</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24309-2025</t>
        </is>
      </c>
      <c r="B23" s="1" t="n">
        <v>45797</v>
      </c>
      <c r="C23" s="1" t="n">
        <v>45915</v>
      </c>
      <c r="D23" t="inlineStr">
        <is>
          <t>GOTLANDS LÄN</t>
        </is>
      </c>
      <c r="E23" t="inlineStr">
        <is>
          <t>GOTLAND</t>
        </is>
      </c>
      <c r="F23" t="inlineStr">
        <is>
          <t>Kyrkan</t>
        </is>
      </c>
      <c r="G23" t="n">
        <v>7.8</v>
      </c>
      <c r="H23" t="n">
        <v>11</v>
      </c>
      <c r="I23" t="n">
        <v>6</v>
      </c>
      <c r="J23" t="n">
        <v>3</v>
      </c>
      <c r="K23" t="n">
        <v>1</v>
      </c>
      <c r="L23" t="n">
        <v>1</v>
      </c>
      <c r="M23" t="n">
        <v>0</v>
      </c>
      <c r="N23" t="n">
        <v>0</v>
      </c>
      <c r="O23" t="n">
        <v>5</v>
      </c>
      <c r="P23" t="n">
        <v>2</v>
      </c>
      <c r="Q23" t="n">
        <v>14</v>
      </c>
      <c r="R23" s="2" t="inlineStr">
        <is>
          <t>Grönfink
Garderönn
Dårgräsfjäril
Spillkråka
Svinrot
Grönpyrola
Purpurknipprot
Skogsknipprot
Strävlosta
Tvåblad
Vit skogslilja
Halsbandsflugsnappare
Nattviol
Blåsippa</t>
        </is>
      </c>
      <c r="S23">
        <f>HYPERLINK("https://klasma.github.io/Logging_0980/artfynd/A 24309-2025 artfynd.xlsx", "A 24309-2025")</f>
        <v/>
      </c>
      <c r="T23">
        <f>HYPERLINK("https://klasma.github.io/Logging_0980/kartor/A 24309-2025 karta.png", "A 24309-2025")</f>
        <v/>
      </c>
      <c r="V23">
        <f>HYPERLINK("https://klasma.github.io/Logging_0980/klagomål/A 24309-2025 FSC-klagomål.docx", "A 24309-2025")</f>
        <v/>
      </c>
      <c r="W23">
        <f>HYPERLINK("https://klasma.github.io/Logging_0980/klagomålsmail/A 24309-2025 FSC-klagomål mail.docx", "A 24309-2025")</f>
        <v/>
      </c>
      <c r="X23">
        <f>HYPERLINK("https://klasma.github.io/Logging_0980/tillsyn/A 24309-2025 tillsynsbegäran.docx", "A 24309-2025")</f>
        <v/>
      </c>
      <c r="Y23">
        <f>HYPERLINK("https://klasma.github.io/Logging_0980/tillsynsmail/A 24309-2025 tillsynsbegäran mail.docx", "A 24309-2025")</f>
        <v/>
      </c>
      <c r="Z23">
        <f>HYPERLINK("https://klasma.github.io/Logging_0980/fåglar/A 24309-2025 prioriterade fågelarter.docx", "A 24309-2025")</f>
        <v/>
      </c>
    </row>
    <row r="24" ht="15" customHeight="1">
      <c r="A24" t="inlineStr">
        <is>
          <t>A 33728-2025</t>
        </is>
      </c>
      <c r="B24" s="1" t="n">
        <v>45842.29344907407</v>
      </c>
      <c r="C24" s="1" t="n">
        <v>45915</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2222-2024</t>
        </is>
      </c>
      <c r="B25" s="1" t="n">
        <v>45309</v>
      </c>
      <c r="C25" s="1" t="n">
        <v>45915</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45915</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44928-2022</t>
        </is>
      </c>
      <c r="B27" s="1" t="n">
        <v>44841</v>
      </c>
      <c r="C27" s="1" t="n">
        <v>45915</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30236-2025</t>
        </is>
      </c>
      <c r="B28" s="1" t="n">
        <v>45827</v>
      </c>
      <c r="C28" s="1" t="n">
        <v>45915</v>
      </c>
      <c r="D28" t="inlineStr">
        <is>
          <t>GOTLANDS LÄN</t>
        </is>
      </c>
      <c r="E28" t="inlineStr">
        <is>
          <t>GOTLAND</t>
        </is>
      </c>
      <c r="G28" t="n">
        <v>13.6</v>
      </c>
      <c r="H28" t="n">
        <v>8</v>
      </c>
      <c r="I28" t="n">
        <v>6</v>
      </c>
      <c r="J28" t="n">
        <v>4</v>
      </c>
      <c r="K28" t="n">
        <v>0</v>
      </c>
      <c r="L28" t="n">
        <v>0</v>
      </c>
      <c r="M28" t="n">
        <v>0</v>
      </c>
      <c r="N28" t="n">
        <v>0</v>
      </c>
      <c r="O28" t="n">
        <v>4</v>
      </c>
      <c r="P28" t="n">
        <v>0</v>
      </c>
      <c r="Q28" t="n">
        <v>13</v>
      </c>
      <c r="R28" s="2" t="inlineStr">
        <is>
          <t>Jordtistel
Reliktbock
Spillkråka
Svinrot
Blåmossa
Grönpyrola
Nästrot
Purpurknipprot
Tvåblad
Vit skogslilja
Grönvit nattviol
Nattviol
Sankt pers nycklar</t>
        </is>
      </c>
      <c r="S28">
        <f>HYPERLINK("https://klasma.github.io/Logging_0980/artfynd/A 30236-2025 artfynd.xlsx", "A 30236-2025")</f>
        <v/>
      </c>
      <c r="T28">
        <f>HYPERLINK("https://klasma.github.io/Logging_0980/kartor/A 30236-2025 karta.png", "A 30236-2025")</f>
        <v/>
      </c>
      <c r="V28">
        <f>HYPERLINK("https://klasma.github.io/Logging_0980/klagomål/A 30236-2025 FSC-klagomål.docx", "A 30236-2025")</f>
        <v/>
      </c>
      <c r="W28">
        <f>HYPERLINK("https://klasma.github.io/Logging_0980/klagomålsmail/A 30236-2025 FSC-klagomål mail.docx", "A 30236-2025")</f>
        <v/>
      </c>
      <c r="X28">
        <f>HYPERLINK("https://klasma.github.io/Logging_0980/tillsyn/A 30236-2025 tillsynsbegäran.docx", "A 30236-2025")</f>
        <v/>
      </c>
      <c r="Y28">
        <f>HYPERLINK("https://klasma.github.io/Logging_0980/tillsynsmail/A 30236-2025 tillsynsbegäran mail.docx", "A 30236-2025")</f>
        <v/>
      </c>
      <c r="Z28">
        <f>HYPERLINK("https://klasma.github.io/Logging_0980/fåglar/A 30236-2025 prioriterade fågelarter.docx", "A 30236-2025")</f>
        <v/>
      </c>
    </row>
    <row r="29" ht="15" customHeight="1">
      <c r="A29" t="inlineStr">
        <is>
          <t>A 35141-2022</t>
        </is>
      </c>
      <c r="B29" s="1" t="n">
        <v>44797.53318287037</v>
      </c>
      <c r="C29" s="1" t="n">
        <v>45915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445-2023</t>
        </is>
      </c>
      <c r="B30" s="1" t="n">
        <v>44929</v>
      </c>
      <c r="C30" s="1" t="n">
        <v>45915</v>
      </c>
      <c r="D30" t="inlineStr">
        <is>
          <t>GOTLANDS LÄN</t>
        </is>
      </c>
      <c r="E30" t="inlineStr">
        <is>
          <t>GOTLAND</t>
        </is>
      </c>
      <c r="G30" t="n">
        <v>4.9</v>
      </c>
      <c r="H30" t="n">
        <v>3</v>
      </c>
      <c r="I30" t="n">
        <v>3</v>
      </c>
      <c r="J30" t="n">
        <v>5</v>
      </c>
      <c r="K30" t="n">
        <v>4</v>
      </c>
      <c r="L30" t="n">
        <v>0</v>
      </c>
      <c r="M30" t="n">
        <v>0</v>
      </c>
      <c r="N30" t="n">
        <v>0</v>
      </c>
      <c r="O30" t="n">
        <v>10</v>
      </c>
      <c r="P30" t="n">
        <v>4</v>
      </c>
      <c r="Q30" t="n">
        <v>13</v>
      </c>
      <c r="R30" s="2" t="inlineStr">
        <is>
          <t>Garderönn
Granrotsspindling
Gulsträngad fagerspindling
Taggfingersvamp
Duvhök
Jordtistel
Odörspindling
Spillkråka
Svinrot
Trollspindling
Besk kastanjemusseron
Rödgul trumpetsvamp
Vårärt</t>
        </is>
      </c>
      <c r="S30">
        <f>HYPERLINK("https://klasma.github.io/Logging_0980/artfynd/A 445-2023 artfynd.xlsx", "A 445-2023")</f>
        <v/>
      </c>
      <c r="T30">
        <f>HYPERLINK("https://klasma.github.io/Logging_0980/kartor/A 445-2023 karta.png", "A 445-2023")</f>
        <v/>
      </c>
      <c r="V30">
        <f>HYPERLINK("https://klasma.github.io/Logging_0980/klagomål/A 445-2023 FSC-klagomål.docx", "A 445-2023")</f>
        <v/>
      </c>
      <c r="W30">
        <f>HYPERLINK("https://klasma.github.io/Logging_0980/klagomålsmail/A 445-2023 FSC-klagomål mail.docx", "A 445-2023")</f>
        <v/>
      </c>
      <c r="X30">
        <f>HYPERLINK("https://klasma.github.io/Logging_0980/tillsyn/A 445-2023 tillsynsbegäran.docx", "A 445-2023")</f>
        <v/>
      </c>
      <c r="Y30">
        <f>HYPERLINK("https://klasma.github.io/Logging_0980/tillsynsmail/A 445-2023 tillsynsbegäran mail.docx", "A 445-2023")</f>
        <v/>
      </c>
      <c r="Z30">
        <f>HYPERLINK("https://klasma.github.io/Logging_0980/fåglar/A 445-2023 prioriterade fågelarter.docx", "A 445-2023")</f>
        <v/>
      </c>
    </row>
    <row r="31" ht="15" customHeight="1">
      <c r="A31" t="inlineStr">
        <is>
          <t>A 3324-2023</t>
        </is>
      </c>
      <c r="B31" s="1" t="n">
        <v>44949</v>
      </c>
      <c r="C31" s="1" t="n">
        <v>45915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45915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45915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45915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45915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45915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45915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45915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45915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45915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45915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45915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45915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45915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45915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45915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45915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45915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45915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45915</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45915</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6960-2025</t>
        </is>
      </c>
      <c r="B56" s="1" t="n">
        <v>45701.49409722222</v>
      </c>
      <c r="C56" s="1" t="n">
        <v>45915</v>
      </c>
      <c r="D56" t="inlineStr">
        <is>
          <t>GOTLANDS LÄN</t>
        </is>
      </c>
      <c r="E56" t="inlineStr">
        <is>
          <t>GOTLAND</t>
        </is>
      </c>
      <c r="G56" t="n">
        <v>4</v>
      </c>
      <c r="H56" t="n">
        <v>4</v>
      </c>
      <c r="I56" t="n">
        <v>1</v>
      </c>
      <c r="J56" t="n">
        <v>4</v>
      </c>
      <c r="K56" t="n">
        <v>0</v>
      </c>
      <c r="L56" t="n">
        <v>0</v>
      </c>
      <c r="M56" t="n">
        <v>0</v>
      </c>
      <c r="N56" t="n">
        <v>0</v>
      </c>
      <c r="O56" t="n">
        <v>4</v>
      </c>
      <c r="P56" t="n">
        <v>0</v>
      </c>
      <c r="Q56" t="n">
        <v>7</v>
      </c>
      <c r="R56" s="2" t="inlineStr">
        <is>
          <t>Majviva
Spillkråka
Svinrot
Ängsstarr
Skogsknipprot
Dactylorhiza incarnata subsp. incarnata
Nattviol</t>
        </is>
      </c>
      <c r="S56">
        <f>HYPERLINK("https://klasma.github.io/Logging_0980/artfynd/A 6960-2025 artfynd.xlsx", "A 6960-2025")</f>
        <v/>
      </c>
      <c r="T56">
        <f>HYPERLINK("https://klasma.github.io/Logging_0980/kartor/A 6960-2025 karta.png", "A 6960-2025")</f>
        <v/>
      </c>
      <c r="U56">
        <f>HYPERLINK("https://klasma.github.io/Logging_0980/knärot/A 6960-2025 karta knärot.png", "A 6960-2025")</f>
        <v/>
      </c>
      <c r="V56">
        <f>HYPERLINK("https://klasma.github.io/Logging_0980/klagomål/A 6960-2025 FSC-klagomål.docx", "A 6960-2025")</f>
        <v/>
      </c>
      <c r="W56">
        <f>HYPERLINK("https://klasma.github.io/Logging_0980/klagomålsmail/A 6960-2025 FSC-klagomål mail.docx", "A 6960-2025")</f>
        <v/>
      </c>
      <c r="X56">
        <f>HYPERLINK("https://klasma.github.io/Logging_0980/tillsyn/A 6960-2025 tillsynsbegäran.docx", "A 6960-2025")</f>
        <v/>
      </c>
      <c r="Y56">
        <f>HYPERLINK("https://klasma.github.io/Logging_0980/tillsynsmail/A 6960-2025 tillsynsbegäran mail.docx", "A 6960-2025")</f>
        <v/>
      </c>
      <c r="Z56">
        <f>HYPERLINK("https://klasma.github.io/Logging_0980/fåglar/A 6960-2025 prioriterade fågelarter.docx", "A 6960-2025")</f>
        <v/>
      </c>
    </row>
    <row r="57" ht="15" customHeight="1">
      <c r="A57" t="inlineStr">
        <is>
          <t>A 25205-2021</t>
        </is>
      </c>
      <c r="B57" s="1" t="n">
        <v>44342</v>
      </c>
      <c r="C57" s="1" t="n">
        <v>45915</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2085-2023</t>
        </is>
      </c>
      <c r="B58" s="1" t="n">
        <v>44939</v>
      </c>
      <c r="C58" s="1" t="n">
        <v>45915</v>
      </c>
      <c r="D58" t="inlineStr">
        <is>
          <t>GOTLANDS LÄN</t>
        </is>
      </c>
      <c r="E58" t="inlineStr">
        <is>
          <t>GOTLAND</t>
        </is>
      </c>
      <c r="G58" t="n">
        <v>0.9</v>
      </c>
      <c r="H58" t="n">
        <v>2</v>
      </c>
      <c r="I58" t="n">
        <v>5</v>
      </c>
      <c r="J58" t="n">
        <v>0</v>
      </c>
      <c r="K58" t="n">
        <v>0</v>
      </c>
      <c r="L58" t="n">
        <v>0</v>
      </c>
      <c r="M58" t="n">
        <v>0</v>
      </c>
      <c r="N58" t="n">
        <v>0</v>
      </c>
      <c r="O58" t="n">
        <v>0</v>
      </c>
      <c r="P58" t="n">
        <v>0</v>
      </c>
      <c r="Q58" t="n">
        <v>6</v>
      </c>
      <c r="R58" s="2" t="inlineStr">
        <is>
          <t>Blå slemspindling
Blåmossa
Kattfotslav
Skogsknipprot
Vågbandad barkbock
Skogsduva</t>
        </is>
      </c>
      <c r="S58">
        <f>HYPERLINK("https://klasma.github.io/Logging_0980/artfynd/A 2085-2023 artfynd.xlsx", "A 2085-2023")</f>
        <v/>
      </c>
      <c r="T58">
        <f>HYPERLINK("https://klasma.github.io/Logging_0980/kartor/A 2085-2023 karta.png", "A 2085-2023")</f>
        <v/>
      </c>
      <c r="V58">
        <f>HYPERLINK("https://klasma.github.io/Logging_0980/klagomål/A 2085-2023 FSC-klagomål.docx", "A 2085-2023")</f>
        <v/>
      </c>
      <c r="W58">
        <f>HYPERLINK("https://klasma.github.io/Logging_0980/klagomålsmail/A 2085-2023 FSC-klagomål mail.docx", "A 2085-2023")</f>
        <v/>
      </c>
      <c r="X58">
        <f>HYPERLINK("https://klasma.github.io/Logging_0980/tillsyn/A 2085-2023 tillsynsbegäran.docx", "A 2085-2023")</f>
        <v/>
      </c>
      <c r="Y58">
        <f>HYPERLINK("https://klasma.github.io/Logging_0980/tillsynsmail/A 2085-2023 tillsynsbegäran mail.docx", "A 2085-2023")</f>
        <v/>
      </c>
      <c r="Z58">
        <f>HYPERLINK("https://klasma.github.io/Logging_0980/fåglar/A 2085-2023 prioriterade fågelarter.docx", "A 2085-2023")</f>
        <v/>
      </c>
    </row>
    <row r="59" ht="15" customHeight="1">
      <c r="A59" t="inlineStr">
        <is>
          <t>A 45248-2024</t>
        </is>
      </c>
      <c r="B59" s="1" t="n">
        <v>45576</v>
      </c>
      <c r="C59" s="1" t="n">
        <v>45915</v>
      </c>
      <c r="D59" t="inlineStr">
        <is>
          <t>GOTLANDS LÄN</t>
        </is>
      </c>
      <c r="E59" t="inlineStr">
        <is>
          <t>GOTLAND</t>
        </is>
      </c>
      <c r="G59" t="n">
        <v>9.4</v>
      </c>
      <c r="H59" t="n">
        <v>0</v>
      </c>
      <c r="I59" t="n">
        <v>3</v>
      </c>
      <c r="J59" t="n">
        <v>1</v>
      </c>
      <c r="K59" t="n">
        <v>0</v>
      </c>
      <c r="L59" t="n">
        <v>1</v>
      </c>
      <c r="M59" t="n">
        <v>1</v>
      </c>
      <c r="N59" t="n">
        <v>0</v>
      </c>
      <c r="O59" t="n">
        <v>3</v>
      </c>
      <c r="P59" t="n">
        <v>2</v>
      </c>
      <c r="Q59" t="n">
        <v>6</v>
      </c>
      <c r="R59" s="2" t="inlineStr">
        <is>
          <t>Lundalm
Ask
Oxtungssvamp
Myskmadra
Stinkbrosking
Underviol</t>
        </is>
      </c>
      <c r="S59">
        <f>HYPERLINK("https://klasma.github.io/Logging_0980/artfynd/A 45248-2024 artfynd.xlsx", "A 45248-2024")</f>
        <v/>
      </c>
      <c r="T59">
        <f>HYPERLINK("https://klasma.github.io/Logging_0980/kartor/A 45248-2024 karta.png", "A 45248-2024")</f>
        <v/>
      </c>
      <c r="V59">
        <f>HYPERLINK("https://klasma.github.io/Logging_0980/klagomål/A 45248-2024 FSC-klagomål.docx", "A 45248-2024")</f>
        <v/>
      </c>
      <c r="W59">
        <f>HYPERLINK("https://klasma.github.io/Logging_0980/klagomålsmail/A 45248-2024 FSC-klagomål mail.docx", "A 45248-2024")</f>
        <v/>
      </c>
      <c r="X59">
        <f>HYPERLINK("https://klasma.github.io/Logging_0980/tillsyn/A 45248-2024 tillsynsbegäran.docx", "A 45248-2024")</f>
        <v/>
      </c>
      <c r="Y59">
        <f>HYPERLINK("https://klasma.github.io/Logging_0980/tillsynsmail/A 45248-2024 tillsynsbegäran mail.docx", "A 45248-2024")</f>
        <v/>
      </c>
    </row>
    <row r="60" ht="15" customHeight="1">
      <c r="A60" t="inlineStr">
        <is>
          <t>A 65819-2020</t>
        </is>
      </c>
      <c r="B60" s="1" t="n">
        <v>44174</v>
      </c>
      <c r="C60" s="1" t="n">
        <v>45915</v>
      </c>
      <c r="D60" t="inlineStr">
        <is>
          <t>GOTLANDS LÄN</t>
        </is>
      </c>
      <c r="E60" t="inlineStr">
        <is>
          <t>GOTLAND</t>
        </is>
      </c>
      <c r="G60" t="n">
        <v>4.3</v>
      </c>
      <c r="H60" t="n">
        <v>1</v>
      </c>
      <c r="I60" t="n">
        <v>3</v>
      </c>
      <c r="J60" t="n">
        <v>1</v>
      </c>
      <c r="K60" t="n">
        <v>2</v>
      </c>
      <c r="L60" t="n">
        <v>0</v>
      </c>
      <c r="M60" t="n">
        <v>0</v>
      </c>
      <c r="N60" t="n">
        <v>0</v>
      </c>
      <c r="O60" t="n">
        <v>3</v>
      </c>
      <c r="P60" t="n">
        <v>2</v>
      </c>
      <c r="Q60" t="n">
        <v>6</v>
      </c>
      <c r="R60" s="2" t="inlineStr">
        <is>
          <t>Tallvaxskivling
Vit taggsvamp
Skugglosta
Blå slemspindling
Kattfotslav
Nästrot</t>
        </is>
      </c>
      <c r="S60">
        <f>HYPERLINK("https://klasma.github.io/Logging_0980/artfynd/A 65819-2020 artfynd.xlsx", "A 65819-2020")</f>
        <v/>
      </c>
      <c r="T60">
        <f>HYPERLINK("https://klasma.github.io/Logging_0980/kartor/A 65819-2020 karta.png", "A 65819-2020")</f>
        <v/>
      </c>
      <c r="V60">
        <f>HYPERLINK("https://klasma.github.io/Logging_0980/klagomål/A 65819-2020 FSC-klagomål.docx", "A 65819-2020")</f>
        <v/>
      </c>
      <c r="W60">
        <f>HYPERLINK("https://klasma.github.io/Logging_0980/klagomålsmail/A 65819-2020 FSC-klagomål mail.docx", "A 65819-2020")</f>
        <v/>
      </c>
      <c r="X60">
        <f>HYPERLINK("https://klasma.github.io/Logging_0980/tillsyn/A 65819-2020 tillsynsbegäran.docx", "A 65819-2020")</f>
        <v/>
      </c>
      <c r="Y60">
        <f>HYPERLINK("https://klasma.github.io/Logging_0980/tillsynsmail/A 65819-2020 tillsynsbegäran mail.docx", "A 65819-2020")</f>
        <v/>
      </c>
    </row>
    <row r="61" ht="15" customHeight="1">
      <c r="A61" t="inlineStr">
        <is>
          <t>A 7038-2023</t>
        </is>
      </c>
      <c r="B61" s="1" t="n">
        <v>44968</v>
      </c>
      <c r="C61" s="1" t="n">
        <v>45915</v>
      </c>
      <c r="D61" t="inlineStr">
        <is>
          <t>GOTLANDS LÄN</t>
        </is>
      </c>
      <c r="E61" t="inlineStr">
        <is>
          <t>GOTLAND</t>
        </is>
      </c>
      <c r="G61" t="n">
        <v>5.2</v>
      </c>
      <c r="H61" t="n">
        <v>1</v>
      </c>
      <c r="I61" t="n">
        <v>1</v>
      </c>
      <c r="J61" t="n">
        <v>1</v>
      </c>
      <c r="K61" t="n">
        <v>0</v>
      </c>
      <c r="L61" t="n">
        <v>2</v>
      </c>
      <c r="M61" t="n">
        <v>0</v>
      </c>
      <c r="N61" t="n">
        <v>0</v>
      </c>
      <c r="O61" t="n">
        <v>5</v>
      </c>
      <c r="P61" t="n">
        <v>2</v>
      </c>
      <c r="Q61" t="n">
        <v>6</v>
      </c>
      <c r="R61" s="2" t="inlineStr">
        <is>
          <t>Liten ädellav
Ädellav
Dårgräsfjäril
Blemlavsklotter
Frostig asplav
Havstulpanlav</t>
        </is>
      </c>
      <c r="S61">
        <f>HYPERLINK("https://klasma.github.io/Logging_0980/artfynd/A 7038-2023 artfynd.xlsx", "A 7038-2023")</f>
        <v/>
      </c>
      <c r="T61">
        <f>HYPERLINK("https://klasma.github.io/Logging_0980/kartor/A 7038-2023 karta.png", "A 7038-2023")</f>
        <v/>
      </c>
      <c r="V61">
        <f>HYPERLINK("https://klasma.github.io/Logging_0980/klagomål/A 7038-2023 FSC-klagomål.docx", "A 7038-2023")</f>
        <v/>
      </c>
      <c r="W61">
        <f>HYPERLINK("https://klasma.github.io/Logging_0980/klagomålsmail/A 7038-2023 FSC-klagomål mail.docx", "A 7038-2023")</f>
        <v/>
      </c>
      <c r="X61">
        <f>HYPERLINK("https://klasma.github.io/Logging_0980/tillsyn/A 7038-2023 tillsynsbegäran.docx", "A 7038-2023")</f>
        <v/>
      </c>
      <c r="Y61">
        <f>HYPERLINK("https://klasma.github.io/Logging_0980/tillsynsmail/A 7038-2023 tillsynsbegäran mail.docx", "A 7038-2023")</f>
        <v/>
      </c>
    </row>
    <row r="62" ht="15" customHeight="1">
      <c r="A62" t="inlineStr">
        <is>
          <t>A 54527-2023</t>
        </is>
      </c>
      <c r="B62" s="1" t="n">
        <v>45233</v>
      </c>
      <c r="C62" s="1" t="n">
        <v>45915</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45915</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16823-2024</t>
        </is>
      </c>
      <c r="B64" s="1" t="n">
        <v>45411</v>
      </c>
      <c r="C64" s="1" t="n">
        <v>45915</v>
      </c>
      <c r="D64" t="inlineStr">
        <is>
          <t>GOTLANDS LÄN</t>
        </is>
      </c>
      <c r="E64" t="inlineStr">
        <is>
          <t>GOTLAND</t>
        </is>
      </c>
      <c r="G64" t="n">
        <v>25.4</v>
      </c>
      <c r="H64" t="n">
        <v>5</v>
      </c>
      <c r="I64" t="n">
        <v>1</v>
      </c>
      <c r="J64" t="n">
        <v>2</v>
      </c>
      <c r="K64" t="n">
        <v>0</v>
      </c>
      <c r="L64" t="n">
        <v>0</v>
      </c>
      <c r="M64" t="n">
        <v>0</v>
      </c>
      <c r="N64" t="n">
        <v>0</v>
      </c>
      <c r="O64" t="n">
        <v>2</v>
      </c>
      <c r="P64" t="n">
        <v>0</v>
      </c>
      <c r="Q64" t="n">
        <v>6</v>
      </c>
      <c r="R64" s="2" t="inlineStr">
        <is>
          <t>Gulsparv
Jordtistel
Flugblomster
Brudsporre
Johannesnycklar
Sankt pers nycklar</t>
        </is>
      </c>
      <c r="S64">
        <f>HYPERLINK("https://klasma.github.io/Logging_0980/artfynd/A 16823-2024 artfynd.xlsx", "A 16823-2024")</f>
        <v/>
      </c>
      <c r="T64">
        <f>HYPERLINK("https://klasma.github.io/Logging_0980/kartor/A 16823-2024 karta.png", "A 16823-2024")</f>
        <v/>
      </c>
      <c r="V64">
        <f>HYPERLINK("https://klasma.github.io/Logging_0980/klagomål/A 16823-2024 FSC-klagomål.docx", "A 16823-2024")</f>
        <v/>
      </c>
      <c r="W64">
        <f>HYPERLINK("https://klasma.github.io/Logging_0980/klagomålsmail/A 16823-2024 FSC-klagomål mail.docx", "A 16823-2024")</f>
        <v/>
      </c>
      <c r="X64">
        <f>HYPERLINK("https://klasma.github.io/Logging_0980/tillsyn/A 16823-2024 tillsynsbegäran.docx", "A 16823-2024")</f>
        <v/>
      </c>
      <c r="Y64">
        <f>HYPERLINK("https://klasma.github.io/Logging_0980/tillsynsmail/A 16823-2024 tillsynsbegäran mail.docx", "A 16823-2024")</f>
        <v/>
      </c>
      <c r="Z64">
        <f>HYPERLINK("https://klasma.github.io/Logging_0980/fåglar/A 16823-2024 prioriterade fågelarter.docx", "A 16823-2024")</f>
        <v/>
      </c>
    </row>
    <row r="65" ht="15" customHeight="1">
      <c r="A65" t="inlineStr">
        <is>
          <t>A 66091-2021</t>
        </is>
      </c>
      <c r="B65" s="1" t="n">
        <v>44517</v>
      </c>
      <c r="C65" s="1" t="n">
        <v>45915</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39425-2023</t>
        </is>
      </c>
      <c r="B66" s="1" t="n">
        <v>45166</v>
      </c>
      <c r="C66" s="1" t="n">
        <v>45915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45915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16375-2025</t>
        </is>
      </c>
      <c r="B68" s="1" t="n">
        <v>45751.41064814815</v>
      </c>
      <c r="C68" s="1" t="n">
        <v>45915</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42936-2024</t>
        </is>
      </c>
      <c r="B69" s="1" t="n">
        <v>45567</v>
      </c>
      <c r="C69" s="1" t="n">
        <v>45915</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44944-2022</t>
        </is>
      </c>
      <c r="B70" s="1" t="n">
        <v>44841</v>
      </c>
      <c r="C70" s="1" t="n">
        <v>45915</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45915</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2213-2023</t>
        </is>
      </c>
      <c r="B72" s="1" t="n">
        <v>44942</v>
      </c>
      <c r="C72" s="1" t="n">
        <v>45915</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45915</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29331-2021</t>
        </is>
      </c>
      <c r="B74" s="1" t="n">
        <v>44361</v>
      </c>
      <c r="C74" s="1" t="n">
        <v>45915</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44933-2022</t>
        </is>
      </c>
      <c r="B75" s="1" t="n">
        <v>44841</v>
      </c>
      <c r="C75" s="1" t="n">
        <v>45915</v>
      </c>
      <c r="D75" t="inlineStr">
        <is>
          <t>GOTLANDS LÄN</t>
        </is>
      </c>
      <c r="E75" t="inlineStr">
        <is>
          <t>GOTLAND</t>
        </is>
      </c>
      <c r="G75" t="n">
        <v>4.5</v>
      </c>
      <c r="H75" t="n">
        <v>1</v>
      </c>
      <c r="I75" t="n">
        <v>2</v>
      </c>
      <c r="J75" t="n">
        <v>2</v>
      </c>
      <c r="K75" t="n">
        <v>0</v>
      </c>
      <c r="L75" t="n">
        <v>0</v>
      </c>
      <c r="M75" t="n">
        <v>0</v>
      </c>
      <c r="N75" t="n">
        <v>0</v>
      </c>
      <c r="O75" t="n">
        <v>2</v>
      </c>
      <c r="P75" t="n">
        <v>0</v>
      </c>
      <c r="Q75" t="n">
        <v>4</v>
      </c>
      <c r="R75" s="2" t="inlineStr">
        <is>
          <t>Ekvaxskivling
Odörspindling
Skarp dropptaggsvamp
Skogsknipprot</t>
        </is>
      </c>
      <c r="S75">
        <f>HYPERLINK("https://klasma.github.io/Logging_0980/artfynd/A 44933-2022 artfynd.xlsx", "A 44933-2022")</f>
        <v/>
      </c>
      <c r="T75">
        <f>HYPERLINK("https://klasma.github.io/Logging_0980/kartor/A 44933-2022 karta.png", "A 44933-2022")</f>
        <v/>
      </c>
      <c r="V75">
        <f>HYPERLINK("https://klasma.github.io/Logging_0980/klagomål/A 44933-2022 FSC-klagomål.docx", "A 44933-2022")</f>
        <v/>
      </c>
      <c r="W75">
        <f>HYPERLINK("https://klasma.github.io/Logging_0980/klagomålsmail/A 44933-2022 FSC-klagomål mail.docx", "A 44933-2022")</f>
        <v/>
      </c>
      <c r="X75">
        <f>HYPERLINK("https://klasma.github.io/Logging_0980/tillsyn/A 44933-2022 tillsynsbegäran.docx", "A 44933-2022")</f>
        <v/>
      </c>
      <c r="Y75">
        <f>HYPERLINK("https://klasma.github.io/Logging_0980/tillsynsmail/A 44933-2022 tillsynsbegäran mail.docx", "A 44933-2022")</f>
        <v/>
      </c>
    </row>
    <row r="76" ht="15" customHeight="1">
      <c r="A76" t="inlineStr">
        <is>
          <t>A 54523-2023</t>
        </is>
      </c>
      <c r="B76" s="1" t="n">
        <v>45233</v>
      </c>
      <c r="C76" s="1" t="n">
        <v>45915</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6159-2023</t>
        </is>
      </c>
      <c r="B77" s="1" t="n">
        <v>44964</v>
      </c>
      <c r="C77" s="1" t="n">
        <v>45915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2485-2025</t>
        </is>
      </c>
      <c r="B78" s="1" t="n">
        <v>45673</v>
      </c>
      <c r="C78" s="1" t="n">
        <v>45915</v>
      </c>
      <c r="D78" t="inlineStr">
        <is>
          <t>GOTLANDS LÄN</t>
        </is>
      </c>
      <c r="E78" t="inlineStr">
        <is>
          <t>GOTLAND</t>
        </is>
      </c>
      <c r="G78" t="n">
        <v>5</v>
      </c>
      <c r="H78" t="n">
        <v>2</v>
      </c>
      <c r="I78" t="n">
        <v>2</v>
      </c>
      <c r="J78" t="n">
        <v>0</v>
      </c>
      <c r="K78" t="n">
        <v>2</v>
      </c>
      <c r="L78" t="n">
        <v>0</v>
      </c>
      <c r="M78" t="n">
        <v>0</v>
      </c>
      <c r="N78" t="n">
        <v>0</v>
      </c>
      <c r="O78" t="n">
        <v>2</v>
      </c>
      <c r="P78" t="n">
        <v>2</v>
      </c>
      <c r="Q78" t="n">
        <v>4</v>
      </c>
      <c r="R78" s="2" t="inlineStr">
        <is>
          <t>Gotlandsmåra
Skogskorn
Nästrot
Skogsknipprot</t>
        </is>
      </c>
      <c r="S78">
        <f>HYPERLINK("https://klasma.github.io/Logging_0980/artfynd/A 2485-2025 artfynd.xlsx", "A 2485-2025")</f>
        <v/>
      </c>
      <c r="T78">
        <f>HYPERLINK("https://klasma.github.io/Logging_0980/kartor/A 2485-2025 karta.png", "A 2485-2025")</f>
        <v/>
      </c>
      <c r="V78">
        <f>HYPERLINK("https://klasma.github.io/Logging_0980/klagomål/A 2485-2025 FSC-klagomål.docx", "A 2485-2025")</f>
        <v/>
      </c>
      <c r="W78">
        <f>HYPERLINK("https://klasma.github.io/Logging_0980/klagomålsmail/A 2485-2025 FSC-klagomål mail.docx", "A 2485-2025")</f>
        <v/>
      </c>
      <c r="X78">
        <f>HYPERLINK("https://klasma.github.io/Logging_0980/tillsyn/A 2485-2025 tillsynsbegäran.docx", "A 2485-2025")</f>
        <v/>
      </c>
      <c r="Y78">
        <f>HYPERLINK("https://klasma.github.io/Logging_0980/tillsynsmail/A 2485-2025 tillsynsbegäran mail.docx", "A 2485-2025")</f>
        <v/>
      </c>
    </row>
    <row r="79" ht="15" customHeight="1">
      <c r="A79" t="inlineStr">
        <is>
          <t>A 43197-2023</t>
        </is>
      </c>
      <c r="B79" s="1" t="n">
        <v>45183</v>
      </c>
      <c r="C79" s="1" t="n">
        <v>45915</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1971-2023</t>
        </is>
      </c>
      <c r="B80" s="1" t="n">
        <v>44939</v>
      </c>
      <c r="C80" s="1" t="n">
        <v>45915</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64378-2020</t>
        </is>
      </c>
      <c r="B81" s="1" t="n">
        <v>44168</v>
      </c>
      <c r="C81" s="1" t="n">
        <v>45915</v>
      </c>
      <c r="D81" t="inlineStr">
        <is>
          <t>GOTLANDS LÄN</t>
        </is>
      </c>
      <c r="E81" t="inlineStr">
        <is>
          <t>GOTLAND</t>
        </is>
      </c>
      <c r="G81" t="n">
        <v>2.1</v>
      </c>
      <c r="H81" t="n">
        <v>0</v>
      </c>
      <c r="I81" t="n">
        <v>1</v>
      </c>
      <c r="J81" t="n">
        <v>0</v>
      </c>
      <c r="K81" t="n">
        <v>2</v>
      </c>
      <c r="L81" t="n">
        <v>1</v>
      </c>
      <c r="M81" t="n">
        <v>0</v>
      </c>
      <c r="N81" t="n">
        <v>0</v>
      </c>
      <c r="O81" t="n">
        <v>3</v>
      </c>
      <c r="P81" t="n">
        <v>3</v>
      </c>
      <c r="Q81" t="n">
        <v>4</v>
      </c>
      <c r="R81" s="2" t="inlineStr">
        <is>
          <t>Sienamusseron
Bitter taggsvamp
Duvspindling
Fjällig taggsvamp s.str.</t>
        </is>
      </c>
      <c r="S81">
        <f>HYPERLINK("https://klasma.github.io/Logging_0980/artfynd/A 64378-2020 artfynd.xlsx", "A 64378-2020")</f>
        <v/>
      </c>
      <c r="T81">
        <f>HYPERLINK("https://klasma.github.io/Logging_0980/kartor/A 64378-2020 karta.png", "A 64378-2020")</f>
        <v/>
      </c>
      <c r="V81">
        <f>HYPERLINK("https://klasma.github.io/Logging_0980/klagomål/A 64378-2020 FSC-klagomål.docx", "A 64378-2020")</f>
        <v/>
      </c>
      <c r="W81">
        <f>HYPERLINK("https://klasma.github.io/Logging_0980/klagomålsmail/A 64378-2020 FSC-klagomål mail.docx", "A 64378-2020")</f>
        <v/>
      </c>
      <c r="X81">
        <f>HYPERLINK("https://klasma.github.io/Logging_0980/tillsyn/A 64378-2020 tillsynsbegäran.docx", "A 64378-2020")</f>
        <v/>
      </c>
      <c r="Y81">
        <f>HYPERLINK("https://klasma.github.io/Logging_0980/tillsynsmail/A 64378-2020 tillsynsbegäran mail.docx", "A 64378-2020")</f>
        <v/>
      </c>
    </row>
    <row r="82" ht="15" customHeight="1">
      <c r="A82" t="inlineStr">
        <is>
          <t>A 5904-2024</t>
        </is>
      </c>
      <c r="B82" s="1" t="n">
        <v>45335</v>
      </c>
      <c r="C82" s="1" t="n">
        <v>45915</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20833-2024</t>
        </is>
      </c>
      <c r="B83" s="1" t="n">
        <v>45439</v>
      </c>
      <c r="C83" s="1" t="n">
        <v>45915</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40099-2025</t>
        </is>
      </c>
      <c r="B84" s="1" t="n">
        <v>45894.48462962963</v>
      </c>
      <c r="C84" s="1" t="n">
        <v>45915</v>
      </c>
      <c r="D84" t="inlineStr">
        <is>
          <t>GOTLANDS LÄN</t>
        </is>
      </c>
      <c r="E84" t="inlineStr">
        <is>
          <t>GOTLAND</t>
        </is>
      </c>
      <c r="G84" t="n">
        <v>6.5</v>
      </c>
      <c r="H84" t="n">
        <v>0</v>
      </c>
      <c r="I84" t="n">
        <v>3</v>
      </c>
      <c r="J84" t="n">
        <v>0</v>
      </c>
      <c r="K84" t="n">
        <v>1</v>
      </c>
      <c r="L84" t="n">
        <v>0</v>
      </c>
      <c r="M84" t="n">
        <v>0</v>
      </c>
      <c r="N84" t="n">
        <v>0</v>
      </c>
      <c r="O84" t="n">
        <v>1</v>
      </c>
      <c r="P84" t="n">
        <v>1</v>
      </c>
      <c r="Q84" t="n">
        <v>4</v>
      </c>
      <c r="R84" s="2" t="inlineStr">
        <is>
          <t>Mörkfjällig olivspindling
Fjällig taggsvamp s.str.
Olivspindling
Svavelriska</t>
        </is>
      </c>
      <c r="S84">
        <f>HYPERLINK("https://klasma.github.io/Logging_0980/artfynd/A 40099-2025 artfynd.xlsx", "A 40099-2025")</f>
        <v/>
      </c>
      <c r="T84">
        <f>HYPERLINK("https://klasma.github.io/Logging_0980/kartor/A 40099-2025 karta.png", "A 40099-2025")</f>
        <v/>
      </c>
      <c r="V84">
        <f>HYPERLINK("https://klasma.github.io/Logging_0980/klagomål/A 40099-2025 FSC-klagomål.docx", "A 40099-2025")</f>
        <v/>
      </c>
      <c r="W84">
        <f>HYPERLINK("https://klasma.github.io/Logging_0980/klagomålsmail/A 40099-2025 FSC-klagomål mail.docx", "A 40099-2025")</f>
        <v/>
      </c>
      <c r="X84">
        <f>HYPERLINK("https://klasma.github.io/Logging_0980/tillsyn/A 40099-2025 tillsynsbegäran.docx", "A 40099-2025")</f>
        <v/>
      </c>
      <c r="Y84">
        <f>HYPERLINK("https://klasma.github.io/Logging_0980/tillsynsmail/A 40099-2025 tillsynsbegäran mail.docx", "A 40099-2025")</f>
        <v/>
      </c>
    </row>
    <row r="85" ht="15" customHeight="1">
      <c r="A85" t="inlineStr">
        <is>
          <t>A 8265-2023</t>
        </is>
      </c>
      <c r="B85" s="1" t="n">
        <v>44974</v>
      </c>
      <c r="C85" s="1" t="n">
        <v>45915</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186-2023</t>
        </is>
      </c>
      <c r="B86" s="1" t="n">
        <v>44928</v>
      </c>
      <c r="C86" s="1" t="n">
        <v>45915</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56717-2024</t>
        </is>
      </c>
      <c r="B87" s="1" t="n">
        <v>45628.3166550926</v>
      </c>
      <c r="C87" s="1" t="n">
        <v>45915</v>
      </c>
      <c r="D87" t="inlineStr">
        <is>
          <t>GOTLANDS LÄN</t>
        </is>
      </c>
      <c r="E87" t="inlineStr">
        <is>
          <t>GOTLAND</t>
        </is>
      </c>
      <c r="G87" t="n">
        <v>9.699999999999999</v>
      </c>
      <c r="H87" t="n">
        <v>0</v>
      </c>
      <c r="I87" t="n">
        <v>2</v>
      </c>
      <c r="J87" t="n">
        <v>2</v>
      </c>
      <c r="K87" t="n">
        <v>0</v>
      </c>
      <c r="L87" t="n">
        <v>0</v>
      </c>
      <c r="M87" t="n">
        <v>0</v>
      </c>
      <c r="N87" t="n">
        <v>0</v>
      </c>
      <c r="O87" t="n">
        <v>2</v>
      </c>
      <c r="P87" t="n">
        <v>0</v>
      </c>
      <c r="Q87" t="n">
        <v>4</v>
      </c>
      <c r="R87" s="2" t="inlineStr">
        <is>
          <t>Ekvaxskivling
Odörspindling
Fjällig taggsvamp s.str.
Kattfotslav</t>
        </is>
      </c>
      <c r="S87">
        <f>HYPERLINK("https://klasma.github.io/Logging_0980/artfynd/A 56717-2024 artfynd.xlsx", "A 56717-2024")</f>
        <v/>
      </c>
      <c r="T87">
        <f>HYPERLINK("https://klasma.github.io/Logging_0980/kartor/A 56717-2024 karta.png", "A 56717-2024")</f>
        <v/>
      </c>
      <c r="V87">
        <f>HYPERLINK("https://klasma.github.io/Logging_0980/klagomål/A 56717-2024 FSC-klagomål.docx", "A 56717-2024")</f>
        <v/>
      </c>
      <c r="W87">
        <f>HYPERLINK("https://klasma.github.io/Logging_0980/klagomålsmail/A 56717-2024 FSC-klagomål mail.docx", "A 56717-2024")</f>
        <v/>
      </c>
      <c r="X87">
        <f>HYPERLINK("https://klasma.github.io/Logging_0980/tillsyn/A 56717-2024 tillsynsbegäran.docx", "A 56717-2024")</f>
        <v/>
      </c>
      <c r="Y87">
        <f>HYPERLINK("https://klasma.github.io/Logging_0980/tillsynsmail/A 56717-2024 tillsynsbegäran mail.docx", "A 56717-2024")</f>
        <v/>
      </c>
    </row>
    <row r="88" ht="15" customHeight="1">
      <c r="A88" t="inlineStr">
        <is>
          <t>A 55029-2020</t>
        </is>
      </c>
      <c r="B88" s="1" t="n">
        <v>44130</v>
      </c>
      <c r="C88" s="1" t="n">
        <v>45915</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45915</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45915</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45915</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45915</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45915</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48126-2022</t>
        </is>
      </c>
      <c r="B94" s="1" t="n">
        <v>44857</v>
      </c>
      <c r="C94" s="1" t="n">
        <v>45915</v>
      </c>
      <c r="D94" t="inlineStr">
        <is>
          <t>GOTLANDS LÄN</t>
        </is>
      </c>
      <c r="E94" t="inlineStr">
        <is>
          <t>GOTLAND</t>
        </is>
      </c>
      <c r="G94" t="n">
        <v>9.800000000000001</v>
      </c>
      <c r="H94" t="n">
        <v>1</v>
      </c>
      <c r="I94" t="n">
        <v>0</v>
      </c>
      <c r="J94" t="n">
        <v>3</v>
      </c>
      <c r="K94" t="n">
        <v>0</v>
      </c>
      <c r="L94" t="n">
        <v>0</v>
      </c>
      <c r="M94" t="n">
        <v>0</v>
      </c>
      <c r="N94" t="n">
        <v>0</v>
      </c>
      <c r="O94" t="n">
        <v>3</v>
      </c>
      <c r="P94" t="n">
        <v>0</v>
      </c>
      <c r="Q94" t="n">
        <v>3</v>
      </c>
      <c r="R94" s="2" t="inlineStr">
        <is>
          <t>Jordtistel
Spillkråka
Svinrot</t>
        </is>
      </c>
      <c r="S94">
        <f>HYPERLINK("https://klasma.github.io/Logging_0980/artfynd/A 48126-2022 artfynd.xlsx", "A 48126-2022")</f>
        <v/>
      </c>
      <c r="T94">
        <f>HYPERLINK("https://klasma.github.io/Logging_0980/kartor/A 48126-2022 karta.png", "A 48126-2022")</f>
        <v/>
      </c>
      <c r="V94">
        <f>HYPERLINK("https://klasma.github.io/Logging_0980/klagomål/A 48126-2022 FSC-klagomål.docx", "A 48126-2022")</f>
        <v/>
      </c>
      <c r="W94">
        <f>HYPERLINK("https://klasma.github.io/Logging_0980/klagomålsmail/A 48126-2022 FSC-klagomål mail.docx", "A 48126-2022")</f>
        <v/>
      </c>
      <c r="X94">
        <f>HYPERLINK("https://klasma.github.io/Logging_0980/tillsyn/A 48126-2022 tillsynsbegäran.docx", "A 48126-2022")</f>
        <v/>
      </c>
      <c r="Y94">
        <f>HYPERLINK("https://klasma.github.io/Logging_0980/tillsynsmail/A 48126-2022 tillsynsbegäran mail.docx", "A 48126-2022")</f>
        <v/>
      </c>
      <c r="Z94">
        <f>HYPERLINK("https://klasma.github.io/Logging_0980/fåglar/A 48126-2022 prioriterade fågelarter.docx", "A 48126-2022")</f>
        <v/>
      </c>
    </row>
    <row r="95" ht="15" customHeight="1">
      <c r="A95" t="inlineStr">
        <is>
          <t>A 32718-2021</t>
        </is>
      </c>
      <c r="B95" s="1" t="n">
        <v>44375</v>
      </c>
      <c r="C95" s="1" t="n">
        <v>45915</v>
      </c>
      <c r="D95" t="inlineStr">
        <is>
          <t>GOTLANDS LÄN</t>
        </is>
      </c>
      <c r="E95" t="inlineStr">
        <is>
          <t>GOTLAND</t>
        </is>
      </c>
      <c r="G95" t="n">
        <v>2.1</v>
      </c>
      <c r="H95" t="n">
        <v>0</v>
      </c>
      <c r="I95" t="n">
        <v>1</v>
      </c>
      <c r="J95" t="n">
        <v>1</v>
      </c>
      <c r="K95" t="n">
        <v>1</v>
      </c>
      <c r="L95" t="n">
        <v>0</v>
      </c>
      <c r="M95" t="n">
        <v>0</v>
      </c>
      <c r="N95" t="n">
        <v>0</v>
      </c>
      <c r="O95" t="n">
        <v>2</v>
      </c>
      <c r="P95" t="n">
        <v>1</v>
      </c>
      <c r="Q95" t="n">
        <v>3</v>
      </c>
      <c r="R95" s="2" t="inlineStr">
        <is>
          <t>Skogskorn
Skugglosta
Strävlosta</t>
        </is>
      </c>
      <c r="S95">
        <f>HYPERLINK("https://klasma.github.io/Logging_0980/artfynd/A 32718-2021 artfynd.xlsx", "A 32718-2021")</f>
        <v/>
      </c>
      <c r="T95">
        <f>HYPERLINK("https://klasma.github.io/Logging_0980/kartor/A 32718-2021 karta.png", "A 32718-2021")</f>
        <v/>
      </c>
      <c r="V95">
        <f>HYPERLINK("https://klasma.github.io/Logging_0980/klagomål/A 32718-2021 FSC-klagomål.docx", "A 32718-2021")</f>
        <v/>
      </c>
      <c r="W95">
        <f>HYPERLINK("https://klasma.github.io/Logging_0980/klagomålsmail/A 32718-2021 FSC-klagomål mail.docx", "A 32718-2021")</f>
        <v/>
      </c>
      <c r="X95">
        <f>HYPERLINK("https://klasma.github.io/Logging_0980/tillsyn/A 32718-2021 tillsynsbegäran.docx", "A 32718-2021")</f>
        <v/>
      </c>
      <c r="Y95">
        <f>HYPERLINK("https://klasma.github.io/Logging_0980/tillsynsmail/A 32718-2021 tillsynsbegäran mail.docx", "A 32718-2021")</f>
        <v/>
      </c>
    </row>
    <row r="96" ht="15" customHeight="1">
      <c r="A96" t="inlineStr">
        <is>
          <t>A 17982-2023</t>
        </is>
      </c>
      <c r="B96" s="1" t="n">
        <v>45040</v>
      </c>
      <c r="C96" s="1" t="n">
        <v>45915</v>
      </c>
      <c r="D96" t="inlineStr">
        <is>
          <t>GOTLANDS LÄN</t>
        </is>
      </c>
      <c r="E96" t="inlineStr">
        <is>
          <t>GOTLAND</t>
        </is>
      </c>
      <c r="G96" t="n">
        <v>2.2</v>
      </c>
      <c r="H96" t="n">
        <v>0</v>
      </c>
      <c r="I96" t="n">
        <v>0</v>
      </c>
      <c r="J96" t="n">
        <v>2</v>
      </c>
      <c r="K96" t="n">
        <v>0</v>
      </c>
      <c r="L96" t="n">
        <v>0</v>
      </c>
      <c r="M96" t="n">
        <v>1</v>
      </c>
      <c r="N96" t="n">
        <v>0</v>
      </c>
      <c r="O96" t="n">
        <v>3</v>
      </c>
      <c r="P96" t="n">
        <v>1</v>
      </c>
      <c r="Q96" t="n">
        <v>3</v>
      </c>
      <c r="R96" s="2" t="inlineStr">
        <is>
          <t>Lundalm
Krusfrö
Ängsskära</t>
        </is>
      </c>
      <c r="S96">
        <f>HYPERLINK("https://klasma.github.io/Logging_0980/artfynd/A 17982-2023 artfynd.xlsx", "A 17982-2023")</f>
        <v/>
      </c>
      <c r="T96">
        <f>HYPERLINK("https://klasma.github.io/Logging_0980/kartor/A 17982-2023 karta.png", "A 17982-2023")</f>
        <v/>
      </c>
      <c r="V96">
        <f>HYPERLINK("https://klasma.github.io/Logging_0980/klagomål/A 17982-2023 FSC-klagomål.docx", "A 17982-2023")</f>
        <v/>
      </c>
      <c r="W96">
        <f>HYPERLINK("https://klasma.github.io/Logging_0980/klagomålsmail/A 17982-2023 FSC-klagomål mail.docx", "A 17982-2023")</f>
        <v/>
      </c>
      <c r="X96">
        <f>HYPERLINK("https://klasma.github.io/Logging_0980/tillsyn/A 17982-2023 tillsynsbegäran.docx", "A 17982-2023")</f>
        <v/>
      </c>
      <c r="Y96">
        <f>HYPERLINK("https://klasma.github.io/Logging_0980/tillsynsmail/A 17982-2023 tillsynsbegäran mail.docx", "A 17982-2023")</f>
        <v/>
      </c>
    </row>
    <row r="97" ht="15" customHeight="1">
      <c r="A97" t="inlineStr">
        <is>
          <t>A 17975-2024</t>
        </is>
      </c>
      <c r="B97" s="1" t="n">
        <v>45419.85546296297</v>
      </c>
      <c r="C97" s="1" t="n">
        <v>45915</v>
      </c>
      <c r="D97" t="inlineStr">
        <is>
          <t>GOTLANDS LÄN</t>
        </is>
      </c>
      <c r="E97" t="inlineStr">
        <is>
          <t>GOTLAND</t>
        </is>
      </c>
      <c r="G97" t="n">
        <v>7.9</v>
      </c>
      <c r="H97" t="n">
        <v>0</v>
      </c>
      <c r="I97" t="n">
        <v>1</v>
      </c>
      <c r="J97" t="n">
        <v>1</v>
      </c>
      <c r="K97" t="n">
        <v>0</v>
      </c>
      <c r="L97" t="n">
        <v>1</v>
      </c>
      <c r="M97" t="n">
        <v>0</v>
      </c>
      <c r="N97" t="n">
        <v>0</v>
      </c>
      <c r="O97" t="n">
        <v>2</v>
      </c>
      <c r="P97" t="n">
        <v>1</v>
      </c>
      <c r="Q97" t="n">
        <v>3</v>
      </c>
      <c r="R97" s="2" t="inlineStr">
        <is>
          <t>Ask
Skugglosta
Strävlosta</t>
        </is>
      </c>
      <c r="S97">
        <f>HYPERLINK("https://klasma.github.io/Logging_0980/artfynd/A 17975-2024 artfynd.xlsx", "A 17975-2024")</f>
        <v/>
      </c>
      <c r="T97">
        <f>HYPERLINK("https://klasma.github.io/Logging_0980/kartor/A 17975-2024 karta.png", "A 17975-2024")</f>
        <v/>
      </c>
      <c r="V97">
        <f>HYPERLINK("https://klasma.github.io/Logging_0980/klagomål/A 17975-2024 FSC-klagomål.docx", "A 17975-2024")</f>
        <v/>
      </c>
      <c r="W97">
        <f>HYPERLINK("https://klasma.github.io/Logging_0980/klagomålsmail/A 17975-2024 FSC-klagomål mail.docx", "A 17975-2024")</f>
        <v/>
      </c>
      <c r="X97">
        <f>HYPERLINK("https://klasma.github.io/Logging_0980/tillsyn/A 17975-2024 tillsynsbegäran.docx", "A 17975-2024")</f>
        <v/>
      </c>
      <c r="Y97">
        <f>HYPERLINK("https://klasma.github.io/Logging_0980/tillsynsmail/A 17975-2024 tillsynsbegäran mail.docx", "A 17975-2024")</f>
        <v/>
      </c>
    </row>
    <row r="98" ht="15" customHeight="1">
      <c r="A98" t="inlineStr">
        <is>
          <t>A 13499-2022</t>
        </is>
      </c>
      <c r="B98" s="1" t="n">
        <v>44647.79203703703</v>
      </c>
      <c r="C98" s="1" t="n">
        <v>45915</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30490-2025</t>
        </is>
      </c>
      <c r="B99" s="1" t="n">
        <v>45830</v>
      </c>
      <c r="C99" s="1" t="n">
        <v>45915</v>
      </c>
      <c r="D99" t="inlineStr">
        <is>
          <t>GOTLANDS LÄN</t>
        </is>
      </c>
      <c r="E99" t="inlineStr">
        <is>
          <t>GOTLAND</t>
        </is>
      </c>
      <c r="G99" t="n">
        <v>7.9</v>
      </c>
      <c r="H99" t="n">
        <v>1</v>
      </c>
      <c r="I99" t="n">
        <v>0</v>
      </c>
      <c r="J99" t="n">
        <v>2</v>
      </c>
      <c r="K99" t="n">
        <v>0</v>
      </c>
      <c r="L99" t="n">
        <v>0</v>
      </c>
      <c r="M99" t="n">
        <v>0</v>
      </c>
      <c r="N99" t="n">
        <v>0</v>
      </c>
      <c r="O99" t="n">
        <v>2</v>
      </c>
      <c r="P99" t="n">
        <v>0</v>
      </c>
      <c r="Q99" t="n">
        <v>3</v>
      </c>
      <c r="R99" s="2" t="inlineStr">
        <is>
          <t>Klasefibbla
Majviva
Nattviol</t>
        </is>
      </c>
      <c r="S99">
        <f>HYPERLINK("https://klasma.github.io/Logging_0980/artfynd/A 30490-2025 artfynd.xlsx", "A 30490-2025")</f>
        <v/>
      </c>
      <c r="T99">
        <f>HYPERLINK("https://klasma.github.io/Logging_0980/kartor/A 30490-2025 karta.png", "A 30490-2025")</f>
        <v/>
      </c>
      <c r="V99">
        <f>HYPERLINK("https://klasma.github.io/Logging_0980/klagomål/A 30490-2025 FSC-klagomål.docx", "A 30490-2025")</f>
        <v/>
      </c>
      <c r="W99">
        <f>HYPERLINK("https://klasma.github.io/Logging_0980/klagomålsmail/A 30490-2025 FSC-klagomål mail.docx", "A 30490-2025")</f>
        <v/>
      </c>
      <c r="X99">
        <f>HYPERLINK("https://klasma.github.io/Logging_0980/tillsyn/A 30490-2025 tillsynsbegäran.docx", "A 30490-2025")</f>
        <v/>
      </c>
      <c r="Y99">
        <f>HYPERLINK("https://klasma.github.io/Logging_0980/tillsynsmail/A 30490-2025 tillsynsbegäran mail.docx", "A 30490-2025")</f>
        <v/>
      </c>
    </row>
    <row r="100" ht="15" customHeight="1">
      <c r="A100" t="inlineStr">
        <is>
          <t>A 12315-2024</t>
        </is>
      </c>
      <c r="B100" s="1" t="n">
        <v>45378.6434837963</v>
      </c>
      <c r="C100" s="1" t="n">
        <v>45915</v>
      </c>
      <c r="D100" t="inlineStr">
        <is>
          <t>GOTLANDS LÄN</t>
        </is>
      </c>
      <c r="E100" t="inlineStr">
        <is>
          <t>GOTLAND</t>
        </is>
      </c>
      <c r="G100" t="n">
        <v>6</v>
      </c>
      <c r="H100" t="n">
        <v>3</v>
      </c>
      <c r="I100" t="n">
        <v>1</v>
      </c>
      <c r="J100" t="n">
        <v>1</v>
      </c>
      <c r="K100" t="n">
        <v>0</v>
      </c>
      <c r="L100" t="n">
        <v>0</v>
      </c>
      <c r="M100" t="n">
        <v>0</v>
      </c>
      <c r="N100" t="n">
        <v>0</v>
      </c>
      <c r="O100" t="n">
        <v>1</v>
      </c>
      <c r="P100" t="n">
        <v>0</v>
      </c>
      <c r="Q100" t="n">
        <v>3</v>
      </c>
      <c r="R100" s="2" t="inlineStr">
        <is>
          <t>Buskskvätta
Tvåblad
Fläcknycklar</t>
        </is>
      </c>
      <c r="S100">
        <f>HYPERLINK("https://klasma.github.io/Logging_0980/artfynd/A 12315-2024 artfynd.xlsx", "A 12315-2024")</f>
        <v/>
      </c>
      <c r="T100">
        <f>HYPERLINK("https://klasma.github.io/Logging_0980/kartor/A 12315-2024 karta.png", "A 12315-2024")</f>
        <v/>
      </c>
      <c r="V100">
        <f>HYPERLINK("https://klasma.github.io/Logging_0980/klagomål/A 12315-2024 FSC-klagomål.docx", "A 12315-2024")</f>
        <v/>
      </c>
      <c r="W100">
        <f>HYPERLINK("https://klasma.github.io/Logging_0980/klagomålsmail/A 12315-2024 FSC-klagomål mail.docx", "A 12315-2024")</f>
        <v/>
      </c>
      <c r="X100">
        <f>HYPERLINK("https://klasma.github.io/Logging_0980/tillsyn/A 12315-2024 tillsynsbegäran.docx", "A 12315-2024")</f>
        <v/>
      </c>
      <c r="Y100">
        <f>HYPERLINK("https://klasma.github.io/Logging_0980/tillsynsmail/A 12315-2024 tillsynsbegäran mail.docx", "A 12315-2024")</f>
        <v/>
      </c>
      <c r="Z100">
        <f>HYPERLINK("https://klasma.github.io/Logging_0980/fåglar/A 12315-2024 prioriterade fågelarter.docx", "A 12315-2024")</f>
        <v/>
      </c>
    </row>
    <row r="101" ht="15" customHeight="1">
      <c r="A101" t="inlineStr">
        <is>
          <t>A 20831-2024</t>
        </is>
      </c>
      <c r="B101" s="1" t="n">
        <v>45439</v>
      </c>
      <c r="C101" s="1" t="n">
        <v>45915</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43013-2022</t>
        </is>
      </c>
      <c r="B102" s="1" t="n">
        <v>44833</v>
      </c>
      <c r="C102" s="1" t="n">
        <v>45915</v>
      </c>
      <c r="D102" t="inlineStr">
        <is>
          <t>GOTLANDS LÄN</t>
        </is>
      </c>
      <c r="E102" t="inlineStr">
        <is>
          <t>GOTLAND</t>
        </is>
      </c>
      <c r="G102" t="n">
        <v>9.300000000000001</v>
      </c>
      <c r="H102" t="n">
        <v>0</v>
      </c>
      <c r="I102" t="n">
        <v>2</v>
      </c>
      <c r="J102" t="n">
        <v>0</v>
      </c>
      <c r="K102" t="n">
        <v>1</v>
      </c>
      <c r="L102" t="n">
        <v>0</v>
      </c>
      <c r="M102" t="n">
        <v>0</v>
      </c>
      <c r="N102" t="n">
        <v>0</v>
      </c>
      <c r="O102" t="n">
        <v>1</v>
      </c>
      <c r="P102" t="n">
        <v>1</v>
      </c>
      <c r="Q102" t="n">
        <v>3</v>
      </c>
      <c r="R102" s="2" t="inlineStr">
        <is>
          <t>Violettfläckig spindling
Anisspindling
Blå slemspindling</t>
        </is>
      </c>
      <c r="S102">
        <f>HYPERLINK("https://klasma.github.io/Logging_0980/artfynd/A 43013-2022 artfynd.xlsx", "A 43013-2022")</f>
        <v/>
      </c>
      <c r="T102">
        <f>HYPERLINK("https://klasma.github.io/Logging_0980/kartor/A 43013-2022 karta.png", "A 43013-2022")</f>
        <v/>
      </c>
      <c r="V102">
        <f>HYPERLINK("https://klasma.github.io/Logging_0980/klagomål/A 43013-2022 FSC-klagomål.docx", "A 43013-2022")</f>
        <v/>
      </c>
      <c r="W102">
        <f>HYPERLINK("https://klasma.github.io/Logging_0980/klagomålsmail/A 43013-2022 FSC-klagomål mail.docx", "A 43013-2022")</f>
        <v/>
      </c>
      <c r="X102">
        <f>HYPERLINK("https://klasma.github.io/Logging_0980/tillsyn/A 43013-2022 tillsynsbegäran.docx", "A 43013-2022")</f>
        <v/>
      </c>
      <c r="Y102">
        <f>HYPERLINK("https://klasma.github.io/Logging_0980/tillsynsmail/A 43013-2022 tillsynsbegäran mail.docx", "A 43013-2022")</f>
        <v/>
      </c>
    </row>
    <row r="103" ht="15" customHeight="1">
      <c r="A103" t="inlineStr">
        <is>
          <t>A 5235-2025</t>
        </is>
      </c>
      <c r="B103" s="1" t="n">
        <v>45692.26797453704</v>
      </c>
      <c r="C103" s="1" t="n">
        <v>45915</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53552-2021</t>
        </is>
      </c>
      <c r="B104" s="1" t="n">
        <v>44468</v>
      </c>
      <c r="C104" s="1" t="n">
        <v>45915</v>
      </c>
      <c r="D104" t="inlineStr">
        <is>
          <t>GOTLANDS LÄN</t>
        </is>
      </c>
      <c r="E104" t="inlineStr">
        <is>
          <t>GOTLAND</t>
        </is>
      </c>
      <c r="G104" t="n">
        <v>6.2</v>
      </c>
      <c r="H104" t="n">
        <v>2</v>
      </c>
      <c r="I104" t="n">
        <v>0</v>
      </c>
      <c r="J104" t="n">
        <v>1</v>
      </c>
      <c r="K104" t="n">
        <v>0</v>
      </c>
      <c r="L104" t="n">
        <v>0</v>
      </c>
      <c r="M104" t="n">
        <v>0</v>
      </c>
      <c r="N104" t="n">
        <v>0</v>
      </c>
      <c r="O104" t="n">
        <v>1</v>
      </c>
      <c r="P104" t="n">
        <v>0</v>
      </c>
      <c r="Q104" t="n">
        <v>3</v>
      </c>
      <c r="R104" s="2" t="inlineStr">
        <is>
          <t>Bredbrämad bastardsvärmare
Grönvit nattviol
Gullviva</t>
        </is>
      </c>
      <c r="S104">
        <f>HYPERLINK("https://klasma.github.io/Logging_0980/artfynd/A 53552-2021 artfynd.xlsx", "A 53552-2021")</f>
        <v/>
      </c>
      <c r="T104">
        <f>HYPERLINK("https://klasma.github.io/Logging_0980/kartor/A 53552-2021 karta.png", "A 53552-2021")</f>
        <v/>
      </c>
      <c r="V104">
        <f>HYPERLINK("https://klasma.github.io/Logging_0980/klagomål/A 53552-2021 FSC-klagomål.docx", "A 53552-2021")</f>
        <v/>
      </c>
      <c r="W104">
        <f>HYPERLINK("https://klasma.github.io/Logging_0980/klagomålsmail/A 53552-2021 FSC-klagomål mail.docx", "A 53552-2021")</f>
        <v/>
      </c>
      <c r="X104">
        <f>HYPERLINK("https://klasma.github.io/Logging_0980/tillsyn/A 53552-2021 tillsynsbegäran.docx", "A 53552-2021")</f>
        <v/>
      </c>
      <c r="Y104">
        <f>HYPERLINK("https://klasma.github.io/Logging_0980/tillsynsmail/A 53552-2021 tillsynsbegäran mail.docx", "A 53552-2021")</f>
        <v/>
      </c>
    </row>
    <row r="105" ht="15" customHeight="1">
      <c r="A105" t="inlineStr">
        <is>
          <t>A 62326-2020</t>
        </is>
      </c>
      <c r="B105" s="1" t="n">
        <v>44160</v>
      </c>
      <c r="C105" s="1" t="n">
        <v>45915</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29870-2021</t>
        </is>
      </c>
      <c r="B106" s="1" t="n">
        <v>44362</v>
      </c>
      <c r="C106" s="1" t="n">
        <v>45915</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45915</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45915</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45915</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45915</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60665-2021</t>
        </is>
      </c>
      <c r="B111" s="1" t="n">
        <v>44496</v>
      </c>
      <c r="C111" s="1" t="n">
        <v>45915</v>
      </c>
      <c r="D111" t="inlineStr">
        <is>
          <t>GOTLANDS LÄN</t>
        </is>
      </c>
      <c r="E111" t="inlineStr">
        <is>
          <t>GOTLAND</t>
        </is>
      </c>
      <c r="G111" t="n">
        <v>1.6</v>
      </c>
      <c r="H111" t="n">
        <v>0</v>
      </c>
      <c r="I111" t="n">
        <v>0</v>
      </c>
      <c r="J111" t="n">
        <v>0</v>
      </c>
      <c r="K111" t="n">
        <v>1</v>
      </c>
      <c r="L111" t="n">
        <v>1</v>
      </c>
      <c r="M111" t="n">
        <v>0</v>
      </c>
      <c r="N111" t="n">
        <v>0</v>
      </c>
      <c r="O111" t="n">
        <v>2</v>
      </c>
      <c r="P111" t="n">
        <v>2</v>
      </c>
      <c r="Q111" t="n">
        <v>2</v>
      </c>
      <c r="R111" s="2" t="inlineStr">
        <is>
          <t>Ädellav
Skogskorn</t>
        </is>
      </c>
      <c r="S111">
        <f>HYPERLINK("https://klasma.github.io/Logging_0980/artfynd/A 60665-2021 artfynd.xlsx", "A 60665-2021")</f>
        <v/>
      </c>
      <c r="T111">
        <f>HYPERLINK("https://klasma.github.io/Logging_0980/kartor/A 60665-2021 karta.png", "A 60665-2021")</f>
        <v/>
      </c>
      <c r="V111">
        <f>HYPERLINK("https://klasma.github.io/Logging_0980/klagomål/A 60665-2021 FSC-klagomål.docx", "A 60665-2021")</f>
        <v/>
      </c>
      <c r="W111">
        <f>HYPERLINK("https://klasma.github.io/Logging_0980/klagomålsmail/A 60665-2021 FSC-klagomål mail.docx", "A 60665-2021")</f>
        <v/>
      </c>
      <c r="X111">
        <f>HYPERLINK("https://klasma.github.io/Logging_0980/tillsyn/A 60665-2021 tillsynsbegäran.docx", "A 60665-2021")</f>
        <v/>
      </c>
      <c r="Y111">
        <f>HYPERLINK("https://klasma.github.io/Logging_0980/tillsynsmail/A 60665-2021 tillsynsbegäran mail.docx", "A 60665-2021")</f>
        <v/>
      </c>
    </row>
    <row r="112" ht="15" customHeight="1">
      <c r="A112" t="inlineStr">
        <is>
          <t>A 20218-2022</t>
        </is>
      </c>
      <c r="B112" s="1" t="n">
        <v>44698</v>
      </c>
      <c r="C112" s="1" t="n">
        <v>45915</v>
      </c>
      <c r="D112" t="inlineStr">
        <is>
          <t>GOTLANDS LÄN</t>
        </is>
      </c>
      <c r="E112" t="inlineStr">
        <is>
          <t>GOTLAND</t>
        </is>
      </c>
      <c r="G112" t="n">
        <v>4.3</v>
      </c>
      <c r="H112" t="n">
        <v>0</v>
      </c>
      <c r="I112" t="n">
        <v>1</v>
      </c>
      <c r="J112" t="n">
        <v>1</v>
      </c>
      <c r="K112" t="n">
        <v>0</v>
      </c>
      <c r="L112" t="n">
        <v>0</v>
      </c>
      <c r="M112" t="n">
        <v>0</v>
      </c>
      <c r="N112" t="n">
        <v>0</v>
      </c>
      <c r="O112" t="n">
        <v>1</v>
      </c>
      <c r="P112" t="n">
        <v>0</v>
      </c>
      <c r="Q112" t="n">
        <v>2</v>
      </c>
      <c r="R112" s="2" t="inlineStr">
        <is>
          <t>Flattoppad klubbsvamp
Rödgul trumpetsvamp</t>
        </is>
      </c>
      <c r="S112">
        <f>HYPERLINK("https://klasma.github.io/Logging_0980/artfynd/A 20218-2022 artfynd.xlsx", "A 20218-2022")</f>
        <v/>
      </c>
      <c r="T112">
        <f>HYPERLINK("https://klasma.github.io/Logging_0980/kartor/A 20218-2022 karta.png", "A 20218-2022")</f>
        <v/>
      </c>
      <c r="V112">
        <f>HYPERLINK("https://klasma.github.io/Logging_0980/klagomål/A 20218-2022 FSC-klagomål.docx", "A 20218-2022")</f>
        <v/>
      </c>
      <c r="W112">
        <f>HYPERLINK("https://klasma.github.io/Logging_0980/klagomålsmail/A 20218-2022 FSC-klagomål mail.docx", "A 20218-2022")</f>
        <v/>
      </c>
      <c r="X112">
        <f>HYPERLINK("https://klasma.github.io/Logging_0980/tillsyn/A 20218-2022 tillsynsbegäran.docx", "A 20218-2022")</f>
        <v/>
      </c>
      <c r="Y112">
        <f>HYPERLINK("https://klasma.github.io/Logging_0980/tillsynsmail/A 20218-2022 tillsynsbegäran mail.docx", "A 20218-2022")</f>
        <v/>
      </c>
    </row>
    <row r="113" ht="15" customHeight="1">
      <c r="A113" t="inlineStr">
        <is>
          <t>A 21879-2025</t>
        </is>
      </c>
      <c r="B113" s="1" t="n">
        <v>45784.40533564815</v>
      </c>
      <c r="C113" s="1" t="n">
        <v>45915</v>
      </c>
      <c r="D113" t="inlineStr">
        <is>
          <t>GOTLANDS LÄN</t>
        </is>
      </c>
      <c r="E113" t="inlineStr">
        <is>
          <t>GOTLAND</t>
        </is>
      </c>
      <c r="G113" t="n">
        <v>11.1</v>
      </c>
      <c r="H113" t="n">
        <v>0</v>
      </c>
      <c r="I113" t="n">
        <v>1</v>
      </c>
      <c r="J113" t="n">
        <v>0</v>
      </c>
      <c r="K113" t="n">
        <v>0</v>
      </c>
      <c r="L113" t="n">
        <v>1</v>
      </c>
      <c r="M113" t="n">
        <v>0</v>
      </c>
      <c r="N113" t="n">
        <v>0</v>
      </c>
      <c r="O113" t="n">
        <v>1</v>
      </c>
      <c r="P113" t="n">
        <v>1</v>
      </c>
      <c r="Q113" t="n">
        <v>2</v>
      </c>
      <c r="R113" s="2" t="inlineStr">
        <is>
          <t>Ask
Murgröna</t>
        </is>
      </c>
      <c r="S113">
        <f>HYPERLINK("https://klasma.github.io/Logging_0980/artfynd/A 21879-2025 artfynd.xlsx", "A 21879-2025")</f>
        <v/>
      </c>
      <c r="T113">
        <f>HYPERLINK("https://klasma.github.io/Logging_0980/kartor/A 21879-2025 karta.png", "A 21879-2025")</f>
        <v/>
      </c>
      <c r="V113">
        <f>HYPERLINK("https://klasma.github.io/Logging_0980/klagomål/A 21879-2025 FSC-klagomål.docx", "A 21879-2025")</f>
        <v/>
      </c>
      <c r="W113">
        <f>HYPERLINK("https://klasma.github.io/Logging_0980/klagomålsmail/A 21879-2025 FSC-klagomål mail.docx", "A 21879-2025")</f>
        <v/>
      </c>
      <c r="X113">
        <f>HYPERLINK("https://klasma.github.io/Logging_0980/tillsyn/A 21879-2025 tillsynsbegäran.docx", "A 21879-2025")</f>
        <v/>
      </c>
      <c r="Y113">
        <f>HYPERLINK("https://klasma.github.io/Logging_0980/tillsynsmail/A 21879-2025 tillsynsbegäran mail.docx", "A 21879-2025")</f>
        <v/>
      </c>
    </row>
    <row r="114" ht="15" customHeight="1">
      <c r="A114" t="inlineStr">
        <is>
          <t>A 54357-2024</t>
        </is>
      </c>
      <c r="B114" s="1" t="n">
        <v>45617.40662037037</v>
      </c>
      <c r="C114" s="1" t="n">
        <v>45915</v>
      </c>
      <c r="D114" t="inlineStr">
        <is>
          <t>GOTLANDS LÄN</t>
        </is>
      </c>
      <c r="E114" t="inlineStr">
        <is>
          <t>GOTLAND</t>
        </is>
      </c>
      <c r="G114" t="n">
        <v>1.5</v>
      </c>
      <c r="H114" t="n">
        <v>1</v>
      </c>
      <c r="I114" t="n">
        <v>0</v>
      </c>
      <c r="J114" t="n">
        <v>1</v>
      </c>
      <c r="K114" t="n">
        <v>0</v>
      </c>
      <c r="L114" t="n">
        <v>0</v>
      </c>
      <c r="M114" t="n">
        <v>0</v>
      </c>
      <c r="N114" t="n">
        <v>0</v>
      </c>
      <c r="O114" t="n">
        <v>1</v>
      </c>
      <c r="P114" t="n">
        <v>0</v>
      </c>
      <c r="Q114" t="n">
        <v>2</v>
      </c>
      <c r="R114" s="2" t="inlineStr">
        <is>
          <t>Loppstarr
Fläcknycklar</t>
        </is>
      </c>
      <c r="S114">
        <f>HYPERLINK("https://klasma.github.io/Logging_0980/artfynd/A 54357-2024 artfynd.xlsx", "A 54357-2024")</f>
        <v/>
      </c>
      <c r="T114">
        <f>HYPERLINK("https://klasma.github.io/Logging_0980/kartor/A 54357-2024 karta.png", "A 54357-2024")</f>
        <v/>
      </c>
      <c r="V114">
        <f>HYPERLINK("https://klasma.github.io/Logging_0980/klagomål/A 54357-2024 FSC-klagomål.docx", "A 54357-2024")</f>
        <v/>
      </c>
      <c r="W114">
        <f>HYPERLINK("https://klasma.github.io/Logging_0980/klagomålsmail/A 54357-2024 FSC-klagomål mail.docx", "A 54357-2024")</f>
        <v/>
      </c>
      <c r="X114">
        <f>HYPERLINK("https://klasma.github.io/Logging_0980/tillsyn/A 54357-2024 tillsynsbegäran.docx", "A 54357-2024")</f>
        <v/>
      </c>
      <c r="Y114">
        <f>HYPERLINK("https://klasma.github.io/Logging_0980/tillsynsmail/A 54357-2024 tillsynsbegäran mail.docx", "A 54357-2024")</f>
        <v/>
      </c>
    </row>
    <row r="115" ht="15" customHeight="1">
      <c r="A115" t="inlineStr">
        <is>
          <t>A 26077-2024</t>
        </is>
      </c>
      <c r="B115" s="1" t="n">
        <v>45467</v>
      </c>
      <c r="C115" s="1" t="n">
        <v>45915</v>
      </c>
      <c r="D115" t="inlineStr">
        <is>
          <t>GOTLANDS LÄN</t>
        </is>
      </c>
      <c r="E115" t="inlineStr">
        <is>
          <t>GOTLAND</t>
        </is>
      </c>
      <c r="G115" t="n">
        <v>4.6</v>
      </c>
      <c r="H115" t="n">
        <v>0</v>
      </c>
      <c r="I115" t="n">
        <v>0</v>
      </c>
      <c r="J115" t="n">
        <v>1</v>
      </c>
      <c r="K115" t="n">
        <v>0</v>
      </c>
      <c r="L115" t="n">
        <v>1</v>
      </c>
      <c r="M115" t="n">
        <v>0</v>
      </c>
      <c r="N115" t="n">
        <v>0</v>
      </c>
      <c r="O115" t="n">
        <v>2</v>
      </c>
      <c r="P115" t="n">
        <v>1</v>
      </c>
      <c r="Q115" t="n">
        <v>2</v>
      </c>
      <c r="R115" s="2" t="inlineStr">
        <is>
          <t>Ask
Tallticka</t>
        </is>
      </c>
      <c r="S115">
        <f>HYPERLINK("https://klasma.github.io/Logging_0980/artfynd/A 26077-2024 artfynd.xlsx", "A 26077-2024")</f>
        <v/>
      </c>
      <c r="T115">
        <f>HYPERLINK("https://klasma.github.io/Logging_0980/kartor/A 26077-2024 karta.png", "A 26077-2024")</f>
        <v/>
      </c>
      <c r="V115">
        <f>HYPERLINK("https://klasma.github.io/Logging_0980/klagomål/A 26077-2024 FSC-klagomål.docx", "A 26077-2024")</f>
        <v/>
      </c>
      <c r="W115">
        <f>HYPERLINK("https://klasma.github.io/Logging_0980/klagomålsmail/A 26077-2024 FSC-klagomål mail.docx", "A 26077-2024")</f>
        <v/>
      </c>
      <c r="X115">
        <f>HYPERLINK("https://klasma.github.io/Logging_0980/tillsyn/A 26077-2024 tillsynsbegäran.docx", "A 26077-2024")</f>
        <v/>
      </c>
      <c r="Y115">
        <f>HYPERLINK("https://klasma.github.io/Logging_0980/tillsynsmail/A 26077-2024 tillsynsbegäran mail.docx", "A 26077-2024")</f>
        <v/>
      </c>
    </row>
    <row r="116" ht="15" customHeight="1">
      <c r="A116" t="inlineStr">
        <is>
          <t>A 58701-2020</t>
        </is>
      </c>
      <c r="B116" s="1" t="n">
        <v>44146</v>
      </c>
      <c r="C116" s="1" t="n">
        <v>45915</v>
      </c>
      <c r="D116" t="inlineStr">
        <is>
          <t>GOTLANDS LÄN</t>
        </is>
      </c>
      <c r="E116" t="inlineStr">
        <is>
          <t>GOTLAND</t>
        </is>
      </c>
      <c r="G116" t="n">
        <v>5.5</v>
      </c>
      <c r="H116" t="n">
        <v>0</v>
      </c>
      <c r="I116" t="n">
        <v>0</v>
      </c>
      <c r="J116" t="n">
        <v>1</v>
      </c>
      <c r="K116" t="n">
        <v>1</v>
      </c>
      <c r="L116" t="n">
        <v>0</v>
      </c>
      <c r="M116" t="n">
        <v>0</v>
      </c>
      <c r="N116" t="n">
        <v>0</v>
      </c>
      <c r="O116" t="n">
        <v>2</v>
      </c>
      <c r="P116" t="n">
        <v>1</v>
      </c>
      <c r="Q116" t="n">
        <v>2</v>
      </c>
      <c r="R116" s="2" t="inlineStr">
        <is>
          <t>Vit taggsvamp
Odörspindling</t>
        </is>
      </c>
      <c r="S116">
        <f>HYPERLINK("https://klasma.github.io/Logging_0980/artfynd/A 58701-2020 artfynd.xlsx", "A 58701-2020")</f>
        <v/>
      </c>
      <c r="T116">
        <f>HYPERLINK("https://klasma.github.io/Logging_0980/kartor/A 58701-2020 karta.png", "A 58701-2020")</f>
        <v/>
      </c>
      <c r="V116">
        <f>HYPERLINK("https://klasma.github.io/Logging_0980/klagomål/A 58701-2020 FSC-klagomål.docx", "A 58701-2020")</f>
        <v/>
      </c>
      <c r="W116">
        <f>HYPERLINK("https://klasma.github.io/Logging_0980/klagomålsmail/A 58701-2020 FSC-klagomål mail.docx", "A 58701-2020")</f>
        <v/>
      </c>
      <c r="X116">
        <f>HYPERLINK("https://klasma.github.io/Logging_0980/tillsyn/A 58701-2020 tillsynsbegäran.docx", "A 58701-2020")</f>
        <v/>
      </c>
      <c r="Y116">
        <f>HYPERLINK("https://klasma.github.io/Logging_0980/tillsynsmail/A 58701-2020 tillsynsbegäran mail.docx", "A 58701-2020")</f>
        <v/>
      </c>
    </row>
    <row r="117" ht="15" customHeight="1">
      <c r="A117" t="inlineStr">
        <is>
          <t>A 7070-2022</t>
        </is>
      </c>
      <c r="B117" s="1" t="n">
        <v>44603</v>
      </c>
      <c r="C117" s="1" t="n">
        <v>45915</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43219-2023</t>
        </is>
      </c>
      <c r="B118" s="1" t="n">
        <v>45183</v>
      </c>
      <c r="C118" s="1" t="n">
        <v>45915</v>
      </c>
      <c r="D118" t="inlineStr">
        <is>
          <t>GOTLANDS LÄN</t>
        </is>
      </c>
      <c r="E118" t="inlineStr">
        <is>
          <t>GOTLAND</t>
        </is>
      </c>
      <c r="G118" t="n">
        <v>3.6</v>
      </c>
      <c r="H118" t="n">
        <v>1</v>
      </c>
      <c r="I118" t="n">
        <v>0</v>
      </c>
      <c r="J118" t="n">
        <v>1</v>
      </c>
      <c r="K118" t="n">
        <v>0</v>
      </c>
      <c r="L118" t="n">
        <v>0</v>
      </c>
      <c r="M118" t="n">
        <v>0</v>
      </c>
      <c r="N118" t="n">
        <v>0</v>
      </c>
      <c r="O118" t="n">
        <v>1</v>
      </c>
      <c r="P118" t="n">
        <v>0</v>
      </c>
      <c r="Q118" t="n">
        <v>2</v>
      </c>
      <c r="R118" s="2" t="inlineStr">
        <is>
          <t>Axveronika
Skogsduva</t>
        </is>
      </c>
      <c r="S118">
        <f>HYPERLINK("https://klasma.github.io/Logging_0980/artfynd/A 43219-2023 artfynd.xlsx", "A 43219-2023")</f>
        <v/>
      </c>
      <c r="T118">
        <f>HYPERLINK("https://klasma.github.io/Logging_0980/kartor/A 43219-2023 karta.png", "A 43219-2023")</f>
        <v/>
      </c>
      <c r="V118">
        <f>HYPERLINK("https://klasma.github.io/Logging_0980/klagomål/A 43219-2023 FSC-klagomål.docx", "A 43219-2023")</f>
        <v/>
      </c>
      <c r="W118">
        <f>HYPERLINK("https://klasma.github.io/Logging_0980/klagomålsmail/A 43219-2023 FSC-klagomål mail.docx", "A 43219-2023")</f>
        <v/>
      </c>
      <c r="X118">
        <f>HYPERLINK("https://klasma.github.io/Logging_0980/tillsyn/A 43219-2023 tillsynsbegäran.docx", "A 43219-2023")</f>
        <v/>
      </c>
      <c r="Y118">
        <f>HYPERLINK("https://klasma.github.io/Logging_0980/tillsynsmail/A 43219-2023 tillsynsbegäran mail.docx", "A 43219-2023")</f>
        <v/>
      </c>
      <c r="Z118">
        <f>HYPERLINK("https://klasma.github.io/Logging_0980/fåglar/A 43219-2023 prioriterade fågelarter.docx", "A 43219-2023")</f>
        <v/>
      </c>
    </row>
    <row r="119" ht="15" customHeight="1">
      <c r="A119" t="inlineStr">
        <is>
          <t>A 12914-2025</t>
        </is>
      </c>
      <c r="B119" s="1" t="n">
        <v>45733</v>
      </c>
      <c r="C119" s="1" t="n">
        <v>45915</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45915</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45915</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20838-2024</t>
        </is>
      </c>
      <c r="B122" s="1" t="n">
        <v>45439</v>
      </c>
      <c r="C122" s="1" t="n">
        <v>45915</v>
      </c>
      <c r="D122" t="inlineStr">
        <is>
          <t>GOTLANDS LÄN</t>
        </is>
      </c>
      <c r="E122" t="inlineStr">
        <is>
          <t>GOTLAND</t>
        </is>
      </c>
      <c r="G122" t="n">
        <v>0.7</v>
      </c>
      <c r="H122" t="n">
        <v>2</v>
      </c>
      <c r="I122" t="n">
        <v>1</v>
      </c>
      <c r="J122" t="n">
        <v>1</v>
      </c>
      <c r="K122" t="n">
        <v>0</v>
      </c>
      <c r="L122" t="n">
        <v>0</v>
      </c>
      <c r="M122" t="n">
        <v>0</v>
      </c>
      <c r="N122" t="n">
        <v>0</v>
      </c>
      <c r="O122" t="n">
        <v>1</v>
      </c>
      <c r="P122" t="n">
        <v>0</v>
      </c>
      <c r="Q122" t="n">
        <v>2</v>
      </c>
      <c r="R122" s="2" t="inlineStr">
        <is>
          <t>Spillkråka
Skogsknipprot</t>
        </is>
      </c>
      <c r="S122">
        <f>HYPERLINK("https://klasma.github.io/Logging_0980/artfynd/A 20838-2024 artfynd.xlsx", "A 20838-2024")</f>
        <v/>
      </c>
      <c r="T122">
        <f>HYPERLINK("https://klasma.github.io/Logging_0980/kartor/A 20838-2024 karta.png", "A 20838-2024")</f>
        <v/>
      </c>
      <c r="V122">
        <f>HYPERLINK("https://klasma.github.io/Logging_0980/klagomål/A 20838-2024 FSC-klagomål.docx", "A 20838-2024")</f>
        <v/>
      </c>
      <c r="W122">
        <f>HYPERLINK("https://klasma.github.io/Logging_0980/klagomålsmail/A 20838-2024 FSC-klagomål mail.docx", "A 20838-2024")</f>
        <v/>
      </c>
      <c r="X122">
        <f>HYPERLINK("https://klasma.github.io/Logging_0980/tillsyn/A 20838-2024 tillsynsbegäran.docx", "A 20838-2024")</f>
        <v/>
      </c>
      <c r="Y122">
        <f>HYPERLINK("https://klasma.github.io/Logging_0980/tillsynsmail/A 20838-2024 tillsynsbegäran mail.docx", "A 20838-2024")</f>
        <v/>
      </c>
      <c r="Z122">
        <f>HYPERLINK("https://klasma.github.io/Logging_0980/fåglar/A 20838-2024 prioriterade fågelarter.docx", "A 20838-2024")</f>
        <v/>
      </c>
    </row>
    <row r="123" ht="15" customHeight="1">
      <c r="A123" t="inlineStr">
        <is>
          <t>A 64263-2020</t>
        </is>
      </c>
      <c r="B123" s="1" t="n">
        <v>44168</v>
      </c>
      <c r="C123" s="1" t="n">
        <v>45915</v>
      </c>
      <c r="D123" t="inlineStr">
        <is>
          <t>GOTLANDS LÄN</t>
        </is>
      </c>
      <c r="E123" t="inlineStr">
        <is>
          <t>GOTLAND</t>
        </is>
      </c>
      <c r="G123" t="n">
        <v>10.9</v>
      </c>
      <c r="H123" t="n">
        <v>1</v>
      </c>
      <c r="I123" t="n">
        <v>0</v>
      </c>
      <c r="J123" t="n">
        <v>2</v>
      </c>
      <c r="K123" t="n">
        <v>0</v>
      </c>
      <c r="L123" t="n">
        <v>0</v>
      </c>
      <c r="M123" t="n">
        <v>0</v>
      </c>
      <c r="N123" t="n">
        <v>0</v>
      </c>
      <c r="O123" t="n">
        <v>2</v>
      </c>
      <c r="P123" t="n">
        <v>0</v>
      </c>
      <c r="Q123" t="n">
        <v>2</v>
      </c>
      <c r="R123" s="2" t="inlineStr">
        <is>
          <t>Mindre hackspett
Ullticka</t>
        </is>
      </c>
      <c r="S123">
        <f>HYPERLINK("https://klasma.github.io/Logging_0980/artfynd/A 64263-2020 artfynd.xlsx", "A 64263-2020")</f>
        <v/>
      </c>
      <c r="T123">
        <f>HYPERLINK("https://klasma.github.io/Logging_0980/kartor/A 64263-2020 karta.png", "A 64263-2020")</f>
        <v/>
      </c>
      <c r="V123">
        <f>HYPERLINK("https://klasma.github.io/Logging_0980/klagomål/A 64263-2020 FSC-klagomål.docx", "A 64263-2020")</f>
        <v/>
      </c>
      <c r="W123">
        <f>HYPERLINK("https://klasma.github.io/Logging_0980/klagomålsmail/A 64263-2020 FSC-klagomål mail.docx", "A 64263-2020")</f>
        <v/>
      </c>
      <c r="X123">
        <f>HYPERLINK("https://klasma.github.io/Logging_0980/tillsyn/A 64263-2020 tillsynsbegäran.docx", "A 64263-2020")</f>
        <v/>
      </c>
      <c r="Y123">
        <f>HYPERLINK("https://klasma.github.io/Logging_0980/tillsynsmail/A 64263-2020 tillsynsbegäran mail.docx", "A 64263-2020")</f>
        <v/>
      </c>
      <c r="Z123">
        <f>HYPERLINK("https://klasma.github.io/Logging_0980/fåglar/A 64263-2020 prioriterade fågelarter.docx", "A 64263-2020")</f>
        <v/>
      </c>
    </row>
    <row r="124" ht="15" customHeight="1">
      <c r="A124" t="inlineStr">
        <is>
          <t>A 41238-2025</t>
        </is>
      </c>
      <c r="B124" s="1" t="n">
        <v>45898</v>
      </c>
      <c r="C124" s="1" t="n">
        <v>45915</v>
      </c>
      <c r="D124" t="inlineStr">
        <is>
          <t>GOTLANDS LÄN</t>
        </is>
      </c>
      <c r="E124" t="inlineStr">
        <is>
          <t>GOTLAND</t>
        </is>
      </c>
      <c r="G124" t="n">
        <v>7.1</v>
      </c>
      <c r="H124" t="n">
        <v>1</v>
      </c>
      <c r="I124" t="n">
        <v>2</v>
      </c>
      <c r="J124" t="n">
        <v>0</v>
      </c>
      <c r="K124" t="n">
        <v>0</v>
      </c>
      <c r="L124" t="n">
        <v>0</v>
      </c>
      <c r="M124" t="n">
        <v>0</v>
      </c>
      <c r="N124" t="n">
        <v>0</v>
      </c>
      <c r="O124" t="n">
        <v>0</v>
      </c>
      <c r="P124" t="n">
        <v>0</v>
      </c>
      <c r="Q124" t="n">
        <v>2</v>
      </c>
      <c r="R124" s="2" t="inlineStr">
        <is>
          <t>Granbarkgnagare
Skogsknipprot</t>
        </is>
      </c>
      <c r="S124">
        <f>HYPERLINK("https://klasma.github.io/Logging_0980/artfynd/A 41238-2025 artfynd.xlsx", "A 41238-2025")</f>
        <v/>
      </c>
      <c r="T124">
        <f>HYPERLINK("https://klasma.github.io/Logging_0980/kartor/A 41238-2025 karta.png", "A 41238-2025")</f>
        <v/>
      </c>
      <c r="V124">
        <f>HYPERLINK("https://klasma.github.io/Logging_0980/klagomål/A 41238-2025 FSC-klagomål.docx", "A 41238-2025")</f>
        <v/>
      </c>
      <c r="W124">
        <f>HYPERLINK("https://klasma.github.io/Logging_0980/klagomålsmail/A 41238-2025 FSC-klagomål mail.docx", "A 41238-2025")</f>
        <v/>
      </c>
      <c r="X124">
        <f>HYPERLINK("https://klasma.github.io/Logging_0980/tillsyn/A 41238-2025 tillsynsbegäran.docx", "A 41238-2025")</f>
        <v/>
      </c>
      <c r="Y124">
        <f>HYPERLINK("https://klasma.github.io/Logging_0980/tillsynsmail/A 41238-2025 tillsynsbegäran mail.docx", "A 41238-2025")</f>
        <v/>
      </c>
    </row>
    <row r="125" ht="15" customHeight="1">
      <c r="A125" t="inlineStr">
        <is>
          <t>A 73144-2021</t>
        </is>
      </c>
      <c r="B125" s="1" t="n">
        <v>44550</v>
      </c>
      <c r="C125" s="1" t="n">
        <v>45915</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28276-2024</t>
        </is>
      </c>
      <c r="B126" s="1" t="n">
        <v>45477</v>
      </c>
      <c r="C126" s="1" t="n">
        <v>45915</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24-2021</t>
        </is>
      </c>
      <c r="B127" s="1" t="n">
        <v>44197</v>
      </c>
      <c r="C127" s="1" t="n">
        <v>45915</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45915</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45924-2020</t>
        </is>
      </c>
      <c r="B129" s="1" t="n">
        <v>44088</v>
      </c>
      <c r="C129" s="1" t="n">
        <v>45915</v>
      </c>
      <c r="D129" t="inlineStr">
        <is>
          <t>GOTLANDS LÄN</t>
        </is>
      </c>
      <c r="E129" t="inlineStr">
        <is>
          <t>GOTLAND</t>
        </is>
      </c>
      <c r="G129" t="n">
        <v>15</v>
      </c>
      <c r="H129" t="n">
        <v>0</v>
      </c>
      <c r="I129" t="n">
        <v>1</v>
      </c>
      <c r="J129" t="n">
        <v>0</v>
      </c>
      <c r="K129" t="n">
        <v>0</v>
      </c>
      <c r="L129" t="n">
        <v>0</v>
      </c>
      <c r="M129" t="n">
        <v>0</v>
      </c>
      <c r="N129" t="n">
        <v>0</v>
      </c>
      <c r="O129" t="n">
        <v>0</v>
      </c>
      <c r="P129" t="n">
        <v>0</v>
      </c>
      <c r="Q129" t="n">
        <v>1</v>
      </c>
      <c r="R129" s="2" t="inlineStr">
        <is>
          <t>Myskmadra</t>
        </is>
      </c>
      <c r="S129">
        <f>HYPERLINK("https://klasma.github.io/Logging_0980/artfynd/A 45924-2020 artfynd.xlsx", "A 45924-2020")</f>
        <v/>
      </c>
      <c r="T129">
        <f>HYPERLINK("https://klasma.github.io/Logging_0980/kartor/A 45924-2020 karta.png", "A 45924-2020")</f>
        <v/>
      </c>
      <c r="V129">
        <f>HYPERLINK("https://klasma.github.io/Logging_0980/klagomål/A 45924-2020 FSC-klagomål.docx", "A 45924-2020")</f>
        <v/>
      </c>
      <c r="W129">
        <f>HYPERLINK("https://klasma.github.io/Logging_0980/klagomålsmail/A 45924-2020 FSC-klagomål mail.docx", "A 45924-2020")</f>
        <v/>
      </c>
      <c r="X129">
        <f>HYPERLINK("https://klasma.github.io/Logging_0980/tillsyn/A 45924-2020 tillsynsbegäran.docx", "A 45924-2020")</f>
        <v/>
      </c>
      <c r="Y129">
        <f>HYPERLINK("https://klasma.github.io/Logging_0980/tillsynsmail/A 45924-2020 tillsynsbegäran mail.docx", "A 45924-2020")</f>
        <v/>
      </c>
    </row>
    <row r="130" ht="15" customHeight="1">
      <c r="A130" t="inlineStr">
        <is>
          <t>A 7485-2021</t>
        </is>
      </c>
      <c r="B130" s="1" t="n">
        <v>44238</v>
      </c>
      <c r="C130" s="1" t="n">
        <v>45915</v>
      </c>
      <c r="D130" t="inlineStr">
        <is>
          <t>GOTLANDS LÄN</t>
        </is>
      </c>
      <c r="E130" t="inlineStr">
        <is>
          <t>GOTLAND</t>
        </is>
      </c>
      <c r="G130" t="n">
        <v>2.9</v>
      </c>
      <c r="H130" t="n">
        <v>1</v>
      </c>
      <c r="I130" t="n">
        <v>0</v>
      </c>
      <c r="J130" t="n">
        <v>1</v>
      </c>
      <c r="K130" t="n">
        <v>0</v>
      </c>
      <c r="L130" t="n">
        <v>0</v>
      </c>
      <c r="M130" t="n">
        <v>0</v>
      </c>
      <c r="N130" t="n">
        <v>0</v>
      </c>
      <c r="O130" t="n">
        <v>1</v>
      </c>
      <c r="P130" t="n">
        <v>0</v>
      </c>
      <c r="Q130" t="n">
        <v>1</v>
      </c>
      <c r="R130" s="2" t="inlineStr">
        <is>
          <t>Spillkråka</t>
        </is>
      </c>
      <c r="S130">
        <f>HYPERLINK("https://klasma.github.io/Logging_0980/artfynd/A 7485-2021 artfynd.xlsx", "A 7485-2021")</f>
        <v/>
      </c>
      <c r="T130">
        <f>HYPERLINK("https://klasma.github.io/Logging_0980/kartor/A 7485-2021 karta.png", "A 7485-2021")</f>
        <v/>
      </c>
      <c r="V130">
        <f>HYPERLINK("https://klasma.github.io/Logging_0980/klagomål/A 7485-2021 FSC-klagomål.docx", "A 7485-2021")</f>
        <v/>
      </c>
      <c r="W130">
        <f>HYPERLINK("https://klasma.github.io/Logging_0980/klagomålsmail/A 7485-2021 FSC-klagomål mail.docx", "A 7485-2021")</f>
        <v/>
      </c>
      <c r="X130">
        <f>HYPERLINK("https://klasma.github.io/Logging_0980/tillsyn/A 7485-2021 tillsynsbegäran.docx", "A 7485-2021")</f>
        <v/>
      </c>
      <c r="Y130">
        <f>HYPERLINK("https://klasma.github.io/Logging_0980/tillsynsmail/A 7485-2021 tillsynsbegäran mail.docx", "A 7485-2021")</f>
        <v/>
      </c>
      <c r="Z130">
        <f>HYPERLINK("https://klasma.github.io/Logging_0980/fåglar/A 7485-2021 prioriterade fågelarter.docx", "A 7485-2021")</f>
        <v/>
      </c>
    </row>
    <row r="131" ht="15" customHeight="1">
      <c r="A131" t="inlineStr">
        <is>
          <t>A 13939-2021</t>
        </is>
      </c>
      <c r="B131" s="1" t="n">
        <v>44277</v>
      </c>
      <c r="C131" s="1" t="n">
        <v>45915</v>
      </c>
      <c r="D131" t="inlineStr">
        <is>
          <t>GOTLANDS LÄN</t>
        </is>
      </c>
      <c r="E131" t="inlineStr">
        <is>
          <t>GOTLAND</t>
        </is>
      </c>
      <c r="G131" t="n">
        <v>1</v>
      </c>
      <c r="H131" t="n">
        <v>0</v>
      </c>
      <c r="I131" t="n">
        <v>0</v>
      </c>
      <c r="J131" t="n">
        <v>1</v>
      </c>
      <c r="K131" t="n">
        <v>0</v>
      </c>
      <c r="L131" t="n">
        <v>0</v>
      </c>
      <c r="M131" t="n">
        <v>0</v>
      </c>
      <c r="N131" t="n">
        <v>0</v>
      </c>
      <c r="O131" t="n">
        <v>1</v>
      </c>
      <c r="P131" t="n">
        <v>0</v>
      </c>
      <c r="Q131" t="n">
        <v>1</v>
      </c>
      <c r="R131" s="2" t="inlineStr">
        <is>
          <t>Axveronika</t>
        </is>
      </c>
      <c r="S131">
        <f>HYPERLINK("https://klasma.github.io/Logging_0980/artfynd/A 13939-2021 artfynd.xlsx", "A 13939-2021")</f>
        <v/>
      </c>
      <c r="T131">
        <f>HYPERLINK("https://klasma.github.io/Logging_0980/kartor/A 13939-2021 karta.png", "A 13939-2021")</f>
        <v/>
      </c>
      <c r="V131">
        <f>HYPERLINK("https://klasma.github.io/Logging_0980/klagomål/A 13939-2021 FSC-klagomål.docx", "A 13939-2021")</f>
        <v/>
      </c>
      <c r="W131">
        <f>HYPERLINK("https://klasma.github.io/Logging_0980/klagomålsmail/A 13939-2021 FSC-klagomål mail.docx", "A 13939-2021")</f>
        <v/>
      </c>
      <c r="X131">
        <f>HYPERLINK("https://klasma.github.io/Logging_0980/tillsyn/A 13939-2021 tillsynsbegäran.docx", "A 13939-2021")</f>
        <v/>
      </c>
      <c r="Y131">
        <f>HYPERLINK("https://klasma.github.io/Logging_0980/tillsynsmail/A 13939-2021 tillsynsbegäran mail.docx", "A 13939-2021")</f>
        <v/>
      </c>
    </row>
    <row r="132" ht="15" customHeight="1">
      <c r="A132" t="inlineStr">
        <is>
          <t>A 10218-2025</t>
        </is>
      </c>
      <c r="B132" s="1" t="n">
        <v>45720</v>
      </c>
      <c r="C132" s="1" t="n">
        <v>45915</v>
      </c>
      <c r="D132" t="inlineStr">
        <is>
          <t>GOTLANDS LÄN</t>
        </is>
      </c>
      <c r="E132" t="inlineStr">
        <is>
          <t>GOTLAND</t>
        </is>
      </c>
      <c r="G132" t="n">
        <v>8.1</v>
      </c>
      <c r="H132" t="n">
        <v>0</v>
      </c>
      <c r="I132" t="n">
        <v>1</v>
      </c>
      <c r="J132" t="n">
        <v>0</v>
      </c>
      <c r="K132" t="n">
        <v>0</v>
      </c>
      <c r="L132" t="n">
        <v>0</v>
      </c>
      <c r="M132" t="n">
        <v>0</v>
      </c>
      <c r="N132" t="n">
        <v>0</v>
      </c>
      <c r="O132" t="n">
        <v>0</v>
      </c>
      <c r="P132" t="n">
        <v>0</v>
      </c>
      <c r="Q132" t="n">
        <v>1</v>
      </c>
      <c r="R132" s="2" t="inlineStr">
        <is>
          <t>Kalktallört</t>
        </is>
      </c>
      <c r="S132">
        <f>HYPERLINK("https://klasma.github.io/Logging_0980/artfynd/A 10218-2025 artfynd.xlsx", "A 10218-2025")</f>
        <v/>
      </c>
      <c r="T132">
        <f>HYPERLINK("https://klasma.github.io/Logging_0980/kartor/A 10218-2025 karta.png", "A 10218-2025")</f>
        <v/>
      </c>
      <c r="V132">
        <f>HYPERLINK("https://klasma.github.io/Logging_0980/klagomål/A 10218-2025 FSC-klagomål.docx", "A 10218-2025")</f>
        <v/>
      </c>
      <c r="W132">
        <f>HYPERLINK("https://klasma.github.io/Logging_0980/klagomålsmail/A 10218-2025 FSC-klagomål mail.docx", "A 10218-2025")</f>
        <v/>
      </c>
      <c r="X132">
        <f>HYPERLINK("https://klasma.github.io/Logging_0980/tillsyn/A 10218-2025 tillsynsbegäran.docx", "A 10218-2025")</f>
        <v/>
      </c>
      <c r="Y132">
        <f>HYPERLINK("https://klasma.github.io/Logging_0980/tillsynsmail/A 10218-2025 tillsynsbegäran mail.docx", "A 10218-2025")</f>
        <v/>
      </c>
    </row>
    <row r="133" ht="15" customHeight="1">
      <c r="A133" t="inlineStr">
        <is>
          <t>A 12379-2024</t>
        </is>
      </c>
      <c r="B133" s="1" t="n">
        <v>45379.28155092592</v>
      </c>
      <c r="C133" s="1" t="n">
        <v>45915</v>
      </c>
      <c r="D133" t="inlineStr">
        <is>
          <t>GOTLANDS LÄN</t>
        </is>
      </c>
      <c r="E133" t="inlineStr">
        <is>
          <t>GOTLAND</t>
        </is>
      </c>
      <c r="G133" t="n">
        <v>4.4</v>
      </c>
      <c r="H133" t="n">
        <v>0</v>
      </c>
      <c r="I133" t="n">
        <v>0</v>
      </c>
      <c r="J133" t="n">
        <v>1</v>
      </c>
      <c r="K133" t="n">
        <v>0</v>
      </c>
      <c r="L133" t="n">
        <v>0</v>
      </c>
      <c r="M133" t="n">
        <v>0</v>
      </c>
      <c r="N133" t="n">
        <v>0</v>
      </c>
      <c r="O133" t="n">
        <v>1</v>
      </c>
      <c r="P133" t="n">
        <v>0</v>
      </c>
      <c r="Q133" t="n">
        <v>1</v>
      </c>
      <c r="R133" s="2" t="inlineStr">
        <is>
          <t>Svinrot</t>
        </is>
      </c>
      <c r="S133">
        <f>HYPERLINK("https://klasma.github.io/Logging_0980/artfynd/A 12379-2024 artfynd.xlsx", "A 12379-2024")</f>
        <v/>
      </c>
      <c r="T133">
        <f>HYPERLINK("https://klasma.github.io/Logging_0980/kartor/A 12379-2024 karta.png", "A 12379-2024")</f>
        <v/>
      </c>
      <c r="V133">
        <f>HYPERLINK("https://klasma.github.io/Logging_0980/klagomål/A 12379-2024 FSC-klagomål.docx", "A 12379-2024")</f>
        <v/>
      </c>
      <c r="W133">
        <f>HYPERLINK("https://klasma.github.io/Logging_0980/klagomålsmail/A 12379-2024 FSC-klagomål mail.docx", "A 12379-2024")</f>
        <v/>
      </c>
      <c r="X133">
        <f>HYPERLINK("https://klasma.github.io/Logging_0980/tillsyn/A 12379-2024 tillsynsbegäran.docx", "A 12379-2024")</f>
        <v/>
      </c>
      <c r="Y133">
        <f>HYPERLINK("https://klasma.github.io/Logging_0980/tillsynsmail/A 12379-2024 tillsynsbegäran mail.docx", "A 12379-2024")</f>
        <v/>
      </c>
    </row>
    <row r="134" ht="15" customHeight="1">
      <c r="A134" t="inlineStr">
        <is>
          <t>A 17723-2021</t>
        </is>
      </c>
      <c r="B134" s="1" t="n">
        <v>44300</v>
      </c>
      <c r="C134" s="1" t="n">
        <v>45915</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20429-2025</t>
        </is>
      </c>
      <c r="B135" s="1" t="n">
        <v>45775.47728009259</v>
      </c>
      <c r="C135" s="1" t="n">
        <v>45915</v>
      </c>
      <c r="D135" t="inlineStr">
        <is>
          <t>GOTLANDS LÄN</t>
        </is>
      </c>
      <c r="E135" t="inlineStr">
        <is>
          <t>GOTLAND</t>
        </is>
      </c>
      <c r="G135" t="n">
        <v>1.4</v>
      </c>
      <c r="H135" t="n">
        <v>1</v>
      </c>
      <c r="I135" t="n">
        <v>0</v>
      </c>
      <c r="J135" t="n">
        <v>0</v>
      </c>
      <c r="K135" t="n">
        <v>0</v>
      </c>
      <c r="L135" t="n">
        <v>0</v>
      </c>
      <c r="M135" t="n">
        <v>0</v>
      </c>
      <c r="N135" t="n">
        <v>0</v>
      </c>
      <c r="O135" t="n">
        <v>0</v>
      </c>
      <c r="P135" t="n">
        <v>0</v>
      </c>
      <c r="Q135" t="n">
        <v>1</v>
      </c>
      <c r="R135" s="2" t="inlineStr">
        <is>
          <t>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63576-2021</t>
        </is>
      </c>
      <c r="B136" s="1" t="n">
        <v>44508</v>
      </c>
      <c r="C136" s="1" t="n">
        <v>45915</v>
      </c>
      <c r="D136" t="inlineStr">
        <is>
          <t>GOTLANDS LÄN</t>
        </is>
      </c>
      <c r="E136" t="inlineStr">
        <is>
          <t>GOTLAND</t>
        </is>
      </c>
      <c r="F136" t="inlineStr">
        <is>
          <t>Kyrkan</t>
        </is>
      </c>
      <c r="G136" t="n">
        <v>4.1</v>
      </c>
      <c r="H136" t="n">
        <v>1</v>
      </c>
      <c r="I136" t="n">
        <v>0</v>
      </c>
      <c r="J136" t="n">
        <v>1</v>
      </c>
      <c r="K136" t="n">
        <v>0</v>
      </c>
      <c r="L136" t="n">
        <v>0</v>
      </c>
      <c r="M136" t="n">
        <v>0</v>
      </c>
      <c r="N136" t="n">
        <v>0</v>
      </c>
      <c r="O136" t="n">
        <v>1</v>
      </c>
      <c r="P136" t="n">
        <v>0</v>
      </c>
      <c r="Q136" t="n">
        <v>1</v>
      </c>
      <c r="R136" s="2" t="inlineStr">
        <is>
          <t>Dårgräsfjäril</t>
        </is>
      </c>
      <c r="S136">
        <f>HYPERLINK("https://klasma.github.io/Logging_0980/artfynd/A 63576-2021 artfynd.xlsx", "A 63576-2021")</f>
        <v/>
      </c>
      <c r="T136">
        <f>HYPERLINK("https://klasma.github.io/Logging_0980/kartor/A 63576-2021 karta.png", "A 63576-2021")</f>
        <v/>
      </c>
      <c r="V136">
        <f>HYPERLINK("https://klasma.github.io/Logging_0980/klagomål/A 63576-2021 FSC-klagomål.docx", "A 63576-2021")</f>
        <v/>
      </c>
      <c r="W136">
        <f>HYPERLINK("https://klasma.github.io/Logging_0980/klagomålsmail/A 63576-2021 FSC-klagomål mail.docx", "A 63576-2021")</f>
        <v/>
      </c>
      <c r="X136">
        <f>HYPERLINK("https://klasma.github.io/Logging_0980/tillsyn/A 63576-2021 tillsynsbegäran.docx", "A 63576-2021")</f>
        <v/>
      </c>
      <c r="Y136">
        <f>HYPERLINK("https://klasma.github.io/Logging_0980/tillsynsmail/A 63576-2021 tillsynsbegäran mail.docx", "A 63576-2021")</f>
        <v/>
      </c>
    </row>
    <row r="137" ht="15" customHeight="1">
      <c r="A137" t="inlineStr">
        <is>
          <t>A 37591-2023</t>
        </is>
      </c>
      <c r="B137" s="1" t="n">
        <v>45159</v>
      </c>
      <c r="C137" s="1" t="n">
        <v>45915</v>
      </c>
      <c r="D137" t="inlineStr">
        <is>
          <t>GOTLANDS LÄN</t>
        </is>
      </c>
      <c r="E137" t="inlineStr">
        <is>
          <t>GOTLAND</t>
        </is>
      </c>
      <c r="G137" t="n">
        <v>8.300000000000001</v>
      </c>
      <c r="H137" t="n">
        <v>0</v>
      </c>
      <c r="I137" t="n">
        <v>0</v>
      </c>
      <c r="J137" t="n">
        <v>1</v>
      </c>
      <c r="K137" t="n">
        <v>0</v>
      </c>
      <c r="L137" t="n">
        <v>0</v>
      </c>
      <c r="M137" t="n">
        <v>0</v>
      </c>
      <c r="N137" t="n">
        <v>0</v>
      </c>
      <c r="O137" t="n">
        <v>1</v>
      </c>
      <c r="P137" t="n">
        <v>0</v>
      </c>
      <c r="Q137" t="n">
        <v>1</v>
      </c>
      <c r="R137" s="2" t="inlineStr">
        <is>
          <t>Ängsstarr</t>
        </is>
      </c>
      <c r="S137">
        <f>HYPERLINK("https://klasma.github.io/Logging_0980/artfynd/A 37591-2023 artfynd.xlsx", "A 37591-2023")</f>
        <v/>
      </c>
      <c r="T137">
        <f>HYPERLINK("https://klasma.github.io/Logging_0980/kartor/A 37591-2023 karta.png", "A 37591-2023")</f>
        <v/>
      </c>
      <c r="V137">
        <f>HYPERLINK("https://klasma.github.io/Logging_0980/klagomål/A 37591-2023 FSC-klagomål.docx", "A 37591-2023")</f>
        <v/>
      </c>
      <c r="W137">
        <f>HYPERLINK("https://klasma.github.io/Logging_0980/klagomålsmail/A 37591-2023 FSC-klagomål mail.docx", "A 37591-2023")</f>
        <v/>
      </c>
      <c r="X137">
        <f>HYPERLINK("https://klasma.github.io/Logging_0980/tillsyn/A 37591-2023 tillsynsbegäran.docx", "A 37591-2023")</f>
        <v/>
      </c>
      <c r="Y137">
        <f>HYPERLINK("https://klasma.github.io/Logging_0980/tillsynsmail/A 37591-2023 tillsynsbegäran mail.docx", "A 37591-2023")</f>
        <v/>
      </c>
    </row>
    <row r="138" ht="15" customHeight="1">
      <c r="A138" t="inlineStr">
        <is>
          <t>A 64700-2021</t>
        </is>
      </c>
      <c r="B138" s="1" t="n">
        <v>44511</v>
      </c>
      <c r="C138" s="1" t="n">
        <v>45915</v>
      </c>
      <c r="D138" t="inlineStr">
        <is>
          <t>GOTLANDS LÄN</t>
        </is>
      </c>
      <c r="E138" t="inlineStr">
        <is>
          <t>GOTLAND</t>
        </is>
      </c>
      <c r="F138" t="inlineStr">
        <is>
          <t>Naturvårdsverket</t>
        </is>
      </c>
      <c r="G138" t="n">
        <v>2.4</v>
      </c>
      <c r="H138" t="n">
        <v>1</v>
      </c>
      <c r="I138" t="n">
        <v>0</v>
      </c>
      <c r="J138" t="n">
        <v>0</v>
      </c>
      <c r="K138" t="n">
        <v>1</v>
      </c>
      <c r="L138" t="n">
        <v>0</v>
      </c>
      <c r="M138" t="n">
        <v>0</v>
      </c>
      <c r="N138" t="n">
        <v>0</v>
      </c>
      <c r="O138" t="n">
        <v>1</v>
      </c>
      <c r="P138" t="n">
        <v>1</v>
      </c>
      <c r="Q138" t="n">
        <v>1</v>
      </c>
      <c r="R138" s="2" t="inlineStr">
        <is>
          <t>Kalkdån</t>
        </is>
      </c>
      <c r="S138">
        <f>HYPERLINK("https://klasma.github.io/Logging_0980/artfynd/A 64700-2021 artfynd.xlsx", "A 64700-2021")</f>
        <v/>
      </c>
      <c r="T138">
        <f>HYPERLINK("https://klasma.github.io/Logging_0980/kartor/A 64700-2021 karta.png", "A 64700-2021")</f>
        <v/>
      </c>
      <c r="V138">
        <f>HYPERLINK("https://klasma.github.io/Logging_0980/klagomål/A 64700-2021 FSC-klagomål.docx", "A 64700-2021")</f>
        <v/>
      </c>
      <c r="W138">
        <f>HYPERLINK("https://klasma.github.io/Logging_0980/klagomålsmail/A 64700-2021 FSC-klagomål mail.docx", "A 64700-2021")</f>
        <v/>
      </c>
      <c r="X138">
        <f>HYPERLINK("https://klasma.github.io/Logging_0980/tillsyn/A 64700-2021 tillsynsbegäran.docx", "A 64700-2021")</f>
        <v/>
      </c>
      <c r="Y138">
        <f>HYPERLINK("https://klasma.github.io/Logging_0980/tillsynsmail/A 64700-2021 tillsynsbegäran mail.docx", "A 64700-2021")</f>
        <v/>
      </c>
    </row>
    <row r="139" ht="15" customHeight="1">
      <c r="A139" t="inlineStr">
        <is>
          <t>A 21466-2025</t>
        </is>
      </c>
      <c r="B139" s="1" t="n">
        <v>45782</v>
      </c>
      <c r="C139" s="1" t="n">
        <v>45915</v>
      </c>
      <c r="D139" t="inlineStr">
        <is>
          <t>GOTLANDS LÄN</t>
        </is>
      </c>
      <c r="E139" t="inlineStr">
        <is>
          <t>GOTLAND</t>
        </is>
      </c>
      <c r="F139" t="inlineStr">
        <is>
          <t>Övriga statliga verk och myndigheter</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HYPERLINK("https://klasma.github.io/Logging_0980/artfynd/A 21466-2025 artfynd.xlsx", "A 21466-2025")</f>
        <v/>
      </c>
      <c r="T139">
        <f>HYPERLINK("https://klasma.github.io/Logging_0980/kartor/A 21466-2025 karta.png", "A 21466-2025")</f>
        <v/>
      </c>
      <c r="V139">
        <f>HYPERLINK("https://klasma.github.io/Logging_0980/klagomål/A 21466-2025 FSC-klagomål.docx", "A 21466-2025")</f>
        <v/>
      </c>
      <c r="W139">
        <f>HYPERLINK("https://klasma.github.io/Logging_0980/klagomålsmail/A 21466-2025 FSC-klagomål mail.docx", "A 21466-2025")</f>
        <v/>
      </c>
      <c r="X139">
        <f>HYPERLINK("https://klasma.github.io/Logging_0980/tillsyn/A 21466-2025 tillsynsbegäran.docx", "A 21466-2025")</f>
        <v/>
      </c>
      <c r="Y139">
        <f>HYPERLINK("https://klasma.github.io/Logging_0980/tillsynsmail/A 21466-2025 tillsynsbegäran mail.docx", "A 21466-2025")</f>
        <v/>
      </c>
    </row>
    <row r="140" ht="15" customHeight="1">
      <c r="A140" t="inlineStr">
        <is>
          <t>A 13627-2023</t>
        </is>
      </c>
      <c r="B140" s="1" t="n">
        <v>45006</v>
      </c>
      <c r="C140" s="1" t="n">
        <v>45915</v>
      </c>
      <c r="D140" t="inlineStr">
        <is>
          <t>GOTLANDS LÄN</t>
        </is>
      </c>
      <c r="E140" t="inlineStr">
        <is>
          <t>GOTLAND</t>
        </is>
      </c>
      <c r="G140" t="n">
        <v>10.7</v>
      </c>
      <c r="H140" t="n">
        <v>0</v>
      </c>
      <c r="I140" t="n">
        <v>0</v>
      </c>
      <c r="J140" t="n">
        <v>0</v>
      </c>
      <c r="K140" t="n">
        <v>1</v>
      </c>
      <c r="L140" t="n">
        <v>0</v>
      </c>
      <c r="M140" t="n">
        <v>0</v>
      </c>
      <c r="N140" t="n">
        <v>0</v>
      </c>
      <c r="O140" t="n">
        <v>1</v>
      </c>
      <c r="P140" t="n">
        <v>1</v>
      </c>
      <c r="Q140" t="n">
        <v>1</v>
      </c>
      <c r="R140" s="2" t="inlineStr">
        <is>
          <t>Sammetsbockrot</t>
        </is>
      </c>
      <c r="S140">
        <f>HYPERLINK("https://klasma.github.io/Logging_0980/artfynd/A 13627-2023 artfynd.xlsx", "A 13627-2023")</f>
        <v/>
      </c>
      <c r="T140">
        <f>HYPERLINK("https://klasma.github.io/Logging_0980/kartor/A 13627-2023 karta.png", "A 13627-2023")</f>
        <v/>
      </c>
      <c r="V140">
        <f>HYPERLINK("https://klasma.github.io/Logging_0980/klagomål/A 13627-2023 FSC-klagomål.docx", "A 13627-2023")</f>
        <v/>
      </c>
      <c r="W140">
        <f>HYPERLINK("https://klasma.github.io/Logging_0980/klagomålsmail/A 13627-2023 FSC-klagomål mail.docx", "A 13627-2023")</f>
        <v/>
      </c>
      <c r="X140">
        <f>HYPERLINK("https://klasma.github.io/Logging_0980/tillsyn/A 13627-2023 tillsynsbegäran.docx", "A 13627-2023")</f>
        <v/>
      </c>
      <c r="Y140">
        <f>HYPERLINK("https://klasma.github.io/Logging_0980/tillsynsmail/A 13627-2023 tillsynsbegäran mail.docx", "A 13627-2023")</f>
        <v/>
      </c>
    </row>
    <row r="141" ht="15" customHeight="1">
      <c r="A141" t="inlineStr">
        <is>
          <t>A 27589-2023</t>
        </is>
      </c>
      <c r="B141" s="1" t="n">
        <v>45097</v>
      </c>
      <c r="C141" s="1" t="n">
        <v>45915</v>
      </c>
      <c r="D141" t="inlineStr">
        <is>
          <t>GOTLANDS LÄN</t>
        </is>
      </c>
      <c r="E141" t="inlineStr">
        <is>
          <t>GOTLAND</t>
        </is>
      </c>
      <c r="G141" t="n">
        <v>5.4</v>
      </c>
      <c r="H141" t="n">
        <v>0</v>
      </c>
      <c r="I141" t="n">
        <v>0</v>
      </c>
      <c r="J141" t="n">
        <v>0</v>
      </c>
      <c r="K141" t="n">
        <v>0</v>
      </c>
      <c r="L141" t="n">
        <v>0</v>
      </c>
      <c r="M141" t="n">
        <v>1</v>
      </c>
      <c r="N141" t="n">
        <v>0</v>
      </c>
      <c r="O141" t="n">
        <v>1</v>
      </c>
      <c r="P141" t="n">
        <v>1</v>
      </c>
      <c r="Q141" t="n">
        <v>1</v>
      </c>
      <c r="R141" s="2" t="inlineStr">
        <is>
          <t>Skogsalm</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35574-2024</t>
        </is>
      </c>
      <c r="B142" s="1" t="n">
        <v>45531</v>
      </c>
      <c r="C142" s="1" t="n">
        <v>45915</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45915</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10440-2024</t>
        </is>
      </c>
      <c r="B144" s="1" t="n">
        <v>45366.32818287037</v>
      </c>
      <c r="C144" s="1" t="n">
        <v>45915</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12924-2025</t>
        </is>
      </c>
      <c r="B145" s="1" t="n">
        <v>45734</v>
      </c>
      <c r="C145" s="1" t="n">
        <v>45915</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44958-2020</t>
        </is>
      </c>
      <c r="B146" s="1" t="n">
        <v>44088</v>
      </c>
      <c r="C146" s="1" t="n">
        <v>45915</v>
      </c>
      <c r="D146" t="inlineStr">
        <is>
          <t>GOTLANDS LÄN</t>
        </is>
      </c>
      <c r="E146" t="inlineStr">
        <is>
          <t>GOTLAND</t>
        </is>
      </c>
      <c r="G146" t="n">
        <v>0.6</v>
      </c>
      <c r="H146" t="n">
        <v>1</v>
      </c>
      <c r="I146" t="n">
        <v>0</v>
      </c>
      <c r="J146" t="n">
        <v>1</v>
      </c>
      <c r="K146" t="n">
        <v>0</v>
      </c>
      <c r="L146" t="n">
        <v>0</v>
      </c>
      <c r="M146" t="n">
        <v>0</v>
      </c>
      <c r="N146" t="n">
        <v>0</v>
      </c>
      <c r="O146" t="n">
        <v>1</v>
      </c>
      <c r="P146" t="n">
        <v>0</v>
      </c>
      <c r="Q146" t="n">
        <v>1</v>
      </c>
      <c r="R146" s="2" t="inlineStr">
        <is>
          <t>Hornuggla</t>
        </is>
      </c>
      <c r="S146">
        <f>HYPERLINK("https://klasma.github.io/Logging_0980/artfynd/A 44958-2020 artfynd.xlsx", "A 44958-2020")</f>
        <v/>
      </c>
      <c r="T146">
        <f>HYPERLINK("https://klasma.github.io/Logging_0980/kartor/A 44958-2020 karta.png", "A 44958-2020")</f>
        <v/>
      </c>
      <c r="V146">
        <f>HYPERLINK("https://klasma.github.io/Logging_0980/klagomål/A 44958-2020 FSC-klagomål.docx", "A 44958-2020")</f>
        <v/>
      </c>
      <c r="W146">
        <f>HYPERLINK("https://klasma.github.io/Logging_0980/klagomålsmail/A 44958-2020 FSC-klagomål mail.docx", "A 44958-2020")</f>
        <v/>
      </c>
      <c r="X146">
        <f>HYPERLINK("https://klasma.github.io/Logging_0980/tillsyn/A 44958-2020 tillsynsbegäran.docx", "A 44958-2020")</f>
        <v/>
      </c>
      <c r="Y146">
        <f>HYPERLINK("https://klasma.github.io/Logging_0980/tillsynsmail/A 44958-2020 tillsynsbegäran mail.docx", "A 44958-2020")</f>
        <v/>
      </c>
      <c r="Z146">
        <f>HYPERLINK("https://klasma.github.io/Logging_0980/fåglar/A 44958-2020 prioriterade fågelarter.docx", "A 44958-2020")</f>
        <v/>
      </c>
    </row>
    <row r="147" ht="15" customHeight="1">
      <c r="A147" t="inlineStr">
        <is>
          <t>A 6303-2024</t>
        </is>
      </c>
      <c r="B147" s="1" t="n">
        <v>45338.35376157407</v>
      </c>
      <c r="C147" s="1" t="n">
        <v>45915</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25977-2024</t>
        </is>
      </c>
      <c r="B148" s="1" t="n">
        <v>45467.69356481481</v>
      </c>
      <c r="C148" s="1" t="n">
        <v>45915</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45915</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26461-2025</t>
        </is>
      </c>
      <c r="B150" s="1" t="n">
        <v>45807.43337962963</v>
      </c>
      <c r="C150" s="1" t="n">
        <v>45915</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61796-2022</t>
        </is>
      </c>
      <c r="B151" s="1" t="n">
        <v>44917</v>
      </c>
      <c r="C151" s="1" t="n">
        <v>45915</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34809-2024</t>
        </is>
      </c>
      <c r="B152" s="1" t="n">
        <v>45526</v>
      </c>
      <c r="C152" s="1" t="n">
        <v>45915</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15637-2024</t>
        </is>
      </c>
      <c r="B153" s="1" t="n">
        <v>45403.6684837963</v>
      </c>
      <c r="C153" s="1" t="n">
        <v>45915</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61561-2023</t>
        </is>
      </c>
      <c r="B154" s="1" t="n">
        <v>45265</v>
      </c>
      <c r="C154" s="1" t="n">
        <v>45915</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2476-2025</t>
        </is>
      </c>
      <c r="B155" s="1" t="n">
        <v>45673</v>
      </c>
      <c r="C155" s="1" t="n">
        <v>45915</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8725-2025</t>
        </is>
      </c>
      <c r="B156" s="1" t="n">
        <v>45712</v>
      </c>
      <c r="C156" s="1" t="n">
        <v>45915</v>
      </c>
      <c r="D156" t="inlineStr">
        <is>
          <t>GOTLANDS LÄN</t>
        </is>
      </c>
      <c r="E156" t="inlineStr">
        <is>
          <t>GOTLAND</t>
        </is>
      </c>
      <c r="G156" t="n">
        <v>4.4</v>
      </c>
      <c r="H156" t="n">
        <v>1</v>
      </c>
      <c r="I156" t="n">
        <v>0</v>
      </c>
      <c r="J156" t="n">
        <v>1</v>
      </c>
      <c r="K156" t="n">
        <v>0</v>
      </c>
      <c r="L156" t="n">
        <v>0</v>
      </c>
      <c r="M156" t="n">
        <v>0</v>
      </c>
      <c r="N156" t="n">
        <v>0</v>
      </c>
      <c r="O156" t="n">
        <v>1</v>
      </c>
      <c r="P156" t="n">
        <v>0</v>
      </c>
      <c r="Q156" t="n">
        <v>1</v>
      </c>
      <c r="R156" s="2" t="inlineStr">
        <is>
          <t>Spillkråka</t>
        </is>
      </c>
      <c r="S156">
        <f>HYPERLINK("https://klasma.github.io/Logging_0980/artfynd/A 8725-2025 artfynd.xlsx", "A 8725-2025")</f>
        <v/>
      </c>
      <c r="T156">
        <f>HYPERLINK("https://klasma.github.io/Logging_0980/kartor/A 8725-2025 karta.png", "A 8725-2025")</f>
        <v/>
      </c>
      <c r="V156">
        <f>HYPERLINK("https://klasma.github.io/Logging_0980/klagomål/A 8725-2025 FSC-klagomål.docx", "A 8725-2025")</f>
        <v/>
      </c>
      <c r="W156">
        <f>HYPERLINK("https://klasma.github.io/Logging_0980/klagomålsmail/A 8725-2025 FSC-klagomål mail.docx", "A 8725-2025")</f>
        <v/>
      </c>
      <c r="X156">
        <f>HYPERLINK("https://klasma.github.io/Logging_0980/tillsyn/A 8725-2025 tillsynsbegäran.docx", "A 8725-2025")</f>
        <v/>
      </c>
      <c r="Y156">
        <f>HYPERLINK("https://klasma.github.io/Logging_0980/tillsynsmail/A 8725-2025 tillsynsbegäran mail.docx", "A 8725-2025")</f>
        <v/>
      </c>
      <c r="Z156">
        <f>HYPERLINK("https://klasma.github.io/Logging_0980/fåglar/A 8725-2025 prioriterade fågelarter.docx", "A 8725-2025")</f>
        <v/>
      </c>
    </row>
    <row r="157" ht="15" customHeight="1">
      <c r="A157" t="inlineStr">
        <is>
          <t>A 10995-2023</t>
        </is>
      </c>
      <c r="B157" s="1" t="n">
        <v>44986</v>
      </c>
      <c r="C157" s="1" t="n">
        <v>45915</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45915</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45915</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45915</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447-2023</t>
        </is>
      </c>
      <c r="B161" s="1" t="n">
        <v>44929</v>
      </c>
      <c r="C161" s="1" t="n">
        <v>45915</v>
      </c>
      <c r="D161" t="inlineStr">
        <is>
          <t>GOTLANDS LÄN</t>
        </is>
      </c>
      <c r="E161" t="inlineStr">
        <is>
          <t>GOTLAND</t>
        </is>
      </c>
      <c r="G161" t="n">
        <v>5.1</v>
      </c>
      <c r="H161" t="n">
        <v>0</v>
      </c>
      <c r="I161" t="n">
        <v>0</v>
      </c>
      <c r="J161" t="n">
        <v>1</v>
      </c>
      <c r="K161" t="n">
        <v>0</v>
      </c>
      <c r="L161" t="n">
        <v>0</v>
      </c>
      <c r="M161" t="n">
        <v>0</v>
      </c>
      <c r="N161" t="n">
        <v>0</v>
      </c>
      <c r="O161" t="n">
        <v>1</v>
      </c>
      <c r="P161" t="n">
        <v>0</v>
      </c>
      <c r="Q161" t="n">
        <v>1</v>
      </c>
      <c r="R161" s="2" t="inlineStr">
        <is>
          <t>Äggspindling</t>
        </is>
      </c>
      <c r="S161">
        <f>HYPERLINK("https://klasma.github.io/Logging_0980/artfynd/A 447-2023 artfynd.xlsx", "A 447-2023")</f>
        <v/>
      </c>
      <c r="T161">
        <f>HYPERLINK("https://klasma.github.io/Logging_0980/kartor/A 447-2023 karta.png", "A 447-2023")</f>
        <v/>
      </c>
      <c r="V161">
        <f>HYPERLINK("https://klasma.github.io/Logging_0980/klagomål/A 447-2023 FSC-klagomål.docx", "A 447-2023")</f>
        <v/>
      </c>
      <c r="W161">
        <f>HYPERLINK("https://klasma.github.io/Logging_0980/klagomålsmail/A 447-2023 FSC-klagomål mail.docx", "A 447-2023")</f>
        <v/>
      </c>
      <c r="X161">
        <f>HYPERLINK("https://klasma.github.io/Logging_0980/tillsyn/A 447-2023 tillsynsbegäran.docx", "A 447-2023")</f>
        <v/>
      </c>
      <c r="Y161">
        <f>HYPERLINK("https://klasma.github.io/Logging_0980/tillsynsmail/A 447-2023 tillsynsbegäran mail.docx", "A 447-2023")</f>
        <v/>
      </c>
    </row>
    <row r="162" ht="15" customHeight="1">
      <c r="A162" t="inlineStr">
        <is>
          <t>A 34141-2024</t>
        </is>
      </c>
      <c r="B162" s="1" t="n">
        <v>45524.36229166666</v>
      </c>
      <c r="C162" s="1" t="n">
        <v>45915</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947-2023</t>
        </is>
      </c>
      <c r="B163" s="1" t="n">
        <v>44934</v>
      </c>
      <c r="C163" s="1" t="n">
        <v>45915</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9862-2024</t>
        </is>
      </c>
      <c r="B164" s="1" t="n">
        <v>45363</v>
      </c>
      <c r="C164" s="1" t="n">
        <v>45915</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63299-2020</t>
        </is>
      </c>
      <c r="B165" s="1" t="n">
        <v>44165</v>
      </c>
      <c r="C165" s="1" t="n">
        <v>45915</v>
      </c>
      <c r="D165" t="inlineStr">
        <is>
          <t>GOTLANDS LÄN</t>
        </is>
      </c>
      <c r="E165" t="inlineStr">
        <is>
          <t>GOTLAND</t>
        </is>
      </c>
      <c r="G165" t="n">
        <v>12.9</v>
      </c>
      <c r="H165" t="n">
        <v>1</v>
      </c>
      <c r="I165" t="n">
        <v>0</v>
      </c>
      <c r="J165" t="n">
        <v>1</v>
      </c>
      <c r="K165" t="n">
        <v>0</v>
      </c>
      <c r="L165" t="n">
        <v>0</v>
      </c>
      <c r="M165" t="n">
        <v>0</v>
      </c>
      <c r="N165" t="n">
        <v>0</v>
      </c>
      <c r="O165" t="n">
        <v>1</v>
      </c>
      <c r="P165" t="n">
        <v>0</v>
      </c>
      <c r="Q165" t="n">
        <v>1</v>
      </c>
      <c r="R165" s="2" t="inlineStr">
        <is>
          <t>Svartfläckig blåvinge</t>
        </is>
      </c>
      <c r="S165">
        <f>HYPERLINK("https://klasma.github.io/Logging_0980/artfynd/A 63299-2020 artfynd.xlsx", "A 63299-2020")</f>
        <v/>
      </c>
      <c r="T165">
        <f>HYPERLINK("https://klasma.github.io/Logging_0980/kartor/A 63299-2020 karta.png", "A 63299-2020")</f>
        <v/>
      </c>
      <c r="V165">
        <f>HYPERLINK("https://klasma.github.io/Logging_0980/klagomål/A 63299-2020 FSC-klagomål.docx", "A 63299-2020")</f>
        <v/>
      </c>
      <c r="W165">
        <f>HYPERLINK("https://klasma.github.io/Logging_0980/klagomålsmail/A 63299-2020 FSC-klagomål mail.docx", "A 63299-2020")</f>
        <v/>
      </c>
      <c r="X165">
        <f>HYPERLINK("https://klasma.github.io/Logging_0980/tillsyn/A 63299-2020 tillsynsbegäran.docx", "A 63299-2020")</f>
        <v/>
      </c>
      <c r="Y165">
        <f>HYPERLINK("https://klasma.github.io/Logging_0980/tillsynsmail/A 63299-2020 tillsynsbegäran mail.docx", "A 63299-2020")</f>
        <v/>
      </c>
    </row>
    <row r="166" ht="15" customHeight="1">
      <c r="A166" t="inlineStr">
        <is>
          <t>A 27168-2022</t>
        </is>
      </c>
      <c r="B166" s="1" t="n">
        <v>44741</v>
      </c>
      <c r="C166" s="1" t="n">
        <v>45915</v>
      </c>
      <c r="D166" t="inlineStr">
        <is>
          <t>GOTLANDS LÄN</t>
        </is>
      </c>
      <c r="E166" t="inlineStr">
        <is>
          <t>GOTLAND</t>
        </is>
      </c>
      <c r="G166" t="n">
        <v>2.2</v>
      </c>
      <c r="H166" t="n">
        <v>1</v>
      </c>
      <c r="I166" t="n">
        <v>1</v>
      </c>
      <c r="J166" t="n">
        <v>0</v>
      </c>
      <c r="K166" t="n">
        <v>0</v>
      </c>
      <c r="L166" t="n">
        <v>0</v>
      </c>
      <c r="M166" t="n">
        <v>0</v>
      </c>
      <c r="N166" t="n">
        <v>0</v>
      </c>
      <c r="O166" t="n">
        <v>0</v>
      </c>
      <c r="P166" t="n">
        <v>0</v>
      </c>
      <c r="Q166" t="n">
        <v>1</v>
      </c>
      <c r="R166" s="2" t="inlineStr">
        <is>
          <t>Purpurknipprot</t>
        </is>
      </c>
      <c r="S166">
        <f>HYPERLINK("https://klasma.github.io/Logging_0980/artfynd/A 27168-2022 artfynd.xlsx", "A 27168-2022")</f>
        <v/>
      </c>
      <c r="T166">
        <f>HYPERLINK("https://klasma.github.io/Logging_0980/kartor/A 27168-2022 karta.png", "A 27168-2022")</f>
        <v/>
      </c>
      <c r="V166">
        <f>HYPERLINK("https://klasma.github.io/Logging_0980/klagomål/A 27168-2022 FSC-klagomål.docx", "A 27168-2022")</f>
        <v/>
      </c>
      <c r="W166">
        <f>HYPERLINK("https://klasma.github.io/Logging_0980/klagomålsmail/A 27168-2022 FSC-klagomål mail.docx", "A 27168-2022")</f>
        <v/>
      </c>
      <c r="X166">
        <f>HYPERLINK("https://klasma.github.io/Logging_0980/tillsyn/A 27168-2022 tillsynsbegäran.docx", "A 27168-2022")</f>
        <v/>
      </c>
      <c r="Y166">
        <f>HYPERLINK("https://klasma.github.io/Logging_0980/tillsynsmail/A 27168-2022 tillsynsbegäran mail.docx", "A 27168-2022")</f>
        <v/>
      </c>
    </row>
    <row r="167" ht="15" customHeight="1">
      <c r="A167" t="inlineStr">
        <is>
          <t>A 49304-2024</t>
        </is>
      </c>
      <c r="B167" s="1" t="n">
        <v>45595.54996527778</v>
      </c>
      <c r="C167" s="1" t="n">
        <v>45915</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39812-2025</t>
        </is>
      </c>
      <c r="B168" s="1" t="n">
        <v>45891</v>
      </c>
      <c r="C168" s="1" t="n">
        <v>45915</v>
      </c>
      <c r="D168" t="inlineStr">
        <is>
          <t>GOTLANDS LÄN</t>
        </is>
      </c>
      <c r="E168" t="inlineStr">
        <is>
          <t>GOTLAND</t>
        </is>
      </c>
      <c r="G168" t="n">
        <v>6</v>
      </c>
      <c r="H168" t="n">
        <v>1</v>
      </c>
      <c r="I168" t="n">
        <v>0</v>
      </c>
      <c r="J168" t="n">
        <v>0</v>
      </c>
      <c r="K168" t="n">
        <v>0</v>
      </c>
      <c r="L168" t="n">
        <v>1</v>
      </c>
      <c r="M168" t="n">
        <v>0</v>
      </c>
      <c r="N168" t="n">
        <v>0</v>
      </c>
      <c r="O168" t="n">
        <v>1</v>
      </c>
      <c r="P168" t="n">
        <v>1</v>
      </c>
      <c r="Q168" t="n">
        <v>1</v>
      </c>
      <c r="R168" s="2" t="inlineStr">
        <is>
          <t>Nålkörvel</t>
        </is>
      </c>
      <c r="S168">
        <f>HYPERLINK("https://klasma.github.io/Logging_0980/artfynd/A 39812-2025 artfynd.xlsx", "A 39812-2025")</f>
        <v/>
      </c>
      <c r="T168">
        <f>HYPERLINK("https://klasma.github.io/Logging_0980/kartor/A 39812-2025 karta.png", "A 39812-2025")</f>
        <v/>
      </c>
      <c r="V168">
        <f>HYPERLINK("https://klasma.github.io/Logging_0980/klagomål/A 39812-2025 FSC-klagomål.docx", "A 39812-2025")</f>
        <v/>
      </c>
      <c r="W168">
        <f>HYPERLINK("https://klasma.github.io/Logging_0980/klagomålsmail/A 39812-2025 FSC-klagomål mail.docx", "A 39812-2025")</f>
        <v/>
      </c>
      <c r="X168">
        <f>HYPERLINK("https://klasma.github.io/Logging_0980/tillsyn/A 39812-2025 tillsynsbegäran.docx", "A 39812-2025")</f>
        <v/>
      </c>
      <c r="Y168">
        <f>HYPERLINK("https://klasma.github.io/Logging_0980/tillsynsmail/A 39812-2025 tillsynsbegäran mail.docx", "A 39812-2025")</f>
        <v/>
      </c>
    </row>
    <row r="169" ht="15" customHeight="1">
      <c r="A169" t="inlineStr">
        <is>
          <t>A 22782-2023</t>
        </is>
      </c>
      <c r="B169" s="1" t="n">
        <v>45072</v>
      </c>
      <c r="C169" s="1" t="n">
        <v>45915</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24245-2022</t>
        </is>
      </c>
      <c r="B170" s="1" t="n">
        <v>44725</v>
      </c>
      <c r="C170" s="1" t="n">
        <v>45915</v>
      </c>
      <c r="D170" t="inlineStr">
        <is>
          <t>GOTLANDS LÄN</t>
        </is>
      </c>
      <c r="E170" t="inlineStr">
        <is>
          <t>GOTLAND</t>
        </is>
      </c>
      <c r="G170" t="n">
        <v>4.9</v>
      </c>
      <c r="H170" t="n">
        <v>0</v>
      </c>
      <c r="I170" t="n">
        <v>0</v>
      </c>
      <c r="J170" t="n">
        <v>0</v>
      </c>
      <c r="K170" t="n">
        <v>0</v>
      </c>
      <c r="L170" t="n">
        <v>1</v>
      </c>
      <c r="M170" t="n">
        <v>0</v>
      </c>
      <c r="N170" t="n">
        <v>0</v>
      </c>
      <c r="O170" t="n">
        <v>1</v>
      </c>
      <c r="P170" t="n">
        <v>1</v>
      </c>
      <c r="Q170" t="n">
        <v>1</v>
      </c>
      <c r="R170" s="2" t="inlineStr">
        <is>
          <t>Slät taggsvamp</t>
        </is>
      </c>
      <c r="S170">
        <f>HYPERLINK("https://klasma.github.io/Logging_0980/artfynd/A 24245-2022 artfynd.xlsx", "A 24245-2022")</f>
        <v/>
      </c>
      <c r="T170">
        <f>HYPERLINK("https://klasma.github.io/Logging_0980/kartor/A 24245-2022 karta.png", "A 24245-2022")</f>
        <v/>
      </c>
      <c r="V170">
        <f>HYPERLINK("https://klasma.github.io/Logging_0980/klagomål/A 24245-2022 FSC-klagomål.docx", "A 24245-2022")</f>
        <v/>
      </c>
      <c r="W170">
        <f>HYPERLINK("https://klasma.github.io/Logging_0980/klagomålsmail/A 24245-2022 FSC-klagomål mail.docx", "A 24245-2022")</f>
        <v/>
      </c>
      <c r="X170">
        <f>HYPERLINK("https://klasma.github.io/Logging_0980/tillsyn/A 24245-2022 tillsynsbegäran.docx", "A 24245-2022")</f>
        <v/>
      </c>
      <c r="Y170">
        <f>HYPERLINK("https://klasma.github.io/Logging_0980/tillsynsmail/A 24245-2022 tillsynsbegäran mail.docx", "A 24245-2022")</f>
        <v/>
      </c>
    </row>
    <row r="171" ht="15" customHeight="1">
      <c r="A171" t="inlineStr">
        <is>
          <t>A 49847-2023</t>
        </is>
      </c>
      <c r="B171" s="1" t="n">
        <v>45212</v>
      </c>
      <c r="C171" s="1" t="n">
        <v>45915</v>
      </c>
      <c r="D171" t="inlineStr">
        <is>
          <t>GOTLANDS LÄN</t>
        </is>
      </c>
      <c r="E171" t="inlineStr">
        <is>
          <t>GOTLAND</t>
        </is>
      </c>
      <c r="G171" t="n">
        <v>35.2</v>
      </c>
      <c r="H171" t="n">
        <v>0</v>
      </c>
      <c r="I171" t="n">
        <v>0</v>
      </c>
      <c r="J171" t="n">
        <v>0</v>
      </c>
      <c r="K171" t="n">
        <v>1</v>
      </c>
      <c r="L171" t="n">
        <v>0</v>
      </c>
      <c r="M171" t="n">
        <v>0</v>
      </c>
      <c r="N171" t="n">
        <v>0</v>
      </c>
      <c r="O171" t="n">
        <v>1</v>
      </c>
      <c r="P171" t="n">
        <v>1</v>
      </c>
      <c r="Q171" t="n">
        <v>1</v>
      </c>
      <c r="R171" s="2" t="inlineStr">
        <is>
          <t>Strandviol</t>
        </is>
      </c>
      <c r="S171">
        <f>HYPERLINK("https://klasma.github.io/Logging_0980/artfynd/A 49847-2023 artfynd.xlsx", "A 49847-2023")</f>
        <v/>
      </c>
      <c r="T171">
        <f>HYPERLINK("https://klasma.github.io/Logging_0980/kartor/A 49847-2023 karta.png", "A 49847-2023")</f>
        <v/>
      </c>
      <c r="V171">
        <f>HYPERLINK("https://klasma.github.io/Logging_0980/klagomål/A 49847-2023 FSC-klagomål.docx", "A 49847-2023")</f>
        <v/>
      </c>
      <c r="W171">
        <f>HYPERLINK("https://klasma.github.io/Logging_0980/klagomålsmail/A 49847-2023 FSC-klagomål mail.docx", "A 49847-2023")</f>
        <v/>
      </c>
      <c r="X171">
        <f>HYPERLINK("https://klasma.github.io/Logging_0980/tillsyn/A 49847-2023 tillsynsbegäran.docx", "A 49847-2023")</f>
        <v/>
      </c>
      <c r="Y171">
        <f>HYPERLINK("https://klasma.github.io/Logging_0980/tillsynsmail/A 49847-2023 tillsynsbegäran mail.docx", "A 49847-2023")</f>
        <v/>
      </c>
    </row>
    <row r="172" ht="15" customHeight="1">
      <c r="A172" t="inlineStr">
        <is>
          <t>A 46527-2023</t>
        </is>
      </c>
      <c r="B172" s="1" t="n">
        <v>45197</v>
      </c>
      <c r="C172" s="1" t="n">
        <v>45915</v>
      </c>
      <c r="D172" t="inlineStr">
        <is>
          <t>GOTLANDS LÄN</t>
        </is>
      </c>
      <c r="E172" t="inlineStr">
        <is>
          <t>GOTLAND</t>
        </is>
      </c>
      <c r="G172" t="n">
        <v>0.9</v>
      </c>
      <c r="H172" t="n">
        <v>0</v>
      </c>
      <c r="I172" t="n">
        <v>0</v>
      </c>
      <c r="J172" t="n">
        <v>1</v>
      </c>
      <c r="K172" t="n">
        <v>0</v>
      </c>
      <c r="L172" t="n">
        <v>0</v>
      </c>
      <c r="M172" t="n">
        <v>0</v>
      </c>
      <c r="N172" t="n">
        <v>0</v>
      </c>
      <c r="O172" t="n">
        <v>1</v>
      </c>
      <c r="P172" t="n">
        <v>0</v>
      </c>
      <c r="Q172" t="n">
        <v>1</v>
      </c>
      <c r="R172" s="2" t="inlineStr">
        <is>
          <t>Guldgräshoppa</t>
        </is>
      </c>
      <c r="S172">
        <f>HYPERLINK("https://klasma.github.io/Logging_0980/artfynd/A 46527-2023 artfynd.xlsx", "A 46527-2023")</f>
        <v/>
      </c>
      <c r="T172">
        <f>HYPERLINK("https://klasma.github.io/Logging_0980/kartor/A 46527-2023 karta.png", "A 46527-2023")</f>
        <v/>
      </c>
      <c r="V172">
        <f>HYPERLINK("https://klasma.github.io/Logging_0980/klagomål/A 46527-2023 FSC-klagomål.docx", "A 46527-2023")</f>
        <v/>
      </c>
      <c r="W172">
        <f>HYPERLINK("https://klasma.github.io/Logging_0980/klagomålsmail/A 46527-2023 FSC-klagomål mail.docx", "A 46527-2023")</f>
        <v/>
      </c>
      <c r="X172">
        <f>HYPERLINK("https://klasma.github.io/Logging_0980/tillsyn/A 46527-2023 tillsynsbegäran.docx", "A 46527-2023")</f>
        <v/>
      </c>
      <c r="Y172">
        <f>HYPERLINK("https://klasma.github.io/Logging_0980/tillsynsmail/A 46527-2023 tillsynsbegäran mail.docx", "A 46527-2023")</f>
        <v/>
      </c>
    </row>
    <row r="173" ht="15" customHeight="1">
      <c r="A173" t="inlineStr">
        <is>
          <t>A 12324-2025</t>
        </is>
      </c>
      <c r="B173" s="1" t="n">
        <v>45730</v>
      </c>
      <c r="C173" s="1" t="n">
        <v>45915</v>
      </c>
      <c r="D173" t="inlineStr">
        <is>
          <t>GOTLANDS LÄN</t>
        </is>
      </c>
      <c r="E173" t="inlineStr">
        <is>
          <t>GOTLAND</t>
        </is>
      </c>
      <c r="G173" t="n">
        <v>5</v>
      </c>
      <c r="H173" t="n">
        <v>0</v>
      </c>
      <c r="I173" t="n">
        <v>0</v>
      </c>
      <c r="J173" t="n">
        <v>0</v>
      </c>
      <c r="K173" t="n">
        <v>1</v>
      </c>
      <c r="L173" t="n">
        <v>0</v>
      </c>
      <c r="M173" t="n">
        <v>0</v>
      </c>
      <c r="N173" t="n">
        <v>0</v>
      </c>
      <c r="O173" t="n">
        <v>1</v>
      </c>
      <c r="P173" t="n">
        <v>1</v>
      </c>
      <c r="Q173" t="n">
        <v>1</v>
      </c>
      <c r="R173" s="2" t="inlineStr">
        <is>
          <t>Sommarklynne</t>
        </is>
      </c>
      <c r="S173">
        <f>HYPERLINK("https://klasma.github.io/Logging_0980/artfynd/A 12324-2025 artfynd.xlsx", "A 12324-2025")</f>
        <v/>
      </c>
      <c r="T173">
        <f>HYPERLINK("https://klasma.github.io/Logging_0980/kartor/A 12324-2025 karta.png", "A 12324-2025")</f>
        <v/>
      </c>
      <c r="V173">
        <f>HYPERLINK("https://klasma.github.io/Logging_0980/klagomål/A 12324-2025 FSC-klagomål.docx", "A 12324-2025")</f>
        <v/>
      </c>
      <c r="W173">
        <f>HYPERLINK("https://klasma.github.io/Logging_0980/klagomålsmail/A 12324-2025 FSC-klagomål mail.docx", "A 12324-2025")</f>
        <v/>
      </c>
      <c r="X173">
        <f>HYPERLINK("https://klasma.github.io/Logging_0980/tillsyn/A 12324-2025 tillsynsbegäran.docx", "A 12324-2025")</f>
        <v/>
      </c>
      <c r="Y173">
        <f>HYPERLINK("https://klasma.github.io/Logging_0980/tillsynsmail/A 12324-2025 tillsynsbegäran mail.docx", "A 12324-2025")</f>
        <v/>
      </c>
    </row>
    <row r="174" ht="15" customHeight="1">
      <c r="A174" t="inlineStr">
        <is>
          <t>A 19901-2021</t>
        </is>
      </c>
      <c r="B174" s="1" t="n">
        <v>44312</v>
      </c>
      <c r="C174" s="1" t="n">
        <v>45915</v>
      </c>
      <c r="D174" t="inlineStr">
        <is>
          <t>GOTLANDS LÄN</t>
        </is>
      </c>
      <c r="E174" t="inlineStr">
        <is>
          <t>GOTLAND</t>
        </is>
      </c>
      <c r="G174" t="n">
        <v>4.5</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45915</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18038-2021</t>
        </is>
      </c>
      <c r="B176" s="1" t="n">
        <v>44302</v>
      </c>
      <c r="C176" s="1" t="n">
        <v>45915</v>
      </c>
      <c r="D176" t="inlineStr">
        <is>
          <t>GOTLANDS LÄN</t>
        </is>
      </c>
      <c r="E176" t="inlineStr">
        <is>
          <t>GOTLAND</t>
        </is>
      </c>
      <c r="G176" t="n">
        <v>1.7</v>
      </c>
      <c r="H176" t="n">
        <v>0</v>
      </c>
      <c r="I176" t="n">
        <v>0</v>
      </c>
      <c r="J176" t="n">
        <v>0</v>
      </c>
      <c r="K176" t="n">
        <v>0</v>
      </c>
      <c r="L176" t="n">
        <v>0</v>
      </c>
      <c r="M176" t="n">
        <v>0</v>
      </c>
      <c r="N176" t="n">
        <v>0</v>
      </c>
      <c r="O176" t="n">
        <v>0</v>
      </c>
      <c r="P176" t="n">
        <v>0</v>
      </c>
      <c r="Q176" t="n">
        <v>0</v>
      </c>
      <c r="R176" s="2" t="inlineStr"/>
    </row>
    <row r="177" ht="15" customHeight="1">
      <c r="A177" t="inlineStr">
        <is>
          <t>A 31981-2021</t>
        </is>
      </c>
      <c r="B177" s="1" t="n">
        <v>44370</v>
      </c>
      <c r="C177" s="1" t="n">
        <v>45915</v>
      </c>
      <c r="D177" t="inlineStr">
        <is>
          <t>GOTLANDS LÄN</t>
        </is>
      </c>
      <c r="E177" t="inlineStr">
        <is>
          <t>GOTLAND</t>
        </is>
      </c>
      <c r="G177" t="n">
        <v>6.1</v>
      </c>
      <c r="H177" t="n">
        <v>0</v>
      </c>
      <c r="I177" t="n">
        <v>0</v>
      </c>
      <c r="J177" t="n">
        <v>0</v>
      </c>
      <c r="K177" t="n">
        <v>0</v>
      </c>
      <c r="L177" t="n">
        <v>0</v>
      </c>
      <c r="M177" t="n">
        <v>0</v>
      </c>
      <c r="N177" t="n">
        <v>0</v>
      </c>
      <c r="O177" t="n">
        <v>0</v>
      </c>
      <c r="P177" t="n">
        <v>0</v>
      </c>
      <c r="Q177" t="n">
        <v>0</v>
      </c>
      <c r="R177" s="2" t="inlineStr"/>
    </row>
    <row r="178" ht="15" customHeight="1">
      <c r="A178" t="inlineStr">
        <is>
          <t>A 46019-2020</t>
        </is>
      </c>
      <c r="B178" s="1" t="n">
        <v>44091</v>
      </c>
      <c r="C178" s="1" t="n">
        <v>45915</v>
      </c>
      <c r="D178" t="inlineStr">
        <is>
          <t>GOTLANDS LÄN</t>
        </is>
      </c>
      <c r="E178" t="inlineStr">
        <is>
          <t>GOTLAND</t>
        </is>
      </c>
      <c r="G178" t="n">
        <v>1.8</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45915</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45915</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45915</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45915</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45915</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45915</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45915</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45915</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45915</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45915</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45915</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45915</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45915</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45915</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45915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11402-2021</t>
        </is>
      </c>
      <c r="B194" s="1" t="n">
        <v>44263</v>
      </c>
      <c r="C194" s="1" t="n">
        <v>45915</v>
      </c>
      <c r="D194" t="inlineStr">
        <is>
          <t>GOTLANDS LÄN</t>
        </is>
      </c>
      <c r="E194" t="inlineStr">
        <is>
          <t>GOTLAND</t>
        </is>
      </c>
      <c r="G194" t="n">
        <v>2.9</v>
      </c>
      <c r="H194" t="n">
        <v>0</v>
      </c>
      <c r="I194" t="n">
        <v>0</v>
      </c>
      <c r="J194" t="n">
        <v>0</v>
      </c>
      <c r="K194" t="n">
        <v>0</v>
      </c>
      <c r="L194" t="n">
        <v>0</v>
      </c>
      <c r="M194" t="n">
        <v>0</v>
      </c>
      <c r="N194" t="n">
        <v>0</v>
      </c>
      <c r="O194" t="n">
        <v>0</v>
      </c>
      <c r="P194" t="n">
        <v>0</v>
      </c>
      <c r="Q194" t="n">
        <v>0</v>
      </c>
      <c r="R194" s="2" t="inlineStr"/>
    </row>
    <row r="195" ht="15" customHeight="1">
      <c r="A195" t="inlineStr">
        <is>
          <t>A 60356-2020</t>
        </is>
      </c>
      <c r="B195" s="1" t="n">
        <v>44152.71583333334</v>
      </c>
      <c r="C195" s="1" t="n">
        <v>45915</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45915</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45915</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19892-2021</t>
        </is>
      </c>
      <c r="B198" s="1" t="n">
        <v>44312</v>
      </c>
      <c r="C198" s="1" t="n">
        <v>45915</v>
      </c>
      <c r="D198" t="inlineStr">
        <is>
          <t>GOTLANDS LÄN</t>
        </is>
      </c>
      <c r="E198" t="inlineStr">
        <is>
          <t>GOTLAND</t>
        </is>
      </c>
      <c r="G198" t="n">
        <v>5.3</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45915</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45915</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45915</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45915</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45915</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45915</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45915</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45915</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45915</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45915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45915</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45915</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45915</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45915</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45915</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45915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45915</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45915</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45915</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13498-2022</t>
        </is>
      </c>
      <c r="B220" s="1" t="n">
        <v>44647.78866898148</v>
      </c>
      <c r="C220" s="1" t="n">
        <v>45915</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13500-2022</t>
        </is>
      </c>
      <c r="B221" s="1" t="n">
        <v>44647.79513888889</v>
      </c>
      <c r="C221" s="1" t="n">
        <v>45915</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45915</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1229-2021</t>
        </is>
      </c>
      <c r="B223" s="1" t="n">
        <v>44208</v>
      </c>
      <c r="C223" s="1" t="n">
        <v>45915</v>
      </c>
      <c r="D223" t="inlineStr">
        <is>
          <t>GOTLANDS LÄN</t>
        </is>
      </c>
      <c r="E223" t="inlineStr">
        <is>
          <t>GOTLAND</t>
        </is>
      </c>
      <c r="G223" t="n">
        <v>5.3</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45915</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44713.6452199074</v>
      </c>
      <c r="C225" s="1" t="n">
        <v>45915</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45915</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62120-2020</t>
        </is>
      </c>
      <c r="B227" s="1" t="n">
        <v>44158</v>
      </c>
      <c r="C227" s="1" t="n">
        <v>45915</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45915</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53641-2020</t>
        </is>
      </c>
      <c r="B229" s="1" t="n">
        <v>44124</v>
      </c>
      <c r="C229" s="1" t="n">
        <v>45915</v>
      </c>
      <c r="D229" t="inlineStr">
        <is>
          <t>GOTLANDS LÄN</t>
        </is>
      </c>
      <c r="E229" t="inlineStr">
        <is>
          <t>GOTLAND</t>
        </is>
      </c>
      <c r="G229" t="n">
        <v>3.2</v>
      </c>
      <c r="H229" t="n">
        <v>0</v>
      </c>
      <c r="I229" t="n">
        <v>0</v>
      </c>
      <c r="J229" t="n">
        <v>0</v>
      </c>
      <c r="K229" t="n">
        <v>0</v>
      </c>
      <c r="L229" t="n">
        <v>0</v>
      </c>
      <c r="M229" t="n">
        <v>0</v>
      </c>
      <c r="N229" t="n">
        <v>0</v>
      </c>
      <c r="O229" t="n">
        <v>0</v>
      </c>
      <c r="P229" t="n">
        <v>0</v>
      </c>
      <c r="Q229" t="n">
        <v>0</v>
      </c>
      <c r="R229" s="2" t="inlineStr"/>
    </row>
    <row r="230" ht="15" customHeight="1">
      <c r="A230" t="inlineStr">
        <is>
          <t>A 32330-2024</t>
        </is>
      </c>
      <c r="B230" s="1" t="n">
        <v>45512</v>
      </c>
      <c r="C230" s="1" t="n">
        <v>45915</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3271-2021</t>
        </is>
      </c>
      <c r="B231" s="1" t="n">
        <v>44217</v>
      </c>
      <c r="C231" s="1" t="n">
        <v>45915</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45915</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9613-2025</t>
        </is>
      </c>
      <c r="B233" s="1" t="n">
        <v>45715</v>
      </c>
      <c r="C233" s="1" t="n">
        <v>45915</v>
      </c>
      <c r="D233" t="inlineStr">
        <is>
          <t>GOTLANDS LÄN</t>
        </is>
      </c>
      <c r="E233" t="inlineStr">
        <is>
          <t>GOTLAND</t>
        </is>
      </c>
      <c r="G233" t="n">
        <v>3.5</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45915</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5751-2024</t>
        </is>
      </c>
      <c r="B235" s="1" t="n">
        <v>45335.32702546296</v>
      </c>
      <c r="C235" s="1" t="n">
        <v>45915</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45915</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24966-2023</t>
        </is>
      </c>
      <c r="B237" s="1" t="n">
        <v>45085</v>
      </c>
      <c r="C237" s="1" t="n">
        <v>45915</v>
      </c>
      <c r="D237" t="inlineStr">
        <is>
          <t>GOTLANDS LÄN</t>
        </is>
      </c>
      <c r="E237" t="inlineStr">
        <is>
          <t>GOTLAND</t>
        </is>
      </c>
      <c r="G237" t="n">
        <v>7</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45915</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46189-2022</t>
        </is>
      </c>
      <c r="B239" s="1" t="n">
        <v>44847</v>
      </c>
      <c r="C239" s="1" t="n">
        <v>45915</v>
      </c>
      <c r="D239" t="inlineStr">
        <is>
          <t>GOTLANDS LÄN</t>
        </is>
      </c>
      <c r="E239" t="inlineStr">
        <is>
          <t>GOTLAND</t>
        </is>
      </c>
      <c r="G239" t="n">
        <v>0.4</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45915</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6108-2025</t>
        </is>
      </c>
      <c r="B241" s="1" t="n">
        <v>45698.29880787037</v>
      </c>
      <c r="C241" s="1" t="n">
        <v>45915</v>
      </c>
      <c r="D241" t="inlineStr">
        <is>
          <t>GOTLANDS LÄN</t>
        </is>
      </c>
      <c r="E241" t="inlineStr">
        <is>
          <t>GOTLAND</t>
        </is>
      </c>
      <c r="G241" t="n">
        <v>2.8</v>
      </c>
      <c r="H241" t="n">
        <v>0</v>
      </c>
      <c r="I241" t="n">
        <v>0</v>
      </c>
      <c r="J241" t="n">
        <v>0</v>
      </c>
      <c r="K241" t="n">
        <v>0</v>
      </c>
      <c r="L241" t="n">
        <v>0</v>
      </c>
      <c r="M241" t="n">
        <v>0</v>
      </c>
      <c r="N241" t="n">
        <v>0</v>
      </c>
      <c r="O241" t="n">
        <v>0</v>
      </c>
      <c r="P241" t="n">
        <v>0</v>
      </c>
      <c r="Q241" t="n">
        <v>0</v>
      </c>
      <c r="R241" s="2" t="inlineStr"/>
    </row>
    <row r="242" ht="15" customHeight="1">
      <c r="A242" t="inlineStr">
        <is>
          <t>A 46545-2024</t>
        </is>
      </c>
      <c r="B242" s="1" t="n">
        <v>45582.65831018519</v>
      </c>
      <c r="C242" s="1" t="n">
        <v>45915</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53935-2024</t>
        </is>
      </c>
      <c r="B243" s="1" t="n">
        <v>45615</v>
      </c>
      <c r="C243" s="1" t="n">
        <v>45915</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18223-2025</t>
        </is>
      </c>
      <c r="B244" s="1" t="n">
        <v>45761</v>
      </c>
      <c r="C244" s="1" t="n">
        <v>45915</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60086-2022</t>
        </is>
      </c>
      <c r="B245" s="1" t="n">
        <v>44909</v>
      </c>
      <c r="C245" s="1" t="n">
        <v>45915</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4420-2025</t>
        </is>
      </c>
      <c r="B246" s="1" t="n">
        <v>45686.47157407407</v>
      </c>
      <c r="C246" s="1" t="n">
        <v>45915</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28480-2023</t>
        </is>
      </c>
      <c r="B247" s="1" t="n">
        <v>45103</v>
      </c>
      <c r="C247" s="1" t="n">
        <v>45915</v>
      </c>
      <c r="D247" t="inlineStr">
        <is>
          <t>GOTLANDS LÄN</t>
        </is>
      </c>
      <c r="E247" t="inlineStr">
        <is>
          <t>GOTLAND</t>
        </is>
      </c>
      <c r="G247" t="n">
        <v>5.7</v>
      </c>
      <c r="H247" t="n">
        <v>0</v>
      </c>
      <c r="I247" t="n">
        <v>0</v>
      </c>
      <c r="J247" t="n">
        <v>0</v>
      </c>
      <c r="K247" t="n">
        <v>0</v>
      </c>
      <c r="L247" t="n">
        <v>0</v>
      </c>
      <c r="M247" t="n">
        <v>0</v>
      </c>
      <c r="N247" t="n">
        <v>0</v>
      </c>
      <c r="O247" t="n">
        <v>0</v>
      </c>
      <c r="P247" t="n">
        <v>0</v>
      </c>
      <c r="Q247" t="n">
        <v>0</v>
      </c>
      <c r="R247" s="2" t="inlineStr"/>
    </row>
    <row r="248" ht="15" customHeight="1">
      <c r="A248" t="inlineStr">
        <is>
          <t>A 28485-2023</t>
        </is>
      </c>
      <c r="B248" s="1" t="n">
        <v>45103.43731481482</v>
      </c>
      <c r="C248" s="1" t="n">
        <v>45915</v>
      </c>
      <c r="D248" t="inlineStr">
        <is>
          <t>GOTLANDS LÄN</t>
        </is>
      </c>
      <c r="E248" t="inlineStr">
        <is>
          <t>GOTLAND</t>
        </is>
      </c>
      <c r="G248" t="n">
        <v>2.3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45915</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5891-2025</t>
        </is>
      </c>
      <c r="B250" s="1" t="n">
        <v>45695.38327546296</v>
      </c>
      <c r="C250" s="1" t="n">
        <v>45915</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44949-2023</t>
        </is>
      </c>
      <c r="B251" s="1" t="n">
        <v>45190.69520833333</v>
      </c>
      <c r="C251" s="1" t="n">
        <v>45915</v>
      </c>
      <c r="D251" t="inlineStr">
        <is>
          <t>GOTLANDS LÄN</t>
        </is>
      </c>
      <c r="E251" t="inlineStr">
        <is>
          <t>GOTLAND</t>
        </is>
      </c>
      <c r="G251" t="n">
        <v>1.4</v>
      </c>
      <c r="H251" t="n">
        <v>0</v>
      </c>
      <c r="I251" t="n">
        <v>0</v>
      </c>
      <c r="J251" t="n">
        <v>0</v>
      </c>
      <c r="K251" t="n">
        <v>0</v>
      </c>
      <c r="L251" t="n">
        <v>0</v>
      </c>
      <c r="M251" t="n">
        <v>0</v>
      </c>
      <c r="N251" t="n">
        <v>0</v>
      </c>
      <c r="O251" t="n">
        <v>0</v>
      </c>
      <c r="P251" t="n">
        <v>0</v>
      </c>
      <c r="Q251" t="n">
        <v>0</v>
      </c>
      <c r="R251" s="2" t="inlineStr"/>
    </row>
    <row r="252" ht="15" customHeight="1">
      <c r="A252" t="inlineStr">
        <is>
          <t>A 37222-2021</t>
        </is>
      </c>
      <c r="B252" s="1" t="n">
        <v>44396</v>
      </c>
      <c r="C252" s="1" t="n">
        <v>45915</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45915</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44204-2022</t>
        </is>
      </c>
      <c r="B254" s="1" t="n">
        <v>44839</v>
      </c>
      <c r="C254" s="1" t="n">
        <v>45915</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7835-2024</t>
        </is>
      </c>
      <c r="B255" s="1" t="n">
        <v>45349.83138888889</v>
      </c>
      <c r="C255" s="1" t="n">
        <v>45915</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49314-2024</t>
        </is>
      </c>
      <c r="B256" s="1" t="n">
        <v>45595.55893518519</v>
      </c>
      <c r="C256" s="1" t="n">
        <v>45915</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45915</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20794-2025</t>
        </is>
      </c>
      <c r="B258" s="1" t="n">
        <v>45776</v>
      </c>
      <c r="C258" s="1" t="n">
        <v>45915</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20805-2025</t>
        </is>
      </c>
      <c r="B259" s="1" t="n">
        <v>45776</v>
      </c>
      <c r="C259" s="1" t="n">
        <v>45915</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3964-2024</t>
        </is>
      </c>
      <c r="B260" s="1" t="n">
        <v>45322</v>
      </c>
      <c r="C260" s="1" t="n">
        <v>45915</v>
      </c>
      <c r="D260" t="inlineStr">
        <is>
          <t>GOTLANDS LÄN</t>
        </is>
      </c>
      <c r="E260" t="inlineStr">
        <is>
          <t>GOTLAND</t>
        </is>
      </c>
      <c r="G260" t="n">
        <v>1.4</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45915</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21389-2025</t>
        </is>
      </c>
      <c r="B262" s="1" t="n">
        <v>45782</v>
      </c>
      <c r="C262" s="1" t="n">
        <v>45915</v>
      </c>
      <c r="D262" t="inlineStr">
        <is>
          <t>GOTLANDS LÄN</t>
        </is>
      </c>
      <c r="E262" t="inlineStr">
        <is>
          <t>GOTLAND</t>
        </is>
      </c>
      <c r="G262" t="n">
        <v>4.1</v>
      </c>
      <c r="H262" t="n">
        <v>0</v>
      </c>
      <c r="I262" t="n">
        <v>0</v>
      </c>
      <c r="J262" t="n">
        <v>0</v>
      </c>
      <c r="K262" t="n">
        <v>0</v>
      </c>
      <c r="L262" t="n">
        <v>0</v>
      </c>
      <c r="M262" t="n">
        <v>0</v>
      </c>
      <c r="N262" t="n">
        <v>0</v>
      </c>
      <c r="O262" t="n">
        <v>0</v>
      </c>
      <c r="P262" t="n">
        <v>0</v>
      </c>
      <c r="Q262" t="n">
        <v>0</v>
      </c>
      <c r="R262" s="2" t="inlineStr"/>
    </row>
    <row r="263" ht="15" customHeight="1">
      <c r="A263" t="inlineStr">
        <is>
          <t>A 21142-2025</t>
        </is>
      </c>
      <c r="B263" s="1" t="n">
        <v>45779</v>
      </c>
      <c r="C263" s="1" t="n">
        <v>45915</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45915</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21651-2025</t>
        </is>
      </c>
      <c r="B265" s="1" t="n">
        <v>45783</v>
      </c>
      <c r="C265" s="1" t="n">
        <v>45915</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65901-2021</t>
        </is>
      </c>
      <c r="B266" s="1" t="n">
        <v>44516</v>
      </c>
      <c r="C266" s="1" t="n">
        <v>45915</v>
      </c>
      <c r="D266" t="inlineStr">
        <is>
          <t>GOTLANDS LÄN</t>
        </is>
      </c>
      <c r="E266" t="inlineStr">
        <is>
          <t>GOTLAND</t>
        </is>
      </c>
      <c r="G266" t="n">
        <v>4.9</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45915</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5217-2023</t>
        </is>
      </c>
      <c r="B268" s="1" t="n">
        <v>44959.39582175926</v>
      </c>
      <c r="C268" s="1" t="n">
        <v>45915</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1477-2024</t>
        </is>
      </c>
      <c r="B269" s="1" t="n">
        <v>45305.37987268518</v>
      </c>
      <c r="C269" s="1" t="n">
        <v>45915</v>
      </c>
      <c r="D269" t="inlineStr">
        <is>
          <t>GOTLANDS LÄN</t>
        </is>
      </c>
      <c r="E269" t="inlineStr">
        <is>
          <t>GOTLAND</t>
        </is>
      </c>
      <c r="G269" t="n">
        <v>6.9</v>
      </c>
      <c r="H269" t="n">
        <v>0</v>
      </c>
      <c r="I269" t="n">
        <v>0</v>
      </c>
      <c r="J269" t="n">
        <v>0</v>
      </c>
      <c r="K269" t="n">
        <v>0</v>
      </c>
      <c r="L269" t="n">
        <v>0</v>
      </c>
      <c r="M269" t="n">
        <v>0</v>
      </c>
      <c r="N269" t="n">
        <v>0</v>
      </c>
      <c r="O269" t="n">
        <v>0</v>
      </c>
      <c r="P269" t="n">
        <v>0</v>
      </c>
      <c r="Q269" t="n">
        <v>0</v>
      </c>
      <c r="R269" s="2" t="inlineStr"/>
    </row>
    <row r="270" ht="15" customHeight="1">
      <c r="A270" t="inlineStr">
        <is>
          <t>A 44649-2021</t>
        </is>
      </c>
      <c r="B270" s="1" t="n">
        <v>44437</v>
      </c>
      <c r="C270" s="1" t="n">
        <v>45915</v>
      </c>
      <c r="D270" t="inlineStr">
        <is>
          <t>GOTLANDS LÄN</t>
        </is>
      </c>
      <c r="E270" t="inlineStr">
        <is>
          <t>GOTLAND</t>
        </is>
      </c>
      <c r="G270" t="n">
        <v>8.1</v>
      </c>
      <c r="H270" t="n">
        <v>0</v>
      </c>
      <c r="I270" t="n">
        <v>0</v>
      </c>
      <c r="J270" t="n">
        <v>0</v>
      </c>
      <c r="K270" t="n">
        <v>0</v>
      </c>
      <c r="L270" t="n">
        <v>0</v>
      </c>
      <c r="M270" t="n">
        <v>0</v>
      </c>
      <c r="N270" t="n">
        <v>0</v>
      </c>
      <c r="O270" t="n">
        <v>0</v>
      </c>
      <c r="P270" t="n">
        <v>0</v>
      </c>
      <c r="Q270" t="n">
        <v>0</v>
      </c>
      <c r="R270" s="2" t="inlineStr"/>
    </row>
    <row r="271" ht="15" customHeight="1">
      <c r="A271" t="inlineStr">
        <is>
          <t>A 1677-2023</t>
        </is>
      </c>
      <c r="B271" s="1" t="n">
        <v>44938</v>
      </c>
      <c r="C271" s="1" t="n">
        <v>45915</v>
      </c>
      <c r="D271" t="inlineStr">
        <is>
          <t>GOTLANDS LÄN</t>
        </is>
      </c>
      <c r="E271" t="inlineStr">
        <is>
          <t>GOTLAND</t>
        </is>
      </c>
      <c r="G271" t="n">
        <v>1.6</v>
      </c>
      <c r="H271" t="n">
        <v>0</v>
      </c>
      <c r="I271" t="n">
        <v>0</v>
      </c>
      <c r="J271" t="n">
        <v>0</v>
      </c>
      <c r="K271" t="n">
        <v>0</v>
      </c>
      <c r="L271" t="n">
        <v>0</v>
      </c>
      <c r="M271" t="n">
        <v>0</v>
      </c>
      <c r="N271" t="n">
        <v>0</v>
      </c>
      <c r="O271" t="n">
        <v>0</v>
      </c>
      <c r="P271" t="n">
        <v>0</v>
      </c>
      <c r="Q271" t="n">
        <v>0</v>
      </c>
      <c r="R271" s="2" t="inlineStr"/>
    </row>
    <row r="272" ht="15" customHeight="1">
      <c r="A272" t="inlineStr">
        <is>
          <t>A 45244-2024</t>
        </is>
      </c>
      <c r="B272" s="1" t="n">
        <v>45576</v>
      </c>
      <c r="C272" s="1" t="n">
        <v>45915</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9947-2024</t>
        </is>
      </c>
      <c r="B273" s="1" t="n">
        <v>45363</v>
      </c>
      <c r="C273" s="1" t="n">
        <v>45915</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44304-2021</t>
        </is>
      </c>
      <c r="B274" s="1" t="n">
        <v>44434</v>
      </c>
      <c r="C274" s="1" t="n">
        <v>45915</v>
      </c>
      <c r="D274" t="inlineStr">
        <is>
          <t>GOTLANDS LÄN</t>
        </is>
      </c>
      <c r="E274" t="inlineStr">
        <is>
          <t>GOTLAND</t>
        </is>
      </c>
      <c r="G274" t="n">
        <v>5.8</v>
      </c>
      <c r="H274" t="n">
        <v>0</v>
      </c>
      <c r="I274" t="n">
        <v>0</v>
      </c>
      <c r="J274" t="n">
        <v>0</v>
      </c>
      <c r="K274" t="n">
        <v>0</v>
      </c>
      <c r="L274" t="n">
        <v>0</v>
      </c>
      <c r="M274" t="n">
        <v>0</v>
      </c>
      <c r="N274" t="n">
        <v>0</v>
      </c>
      <c r="O274" t="n">
        <v>0</v>
      </c>
      <c r="P274" t="n">
        <v>0</v>
      </c>
      <c r="Q274" t="n">
        <v>0</v>
      </c>
      <c r="R274" s="2" t="inlineStr"/>
    </row>
    <row r="275" ht="15" customHeight="1">
      <c r="A275" t="inlineStr">
        <is>
          <t>A 8260-2023</t>
        </is>
      </c>
      <c r="B275" s="1" t="n">
        <v>44974.61608796296</v>
      </c>
      <c r="C275" s="1" t="n">
        <v>45915</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17682-2024</t>
        </is>
      </c>
      <c r="B276" s="1" t="n">
        <v>45418.42966435185</v>
      </c>
      <c r="C276" s="1" t="n">
        <v>45915</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57522-2022</t>
        </is>
      </c>
      <c r="B277" s="1" t="n">
        <v>44896</v>
      </c>
      <c r="C277" s="1" t="n">
        <v>45915</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64969-2023</t>
        </is>
      </c>
      <c r="B278" s="1" t="n">
        <v>45284.54009259259</v>
      </c>
      <c r="C278" s="1" t="n">
        <v>45915</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48843-2024</t>
        </is>
      </c>
      <c r="B279" s="1" t="n">
        <v>45593</v>
      </c>
      <c r="C279" s="1" t="n">
        <v>45915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17541-2024</t>
        </is>
      </c>
      <c r="B280" s="1" t="n">
        <v>45415</v>
      </c>
      <c r="C280" s="1" t="n">
        <v>45915</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64380-2020</t>
        </is>
      </c>
      <c r="B281" s="1" t="n">
        <v>44168.60128472222</v>
      </c>
      <c r="C281" s="1" t="n">
        <v>45915</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2241-2025</t>
        </is>
      </c>
      <c r="B282" s="1" t="n">
        <v>45673.48710648148</v>
      </c>
      <c r="C282" s="1" t="n">
        <v>45915</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57356-2023</t>
        </is>
      </c>
      <c r="B283" s="1" t="n">
        <v>45240</v>
      </c>
      <c r="C283" s="1" t="n">
        <v>45915</v>
      </c>
      <c r="D283" t="inlineStr">
        <is>
          <t>GOTLANDS LÄN</t>
        </is>
      </c>
      <c r="E283" t="inlineStr">
        <is>
          <t>GOTLAND</t>
        </is>
      </c>
      <c r="G283" t="n">
        <v>6.4</v>
      </c>
      <c r="H283" t="n">
        <v>0</v>
      </c>
      <c r="I283" t="n">
        <v>0</v>
      </c>
      <c r="J283" t="n">
        <v>0</v>
      </c>
      <c r="K283" t="n">
        <v>0</v>
      </c>
      <c r="L283" t="n">
        <v>0</v>
      </c>
      <c r="M283" t="n">
        <v>0</v>
      </c>
      <c r="N283" t="n">
        <v>0</v>
      </c>
      <c r="O283" t="n">
        <v>0</v>
      </c>
      <c r="P283" t="n">
        <v>0</v>
      </c>
      <c r="Q283" t="n">
        <v>0</v>
      </c>
      <c r="R283" s="2" t="inlineStr"/>
    </row>
    <row r="284" ht="15" customHeight="1">
      <c r="A284" t="inlineStr">
        <is>
          <t>A 10656-2024</t>
        </is>
      </c>
      <c r="B284" s="1" t="n">
        <v>45368</v>
      </c>
      <c r="C284" s="1" t="n">
        <v>45915</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27593-2023</t>
        </is>
      </c>
      <c r="B285" s="1" t="n">
        <v>45097</v>
      </c>
      <c r="C285" s="1" t="n">
        <v>45915</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2608-2021</t>
        </is>
      </c>
      <c r="B286" s="1" t="n">
        <v>44214</v>
      </c>
      <c r="C286" s="1" t="n">
        <v>45915</v>
      </c>
      <c r="D286" t="inlineStr">
        <is>
          <t>GOTLANDS LÄN</t>
        </is>
      </c>
      <c r="E286" t="inlineStr">
        <is>
          <t>GOTLAND</t>
        </is>
      </c>
      <c r="G286" t="n">
        <v>3.9</v>
      </c>
      <c r="H286" t="n">
        <v>0</v>
      </c>
      <c r="I286" t="n">
        <v>0</v>
      </c>
      <c r="J286" t="n">
        <v>0</v>
      </c>
      <c r="K286" t="n">
        <v>0</v>
      </c>
      <c r="L286" t="n">
        <v>0</v>
      </c>
      <c r="M286" t="n">
        <v>0</v>
      </c>
      <c r="N286" t="n">
        <v>0</v>
      </c>
      <c r="O286" t="n">
        <v>0</v>
      </c>
      <c r="P286" t="n">
        <v>0</v>
      </c>
      <c r="Q286" t="n">
        <v>0</v>
      </c>
      <c r="R286" s="2" t="inlineStr"/>
    </row>
    <row r="287" ht="15" customHeight="1">
      <c r="A287" t="inlineStr">
        <is>
          <t>A 15434-2024</t>
        </is>
      </c>
      <c r="B287" s="1" t="n">
        <v>45401.38836805556</v>
      </c>
      <c r="C287" s="1" t="n">
        <v>45915</v>
      </c>
      <c r="D287" t="inlineStr">
        <is>
          <t>GOTLANDS LÄN</t>
        </is>
      </c>
      <c r="E287" t="inlineStr">
        <is>
          <t>GOTLAND</t>
        </is>
      </c>
      <c r="G287" t="n">
        <v>2.5</v>
      </c>
      <c r="H287" t="n">
        <v>0</v>
      </c>
      <c r="I287" t="n">
        <v>0</v>
      </c>
      <c r="J287" t="n">
        <v>0</v>
      </c>
      <c r="K287" t="n">
        <v>0</v>
      </c>
      <c r="L287" t="n">
        <v>0</v>
      </c>
      <c r="M287" t="n">
        <v>0</v>
      </c>
      <c r="N287" t="n">
        <v>0</v>
      </c>
      <c r="O287" t="n">
        <v>0</v>
      </c>
      <c r="P287" t="n">
        <v>0</v>
      </c>
      <c r="Q287" t="n">
        <v>0</v>
      </c>
      <c r="R287" s="2" t="inlineStr"/>
    </row>
    <row r="288" ht="15" customHeight="1">
      <c r="A288" t="inlineStr">
        <is>
          <t>A 56951-2021</t>
        </is>
      </c>
      <c r="B288" s="1" t="n">
        <v>44482.37388888889</v>
      </c>
      <c r="C288" s="1" t="n">
        <v>45915</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28506-2023</t>
        </is>
      </c>
      <c r="B289" s="1" t="n">
        <v>45103</v>
      </c>
      <c r="C289" s="1" t="n">
        <v>45915</v>
      </c>
      <c r="D289" t="inlineStr">
        <is>
          <t>GOTLANDS LÄN</t>
        </is>
      </c>
      <c r="E289" t="inlineStr">
        <is>
          <t>GOTLAND</t>
        </is>
      </c>
      <c r="G289" t="n">
        <v>3.2</v>
      </c>
      <c r="H289" t="n">
        <v>0</v>
      </c>
      <c r="I289" t="n">
        <v>0</v>
      </c>
      <c r="J289" t="n">
        <v>0</v>
      </c>
      <c r="K289" t="n">
        <v>0</v>
      </c>
      <c r="L289" t="n">
        <v>0</v>
      </c>
      <c r="M289" t="n">
        <v>0</v>
      </c>
      <c r="N289" t="n">
        <v>0</v>
      </c>
      <c r="O289" t="n">
        <v>0</v>
      </c>
      <c r="P289" t="n">
        <v>0</v>
      </c>
      <c r="Q289" t="n">
        <v>0</v>
      </c>
      <c r="R289" s="2" t="inlineStr"/>
    </row>
    <row r="290" ht="15" customHeight="1">
      <c r="A290" t="inlineStr">
        <is>
          <t>A 21420-2024</t>
        </is>
      </c>
      <c r="B290" s="1" t="n">
        <v>45441.38293981482</v>
      </c>
      <c r="C290" s="1" t="n">
        <v>45915</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5943-2024</t>
        </is>
      </c>
      <c r="B291" s="1" t="n">
        <v>45336</v>
      </c>
      <c r="C291" s="1" t="n">
        <v>45915</v>
      </c>
      <c r="D291" t="inlineStr">
        <is>
          <t>GOTLANDS LÄN</t>
        </is>
      </c>
      <c r="E291" t="inlineStr">
        <is>
          <t>GOTLAND</t>
        </is>
      </c>
      <c r="G291" t="n">
        <v>4.3</v>
      </c>
      <c r="H291" t="n">
        <v>0</v>
      </c>
      <c r="I291" t="n">
        <v>0</v>
      </c>
      <c r="J291" t="n">
        <v>0</v>
      </c>
      <c r="K291" t="n">
        <v>0</v>
      </c>
      <c r="L291" t="n">
        <v>0</v>
      </c>
      <c r="M291" t="n">
        <v>0</v>
      </c>
      <c r="N291" t="n">
        <v>0</v>
      </c>
      <c r="O291" t="n">
        <v>0</v>
      </c>
      <c r="P291" t="n">
        <v>0</v>
      </c>
      <c r="Q291" t="n">
        <v>0</v>
      </c>
      <c r="R291" s="2" t="inlineStr"/>
    </row>
    <row r="292" ht="15" customHeight="1">
      <c r="A292" t="inlineStr">
        <is>
          <t>A 63516-2023</t>
        </is>
      </c>
      <c r="B292" s="1" t="n">
        <v>45274</v>
      </c>
      <c r="C292" s="1" t="n">
        <v>45915</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23188-2025</t>
        </is>
      </c>
      <c r="B293" s="1" t="n">
        <v>45791</v>
      </c>
      <c r="C293" s="1" t="n">
        <v>45915</v>
      </c>
      <c r="D293" t="inlineStr">
        <is>
          <t>GOTLANDS LÄN</t>
        </is>
      </c>
      <c r="E293" t="inlineStr">
        <is>
          <t>GOTLAND</t>
        </is>
      </c>
      <c r="G293" t="n">
        <v>6.2</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45915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45915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41038-2023</t>
        </is>
      </c>
      <c r="B296" s="1" t="n">
        <v>45173.60959490741</v>
      </c>
      <c r="C296" s="1" t="n">
        <v>45915</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23473-2025</t>
        </is>
      </c>
      <c r="B297" s="1" t="n">
        <v>45792</v>
      </c>
      <c r="C297" s="1" t="n">
        <v>45915</v>
      </c>
      <c r="D297" t="inlineStr">
        <is>
          <t>GOTLANDS LÄN</t>
        </is>
      </c>
      <c r="E297" t="inlineStr">
        <is>
          <t>GOTLAND</t>
        </is>
      </c>
      <c r="G297" t="n">
        <v>3.6</v>
      </c>
      <c r="H297" t="n">
        <v>0</v>
      </c>
      <c r="I297" t="n">
        <v>0</v>
      </c>
      <c r="J297" t="n">
        <v>0</v>
      </c>
      <c r="K297" t="n">
        <v>0</v>
      </c>
      <c r="L297" t="n">
        <v>0</v>
      </c>
      <c r="M297" t="n">
        <v>0</v>
      </c>
      <c r="N297" t="n">
        <v>0</v>
      </c>
      <c r="O297" t="n">
        <v>0</v>
      </c>
      <c r="P297" t="n">
        <v>0</v>
      </c>
      <c r="Q297" t="n">
        <v>0</v>
      </c>
      <c r="R297" s="2" t="inlineStr"/>
    </row>
    <row r="298" ht="15" customHeight="1">
      <c r="A298" t="inlineStr">
        <is>
          <t>A 24001-2021</t>
        </is>
      </c>
      <c r="B298" s="1" t="n">
        <v>44335</v>
      </c>
      <c r="C298" s="1" t="n">
        <v>45915</v>
      </c>
      <c r="D298" t="inlineStr">
        <is>
          <t>GOTLANDS LÄN</t>
        </is>
      </c>
      <c r="E298" t="inlineStr">
        <is>
          <t>GOTLAND</t>
        </is>
      </c>
      <c r="G298" t="n">
        <v>3.4</v>
      </c>
      <c r="H298" t="n">
        <v>0</v>
      </c>
      <c r="I298" t="n">
        <v>0</v>
      </c>
      <c r="J298" t="n">
        <v>0</v>
      </c>
      <c r="K298" t="n">
        <v>0</v>
      </c>
      <c r="L298" t="n">
        <v>0</v>
      </c>
      <c r="M298" t="n">
        <v>0</v>
      </c>
      <c r="N298" t="n">
        <v>0</v>
      </c>
      <c r="O298" t="n">
        <v>0</v>
      </c>
      <c r="P298" t="n">
        <v>0</v>
      </c>
      <c r="Q298" t="n">
        <v>0</v>
      </c>
      <c r="R298" s="2" t="inlineStr"/>
    </row>
    <row r="299" ht="15" customHeight="1">
      <c r="A299" t="inlineStr">
        <is>
          <t>A 34142-2024</t>
        </is>
      </c>
      <c r="B299" s="1" t="n">
        <v>45524.36521990741</v>
      </c>
      <c r="C299" s="1" t="n">
        <v>45915</v>
      </c>
      <c r="D299" t="inlineStr">
        <is>
          <t>GOTLANDS LÄN</t>
        </is>
      </c>
      <c r="E299" t="inlineStr">
        <is>
          <t>GOTLAND</t>
        </is>
      </c>
      <c r="G299" t="n">
        <v>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45915</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14427-2024</t>
        </is>
      </c>
      <c r="B301" s="1" t="n">
        <v>45394</v>
      </c>
      <c r="C301" s="1" t="n">
        <v>45915</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23700-2025</t>
        </is>
      </c>
      <c r="B302" s="1" t="n">
        <v>45793</v>
      </c>
      <c r="C302" s="1" t="n">
        <v>45915</v>
      </c>
      <c r="D302" t="inlineStr">
        <is>
          <t>GOTLANDS LÄN</t>
        </is>
      </c>
      <c r="E302" t="inlineStr">
        <is>
          <t>GOTLAND</t>
        </is>
      </c>
      <c r="G302" t="n">
        <v>2.2</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45915</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31802-2024</t>
        </is>
      </c>
      <c r="B304" s="1" t="n">
        <v>45509</v>
      </c>
      <c r="C304" s="1" t="n">
        <v>45915</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45491.3716087963</v>
      </c>
      <c r="C305" s="1" t="n">
        <v>45915</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6749-2025</t>
        </is>
      </c>
      <c r="B306" s="1" t="n">
        <v>45700</v>
      </c>
      <c r="C306" s="1" t="n">
        <v>45915</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1681-2023</t>
        </is>
      </c>
      <c r="B307" s="1" t="n">
        <v>44938.39715277778</v>
      </c>
      <c r="C307" s="1" t="n">
        <v>45915</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8684-2025</t>
        </is>
      </c>
      <c r="B308" s="1" t="n">
        <v>45712.45605324074</v>
      </c>
      <c r="C308" s="1" t="n">
        <v>45915</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15075-2025</t>
        </is>
      </c>
      <c r="B309" s="1" t="n">
        <v>45743</v>
      </c>
      <c r="C309" s="1" t="n">
        <v>45915</v>
      </c>
      <c r="D309" t="inlineStr">
        <is>
          <t>GOTLANDS LÄN</t>
        </is>
      </c>
      <c r="E309" t="inlineStr">
        <is>
          <t>GOTLAND</t>
        </is>
      </c>
      <c r="G309" t="n">
        <v>20.9</v>
      </c>
      <c r="H309" t="n">
        <v>0</v>
      </c>
      <c r="I309" t="n">
        <v>0</v>
      </c>
      <c r="J309" t="n">
        <v>0</v>
      </c>
      <c r="K309" t="n">
        <v>0</v>
      </c>
      <c r="L309" t="n">
        <v>0</v>
      </c>
      <c r="M309" t="n">
        <v>0</v>
      </c>
      <c r="N309" t="n">
        <v>0</v>
      </c>
      <c r="O309" t="n">
        <v>0</v>
      </c>
      <c r="P309" t="n">
        <v>0</v>
      </c>
      <c r="Q309" t="n">
        <v>0</v>
      </c>
      <c r="R309" s="2" t="inlineStr"/>
    </row>
    <row r="310" ht="15" customHeight="1">
      <c r="A310" t="inlineStr">
        <is>
          <t>A 23698-2025</t>
        </is>
      </c>
      <c r="B310" s="1" t="n">
        <v>45793</v>
      </c>
      <c r="C310" s="1" t="n">
        <v>45915</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45915</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45915</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45915</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1273-2023</t>
        </is>
      </c>
      <c r="B314" s="1" t="n">
        <v>44936</v>
      </c>
      <c r="C314" s="1" t="n">
        <v>45915</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46949-2024</t>
        </is>
      </c>
      <c r="B315" s="1" t="n">
        <v>45585</v>
      </c>
      <c r="C315" s="1" t="n">
        <v>45915</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45915</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58780-2024</t>
        </is>
      </c>
      <c r="B317" s="1" t="n">
        <v>45635.84113425926</v>
      </c>
      <c r="C317" s="1" t="n">
        <v>45915</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45692-2023</t>
        </is>
      </c>
      <c r="B318" s="1" t="n">
        <v>45195</v>
      </c>
      <c r="C318" s="1" t="n">
        <v>45915</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33876-2024</t>
        </is>
      </c>
      <c r="B319" s="1" t="n">
        <v>45521.87988425926</v>
      </c>
      <c r="C319" s="1" t="n">
        <v>45915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46778-2020</t>
        </is>
      </c>
      <c r="B320" s="1" t="n">
        <v>44096</v>
      </c>
      <c r="C320" s="1" t="n">
        <v>45915</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45915</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45915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45915</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25796-2025</t>
        </is>
      </c>
      <c r="B324" s="1" t="n">
        <v>45804.39543981481</v>
      </c>
      <c r="C324" s="1" t="n">
        <v>45915</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11634-2024</t>
        </is>
      </c>
      <c r="B325" s="1" t="n">
        <v>45373</v>
      </c>
      <c r="C325" s="1" t="n">
        <v>45915</v>
      </c>
      <c r="D325" t="inlineStr">
        <is>
          <t>GOTLANDS LÄN</t>
        </is>
      </c>
      <c r="E325" t="inlineStr">
        <is>
          <t>GOTLAND</t>
        </is>
      </c>
      <c r="G325" t="n">
        <v>3</v>
      </c>
      <c r="H325" t="n">
        <v>0</v>
      </c>
      <c r="I325" t="n">
        <v>0</v>
      </c>
      <c r="J325" t="n">
        <v>0</v>
      </c>
      <c r="K325" t="n">
        <v>0</v>
      </c>
      <c r="L325" t="n">
        <v>0</v>
      </c>
      <c r="M325" t="n">
        <v>0</v>
      </c>
      <c r="N325" t="n">
        <v>0</v>
      </c>
      <c r="O325" t="n">
        <v>0</v>
      </c>
      <c r="P325" t="n">
        <v>0</v>
      </c>
      <c r="Q325" t="n">
        <v>0</v>
      </c>
      <c r="R325" s="2" t="inlineStr"/>
    </row>
    <row r="326" ht="15" customHeight="1">
      <c r="A326" t="inlineStr">
        <is>
          <t>A 1351-2025</t>
        </is>
      </c>
      <c r="B326" s="1" t="n">
        <v>45667.62246527777</v>
      </c>
      <c r="C326" s="1" t="n">
        <v>45915</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61682-2024</t>
        </is>
      </c>
      <c r="B327" s="1" t="n">
        <v>45647.48824074074</v>
      </c>
      <c r="C327" s="1" t="n">
        <v>45915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39496-2022</t>
        </is>
      </c>
      <c r="B328" s="1" t="n">
        <v>44818</v>
      </c>
      <c r="C328" s="1" t="n">
        <v>45915</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49874-2024</t>
        </is>
      </c>
      <c r="B329" s="1" t="n">
        <v>45597.49274305555</v>
      </c>
      <c r="C329" s="1" t="n">
        <v>45915</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42201-2023</t>
        </is>
      </c>
      <c r="B330" s="1" t="n">
        <v>45179</v>
      </c>
      <c r="C330" s="1" t="n">
        <v>45915</v>
      </c>
      <c r="D330" t="inlineStr">
        <is>
          <t>GOTLANDS LÄN</t>
        </is>
      </c>
      <c r="E330" t="inlineStr">
        <is>
          <t>GOTLAND</t>
        </is>
      </c>
      <c r="G330" t="n">
        <v>11.9</v>
      </c>
      <c r="H330" t="n">
        <v>0</v>
      </c>
      <c r="I330" t="n">
        <v>0</v>
      </c>
      <c r="J330" t="n">
        <v>0</v>
      </c>
      <c r="K330" t="n">
        <v>0</v>
      </c>
      <c r="L330" t="n">
        <v>0</v>
      </c>
      <c r="M330" t="n">
        <v>0</v>
      </c>
      <c r="N330" t="n">
        <v>0</v>
      </c>
      <c r="O330" t="n">
        <v>0</v>
      </c>
      <c r="P330" t="n">
        <v>0</v>
      </c>
      <c r="Q330" t="n">
        <v>0</v>
      </c>
      <c r="R330" s="2" t="inlineStr"/>
    </row>
    <row r="331" ht="15" customHeight="1">
      <c r="A331" t="inlineStr">
        <is>
          <t>A 43785-2024</t>
        </is>
      </c>
      <c r="B331" s="1" t="n">
        <v>45570</v>
      </c>
      <c r="C331" s="1" t="n">
        <v>45915</v>
      </c>
      <c r="D331" t="inlineStr">
        <is>
          <t>GOTLANDS LÄN</t>
        </is>
      </c>
      <c r="E331" t="inlineStr">
        <is>
          <t>GOTLAND</t>
        </is>
      </c>
      <c r="G331" t="n">
        <v>12.6</v>
      </c>
      <c r="H331" t="n">
        <v>0</v>
      </c>
      <c r="I331" t="n">
        <v>0</v>
      </c>
      <c r="J331" t="n">
        <v>0</v>
      </c>
      <c r="K331" t="n">
        <v>0</v>
      </c>
      <c r="L331" t="n">
        <v>0</v>
      </c>
      <c r="M331" t="n">
        <v>0</v>
      </c>
      <c r="N331" t="n">
        <v>0</v>
      </c>
      <c r="O331" t="n">
        <v>0</v>
      </c>
      <c r="P331" t="n">
        <v>0</v>
      </c>
      <c r="Q331" t="n">
        <v>0</v>
      </c>
      <c r="R331" s="2" t="inlineStr"/>
    </row>
    <row r="332" ht="15" customHeight="1">
      <c r="A332" t="inlineStr">
        <is>
          <t>A 46400-2023</t>
        </is>
      </c>
      <c r="B332" s="1" t="n">
        <v>45197.49290509259</v>
      </c>
      <c r="C332" s="1" t="n">
        <v>45915</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9875-2025</t>
        </is>
      </c>
      <c r="B333" s="1" t="n">
        <v>45716</v>
      </c>
      <c r="C333" s="1" t="n">
        <v>45915</v>
      </c>
      <c r="D333" t="inlineStr">
        <is>
          <t>GOTLANDS LÄN</t>
        </is>
      </c>
      <c r="E333" t="inlineStr">
        <is>
          <t>GOTLAND</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19002-2025</t>
        </is>
      </c>
      <c r="B334" s="1" t="n">
        <v>45764</v>
      </c>
      <c r="C334" s="1" t="n">
        <v>45915</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26391-2025</t>
        </is>
      </c>
      <c r="B335" s="1" t="n">
        <v>45806</v>
      </c>
      <c r="C335" s="1" t="n">
        <v>45915</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45915</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45915</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58388-2022</t>
        </is>
      </c>
      <c r="B338" s="1" t="n">
        <v>44894</v>
      </c>
      <c r="C338" s="1" t="n">
        <v>45915</v>
      </c>
      <c r="D338" t="inlineStr">
        <is>
          <t>GOTLANDS LÄN</t>
        </is>
      </c>
      <c r="E338" t="inlineStr">
        <is>
          <t>GOTLAND</t>
        </is>
      </c>
      <c r="F338" t="inlineStr">
        <is>
          <t>Övriga statliga verk och myndigheter</t>
        </is>
      </c>
      <c r="G338" t="n">
        <v>3.1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45915</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21792-2024</t>
        </is>
      </c>
      <c r="B340" s="1" t="n">
        <v>45442.64326388889</v>
      </c>
      <c r="C340" s="1" t="n">
        <v>45915</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26457-2025</t>
        </is>
      </c>
      <c r="B341" s="1" t="n">
        <v>45807.42773148148</v>
      </c>
      <c r="C341" s="1" t="n">
        <v>45915</v>
      </c>
      <c r="D341" t="inlineStr">
        <is>
          <t>GOTLANDS LÄN</t>
        </is>
      </c>
      <c r="E341" t="inlineStr">
        <is>
          <t>GOTLAND</t>
        </is>
      </c>
      <c r="G341" t="n">
        <v>5.7</v>
      </c>
      <c r="H341" t="n">
        <v>0</v>
      </c>
      <c r="I341" t="n">
        <v>0</v>
      </c>
      <c r="J341" t="n">
        <v>0</v>
      </c>
      <c r="K341" t="n">
        <v>0</v>
      </c>
      <c r="L341" t="n">
        <v>0</v>
      </c>
      <c r="M341" t="n">
        <v>0</v>
      </c>
      <c r="N341" t="n">
        <v>0</v>
      </c>
      <c r="O341" t="n">
        <v>0</v>
      </c>
      <c r="P341" t="n">
        <v>0</v>
      </c>
      <c r="Q341" t="n">
        <v>0</v>
      </c>
      <c r="R341" s="2" t="inlineStr"/>
    </row>
    <row r="342" ht="15" customHeight="1">
      <c r="A342" t="inlineStr">
        <is>
          <t>A 26467-2025</t>
        </is>
      </c>
      <c r="B342" s="1" t="n">
        <v>45807.44640046296</v>
      </c>
      <c r="C342" s="1" t="n">
        <v>45915</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61897-2024</t>
        </is>
      </c>
      <c r="B343" s="1" t="n">
        <v>45652.75685185185</v>
      </c>
      <c r="C343" s="1" t="n">
        <v>45915</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18993-2025</t>
        </is>
      </c>
      <c r="B344" s="1" t="n">
        <v>45764</v>
      </c>
      <c r="C344" s="1" t="n">
        <v>45915</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26465-2025</t>
        </is>
      </c>
      <c r="B345" s="1" t="n">
        <v>45807.44377314814</v>
      </c>
      <c r="C345" s="1" t="n">
        <v>45915</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26660-2025</t>
        </is>
      </c>
      <c r="B346" s="1" t="n">
        <v>45810.39737268518</v>
      </c>
      <c r="C346" s="1" t="n">
        <v>45915</v>
      </c>
      <c r="D346" t="inlineStr">
        <is>
          <t>GOTLANDS LÄN</t>
        </is>
      </c>
      <c r="E346" t="inlineStr">
        <is>
          <t>GOTLAND</t>
        </is>
      </c>
      <c r="G346" t="n">
        <v>1.8</v>
      </c>
      <c r="H346" t="n">
        <v>0</v>
      </c>
      <c r="I346" t="n">
        <v>0</v>
      </c>
      <c r="J346" t="n">
        <v>0</v>
      </c>
      <c r="K346" t="n">
        <v>0</v>
      </c>
      <c r="L346" t="n">
        <v>0</v>
      </c>
      <c r="M346" t="n">
        <v>0</v>
      </c>
      <c r="N346" t="n">
        <v>0</v>
      </c>
      <c r="O346" t="n">
        <v>0</v>
      </c>
      <c r="P346" t="n">
        <v>0</v>
      </c>
      <c r="Q346" t="n">
        <v>0</v>
      </c>
      <c r="R346" s="2" t="inlineStr"/>
    </row>
    <row r="347" ht="15" customHeight="1">
      <c r="A347" t="inlineStr">
        <is>
          <t>A 17688-2024</t>
        </is>
      </c>
      <c r="B347" s="1" t="n">
        <v>45418.43575231481</v>
      </c>
      <c r="C347" s="1" t="n">
        <v>45915</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49962-2023</t>
        </is>
      </c>
      <c r="B348" s="1" t="n">
        <v>45215.38775462963</v>
      </c>
      <c r="C348" s="1" t="n">
        <v>45915</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7837-2024</t>
        </is>
      </c>
      <c r="B349" s="1" t="n">
        <v>45349.83787037037</v>
      </c>
      <c r="C349" s="1" t="n">
        <v>45915</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27348-2025</t>
        </is>
      </c>
      <c r="B350" s="1" t="n">
        <v>45812.62451388889</v>
      </c>
      <c r="C350" s="1" t="n">
        <v>45915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45915</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45915</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27355-2025</t>
        </is>
      </c>
      <c r="B353" s="1" t="n">
        <v>45812</v>
      </c>
      <c r="C353" s="1" t="n">
        <v>45915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4568-2025</t>
        </is>
      </c>
      <c r="B354" s="1" t="n">
        <v>45687</v>
      </c>
      <c r="C354" s="1" t="n">
        <v>45915</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40294-2022</t>
        </is>
      </c>
      <c r="B355" s="1" t="n">
        <v>44821</v>
      </c>
      <c r="C355" s="1" t="n">
        <v>45915</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6739-2025</t>
        </is>
      </c>
      <c r="B356" s="1" t="n">
        <v>45700</v>
      </c>
      <c r="C356" s="1" t="n">
        <v>45915</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7850-2025</t>
        </is>
      </c>
      <c r="B357" s="1" t="n">
        <v>45706</v>
      </c>
      <c r="C357" s="1" t="n">
        <v>45915</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12032-2025</t>
        </is>
      </c>
      <c r="B358" s="1" t="n">
        <v>45728.64472222222</v>
      </c>
      <c r="C358" s="1" t="n">
        <v>45915</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38787-2023</t>
        </is>
      </c>
      <c r="B359" s="1" t="n">
        <v>45163</v>
      </c>
      <c r="C359" s="1" t="n">
        <v>45915</v>
      </c>
      <c r="D359" t="inlineStr">
        <is>
          <t>GOTLANDS LÄN</t>
        </is>
      </c>
      <c r="E359" t="inlineStr">
        <is>
          <t>GOTLAND</t>
        </is>
      </c>
      <c r="G359" t="n">
        <v>0.4</v>
      </c>
      <c r="H359" t="n">
        <v>0</v>
      </c>
      <c r="I359" t="n">
        <v>0</v>
      </c>
      <c r="J359" t="n">
        <v>0</v>
      </c>
      <c r="K359" t="n">
        <v>0</v>
      </c>
      <c r="L359" t="n">
        <v>0</v>
      </c>
      <c r="M359" t="n">
        <v>0</v>
      </c>
      <c r="N359" t="n">
        <v>0</v>
      </c>
      <c r="O359" t="n">
        <v>0</v>
      </c>
      <c r="P359" t="n">
        <v>0</v>
      </c>
      <c r="Q359" t="n">
        <v>0</v>
      </c>
      <c r="R359" s="2" t="inlineStr"/>
    </row>
    <row r="360" ht="15" customHeight="1">
      <c r="A360" t="inlineStr">
        <is>
          <t>A 20307-2025</t>
        </is>
      </c>
      <c r="B360" s="1" t="n">
        <v>45774.95546296296</v>
      </c>
      <c r="C360" s="1" t="n">
        <v>45915</v>
      </c>
      <c r="D360" t="inlineStr">
        <is>
          <t>GOTLANDS LÄN</t>
        </is>
      </c>
      <c r="E360" t="inlineStr">
        <is>
          <t>GOTLAND</t>
        </is>
      </c>
      <c r="G360" t="n">
        <v>6.8</v>
      </c>
      <c r="H360" t="n">
        <v>0</v>
      </c>
      <c r="I360" t="n">
        <v>0</v>
      </c>
      <c r="J360" t="n">
        <v>0</v>
      </c>
      <c r="K360" t="n">
        <v>0</v>
      </c>
      <c r="L360" t="n">
        <v>0</v>
      </c>
      <c r="M360" t="n">
        <v>0</v>
      </c>
      <c r="N360" t="n">
        <v>0</v>
      </c>
      <c r="O360" t="n">
        <v>0</v>
      </c>
      <c r="P360" t="n">
        <v>0</v>
      </c>
      <c r="Q360" t="n">
        <v>0</v>
      </c>
      <c r="R360" s="2" t="inlineStr"/>
    </row>
    <row r="361" ht="15" customHeight="1">
      <c r="A361" t="inlineStr">
        <is>
          <t>A 8444-2025</t>
        </is>
      </c>
      <c r="B361" s="1" t="n">
        <v>45709</v>
      </c>
      <c r="C361" s="1" t="n">
        <v>45915</v>
      </c>
      <c r="D361" t="inlineStr">
        <is>
          <t>GOTLANDS LÄN</t>
        </is>
      </c>
      <c r="E361" t="inlineStr">
        <is>
          <t>GOTLAND</t>
        </is>
      </c>
      <c r="G361" t="n">
        <v>5.2</v>
      </c>
      <c r="H361" t="n">
        <v>0</v>
      </c>
      <c r="I361" t="n">
        <v>0</v>
      </c>
      <c r="J361" t="n">
        <v>0</v>
      </c>
      <c r="K361" t="n">
        <v>0</v>
      </c>
      <c r="L361" t="n">
        <v>0</v>
      </c>
      <c r="M361" t="n">
        <v>0</v>
      </c>
      <c r="N361" t="n">
        <v>0</v>
      </c>
      <c r="O361" t="n">
        <v>0</v>
      </c>
      <c r="P361" t="n">
        <v>0</v>
      </c>
      <c r="Q361" t="n">
        <v>0</v>
      </c>
      <c r="R361" s="2" t="inlineStr"/>
    </row>
    <row r="362" ht="15" customHeight="1">
      <c r="A362" t="inlineStr">
        <is>
          <t>A 43231-2023</t>
        </is>
      </c>
      <c r="B362" s="1" t="n">
        <v>45183.47025462963</v>
      </c>
      <c r="C362" s="1" t="n">
        <v>45915</v>
      </c>
      <c r="D362" t="inlineStr">
        <is>
          <t>GOTLANDS LÄN</t>
        </is>
      </c>
      <c r="E362" t="inlineStr">
        <is>
          <t>GOTLAND</t>
        </is>
      </c>
      <c r="G362" t="n">
        <v>3.6</v>
      </c>
      <c r="H362" t="n">
        <v>0</v>
      </c>
      <c r="I362" t="n">
        <v>0</v>
      </c>
      <c r="J362" t="n">
        <v>0</v>
      </c>
      <c r="K362" t="n">
        <v>0</v>
      </c>
      <c r="L362" t="n">
        <v>0</v>
      </c>
      <c r="M362" t="n">
        <v>0</v>
      </c>
      <c r="N362" t="n">
        <v>0</v>
      </c>
      <c r="O362" t="n">
        <v>0</v>
      </c>
      <c r="P362" t="n">
        <v>0</v>
      </c>
      <c r="Q362" t="n">
        <v>0</v>
      </c>
      <c r="R362" s="2" t="inlineStr"/>
    </row>
    <row r="363" ht="15" customHeight="1">
      <c r="A363" t="inlineStr">
        <is>
          <t>A 35512-2023</t>
        </is>
      </c>
      <c r="B363" s="1" t="n">
        <v>45147.25623842593</v>
      </c>
      <c r="C363" s="1" t="n">
        <v>45915</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45915</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17532-2024</t>
        </is>
      </c>
      <c r="B365" s="1" t="n">
        <v>45415</v>
      </c>
      <c r="C365" s="1" t="n">
        <v>45915</v>
      </c>
      <c r="D365" t="inlineStr">
        <is>
          <t>GOTLANDS LÄN</t>
        </is>
      </c>
      <c r="E365" t="inlineStr">
        <is>
          <t>GOTLAND</t>
        </is>
      </c>
      <c r="G365" t="n">
        <v>4.3</v>
      </c>
      <c r="H365" t="n">
        <v>0</v>
      </c>
      <c r="I365" t="n">
        <v>0</v>
      </c>
      <c r="J365" t="n">
        <v>0</v>
      </c>
      <c r="K365" t="n">
        <v>0</v>
      </c>
      <c r="L365" t="n">
        <v>0</v>
      </c>
      <c r="M365" t="n">
        <v>0</v>
      </c>
      <c r="N365" t="n">
        <v>0</v>
      </c>
      <c r="O365" t="n">
        <v>0</v>
      </c>
      <c r="P365" t="n">
        <v>0</v>
      </c>
      <c r="Q365" t="n">
        <v>0</v>
      </c>
      <c r="R365" s="2" t="inlineStr"/>
    </row>
    <row r="366" ht="15" customHeight="1">
      <c r="A366" t="inlineStr">
        <is>
          <t>A 3935-2025</t>
        </is>
      </c>
      <c r="B366" s="1" t="n">
        <v>45684.46070601852</v>
      </c>
      <c r="C366" s="1" t="n">
        <v>45915</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1291-2023</t>
        </is>
      </c>
      <c r="B367" s="1" t="n">
        <v>44936.47561342592</v>
      </c>
      <c r="C367" s="1" t="n">
        <v>45915</v>
      </c>
      <c r="D367" t="inlineStr">
        <is>
          <t>GOTLANDS LÄN</t>
        </is>
      </c>
      <c r="E367" t="inlineStr">
        <is>
          <t>GOTLAND</t>
        </is>
      </c>
      <c r="G367" t="n">
        <v>7.4</v>
      </c>
      <c r="H367" t="n">
        <v>0</v>
      </c>
      <c r="I367" t="n">
        <v>0</v>
      </c>
      <c r="J367" t="n">
        <v>0</v>
      </c>
      <c r="K367" t="n">
        <v>0</v>
      </c>
      <c r="L367" t="n">
        <v>0</v>
      </c>
      <c r="M367" t="n">
        <v>0</v>
      </c>
      <c r="N367" t="n">
        <v>0</v>
      </c>
      <c r="O367" t="n">
        <v>0</v>
      </c>
      <c r="P367" t="n">
        <v>0</v>
      </c>
      <c r="Q367" t="n">
        <v>0</v>
      </c>
      <c r="R367" s="2" t="inlineStr"/>
    </row>
    <row r="368" ht="15" customHeight="1">
      <c r="A368" t="inlineStr">
        <is>
          <t>A 19905-2025</t>
        </is>
      </c>
      <c r="B368" s="1" t="n">
        <v>45771</v>
      </c>
      <c r="C368" s="1" t="n">
        <v>45915</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29196-2025</t>
        </is>
      </c>
      <c r="B369" s="1" t="n">
        <v>45822</v>
      </c>
      <c r="C369" s="1" t="n">
        <v>45915</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57652-2023</t>
        </is>
      </c>
      <c r="B370" s="1" t="n">
        <v>45246</v>
      </c>
      <c r="C370" s="1" t="n">
        <v>45915</v>
      </c>
      <c r="D370" t="inlineStr">
        <is>
          <t>GOTLANDS LÄN</t>
        </is>
      </c>
      <c r="E370" t="inlineStr">
        <is>
          <t>GOTLAND</t>
        </is>
      </c>
      <c r="G370" t="n">
        <v>7.2</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45915</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45915</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883-2025</t>
        </is>
      </c>
      <c r="B373" s="1" t="n">
        <v>45665</v>
      </c>
      <c r="C373" s="1" t="n">
        <v>45915</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18938-2025</t>
        </is>
      </c>
      <c r="B374" s="1" t="n">
        <v>45764.49172453704</v>
      </c>
      <c r="C374" s="1" t="n">
        <v>45915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45915</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30157-2025</t>
        </is>
      </c>
      <c r="B376" s="1" t="n">
        <v>45826</v>
      </c>
      <c r="C376" s="1" t="n">
        <v>45915</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30061-2025</t>
        </is>
      </c>
      <c r="B377" s="1" t="n">
        <v>45826.61488425926</v>
      </c>
      <c r="C377" s="1" t="n">
        <v>45915</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45106-2024</t>
        </is>
      </c>
      <c r="B378" s="1" t="n">
        <v>45575</v>
      </c>
      <c r="C378" s="1" t="n">
        <v>45915</v>
      </c>
      <c r="D378" t="inlineStr">
        <is>
          <t>GOTLANDS LÄN</t>
        </is>
      </c>
      <c r="E378" t="inlineStr">
        <is>
          <t>GOTLAND</t>
        </is>
      </c>
      <c r="G378" t="n">
        <v>10</v>
      </c>
      <c r="H378" t="n">
        <v>0</v>
      </c>
      <c r="I378" t="n">
        <v>0</v>
      </c>
      <c r="J378" t="n">
        <v>0</v>
      </c>
      <c r="K378" t="n">
        <v>0</v>
      </c>
      <c r="L378" t="n">
        <v>0</v>
      </c>
      <c r="M378" t="n">
        <v>0</v>
      </c>
      <c r="N378" t="n">
        <v>0</v>
      </c>
      <c r="O378" t="n">
        <v>0</v>
      </c>
      <c r="P378" t="n">
        <v>0</v>
      </c>
      <c r="Q378" t="n">
        <v>0</v>
      </c>
      <c r="R378" s="2" t="inlineStr"/>
    </row>
    <row r="379" ht="15" customHeight="1">
      <c r="A379" t="inlineStr">
        <is>
          <t>A 45112-2024</t>
        </is>
      </c>
      <c r="B379" s="1" t="n">
        <v>45575</v>
      </c>
      <c r="C379" s="1" t="n">
        <v>45915</v>
      </c>
      <c r="D379" t="inlineStr">
        <is>
          <t>GOTLANDS LÄN</t>
        </is>
      </c>
      <c r="E379" t="inlineStr">
        <is>
          <t>GOTLAND</t>
        </is>
      </c>
      <c r="G379" t="n">
        <v>5.1</v>
      </c>
      <c r="H379" t="n">
        <v>0</v>
      </c>
      <c r="I379" t="n">
        <v>0</v>
      </c>
      <c r="J379" t="n">
        <v>0</v>
      </c>
      <c r="K379" t="n">
        <v>0</v>
      </c>
      <c r="L379" t="n">
        <v>0</v>
      </c>
      <c r="M379" t="n">
        <v>0</v>
      </c>
      <c r="N379" t="n">
        <v>0</v>
      </c>
      <c r="O379" t="n">
        <v>0</v>
      </c>
      <c r="P379" t="n">
        <v>0</v>
      </c>
      <c r="Q379" t="n">
        <v>0</v>
      </c>
      <c r="R379" s="2" t="inlineStr"/>
    </row>
    <row r="380" ht="15" customHeight="1">
      <c r="A380" t="inlineStr">
        <is>
          <t>A 2676-2023</t>
        </is>
      </c>
      <c r="B380" s="1" t="n">
        <v>44944</v>
      </c>
      <c r="C380" s="1" t="n">
        <v>45915</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1066-2024</t>
        </is>
      </c>
      <c r="B381" s="1" t="n">
        <v>45302.285</v>
      </c>
      <c r="C381" s="1" t="n">
        <v>45915</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17144-2025</t>
        </is>
      </c>
      <c r="B382" s="1" t="n">
        <v>45755.9499537037</v>
      </c>
      <c r="C382" s="1" t="n">
        <v>45915</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58160-2024</t>
        </is>
      </c>
      <c r="B383" s="1" t="n">
        <v>45632.44927083333</v>
      </c>
      <c r="C383" s="1" t="n">
        <v>45915</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45915</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45915</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45915</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7635-2025</t>
        </is>
      </c>
      <c r="B387" s="1" t="n">
        <v>45705</v>
      </c>
      <c r="C387" s="1" t="n">
        <v>45915</v>
      </c>
      <c r="D387" t="inlineStr">
        <is>
          <t>GOTLANDS LÄN</t>
        </is>
      </c>
      <c r="E387" t="inlineStr">
        <is>
          <t>GOTLAND</t>
        </is>
      </c>
      <c r="G387" t="n">
        <v>0.9</v>
      </c>
      <c r="H387" t="n">
        <v>0</v>
      </c>
      <c r="I387" t="n">
        <v>0</v>
      </c>
      <c r="J387" t="n">
        <v>0</v>
      </c>
      <c r="K387" t="n">
        <v>0</v>
      </c>
      <c r="L387" t="n">
        <v>0</v>
      </c>
      <c r="M387" t="n">
        <v>0</v>
      </c>
      <c r="N387" t="n">
        <v>0</v>
      </c>
      <c r="O387" t="n">
        <v>0</v>
      </c>
      <c r="P387" t="n">
        <v>0</v>
      </c>
      <c r="Q387" t="n">
        <v>0</v>
      </c>
      <c r="R387" s="2" t="inlineStr"/>
    </row>
    <row r="388" ht="15" customHeight="1">
      <c r="A388" t="inlineStr">
        <is>
          <t>A 7636-2025</t>
        </is>
      </c>
      <c r="B388" s="1" t="n">
        <v>45705.7687962963</v>
      </c>
      <c r="C388" s="1" t="n">
        <v>45915</v>
      </c>
      <c r="D388" t="inlineStr">
        <is>
          <t>GOTLANDS LÄN</t>
        </is>
      </c>
      <c r="E388" t="inlineStr">
        <is>
          <t>GOTLAND</t>
        </is>
      </c>
      <c r="G388" t="n">
        <v>0.6</v>
      </c>
      <c r="H388" t="n">
        <v>0</v>
      </c>
      <c r="I388" t="n">
        <v>0</v>
      </c>
      <c r="J388" t="n">
        <v>0</v>
      </c>
      <c r="K388" t="n">
        <v>0</v>
      </c>
      <c r="L388" t="n">
        <v>0</v>
      </c>
      <c r="M388" t="n">
        <v>0</v>
      </c>
      <c r="N388" t="n">
        <v>0</v>
      </c>
      <c r="O388" t="n">
        <v>0</v>
      </c>
      <c r="P388" t="n">
        <v>0</v>
      </c>
      <c r="Q388" t="n">
        <v>0</v>
      </c>
      <c r="R388" s="2" t="inlineStr"/>
    </row>
    <row r="389" ht="15" customHeight="1">
      <c r="A389" t="inlineStr">
        <is>
          <t>A 7639-2025</t>
        </is>
      </c>
      <c r="B389" s="1" t="n">
        <v>45705.77465277778</v>
      </c>
      <c r="C389" s="1" t="n">
        <v>45915</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45915</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45915</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45915</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45915</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30489-2025</t>
        </is>
      </c>
      <c r="B394" s="1" t="n">
        <v>45830</v>
      </c>
      <c r="C394" s="1" t="n">
        <v>45915</v>
      </c>
      <c r="D394" t="inlineStr">
        <is>
          <t>GOTLANDS LÄN</t>
        </is>
      </c>
      <c r="E394" t="inlineStr">
        <is>
          <t>GOTLAND</t>
        </is>
      </c>
      <c r="G394" t="n">
        <v>4.6</v>
      </c>
      <c r="H394" t="n">
        <v>0</v>
      </c>
      <c r="I394" t="n">
        <v>0</v>
      </c>
      <c r="J394" t="n">
        <v>0</v>
      </c>
      <c r="K394" t="n">
        <v>0</v>
      </c>
      <c r="L394" t="n">
        <v>0</v>
      </c>
      <c r="M394" t="n">
        <v>0</v>
      </c>
      <c r="N394" t="n">
        <v>0</v>
      </c>
      <c r="O394" t="n">
        <v>0</v>
      </c>
      <c r="P394" t="n">
        <v>0</v>
      </c>
      <c r="Q394" t="n">
        <v>0</v>
      </c>
      <c r="R394" s="2" t="inlineStr"/>
    </row>
    <row r="395" ht="15" customHeight="1">
      <c r="A395" t="inlineStr">
        <is>
          <t>A 56009-2024</t>
        </is>
      </c>
      <c r="B395" s="1" t="n">
        <v>45623.80864583333</v>
      </c>
      <c r="C395" s="1" t="n">
        <v>45915</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42338-2023</t>
        </is>
      </c>
      <c r="B396" s="1" t="n">
        <v>45180</v>
      </c>
      <c r="C396" s="1" t="n">
        <v>45915</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45915</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57685-2022</t>
        </is>
      </c>
      <c r="B398" s="1" t="n">
        <v>44897.4777662037</v>
      </c>
      <c r="C398" s="1" t="n">
        <v>45915</v>
      </c>
      <c r="D398" t="inlineStr">
        <is>
          <t>GOTLANDS LÄN</t>
        </is>
      </c>
      <c r="E398" t="inlineStr">
        <is>
          <t>GOTLAND</t>
        </is>
      </c>
      <c r="G398" t="n">
        <v>3.7</v>
      </c>
      <c r="H398" t="n">
        <v>0</v>
      </c>
      <c r="I398" t="n">
        <v>0</v>
      </c>
      <c r="J398" t="n">
        <v>0</v>
      </c>
      <c r="K398" t="n">
        <v>0</v>
      </c>
      <c r="L398" t="n">
        <v>0</v>
      </c>
      <c r="M398" t="n">
        <v>0</v>
      </c>
      <c r="N398" t="n">
        <v>0</v>
      </c>
      <c r="O398" t="n">
        <v>0</v>
      </c>
      <c r="P398" t="n">
        <v>0</v>
      </c>
      <c r="Q398" t="n">
        <v>0</v>
      </c>
      <c r="R398" s="2" t="inlineStr"/>
    </row>
    <row r="399" ht="15" customHeight="1">
      <c r="A399" t="inlineStr">
        <is>
          <t>A 32686-2025</t>
        </is>
      </c>
      <c r="B399" s="1" t="n">
        <v>45838</v>
      </c>
      <c r="C399" s="1" t="n">
        <v>45915</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12599-2025</t>
        </is>
      </c>
      <c r="B400" s="1" t="n">
        <v>45733.29546296296</v>
      </c>
      <c r="C400" s="1" t="n">
        <v>45915</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45915</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7034-2023</t>
        </is>
      </c>
      <c r="B402" s="1" t="n">
        <v>44968.32108796296</v>
      </c>
      <c r="C402" s="1" t="n">
        <v>45915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7042-2023</t>
        </is>
      </c>
      <c r="B403" s="1" t="n">
        <v>44968</v>
      </c>
      <c r="C403" s="1" t="n">
        <v>45915</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23516-2023</t>
        </is>
      </c>
      <c r="B404" s="1" t="n">
        <v>45076.93391203704</v>
      </c>
      <c r="C404" s="1" t="n">
        <v>45915</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64660-2023</t>
        </is>
      </c>
      <c r="B405" s="1" t="n">
        <v>45281.60122685185</v>
      </c>
      <c r="C405" s="1" t="n">
        <v>45915</v>
      </c>
      <c r="D405" t="inlineStr">
        <is>
          <t>GOTLANDS LÄN</t>
        </is>
      </c>
      <c r="E405" t="inlineStr">
        <is>
          <t>GOTLAND</t>
        </is>
      </c>
      <c r="G405" t="n">
        <v>6.3</v>
      </c>
      <c r="H405" t="n">
        <v>0</v>
      </c>
      <c r="I405" t="n">
        <v>0</v>
      </c>
      <c r="J405" t="n">
        <v>0</v>
      </c>
      <c r="K405" t="n">
        <v>0</v>
      </c>
      <c r="L405" t="n">
        <v>0</v>
      </c>
      <c r="M405" t="n">
        <v>0</v>
      </c>
      <c r="N405" t="n">
        <v>0</v>
      </c>
      <c r="O405" t="n">
        <v>0</v>
      </c>
      <c r="P405" t="n">
        <v>0</v>
      </c>
      <c r="Q405" t="n">
        <v>0</v>
      </c>
      <c r="R405" s="2" t="inlineStr"/>
    </row>
    <row r="406" ht="15" customHeight="1">
      <c r="A406" t="inlineStr">
        <is>
          <t>A 63763-2023</t>
        </is>
      </c>
      <c r="B406" s="1" t="n">
        <v>45278.33944444444</v>
      </c>
      <c r="C406" s="1" t="n">
        <v>45915</v>
      </c>
      <c r="D406" t="inlineStr">
        <is>
          <t>GOTLANDS LÄN</t>
        </is>
      </c>
      <c r="E406" t="inlineStr">
        <is>
          <t>GOTLAND</t>
        </is>
      </c>
      <c r="G406" t="n">
        <v>0.5</v>
      </c>
      <c r="H406" t="n">
        <v>0</v>
      </c>
      <c r="I406" t="n">
        <v>0</v>
      </c>
      <c r="J406" t="n">
        <v>0</v>
      </c>
      <c r="K406" t="n">
        <v>0</v>
      </c>
      <c r="L406" t="n">
        <v>0</v>
      </c>
      <c r="M406" t="n">
        <v>0</v>
      </c>
      <c r="N406" t="n">
        <v>0</v>
      </c>
      <c r="O406" t="n">
        <v>0</v>
      </c>
      <c r="P406" t="n">
        <v>0</v>
      </c>
      <c r="Q406" t="n">
        <v>0</v>
      </c>
      <c r="R406" s="2" t="inlineStr"/>
    </row>
    <row r="407" ht="15" customHeight="1">
      <c r="A407" t="inlineStr">
        <is>
          <t>A 32379-2025</t>
        </is>
      </c>
      <c r="B407" s="1" t="n">
        <v>45837</v>
      </c>
      <c r="C407" s="1" t="n">
        <v>45915</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63229-2021</t>
        </is>
      </c>
      <c r="B408" s="1" t="n">
        <v>44508.34518518519</v>
      </c>
      <c r="C408" s="1" t="n">
        <v>45915</v>
      </c>
      <c r="D408" t="inlineStr">
        <is>
          <t>GOTLANDS LÄN</t>
        </is>
      </c>
      <c r="E408" t="inlineStr">
        <is>
          <t>GOTLAND</t>
        </is>
      </c>
      <c r="F408" t="inlineStr">
        <is>
          <t>Kyrkan</t>
        </is>
      </c>
      <c r="G408" t="n">
        <v>3.8</v>
      </c>
      <c r="H408" t="n">
        <v>0</v>
      </c>
      <c r="I408" t="n">
        <v>0</v>
      </c>
      <c r="J408" t="n">
        <v>0</v>
      </c>
      <c r="K408" t="n">
        <v>0</v>
      </c>
      <c r="L408" t="n">
        <v>0</v>
      </c>
      <c r="M408" t="n">
        <v>0</v>
      </c>
      <c r="N408" t="n">
        <v>0</v>
      </c>
      <c r="O408" t="n">
        <v>0</v>
      </c>
      <c r="P408" t="n">
        <v>0</v>
      </c>
      <c r="Q408" t="n">
        <v>0</v>
      </c>
      <c r="R408" s="2" t="inlineStr"/>
    </row>
    <row r="409" ht="15" customHeight="1">
      <c r="A409" t="inlineStr">
        <is>
          <t>A 46375-2024</t>
        </is>
      </c>
      <c r="B409" s="1" t="n">
        <v>45582</v>
      </c>
      <c r="C409" s="1" t="n">
        <v>45915</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45915</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45915</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581-2023</t>
        </is>
      </c>
      <c r="B412" s="1" t="n">
        <v>44930</v>
      </c>
      <c r="C412" s="1" t="n">
        <v>45915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61386-2023</t>
        </is>
      </c>
      <c r="B413" s="1" t="n">
        <v>45264</v>
      </c>
      <c r="C413" s="1" t="n">
        <v>45915</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16109-2025</t>
        </is>
      </c>
      <c r="B414" s="1" t="n">
        <v>45750</v>
      </c>
      <c r="C414" s="1" t="n">
        <v>45915</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873-2024</t>
        </is>
      </c>
      <c r="B415" s="1" t="n">
        <v>45301</v>
      </c>
      <c r="C415" s="1" t="n">
        <v>45915</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1734-2025</t>
        </is>
      </c>
      <c r="B416" s="1" t="n">
        <v>45671.3840625</v>
      </c>
      <c r="C416" s="1" t="n">
        <v>45915</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33078-2025</t>
        </is>
      </c>
      <c r="B417" s="1" t="n">
        <v>45840</v>
      </c>
      <c r="C417" s="1" t="n">
        <v>45915</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20993-2023</t>
        </is>
      </c>
      <c r="B418" s="1" t="n">
        <v>45056</v>
      </c>
      <c r="C418" s="1" t="n">
        <v>45915</v>
      </c>
      <c r="D418" t="inlineStr">
        <is>
          <t>GOTLANDS LÄN</t>
        </is>
      </c>
      <c r="E418" t="inlineStr">
        <is>
          <t>GOTLAND</t>
        </is>
      </c>
      <c r="G418" t="n">
        <v>7.1</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45915</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45915</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45915</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45915</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999-2024</t>
        </is>
      </c>
      <c r="B423" s="1" t="n">
        <v>45301</v>
      </c>
      <c r="C423" s="1" t="n">
        <v>45915</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12596-2023</t>
        </is>
      </c>
      <c r="B424" s="1" t="n">
        <v>45000.43310185185</v>
      </c>
      <c r="C424" s="1" t="n">
        <v>45915</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2125-2025</t>
        </is>
      </c>
      <c r="B425" s="1" t="n">
        <v>45672.64940972222</v>
      </c>
      <c r="C425" s="1" t="n">
        <v>45915</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61596-2023</t>
        </is>
      </c>
      <c r="B426" s="1" t="n">
        <v>45265</v>
      </c>
      <c r="C426" s="1" t="n">
        <v>45915</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12155-2023</t>
        </is>
      </c>
      <c r="B427" s="1" t="n">
        <v>44998.49106481481</v>
      </c>
      <c r="C427" s="1" t="n">
        <v>45915</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457-2023</t>
        </is>
      </c>
      <c r="B428" s="1" t="n">
        <v>44929.87238425926</v>
      </c>
      <c r="C428" s="1" t="n">
        <v>45915</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459-2023</t>
        </is>
      </c>
      <c r="B429" s="1" t="n">
        <v>44929.87423611111</v>
      </c>
      <c r="C429" s="1" t="n">
        <v>45915</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38234-2023</t>
        </is>
      </c>
      <c r="B430" s="1" t="n">
        <v>45161.56663194444</v>
      </c>
      <c r="C430" s="1" t="n">
        <v>45915</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50744-2024</t>
        </is>
      </c>
      <c r="B431" s="1" t="n">
        <v>45602.4187037037</v>
      </c>
      <c r="C431" s="1" t="n">
        <v>45915</v>
      </c>
      <c r="D431" t="inlineStr">
        <is>
          <t>GOTLANDS LÄN</t>
        </is>
      </c>
      <c r="E431" t="inlineStr">
        <is>
          <t>GOTLAND</t>
        </is>
      </c>
      <c r="G431" t="n">
        <v>3.2</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45915</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14638-2025</t>
        </is>
      </c>
      <c r="B433" s="1" t="n">
        <v>45742</v>
      </c>
      <c r="C433" s="1" t="n">
        <v>45915</v>
      </c>
      <c r="D433" t="inlineStr">
        <is>
          <t>GOTLANDS LÄN</t>
        </is>
      </c>
      <c r="E433" t="inlineStr">
        <is>
          <t>GOTLAND</t>
        </is>
      </c>
      <c r="G433" t="n">
        <v>13.4</v>
      </c>
      <c r="H433" t="n">
        <v>0</v>
      </c>
      <c r="I433" t="n">
        <v>0</v>
      </c>
      <c r="J433" t="n">
        <v>0</v>
      </c>
      <c r="K433" t="n">
        <v>0</v>
      </c>
      <c r="L433" t="n">
        <v>0</v>
      </c>
      <c r="M433" t="n">
        <v>0</v>
      </c>
      <c r="N433" t="n">
        <v>0</v>
      </c>
      <c r="O433" t="n">
        <v>0</v>
      </c>
      <c r="P433" t="n">
        <v>0</v>
      </c>
      <c r="Q433" t="n">
        <v>0</v>
      </c>
      <c r="R433" s="2" t="inlineStr"/>
    </row>
    <row r="434" ht="15" customHeight="1">
      <c r="A434" t="inlineStr">
        <is>
          <t>A 60675-2021</t>
        </is>
      </c>
      <c r="B434" s="1" t="n">
        <v>44496.64855324074</v>
      </c>
      <c r="C434" s="1" t="n">
        <v>45915</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37728-2024</t>
        </is>
      </c>
      <c r="B435" s="1" t="n">
        <v>45541</v>
      </c>
      <c r="C435" s="1" t="n">
        <v>45915</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1446-2025</t>
        </is>
      </c>
      <c r="B436" s="1" t="n">
        <v>45669.86035879629</v>
      </c>
      <c r="C436" s="1" t="n">
        <v>45915</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10813-2025</t>
        </is>
      </c>
      <c r="B437" s="1" t="n">
        <v>45722.54163194444</v>
      </c>
      <c r="C437" s="1" t="n">
        <v>45915</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45915</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45915</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45915</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43901-2023</t>
        </is>
      </c>
      <c r="B441" s="1" t="n">
        <v>45187</v>
      </c>
      <c r="C441" s="1" t="n">
        <v>45915</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22287-2022</t>
        </is>
      </c>
      <c r="B442" s="1" t="n">
        <v>44712</v>
      </c>
      <c r="C442" s="1" t="n">
        <v>45915</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10746-2025</t>
        </is>
      </c>
      <c r="B443" s="1" t="n">
        <v>45722.42766203704</v>
      </c>
      <c r="C443" s="1" t="n">
        <v>45915</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45915</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27930-2021</t>
        </is>
      </c>
      <c r="B445" s="1" t="n">
        <v>44354</v>
      </c>
      <c r="C445" s="1" t="n">
        <v>45915</v>
      </c>
      <c r="D445" t="inlineStr">
        <is>
          <t>GOTLANDS LÄN</t>
        </is>
      </c>
      <c r="E445" t="inlineStr">
        <is>
          <t>GOTLAND</t>
        </is>
      </c>
      <c r="G445" t="n">
        <v>2.5</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45915</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61962-2024</t>
        </is>
      </c>
      <c r="B447" s="1" t="n">
        <v>45653.54340277778</v>
      </c>
      <c r="C447" s="1" t="n">
        <v>45915</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10492-2023</t>
        </is>
      </c>
      <c r="B448" s="1" t="n">
        <v>44987</v>
      </c>
      <c r="C448" s="1" t="n">
        <v>45915</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45915</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5909-2025</t>
        </is>
      </c>
      <c r="B450" s="1" t="n">
        <v>45695.40634259259</v>
      </c>
      <c r="C450" s="1" t="n">
        <v>45915</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10653-2023</t>
        </is>
      </c>
      <c r="B451" s="1" t="n">
        <v>44988.48859953704</v>
      </c>
      <c r="C451" s="1" t="n">
        <v>45915</v>
      </c>
      <c r="D451" t="inlineStr">
        <is>
          <t>GOTLANDS LÄN</t>
        </is>
      </c>
      <c r="E451" t="inlineStr">
        <is>
          <t>GOTLAND</t>
        </is>
      </c>
      <c r="F451" t="inlineStr">
        <is>
          <t>Kyrkan</t>
        </is>
      </c>
      <c r="G451" t="n">
        <v>3</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45915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4990-2025</t>
        </is>
      </c>
      <c r="B453" s="1" t="n">
        <v>45691</v>
      </c>
      <c r="C453" s="1" t="n">
        <v>45915</v>
      </c>
      <c r="D453" t="inlineStr">
        <is>
          <t>GOTLANDS LÄN</t>
        </is>
      </c>
      <c r="E453" t="inlineStr">
        <is>
          <t>GOTLAND</t>
        </is>
      </c>
      <c r="G453" t="n">
        <v>7.7</v>
      </c>
      <c r="H453" t="n">
        <v>0</v>
      </c>
      <c r="I453" t="n">
        <v>0</v>
      </c>
      <c r="J453" t="n">
        <v>0</v>
      </c>
      <c r="K453" t="n">
        <v>0</v>
      </c>
      <c r="L453" t="n">
        <v>0</v>
      </c>
      <c r="M453" t="n">
        <v>0</v>
      </c>
      <c r="N453" t="n">
        <v>0</v>
      </c>
      <c r="O453" t="n">
        <v>0</v>
      </c>
      <c r="P453" t="n">
        <v>0</v>
      </c>
      <c r="Q453" t="n">
        <v>0</v>
      </c>
      <c r="R453" s="2" t="inlineStr"/>
    </row>
    <row r="454" ht="15" customHeight="1">
      <c r="A454" t="inlineStr">
        <is>
          <t>A 43081-2022</t>
        </is>
      </c>
      <c r="B454" s="1" t="n">
        <v>44833</v>
      </c>
      <c r="C454" s="1" t="n">
        <v>45915</v>
      </c>
      <c r="D454" t="inlineStr">
        <is>
          <t>GOTLANDS LÄN</t>
        </is>
      </c>
      <c r="E454" t="inlineStr">
        <is>
          <t>GOTLAND</t>
        </is>
      </c>
      <c r="G454" t="n">
        <v>6.8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45915</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5884-2025</t>
        </is>
      </c>
      <c r="B456" s="1" t="n">
        <v>45695.37482638889</v>
      </c>
      <c r="C456" s="1" t="n">
        <v>45915</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5897-2025</t>
        </is>
      </c>
      <c r="B457" s="1" t="n">
        <v>45695.39273148148</v>
      </c>
      <c r="C457" s="1" t="n">
        <v>45915</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49693-2023</t>
        </is>
      </c>
      <c r="B458" s="1" t="n">
        <v>45212.38138888889</v>
      </c>
      <c r="C458" s="1" t="n">
        <v>45915</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49697-2023</t>
        </is>
      </c>
      <c r="B459" s="1" t="n">
        <v>45212.38909722222</v>
      </c>
      <c r="C459" s="1" t="n">
        <v>45915</v>
      </c>
      <c r="D459" t="inlineStr">
        <is>
          <t>GOTLANDS LÄN</t>
        </is>
      </c>
      <c r="E459" t="inlineStr">
        <is>
          <t>GOTLAND</t>
        </is>
      </c>
      <c r="G459" t="n">
        <v>4.4</v>
      </c>
      <c r="H459" t="n">
        <v>0</v>
      </c>
      <c r="I459" t="n">
        <v>0</v>
      </c>
      <c r="J459" t="n">
        <v>0</v>
      </c>
      <c r="K459" t="n">
        <v>0</v>
      </c>
      <c r="L459" t="n">
        <v>0</v>
      </c>
      <c r="M459" t="n">
        <v>0</v>
      </c>
      <c r="N459" t="n">
        <v>0</v>
      </c>
      <c r="O459" t="n">
        <v>0</v>
      </c>
      <c r="P459" t="n">
        <v>0</v>
      </c>
      <c r="Q459" t="n">
        <v>0</v>
      </c>
      <c r="R459" s="2" t="inlineStr"/>
    </row>
    <row r="460" ht="15" customHeight="1">
      <c r="A460" t="inlineStr">
        <is>
          <t>A 17901-2023</t>
        </is>
      </c>
      <c r="B460" s="1" t="n">
        <v>45039</v>
      </c>
      <c r="C460" s="1" t="n">
        <v>45915</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2035-2025</t>
        </is>
      </c>
      <c r="B461" s="1" t="n">
        <v>45672</v>
      </c>
      <c r="C461" s="1" t="n">
        <v>45915</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52892-2021</t>
        </is>
      </c>
      <c r="B462" s="1" t="n">
        <v>44467.49048611111</v>
      </c>
      <c r="C462" s="1" t="n">
        <v>45915</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1713-2025</t>
        </is>
      </c>
      <c r="B463" s="1" t="n">
        <v>45671.32342592593</v>
      </c>
      <c r="C463" s="1" t="n">
        <v>45915</v>
      </c>
      <c r="D463" t="inlineStr">
        <is>
          <t>GOTLANDS LÄN</t>
        </is>
      </c>
      <c r="E463" t="inlineStr">
        <is>
          <t>GOTLAND</t>
        </is>
      </c>
      <c r="G463" t="n">
        <v>10.1</v>
      </c>
      <c r="H463" t="n">
        <v>0</v>
      </c>
      <c r="I463" t="n">
        <v>0</v>
      </c>
      <c r="J463" t="n">
        <v>0</v>
      </c>
      <c r="K463" t="n">
        <v>0</v>
      </c>
      <c r="L463" t="n">
        <v>0</v>
      </c>
      <c r="M463" t="n">
        <v>0</v>
      </c>
      <c r="N463" t="n">
        <v>0</v>
      </c>
      <c r="O463" t="n">
        <v>0</v>
      </c>
      <c r="P463" t="n">
        <v>0</v>
      </c>
      <c r="Q463" t="n">
        <v>0</v>
      </c>
      <c r="R463" s="2" t="inlineStr"/>
    </row>
    <row r="464" ht="15" customHeight="1">
      <c r="A464" t="inlineStr">
        <is>
          <t>A 46396-2023</t>
        </is>
      </c>
      <c r="B464" s="1" t="n">
        <v>45197</v>
      </c>
      <c r="C464" s="1" t="n">
        <v>45915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17724-2024</t>
        </is>
      </c>
      <c r="B465" s="1" t="n">
        <v>45418.55096064815</v>
      </c>
      <c r="C465" s="1" t="n">
        <v>45915</v>
      </c>
      <c r="D465" t="inlineStr">
        <is>
          <t>GOTLANDS LÄN</t>
        </is>
      </c>
      <c r="E465" t="inlineStr">
        <is>
          <t>GOTLAND</t>
        </is>
      </c>
      <c r="G465" t="n">
        <v>2</v>
      </c>
      <c r="H465" t="n">
        <v>0</v>
      </c>
      <c r="I465" t="n">
        <v>0</v>
      </c>
      <c r="J465" t="n">
        <v>0</v>
      </c>
      <c r="K465" t="n">
        <v>0</v>
      </c>
      <c r="L465" t="n">
        <v>0</v>
      </c>
      <c r="M465" t="n">
        <v>0</v>
      </c>
      <c r="N465" t="n">
        <v>0</v>
      </c>
      <c r="O465" t="n">
        <v>0</v>
      </c>
      <c r="P465" t="n">
        <v>0</v>
      </c>
      <c r="Q465" t="n">
        <v>0</v>
      </c>
      <c r="R465" s="2" t="inlineStr"/>
    </row>
    <row r="466" ht="15" customHeight="1">
      <c r="A466" t="inlineStr">
        <is>
          <t>A 34312-2024</t>
        </is>
      </c>
      <c r="B466" s="1" t="n">
        <v>45524.69703703704</v>
      </c>
      <c r="C466" s="1" t="n">
        <v>45915</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6153-2024</t>
        </is>
      </c>
      <c r="B467" s="1" t="n">
        <v>45337</v>
      </c>
      <c r="C467" s="1" t="n">
        <v>45915</v>
      </c>
      <c r="D467" t="inlineStr">
        <is>
          <t>GOTLANDS LÄN</t>
        </is>
      </c>
      <c r="E467" t="inlineStr">
        <is>
          <t>GOTLAND</t>
        </is>
      </c>
      <c r="G467" t="n">
        <v>14.2</v>
      </c>
      <c r="H467" t="n">
        <v>0</v>
      </c>
      <c r="I467" t="n">
        <v>0</v>
      </c>
      <c r="J467" t="n">
        <v>0</v>
      </c>
      <c r="K467" t="n">
        <v>0</v>
      </c>
      <c r="L467" t="n">
        <v>0</v>
      </c>
      <c r="M467" t="n">
        <v>0</v>
      </c>
      <c r="N467" t="n">
        <v>0</v>
      </c>
      <c r="O467" t="n">
        <v>0</v>
      </c>
      <c r="P467" t="n">
        <v>0</v>
      </c>
      <c r="Q467" t="n">
        <v>0</v>
      </c>
      <c r="R467" s="2" t="inlineStr"/>
    </row>
    <row r="468" ht="15" customHeight="1">
      <c r="A468" t="inlineStr">
        <is>
          <t>A 69112-2021</t>
        </is>
      </c>
      <c r="B468" s="1" t="n">
        <v>44530</v>
      </c>
      <c r="C468" s="1" t="n">
        <v>45915</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45915</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13910-2025</t>
        </is>
      </c>
      <c r="B470" s="1" t="n">
        <v>45737</v>
      </c>
      <c r="C470" s="1" t="n">
        <v>45915</v>
      </c>
      <c r="D470" t="inlineStr">
        <is>
          <t>GOTLANDS LÄN</t>
        </is>
      </c>
      <c r="E470" t="inlineStr">
        <is>
          <t>GOTLAND</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50482-2024</t>
        </is>
      </c>
      <c r="B471" s="1" t="n">
        <v>45601.48114583334</v>
      </c>
      <c r="C471" s="1" t="n">
        <v>45915</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45915</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45915</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45915</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17780-2022</t>
        </is>
      </c>
      <c r="B475" s="1" t="n">
        <v>44682.82622685185</v>
      </c>
      <c r="C475" s="1" t="n">
        <v>45915</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25129-2023</t>
        </is>
      </c>
      <c r="B476" s="1" t="n">
        <v>45086.44261574074</v>
      </c>
      <c r="C476" s="1" t="n">
        <v>45915</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17343-2025</t>
        </is>
      </c>
      <c r="B477" s="1" t="n">
        <v>45756.6687037037</v>
      </c>
      <c r="C477" s="1" t="n">
        <v>45915</v>
      </c>
      <c r="D477" t="inlineStr">
        <is>
          <t>GOTLANDS LÄN</t>
        </is>
      </c>
      <c r="E477" t="inlineStr">
        <is>
          <t>GOTLAND</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24192-2023</t>
        </is>
      </c>
      <c r="B478" s="1" t="n">
        <v>45079</v>
      </c>
      <c r="C478" s="1" t="n">
        <v>45915</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18914-2025</t>
        </is>
      </c>
      <c r="B479" s="1" t="n">
        <v>45764.46783564815</v>
      </c>
      <c r="C479" s="1" t="n">
        <v>45915</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59986-2022</t>
        </is>
      </c>
      <c r="B480" s="1" t="n">
        <v>44909</v>
      </c>
      <c r="C480" s="1" t="n">
        <v>45915</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45915</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7026-2023</t>
        </is>
      </c>
      <c r="B482" s="1" t="n">
        <v>44968.30340277778</v>
      </c>
      <c r="C482" s="1" t="n">
        <v>45915</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20855-2023</t>
        </is>
      </c>
      <c r="B483" s="1" t="n">
        <v>45058.82172453704</v>
      </c>
      <c r="C483" s="1" t="n">
        <v>45915</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45915</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16373-2025</t>
        </is>
      </c>
      <c r="B485" s="1" t="n">
        <v>45751</v>
      </c>
      <c r="C485" s="1" t="n">
        <v>45915</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1000-2024</t>
        </is>
      </c>
      <c r="B486" s="1" t="n">
        <v>45301.63371527778</v>
      </c>
      <c r="C486" s="1" t="n">
        <v>45915</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1010-2024</t>
        </is>
      </c>
      <c r="B487" s="1" t="n">
        <v>45301</v>
      </c>
      <c r="C487" s="1" t="n">
        <v>45915</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39278-2025</t>
        </is>
      </c>
      <c r="B488" s="1" t="n">
        <v>45889</v>
      </c>
      <c r="C488" s="1" t="n">
        <v>45915</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11874-2024</t>
        </is>
      </c>
      <c r="B489" s="1" t="n">
        <v>45376.46956018519</v>
      </c>
      <c r="C489" s="1" t="n">
        <v>45915</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2292-2021</t>
        </is>
      </c>
      <c r="B490" s="1" t="n">
        <v>44212</v>
      </c>
      <c r="C490" s="1" t="n">
        <v>45915</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15413-2025</t>
        </is>
      </c>
      <c r="B491" s="1" t="n">
        <v>45747.451875</v>
      </c>
      <c r="C491" s="1" t="n">
        <v>45915</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45915</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45915</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61694-2023</t>
        </is>
      </c>
      <c r="B494" s="1" t="n">
        <v>45264</v>
      </c>
      <c r="C494" s="1" t="n">
        <v>45915</v>
      </c>
      <c r="D494" t="inlineStr">
        <is>
          <t>GOTLANDS LÄN</t>
        </is>
      </c>
      <c r="E494" t="inlineStr">
        <is>
          <t>GOTLAND</t>
        </is>
      </c>
      <c r="G494" t="n">
        <v>4.6</v>
      </c>
      <c r="H494" t="n">
        <v>0</v>
      </c>
      <c r="I494" t="n">
        <v>0</v>
      </c>
      <c r="J494" t="n">
        <v>0</v>
      </c>
      <c r="K494" t="n">
        <v>0</v>
      </c>
      <c r="L494" t="n">
        <v>0</v>
      </c>
      <c r="M494" t="n">
        <v>0</v>
      </c>
      <c r="N494" t="n">
        <v>0</v>
      </c>
      <c r="O494" t="n">
        <v>0</v>
      </c>
      <c r="P494" t="n">
        <v>0</v>
      </c>
      <c r="Q494" t="n">
        <v>0</v>
      </c>
      <c r="R494" s="2" t="inlineStr"/>
    </row>
    <row r="495" ht="15" customHeight="1">
      <c r="A495" t="inlineStr">
        <is>
          <t>A 35123-2025</t>
        </is>
      </c>
      <c r="B495" s="1" t="n">
        <v>45852.614375</v>
      </c>
      <c r="C495" s="1" t="n">
        <v>45915</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39814-2025</t>
        </is>
      </c>
      <c r="B496" s="1" t="n">
        <v>45891.52694444444</v>
      </c>
      <c r="C496" s="1" t="n">
        <v>45915</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35141-2025</t>
        </is>
      </c>
      <c r="B497" s="1" t="n">
        <v>45852.65206018519</v>
      </c>
      <c r="C497" s="1" t="n">
        <v>45915</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35096-2025</t>
        </is>
      </c>
      <c r="B498" s="1" t="n">
        <v>45852.54356481481</v>
      </c>
      <c r="C498" s="1" t="n">
        <v>45915</v>
      </c>
      <c r="D498" t="inlineStr">
        <is>
          <t>GOTLANDS LÄN</t>
        </is>
      </c>
      <c r="E498" t="inlineStr">
        <is>
          <t>GOTLAND</t>
        </is>
      </c>
      <c r="F498" t="inlineStr">
        <is>
          <t>Kyrkan</t>
        </is>
      </c>
      <c r="G498" t="n">
        <v>1</v>
      </c>
      <c r="H498" t="n">
        <v>0</v>
      </c>
      <c r="I498" t="n">
        <v>0</v>
      </c>
      <c r="J498" t="n">
        <v>0</v>
      </c>
      <c r="K498" t="n">
        <v>0</v>
      </c>
      <c r="L498" t="n">
        <v>0</v>
      </c>
      <c r="M498" t="n">
        <v>0</v>
      </c>
      <c r="N498" t="n">
        <v>0</v>
      </c>
      <c r="O498" t="n">
        <v>0</v>
      </c>
      <c r="P498" t="n">
        <v>0</v>
      </c>
      <c r="Q498" t="n">
        <v>0</v>
      </c>
      <c r="R498" s="2" t="inlineStr"/>
    </row>
    <row r="499" ht="15" customHeight="1">
      <c r="A499" t="inlineStr">
        <is>
          <t>A 35142-2025</t>
        </is>
      </c>
      <c r="B499" s="1" t="n">
        <v>45852.65532407408</v>
      </c>
      <c r="C499" s="1" t="n">
        <v>45915</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39849-2025</t>
        </is>
      </c>
      <c r="B500" s="1" t="n">
        <v>45891.58502314815</v>
      </c>
      <c r="C500" s="1" t="n">
        <v>45915</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40103-2025</t>
        </is>
      </c>
      <c r="B501" s="1" t="n">
        <v>45894.4880324074</v>
      </c>
      <c r="C501" s="1" t="n">
        <v>45915</v>
      </c>
      <c r="D501" t="inlineStr">
        <is>
          <t>GOTLANDS LÄN</t>
        </is>
      </c>
      <c r="E501" t="inlineStr">
        <is>
          <t>GOTLAND</t>
        </is>
      </c>
      <c r="G501" t="n">
        <v>0.9</v>
      </c>
      <c r="H501" t="n">
        <v>0</v>
      </c>
      <c r="I501" t="n">
        <v>0</v>
      </c>
      <c r="J501" t="n">
        <v>0</v>
      </c>
      <c r="K501" t="n">
        <v>0</v>
      </c>
      <c r="L501" t="n">
        <v>0</v>
      </c>
      <c r="M501" t="n">
        <v>0</v>
      </c>
      <c r="N501" t="n">
        <v>0</v>
      </c>
      <c r="O501" t="n">
        <v>0</v>
      </c>
      <c r="P501" t="n">
        <v>0</v>
      </c>
      <c r="Q501" t="n">
        <v>0</v>
      </c>
      <c r="R501" s="2" t="inlineStr"/>
    </row>
    <row r="502" ht="15" customHeight="1">
      <c r="A502" t="inlineStr">
        <is>
          <t>A 39819-2025</t>
        </is>
      </c>
      <c r="B502" s="1" t="n">
        <v>45891.53418981482</v>
      </c>
      <c r="C502" s="1" t="n">
        <v>45915</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45915</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64831-2023</t>
        </is>
      </c>
      <c r="B504" s="1" t="n">
        <v>45282.44924768519</v>
      </c>
      <c r="C504" s="1" t="n">
        <v>45915</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40372-2025</t>
        </is>
      </c>
      <c r="B505" s="1" t="n">
        <v>45895.5162037037</v>
      </c>
      <c r="C505" s="1" t="n">
        <v>45915</v>
      </c>
      <c r="D505" t="inlineStr">
        <is>
          <t>GOTLANDS LÄN</t>
        </is>
      </c>
      <c r="E505" t="inlineStr">
        <is>
          <t>GOTLAND</t>
        </is>
      </c>
      <c r="G505" t="n">
        <v>3.3</v>
      </c>
      <c r="H505" t="n">
        <v>0</v>
      </c>
      <c r="I505" t="n">
        <v>0</v>
      </c>
      <c r="J505" t="n">
        <v>0</v>
      </c>
      <c r="K505" t="n">
        <v>0</v>
      </c>
      <c r="L505" t="n">
        <v>0</v>
      </c>
      <c r="M505" t="n">
        <v>0</v>
      </c>
      <c r="N505" t="n">
        <v>0</v>
      </c>
      <c r="O505" t="n">
        <v>0</v>
      </c>
      <c r="P505" t="n">
        <v>0</v>
      </c>
      <c r="Q505" t="n">
        <v>0</v>
      </c>
      <c r="R505" s="2" t="inlineStr"/>
    </row>
    <row r="506" ht="15" customHeight="1">
      <c r="A506" t="inlineStr">
        <is>
          <t>A 40373-2025</t>
        </is>
      </c>
      <c r="B506" s="1" t="n">
        <v>45895.51821759259</v>
      </c>
      <c r="C506" s="1" t="n">
        <v>45915</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30104-2025</t>
        </is>
      </c>
      <c r="B507" s="1" t="n">
        <v>45826.68806712963</v>
      </c>
      <c r="C507" s="1" t="n">
        <v>45915</v>
      </c>
      <c r="D507" t="inlineStr">
        <is>
          <t>GOTLANDS LÄN</t>
        </is>
      </c>
      <c r="E507" t="inlineStr">
        <is>
          <t>GOTLAND</t>
        </is>
      </c>
      <c r="G507" t="n">
        <v>15.4</v>
      </c>
      <c r="H507" t="n">
        <v>0</v>
      </c>
      <c r="I507" t="n">
        <v>0</v>
      </c>
      <c r="J507" t="n">
        <v>0</v>
      </c>
      <c r="K507" t="n">
        <v>0</v>
      </c>
      <c r="L507" t="n">
        <v>0</v>
      </c>
      <c r="M507" t="n">
        <v>0</v>
      </c>
      <c r="N507" t="n">
        <v>0</v>
      </c>
      <c r="O507" t="n">
        <v>0</v>
      </c>
      <c r="P507" t="n">
        <v>0</v>
      </c>
      <c r="Q507" t="n">
        <v>0</v>
      </c>
      <c r="R507" s="2" t="inlineStr"/>
    </row>
    <row r="508" ht="15" customHeight="1">
      <c r="A508" t="inlineStr">
        <is>
          <t>A 14804-2021</t>
        </is>
      </c>
      <c r="B508" s="1" t="n">
        <v>44280</v>
      </c>
      <c r="C508" s="1" t="n">
        <v>45915</v>
      </c>
      <c r="D508" t="inlineStr">
        <is>
          <t>GOTLANDS LÄN</t>
        </is>
      </c>
      <c r="E508" t="inlineStr">
        <is>
          <t>GOTLAND</t>
        </is>
      </c>
      <c r="G508" t="n">
        <v>2.2</v>
      </c>
      <c r="H508" t="n">
        <v>0</v>
      </c>
      <c r="I508" t="n">
        <v>0</v>
      </c>
      <c r="J508" t="n">
        <v>0</v>
      </c>
      <c r="K508" t="n">
        <v>0</v>
      </c>
      <c r="L508" t="n">
        <v>0</v>
      </c>
      <c r="M508" t="n">
        <v>0</v>
      </c>
      <c r="N508" t="n">
        <v>0</v>
      </c>
      <c r="O508" t="n">
        <v>0</v>
      </c>
      <c r="P508" t="n">
        <v>0</v>
      </c>
      <c r="Q508" t="n">
        <v>0</v>
      </c>
      <c r="R508" s="2" t="inlineStr"/>
    </row>
    <row r="509" ht="15" customHeight="1">
      <c r="A509" t="inlineStr">
        <is>
          <t>A 40499-2025</t>
        </is>
      </c>
      <c r="B509" s="1" t="n">
        <v>45896.32517361111</v>
      </c>
      <c r="C509" s="1" t="n">
        <v>45915</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999-2023</t>
        </is>
      </c>
      <c r="B510" s="1" t="n">
        <v>44935</v>
      </c>
      <c r="C510" s="1" t="n">
        <v>45915</v>
      </c>
      <c r="D510" t="inlineStr">
        <is>
          <t>GOTLANDS LÄN</t>
        </is>
      </c>
      <c r="E510" t="inlineStr">
        <is>
          <t>GOTLAND</t>
        </is>
      </c>
      <c r="G510" t="n">
        <v>4.7</v>
      </c>
      <c r="H510" t="n">
        <v>0</v>
      </c>
      <c r="I510" t="n">
        <v>0</v>
      </c>
      <c r="J510" t="n">
        <v>0</v>
      </c>
      <c r="K510" t="n">
        <v>0</v>
      </c>
      <c r="L510" t="n">
        <v>0</v>
      </c>
      <c r="M510" t="n">
        <v>0</v>
      </c>
      <c r="N510" t="n">
        <v>0</v>
      </c>
      <c r="O510" t="n">
        <v>0</v>
      </c>
      <c r="P510" t="n">
        <v>0</v>
      </c>
      <c r="Q510" t="n">
        <v>0</v>
      </c>
      <c r="R510" s="2" t="inlineStr"/>
    </row>
    <row r="511" ht="15" customHeight="1">
      <c r="A511" t="inlineStr">
        <is>
          <t>A 35290-2025</t>
        </is>
      </c>
      <c r="B511" s="1" t="n">
        <v>45854.38502314815</v>
      </c>
      <c r="C511" s="1" t="n">
        <v>45915</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27602-2023</t>
        </is>
      </c>
      <c r="B512" s="1" t="n">
        <v>45097</v>
      </c>
      <c r="C512" s="1" t="n">
        <v>45915</v>
      </c>
      <c r="D512" t="inlineStr">
        <is>
          <t>GOTLANDS LÄN</t>
        </is>
      </c>
      <c r="E512" t="inlineStr">
        <is>
          <t>GOTLAND</t>
        </is>
      </c>
      <c r="G512" t="n">
        <v>2.7</v>
      </c>
      <c r="H512" t="n">
        <v>0</v>
      </c>
      <c r="I512" t="n">
        <v>0</v>
      </c>
      <c r="J512" t="n">
        <v>0</v>
      </c>
      <c r="K512" t="n">
        <v>0</v>
      </c>
      <c r="L512" t="n">
        <v>0</v>
      </c>
      <c r="M512" t="n">
        <v>0</v>
      </c>
      <c r="N512" t="n">
        <v>0</v>
      </c>
      <c r="O512" t="n">
        <v>0</v>
      </c>
      <c r="P512" t="n">
        <v>0</v>
      </c>
      <c r="Q512" t="n">
        <v>0</v>
      </c>
      <c r="R512" s="2" t="inlineStr"/>
    </row>
    <row r="513" ht="15" customHeight="1">
      <c r="A513" t="inlineStr">
        <is>
          <t>A 39752-2025</t>
        </is>
      </c>
      <c r="B513" s="1" t="n">
        <v>45891</v>
      </c>
      <c r="C513" s="1" t="n">
        <v>45915</v>
      </c>
      <c r="D513" t="inlineStr">
        <is>
          <t>GOTLANDS LÄN</t>
        </is>
      </c>
      <c r="E513" t="inlineStr">
        <is>
          <t>GOTLAND</t>
        </is>
      </c>
      <c r="G513" t="n">
        <v>5.3</v>
      </c>
      <c r="H513" t="n">
        <v>0</v>
      </c>
      <c r="I513" t="n">
        <v>0</v>
      </c>
      <c r="J513" t="n">
        <v>0</v>
      </c>
      <c r="K513" t="n">
        <v>0</v>
      </c>
      <c r="L513" t="n">
        <v>0</v>
      </c>
      <c r="M513" t="n">
        <v>0</v>
      </c>
      <c r="N513" t="n">
        <v>0</v>
      </c>
      <c r="O513" t="n">
        <v>0</v>
      </c>
      <c r="P513" t="n">
        <v>0</v>
      </c>
      <c r="Q513" t="n">
        <v>0</v>
      </c>
      <c r="R513" s="2" t="inlineStr"/>
    </row>
    <row r="514" ht="15" customHeight="1">
      <c r="A514" t="inlineStr">
        <is>
          <t>A 39816-2025</t>
        </is>
      </c>
      <c r="B514" s="1" t="n">
        <v>45891</v>
      </c>
      <c r="C514" s="1" t="n">
        <v>45915</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32669-2024</t>
        </is>
      </c>
      <c r="B515" s="1" t="n">
        <v>45514</v>
      </c>
      <c r="C515" s="1" t="n">
        <v>45915</v>
      </c>
      <c r="D515" t="inlineStr">
        <is>
          <t>GOTLANDS LÄN</t>
        </is>
      </c>
      <c r="E515" t="inlineStr">
        <is>
          <t>GOTLAND</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35537-2025</t>
        </is>
      </c>
      <c r="B516" s="1" t="n">
        <v>45856</v>
      </c>
      <c r="C516" s="1" t="n">
        <v>45915</v>
      </c>
      <c r="D516" t="inlineStr">
        <is>
          <t>GOTLANDS LÄN</t>
        </is>
      </c>
      <c r="E516" t="inlineStr">
        <is>
          <t>GOTLAND</t>
        </is>
      </c>
      <c r="G516" t="n">
        <v>16.8</v>
      </c>
      <c r="H516" t="n">
        <v>0</v>
      </c>
      <c r="I516" t="n">
        <v>0</v>
      </c>
      <c r="J516" t="n">
        <v>0</v>
      </c>
      <c r="K516" t="n">
        <v>0</v>
      </c>
      <c r="L516" t="n">
        <v>0</v>
      </c>
      <c r="M516" t="n">
        <v>0</v>
      </c>
      <c r="N516" t="n">
        <v>0</v>
      </c>
      <c r="O516" t="n">
        <v>0</v>
      </c>
      <c r="P516" t="n">
        <v>0</v>
      </c>
      <c r="Q516" t="n">
        <v>0</v>
      </c>
      <c r="R516" s="2" t="inlineStr"/>
    </row>
    <row r="517" ht="15" customHeight="1">
      <c r="A517" t="inlineStr">
        <is>
          <t>A 35550-2025</t>
        </is>
      </c>
      <c r="B517" s="1" t="n">
        <v>45856.49324074074</v>
      </c>
      <c r="C517" s="1" t="n">
        <v>45915</v>
      </c>
      <c r="D517" t="inlineStr">
        <is>
          <t>GOTLANDS LÄN</t>
        </is>
      </c>
      <c r="E517" t="inlineStr">
        <is>
          <t>GOTLAND</t>
        </is>
      </c>
      <c r="G517" t="n">
        <v>3.2</v>
      </c>
      <c r="H517" t="n">
        <v>0</v>
      </c>
      <c r="I517" t="n">
        <v>0</v>
      </c>
      <c r="J517" t="n">
        <v>0</v>
      </c>
      <c r="K517" t="n">
        <v>0</v>
      </c>
      <c r="L517" t="n">
        <v>0</v>
      </c>
      <c r="M517" t="n">
        <v>0</v>
      </c>
      <c r="N517" t="n">
        <v>0</v>
      </c>
      <c r="O517" t="n">
        <v>0</v>
      </c>
      <c r="P517" t="n">
        <v>0</v>
      </c>
      <c r="Q517" t="n">
        <v>0</v>
      </c>
      <c r="R517" s="2" t="inlineStr"/>
    </row>
    <row r="518" ht="15" customHeight="1">
      <c r="A518" t="inlineStr">
        <is>
          <t>A 4377-2023</t>
        </is>
      </c>
      <c r="B518" s="1" t="n">
        <v>44955.5502662037</v>
      </c>
      <c r="C518" s="1" t="n">
        <v>45915</v>
      </c>
      <c r="D518" t="inlineStr">
        <is>
          <t>GOTLANDS LÄN</t>
        </is>
      </c>
      <c r="E518" t="inlineStr">
        <is>
          <t>GOTLAND</t>
        </is>
      </c>
      <c r="F518" t="inlineStr">
        <is>
          <t>Kyrkan</t>
        </is>
      </c>
      <c r="G518" t="n">
        <v>0.6</v>
      </c>
      <c r="H518" t="n">
        <v>0</v>
      </c>
      <c r="I518" t="n">
        <v>0</v>
      </c>
      <c r="J518" t="n">
        <v>0</v>
      </c>
      <c r="K518" t="n">
        <v>0</v>
      </c>
      <c r="L518" t="n">
        <v>0</v>
      </c>
      <c r="M518" t="n">
        <v>0</v>
      </c>
      <c r="N518" t="n">
        <v>0</v>
      </c>
      <c r="O518" t="n">
        <v>0</v>
      </c>
      <c r="P518" t="n">
        <v>0</v>
      </c>
      <c r="Q518" t="n">
        <v>0</v>
      </c>
      <c r="R518" s="2" t="inlineStr"/>
    </row>
    <row r="519" ht="15" customHeight="1">
      <c r="A519" t="inlineStr">
        <is>
          <t>A 4387-2023</t>
        </is>
      </c>
      <c r="B519" s="1" t="n">
        <v>44955.73359953704</v>
      </c>
      <c r="C519" s="1" t="n">
        <v>45915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39479-2022</t>
        </is>
      </c>
      <c r="B520" s="1" t="n">
        <v>44818</v>
      </c>
      <c r="C520" s="1" t="n">
        <v>45915</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41551-2025</t>
        </is>
      </c>
      <c r="B521" s="1" t="n">
        <v>45901.58854166666</v>
      </c>
      <c r="C521" s="1" t="n">
        <v>45915</v>
      </c>
      <c r="D521" t="inlineStr">
        <is>
          <t>GOTLANDS LÄN</t>
        </is>
      </c>
      <c r="E521" t="inlineStr">
        <is>
          <t>GOTLAND</t>
        </is>
      </c>
      <c r="G521" t="n">
        <v>5.6</v>
      </c>
      <c r="H521" t="n">
        <v>0</v>
      </c>
      <c r="I521" t="n">
        <v>0</v>
      </c>
      <c r="J521" t="n">
        <v>0</v>
      </c>
      <c r="K521" t="n">
        <v>0</v>
      </c>
      <c r="L521" t="n">
        <v>0</v>
      </c>
      <c r="M521" t="n">
        <v>0</v>
      </c>
      <c r="N521" t="n">
        <v>0</v>
      </c>
      <c r="O521" t="n">
        <v>0</v>
      </c>
      <c r="P521" t="n">
        <v>0</v>
      </c>
      <c r="Q521" t="n">
        <v>0</v>
      </c>
      <c r="R521" s="2" t="inlineStr"/>
    </row>
    <row r="522" ht="15" customHeight="1">
      <c r="A522" t="inlineStr">
        <is>
          <t>A 51963-2024</t>
        </is>
      </c>
      <c r="B522" s="1" t="n">
        <v>45607.64833333333</v>
      </c>
      <c r="C522" s="1" t="n">
        <v>45915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45915</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40235-2025</t>
        </is>
      </c>
      <c r="B524" s="1" t="n">
        <v>45894.74005787037</v>
      </c>
      <c r="C524" s="1" t="n">
        <v>45915</v>
      </c>
      <c r="D524" t="inlineStr">
        <is>
          <t>GOTLANDS LÄN</t>
        </is>
      </c>
      <c r="E524" t="inlineStr">
        <is>
          <t>GOTLAND</t>
        </is>
      </c>
      <c r="G524" t="n">
        <v>10.6</v>
      </c>
      <c r="H524" t="n">
        <v>0</v>
      </c>
      <c r="I524" t="n">
        <v>0</v>
      </c>
      <c r="J524" t="n">
        <v>0</v>
      </c>
      <c r="K524" t="n">
        <v>0</v>
      </c>
      <c r="L524" t="n">
        <v>0</v>
      </c>
      <c r="M524" t="n">
        <v>0</v>
      </c>
      <c r="N524" t="n">
        <v>0</v>
      </c>
      <c r="O524" t="n">
        <v>0</v>
      </c>
      <c r="P524" t="n">
        <v>0</v>
      </c>
      <c r="Q524" t="n">
        <v>0</v>
      </c>
      <c r="R524" s="2" t="inlineStr"/>
    </row>
    <row r="525" ht="15" customHeight="1">
      <c r="A525" t="inlineStr">
        <is>
          <t>A 22883-2024</t>
        </is>
      </c>
      <c r="B525" s="1" t="n">
        <v>45448.66368055555</v>
      </c>
      <c r="C525" s="1" t="n">
        <v>45915</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811-2023</t>
        </is>
      </c>
      <c r="B526" s="1" t="n">
        <v>44931</v>
      </c>
      <c r="C526" s="1" t="n">
        <v>45915</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46389-2021</t>
        </is>
      </c>
      <c r="B527" s="1" t="n">
        <v>44443</v>
      </c>
      <c r="C527" s="1" t="n">
        <v>45915</v>
      </c>
      <c r="D527" t="inlineStr">
        <is>
          <t>GOTLANDS LÄN</t>
        </is>
      </c>
      <c r="E527" t="inlineStr">
        <is>
          <t>GOTLAND</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26810-2021</t>
        </is>
      </c>
      <c r="B528" s="1" t="n">
        <v>44349.55087962963</v>
      </c>
      <c r="C528" s="1" t="n">
        <v>45915</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5923-2023</t>
        </is>
      </c>
      <c r="B529" s="1" t="n">
        <v>44963.69503472222</v>
      </c>
      <c r="C529" s="1" t="n">
        <v>45915</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15216-2025</t>
        </is>
      </c>
      <c r="B530" s="1" t="n">
        <v>45744</v>
      </c>
      <c r="C530" s="1" t="n">
        <v>45915</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33853-2024</t>
        </is>
      </c>
      <c r="B531" s="1" t="n">
        <v>45520.64298611111</v>
      </c>
      <c r="C531" s="1" t="n">
        <v>45915</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18918-2025</t>
        </is>
      </c>
      <c r="B532" s="1" t="n">
        <v>45764</v>
      </c>
      <c r="C532" s="1" t="n">
        <v>45915</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2674-2023</t>
        </is>
      </c>
      <c r="B533" s="1" t="n">
        <v>44944</v>
      </c>
      <c r="C533" s="1" t="n">
        <v>45915</v>
      </c>
      <c r="D533" t="inlineStr">
        <is>
          <t>GOTLANDS LÄN</t>
        </is>
      </c>
      <c r="E533" t="inlineStr">
        <is>
          <t>GOTLAND</t>
        </is>
      </c>
      <c r="G533" t="n">
        <v>2.5</v>
      </c>
      <c r="H533" t="n">
        <v>0</v>
      </c>
      <c r="I533" t="n">
        <v>0</v>
      </c>
      <c r="J533" t="n">
        <v>0</v>
      </c>
      <c r="K533" t="n">
        <v>0</v>
      </c>
      <c r="L533" t="n">
        <v>0</v>
      </c>
      <c r="M533" t="n">
        <v>0</v>
      </c>
      <c r="N533" t="n">
        <v>0</v>
      </c>
      <c r="O533" t="n">
        <v>0</v>
      </c>
      <c r="P533" t="n">
        <v>0</v>
      </c>
      <c r="Q533" t="n">
        <v>0</v>
      </c>
      <c r="R533" s="2" t="inlineStr"/>
    </row>
    <row r="534" ht="15" customHeight="1">
      <c r="A534" t="inlineStr">
        <is>
          <t>A 43790-2024</t>
        </is>
      </c>
      <c r="B534" s="1" t="n">
        <v>45571</v>
      </c>
      <c r="C534" s="1" t="n">
        <v>45915</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15001-2025</t>
        </is>
      </c>
      <c r="B535" s="1" t="n">
        <v>45743</v>
      </c>
      <c r="C535" s="1" t="n">
        <v>45915</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30488-2025</t>
        </is>
      </c>
      <c r="B536" s="1" t="n">
        <v>45830</v>
      </c>
      <c r="C536" s="1" t="n">
        <v>45915</v>
      </c>
      <c r="D536" t="inlineStr">
        <is>
          <t>GOTLANDS LÄN</t>
        </is>
      </c>
      <c r="E536" t="inlineStr">
        <is>
          <t>GOTLAND</t>
        </is>
      </c>
      <c r="F536" t="inlineStr">
        <is>
          <t>Kyrkan</t>
        </is>
      </c>
      <c r="G536" t="n">
        <v>3.9</v>
      </c>
      <c r="H536" t="n">
        <v>0</v>
      </c>
      <c r="I536" t="n">
        <v>0</v>
      </c>
      <c r="J536" t="n">
        <v>0</v>
      </c>
      <c r="K536" t="n">
        <v>0</v>
      </c>
      <c r="L536" t="n">
        <v>0</v>
      </c>
      <c r="M536" t="n">
        <v>0</v>
      </c>
      <c r="N536" t="n">
        <v>0</v>
      </c>
      <c r="O536" t="n">
        <v>0</v>
      </c>
      <c r="P536" t="n">
        <v>0</v>
      </c>
      <c r="Q536" t="n">
        <v>0</v>
      </c>
      <c r="R536" s="2" t="inlineStr"/>
    </row>
    <row r="537" ht="15" customHeight="1">
      <c r="A537" t="inlineStr">
        <is>
          <t>A 42608-2025</t>
        </is>
      </c>
      <c r="B537" s="1" t="n">
        <v>45905</v>
      </c>
      <c r="C537" s="1" t="n">
        <v>45915</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17847-2025</t>
        </is>
      </c>
      <c r="B538" s="1" t="n">
        <v>45758</v>
      </c>
      <c r="C538" s="1" t="n">
        <v>45915</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10655-2023</t>
        </is>
      </c>
      <c r="B539" s="1" t="n">
        <v>44988.49543981482</v>
      </c>
      <c r="C539" s="1" t="n">
        <v>45915</v>
      </c>
      <c r="D539" t="inlineStr">
        <is>
          <t>GOTLANDS LÄN</t>
        </is>
      </c>
      <c r="E539" t="inlineStr">
        <is>
          <t>GOTLAND</t>
        </is>
      </c>
      <c r="F539" t="inlineStr">
        <is>
          <t>Kyrkan</t>
        </is>
      </c>
      <c r="G539" t="n">
        <v>2</v>
      </c>
      <c r="H539" t="n">
        <v>0</v>
      </c>
      <c r="I539" t="n">
        <v>0</v>
      </c>
      <c r="J539" t="n">
        <v>0</v>
      </c>
      <c r="K539" t="n">
        <v>0</v>
      </c>
      <c r="L539" t="n">
        <v>0</v>
      </c>
      <c r="M539" t="n">
        <v>0</v>
      </c>
      <c r="N539" t="n">
        <v>0</v>
      </c>
      <c r="O539" t="n">
        <v>0</v>
      </c>
      <c r="P539" t="n">
        <v>0</v>
      </c>
      <c r="Q539" t="n">
        <v>0</v>
      </c>
      <c r="R539" s="2" t="inlineStr"/>
    </row>
    <row r="540" ht="15" customHeight="1">
      <c r="A540" t="inlineStr">
        <is>
          <t>A 2719-2023</t>
        </is>
      </c>
      <c r="B540" s="1" t="n">
        <v>44944.55361111111</v>
      </c>
      <c r="C540" s="1" t="n">
        <v>45915</v>
      </c>
      <c r="D540" t="inlineStr">
        <is>
          <t>GOTLANDS LÄN</t>
        </is>
      </c>
      <c r="E540" t="inlineStr">
        <is>
          <t>GOTLAND</t>
        </is>
      </c>
      <c r="G540" t="n">
        <v>0.5</v>
      </c>
      <c r="H540" t="n">
        <v>0</v>
      </c>
      <c r="I540" t="n">
        <v>0</v>
      </c>
      <c r="J540" t="n">
        <v>0</v>
      </c>
      <c r="K540" t="n">
        <v>0</v>
      </c>
      <c r="L540" t="n">
        <v>0</v>
      </c>
      <c r="M540" t="n">
        <v>0</v>
      </c>
      <c r="N540" t="n">
        <v>0</v>
      </c>
      <c r="O540" t="n">
        <v>0</v>
      </c>
      <c r="P540" t="n">
        <v>0</v>
      </c>
      <c r="Q540" t="n">
        <v>0</v>
      </c>
      <c r="R540" s="2" t="inlineStr"/>
    </row>
    <row r="541" ht="15" customHeight="1">
      <c r="A541" t="inlineStr">
        <is>
          <t>A 26891-2024</t>
        </is>
      </c>
      <c r="B541" s="1" t="n">
        <v>45470.65540509259</v>
      </c>
      <c r="C541" s="1" t="n">
        <v>45915</v>
      </c>
      <c r="D541" t="inlineStr">
        <is>
          <t>GOTLANDS LÄN</t>
        </is>
      </c>
      <c r="E541" t="inlineStr">
        <is>
          <t>GOTLAND</t>
        </is>
      </c>
      <c r="G541" t="n">
        <v>0.8</v>
      </c>
      <c r="H541" t="n">
        <v>0</v>
      </c>
      <c r="I541" t="n">
        <v>0</v>
      </c>
      <c r="J541" t="n">
        <v>0</v>
      </c>
      <c r="K541" t="n">
        <v>0</v>
      </c>
      <c r="L541" t="n">
        <v>0</v>
      </c>
      <c r="M541" t="n">
        <v>0</v>
      </c>
      <c r="N541" t="n">
        <v>0</v>
      </c>
      <c r="O541" t="n">
        <v>0</v>
      </c>
      <c r="P541" t="n">
        <v>0</v>
      </c>
      <c r="Q541" t="n">
        <v>0</v>
      </c>
      <c r="R541" s="2" t="inlineStr"/>
    </row>
    <row r="542" ht="15" customHeight="1">
      <c r="A542" t="inlineStr">
        <is>
          <t>A 18742-2025</t>
        </is>
      </c>
      <c r="B542" s="1" t="n">
        <v>45763</v>
      </c>
      <c r="C542" s="1" t="n">
        <v>45915</v>
      </c>
      <c r="D542" t="inlineStr">
        <is>
          <t>GOTLANDS LÄN</t>
        </is>
      </c>
      <c r="E542" t="inlineStr">
        <is>
          <t>GOTLAND</t>
        </is>
      </c>
      <c r="G542" t="n">
        <v>3.4</v>
      </c>
      <c r="H542" t="n">
        <v>0</v>
      </c>
      <c r="I542" t="n">
        <v>0</v>
      </c>
      <c r="J542" t="n">
        <v>0</v>
      </c>
      <c r="K542" t="n">
        <v>0</v>
      </c>
      <c r="L542" t="n">
        <v>0</v>
      </c>
      <c r="M542" t="n">
        <v>0</v>
      </c>
      <c r="N542" t="n">
        <v>0</v>
      </c>
      <c r="O542" t="n">
        <v>0</v>
      </c>
      <c r="P542" t="n">
        <v>0</v>
      </c>
      <c r="Q542" t="n">
        <v>0</v>
      </c>
      <c r="R542" s="2" t="inlineStr"/>
    </row>
    <row r="543" ht="15" customHeight="1">
      <c r="A543" t="inlineStr">
        <is>
          <t>A 36319-2025</t>
        </is>
      </c>
      <c r="B543" s="1" t="n">
        <v>45868</v>
      </c>
      <c r="C543" s="1" t="n">
        <v>45915</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42007-2023</t>
        </is>
      </c>
      <c r="B544" s="1" t="n">
        <v>45177</v>
      </c>
      <c r="C544" s="1" t="n">
        <v>45915</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9887-2025</t>
        </is>
      </c>
      <c r="B545" s="1" t="n">
        <v>45716</v>
      </c>
      <c r="C545" s="1" t="n">
        <v>45915</v>
      </c>
      <c r="D545" t="inlineStr">
        <is>
          <t>GOTLANDS LÄN</t>
        </is>
      </c>
      <c r="E545" t="inlineStr">
        <is>
          <t>GOTLAND</t>
        </is>
      </c>
      <c r="G545" t="n">
        <v>7.5</v>
      </c>
      <c r="H545" t="n">
        <v>0</v>
      </c>
      <c r="I545" t="n">
        <v>0</v>
      </c>
      <c r="J545" t="n">
        <v>0</v>
      </c>
      <c r="K545" t="n">
        <v>0</v>
      </c>
      <c r="L545" t="n">
        <v>0</v>
      </c>
      <c r="M545" t="n">
        <v>0</v>
      </c>
      <c r="N545" t="n">
        <v>0</v>
      </c>
      <c r="O545" t="n">
        <v>0</v>
      </c>
      <c r="P545" t="n">
        <v>0</v>
      </c>
      <c r="Q545" t="n">
        <v>0</v>
      </c>
      <c r="R545" s="2" t="inlineStr"/>
    </row>
    <row r="546" ht="15" customHeight="1">
      <c r="A546" t="inlineStr">
        <is>
          <t>A 35129-2025</t>
        </is>
      </c>
      <c r="B546" s="1" t="n">
        <v>45852.63224537037</v>
      </c>
      <c r="C546" s="1" t="n">
        <v>45915</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55334-2024</t>
        </is>
      </c>
      <c r="B547" s="1" t="n">
        <v>45621</v>
      </c>
      <c r="C547" s="1" t="n">
        <v>45915</v>
      </c>
      <c r="D547" t="inlineStr">
        <is>
          <t>GOTLANDS LÄN</t>
        </is>
      </c>
      <c r="E547" t="inlineStr">
        <is>
          <t>GOTLAND</t>
        </is>
      </c>
      <c r="G547" t="n">
        <v>21.7</v>
      </c>
      <c r="H547" t="n">
        <v>0</v>
      </c>
      <c r="I547" t="n">
        <v>0</v>
      </c>
      <c r="J547" t="n">
        <v>0</v>
      </c>
      <c r="K547" t="n">
        <v>0</v>
      </c>
      <c r="L547" t="n">
        <v>0</v>
      </c>
      <c r="M547" t="n">
        <v>0</v>
      </c>
      <c r="N547" t="n">
        <v>0</v>
      </c>
      <c r="O547" t="n">
        <v>0</v>
      </c>
      <c r="P547" t="n">
        <v>0</v>
      </c>
      <c r="Q547" t="n">
        <v>0</v>
      </c>
      <c r="R547" s="2" t="inlineStr"/>
    </row>
    <row r="548" ht="15" customHeight="1">
      <c r="A548" t="inlineStr">
        <is>
          <t>A 38165-2023</t>
        </is>
      </c>
      <c r="B548" s="1" t="n">
        <v>45161</v>
      </c>
      <c r="C548" s="1" t="n">
        <v>45915</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42607-2025</t>
        </is>
      </c>
      <c r="B549" s="1" t="n">
        <v>45905</v>
      </c>
      <c r="C549" s="1" t="n">
        <v>45915</v>
      </c>
      <c r="D549" t="inlineStr">
        <is>
          <t>GOTLANDS LÄN</t>
        </is>
      </c>
      <c r="E549" t="inlineStr">
        <is>
          <t>GOTLAND</t>
        </is>
      </c>
      <c r="G549" t="n">
        <v>15.8</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45915</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45915</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45915</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45915</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45915</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45915</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45915</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45915</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45915</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45915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45915</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45915</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45915</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45915</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45915</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45915</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45915</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45915</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45915</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45915</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45915</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45915</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45915</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45915</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45915</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45915</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6796-2025</t>
        </is>
      </c>
      <c r="B576" s="1" t="n">
        <v>45700.66559027778</v>
      </c>
      <c r="C576" s="1" t="n">
        <v>45915</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45915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45915</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45915</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45915</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45915</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45915</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45915</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45915</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45915</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45915</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45915</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45915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45915</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10652-2025</t>
        </is>
      </c>
      <c r="B590" s="1" t="n">
        <v>45721.68640046296</v>
      </c>
      <c r="C590" s="1" t="n">
        <v>45915</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45915</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37202-2024</t>
        </is>
      </c>
      <c r="B592" s="1" t="n">
        <v>45539.67310185185</v>
      </c>
      <c r="C592" s="1" t="n">
        <v>45915</v>
      </c>
      <c r="D592" t="inlineStr">
        <is>
          <t>GOTLANDS LÄN</t>
        </is>
      </c>
      <c r="E592" t="inlineStr">
        <is>
          <t>GOTLAND</t>
        </is>
      </c>
      <c r="G592" t="n">
        <v>0.3</v>
      </c>
      <c r="H592" t="n">
        <v>0</v>
      </c>
      <c r="I592" t="n">
        <v>0</v>
      </c>
      <c r="J592" t="n">
        <v>0</v>
      </c>
      <c r="K592" t="n">
        <v>0</v>
      </c>
      <c r="L592" t="n">
        <v>0</v>
      </c>
      <c r="M592" t="n">
        <v>0</v>
      </c>
      <c r="N592" t="n">
        <v>0</v>
      </c>
      <c r="O592" t="n">
        <v>0</v>
      </c>
      <c r="P592" t="n">
        <v>0</v>
      </c>
      <c r="Q592" t="n">
        <v>0</v>
      </c>
      <c r="R592" s="2" t="inlineStr"/>
    </row>
    <row r="593" ht="15" customHeight="1">
      <c r="A593" t="inlineStr">
        <is>
          <t>A 56115-2023</t>
        </is>
      </c>
      <c r="B593" s="1" t="n">
        <v>45236</v>
      </c>
      <c r="C593" s="1" t="n">
        <v>45915</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2774-2024</t>
        </is>
      </c>
      <c r="B594" s="1" t="n">
        <v>45314.62375</v>
      </c>
      <c r="C594" s="1" t="n">
        <v>45915</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60709-2023</t>
        </is>
      </c>
      <c r="B595" s="1" t="n">
        <v>45260</v>
      </c>
      <c r="C595" s="1" t="n">
        <v>45915</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64208-2021</t>
        </is>
      </c>
      <c r="B596" s="1" t="n">
        <v>44510</v>
      </c>
      <c r="C596" s="1" t="n">
        <v>45915</v>
      </c>
      <c r="D596" t="inlineStr">
        <is>
          <t>GOTLANDS LÄN</t>
        </is>
      </c>
      <c r="E596" t="inlineStr">
        <is>
          <t>GOTLAND</t>
        </is>
      </c>
      <c r="G596" t="n">
        <v>4.7</v>
      </c>
      <c r="H596" t="n">
        <v>0</v>
      </c>
      <c r="I596" t="n">
        <v>0</v>
      </c>
      <c r="J596" t="n">
        <v>0</v>
      </c>
      <c r="K596" t="n">
        <v>0</v>
      </c>
      <c r="L596" t="n">
        <v>0</v>
      </c>
      <c r="M596" t="n">
        <v>0</v>
      </c>
      <c r="N596" t="n">
        <v>0</v>
      </c>
      <c r="O596" t="n">
        <v>0</v>
      </c>
      <c r="P596" t="n">
        <v>0</v>
      </c>
      <c r="Q596" t="n">
        <v>0</v>
      </c>
      <c r="R596" s="2" t="inlineStr"/>
    </row>
    <row r="597" ht="15" customHeight="1">
      <c r="A597" t="inlineStr">
        <is>
          <t>A 39764-2022</t>
        </is>
      </c>
      <c r="B597" s="1" t="n">
        <v>44819</v>
      </c>
      <c r="C597" s="1" t="n">
        <v>45915</v>
      </c>
      <c r="D597" t="inlineStr">
        <is>
          <t>GOTLANDS LÄN</t>
        </is>
      </c>
      <c r="E597" t="inlineStr">
        <is>
          <t>GOTLAND</t>
        </is>
      </c>
      <c r="F597" t="inlineStr">
        <is>
          <t>Kyrkan</t>
        </is>
      </c>
      <c r="G597" t="n">
        <v>3.7</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45915</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30956-2024</t>
        </is>
      </c>
      <c r="B599" s="1" t="n">
        <v>45499.42527777778</v>
      </c>
      <c r="C599" s="1" t="n">
        <v>45915</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30892-2024</t>
        </is>
      </c>
      <c r="B600" s="1" t="n">
        <v>45491</v>
      </c>
      <c r="C600" s="1" t="n">
        <v>45915</v>
      </c>
      <c r="D600" t="inlineStr">
        <is>
          <t>GOTLANDS LÄN</t>
        </is>
      </c>
      <c r="E600" t="inlineStr">
        <is>
          <t>GOTLAND</t>
        </is>
      </c>
      <c r="G600" t="n">
        <v>6.1</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45013.69365740741</v>
      </c>
      <c r="C601" s="1" t="n">
        <v>45915</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59469-2024</t>
        </is>
      </c>
      <c r="B602" s="1" t="n">
        <v>45638</v>
      </c>
      <c r="C602" s="1" t="n">
        <v>45915</v>
      </c>
      <c r="D602" t="inlineStr">
        <is>
          <t>GOTLANDS LÄN</t>
        </is>
      </c>
      <c r="E602" t="inlineStr">
        <is>
          <t>GOTLAND</t>
        </is>
      </c>
      <c r="G602" t="n">
        <v>0.4</v>
      </c>
      <c r="H602" t="n">
        <v>0</v>
      </c>
      <c r="I602" t="n">
        <v>0</v>
      </c>
      <c r="J602" t="n">
        <v>0</v>
      </c>
      <c r="K602" t="n">
        <v>0</v>
      </c>
      <c r="L602" t="n">
        <v>0</v>
      </c>
      <c r="M602" t="n">
        <v>0</v>
      </c>
      <c r="N602" t="n">
        <v>0</v>
      </c>
      <c r="O602" t="n">
        <v>0</v>
      </c>
      <c r="P602" t="n">
        <v>0</v>
      </c>
      <c r="Q602" t="n">
        <v>0</v>
      </c>
      <c r="R602" s="2" t="inlineStr"/>
    </row>
    <row r="603">
      <c r="A603" t="inlineStr">
        <is>
          <t>A 7858-2025</t>
        </is>
      </c>
      <c r="B603" s="1" t="n">
        <v>45706.68633101852</v>
      </c>
      <c r="C603" s="1" t="n">
        <v>45915</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2025-09-15T08:52:51Z</dcterms:created>
  <dcterms:modified xmlns:dcterms="http://purl.org/dc/terms/" xmlns:xsi="http://www.w3.org/2001/XMLSchema-instance" xsi:type="dcterms:W3CDTF">2025-09-15T08:52:52Z</dcterms:modified>
</cp:coreProperties>
</file>