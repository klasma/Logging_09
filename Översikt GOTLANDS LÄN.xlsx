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46298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46298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46298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46298</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46298</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46298</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46298</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46298</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46298</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46298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46298</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46298</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46298</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46298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46298</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46298</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46298</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46298</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46298</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46298</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46298</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46298</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46298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46298</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46298</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46298</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46298</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46298</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46298</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45248-2024</t>
        </is>
      </c>
      <c r="B57" t="inlineStr">
        <is>
          <t>avverkningsanmälan</t>
        </is>
      </c>
      <c r="C57" t="inlineStr">
        <is>
          <t>Avverkning för annat ändamål</t>
        </is>
      </c>
      <c r="D57" s="1" t="n">
        <v>45576</v>
      </c>
      <c r="E57" s="1" t="n">
        <v>46298</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32326-2024</t>
        </is>
      </c>
      <c r="B58" t="inlineStr">
        <is>
          <t>avverkningsanmälan</t>
        </is>
      </c>
      <c r="C58" t="inlineStr">
        <is>
          <t>Föryngringsavverkning</t>
        </is>
      </c>
      <c r="D58" s="1" t="n">
        <v>45512</v>
      </c>
      <c r="E58" s="1" t="n">
        <v>46298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46298</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46298</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46298</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46298</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46298</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46298</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46298</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46298</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46298</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46298</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46298</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46298</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1971-2023</t>
        </is>
      </c>
      <c r="B71" t="inlineStr">
        <is>
          <t>avverkningsanmälan</t>
        </is>
      </c>
      <c r="C71" t="inlineStr">
        <is>
          <t>Föryngringsavverkning</t>
        </is>
      </c>
      <c r="D71" s="1" t="n">
        <v>44939</v>
      </c>
      <c r="E71" s="1" t="n">
        <v>46298</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46298</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46298</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46298</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46298</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46298</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46298</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46298</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6159-2023</t>
        </is>
      </c>
      <c r="B79" t="inlineStr">
        <is>
          <t>avverkningsanmälan</t>
        </is>
      </c>
      <c r="C79" t="inlineStr">
        <is>
          <t>Föryngringsavverkning</t>
        </is>
      </c>
      <c r="D79" s="1" t="n">
        <v>44964</v>
      </c>
      <c r="E79" s="1" t="n">
        <v>46298</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35293-2025</t>
        </is>
      </c>
      <c r="B80" t="inlineStr">
        <is>
          <t>avverkningsanmälan</t>
        </is>
      </c>
      <c r="C80" t="inlineStr">
        <is>
          <t>Föryngringsavverkning</t>
        </is>
      </c>
      <c r="D80" s="1" t="n">
        <v>45854</v>
      </c>
      <c r="E80" s="1" t="n">
        <v>46298</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999-2023</t>
        </is>
      </c>
      <c r="B81" t="inlineStr">
        <is>
          <t>avverkningsanmälan</t>
        </is>
      </c>
      <c r="C81" t="inlineStr">
        <is>
          <t>Föryngringsavverkning</t>
        </is>
      </c>
      <c r="D81" s="1" t="n">
        <v>44935</v>
      </c>
      <c r="E81" s="1" t="n">
        <v>46298</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46298</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46298</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46298</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46298</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46298</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48126-2022</t>
        </is>
      </c>
      <c r="B87" t="inlineStr">
        <is>
          <t>avverkningsanmälan</t>
        </is>
      </c>
      <c r="C87" t="inlineStr">
        <is>
          <t>Föryngringsavverkning</t>
        </is>
      </c>
      <c r="D87" s="1" t="n">
        <v>44857</v>
      </c>
      <c r="E87" s="1" t="n">
        <v>46298</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16823-2024</t>
        </is>
      </c>
      <c r="B88" t="inlineStr">
        <is>
          <t>avverkningsanmälan</t>
        </is>
      </c>
      <c r="C88" t="inlineStr">
        <is>
          <t>Avverkning för annat ändamål</t>
        </is>
      </c>
      <c r="D88" s="1" t="n">
        <v>45411</v>
      </c>
      <c r="E88" s="1" t="n">
        <v>46298</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64208-2021</t>
        </is>
      </c>
      <c r="B89" t="inlineStr">
        <is>
          <t>avverkningsanmälan</t>
        </is>
      </c>
      <c r="C89" t="inlineStr">
        <is>
          <t>Föryngringsavverkning</t>
        </is>
      </c>
      <c r="D89" s="1" t="n">
        <v>44510</v>
      </c>
      <c r="E89" s="1" t="n">
        <v>46298</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20838-2024</t>
        </is>
      </c>
      <c r="B90" t="inlineStr">
        <is>
          <t>avverkningsanmälan</t>
        </is>
      </c>
      <c r="C90" t="inlineStr">
        <is>
          <t>Föryngringsavverkning</t>
        </is>
      </c>
      <c r="D90" s="1" t="n">
        <v>45439</v>
      </c>
      <c r="E90" s="1" t="n">
        <v>46298</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46298</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S 452-2025</t>
        </is>
      </c>
      <c r="B92" t="inlineStr">
        <is>
          <t>samrådsanmälan</t>
        </is>
      </c>
      <c r="C92" t="inlineStr">
        <is>
          <t>Askåterföring</t>
        </is>
      </c>
      <c r="D92" s="1" t="n">
        <v>45701</v>
      </c>
      <c r="E92" s="1" t="n">
        <v>46298</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46298</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46298</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39425-2023</t>
        </is>
      </c>
      <c r="B95" t="inlineStr">
        <is>
          <t>avverkningsanmälan</t>
        </is>
      </c>
      <c r="C95" t="inlineStr">
        <is>
          <t>Avverkning för annat ändamål</t>
        </is>
      </c>
      <c r="D95" s="1" t="n">
        <v>45166</v>
      </c>
      <c r="E95" s="1" t="n">
        <v>46298</v>
      </c>
      <c r="F95" t="inlineStr">
        <is>
          <t>GOTLANDS LÄN</t>
        </is>
      </c>
      <c r="G95" t="inlineStr">
        <is>
          <t>GOTLAND</t>
        </is>
      </c>
      <c r="I95" t="n">
        <v>3.9</v>
      </c>
      <c r="J95" t="n">
        <v>1</v>
      </c>
      <c r="K95" t="n">
        <v>3</v>
      </c>
      <c r="L95" t="n">
        <v>0</v>
      </c>
      <c r="M95" t="n">
        <v>1</v>
      </c>
      <c r="N95" t="n">
        <v>1</v>
      </c>
      <c r="O95" t="n">
        <v>0</v>
      </c>
      <c r="P95" t="n">
        <v>0</v>
      </c>
      <c r="Q95" t="n">
        <v>2</v>
      </c>
      <c r="R95" t="n">
        <v>2</v>
      </c>
      <c r="S95" t="n">
        <v>5</v>
      </c>
      <c r="T95" t="n">
        <v>7</v>
      </c>
      <c r="U95" t="n">
        <v>7</v>
      </c>
      <c r="V95" s="2" t="inlineStr">
        <is>
          <t>Violgubbe
Knärot
Anisspindling
Rödgul trumpetsvamp
Svavelriska</t>
        </is>
      </c>
      <c r="W95">
        <f>HYPERLINK("https://klasma.github.io/Logging_0980/artfynd/A 39425-2023 artfynd.xlsx", "A 39425-2023")</f>
        <v/>
      </c>
      <c r="X95">
        <f>HYPERLINK("https://klasma.github.io/Logging_0980/kartor/A 39425-2023 karta.png", "A 39425-2023")</f>
        <v/>
      </c>
      <c r="Y95">
        <f>HYPERLINK("https://klasma.github.io/Logging_0980/kartor_geotiff/A 39425-2023 georefererad karta.tif", "A 39425-2023")</f>
        <v/>
      </c>
      <c r="Z95">
        <f>HYPERLINK("https://klasma.github.io/Logging_0980/knärot/A 39425-2023 karta knärot.png", "A 39425-2023")</f>
        <v/>
      </c>
      <c r="AA95">
        <f>HYPERLINK("https://klasma.github.io/Logging_0980/klagomål/A 39425-2023 FSC-klagomål.docx", "A 39425-2023")</f>
        <v/>
      </c>
      <c r="AB95">
        <f>HYPERLINK("https://klasma.github.io/Logging_0980/klagomålsmail/A 39425-2023 FSC-klagomål mail.docx", "A 39425-2023")</f>
        <v/>
      </c>
      <c r="AC95">
        <f>HYPERLINK("https://klasma.github.io/Logging_0980/tillsyn/A 39425-2023 tillsynsbegäran.docx", "A 39425-2023")</f>
        <v/>
      </c>
      <c r="AD95">
        <f>HYPERLINK("https://klasma.github.io/Logging_0980/tillsynsmail/A 39425-2023 tillsynsbegäran mail.docx", "A 39425-2023")</f>
        <v/>
      </c>
    </row>
    <row r="96" ht="15" customHeight="1">
      <c r="A96" t="inlineStr">
        <is>
          <t>A 5904-2024</t>
        </is>
      </c>
      <c r="B96" t="inlineStr">
        <is>
          <t>avverkningsanmälan</t>
        </is>
      </c>
      <c r="C96" t="inlineStr">
        <is>
          <t>Föryngringsavverkning</t>
        </is>
      </c>
      <c r="D96" s="1" t="n">
        <v>45335</v>
      </c>
      <c r="E96" s="1" t="n">
        <v>46298</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42936-2024</t>
        </is>
      </c>
      <c r="B97" t="inlineStr">
        <is>
          <t>avverkningsanmälan</t>
        </is>
      </c>
      <c r="C97" t="inlineStr">
        <is>
          <t>Föryngringsavverkning</t>
        </is>
      </c>
      <c r="D97" s="1" t="n">
        <v>45567</v>
      </c>
      <c r="E97" s="1" t="n">
        <v>46298</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46298</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57463-2025</t>
        </is>
      </c>
      <c r="B99" t="inlineStr">
        <is>
          <t>avverkningsanmälan</t>
        </is>
      </c>
      <c r="C99" t="inlineStr">
        <is>
          <t>Föryngringsavverkning</t>
        </is>
      </c>
      <c r="D99" s="1" t="n">
        <v>45980</v>
      </c>
      <c r="E99" s="1" t="n">
        <v>46298</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8265-2023</t>
        </is>
      </c>
      <c r="B100" t="inlineStr">
        <is>
          <t>avverkningsanmälan</t>
        </is>
      </c>
      <c r="C100" t="inlineStr">
        <is>
          <t>Föryngringsavverkning</t>
        </is>
      </c>
      <c r="D100" s="1" t="n">
        <v>44974</v>
      </c>
      <c r="E100" s="1" t="n">
        <v>46298</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S 1702-2020</t>
        </is>
      </c>
      <c r="B101" t="inlineStr">
        <is>
          <t>samrådsanmälan</t>
        </is>
      </c>
      <c r="C101" t="n">
        <v/>
      </c>
      <c r="D101" s="1" t="n">
        <v>44040</v>
      </c>
      <c r="E101" s="1" t="n">
        <v>46298</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46298</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46298</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46298</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16997-2026</t>
        </is>
      </c>
      <c r="B105" t="inlineStr">
        <is>
          <t>avverkningsanmälan</t>
        </is>
      </c>
      <c r="C105" t="inlineStr">
        <is>
          <t>Föryngringsavverkning</t>
        </is>
      </c>
      <c r="D105" s="1" t="n">
        <v>46114</v>
      </c>
      <c r="E105" s="1" t="n">
        <v>46298</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46298</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46298</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46298</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1273-2023</t>
        </is>
      </c>
      <c r="B109" t="inlineStr">
        <is>
          <t>avverkningsanmälan</t>
        </is>
      </c>
      <c r="C109" t="inlineStr">
        <is>
          <t>Föryngringsavverkning</t>
        </is>
      </c>
      <c r="D109" s="1" t="n">
        <v>44936</v>
      </c>
      <c r="E109" s="1" t="n">
        <v>46298</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7625-2026</t>
        </is>
      </c>
      <c r="B110" t="inlineStr">
        <is>
          <t>avverkningsanmälan</t>
        </is>
      </c>
      <c r="C110" t="inlineStr">
        <is>
          <t>Föryngringsavverkning</t>
        </is>
      </c>
      <c r="D110" s="1" t="n">
        <v>46062</v>
      </c>
      <c r="E110" s="1" t="n">
        <v>46298</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46298</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46298</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61100-2022</t>
        </is>
      </c>
      <c r="B113" t="inlineStr">
        <is>
          <t>avverkningsanmälan</t>
        </is>
      </c>
      <c r="C113" t="inlineStr">
        <is>
          <t>Föryngringsavverkning</t>
        </is>
      </c>
      <c r="D113" s="1" t="n">
        <v>44915</v>
      </c>
      <c r="E113" s="1" t="n">
        <v>46298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38832-2026</t>
        </is>
      </c>
      <c r="B114" t="inlineStr">
        <is>
          <t>avverkningsanmälan</t>
        </is>
      </c>
      <c r="C114" t="inlineStr">
        <is>
          <t>Föryngringsavverkning</t>
        </is>
      </c>
      <c r="D114" s="1" t="n">
        <v>46286</v>
      </c>
      <c r="E114" s="1" t="n">
        <v>46298</v>
      </c>
      <c r="F114" t="inlineStr">
        <is>
          <t>GOTLANDS LÄN</t>
        </is>
      </c>
      <c r="G114" t="inlineStr">
        <is>
          <t>GOTLAND</t>
        </is>
      </c>
      <c r="I114" t="n">
        <v>6</v>
      </c>
      <c r="J114" t="n">
        <v>2</v>
      </c>
      <c r="K114" t="n">
        <v>0</v>
      </c>
      <c r="L114" t="n">
        <v>2</v>
      </c>
      <c r="M114" t="n">
        <v>1</v>
      </c>
      <c r="N114" t="n">
        <v>0</v>
      </c>
      <c r="O114" t="n">
        <v>0</v>
      </c>
      <c r="P114" t="n">
        <v>0</v>
      </c>
      <c r="Q114" t="n">
        <v>3</v>
      </c>
      <c r="R114" t="n">
        <v>1</v>
      </c>
      <c r="S114" t="n">
        <v>4</v>
      </c>
      <c r="T114" t="n">
        <v>6</v>
      </c>
      <c r="U114" t="n">
        <v>5</v>
      </c>
      <c r="V114" s="2" t="inlineStr">
        <is>
          <t>Igelkott
Kattfotslav
Mindre hackspett
Stjärtmes</t>
        </is>
      </c>
      <c r="W114">
        <f>HYPERLINK("https://klasma.github.io/Logging_0980/artfynd/A 38832-2026 artfynd.xlsx", "A 38832-2026")</f>
        <v/>
      </c>
      <c r="X114">
        <f>HYPERLINK("https://klasma.github.io/Logging_0980/kartor/A 38832-2026 karta.png", "A 38832-2026")</f>
        <v/>
      </c>
      <c r="Y114">
        <f>HYPERLINK("https://klasma.github.io/Logging_0980/kartor_geotiff/A 38832-2026 georefererad karta.tif", "A 38832-2026")</f>
        <v/>
      </c>
      <c r="AA114">
        <f>HYPERLINK("https://klasma.github.io/Logging_0980/klagomål/A 38832-2026 FSC-klagomål.docx", "A 38832-2026")</f>
        <v/>
      </c>
      <c r="AB114">
        <f>HYPERLINK("https://klasma.github.io/Logging_0980/klagomålsmail/A 38832-2026 FSC-klagomål mail.docx", "A 38832-2026")</f>
        <v/>
      </c>
      <c r="AC114">
        <f>HYPERLINK("https://klasma.github.io/Logging_0980/tillsyn/A 38832-2026 tillsynsbegäran.docx", "A 38832-2026")</f>
        <v/>
      </c>
      <c r="AD114">
        <f>HYPERLINK("https://klasma.github.io/Logging_0980/tillsynsmail/A 38832-2026 tillsynsbegäran mail.docx", "A 38832-2026")</f>
        <v/>
      </c>
      <c r="AE114">
        <f>HYPERLINK("https://klasma.github.io/Logging_0980/fåglar/A 38832-2026 prioriterade fågelarter.docx", "A 38832-2026")</f>
        <v/>
      </c>
    </row>
    <row r="115" ht="15" customHeight="1">
      <c r="A115" t="inlineStr">
        <is>
          <t>A 37591-2023</t>
        </is>
      </c>
      <c r="B115" t="inlineStr">
        <is>
          <t>avverkningsanmälan</t>
        </is>
      </c>
      <c r="C115" t="inlineStr">
        <is>
          <t>Föryngringsavverkning</t>
        </is>
      </c>
      <c r="D115" s="1" t="n">
        <v>45159</v>
      </c>
      <c r="E115" s="1" t="n">
        <v>46298</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43013-2022</t>
        </is>
      </c>
      <c r="B116" t="inlineStr">
        <is>
          <t>avverkningsanmälan</t>
        </is>
      </c>
      <c r="C116" t="inlineStr">
        <is>
          <t>Föryngringsavverkning</t>
        </is>
      </c>
      <c r="D116" s="1" t="n">
        <v>44833</v>
      </c>
      <c r="E116" s="1" t="n">
        <v>46298</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46298</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46298</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46298</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46298</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46298</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46298</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46298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46298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46298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46298</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26992-2026</t>
        </is>
      </c>
      <c r="B127" t="inlineStr">
        <is>
          <t>avverkningsanmälan</t>
        </is>
      </c>
      <c r="C127" t="inlineStr">
        <is>
          <t>Föryngringsavverkning</t>
        </is>
      </c>
      <c r="D127" s="1" t="n">
        <v>46185</v>
      </c>
      <c r="E127" s="1" t="n">
        <v>46298</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46298</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46298</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35574-2024</t>
        </is>
      </c>
      <c r="B130" t="inlineStr">
        <is>
          <t>avverkningsanmälan</t>
        </is>
      </c>
      <c r="C130" t="inlineStr">
        <is>
          <t>Föryngringsavverkning</t>
        </is>
      </c>
      <c r="D130" s="1" t="n">
        <v>45531</v>
      </c>
      <c r="E130" s="1" t="n">
        <v>46298</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46298</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46298</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44207-2022</t>
        </is>
      </c>
      <c r="B133" t="inlineStr">
        <is>
          <t>avverkningsanmälan</t>
        </is>
      </c>
      <c r="C133" t="inlineStr">
        <is>
          <t>Föryngringsavverkning</t>
        </is>
      </c>
      <c r="D133" s="1" t="n">
        <v>44839</v>
      </c>
      <c r="E133" s="1" t="n">
        <v>46298</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46298</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46298</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28261-2024</t>
        </is>
      </c>
      <c r="B136" t="inlineStr">
        <is>
          <t>avverkningsanmälan</t>
        </is>
      </c>
      <c r="C136" t="inlineStr">
        <is>
          <t>Avverkning för annat ändamål</t>
        </is>
      </c>
      <c r="D136" s="1" t="n">
        <v>45477</v>
      </c>
      <c r="E136" s="1" t="n">
        <v>46298</v>
      </c>
      <c r="F136" t="inlineStr">
        <is>
          <t>GOTLANDS LÄN</t>
        </is>
      </c>
      <c r="G136" t="inlineStr">
        <is>
          <t>GOTLAND</t>
        </is>
      </c>
      <c r="I136" t="n">
        <v>22.8</v>
      </c>
      <c r="J136" t="n">
        <v>0</v>
      </c>
      <c r="K136" t="n">
        <v>0</v>
      </c>
      <c r="L136" t="n">
        <v>2</v>
      </c>
      <c r="M136" t="n">
        <v>0</v>
      </c>
      <c r="N136" t="n">
        <v>0</v>
      </c>
      <c r="O136" t="n">
        <v>0</v>
      </c>
      <c r="P136" t="n">
        <v>0</v>
      </c>
      <c r="Q136" t="n">
        <v>2</v>
      </c>
      <c r="R136" t="n">
        <v>0</v>
      </c>
      <c r="S136" t="n">
        <v>2</v>
      </c>
      <c r="T136" t="n">
        <v>4</v>
      </c>
      <c r="U136" t="n">
        <v>4</v>
      </c>
      <c r="V136" s="2" t="inlineStr">
        <is>
          <t>Grådådra
Åkerkulla</t>
        </is>
      </c>
      <c r="W136">
        <f>HYPERLINK("https://klasma.github.io/Logging_0980/artfynd/A 28261-2024 artfynd.xlsx", "A 28261-2024")</f>
        <v/>
      </c>
      <c r="X136">
        <f>HYPERLINK("https://klasma.github.io/Logging_0980/kartor/A 28261-2024 karta.png", "A 28261-2024")</f>
        <v/>
      </c>
      <c r="Y136">
        <f>HYPERLINK("https://klasma.github.io/Logging_0980/kartor_geotiff/A 28261-2024 georefererad karta.tif", "A 28261-2024")</f>
        <v/>
      </c>
      <c r="AA136">
        <f>HYPERLINK("https://klasma.github.io/Logging_0980/klagomål/A 28261-2024 FSC-klagomål.docx", "A 28261-2024")</f>
        <v/>
      </c>
      <c r="AB136">
        <f>HYPERLINK("https://klasma.github.io/Logging_0980/klagomålsmail/A 28261-2024 FSC-klagomål mail.docx", "A 28261-2024")</f>
        <v/>
      </c>
      <c r="AC136">
        <f>HYPERLINK("https://klasma.github.io/Logging_0980/tillsyn/A 28261-2024 tillsynsbegäran.docx", "A 28261-2024")</f>
        <v/>
      </c>
      <c r="AD136">
        <f>HYPERLINK("https://klasma.github.io/Logging_0980/tillsynsmail/A 28261-2024 tillsynsbegäran mail.docx", "A 28261-2024")</f>
        <v/>
      </c>
    </row>
    <row r="137" ht="15" customHeight="1">
      <c r="A137" t="inlineStr">
        <is>
          <t>A 62760-2025</t>
        </is>
      </c>
      <c r="B137" t="inlineStr">
        <is>
          <t>avverkningsanmälan</t>
        </is>
      </c>
      <c r="C137" t="inlineStr">
        <is>
          <t>Föryngringsavverkning</t>
        </is>
      </c>
      <c r="D137" s="1" t="n">
        <v>46008</v>
      </c>
      <c r="E137" s="1" t="n">
        <v>46298</v>
      </c>
      <c r="F137" t="inlineStr">
        <is>
          <t>GOTLANDS LÄN</t>
        </is>
      </c>
      <c r="G137" t="inlineStr">
        <is>
          <t>GOTLAND</t>
        </is>
      </c>
      <c r="H137" t="inlineStr">
        <is>
          <t>Övriga Aktiebolag</t>
        </is>
      </c>
      <c r="I137" t="n">
        <v>4.6</v>
      </c>
      <c r="J137" t="n">
        <v>1</v>
      </c>
      <c r="K137" t="n">
        <v>1</v>
      </c>
      <c r="L137" t="n">
        <v>1</v>
      </c>
      <c r="M137" t="n">
        <v>0</v>
      </c>
      <c r="N137" t="n">
        <v>0</v>
      </c>
      <c r="O137" t="n">
        <v>0</v>
      </c>
      <c r="P137" t="n">
        <v>0</v>
      </c>
      <c r="Q137" t="n">
        <v>1</v>
      </c>
      <c r="R137" t="n">
        <v>0</v>
      </c>
      <c r="S137" t="n">
        <v>2</v>
      </c>
      <c r="T137" t="n">
        <v>2</v>
      </c>
      <c r="U137" t="n">
        <v>0</v>
      </c>
      <c r="V137" s="2" t="inlineStr">
        <is>
          <t>Vårärt
Nästrot</t>
        </is>
      </c>
      <c r="W137">
        <f>HYPERLINK("https://klasma.github.io/Logging_0980/artfynd/A 62760-2025 artfynd.xlsx", "A 62760-2025")</f>
        <v/>
      </c>
      <c r="X137">
        <f>HYPERLINK("https://klasma.github.io/Logging_0980/kartor/A 62760-2025 karta.png", "A 62760-2025")</f>
        <v/>
      </c>
      <c r="Y137">
        <f>HYPERLINK("https://klasma.github.io/Logging_0980/kartor_geotiff/A 62760-2025 georefererad karta.tif", "A 62760-2025")</f>
        <v/>
      </c>
      <c r="AA137">
        <f>HYPERLINK("https://klasma.github.io/Logging_0980/klagomål/A 62760-2025 FSC-klagomål.docx", "A 62760-2025")</f>
        <v/>
      </c>
      <c r="AB137">
        <f>HYPERLINK("https://klasma.github.io/Logging_0980/klagomålsmail/A 62760-2025 FSC-klagomål mail.docx", "A 62760-2025")</f>
        <v/>
      </c>
      <c r="AC137">
        <f>HYPERLINK("https://klasma.github.io/Logging_0980/tillsyn/A 62760-2025 tillsynsbegäran.docx", "A 62760-2025")</f>
        <v/>
      </c>
      <c r="AD137">
        <f>HYPERLINK("https://klasma.github.io/Logging_0980/tillsynsmail/A 62760-2025 tillsynsbegäran mail.docx", "A 62760-2025")</f>
        <v/>
      </c>
    </row>
    <row r="138" ht="15" customHeight="1">
      <c r="A138" t="inlineStr">
        <is>
          <t>A 33011-2025</t>
        </is>
      </c>
      <c r="B138" t="inlineStr">
        <is>
          <t>avverkningsanmälan</t>
        </is>
      </c>
      <c r="C138" t="inlineStr">
        <is>
          <t>Föryngringsavverkning</t>
        </is>
      </c>
      <c r="D138" s="1" t="n">
        <v>45840</v>
      </c>
      <c r="E138" s="1" t="n">
        <v>46298</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11708-2026</t>
        </is>
      </c>
      <c r="B139" t="inlineStr">
        <is>
          <t>avverkningsanmälan</t>
        </is>
      </c>
      <c r="C139" t="inlineStr">
        <is>
          <t>Avverkning för annat ändamål</t>
        </is>
      </c>
      <c r="D139" s="1" t="n">
        <v>46084</v>
      </c>
      <c r="E139" s="1" t="n">
        <v>46298</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7070-2022</t>
        </is>
      </c>
      <c r="B140" t="inlineStr">
        <is>
          <t>avverkningsanmälan</t>
        </is>
      </c>
      <c r="C140" t="inlineStr">
        <is>
          <t>Föryngringsavverkning</t>
        </is>
      </c>
      <c r="D140" s="1" t="n">
        <v>44603</v>
      </c>
      <c r="E140" s="1" t="n">
        <v>46298</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46298</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46298</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46298</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49314-2024</t>
        </is>
      </c>
      <c r="B144" t="inlineStr">
        <is>
          <t>avverkningsanmälan</t>
        </is>
      </c>
      <c r="C144" t="inlineStr">
        <is>
          <t>Föryngringsavverkning</t>
        </is>
      </c>
      <c r="D144" s="1" t="n">
        <v>45595</v>
      </c>
      <c r="E144" s="1" t="n">
        <v>46298</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30470-2026</t>
        </is>
      </c>
      <c r="B145" t="inlineStr">
        <is>
          <t>avverkningsanmälan</t>
        </is>
      </c>
      <c r="C145" t="inlineStr">
        <is>
          <t>Föryngringsavverkning</t>
        </is>
      </c>
      <c r="D145" s="1" t="n">
        <v>46209</v>
      </c>
      <c r="E145" s="1" t="n">
        <v>46298</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26077-2024</t>
        </is>
      </c>
      <c r="B146" t="inlineStr">
        <is>
          <t>avverkningsanmälan</t>
        </is>
      </c>
      <c r="C146" t="inlineStr">
        <is>
          <t>Avverkning för annat ändamål</t>
        </is>
      </c>
      <c r="D146" s="1" t="n">
        <v>45467</v>
      </c>
      <c r="E146" s="1" t="n">
        <v>46298</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46298</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46298</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46298</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46298</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46298</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46298</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46298</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22883-2024</t>
        </is>
      </c>
      <c r="B154" t="inlineStr">
        <is>
          <t>avverkningsanmälan</t>
        </is>
      </c>
      <c r="C154" t="inlineStr">
        <is>
          <t>Föryngringsavverkning</t>
        </is>
      </c>
      <c r="D154" s="1" t="n">
        <v>45448</v>
      </c>
      <c r="E154" s="1" t="n">
        <v>46298</v>
      </c>
      <c r="F154" t="inlineStr">
        <is>
          <t>GOTLANDS LÄN</t>
        </is>
      </c>
      <c r="G154" t="inlineStr">
        <is>
          <t>GOTLAND</t>
        </is>
      </c>
      <c r="I154" t="n">
        <v>0.5</v>
      </c>
      <c r="J154" t="n">
        <v>0</v>
      </c>
      <c r="K154" t="n">
        <v>0</v>
      </c>
      <c r="L154" t="n">
        <v>0</v>
      </c>
      <c r="M154" t="n">
        <v>1</v>
      </c>
      <c r="N154" t="n">
        <v>0</v>
      </c>
      <c r="O154" t="n">
        <v>0</v>
      </c>
      <c r="P154" t="n">
        <v>0</v>
      </c>
      <c r="Q154" t="n">
        <v>1</v>
      </c>
      <c r="R154" t="n">
        <v>1</v>
      </c>
      <c r="S154" t="n">
        <v>1</v>
      </c>
      <c r="T154" t="n">
        <v>2</v>
      </c>
      <c r="U154" t="n">
        <v>2</v>
      </c>
      <c r="V154" s="2" t="inlineStr">
        <is>
          <t>Gotlandsmåra</t>
        </is>
      </c>
      <c r="W154">
        <f>HYPERLINK("https://klasma.github.io/Logging_0980/artfynd/A 22883-2024 artfynd.xlsx", "A 22883-2024")</f>
        <v/>
      </c>
      <c r="X154">
        <f>HYPERLINK("https://klasma.github.io/Logging_0980/kartor/A 22883-2024 karta.png", "A 22883-2024")</f>
        <v/>
      </c>
      <c r="Y154">
        <f>HYPERLINK("https://klasma.github.io/Logging_0980/kartor_geotiff/A 22883-2024 georefererad karta.tif", "A 22883-2024")</f>
        <v/>
      </c>
      <c r="AA154">
        <f>HYPERLINK("https://klasma.github.io/Logging_0980/klagomål/A 22883-2024 FSC-klagomål.docx", "A 22883-2024")</f>
        <v/>
      </c>
      <c r="AB154">
        <f>HYPERLINK("https://klasma.github.io/Logging_0980/klagomålsmail/A 22883-2024 FSC-klagomål mail.docx", "A 22883-2024")</f>
        <v/>
      </c>
      <c r="AC154">
        <f>HYPERLINK("https://klasma.github.io/Logging_0980/tillsyn/A 22883-2024 tillsynsbegäran.docx", "A 22883-2024")</f>
        <v/>
      </c>
      <c r="AD154">
        <f>HYPERLINK("https://klasma.github.io/Logging_0980/tillsynsmail/A 22883-2024 tillsynsbegäran mail.docx", "A 22883-2024")</f>
        <v/>
      </c>
    </row>
    <row r="155" ht="15" customHeight="1">
      <c r="A155" t="inlineStr">
        <is>
          <t>A 24245-2022</t>
        </is>
      </c>
      <c r="B155" t="inlineStr">
        <is>
          <t>avverkningsanmälan</t>
        </is>
      </c>
      <c r="C155" t="inlineStr">
        <is>
          <t>Föryngringsavverkning</t>
        </is>
      </c>
      <c r="D155" s="1" t="n">
        <v>44725</v>
      </c>
      <c r="E155" s="1" t="n">
        <v>46298</v>
      </c>
      <c r="F155" t="inlineStr">
        <is>
          <t>GOTLANDS LÄN</t>
        </is>
      </c>
      <c r="G155" t="inlineStr">
        <is>
          <t>GOTLAND</t>
        </is>
      </c>
      <c r="I155" t="n">
        <v>4.9</v>
      </c>
      <c r="J155" t="n">
        <v>0</v>
      </c>
      <c r="K155" t="n">
        <v>0</v>
      </c>
      <c r="L155" t="n">
        <v>0</v>
      </c>
      <c r="M155" t="n">
        <v>0</v>
      </c>
      <c r="N155" t="n">
        <v>1</v>
      </c>
      <c r="O155" t="n">
        <v>0</v>
      </c>
      <c r="P155" t="n">
        <v>0</v>
      </c>
      <c r="Q155" t="n">
        <v>1</v>
      </c>
      <c r="R155" t="n">
        <v>1</v>
      </c>
      <c r="S155" t="n">
        <v>1</v>
      </c>
      <c r="T155" t="n">
        <v>2</v>
      </c>
      <c r="U155" t="n">
        <v>0</v>
      </c>
      <c r="V155" s="2" t="inlineStr">
        <is>
          <t>Slät taggsvamp</t>
        </is>
      </c>
      <c r="W155">
        <f>HYPERLINK("https://klasma.github.io/Logging_0980/artfynd/A 24245-2022 artfynd.xlsx", "A 24245-2022")</f>
        <v/>
      </c>
      <c r="X155">
        <f>HYPERLINK("https://klasma.github.io/Logging_0980/kartor/A 24245-2022 karta.png", "A 24245-2022")</f>
        <v/>
      </c>
      <c r="Y155">
        <f>HYPERLINK("https://klasma.github.io/Logging_0980/kartor_geotiff/A 24245-2022 georefererad karta.tif", "A 24245-2022")</f>
        <v/>
      </c>
      <c r="AA155">
        <f>HYPERLINK("https://klasma.github.io/Logging_0980/klagomål/A 24245-2022 FSC-klagomål.docx", "A 24245-2022")</f>
        <v/>
      </c>
      <c r="AB155">
        <f>HYPERLINK("https://klasma.github.io/Logging_0980/klagomålsmail/A 24245-2022 FSC-klagomål mail.docx", "A 24245-2022")</f>
        <v/>
      </c>
      <c r="AC155">
        <f>HYPERLINK("https://klasma.github.io/Logging_0980/tillsyn/A 24245-2022 tillsynsbegäran.docx", "A 24245-2022")</f>
        <v/>
      </c>
      <c r="AD155">
        <f>HYPERLINK("https://klasma.github.io/Logging_0980/tillsynsmail/A 24245-2022 tillsynsbegäran mail.docx", "A 24245-2022")</f>
        <v/>
      </c>
    </row>
    <row r="156" ht="15" customHeight="1">
      <c r="A156" t="inlineStr">
        <is>
          <t>A 27593-2023</t>
        </is>
      </c>
      <c r="B156" t="inlineStr">
        <is>
          <t>avverkningsanmälan</t>
        </is>
      </c>
      <c r="C156" t="inlineStr">
        <is>
          <t>Avverkning för annat ändamål</t>
        </is>
      </c>
      <c r="D156" s="1" t="n">
        <v>45097</v>
      </c>
      <c r="E156" s="1" t="n">
        <v>46298</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63229-2021</t>
        </is>
      </c>
      <c r="B157" t="inlineStr">
        <is>
          <t>avverkningsanmälan</t>
        </is>
      </c>
      <c r="C157" t="inlineStr">
        <is>
          <t>Föryngringsavverkning</t>
        </is>
      </c>
      <c r="D157" s="1" t="n">
        <v>44508</v>
      </c>
      <c r="E157" s="1" t="n">
        <v>46298</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5751-2024</t>
        </is>
      </c>
      <c r="B158" t="inlineStr">
        <is>
          <t>avverkningsanmälan</t>
        </is>
      </c>
      <c r="C158" t="inlineStr">
        <is>
          <t>Avverkning för att bevara och utveckla /försöksver</t>
        </is>
      </c>
      <c r="D158" s="1" t="n">
        <v>45335</v>
      </c>
      <c r="E158" s="1" t="n">
        <v>46298</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49693-2023</t>
        </is>
      </c>
      <c r="B159" t="inlineStr">
        <is>
          <t>avverkningsanmälan</t>
        </is>
      </c>
      <c r="C159" t="inlineStr">
        <is>
          <t>Föryngringsavverkning</t>
        </is>
      </c>
      <c r="D159" s="1" t="n">
        <v>45212</v>
      </c>
      <c r="E159" s="1" t="n">
        <v>46298</v>
      </c>
      <c r="F159" t="inlineStr">
        <is>
          <t>GOTLANDS LÄN</t>
        </is>
      </c>
      <c r="G159" t="inlineStr">
        <is>
          <t>GOTLAND</t>
        </is>
      </c>
      <c r="I159" t="n">
        <v>2.4</v>
      </c>
      <c r="J159" t="n">
        <v>0</v>
      </c>
      <c r="K159" t="n">
        <v>0</v>
      </c>
      <c r="L159" t="n">
        <v>0</v>
      </c>
      <c r="M159" t="n">
        <v>1</v>
      </c>
      <c r="N159" t="n">
        <v>0</v>
      </c>
      <c r="O159" t="n">
        <v>0</v>
      </c>
      <c r="P159" t="n">
        <v>0</v>
      </c>
      <c r="Q159" t="n">
        <v>1</v>
      </c>
      <c r="R159" t="n">
        <v>1</v>
      </c>
      <c r="S159" t="n">
        <v>1</v>
      </c>
      <c r="T159" t="n">
        <v>1</v>
      </c>
      <c r="U159" t="n">
        <v>1</v>
      </c>
      <c r="V159" s="2" t="inlineStr">
        <is>
          <t>Vit taggsvamp</t>
        </is>
      </c>
      <c r="W159">
        <f>HYPERLINK("https://klasma.github.io/Logging_0980/artfynd/A 49693-2023 artfynd.xlsx", "A 49693-2023")</f>
        <v/>
      </c>
      <c r="X159">
        <f>HYPERLINK("https://klasma.github.io/Logging_0980/kartor/A 49693-2023 karta.png", "A 49693-2023")</f>
        <v/>
      </c>
      <c r="Y159">
        <f>HYPERLINK("https://klasma.github.io/Logging_0980/kartor_geotiff/A 49693-2023 georefererad karta.tif", "A 49693-2023")</f>
        <v/>
      </c>
      <c r="AA159">
        <f>HYPERLINK("https://klasma.github.io/Logging_0980/klagomål/A 49693-2023 FSC-klagomål.docx", "A 49693-2023")</f>
        <v/>
      </c>
      <c r="AB159">
        <f>HYPERLINK("https://klasma.github.io/Logging_0980/klagomålsmail/A 49693-2023 FSC-klagomål mail.docx", "A 49693-2023")</f>
        <v/>
      </c>
      <c r="AC159">
        <f>HYPERLINK("https://klasma.github.io/Logging_0980/tillsyn/A 49693-2023 tillsynsbegäran.docx", "A 49693-2023")</f>
        <v/>
      </c>
      <c r="AD159">
        <f>HYPERLINK("https://klasma.github.io/Logging_0980/tillsynsmail/A 49693-2023 tillsynsbegäran mail.docx", "A 49693-2023")</f>
        <v/>
      </c>
    </row>
    <row r="160" ht="15" customHeight="1">
      <c r="A160" t="inlineStr">
        <is>
          <t>A 57534-2022</t>
        </is>
      </c>
      <c r="B160" t="inlineStr">
        <is>
          <t>avverkningsanmälan</t>
        </is>
      </c>
      <c r="C160" t="inlineStr">
        <is>
          <t>Föryngringsavverkning</t>
        </is>
      </c>
      <c r="D160" s="1" t="n">
        <v>44896</v>
      </c>
      <c r="E160" s="1" t="n">
        <v>46298</v>
      </c>
      <c r="F160" t="inlineStr">
        <is>
          <t>GOTLANDS LÄN</t>
        </is>
      </c>
      <c r="G160" t="inlineStr">
        <is>
          <t>GOTLAND</t>
        </is>
      </c>
      <c r="I160" t="n">
        <v>0.6</v>
      </c>
      <c r="J160" t="n">
        <v>0</v>
      </c>
      <c r="K160" t="n">
        <v>1</v>
      </c>
      <c r="L160" t="n">
        <v>0</v>
      </c>
      <c r="M160" t="n">
        <v>0</v>
      </c>
      <c r="N160" t="n">
        <v>0</v>
      </c>
      <c r="O160" t="n">
        <v>0</v>
      </c>
      <c r="P160" t="n">
        <v>0</v>
      </c>
      <c r="Q160" t="n">
        <v>0</v>
      </c>
      <c r="R160" t="n">
        <v>0</v>
      </c>
      <c r="S160" t="n">
        <v>1</v>
      </c>
      <c r="T160" t="n">
        <v>1</v>
      </c>
      <c r="U160" t="n">
        <v>1</v>
      </c>
      <c r="V160" s="2" t="inlineStr">
        <is>
          <t>Myskmadra</t>
        </is>
      </c>
      <c r="W160">
        <f>HYPERLINK("https://klasma.github.io/Logging_0980/artfynd/A 57534-2022 artfynd.xlsx", "A 57534-2022")</f>
        <v/>
      </c>
      <c r="X160">
        <f>HYPERLINK("https://klasma.github.io/Logging_0980/kartor/A 57534-2022 karta.png", "A 57534-2022")</f>
        <v/>
      </c>
      <c r="Y160">
        <f>HYPERLINK("https://klasma.github.io/Logging_0980/kartor_geotiff/A 57534-2022 georefererad karta.tif", "A 57534-2022")</f>
        <v/>
      </c>
      <c r="AA160">
        <f>HYPERLINK("https://klasma.github.io/Logging_0980/klagomål/A 57534-2022 FSC-klagomål.docx", "A 57534-2022")</f>
        <v/>
      </c>
      <c r="AB160">
        <f>HYPERLINK("https://klasma.github.io/Logging_0980/klagomålsmail/A 57534-2022 FSC-klagomål mail.docx", "A 57534-2022")</f>
        <v/>
      </c>
      <c r="AC160">
        <f>HYPERLINK("https://klasma.github.io/Logging_0980/tillsyn/A 57534-2022 tillsynsbegäran.docx", "A 57534-2022")</f>
        <v/>
      </c>
      <c r="AD160">
        <f>HYPERLINK("https://klasma.github.io/Logging_0980/tillsynsmail/A 57534-2022 tillsynsbegäran mail.docx", "A 57534-2022")</f>
        <v/>
      </c>
    </row>
    <row r="161" ht="15" customHeight="1">
      <c r="A161" t="inlineStr">
        <is>
          <t>A 6303-2024</t>
        </is>
      </c>
      <c r="B161" t="inlineStr">
        <is>
          <t>avverkningsanmälan</t>
        </is>
      </c>
      <c r="C161" t="inlineStr">
        <is>
          <t>Föryngringsavverkning</t>
        </is>
      </c>
      <c r="D161" s="1" t="n">
        <v>45338</v>
      </c>
      <c r="E161" s="1" t="n">
        <v>46298</v>
      </c>
      <c r="F161" t="inlineStr">
        <is>
          <t>GOTLANDS LÄN</t>
        </is>
      </c>
      <c r="G161" t="inlineStr">
        <is>
          <t>GOTLAND</t>
        </is>
      </c>
      <c r="I161" t="n">
        <v>0.6</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6303-2024 artfynd.xlsx", "A 6303-2024")</f>
        <v/>
      </c>
      <c r="X161">
        <f>HYPERLINK("https://klasma.github.io/Logging_0980/kartor/A 6303-2024 karta.png", "A 6303-2024")</f>
        <v/>
      </c>
      <c r="Y161">
        <f>HYPERLINK("https://klasma.github.io/Logging_0980/kartor_geotiff/A 6303-2024 georefererad karta.tif", "A 6303-2024")</f>
        <v/>
      </c>
      <c r="AA161">
        <f>HYPERLINK("https://klasma.github.io/Logging_0980/klagomål/A 6303-2024 FSC-klagomål.docx", "A 6303-2024")</f>
        <v/>
      </c>
      <c r="AB161">
        <f>HYPERLINK("https://klasma.github.io/Logging_0980/klagomålsmail/A 6303-2024 FSC-klagomål mail.docx", "A 6303-2024")</f>
        <v/>
      </c>
      <c r="AC161">
        <f>HYPERLINK("https://klasma.github.io/Logging_0980/tillsyn/A 6303-2024 tillsynsbegäran.docx", "A 6303-2024")</f>
        <v/>
      </c>
      <c r="AD161">
        <f>HYPERLINK("https://klasma.github.io/Logging_0980/tillsynsmail/A 6303-2024 tillsynsbegäran mail.docx", "A 6303-2024")</f>
        <v/>
      </c>
    </row>
    <row r="162" ht="15" customHeight="1">
      <c r="A162" t="inlineStr">
        <is>
          <t>A 62552-2022</t>
        </is>
      </c>
      <c r="B162" t="inlineStr">
        <is>
          <t>avverkningsanmälan</t>
        </is>
      </c>
      <c r="C162" t="inlineStr">
        <is>
          <t>Föryngringsavverkning</t>
        </is>
      </c>
      <c r="D162" s="1" t="n">
        <v>44924</v>
      </c>
      <c r="E162" s="1" t="n">
        <v>46298</v>
      </c>
      <c r="F162" t="inlineStr">
        <is>
          <t>GOTLANDS LÄN</t>
        </is>
      </c>
      <c r="G162" t="inlineStr">
        <is>
          <t>GOTLAND</t>
        </is>
      </c>
      <c r="I162" t="n">
        <v>1.6</v>
      </c>
      <c r="J162" t="n">
        <v>0</v>
      </c>
      <c r="K162" t="n">
        <v>0</v>
      </c>
      <c r="L162" t="n">
        <v>1</v>
      </c>
      <c r="M162" t="n">
        <v>0</v>
      </c>
      <c r="N162" t="n">
        <v>0</v>
      </c>
      <c r="O162" t="n">
        <v>0</v>
      </c>
      <c r="P162" t="n">
        <v>0</v>
      </c>
      <c r="Q162" t="n">
        <v>1</v>
      </c>
      <c r="R162" t="n">
        <v>0</v>
      </c>
      <c r="S162" t="n">
        <v>1</v>
      </c>
      <c r="T162" t="n">
        <v>1</v>
      </c>
      <c r="U162" t="n">
        <v>0</v>
      </c>
      <c r="V162" s="2" t="inlineStr">
        <is>
          <t>Äggspindling</t>
        </is>
      </c>
      <c r="W162">
        <f>HYPERLINK("https://klasma.github.io/Logging_0980/artfynd/A 62552-2022 artfynd.xlsx", "A 62552-2022")</f>
        <v/>
      </c>
      <c r="X162">
        <f>HYPERLINK("https://klasma.github.io/Logging_0980/kartor/A 62552-2022 karta.png", "A 62552-2022")</f>
        <v/>
      </c>
      <c r="Y162">
        <f>HYPERLINK("https://klasma.github.io/Logging_0980/kartor_geotiff/A 62552-2022 georefererad karta.tif", "A 62552-2022")</f>
        <v/>
      </c>
      <c r="AA162">
        <f>HYPERLINK("https://klasma.github.io/Logging_0980/klagomål/A 62552-2022 FSC-klagomål.docx", "A 62552-2022")</f>
        <v/>
      </c>
      <c r="AB162">
        <f>HYPERLINK("https://klasma.github.io/Logging_0980/klagomålsmail/A 62552-2022 FSC-klagomål mail.docx", "A 62552-2022")</f>
        <v/>
      </c>
      <c r="AC162">
        <f>HYPERLINK("https://klasma.github.io/Logging_0980/tillsyn/A 62552-2022 tillsynsbegäran.docx", "A 62552-2022")</f>
        <v/>
      </c>
      <c r="AD162">
        <f>HYPERLINK("https://klasma.github.io/Logging_0980/tillsynsmail/A 62552-2022 tillsynsbegäran mail.docx", "A 62552-2022")</f>
        <v/>
      </c>
    </row>
    <row r="163" ht="15" customHeight="1">
      <c r="A163" t="inlineStr">
        <is>
          <t>A 25977-2024</t>
        </is>
      </c>
      <c r="B163" t="inlineStr">
        <is>
          <t>avverkningsanmälan</t>
        </is>
      </c>
      <c r="C163" t="inlineStr">
        <is>
          <t>Föryngringsavverkning</t>
        </is>
      </c>
      <c r="D163" s="1" t="n">
        <v>45467</v>
      </c>
      <c r="E163" s="1" t="n">
        <v>46298</v>
      </c>
      <c r="F163" t="inlineStr">
        <is>
          <t>GOTLANDS LÄN</t>
        </is>
      </c>
      <c r="G163" t="inlineStr">
        <is>
          <t>GOTLAND</t>
        </is>
      </c>
      <c r="I163" t="n">
        <v>3</v>
      </c>
      <c r="J163" t="n">
        <v>1</v>
      </c>
      <c r="K163" t="n">
        <v>0</v>
      </c>
      <c r="L163" t="n">
        <v>0</v>
      </c>
      <c r="M163" t="n">
        <v>0</v>
      </c>
      <c r="N163" t="n">
        <v>0</v>
      </c>
      <c r="O163" t="n">
        <v>0</v>
      </c>
      <c r="P163" t="n">
        <v>0</v>
      </c>
      <c r="Q163" t="n">
        <v>0</v>
      </c>
      <c r="R163" t="n">
        <v>0</v>
      </c>
      <c r="S163" t="n">
        <v>1</v>
      </c>
      <c r="T163" t="n">
        <v>1</v>
      </c>
      <c r="U163" t="n">
        <v>1</v>
      </c>
      <c r="V163" s="2" t="inlineStr">
        <is>
          <t>Nattviol</t>
        </is>
      </c>
      <c r="W163">
        <f>HYPERLINK("https://klasma.github.io/Logging_0980/artfynd/A 25977-2024 artfynd.xlsx", "A 25977-2024")</f>
        <v/>
      </c>
      <c r="X163">
        <f>HYPERLINK("https://klasma.github.io/Logging_0980/kartor/A 25977-2024 karta.png", "A 25977-2024")</f>
        <v/>
      </c>
      <c r="Y163">
        <f>HYPERLINK("https://klasma.github.io/Logging_0980/kartor_geotiff/A 25977-2024 georefererad karta.tif", "A 25977-2024")</f>
        <v/>
      </c>
      <c r="AA163">
        <f>HYPERLINK("https://klasma.github.io/Logging_0980/klagomål/A 25977-2024 FSC-klagomål.docx", "A 25977-2024")</f>
        <v/>
      </c>
      <c r="AB163">
        <f>HYPERLINK("https://klasma.github.io/Logging_0980/klagomålsmail/A 25977-2024 FSC-klagomål mail.docx", "A 25977-2024")</f>
        <v/>
      </c>
      <c r="AC163">
        <f>HYPERLINK("https://klasma.github.io/Logging_0980/tillsyn/A 25977-2024 tillsynsbegäran.docx", "A 25977-2024")</f>
        <v/>
      </c>
      <c r="AD163">
        <f>HYPERLINK("https://klasma.github.io/Logging_0980/tillsynsmail/A 25977-2024 tillsynsbegäran mail.docx", "A 25977-2024")</f>
        <v/>
      </c>
    </row>
    <row r="164" ht="15" customHeight="1">
      <c r="A164" t="inlineStr">
        <is>
          <t>A 40294-2022</t>
        </is>
      </c>
      <c r="B164" t="inlineStr">
        <is>
          <t>avverkningsanmälan</t>
        </is>
      </c>
      <c r="C164" t="inlineStr">
        <is>
          <t>Föryngringsavverkning</t>
        </is>
      </c>
      <c r="D164" s="1" t="n">
        <v>44821</v>
      </c>
      <c r="E164" s="1" t="n">
        <v>46298</v>
      </c>
      <c r="F164" t="inlineStr">
        <is>
          <t>GOTLANDS LÄN</t>
        </is>
      </c>
      <c r="G164" t="inlineStr">
        <is>
          <t>GOTLAND</t>
        </is>
      </c>
      <c r="I164" t="n">
        <v>1.6</v>
      </c>
      <c r="J164" t="n">
        <v>0</v>
      </c>
      <c r="K164" t="n">
        <v>0</v>
      </c>
      <c r="L164" t="n">
        <v>0</v>
      </c>
      <c r="M164" t="n">
        <v>1</v>
      </c>
      <c r="N164" t="n">
        <v>0</v>
      </c>
      <c r="O164" t="n">
        <v>0</v>
      </c>
      <c r="P164" t="n">
        <v>0</v>
      </c>
      <c r="Q164" t="n">
        <v>1</v>
      </c>
      <c r="R164" t="n">
        <v>1</v>
      </c>
      <c r="S164" t="n">
        <v>1</v>
      </c>
      <c r="T164" t="n">
        <v>1</v>
      </c>
      <c r="U164" t="n">
        <v>1</v>
      </c>
      <c r="V164" s="2" t="inlineStr">
        <is>
          <t>Gotlandsmåra</t>
        </is>
      </c>
      <c r="W164">
        <f>HYPERLINK("https://klasma.github.io/Logging_0980/artfynd/A 40294-2022 artfynd.xlsx", "A 40294-2022")</f>
        <v/>
      </c>
      <c r="X164">
        <f>HYPERLINK("https://klasma.github.io/Logging_0980/kartor/A 40294-2022 karta.png", "A 40294-2022")</f>
        <v/>
      </c>
      <c r="Y164">
        <f>HYPERLINK("https://klasma.github.io/Logging_0980/kartor_geotiff/A 40294-2022 georefererad karta.tif", "A 40294-2022")</f>
        <v/>
      </c>
      <c r="AA164">
        <f>HYPERLINK("https://klasma.github.io/Logging_0980/klagomål/A 40294-2022 FSC-klagomål.docx", "A 40294-2022")</f>
        <v/>
      </c>
      <c r="AB164">
        <f>HYPERLINK("https://klasma.github.io/Logging_0980/klagomålsmail/A 40294-2022 FSC-klagomål mail.docx", "A 40294-2022")</f>
        <v/>
      </c>
      <c r="AC164">
        <f>HYPERLINK("https://klasma.github.io/Logging_0980/tillsyn/A 40294-2022 tillsynsbegäran.docx", "A 40294-2022")</f>
        <v/>
      </c>
      <c r="AD164">
        <f>HYPERLINK("https://klasma.github.io/Logging_0980/tillsynsmail/A 40294-2022 tillsynsbegäran mail.docx", "A 40294-2022")</f>
        <v/>
      </c>
    </row>
    <row r="165" ht="15" customHeight="1">
      <c r="A165" t="inlineStr">
        <is>
          <t>A 27602-2023</t>
        </is>
      </c>
      <c r="B165" t="inlineStr">
        <is>
          <t>avverkningsanmälan</t>
        </is>
      </c>
      <c r="C165" t="inlineStr">
        <is>
          <t>Avverkning för annat ändamål</t>
        </is>
      </c>
      <c r="D165" s="1" t="n">
        <v>45097</v>
      </c>
      <c r="E165" s="1" t="n">
        <v>46298</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6739-2025</t>
        </is>
      </c>
      <c r="B166" t="inlineStr">
        <is>
          <t>avverkningsanmälan</t>
        </is>
      </c>
      <c r="C166" t="inlineStr">
        <is>
          <t>Föryngringsavverkning</t>
        </is>
      </c>
      <c r="D166" s="1" t="n">
        <v>45700</v>
      </c>
      <c r="E166" s="1" t="n">
        <v>46298</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4662-2026</t>
        </is>
      </c>
      <c r="B167" t="inlineStr">
        <is>
          <t>avverkningsanmälan</t>
        </is>
      </c>
      <c r="C167" t="inlineStr">
        <is>
          <t>Föryngringsavverkning</t>
        </is>
      </c>
      <c r="D167" s="1" t="n">
        <v>46048</v>
      </c>
      <c r="E167" s="1" t="n">
        <v>46298</v>
      </c>
      <c r="F167" t="inlineStr">
        <is>
          <t>GOTLANDS LÄN</t>
        </is>
      </c>
      <c r="G167" t="inlineStr">
        <is>
          <t>GOTLAND</t>
        </is>
      </c>
      <c r="I167" t="n">
        <v>7.6</v>
      </c>
      <c r="J167" t="n">
        <v>0</v>
      </c>
      <c r="K167" t="n">
        <v>0</v>
      </c>
      <c r="L167" t="n">
        <v>0</v>
      </c>
      <c r="M167" t="n">
        <v>1</v>
      </c>
      <c r="N167" t="n">
        <v>0</v>
      </c>
      <c r="O167" t="n">
        <v>0</v>
      </c>
      <c r="P167" t="n">
        <v>0</v>
      </c>
      <c r="Q167" t="n">
        <v>1</v>
      </c>
      <c r="R167" t="n">
        <v>1</v>
      </c>
      <c r="S167" t="n">
        <v>1</v>
      </c>
      <c r="T167" t="n">
        <v>1</v>
      </c>
      <c r="U167" t="n">
        <v>0</v>
      </c>
      <c r="V167" s="2" t="inlineStr">
        <is>
          <t>Strandviol</t>
        </is>
      </c>
      <c r="W167">
        <f>HYPERLINK("https://klasma.github.io/Logging_0980/artfynd/A 4662-2026 artfynd.xlsx", "A 4662-2026")</f>
        <v/>
      </c>
      <c r="X167">
        <f>HYPERLINK("https://klasma.github.io/Logging_0980/kartor/A 4662-2026 karta.png", "A 4662-2026")</f>
        <v/>
      </c>
      <c r="Y167">
        <f>HYPERLINK("https://klasma.github.io/Logging_0980/kartor_geotiff/A 4662-2026 georefererad karta.tif", "A 4662-2026")</f>
        <v/>
      </c>
      <c r="AA167">
        <f>HYPERLINK("https://klasma.github.io/Logging_0980/klagomål/A 4662-2026 FSC-klagomål.docx", "A 4662-2026")</f>
        <v/>
      </c>
      <c r="AB167">
        <f>HYPERLINK("https://klasma.github.io/Logging_0980/klagomålsmail/A 4662-2026 FSC-klagomål mail.docx", "A 4662-2026")</f>
        <v/>
      </c>
      <c r="AC167">
        <f>HYPERLINK("https://klasma.github.io/Logging_0980/tillsyn/A 4662-2026 tillsynsbegäran.docx", "A 4662-2026")</f>
        <v/>
      </c>
      <c r="AD167">
        <f>HYPERLINK("https://klasma.github.io/Logging_0980/tillsynsmail/A 4662-2026 tillsynsbegäran mail.docx", "A 4662-2026")</f>
        <v/>
      </c>
    </row>
    <row r="168" ht="15" customHeight="1">
      <c r="A168" t="inlineStr">
        <is>
          <t>A 947-2023</t>
        </is>
      </c>
      <c r="B168" t="inlineStr">
        <is>
          <t>avverkningsanmälan</t>
        </is>
      </c>
      <c r="C168" t="inlineStr">
        <is>
          <t>Föryngringsavverkning</t>
        </is>
      </c>
      <c r="D168" s="1" t="n">
        <v>44934</v>
      </c>
      <c r="E168" s="1" t="n">
        <v>46298</v>
      </c>
      <c r="F168" t="inlineStr">
        <is>
          <t>GOTLANDS LÄN</t>
        </is>
      </c>
      <c r="G168" t="inlineStr">
        <is>
          <t>GOTLAND</t>
        </is>
      </c>
      <c r="I168" t="n">
        <v>0.7</v>
      </c>
      <c r="J168" t="n">
        <v>1</v>
      </c>
      <c r="K168" t="n">
        <v>0</v>
      </c>
      <c r="L168" t="n">
        <v>0</v>
      </c>
      <c r="M168" t="n">
        <v>1</v>
      </c>
      <c r="N168" t="n">
        <v>0</v>
      </c>
      <c r="O168" t="n">
        <v>0</v>
      </c>
      <c r="P168" t="n">
        <v>0</v>
      </c>
      <c r="Q168" t="n">
        <v>1</v>
      </c>
      <c r="R168" t="n">
        <v>1</v>
      </c>
      <c r="S168" t="n">
        <v>1</v>
      </c>
      <c r="T168" t="n">
        <v>1</v>
      </c>
      <c r="U168" t="n">
        <v>0</v>
      </c>
      <c r="V168" s="2" t="inlineStr">
        <is>
          <t>Garderönn</t>
        </is>
      </c>
      <c r="W168">
        <f>HYPERLINK("https://klasma.github.io/Logging_0980/artfynd/A 947-2023 artfynd.xlsx", "A 947-2023")</f>
        <v/>
      </c>
      <c r="X168">
        <f>HYPERLINK("https://klasma.github.io/Logging_0980/kartor/A 947-2023 karta.png", "A 947-2023")</f>
        <v/>
      </c>
      <c r="Y168">
        <f>HYPERLINK("https://klasma.github.io/Logging_0980/kartor_geotiff/A 947-2023 georefererad karta.tif", "A 947-2023")</f>
        <v/>
      </c>
      <c r="AA168">
        <f>HYPERLINK("https://klasma.github.io/Logging_0980/klagomål/A 947-2023 FSC-klagomål.docx", "A 947-2023")</f>
        <v/>
      </c>
      <c r="AB168">
        <f>HYPERLINK("https://klasma.github.io/Logging_0980/klagomålsmail/A 947-2023 FSC-klagomål mail.docx", "A 947-2023")</f>
        <v/>
      </c>
      <c r="AC168">
        <f>HYPERLINK("https://klasma.github.io/Logging_0980/tillsyn/A 947-2023 tillsynsbegäran.docx", "A 947-2023")</f>
        <v/>
      </c>
      <c r="AD168">
        <f>HYPERLINK("https://klasma.github.io/Logging_0980/tillsynsmail/A 947-2023 tillsynsbegäran mail.docx", "A 947-2023")</f>
        <v/>
      </c>
    </row>
    <row r="169" ht="15" customHeight="1">
      <c r="A169" t="inlineStr">
        <is>
          <t>A 46189-2022</t>
        </is>
      </c>
      <c r="B169" t="inlineStr">
        <is>
          <t>avverkningsanmälan</t>
        </is>
      </c>
      <c r="C169" t="inlineStr">
        <is>
          <t>Avverkning för annat ändamål</t>
        </is>
      </c>
      <c r="D169" s="1" t="n">
        <v>44847</v>
      </c>
      <c r="E169" s="1" t="n">
        <v>46298</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9862-2024</t>
        </is>
      </c>
      <c r="B170" t="inlineStr">
        <is>
          <t>avverkningsanmälan</t>
        </is>
      </c>
      <c r="C170" t="inlineStr">
        <is>
          <t>Föryngringsavverkning</t>
        </is>
      </c>
      <c r="D170" s="1" t="n">
        <v>45363</v>
      </c>
      <c r="E170" s="1" t="n">
        <v>46298</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46298</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46298</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46298</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46545-2024</t>
        </is>
      </c>
      <c r="B174" t="inlineStr">
        <is>
          <t>avverkningsanmälan</t>
        </is>
      </c>
      <c r="C174" t="inlineStr">
        <is>
          <t>Föryngringsavverkning</t>
        </is>
      </c>
      <c r="D174" s="1" t="n">
        <v>45582</v>
      </c>
      <c r="E174" s="1" t="n">
        <v>46298</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447-2023</t>
        </is>
      </c>
      <c r="B175" t="inlineStr">
        <is>
          <t>avverkningsanmälan</t>
        </is>
      </c>
      <c r="C175" t="inlineStr">
        <is>
          <t>Föryngringsavverkning</t>
        </is>
      </c>
      <c r="D175" s="1" t="n">
        <v>44929</v>
      </c>
      <c r="E175" s="1" t="n">
        <v>46298</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46298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46298</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30489-2025</t>
        </is>
      </c>
      <c r="B178" t="inlineStr">
        <is>
          <t>avverkningsanmälan</t>
        </is>
      </c>
      <c r="C178" t="inlineStr">
        <is>
          <t>Föryngringsavverkning</t>
        </is>
      </c>
      <c r="D178" s="1" t="n">
        <v>45830</v>
      </c>
      <c r="E178" s="1" t="n">
        <v>46298</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49304-2024</t>
        </is>
      </c>
      <c r="B179" t="inlineStr">
        <is>
          <t>avverkningsanmälan</t>
        </is>
      </c>
      <c r="C179" t="inlineStr">
        <is>
          <t>Föryngringsavverkning</t>
        </is>
      </c>
      <c r="D179" s="1" t="n">
        <v>45595</v>
      </c>
      <c r="E179" s="1" t="n">
        <v>46298</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29809-2022</t>
        </is>
      </c>
      <c r="B180" t="inlineStr">
        <is>
          <t>avverkningsanmälan</t>
        </is>
      </c>
      <c r="C180" t="inlineStr">
        <is>
          <t>Föryngringsavverkning</t>
        </is>
      </c>
      <c r="D180" s="1" t="n">
        <v>44755</v>
      </c>
      <c r="E180" s="1" t="n">
        <v>46298</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22782-2023</t>
        </is>
      </c>
      <c r="B181" t="inlineStr">
        <is>
          <t>avverkningsanmälan</t>
        </is>
      </c>
      <c r="C181" t="inlineStr">
        <is>
          <t>Föryngringsavverkning</t>
        </is>
      </c>
      <c r="D181" s="1" t="n">
        <v>45072</v>
      </c>
      <c r="E181" s="1" t="n">
        <v>46298</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46298</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46298</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46298</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46298</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5863-2026</t>
        </is>
      </c>
      <c r="B186" t="inlineStr">
        <is>
          <t>avverkningsanmälan</t>
        </is>
      </c>
      <c r="C186" t="inlineStr">
        <is>
          <t>Föryngringsavverkning</t>
        </is>
      </c>
      <c r="D186" s="1" t="n">
        <v>46052</v>
      </c>
      <c r="E186" s="1" t="n">
        <v>46298</v>
      </c>
      <c r="F186" t="inlineStr">
        <is>
          <t>GOTLANDS LÄN</t>
        </is>
      </c>
      <c r="G186" t="inlineStr">
        <is>
          <t>GOTLAND</t>
        </is>
      </c>
      <c r="I186" t="n">
        <v>1.8</v>
      </c>
      <c r="J186" t="n">
        <v>1</v>
      </c>
      <c r="K186" t="n">
        <v>0</v>
      </c>
      <c r="L186" t="n">
        <v>1</v>
      </c>
      <c r="M186" t="n">
        <v>0</v>
      </c>
      <c r="N186" t="n">
        <v>0</v>
      </c>
      <c r="O186" t="n">
        <v>0</v>
      </c>
      <c r="P186" t="n">
        <v>0</v>
      </c>
      <c r="Q186" t="n">
        <v>1</v>
      </c>
      <c r="R186" t="n">
        <v>0</v>
      </c>
      <c r="S186" t="n">
        <v>1</v>
      </c>
      <c r="T186" t="n">
        <v>33</v>
      </c>
      <c r="U186" t="n">
        <v>23</v>
      </c>
      <c r="V186" s="2" t="inlineStr">
        <is>
          <t>Dårgräsfjäril</t>
        </is>
      </c>
      <c r="W186">
        <f>HYPERLINK("https://klasma.github.io/Logging_0980/artfynd/A 5863-2026 artfynd.xlsx", "A 5863-2026")</f>
        <v/>
      </c>
      <c r="X186">
        <f>HYPERLINK("https://klasma.github.io/Logging_0980/kartor/A 5863-2026 karta.png", "A 5863-2026")</f>
        <v/>
      </c>
      <c r="Y186">
        <f>HYPERLINK("https://klasma.github.io/Logging_0980/kartor_geotiff/A 5863-2026 georefererad karta.tif", "A 5863-2026")</f>
        <v/>
      </c>
      <c r="AA186">
        <f>HYPERLINK("https://klasma.github.io/Logging_0980/klagomål/A 5863-2026 FSC-klagomål.docx", "A 5863-2026")</f>
        <v/>
      </c>
      <c r="AB186">
        <f>HYPERLINK("https://klasma.github.io/Logging_0980/klagomålsmail/A 5863-2026 FSC-klagomål mail.docx", "A 5863-2026")</f>
        <v/>
      </c>
      <c r="AC186">
        <f>HYPERLINK("https://klasma.github.io/Logging_0980/tillsyn/A 5863-2026 tillsynsbegäran.docx", "A 5863-2026")</f>
        <v/>
      </c>
      <c r="AD186">
        <f>HYPERLINK("https://klasma.github.io/Logging_0980/tillsynsmail/A 5863-2026 tillsynsbegäran mail.docx", "A 5863-2026")</f>
        <v/>
      </c>
    </row>
    <row r="187" ht="15" customHeight="1">
      <c r="A187" t="inlineStr">
        <is>
          <t>A 1677-2023</t>
        </is>
      </c>
      <c r="B187" t="inlineStr">
        <is>
          <t>avverkningsanmälan</t>
        </is>
      </c>
      <c r="C187" t="inlineStr">
        <is>
          <t>Föryngringsavverkning</t>
        </is>
      </c>
      <c r="D187" s="1" t="n">
        <v>44938</v>
      </c>
      <c r="E187" s="1" t="n">
        <v>46298</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46298</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46298</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18036-2026</t>
        </is>
      </c>
      <c r="B190" t="inlineStr">
        <is>
          <t>avverkningsanmälan</t>
        </is>
      </c>
      <c r="C190" t="inlineStr">
        <is>
          <t>Föryngringsavverkning</t>
        </is>
      </c>
      <c r="D190" s="1" t="n">
        <v>46125</v>
      </c>
      <c r="E190" s="1" t="n">
        <v>46298</v>
      </c>
      <c r="F190" t="inlineStr">
        <is>
          <t>GOTLANDS LÄN</t>
        </is>
      </c>
      <c r="G190" t="inlineStr">
        <is>
          <t>GOTLAND</t>
        </is>
      </c>
      <c r="I190" t="n">
        <v>1.8</v>
      </c>
      <c r="J190" t="n">
        <v>0</v>
      </c>
      <c r="K190" t="n">
        <v>0</v>
      </c>
      <c r="L190" t="n">
        <v>1</v>
      </c>
      <c r="M190" t="n">
        <v>0</v>
      </c>
      <c r="N190" t="n">
        <v>0</v>
      </c>
      <c r="O190" t="n">
        <v>0</v>
      </c>
      <c r="P190" t="n">
        <v>0</v>
      </c>
      <c r="Q190" t="n">
        <v>1</v>
      </c>
      <c r="R190" t="n">
        <v>0</v>
      </c>
      <c r="S190" t="n">
        <v>1</v>
      </c>
      <c r="T190" t="n">
        <v>1</v>
      </c>
      <c r="U190" t="n">
        <v>0</v>
      </c>
      <c r="V190" s="2" t="inlineStr">
        <is>
          <t>Sommarfibbla</t>
        </is>
      </c>
      <c r="W190">
        <f>HYPERLINK("https://klasma.github.io/Logging_0980/artfynd/A 18036-2026 artfynd.xlsx", "A 18036-2026")</f>
        <v/>
      </c>
      <c r="X190">
        <f>HYPERLINK("https://klasma.github.io/Logging_0980/kartor/A 18036-2026 karta.png", "A 18036-2026")</f>
        <v/>
      </c>
      <c r="Y190">
        <f>HYPERLINK("https://klasma.github.io/Logging_0980/kartor_geotiff/A 18036-2026 georefererad karta.tif", "A 18036-2026")</f>
        <v/>
      </c>
      <c r="AA190">
        <f>HYPERLINK("https://klasma.github.io/Logging_0980/klagomål/A 18036-2026 FSC-klagomål.docx", "A 18036-2026")</f>
        <v/>
      </c>
      <c r="AB190">
        <f>HYPERLINK("https://klasma.github.io/Logging_0980/klagomålsmail/A 18036-2026 FSC-klagomål mail.docx", "A 18036-2026")</f>
        <v/>
      </c>
      <c r="AC190">
        <f>HYPERLINK("https://klasma.github.io/Logging_0980/tillsyn/A 18036-2026 tillsynsbegäran.docx", "A 18036-2026")</f>
        <v/>
      </c>
      <c r="AD190">
        <f>HYPERLINK("https://klasma.github.io/Logging_0980/tillsynsmail/A 18036-2026 tillsynsbegäran mail.docx", "A 18036-2026")</f>
        <v/>
      </c>
    </row>
    <row r="191" ht="15" customHeight="1">
      <c r="A191" t="inlineStr">
        <is>
          <t>A 21396-2026</t>
        </is>
      </c>
      <c r="B191" t="inlineStr">
        <is>
          <t>avverkningsanmälan</t>
        </is>
      </c>
      <c r="C191" t="inlineStr">
        <is>
          <t>Föryngringsavverkning</t>
        </is>
      </c>
      <c r="D191" s="1" t="n">
        <v>46148</v>
      </c>
      <c r="E191" s="1" t="n">
        <v>46298</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61796-2022</t>
        </is>
      </c>
      <c r="B192" t="inlineStr">
        <is>
          <t>avverkningsanmälan</t>
        </is>
      </c>
      <c r="C192" t="inlineStr">
        <is>
          <t>Föryngringsavverkning</t>
        </is>
      </c>
      <c r="D192" s="1" t="n">
        <v>44917</v>
      </c>
      <c r="E192" s="1" t="n">
        <v>46298</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64700-2021</t>
        </is>
      </c>
      <c r="B193" t="inlineStr">
        <is>
          <t>avverkningsanmälan</t>
        </is>
      </c>
      <c r="C193" t="inlineStr">
        <is>
          <t>Avverkning för att bevara och utveckla /försöksver</t>
        </is>
      </c>
      <c r="D193" s="1" t="n">
        <v>44511</v>
      </c>
      <c r="E193" s="1" t="n">
        <v>46298</v>
      </c>
      <c r="F193" t="inlineStr">
        <is>
          <t>GOTLANDS LÄN</t>
        </is>
      </c>
      <c r="G193" t="inlineStr">
        <is>
          <t>GOTLAND</t>
        </is>
      </c>
      <c r="H193" t="inlineStr">
        <is>
          <t>Naturvårdsverket</t>
        </is>
      </c>
      <c r="I193" t="n">
        <v>2.4</v>
      </c>
      <c r="J193" t="n">
        <v>1</v>
      </c>
      <c r="K193" t="n">
        <v>0</v>
      </c>
      <c r="L193" t="n">
        <v>1</v>
      </c>
      <c r="M193" t="n">
        <v>0</v>
      </c>
      <c r="N193" t="n">
        <v>0</v>
      </c>
      <c r="O193" t="n">
        <v>0</v>
      </c>
      <c r="P193" t="n">
        <v>0</v>
      </c>
      <c r="Q193" t="n">
        <v>1</v>
      </c>
      <c r="R193" t="n">
        <v>0</v>
      </c>
      <c r="S193" t="n">
        <v>1</v>
      </c>
      <c r="T193" t="n">
        <v>3</v>
      </c>
      <c r="U193" t="n">
        <v>1</v>
      </c>
      <c r="V193" s="2" t="inlineStr">
        <is>
          <t>Kalkdån</t>
        </is>
      </c>
      <c r="W193">
        <f>HYPERLINK("https://klasma.github.io/Logging_0980/artfynd/A 64700-2021 artfynd.xlsx", "A 64700-2021")</f>
        <v/>
      </c>
      <c r="X193">
        <f>HYPERLINK("https://klasma.github.io/Logging_0980/kartor/A 64700-2021 karta.png", "A 64700-2021")</f>
        <v/>
      </c>
      <c r="Y193">
        <f>HYPERLINK("https://klasma.github.io/Logging_0980/kartor_geotiff/A 64700-2021 georefererad karta.tif", "A 64700-2021")</f>
        <v/>
      </c>
      <c r="AA193">
        <f>HYPERLINK("https://klasma.github.io/Logging_0980/klagomål/A 64700-2021 FSC-klagomål.docx", "A 64700-2021")</f>
        <v/>
      </c>
      <c r="AB193">
        <f>HYPERLINK("https://klasma.github.io/Logging_0980/klagomålsmail/A 64700-2021 FSC-klagomål mail.docx", "A 64700-2021")</f>
        <v/>
      </c>
      <c r="AC193">
        <f>HYPERLINK("https://klasma.github.io/Logging_0980/tillsyn/A 64700-2021 tillsynsbegäran.docx", "A 64700-2021")</f>
        <v/>
      </c>
      <c r="AD193">
        <f>HYPERLINK("https://klasma.github.io/Logging_0980/tillsynsmail/A 64700-2021 tillsynsbegäran mail.docx", "A 64700-2021")</f>
        <v/>
      </c>
    </row>
    <row r="194" ht="15" customHeight="1">
      <c r="A194" t="inlineStr">
        <is>
          <t>A 10218-2025</t>
        </is>
      </c>
      <c r="B194" t="inlineStr">
        <is>
          <t>avverkningsanmälan</t>
        </is>
      </c>
      <c r="C194" t="inlineStr">
        <is>
          <t>Föryngringsavverkning</t>
        </is>
      </c>
      <c r="D194" s="1" t="n">
        <v>45720</v>
      </c>
      <c r="E194" s="1" t="n">
        <v>46298</v>
      </c>
      <c r="F194" t="inlineStr">
        <is>
          <t>GOTLANDS LÄN</t>
        </is>
      </c>
      <c r="G194" t="inlineStr">
        <is>
          <t>GOTLAND</t>
        </is>
      </c>
      <c r="I194" t="n">
        <v>8.1</v>
      </c>
      <c r="J194" t="n">
        <v>0</v>
      </c>
      <c r="K194" t="n">
        <v>1</v>
      </c>
      <c r="L194" t="n">
        <v>0</v>
      </c>
      <c r="M194" t="n">
        <v>0</v>
      </c>
      <c r="N194" t="n">
        <v>0</v>
      </c>
      <c r="O194" t="n">
        <v>0</v>
      </c>
      <c r="P194" t="n">
        <v>0</v>
      </c>
      <c r="Q194" t="n">
        <v>0</v>
      </c>
      <c r="R194" t="n">
        <v>0</v>
      </c>
      <c r="S194" t="n">
        <v>1</v>
      </c>
      <c r="T194" t="n">
        <v>1</v>
      </c>
      <c r="U194" t="n">
        <v>1</v>
      </c>
      <c r="V194" s="2" t="inlineStr">
        <is>
          <t>Kalktallört</t>
        </is>
      </c>
      <c r="W194">
        <f>HYPERLINK("https://klasma.github.io/Logging_0980/artfynd/A 10218-2025 artfynd.xlsx", "A 10218-2025")</f>
        <v/>
      </c>
      <c r="X194">
        <f>HYPERLINK("https://klasma.github.io/Logging_0980/kartor/A 10218-2025 karta.png", "A 10218-2025")</f>
        <v/>
      </c>
      <c r="Y194">
        <f>HYPERLINK("https://klasma.github.io/Logging_0980/kartor_geotiff/A 10218-2025 georefererad karta.tif", "A 10218-2025")</f>
        <v/>
      </c>
      <c r="AA194">
        <f>HYPERLINK("https://klasma.github.io/Logging_0980/klagomål/A 10218-2025 FSC-klagomål.docx", "A 10218-2025")</f>
        <v/>
      </c>
      <c r="AB194">
        <f>HYPERLINK("https://klasma.github.io/Logging_0980/klagomålsmail/A 10218-2025 FSC-klagomål mail.docx", "A 10218-2025")</f>
        <v/>
      </c>
      <c r="AC194">
        <f>HYPERLINK("https://klasma.github.io/Logging_0980/tillsyn/A 10218-2025 tillsynsbegäran.docx", "A 10218-2025")</f>
        <v/>
      </c>
      <c r="AD194">
        <f>HYPERLINK("https://klasma.github.io/Logging_0980/tillsynsmail/A 10218-2025 tillsynsbegäran mail.docx", "A 10218-2025")</f>
        <v/>
      </c>
    </row>
    <row r="195" ht="15" customHeight="1">
      <c r="A195" t="inlineStr">
        <is>
          <t>A 27343-2026</t>
        </is>
      </c>
      <c r="B195" t="inlineStr">
        <is>
          <t>avverkningsanmälan</t>
        </is>
      </c>
      <c r="C195" t="inlineStr">
        <is>
          <t>Föryngringsavverkning</t>
        </is>
      </c>
      <c r="D195" s="1" t="n">
        <v>46188</v>
      </c>
      <c r="E195" s="1" t="n">
        <v>46298</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12379-2024</t>
        </is>
      </c>
      <c r="B196" t="inlineStr">
        <is>
          <t>avverkningsanmälan</t>
        </is>
      </c>
      <c r="C196" t="inlineStr">
        <is>
          <t>Föryngringsavverkning</t>
        </is>
      </c>
      <c r="D196" s="1" t="n">
        <v>45379</v>
      </c>
      <c r="E196" s="1" t="n">
        <v>46298</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46298</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46298</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49847-2023</t>
        </is>
      </c>
      <c r="B199" t="inlineStr">
        <is>
          <t>avverkningsanmälan</t>
        </is>
      </c>
      <c r="C199" t="inlineStr">
        <is>
          <t>Föryngringsavverkning</t>
        </is>
      </c>
      <c r="D199" s="1" t="n">
        <v>45212</v>
      </c>
      <c r="E199" s="1" t="n">
        <v>46298</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46298</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10995-2023</t>
        </is>
      </c>
      <c r="B201" t="inlineStr">
        <is>
          <t>avverkningsanmälan</t>
        </is>
      </c>
      <c r="C201" t="inlineStr">
        <is>
          <t>Föryngringsavverkning</t>
        </is>
      </c>
      <c r="D201" s="1" t="n">
        <v>44986</v>
      </c>
      <c r="E201" s="1" t="n">
        <v>46298</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S 2744-2023</t>
        </is>
      </c>
      <c r="B202" t="inlineStr">
        <is>
          <t>samrådsanmälan</t>
        </is>
      </c>
      <c r="C202" t="inlineStr">
        <is>
          <t>Annan skogsbruksåtgärd</t>
        </is>
      </c>
      <c r="D202" s="1" t="n">
        <v>45159</v>
      </c>
      <c r="E202" s="1" t="n">
        <v>46298</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46298</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46298</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46298</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46298</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46298</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46298</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46298</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46298</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46298</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46298</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46298</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46298</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46298</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46298</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46298</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46298</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46298</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46298</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46298</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46298</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17901-2023</t>
        </is>
      </c>
      <c r="B223" t="inlineStr">
        <is>
          <t>avverkningsanmälan</t>
        </is>
      </c>
      <c r="C223" t="inlineStr">
        <is>
          <t>Föryngringsavverkning</t>
        </is>
      </c>
      <c r="D223" s="1" t="n">
        <v>45039</v>
      </c>
      <c r="E223" s="1" t="n">
        <v>46298</v>
      </c>
      <c r="F223" t="inlineStr">
        <is>
          <t>GOTLANDS LÄN</t>
        </is>
      </c>
      <c r="G223" t="inlineStr">
        <is>
          <t>GOTLAND</t>
        </is>
      </c>
      <c r="H223" t="inlineStr">
        <is>
          <t>Kyrkan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456-2023</t>
        </is>
      </c>
      <c r="B224" t="inlineStr">
        <is>
          <t>avverkningsanmälan</t>
        </is>
      </c>
      <c r="C224" t="inlineStr">
        <is>
          <t>Föryngringsavverkning</t>
        </is>
      </c>
      <c r="D224" s="1" t="n">
        <v>44929</v>
      </c>
      <c r="E224" s="1" t="n">
        <v>46298</v>
      </c>
      <c r="F224" t="inlineStr">
        <is>
          <t>GOTLANDS LÄN</t>
        </is>
      </c>
      <c r="G224" t="inlineStr">
        <is>
          <t>GOTLAND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61596-2023</t>
        </is>
      </c>
      <c r="B225" t="inlineStr">
        <is>
          <t>avverkningsanmälan</t>
        </is>
      </c>
      <c r="C225" t="inlineStr">
        <is>
          <t>Föryngringsavverkning</t>
        </is>
      </c>
      <c r="D225" s="1" t="n">
        <v>45265</v>
      </c>
      <c r="E225" s="1" t="n">
        <v>46298</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873-2024</t>
        </is>
      </c>
      <c r="B226" t="inlineStr">
        <is>
          <t>avverkningsanmälan</t>
        </is>
      </c>
      <c r="C226" t="inlineStr">
        <is>
          <t>Avverkning för annat ändamål</t>
        </is>
      </c>
      <c r="D226" s="1" t="n">
        <v>45301</v>
      </c>
      <c r="E226" s="1" t="n">
        <v>46298</v>
      </c>
      <c r="F226" t="inlineStr">
        <is>
          <t>GOTLANDS LÄN</t>
        </is>
      </c>
      <c r="G226" t="inlineStr">
        <is>
          <t>GOTLAND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44228-2022</t>
        </is>
      </c>
      <c r="B227" t="inlineStr">
        <is>
          <t>avverkningsanmälan</t>
        </is>
      </c>
      <c r="C227" t="inlineStr">
        <is>
          <t>Föryngringsavverkning</t>
        </is>
      </c>
      <c r="D227" s="1" t="n">
        <v>44839</v>
      </c>
      <c r="E227" s="1" t="n">
        <v>46298</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25129-2023</t>
        </is>
      </c>
      <c r="B228" t="inlineStr">
        <is>
          <t>avverkningsanmälan</t>
        </is>
      </c>
      <c r="C228" t="inlineStr">
        <is>
          <t>Föryngringsavverkning</t>
        </is>
      </c>
      <c r="D228" s="1" t="n">
        <v>45086</v>
      </c>
      <c r="E228" s="1" t="n">
        <v>46298</v>
      </c>
      <c r="F228" t="inlineStr">
        <is>
          <t>GOTLANDS LÄN</t>
        </is>
      </c>
      <c r="G228" t="inlineStr">
        <is>
          <t>GOTLAND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3964-2024</t>
        </is>
      </c>
      <c r="B229" t="inlineStr">
        <is>
          <t>avverkningsanmälan</t>
        </is>
      </c>
      <c r="C229" t="inlineStr">
        <is>
          <t>Föryngringsavverkning</t>
        </is>
      </c>
      <c r="D229" s="1" t="n">
        <v>45322</v>
      </c>
      <c r="E229" s="1" t="n">
        <v>46298</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46298</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21420-2024</t>
        </is>
      </c>
      <c r="B231" t="inlineStr">
        <is>
          <t>avverkningsanmälan</t>
        </is>
      </c>
      <c r="C231" t="inlineStr">
        <is>
          <t>Föryngringsavverkning</t>
        </is>
      </c>
      <c r="D231" s="1" t="n">
        <v>45441</v>
      </c>
      <c r="E231" s="1" t="n">
        <v>46298</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10656-2024</t>
        </is>
      </c>
      <c r="B232" t="inlineStr">
        <is>
          <t>avverkningsanmälan</t>
        </is>
      </c>
      <c r="C232" t="inlineStr">
        <is>
          <t>Föryngringsavverkning</t>
        </is>
      </c>
      <c r="D232" s="1" t="n">
        <v>45368</v>
      </c>
      <c r="E232" s="1" t="n">
        <v>46298</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57356-2023</t>
        </is>
      </c>
      <c r="B233" t="inlineStr">
        <is>
          <t>avverkningsanmälan</t>
        </is>
      </c>
      <c r="C233" t="inlineStr">
        <is>
          <t>Föryngringsavverkning</t>
        </is>
      </c>
      <c r="D233" s="1" t="n">
        <v>45240</v>
      </c>
      <c r="E233" s="1" t="n">
        <v>46298</v>
      </c>
      <c r="F233" t="inlineStr">
        <is>
          <t>GOTLANDS LÄN</t>
        </is>
      </c>
      <c r="G233" t="inlineStr">
        <is>
          <t>GOTLAND</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28506-2023</t>
        </is>
      </c>
      <c r="B234" t="inlineStr">
        <is>
          <t>avverkningsanmälan</t>
        </is>
      </c>
      <c r="C234" t="inlineStr">
        <is>
          <t>Avverkning för annat ändamål</t>
        </is>
      </c>
      <c r="D234" s="1" t="n">
        <v>45103</v>
      </c>
      <c r="E234" s="1" t="n">
        <v>46298</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46298</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1351-2025</t>
        </is>
      </c>
      <c r="B236" t="inlineStr">
        <is>
          <t>avverkningsanmälan</t>
        </is>
      </c>
      <c r="C236" t="inlineStr">
        <is>
          <t>Föryngringsavverkning</t>
        </is>
      </c>
      <c r="D236" s="1" t="n">
        <v>45667</v>
      </c>
      <c r="E236" s="1" t="n">
        <v>46298</v>
      </c>
      <c r="F236" t="inlineStr">
        <is>
          <t>GOTLANDS LÄN</t>
        </is>
      </c>
      <c r="G236" t="inlineStr">
        <is>
          <t>GOTLAND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46298</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46298</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46298</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51782-2023</t>
        </is>
      </c>
      <c r="B240" t="inlineStr">
        <is>
          <t>avverkningsanmälan</t>
        </is>
      </c>
      <c r="C240" t="inlineStr">
        <is>
          <t>Föryngringsavverkning</t>
        </is>
      </c>
      <c r="D240" s="1" t="n">
        <v>45222</v>
      </c>
      <c r="E240" s="1" t="n">
        <v>46298</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63002-2025</t>
        </is>
      </c>
      <c r="B241" t="inlineStr">
        <is>
          <t>avverkningsanmälan</t>
        </is>
      </c>
      <c r="C241" t="inlineStr">
        <is>
          <t>Föryngringsavverkning</t>
        </is>
      </c>
      <c r="D241" s="1" t="n">
        <v>46009</v>
      </c>
      <c r="E241" s="1" t="n">
        <v>46298</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46298</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5217-2023</t>
        </is>
      </c>
      <c r="B243" t="inlineStr">
        <is>
          <t>avverkningsanmälan</t>
        </is>
      </c>
      <c r="C243" t="inlineStr">
        <is>
          <t>Föryngringsavverkning</t>
        </is>
      </c>
      <c r="D243" s="1" t="n">
        <v>44959</v>
      </c>
      <c r="E243" s="1" t="n">
        <v>46298</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35141-2025</t>
        </is>
      </c>
      <c r="B244" t="inlineStr">
        <is>
          <t>avverkningsanmälan</t>
        </is>
      </c>
      <c r="C244" t="inlineStr">
        <is>
          <t>Föryngringsavverkning</t>
        </is>
      </c>
      <c r="D244" s="1" t="n">
        <v>45852</v>
      </c>
      <c r="E244" s="1" t="n">
        <v>46298</v>
      </c>
      <c r="F244" t="inlineStr">
        <is>
          <t>GOTLANDS LÄN</t>
        </is>
      </c>
      <c r="G244" t="inlineStr">
        <is>
          <t>GOTLAND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46298</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46298</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61078-2025</t>
        </is>
      </c>
      <c r="B247" t="inlineStr">
        <is>
          <t>avverkningsanmälan</t>
        </is>
      </c>
      <c r="C247" t="inlineStr">
        <is>
          <t>Föryngringsavverkning</t>
        </is>
      </c>
      <c r="D247" s="1" t="n">
        <v>46000</v>
      </c>
      <c r="E247" s="1" t="n">
        <v>46298</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36-2026</t>
        </is>
      </c>
      <c r="B248" t="inlineStr">
        <is>
          <t>avverkningsanmälan</t>
        </is>
      </c>
      <c r="C248" t="inlineStr">
        <is>
          <t>Föryngringsavverkning</t>
        </is>
      </c>
      <c r="D248" s="1" t="n">
        <v>46024</v>
      </c>
      <c r="E248" s="1" t="n">
        <v>46298</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46298</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40373-2025</t>
        </is>
      </c>
      <c r="B250" t="inlineStr">
        <is>
          <t>avverkningsanmälan</t>
        </is>
      </c>
      <c r="C250" t="inlineStr">
        <is>
          <t>Föryngringsavverkning</t>
        </is>
      </c>
      <c r="D250" s="1" t="n">
        <v>45895</v>
      </c>
      <c r="E250" s="1" t="n">
        <v>46298</v>
      </c>
      <c r="F250" t="inlineStr">
        <is>
          <t>GOTLANDS LÄN</t>
        </is>
      </c>
      <c r="G250" t="inlineStr">
        <is>
          <t>GOTLAND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46298</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46298</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46298</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46298</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46298</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46298</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2415-2026</t>
        </is>
      </c>
      <c r="B257" t="inlineStr">
        <is>
          <t>avverkningsanmälan</t>
        </is>
      </c>
      <c r="C257" t="inlineStr">
        <is>
          <t>Föryngringsavverkning</t>
        </is>
      </c>
      <c r="D257" s="1" t="n">
        <v>46036</v>
      </c>
      <c r="E257" s="1" t="n">
        <v>46298</v>
      </c>
      <c r="F257" t="inlineStr">
        <is>
          <t>GOTLANDS LÄN</t>
        </is>
      </c>
      <c r="G257" t="inlineStr">
        <is>
          <t>GOTLAND</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46298</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46298</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46298</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15073-2025</t>
        </is>
      </c>
      <c r="B261" t="inlineStr">
        <is>
          <t>avverkningsanmälan</t>
        </is>
      </c>
      <c r="C261" t="inlineStr">
        <is>
          <t>Avverkning för annat ändamål</t>
        </is>
      </c>
      <c r="D261" s="1" t="n">
        <v>45743</v>
      </c>
      <c r="E261" s="1" t="n">
        <v>46298</v>
      </c>
      <c r="F261" t="inlineStr">
        <is>
          <t>GOTLANDS LÄN</t>
        </is>
      </c>
      <c r="G261" t="inlineStr">
        <is>
          <t>GOTLAND</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6749-2025</t>
        </is>
      </c>
      <c r="B262" t="inlineStr">
        <is>
          <t>avverkningsanmälan</t>
        </is>
      </c>
      <c r="C262" t="inlineStr">
        <is>
          <t>Föryngringsavverkning</t>
        </is>
      </c>
      <c r="D262" s="1" t="n">
        <v>45700</v>
      </c>
      <c r="E262" s="1" t="n">
        <v>46298</v>
      </c>
      <c r="F262" t="inlineStr">
        <is>
          <t>GOTLANDS LÄN</t>
        </is>
      </c>
      <c r="G262" t="inlineStr">
        <is>
          <t>GOTLAND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46298</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4646-2026</t>
        </is>
      </c>
      <c r="B264" t="inlineStr">
        <is>
          <t>avverkningsanmälan</t>
        </is>
      </c>
      <c r="C264" t="inlineStr">
        <is>
          <t>Föryngringsavverkning</t>
        </is>
      </c>
      <c r="D264" s="1" t="n">
        <v>46048</v>
      </c>
      <c r="E264" s="1" t="n">
        <v>46298</v>
      </c>
      <c r="F264" t="inlineStr">
        <is>
          <t>GOTLANDS LÄN</t>
        </is>
      </c>
      <c r="G264" t="inlineStr">
        <is>
          <t>GOTLAND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4634-2026</t>
        </is>
      </c>
      <c r="B265" t="inlineStr">
        <is>
          <t>avverkningsanmälan</t>
        </is>
      </c>
      <c r="C265" t="inlineStr">
        <is>
          <t>Föryngringsavverkning</t>
        </is>
      </c>
      <c r="D265" s="1" t="n">
        <v>46048</v>
      </c>
      <c r="E265" s="1" t="n">
        <v>46298</v>
      </c>
      <c r="F265" t="inlineStr">
        <is>
          <t>GOTLANDS LÄN</t>
        </is>
      </c>
      <c r="G265" t="inlineStr">
        <is>
          <t>GOTLAND</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46298</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4670-2026</t>
        </is>
      </c>
      <c r="B267" t="inlineStr">
        <is>
          <t>avverkningsanmälan</t>
        </is>
      </c>
      <c r="C267" t="inlineStr">
        <is>
          <t>Föryngringsavverkning</t>
        </is>
      </c>
      <c r="D267" s="1" t="n">
        <v>46048</v>
      </c>
      <c r="E267" s="1" t="n">
        <v>46298</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46298</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48503-2023</t>
        </is>
      </c>
      <c r="B269" t="inlineStr">
        <is>
          <t>avverkningsanmälan</t>
        </is>
      </c>
      <c r="C269" t="inlineStr">
        <is>
          <t>Föryngringsavverkning</t>
        </is>
      </c>
      <c r="D269" s="1" t="n">
        <v>45207</v>
      </c>
      <c r="E269" s="1" t="n">
        <v>46298</v>
      </c>
      <c r="F269" t="inlineStr">
        <is>
          <t>GOTLANDS LÄN</t>
        </is>
      </c>
      <c r="G269" t="inlineStr">
        <is>
          <t>GOTLAND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46298</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26391-2025</t>
        </is>
      </c>
      <c r="B271" t="inlineStr">
        <is>
          <t>avverkningsanmälan</t>
        </is>
      </c>
      <c r="C271" t="inlineStr">
        <is>
          <t>Avverkning för annat ändamål</t>
        </is>
      </c>
      <c r="D271" s="1" t="n">
        <v>45806</v>
      </c>
      <c r="E271" s="1" t="n">
        <v>46298</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46836-2025</t>
        </is>
      </c>
      <c r="B272" t="inlineStr">
        <is>
          <t>avverkningsanmälan</t>
        </is>
      </c>
      <c r="C272" t="inlineStr">
        <is>
          <t>Föryngringsavverkning</t>
        </is>
      </c>
      <c r="D272" s="1" t="n">
        <v>45928</v>
      </c>
      <c r="E272" s="1" t="n">
        <v>46298</v>
      </c>
      <c r="F272" t="inlineStr">
        <is>
          <t>GOTLANDS LÄN</t>
        </is>
      </c>
      <c r="G272" t="inlineStr">
        <is>
          <t>GOTLAND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46298</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46298</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47637-2025</t>
        </is>
      </c>
      <c r="B275" t="inlineStr">
        <is>
          <t>avverkningsanmälan</t>
        </is>
      </c>
      <c r="C275" t="inlineStr">
        <is>
          <t>Föryngringsavverkning</t>
        </is>
      </c>
      <c r="D275" s="1" t="n">
        <v>45931</v>
      </c>
      <c r="E275" s="1" t="n">
        <v>46298</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46298</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46298</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27694-2024</t>
        </is>
      </c>
      <c r="B278" t="inlineStr">
        <is>
          <t>avverkningsanmälan</t>
        </is>
      </c>
      <c r="C278" t="inlineStr">
        <is>
          <t>Föryngringsavverkning</t>
        </is>
      </c>
      <c r="D278" s="1" t="n">
        <v>45475</v>
      </c>
      <c r="E278" s="1" t="n">
        <v>46298</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46298</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6099-2024</t>
        </is>
      </c>
      <c r="B280" t="inlineStr">
        <is>
          <t>avverkningsanmälan</t>
        </is>
      </c>
      <c r="C280" t="inlineStr">
        <is>
          <t>Föryngringsavverkning</t>
        </is>
      </c>
      <c r="D280" s="1" t="n">
        <v>45337</v>
      </c>
      <c r="E280" s="1" t="n">
        <v>46298</v>
      </c>
      <c r="F280" t="inlineStr">
        <is>
          <t>GOTLANDS LÄN</t>
        </is>
      </c>
      <c r="G280" t="inlineStr">
        <is>
          <t>GOTLAND</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8260-2023</t>
        </is>
      </c>
      <c r="B281" t="inlineStr">
        <is>
          <t>avverkningsanmälan</t>
        </is>
      </c>
      <c r="C281" t="inlineStr">
        <is>
          <t>Föryngringsavverkning</t>
        </is>
      </c>
      <c r="D281" s="1" t="n">
        <v>44974</v>
      </c>
      <c r="E281" s="1" t="n">
        <v>46298</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35550-2025</t>
        </is>
      </c>
      <c r="B282" t="inlineStr">
        <is>
          <t>avverkningsanmälan</t>
        </is>
      </c>
      <c r="C282" t="inlineStr">
        <is>
          <t>Föryngringsavverkning</t>
        </is>
      </c>
      <c r="D282" s="1" t="n">
        <v>45856</v>
      </c>
      <c r="E282" s="1" t="n">
        <v>46298</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47578-2025</t>
        </is>
      </c>
      <c r="B283" t="inlineStr">
        <is>
          <t>avverkningsanmälan</t>
        </is>
      </c>
      <c r="C283" t="inlineStr">
        <is>
          <t>Avverkning för annat ändamål</t>
        </is>
      </c>
      <c r="D283" s="1" t="n">
        <v>45931</v>
      </c>
      <c r="E283" s="1" t="n">
        <v>46298</v>
      </c>
      <c r="F283" t="inlineStr">
        <is>
          <t>GOTLANDS LÄN</t>
        </is>
      </c>
      <c r="G283" t="inlineStr">
        <is>
          <t>GOTLAND</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46298</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49690-2025</t>
        </is>
      </c>
      <c r="B285" t="inlineStr">
        <is>
          <t>avverkningsanmälan</t>
        </is>
      </c>
      <c r="C285" t="inlineStr">
        <is>
          <t>Föryngringsavverkning</t>
        </is>
      </c>
      <c r="D285" s="1" t="n">
        <v>45939</v>
      </c>
      <c r="E285" s="1" t="n">
        <v>46298</v>
      </c>
      <c r="F285" t="inlineStr">
        <is>
          <t>GOTLANDS LÄN</t>
        </is>
      </c>
      <c r="G285" t="inlineStr">
        <is>
          <t>GOTLAND</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9521-2026</t>
        </is>
      </c>
      <c r="B286" t="inlineStr">
        <is>
          <t>avverkningsanmälan</t>
        </is>
      </c>
      <c r="C286" t="inlineStr">
        <is>
          <t>Föryngringsavverkning</t>
        </is>
      </c>
      <c r="D286" s="1" t="n">
        <v>46071</v>
      </c>
      <c r="E286" s="1" t="n">
        <v>46298</v>
      </c>
      <c r="F286" t="inlineStr">
        <is>
          <t>GOTLANDS LÄN</t>
        </is>
      </c>
      <c r="G286" t="inlineStr">
        <is>
          <t>GOTLAND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9524-2026</t>
        </is>
      </c>
      <c r="B287" t="inlineStr">
        <is>
          <t>avverkningsanmälan</t>
        </is>
      </c>
      <c r="C287" t="inlineStr">
        <is>
          <t>Föryngringsavverkning</t>
        </is>
      </c>
      <c r="D287" s="1" t="n">
        <v>46071</v>
      </c>
      <c r="E287" s="1" t="n">
        <v>46298</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46298</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46298</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11424-2026</t>
        </is>
      </c>
      <c r="B290" t="inlineStr">
        <is>
          <t>avverkningsanmälan</t>
        </is>
      </c>
      <c r="C290" t="inlineStr">
        <is>
          <t>Föryngringsavverkning</t>
        </is>
      </c>
      <c r="D290" s="1" t="n">
        <v>46083</v>
      </c>
      <c r="E290" s="1" t="n">
        <v>46298</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3067-2026</t>
        </is>
      </c>
      <c r="B291" t="inlineStr">
        <is>
          <t>avverkningsanmälan</t>
        </is>
      </c>
      <c r="C291" t="inlineStr">
        <is>
          <t>Föryngringsavverkning</t>
        </is>
      </c>
      <c r="D291" s="1" t="n">
        <v>46040</v>
      </c>
      <c r="E291" s="1" t="n">
        <v>46298</v>
      </c>
      <c r="F291" t="inlineStr">
        <is>
          <t>GOTLANDS LÄN</t>
        </is>
      </c>
      <c r="G291" t="inlineStr">
        <is>
          <t>GOTLAND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46298</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46298</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46298</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46298</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46298</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42201-2023</t>
        </is>
      </c>
      <c r="B297" t="inlineStr">
        <is>
          <t>avverkningsanmälan</t>
        </is>
      </c>
      <c r="C297" t="inlineStr">
        <is>
          <t>Föryngringsavverkning</t>
        </is>
      </c>
      <c r="D297" s="1" t="n">
        <v>45179</v>
      </c>
      <c r="E297" s="1" t="n">
        <v>46298</v>
      </c>
      <c r="F297" t="inlineStr">
        <is>
          <t>GOTLANDS LÄN</t>
        </is>
      </c>
      <c r="G297" t="inlineStr">
        <is>
          <t>GOTLAND</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46298</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8045-2022</t>
        </is>
      </c>
      <c r="B299" t="inlineStr">
        <is>
          <t>avverkningsanmälan</t>
        </is>
      </c>
      <c r="C299" t="inlineStr">
        <is>
          <t>Föryngringsavverkning</t>
        </is>
      </c>
      <c r="D299" s="1" t="n">
        <v>44609</v>
      </c>
      <c r="E299" s="1" t="n">
        <v>46298</v>
      </c>
      <c r="F299" t="inlineStr">
        <is>
          <t>GOTLANDS LÄN</t>
        </is>
      </c>
      <c r="G299" t="inlineStr">
        <is>
          <t>GOTLAND</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63000-2025</t>
        </is>
      </c>
      <c r="B300" t="inlineStr">
        <is>
          <t>avverkningsanmälan</t>
        </is>
      </c>
      <c r="C300" t="inlineStr">
        <is>
          <t>Föryngringsavverkning</t>
        </is>
      </c>
      <c r="D300" s="1" t="n">
        <v>46009</v>
      </c>
      <c r="E300" s="1" t="n">
        <v>46298</v>
      </c>
      <c r="F300" t="inlineStr">
        <is>
          <t>GOTLANDS LÄN</t>
        </is>
      </c>
      <c r="G300" t="inlineStr">
        <is>
          <t>GOTLAND</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7850-2025</t>
        </is>
      </c>
      <c r="B301" t="inlineStr">
        <is>
          <t>avverkningsanmälan</t>
        </is>
      </c>
      <c r="C301" t="inlineStr">
        <is>
          <t>Föryngringsavverkning</t>
        </is>
      </c>
      <c r="D301" s="1" t="n">
        <v>45706</v>
      </c>
      <c r="E301" s="1" t="n">
        <v>46298</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46298</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46298</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46298</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47762-2023</t>
        </is>
      </c>
      <c r="B305" t="inlineStr">
        <is>
          <t>avverkningsanmälan</t>
        </is>
      </c>
      <c r="C305" t="inlineStr">
        <is>
          <t>Föryngringsavverkning</t>
        </is>
      </c>
      <c r="D305" s="1" t="n">
        <v>45203</v>
      </c>
      <c r="E305" s="1" t="n">
        <v>46298</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58780-2024</t>
        </is>
      </c>
      <c r="B306" t="inlineStr">
        <is>
          <t>avverkningsanmälan</t>
        </is>
      </c>
      <c r="C306" t="inlineStr">
        <is>
          <t>Föryngringsavverkning</t>
        </is>
      </c>
      <c r="D306" s="1" t="n">
        <v>45635</v>
      </c>
      <c r="E306" s="1" t="n">
        <v>46298</v>
      </c>
      <c r="F306" t="inlineStr">
        <is>
          <t>GOTLANDS LÄN</t>
        </is>
      </c>
      <c r="G306" t="inlineStr">
        <is>
          <t>GOTLAND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12322-2025</t>
        </is>
      </c>
      <c r="B307" t="inlineStr">
        <is>
          <t>avverkningsanmälan</t>
        </is>
      </c>
      <c r="C307" t="inlineStr">
        <is>
          <t>Föryngringsavverkning</t>
        </is>
      </c>
      <c r="D307" s="1" t="n">
        <v>45730</v>
      </c>
      <c r="E307" s="1" t="n">
        <v>46298</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46298</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30282-2022</t>
        </is>
      </c>
      <c r="B309" t="inlineStr">
        <is>
          <t>avverkningsanmälan</t>
        </is>
      </c>
      <c r="C309" t="inlineStr">
        <is>
          <t>Föryngringsavverkning</t>
        </is>
      </c>
      <c r="D309" s="1" t="n">
        <v>44760</v>
      </c>
      <c r="E309" s="1" t="n">
        <v>46298</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46298</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10650-2022</t>
        </is>
      </c>
      <c r="B311" t="inlineStr">
        <is>
          <t>avverkningsanmälan</t>
        </is>
      </c>
      <c r="C311" t="inlineStr">
        <is>
          <t>Föryngringsavverkning</t>
        </is>
      </c>
      <c r="D311" s="1" t="n">
        <v>44624</v>
      </c>
      <c r="E311" s="1" t="n">
        <v>46298</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56799-2025</t>
        </is>
      </c>
      <c r="B312" t="inlineStr">
        <is>
          <t>avverkningsanmälan</t>
        </is>
      </c>
      <c r="C312" t="inlineStr">
        <is>
          <t>Föryngringsavverkning</t>
        </is>
      </c>
      <c r="D312" s="1" t="n">
        <v>45978</v>
      </c>
      <c r="E312" s="1" t="n">
        <v>46298</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8444-2025</t>
        </is>
      </c>
      <c r="B313" t="inlineStr">
        <is>
          <t>avverkningsanmälan</t>
        </is>
      </c>
      <c r="C313" t="inlineStr">
        <is>
          <t>Föryngringsavverkning</t>
        </is>
      </c>
      <c r="D313" s="1" t="n">
        <v>45709</v>
      </c>
      <c r="E313" s="1" t="n">
        <v>46298</v>
      </c>
      <c r="F313" t="inlineStr">
        <is>
          <t>GOTLANDS LÄN</t>
        </is>
      </c>
      <c r="G313" t="inlineStr">
        <is>
          <t>GOTLAND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28425-2023</t>
        </is>
      </c>
      <c r="B314" t="inlineStr">
        <is>
          <t>avverkningsanmälan</t>
        </is>
      </c>
      <c r="C314" t="inlineStr">
        <is>
          <t>Föryngringsavverkning</t>
        </is>
      </c>
      <c r="D314" s="1" t="n">
        <v>45102</v>
      </c>
      <c r="E314" s="1" t="n">
        <v>46298</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13037-2025</t>
        </is>
      </c>
      <c r="B315" t="inlineStr">
        <is>
          <t>avverkningsanmälan</t>
        </is>
      </c>
      <c r="C315" t="inlineStr">
        <is>
          <t>Avverkning för att bevara och utveckla /försöksver</t>
        </is>
      </c>
      <c r="D315" s="1" t="n">
        <v>45734</v>
      </c>
      <c r="E315" s="1" t="n">
        <v>46298</v>
      </c>
      <c r="F315" t="inlineStr">
        <is>
          <t>GOTLANDS LÄN</t>
        </is>
      </c>
      <c r="G315" t="inlineStr">
        <is>
          <t>GOTLAND</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29196-2025</t>
        </is>
      </c>
      <c r="B316" t="inlineStr">
        <is>
          <t>avverkningsanmälan</t>
        </is>
      </c>
      <c r="C316" t="inlineStr">
        <is>
          <t>Föryngringsavverkning</t>
        </is>
      </c>
      <c r="D316" s="1" t="n">
        <v>45822</v>
      </c>
      <c r="E316" s="1" t="n">
        <v>46298</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36319-2025</t>
        </is>
      </c>
      <c r="B317" t="inlineStr">
        <is>
          <t>avverkningsanmälan</t>
        </is>
      </c>
      <c r="C317" t="inlineStr">
        <is>
          <t>Föryngringsavverkning</t>
        </is>
      </c>
      <c r="D317" s="1" t="n">
        <v>45868</v>
      </c>
      <c r="E317" s="1" t="n">
        <v>46298</v>
      </c>
      <c r="F317" t="inlineStr">
        <is>
          <t>GOTLANDS LÄN</t>
        </is>
      </c>
      <c r="G317" t="inlineStr">
        <is>
          <t>GOTLAND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46298</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18804-2026</t>
        </is>
      </c>
      <c r="B319" t="inlineStr">
        <is>
          <t>avverkningsanmälan</t>
        </is>
      </c>
      <c r="C319" t="inlineStr">
        <is>
          <t>Föryngringsavverkning</t>
        </is>
      </c>
      <c r="D319" s="1" t="n">
        <v>46128</v>
      </c>
      <c r="E319" s="1" t="n">
        <v>46298</v>
      </c>
      <c r="F319" t="inlineStr">
        <is>
          <t>GOTLANDS LÄN</t>
        </is>
      </c>
      <c r="G319" t="inlineStr">
        <is>
          <t>GOTLAND</t>
        </is>
      </c>
      <c r="H319" t="inlineStr">
        <is>
          <t>Kyrkan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43229-2023</t>
        </is>
      </c>
      <c r="B320" t="inlineStr">
        <is>
          <t>avverkningsanmälan</t>
        </is>
      </c>
      <c r="C320" t="inlineStr">
        <is>
          <t>Föryngringsavverkning</t>
        </is>
      </c>
      <c r="D320" s="1" t="n">
        <v>45183</v>
      </c>
      <c r="E320" s="1" t="n">
        <v>46298</v>
      </c>
      <c r="F320" t="inlineStr">
        <is>
          <t>GOTLANDS LÄN</t>
        </is>
      </c>
      <c r="G320" t="inlineStr">
        <is>
          <t>GOTLAND</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41038-2023</t>
        </is>
      </c>
      <c r="B321" t="inlineStr">
        <is>
          <t>avverkningsanmälan</t>
        </is>
      </c>
      <c r="C321" t="inlineStr">
        <is>
          <t>Föryngringsavverkning</t>
        </is>
      </c>
      <c r="D321" s="1" t="n">
        <v>45173</v>
      </c>
      <c r="E321" s="1" t="n">
        <v>46298</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58160-2024</t>
        </is>
      </c>
      <c r="B322" t="inlineStr">
        <is>
          <t>avverkningsanmälan</t>
        </is>
      </c>
      <c r="C322" t="inlineStr">
        <is>
          <t>Föryngringsavverkning</t>
        </is>
      </c>
      <c r="D322" s="1" t="n">
        <v>45632</v>
      </c>
      <c r="E322" s="1" t="n">
        <v>46298</v>
      </c>
      <c r="F322" t="inlineStr">
        <is>
          <t>GOTLANDS LÄN</t>
        </is>
      </c>
      <c r="G322" t="inlineStr">
        <is>
          <t>GOTLAND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46298</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26467-2025</t>
        </is>
      </c>
      <c r="B324" t="inlineStr">
        <is>
          <t>avverkningsanmälan</t>
        </is>
      </c>
      <c r="C324" t="inlineStr">
        <is>
          <t>Föryngringsavverkning</t>
        </is>
      </c>
      <c r="D324" s="1" t="n">
        <v>45807</v>
      </c>
      <c r="E324" s="1" t="n">
        <v>46298</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25796-2025</t>
        </is>
      </c>
      <c r="B325" t="inlineStr">
        <is>
          <t>avverkningsanmälan</t>
        </is>
      </c>
      <c r="C325" t="inlineStr">
        <is>
          <t>Föryngringsavverkning</t>
        </is>
      </c>
      <c r="D325" s="1" t="n">
        <v>45804</v>
      </c>
      <c r="E325" s="1" t="n">
        <v>46298</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46298</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57652-2023</t>
        </is>
      </c>
      <c r="B327" t="inlineStr">
        <is>
          <t>avverkningsanmälan</t>
        </is>
      </c>
      <c r="C327" t="inlineStr">
        <is>
          <t>Avverkning för annat ändamål</t>
        </is>
      </c>
      <c r="D327" s="1" t="n">
        <v>45246</v>
      </c>
      <c r="E327" s="1" t="n">
        <v>46298</v>
      </c>
      <c r="F327" t="inlineStr">
        <is>
          <t>GOTLANDS LÄN</t>
        </is>
      </c>
      <c r="G327" t="inlineStr">
        <is>
          <t>GOTLAND</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57522-2022</t>
        </is>
      </c>
      <c r="B328" t="inlineStr">
        <is>
          <t>avverkningsanmälan</t>
        </is>
      </c>
      <c r="C328" t="inlineStr">
        <is>
          <t>Föryngringsavverkning</t>
        </is>
      </c>
      <c r="D328" s="1" t="n">
        <v>44896</v>
      </c>
      <c r="E328" s="1" t="n">
        <v>46298</v>
      </c>
      <c r="F328" t="inlineStr">
        <is>
          <t>GOTLANDS LÄN</t>
        </is>
      </c>
      <c r="G328" t="inlineStr">
        <is>
          <t>GOTLAND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16109-2025</t>
        </is>
      </c>
      <c r="B329" t="inlineStr">
        <is>
          <t>avverkningsanmälan</t>
        </is>
      </c>
      <c r="C329" t="inlineStr">
        <is>
          <t>Avverkning för annat ändamål</t>
        </is>
      </c>
      <c r="D329" s="1" t="n">
        <v>45750</v>
      </c>
      <c r="E329" s="1" t="n">
        <v>46298</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14797-2024</t>
        </is>
      </c>
      <c r="B330" t="inlineStr">
        <is>
          <t>avverkningsanmälan</t>
        </is>
      </c>
      <c r="C330" t="inlineStr">
        <is>
          <t>Föryngringsavverkning</t>
        </is>
      </c>
      <c r="D330" s="1" t="n">
        <v>45397</v>
      </c>
      <c r="E330" s="1" t="n">
        <v>46298</v>
      </c>
      <c r="F330" t="inlineStr">
        <is>
          <t>GOTLANDS LÄN</t>
        </is>
      </c>
      <c r="G330" t="inlineStr">
        <is>
          <t>GOTLAND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7837-2024</t>
        </is>
      </c>
      <c r="B331" t="inlineStr">
        <is>
          <t>avverkningsanmälan</t>
        </is>
      </c>
      <c r="C331" t="inlineStr">
        <is>
          <t>Föryngringsavverkning</t>
        </is>
      </c>
      <c r="D331" s="1" t="n">
        <v>45349</v>
      </c>
      <c r="E331" s="1" t="n">
        <v>46298</v>
      </c>
      <c r="F331" t="inlineStr">
        <is>
          <t>GOTLANDS LÄN</t>
        </is>
      </c>
      <c r="G331" t="inlineStr">
        <is>
          <t>GOTLAND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1394-2023</t>
        </is>
      </c>
      <c r="B332" t="inlineStr">
        <is>
          <t>avverkningsanmälan</t>
        </is>
      </c>
      <c r="C332" t="inlineStr">
        <is>
          <t>Föryngringsavverkning</t>
        </is>
      </c>
      <c r="D332" s="1" t="n">
        <v>44936</v>
      </c>
      <c r="E332" s="1" t="n">
        <v>46298</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2180-2025</t>
        </is>
      </c>
      <c r="B333" t="inlineStr">
        <is>
          <t>avverkningsanmälan</t>
        </is>
      </c>
      <c r="C333" t="inlineStr">
        <is>
          <t>Föryngringsavverkning</t>
        </is>
      </c>
      <c r="D333" s="1" t="n">
        <v>45673</v>
      </c>
      <c r="E333" s="1" t="n">
        <v>46298</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46298</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4387-2023</t>
        </is>
      </c>
      <c r="B335" t="inlineStr">
        <is>
          <t>avverkningsanmälan</t>
        </is>
      </c>
      <c r="C335" t="inlineStr">
        <is>
          <t>Föryngringsavverkning</t>
        </is>
      </c>
      <c r="D335" s="1" t="n">
        <v>44955</v>
      </c>
      <c r="E335" s="1" t="n">
        <v>46298</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37728-2024</t>
        </is>
      </c>
      <c r="B336" t="inlineStr">
        <is>
          <t>avverkningsanmälan</t>
        </is>
      </c>
      <c r="C336" t="inlineStr">
        <is>
          <t>Föryngringsavverkning</t>
        </is>
      </c>
      <c r="D336" s="1" t="n">
        <v>45541</v>
      </c>
      <c r="E336" s="1" t="n">
        <v>46298</v>
      </c>
      <c r="F336" t="inlineStr">
        <is>
          <t>GOTLANDS LÄN</t>
        </is>
      </c>
      <c r="G336" t="inlineStr">
        <is>
          <t>GOTLAND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13910-2025</t>
        </is>
      </c>
      <c r="B337" t="inlineStr">
        <is>
          <t>avverkningsanmälan</t>
        </is>
      </c>
      <c r="C337" t="inlineStr">
        <is>
          <t>Föryngringsavverkning</t>
        </is>
      </c>
      <c r="D337" s="1" t="n">
        <v>45737</v>
      </c>
      <c r="E337" s="1" t="n">
        <v>46298</v>
      </c>
      <c r="F337" t="inlineStr">
        <is>
          <t>GOTLANDS LÄN</t>
        </is>
      </c>
      <c r="G337" t="inlineStr">
        <is>
          <t>GOTLAND</t>
        </is>
      </c>
      <c r="H337" t="inlineStr">
        <is>
          <t>Kommuner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45112-2024</t>
        </is>
      </c>
      <c r="B338" t="inlineStr">
        <is>
          <t>avverkningsanmälan</t>
        </is>
      </c>
      <c r="C338" t="inlineStr">
        <is>
          <t>Föryngringsavverkning</t>
        </is>
      </c>
      <c r="D338" s="1" t="n">
        <v>45575</v>
      </c>
      <c r="E338" s="1" t="n">
        <v>46298</v>
      </c>
      <c r="F338" t="inlineStr">
        <is>
          <t>GOTLANDS LÄN</t>
        </is>
      </c>
      <c r="G338" t="inlineStr">
        <is>
          <t>GOTLAND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22275-2023</t>
        </is>
      </c>
      <c r="B339" t="inlineStr">
        <is>
          <t>avverkningsanmälan</t>
        </is>
      </c>
      <c r="C339" t="inlineStr">
        <is>
          <t>Föryngringsavverkning</t>
        </is>
      </c>
      <c r="D339" s="1" t="n">
        <v>45070</v>
      </c>
      <c r="E339" s="1" t="n">
        <v>46298</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35123-2025</t>
        </is>
      </c>
      <c r="B340" t="inlineStr">
        <is>
          <t>avverkningsanmälan</t>
        </is>
      </c>
      <c r="C340" t="inlineStr">
        <is>
          <t>Föryngringsavverkning</t>
        </is>
      </c>
      <c r="D340" s="1" t="n">
        <v>45852</v>
      </c>
      <c r="E340" s="1" t="n">
        <v>46298</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14635-2023</t>
        </is>
      </c>
      <c r="B341" t="inlineStr">
        <is>
          <t>avverkningsanmälan</t>
        </is>
      </c>
      <c r="C341" t="inlineStr">
        <is>
          <t>Föryngringsavverkning</t>
        </is>
      </c>
      <c r="D341" s="1" t="n">
        <v>45013</v>
      </c>
      <c r="E341" s="1" t="n">
        <v>46298</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63763-2023</t>
        </is>
      </c>
      <c r="B342" t="inlineStr">
        <is>
          <t>avverkningsanmälan</t>
        </is>
      </c>
      <c r="C342" t="inlineStr">
        <is>
          <t>Föryngringsavverkning</t>
        </is>
      </c>
      <c r="D342" s="1" t="n">
        <v>45278</v>
      </c>
      <c r="E342" s="1" t="n">
        <v>46298</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7636-2025</t>
        </is>
      </c>
      <c r="B343" t="inlineStr">
        <is>
          <t>avverkningsanmälan</t>
        </is>
      </c>
      <c r="C343" t="inlineStr">
        <is>
          <t>Föryngringsavverkning</t>
        </is>
      </c>
      <c r="D343" s="1" t="n">
        <v>45705</v>
      </c>
      <c r="E343" s="1" t="n">
        <v>46298</v>
      </c>
      <c r="F343" t="inlineStr">
        <is>
          <t>GOTLANDS LÄN</t>
        </is>
      </c>
      <c r="G343" t="inlineStr">
        <is>
          <t>GOTLAND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7639-2025</t>
        </is>
      </c>
      <c r="B344" t="inlineStr">
        <is>
          <t>avverkningsanmälan</t>
        </is>
      </c>
      <c r="C344" t="inlineStr">
        <is>
          <t>Föryngringsavverkning</t>
        </is>
      </c>
      <c r="D344" s="1" t="n">
        <v>45705</v>
      </c>
      <c r="E344" s="1" t="n">
        <v>46298</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61682-2024</t>
        </is>
      </c>
      <c r="B345" t="inlineStr">
        <is>
          <t>avverkningsanmälan</t>
        </is>
      </c>
      <c r="C345" t="inlineStr">
        <is>
          <t>Föryngringsavverkning</t>
        </is>
      </c>
      <c r="D345" s="1" t="n">
        <v>45647</v>
      </c>
      <c r="E345" s="1" t="n">
        <v>46298</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46298</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7034-2023</t>
        </is>
      </c>
      <c r="B347" t="inlineStr">
        <is>
          <t>avverkningsanmälan</t>
        </is>
      </c>
      <c r="C347" t="inlineStr">
        <is>
          <t>Föryngringsavverkning</t>
        </is>
      </c>
      <c r="D347" s="1" t="n">
        <v>44968</v>
      </c>
      <c r="E347" s="1" t="n">
        <v>46298</v>
      </c>
      <c r="F347" t="inlineStr">
        <is>
          <t>GOTLANDS LÄN</t>
        </is>
      </c>
      <c r="G347" t="inlineStr">
        <is>
          <t>GOTLAND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32669-2024</t>
        </is>
      </c>
      <c r="B348" t="inlineStr">
        <is>
          <t>avverkningsanmälan</t>
        </is>
      </c>
      <c r="C348" t="inlineStr">
        <is>
          <t>Föryngringsavverkning</t>
        </is>
      </c>
      <c r="D348" s="1" t="n">
        <v>45514</v>
      </c>
      <c r="E348" s="1" t="n">
        <v>46298</v>
      </c>
      <c r="F348" t="inlineStr">
        <is>
          <t>GOTLANDS LÄN</t>
        </is>
      </c>
      <c r="G348" t="inlineStr">
        <is>
          <t>GOTLAND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20225-2025</t>
        </is>
      </c>
      <c r="B349" t="inlineStr">
        <is>
          <t>avverkningsanmälan</t>
        </is>
      </c>
      <c r="C349" t="inlineStr">
        <is>
          <t>Föryngringsavverkning</t>
        </is>
      </c>
      <c r="D349" s="1" t="n">
        <v>45772</v>
      </c>
      <c r="E349" s="1" t="n">
        <v>46298</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6959-2026</t>
        </is>
      </c>
      <c r="B350" t="inlineStr">
        <is>
          <t>avverkningsanmälan</t>
        </is>
      </c>
      <c r="C350" t="inlineStr">
        <is>
          <t>Föryngringsavverkning</t>
        </is>
      </c>
      <c r="D350" s="1" t="n">
        <v>46057</v>
      </c>
      <c r="E350" s="1" t="n">
        <v>46298</v>
      </c>
      <c r="F350" t="inlineStr">
        <is>
          <t>GOTLANDS LÄN</t>
        </is>
      </c>
      <c r="G350" t="inlineStr">
        <is>
          <t>GOTLAND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54074-2022</t>
        </is>
      </c>
      <c r="B351" t="inlineStr">
        <is>
          <t>avverkningsanmälan</t>
        </is>
      </c>
      <c r="C351" t="inlineStr">
        <is>
          <t>Föryngringsavverkning</t>
        </is>
      </c>
      <c r="D351" s="1" t="n">
        <v>44881</v>
      </c>
      <c r="E351" s="1" t="n">
        <v>46298</v>
      </c>
      <c r="F351" t="inlineStr">
        <is>
          <t>GOTLANDS LÄN</t>
        </is>
      </c>
      <c r="G351" t="inlineStr">
        <is>
          <t>GOTLAND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61694-2023</t>
        </is>
      </c>
      <c r="B352" t="inlineStr">
        <is>
          <t>avverkningsanmälan</t>
        </is>
      </c>
      <c r="C352" t="inlineStr">
        <is>
          <t>Föryngringsavverkning</t>
        </is>
      </c>
      <c r="D352" s="1" t="n">
        <v>45264</v>
      </c>
      <c r="E352" s="1" t="n">
        <v>46298</v>
      </c>
      <c r="F352" t="inlineStr">
        <is>
          <t>GOTLANDS LÄN</t>
        </is>
      </c>
      <c r="G352" t="inlineStr">
        <is>
          <t>GOTLAND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46298</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54268-2022</t>
        </is>
      </c>
      <c r="B354" t="inlineStr">
        <is>
          <t>avverkningsanmälan</t>
        </is>
      </c>
      <c r="C354" t="inlineStr">
        <is>
          <t>Föryngringsavverkning</t>
        </is>
      </c>
      <c r="D354" s="1" t="n">
        <v>44882</v>
      </c>
      <c r="E354" s="1" t="n">
        <v>46298</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1446-2025</t>
        </is>
      </c>
      <c r="B355" t="inlineStr">
        <is>
          <t>avverkningsanmälan</t>
        </is>
      </c>
      <c r="C355" t="inlineStr">
        <is>
          <t>Föryngringsavverkning</t>
        </is>
      </c>
      <c r="D355" s="1" t="n">
        <v>45669</v>
      </c>
      <c r="E355" s="1" t="n">
        <v>46298</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1462-2025</t>
        </is>
      </c>
      <c r="B356" t="inlineStr">
        <is>
          <t>avverkningsanmälan</t>
        </is>
      </c>
      <c r="C356" t="inlineStr">
        <is>
          <t>Föryngringsavverkning</t>
        </is>
      </c>
      <c r="D356" s="1" t="n">
        <v>45670</v>
      </c>
      <c r="E356" s="1" t="n">
        <v>46298</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57685-2022</t>
        </is>
      </c>
      <c r="B357" t="inlineStr">
        <is>
          <t>avverkningsanmälan</t>
        </is>
      </c>
      <c r="C357" t="inlineStr">
        <is>
          <t>Föryngringsavverkning</t>
        </is>
      </c>
      <c r="D357" s="1" t="n">
        <v>44897</v>
      </c>
      <c r="E357" s="1" t="n">
        <v>46298</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811-2023</t>
        </is>
      </c>
      <c r="B358" t="inlineStr">
        <is>
          <t>avverkningsanmälan</t>
        </is>
      </c>
      <c r="C358" t="inlineStr">
        <is>
          <t>Föryngringsavverkning</t>
        </is>
      </c>
      <c r="D358" s="1" t="n">
        <v>44931</v>
      </c>
      <c r="E358" s="1" t="n">
        <v>46298</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32379-2025</t>
        </is>
      </c>
      <c r="B359" t="inlineStr">
        <is>
          <t>avverkningsanmälan</t>
        </is>
      </c>
      <c r="C359" t="inlineStr">
        <is>
          <t>Föryngringsavverkning</t>
        </is>
      </c>
      <c r="D359" s="1" t="n">
        <v>45837</v>
      </c>
      <c r="E359" s="1" t="n">
        <v>46298</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5905-2024</t>
        </is>
      </c>
      <c r="B360" t="inlineStr">
        <is>
          <t>avverkningsanmälan</t>
        </is>
      </c>
      <c r="C360" t="inlineStr">
        <is>
          <t>Föryngringsavverkning</t>
        </is>
      </c>
      <c r="D360" s="1" t="n">
        <v>45335</v>
      </c>
      <c r="E360" s="1" t="n">
        <v>46298</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3431-2025</t>
        </is>
      </c>
      <c r="B361" t="inlineStr">
        <is>
          <t>avverkningsanmälan</t>
        </is>
      </c>
      <c r="C361" t="inlineStr">
        <is>
          <t>Föryngringsavverkning</t>
        </is>
      </c>
      <c r="D361" s="1" t="n">
        <v>45680</v>
      </c>
      <c r="E361" s="1" t="n">
        <v>46298</v>
      </c>
      <c r="F361" t="inlineStr">
        <is>
          <t>GOTLANDS LÄN</t>
        </is>
      </c>
      <c r="G361" t="inlineStr">
        <is>
          <t>GOTLAND</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34407-2023</t>
        </is>
      </c>
      <c r="B362" t="inlineStr">
        <is>
          <t>avverkningsanmälan</t>
        </is>
      </c>
      <c r="C362" t="inlineStr">
        <is>
          <t>Föryngringsavverkning</t>
        </is>
      </c>
      <c r="D362" s="1" t="n">
        <v>45132</v>
      </c>
      <c r="E362" s="1" t="n">
        <v>46298</v>
      </c>
      <c r="F362" t="inlineStr">
        <is>
          <t>GOTLANDS LÄN</t>
        </is>
      </c>
      <c r="G362" t="inlineStr">
        <is>
          <t>GOTLAND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30892-2024</t>
        </is>
      </c>
      <c r="B363" t="inlineStr">
        <is>
          <t>avverkningsanmälan</t>
        </is>
      </c>
      <c r="C363" t="inlineStr">
        <is>
          <t>Föryngringsavverkning</t>
        </is>
      </c>
      <c r="D363" s="1" t="n">
        <v>45491</v>
      </c>
      <c r="E363" s="1" t="n">
        <v>46298</v>
      </c>
      <c r="F363" t="inlineStr">
        <is>
          <t>GOTLANDS LÄN</t>
        </is>
      </c>
      <c r="G363" t="inlineStr">
        <is>
          <t>GOTLAND</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7858-2025</t>
        </is>
      </c>
      <c r="B364" t="inlineStr">
        <is>
          <t>avverkningsanmälan</t>
        </is>
      </c>
      <c r="C364" t="inlineStr">
        <is>
          <t>Föryngringsavverkning</t>
        </is>
      </c>
      <c r="D364" s="1" t="n">
        <v>45706</v>
      </c>
      <c r="E364" s="1" t="n">
        <v>46298</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46298</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46298</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30488-2025</t>
        </is>
      </c>
      <c r="B367" t="inlineStr">
        <is>
          <t>avverkningsanmälan</t>
        </is>
      </c>
      <c r="C367" t="inlineStr">
        <is>
          <t>Föryngringsavverkning</t>
        </is>
      </c>
      <c r="D367" s="1" t="n">
        <v>45830</v>
      </c>
      <c r="E367" s="1" t="n">
        <v>46298</v>
      </c>
      <c r="F367" t="inlineStr">
        <is>
          <t>GOTLANDS LÄN</t>
        </is>
      </c>
      <c r="G367" t="inlineStr">
        <is>
          <t>GOTLAND</t>
        </is>
      </c>
      <c r="H367" t="inlineStr">
        <is>
          <t>Kyrkan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46298</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46298</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46298</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46298</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46298</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46298</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12155-2023</t>
        </is>
      </c>
      <c r="B374" t="inlineStr">
        <is>
          <t>avverkningsanmälan</t>
        </is>
      </c>
      <c r="C374" t="inlineStr">
        <is>
          <t>Föryngringsavverkning</t>
        </is>
      </c>
      <c r="D374" s="1" t="n">
        <v>44998</v>
      </c>
      <c r="E374" s="1" t="n">
        <v>46298</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46298</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46298</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46298</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46298</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22348-2026</t>
        </is>
      </c>
      <c r="B379" t="inlineStr">
        <is>
          <t>avverkningsanmälan</t>
        </is>
      </c>
      <c r="C379" t="inlineStr">
        <is>
          <t>Föryngringsavverkning</t>
        </is>
      </c>
      <c r="D379" s="1" t="n">
        <v>46154</v>
      </c>
      <c r="E379" s="1" t="n">
        <v>46298</v>
      </c>
      <c r="F379" t="inlineStr">
        <is>
          <t>GOTLANDS LÄN</t>
        </is>
      </c>
      <c r="G379" t="inlineStr">
        <is>
          <t>GOTLAND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22351-2026</t>
        </is>
      </c>
      <c r="B380" t="inlineStr">
        <is>
          <t>avverkningsanmälan</t>
        </is>
      </c>
      <c r="C380" t="inlineStr">
        <is>
          <t>Föryngringsavverkning</t>
        </is>
      </c>
      <c r="D380" s="1" t="n">
        <v>46154</v>
      </c>
      <c r="E380" s="1" t="n">
        <v>46298</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46298</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46298</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46298</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46298</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46298</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35096-2025</t>
        </is>
      </c>
      <c r="B386" t="inlineStr">
        <is>
          <t>avverkningsanmälan</t>
        </is>
      </c>
      <c r="C386" t="inlineStr">
        <is>
          <t>Föryngringsavverkning</t>
        </is>
      </c>
      <c r="D386" s="1" t="n">
        <v>45852</v>
      </c>
      <c r="E386" s="1" t="n">
        <v>46298</v>
      </c>
      <c r="F386" t="inlineStr">
        <is>
          <t>GOTLANDS LÄN</t>
        </is>
      </c>
      <c r="G386" t="inlineStr">
        <is>
          <t>GOTLAND</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46298</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46298</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46298</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46298</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46298</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21142-2025</t>
        </is>
      </c>
      <c r="B392" t="inlineStr">
        <is>
          <t>avverkningsanmälan</t>
        </is>
      </c>
      <c r="C392" t="inlineStr">
        <is>
          <t>Föryngringsavverkning</t>
        </is>
      </c>
      <c r="D392" s="1" t="n">
        <v>45779</v>
      </c>
      <c r="E392" s="1" t="n">
        <v>46298</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6108-2025</t>
        </is>
      </c>
      <c r="B393" t="inlineStr">
        <is>
          <t>avverkningsanmälan</t>
        </is>
      </c>
      <c r="C393" t="inlineStr">
        <is>
          <t>Föryngringsavverkning</t>
        </is>
      </c>
      <c r="D393" s="1" t="n">
        <v>45698</v>
      </c>
      <c r="E393" s="1" t="n">
        <v>46298</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2719-2023</t>
        </is>
      </c>
      <c r="B394" t="inlineStr">
        <is>
          <t>avverkningsanmälan</t>
        </is>
      </c>
      <c r="C394" t="inlineStr">
        <is>
          <t>Föryngringsavverkning</t>
        </is>
      </c>
      <c r="D394" s="1" t="n">
        <v>44944</v>
      </c>
      <c r="E394" s="1" t="n">
        <v>46298</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18938-2025</t>
        </is>
      </c>
      <c r="B395" t="inlineStr">
        <is>
          <t>avverkningsanmälan</t>
        </is>
      </c>
      <c r="C395" t="inlineStr">
        <is>
          <t>Föryngringsavverkning</t>
        </is>
      </c>
      <c r="D395" s="1" t="n">
        <v>45764</v>
      </c>
      <c r="E395" s="1" t="n">
        <v>46298</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20307-2025</t>
        </is>
      </c>
      <c r="B396" t="inlineStr">
        <is>
          <t>avverkningsanmälan</t>
        </is>
      </c>
      <c r="C396" t="inlineStr">
        <is>
          <t>Föryngringsavverkning</t>
        </is>
      </c>
      <c r="D396" s="1" t="n">
        <v>45774</v>
      </c>
      <c r="E396" s="1" t="n">
        <v>46298</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24448-2026</t>
        </is>
      </c>
      <c r="B397" t="inlineStr">
        <is>
          <t>avverkningsanmälan</t>
        </is>
      </c>
      <c r="C397" t="inlineStr">
        <is>
          <t>Föryngringsavverkning</t>
        </is>
      </c>
      <c r="D397" s="1" t="n">
        <v>46170</v>
      </c>
      <c r="E397" s="1" t="n">
        <v>46298</v>
      </c>
      <c r="F397" t="inlineStr">
        <is>
          <t>GOTLANDS LÄN</t>
        </is>
      </c>
      <c r="G397" t="inlineStr">
        <is>
          <t>GOTLAND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16361-2024</t>
        </is>
      </c>
      <c r="B398" t="inlineStr">
        <is>
          <t>avverkningsanmälan</t>
        </is>
      </c>
      <c r="C398" t="inlineStr">
        <is>
          <t>Föryngringsavverkning</t>
        </is>
      </c>
      <c r="D398" s="1" t="n">
        <v>45407</v>
      </c>
      <c r="E398" s="1" t="n">
        <v>46298</v>
      </c>
      <c r="F398" t="inlineStr">
        <is>
          <t>GOTLANDS LÄN</t>
        </is>
      </c>
      <c r="G398" t="inlineStr">
        <is>
          <t>GOTLAND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43081-2022</t>
        </is>
      </c>
      <c r="B399" t="inlineStr">
        <is>
          <t>avverkningsanmälan</t>
        </is>
      </c>
      <c r="C399" t="inlineStr">
        <is>
          <t>Föryngringsavverkning</t>
        </is>
      </c>
      <c r="D399" s="1" t="n">
        <v>44833</v>
      </c>
      <c r="E399" s="1" t="n">
        <v>46298</v>
      </c>
      <c r="F399" t="inlineStr">
        <is>
          <t>GOTLANDS LÄN</t>
        </is>
      </c>
      <c r="G399" t="inlineStr">
        <is>
          <t>GOTLAND</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46298</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42041-2024</t>
        </is>
      </c>
      <c r="B401" t="inlineStr">
        <is>
          <t>avverkningsanmälan</t>
        </is>
      </c>
      <c r="C401" t="inlineStr">
        <is>
          <t>Föryngringsavverkning</t>
        </is>
      </c>
      <c r="D401" s="1" t="n">
        <v>45561</v>
      </c>
      <c r="E401" s="1" t="n">
        <v>46298</v>
      </c>
      <c r="F401" t="inlineStr">
        <is>
          <t>GOTLANDS LÄN</t>
        </is>
      </c>
      <c r="G401" t="inlineStr">
        <is>
          <t>GOTLAND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27354-2026</t>
        </is>
      </c>
      <c r="B402" t="inlineStr">
        <is>
          <t>avverkningsanmälan</t>
        </is>
      </c>
      <c r="C402" t="inlineStr">
        <is>
          <t>Föryngringsavverkning</t>
        </is>
      </c>
      <c r="D402" s="1" t="n">
        <v>46184</v>
      </c>
      <c r="E402" s="1" t="n">
        <v>46298</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46298</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17780-2022</t>
        </is>
      </c>
      <c r="B404" t="inlineStr">
        <is>
          <t>avverkningsanmälan</t>
        </is>
      </c>
      <c r="C404" t="inlineStr">
        <is>
          <t>Föryngringsavverkning</t>
        </is>
      </c>
      <c r="D404" s="1" t="n">
        <v>44682</v>
      </c>
      <c r="E404" s="1" t="n">
        <v>46298</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63516-2023</t>
        </is>
      </c>
      <c r="B405" t="inlineStr">
        <is>
          <t>avverkningsanmälan</t>
        </is>
      </c>
      <c r="C405" t="inlineStr">
        <is>
          <t>Föryngringsavverkning</t>
        </is>
      </c>
      <c r="D405" s="1" t="n">
        <v>45274</v>
      </c>
      <c r="E405" s="1" t="n">
        <v>46298</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53935-2024</t>
        </is>
      </c>
      <c r="B406" t="inlineStr">
        <is>
          <t>avverkningsanmälan</t>
        </is>
      </c>
      <c r="C406" t="inlineStr">
        <is>
          <t>Föryngringsavverkning</t>
        </is>
      </c>
      <c r="D406" s="1" t="n">
        <v>45615</v>
      </c>
      <c r="E406" s="1" t="n">
        <v>46298</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48734-2022</t>
        </is>
      </c>
      <c r="B407" t="inlineStr">
        <is>
          <t>avverkningsanmälan</t>
        </is>
      </c>
      <c r="C407" t="inlineStr">
        <is>
          <t>Föryngringsavverkning</t>
        </is>
      </c>
      <c r="D407" s="1" t="n">
        <v>44855</v>
      </c>
      <c r="E407" s="1" t="n">
        <v>46298</v>
      </c>
      <c r="F407" t="inlineStr">
        <is>
          <t>GOTLANDS LÄN</t>
        </is>
      </c>
      <c r="G407" t="inlineStr">
        <is>
          <t>GOTLAND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23516-2023</t>
        </is>
      </c>
      <c r="B408" t="inlineStr">
        <is>
          <t>avverkningsanmälan</t>
        </is>
      </c>
      <c r="C408" t="inlineStr">
        <is>
          <t>Föryngringsavverkning</t>
        </is>
      </c>
      <c r="D408" s="1" t="n">
        <v>45076</v>
      </c>
      <c r="E408" s="1" t="n">
        <v>46298</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46298</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28839-2026</t>
        </is>
      </c>
      <c r="B410" t="inlineStr">
        <is>
          <t>avverkningsanmälan</t>
        </is>
      </c>
      <c r="C410" t="inlineStr">
        <is>
          <t>Föryngringsavverkning</t>
        </is>
      </c>
      <c r="D410" s="1" t="n">
        <v>46198</v>
      </c>
      <c r="E410" s="1" t="n">
        <v>46298</v>
      </c>
      <c r="F410" t="inlineStr">
        <is>
          <t>GOTLANDS LÄN</t>
        </is>
      </c>
      <c r="G410" t="inlineStr">
        <is>
          <t>GOTLAND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28843-2026</t>
        </is>
      </c>
      <c r="B411" t="inlineStr">
        <is>
          <t>avverkningsanmälan</t>
        </is>
      </c>
      <c r="C411" t="inlineStr">
        <is>
          <t>Föryngringsavverkning</t>
        </is>
      </c>
      <c r="D411" s="1" t="n">
        <v>46198</v>
      </c>
      <c r="E411" s="1" t="n">
        <v>46298</v>
      </c>
      <c r="F411" t="inlineStr">
        <is>
          <t>GOTLANDS LÄN</t>
        </is>
      </c>
      <c r="G411" t="inlineStr">
        <is>
          <t>GOTLAND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64555-2023</t>
        </is>
      </c>
      <c r="B412" t="inlineStr">
        <is>
          <t>avverkningsanmälan</t>
        </is>
      </c>
      <c r="C412" t="inlineStr">
        <is>
          <t>Avverkning för annat ändamål</t>
        </is>
      </c>
      <c r="D412" s="1" t="n">
        <v>45281</v>
      </c>
      <c r="E412" s="1" t="n">
        <v>46298</v>
      </c>
      <c r="F412" t="inlineStr">
        <is>
          <t>GOTLANDS LÄN</t>
        </is>
      </c>
      <c r="G412" t="inlineStr">
        <is>
          <t>GOTLAND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46298</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46298</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876-2024</t>
        </is>
      </c>
      <c r="B415" t="inlineStr">
        <is>
          <t>avverkningsanmälan</t>
        </is>
      </c>
      <c r="C415" t="inlineStr">
        <is>
          <t>Avverkning för annat ändamål</t>
        </is>
      </c>
      <c r="D415" s="1" t="n">
        <v>45301</v>
      </c>
      <c r="E415" s="1" t="n">
        <v>46298</v>
      </c>
      <c r="F415" t="inlineStr">
        <is>
          <t>GOTLANDS LÄN</t>
        </is>
      </c>
      <c r="G415" t="inlineStr">
        <is>
          <t>GOTLAND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5923-2023</t>
        </is>
      </c>
      <c r="B416" t="inlineStr">
        <is>
          <t>avverkningsanmälan</t>
        </is>
      </c>
      <c r="C416" t="inlineStr">
        <is>
          <t>Föryngringsavverkning</t>
        </is>
      </c>
      <c r="D416" s="1" t="n">
        <v>44963</v>
      </c>
      <c r="E416" s="1" t="n">
        <v>46298</v>
      </c>
      <c r="F416" t="inlineStr">
        <is>
          <t>GOTLANDS LÄN</t>
        </is>
      </c>
      <c r="G416" t="inlineStr">
        <is>
          <t>GOTLAND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50482-2024</t>
        </is>
      </c>
      <c r="B417" t="inlineStr">
        <is>
          <t>avverkningsanmälan</t>
        </is>
      </c>
      <c r="C417" t="inlineStr">
        <is>
          <t>Föryngringsavverkning</t>
        </is>
      </c>
      <c r="D417" s="1" t="n">
        <v>45601</v>
      </c>
      <c r="E417" s="1" t="n">
        <v>46298</v>
      </c>
      <c r="F417" t="inlineStr">
        <is>
          <t>GOTLANDS LÄN</t>
        </is>
      </c>
      <c r="G417" t="inlineStr">
        <is>
          <t>GOTLAND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5943-2024</t>
        </is>
      </c>
      <c r="B418" t="inlineStr">
        <is>
          <t>avverkningsanmälan</t>
        </is>
      </c>
      <c r="C418" t="inlineStr">
        <is>
          <t>Avverkning för annat ändamål</t>
        </is>
      </c>
      <c r="D418" s="1" t="n">
        <v>45336</v>
      </c>
      <c r="E418" s="1" t="n">
        <v>46298</v>
      </c>
      <c r="F418" t="inlineStr">
        <is>
          <t>GOTLANDS LÄN</t>
        </is>
      </c>
      <c r="G418" t="inlineStr">
        <is>
          <t>GOTLAND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38234-2023</t>
        </is>
      </c>
      <c r="B419" t="inlineStr">
        <is>
          <t>avverkningsanmälan</t>
        </is>
      </c>
      <c r="C419" t="inlineStr">
        <is>
          <t>Föryngringsavverkning</t>
        </is>
      </c>
      <c r="D419" s="1" t="n">
        <v>45161</v>
      </c>
      <c r="E419" s="1" t="n">
        <v>46298</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29370-2026</t>
        </is>
      </c>
      <c r="B420" t="inlineStr">
        <is>
          <t>avverkningsanmälan</t>
        </is>
      </c>
      <c r="C420" t="inlineStr">
        <is>
          <t>Föryngringsavverkning</t>
        </is>
      </c>
      <c r="D420" s="1" t="n">
        <v>46203</v>
      </c>
      <c r="E420" s="1" t="n">
        <v>46298</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17724-2024</t>
        </is>
      </c>
      <c r="B421" t="inlineStr">
        <is>
          <t>avverkningsanmälan</t>
        </is>
      </c>
      <c r="C421" t="inlineStr">
        <is>
          <t>Föryngringsavverkning</t>
        </is>
      </c>
      <c r="D421" s="1" t="n">
        <v>45418</v>
      </c>
      <c r="E421" s="1" t="n">
        <v>46298</v>
      </c>
      <c r="F421" t="inlineStr">
        <is>
          <t>GOTLANDS LÄN</t>
        </is>
      </c>
      <c r="G421" t="inlineStr">
        <is>
          <t>GOTLAND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46298</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49884-2023</t>
        </is>
      </c>
      <c r="B423" t="inlineStr">
        <is>
          <t>avverkningsanmälan</t>
        </is>
      </c>
      <c r="C423" t="inlineStr">
        <is>
          <t>Föryngringsavverkning</t>
        </is>
      </c>
      <c r="D423" s="1" t="n">
        <v>45213</v>
      </c>
      <c r="E423" s="1" t="n">
        <v>46298</v>
      </c>
      <c r="F423" t="inlineStr">
        <is>
          <t>GOTLANDS LÄN</t>
        </is>
      </c>
      <c r="G423" t="inlineStr">
        <is>
          <t>GOTLAND</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12846-2025</t>
        </is>
      </c>
      <c r="B424" t="inlineStr">
        <is>
          <t>avverkningsanmälan</t>
        </is>
      </c>
      <c r="C424" t="inlineStr">
        <is>
          <t>Föryngringsavverkning</t>
        </is>
      </c>
      <c r="D424" s="1" t="n">
        <v>45733</v>
      </c>
      <c r="E424" s="1" t="n">
        <v>46298</v>
      </c>
      <c r="F424" t="inlineStr">
        <is>
          <t>GOTLANDS LÄN</t>
        </is>
      </c>
      <c r="G424" t="inlineStr">
        <is>
          <t>GOTLAND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30926-2026</t>
        </is>
      </c>
      <c r="B425" t="inlineStr">
        <is>
          <t>avverkningsanmälan</t>
        </is>
      </c>
      <c r="C425" t="inlineStr">
        <is>
          <t>Föryngringsavverkning</t>
        </is>
      </c>
      <c r="D425" s="1" t="n">
        <v>46213</v>
      </c>
      <c r="E425" s="1" t="n">
        <v>46298</v>
      </c>
      <c r="F425" t="inlineStr">
        <is>
          <t>GOTLANDS LÄN</t>
        </is>
      </c>
      <c r="G425" t="inlineStr">
        <is>
          <t>GOTLAND</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46298</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48843-2024</t>
        </is>
      </c>
      <c r="B427" t="inlineStr">
        <is>
          <t>avverkningsanmälan</t>
        </is>
      </c>
      <c r="C427" t="inlineStr">
        <is>
          <t>Föryngringsavverkning</t>
        </is>
      </c>
      <c r="D427" s="1" t="n">
        <v>45593</v>
      </c>
      <c r="E427" s="1" t="n">
        <v>46298</v>
      </c>
      <c r="F427" t="inlineStr">
        <is>
          <t>GOTLANDS LÄN</t>
        </is>
      </c>
      <c r="G427" t="inlineStr">
        <is>
          <t>GOTLAND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46298</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46298</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35127-2026</t>
        </is>
      </c>
      <c r="B430" t="inlineStr">
        <is>
          <t>avverkningsanmälan</t>
        </is>
      </c>
      <c r="C430" t="inlineStr">
        <is>
          <t>Föryngringsavverkning</t>
        </is>
      </c>
      <c r="D430" s="1" t="n">
        <v>46260</v>
      </c>
      <c r="E430" s="1" t="n">
        <v>46298</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46298</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46298</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46298</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31693-2026</t>
        </is>
      </c>
      <c r="B434" t="inlineStr">
        <is>
          <t>avverkningsanmälan</t>
        </is>
      </c>
      <c r="C434" t="inlineStr">
        <is>
          <t>Föryngringsavverkning</t>
        </is>
      </c>
      <c r="D434" s="1" t="n">
        <v>46226</v>
      </c>
      <c r="E434" s="1" t="n">
        <v>46298</v>
      </c>
      <c r="F434" t="inlineStr">
        <is>
          <t>GOTLANDS LÄN</t>
        </is>
      </c>
      <c r="G434" t="inlineStr">
        <is>
          <t>GOTLAND</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46298</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36499-2026</t>
        </is>
      </c>
      <c r="B436" t="inlineStr">
        <is>
          <t>avverkningsanmälan</t>
        </is>
      </c>
      <c r="C436" t="inlineStr">
        <is>
          <t>Föryngringsavverkning</t>
        </is>
      </c>
      <c r="D436" s="1" t="n">
        <v>46268</v>
      </c>
      <c r="E436" s="1" t="n">
        <v>46298</v>
      </c>
      <c r="F436" t="inlineStr">
        <is>
          <t>GOTLANDS LÄN</t>
        </is>
      </c>
      <c r="G436" t="inlineStr">
        <is>
          <t>GOTLAND</t>
        </is>
      </c>
      <c r="H436" t="inlineStr">
        <is>
          <t>Kommuner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36510-2026</t>
        </is>
      </c>
      <c r="B437" t="inlineStr">
        <is>
          <t>avverkningsanmälan</t>
        </is>
      </c>
      <c r="C437" t="inlineStr">
        <is>
          <t>Föryngringsavverkning</t>
        </is>
      </c>
      <c r="D437" s="1" t="n">
        <v>46268</v>
      </c>
      <c r="E437" s="1" t="n">
        <v>46298</v>
      </c>
      <c r="F437" t="inlineStr">
        <is>
          <t>GOTLANDS LÄN</t>
        </is>
      </c>
      <c r="G437" t="inlineStr">
        <is>
          <t>GOTLAND</t>
        </is>
      </c>
      <c r="H437" t="inlineStr">
        <is>
          <t>Kommuner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46298</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46298</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46298</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46298</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46298</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32239-2026</t>
        </is>
      </c>
      <c r="B443" t="inlineStr">
        <is>
          <t>avverkningsanmälan</t>
        </is>
      </c>
      <c r="C443" t="inlineStr">
        <is>
          <t>Föryngringsavverkning</t>
        </is>
      </c>
      <c r="D443" s="1" t="n">
        <v>46237</v>
      </c>
      <c r="E443" s="1" t="n">
        <v>46298</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46298</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46298</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38311-2026</t>
        </is>
      </c>
      <c r="B446" t="inlineStr">
        <is>
          <t>avverkningsanmälan</t>
        </is>
      </c>
      <c r="C446" t="inlineStr">
        <is>
          <t>Föryngringsavverkning</t>
        </is>
      </c>
      <c r="D446" s="1" t="n">
        <v>46282</v>
      </c>
      <c r="E446" s="1" t="n">
        <v>46298</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46298</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58132-2023</t>
        </is>
      </c>
      <c r="B448" t="inlineStr">
        <is>
          <t>avverkningsanmälan</t>
        </is>
      </c>
      <c r="C448" t="inlineStr">
        <is>
          <t>Föryngringsavverkning</t>
        </is>
      </c>
      <c r="D448" s="1" t="n">
        <v>45250</v>
      </c>
      <c r="E448" s="1" t="n">
        <v>46298</v>
      </c>
      <c r="F448" t="inlineStr">
        <is>
          <t>GOTLANDS LÄN</t>
        </is>
      </c>
      <c r="G448" t="inlineStr">
        <is>
          <t>GOTLAND</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22899-2023</t>
        </is>
      </c>
      <c r="B449" t="inlineStr">
        <is>
          <t>avverkningsanmälan</t>
        </is>
      </c>
      <c r="C449" t="inlineStr">
        <is>
          <t>Föryngringsavverkning</t>
        </is>
      </c>
      <c r="D449" s="1" t="n">
        <v>45072</v>
      </c>
      <c r="E449" s="1" t="n">
        <v>46298</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28285-2024</t>
        </is>
      </c>
      <c r="B450" t="inlineStr">
        <is>
          <t>avverkningsanmälan</t>
        </is>
      </c>
      <c r="C450" t="inlineStr">
        <is>
          <t>Avverkning för annat ändamål</t>
        </is>
      </c>
      <c r="D450" s="1" t="n">
        <v>45477</v>
      </c>
      <c r="E450" s="1" t="n">
        <v>46298</v>
      </c>
      <c r="F450" t="inlineStr">
        <is>
          <t>GOTLANDS LÄN</t>
        </is>
      </c>
      <c r="G450" t="inlineStr">
        <is>
          <t>GOTLAND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51963-2024</t>
        </is>
      </c>
      <c r="B451" t="inlineStr">
        <is>
          <t>avverkningsanmälan</t>
        </is>
      </c>
      <c r="C451" t="inlineStr">
        <is>
          <t>Föryngringsavverkning</t>
        </is>
      </c>
      <c r="D451" s="1" t="n">
        <v>45607</v>
      </c>
      <c r="E451" s="1" t="n">
        <v>46298</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38928-2026</t>
        </is>
      </c>
      <c r="B452" t="inlineStr">
        <is>
          <t>avverkningsanmälan</t>
        </is>
      </c>
      <c r="C452" t="inlineStr">
        <is>
          <t>Föryngringsavverkning</t>
        </is>
      </c>
      <c r="D452" s="1" t="n">
        <v>46286</v>
      </c>
      <c r="E452" s="1" t="n">
        <v>46298</v>
      </c>
      <c r="F452" t="inlineStr">
        <is>
          <t>GOTLANDS LÄN</t>
        </is>
      </c>
      <c r="G452" t="inlineStr">
        <is>
          <t>GOTLAND</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38932-2026</t>
        </is>
      </c>
      <c r="B453" t="inlineStr">
        <is>
          <t>avverkningsanmälan</t>
        </is>
      </c>
      <c r="C453" t="inlineStr">
        <is>
          <t>Föryngringsavverkning</t>
        </is>
      </c>
      <c r="D453" s="1" t="n">
        <v>46286</v>
      </c>
      <c r="E453" s="1" t="n">
        <v>46298</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23188-2025</t>
        </is>
      </c>
      <c r="B454" t="inlineStr">
        <is>
          <t>avverkningsanmälan</t>
        </is>
      </c>
      <c r="C454" t="inlineStr">
        <is>
          <t>Avverkning för annat ändamål</t>
        </is>
      </c>
      <c r="D454" s="1" t="n">
        <v>45791</v>
      </c>
      <c r="E454" s="1" t="n">
        <v>46298</v>
      </c>
      <c r="F454" t="inlineStr">
        <is>
          <t>GOTLANDS LÄN</t>
        </is>
      </c>
      <c r="G454" t="inlineStr">
        <is>
          <t>GOTLAND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46298</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30365-2024</t>
        </is>
      </c>
      <c r="B456" t="inlineStr">
        <is>
          <t>avverkningsanmälan</t>
        </is>
      </c>
      <c r="C456" t="inlineStr">
        <is>
          <t>Föryngringsavverkning</t>
        </is>
      </c>
      <c r="D456" s="1" t="n">
        <v>45491</v>
      </c>
      <c r="E456" s="1" t="n">
        <v>46298</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2674-2023</t>
        </is>
      </c>
      <c r="B457" t="inlineStr">
        <is>
          <t>avverkningsanmälan</t>
        </is>
      </c>
      <c r="C457" t="inlineStr">
        <is>
          <t>Avverkning för annat ändamål</t>
        </is>
      </c>
      <c r="D457" s="1" t="n">
        <v>44944</v>
      </c>
      <c r="E457" s="1" t="n">
        <v>46298</v>
      </c>
      <c r="F457" t="inlineStr">
        <is>
          <t>GOTLANDS LÄN</t>
        </is>
      </c>
      <c r="G457" t="inlineStr">
        <is>
          <t>GOTLAND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10655-2023</t>
        </is>
      </c>
      <c r="B458" t="inlineStr">
        <is>
          <t>avverkningsanmälan</t>
        </is>
      </c>
      <c r="C458" t="inlineStr">
        <is>
          <t>Föryngringsavverkning</t>
        </is>
      </c>
      <c r="D458" s="1" t="n">
        <v>44988</v>
      </c>
      <c r="E458" s="1" t="n">
        <v>46298</v>
      </c>
      <c r="F458" t="inlineStr">
        <is>
          <t>GOTLANDS LÄN</t>
        </is>
      </c>
      <c r="G458" t="inlineStr">
        <is>
          <t>GOTLAND</t>
        </is>
      </c>
      <c r="H458" t="inlineStr">
        <is>
          <t>Kyrkan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27164-2026</t>
        </is>
      </c>
      <c r="B459" t="inlineStr">
        <is>
          <t>avverkningsanmälan</t>
        </is>
      </c>
      <c r="C459" t="inlineStr">
        <is>
          <t>Föryngringsavverkning</t>
        </is>
      </c>
      <c r="D459" s="1" t="n">
        <v>46188</v>
      </c>
      <c r="E459" s="1" t="n">
        <v>46298</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22275-2026</t>
        </is>
      </c>
      <c r="B460" t="inlineStr">
        <is>
          <t>avverkningsanmälan</t>
        </is>
      </c>
      <c r="C460" t="inlineStr">
        <is>
          <t>Föryngringsavverkning</t>
        </is>
      </c>
      <c r="D460" s="1" t="n">
        <v>46154</v>
      </c>
      <c r="E460" s="1" t="n">
        <v>46298</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8484-2025</t>
        </is>
      </c>
      <c r="B461" t="inlineStr">
        <is>
          <t>avverkningsanmälan</t>
        </is>
      </c>
      <c r="C461" t="inlineStr">
        <is>
          <t>Avverkning för annat ändamål</t>
        </is>
      </c>
      <c r="D461" s="1" t="n">
        <v>45709</v>
      </c>
      <c r="E461" s="1" t="n">
        <v>46298</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46298</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39400-2026</t>
        </is>
      </c>
      <c r="B463" t="inlineStr">
        <is>
          <t>avverkningsanmälan</t>
        </is>
      </c>
      <c r="C463" t="inlineStr">
        <is>
          <t>Föryngringsavverkning</t>
        </is>
      </c>
      <c r="D463" s="1" t="n">
        <v>46288</v>
      </c>
      <c r="E463" s="1" t="n">
        <v>46298</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22887-2026</t>
        </is>
      </c>
      <c r="B464" t="inlineStr">
        <is>
          <t>avverkningsanmälan</t>
        </is>
      </c>
      <c r="C464" t="inlineStr">
        <is>
          <t>Avverkning för att bevara och utveckla /försöksver</t>
        </is>
      </c>
      <c r="D464" s="1" t="n">
        <v>46160</v>
      </c>
      <c r="E464" s="1" t="n">
        <v>46298</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46298</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39967-2026</t>
        </is>
      </c>
      <c r="B466" t="inlineStr">
        <is>
          <t>avverkningsanmälan</t>
        </is>
      </c>
      <c r="C466" t="inlineStr">
        <is>
          <t>Föryngringsavverkning</t>
        </is>
      </c>
      <c r="D466" s="1" t="n">
        <v>46292</v>
      </c>
      <c r="E466" s="1" t="n">
        <v>46298</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46298</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46298</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46298</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46298</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40372-2025</t>
        </is>
      </c>
      <c r="B471" t="inlineStr">
        <is>
          <t>avverkningsanmälan</t>
        </is>
      </c>
      <c r="C471" t="inlineStr">
        <is>
          <t>Föryngringsavverkning</t>
        </is>
      </c>
      <c r="D471" s="1" t="n">
        <v>45895</v>
      </c>
      <c r="E471" s="1" t="n">
        <v>46298</v>
      </c>
      <c r="F471" t="inlineStr">
        <is>
          <t>GOTLANDS LÄN</t>
        </is>
      </c>
      <c r="G471" t="inlineStr">
        <is>
          <t>GOTLAND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40001-2026</t>
        </is>
      </c>
      <c r="B472" t="inlineStr">
        <is>
          <t>avverkningsanmälan</t>
        </is>
      </c>
      <c r="C472" t="inlineStr">
        <is>
          <t>Föryngringsavverkning</t>
        </is>
      </c>
      <c r="D472" s="1" t="n">
        <v>46293</v>
      </c>
      <c r="E472" s="1" t="n">
        <v>46298</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46298</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46298</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46298</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46298</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46298</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46298</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46298</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46298</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5386-2023</t>
        </is>
      </c>
      <c r="B481" t="inlineStr">
        <is>
          <t>avverkningsanmälan</t>
        </is>
      </c>
      <c r="C481" t="inlineStr">
        <is>
          <t>Föryngringsavverkning</t>
        </is>
      </c>
      <c r="D481" s="1" t="n">
        <v>44959</v>
      </c>
      <c r="E481" s="1" t="n">
        <v>46298</v>
      </c>
      <c r="F481" t="inlineStr">
        <is>
          <t>GOTLANDS LÄN</t>
        </is>
      </c>
      <c r="G481" t="inlineStr">
        <is>
          <t>GOTLAND</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46298</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46298</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46298</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46298</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9540-2026</t>
        </is>
      </c>
      <c r="B486" t="inlineStr">
        <is>
          <t>avverkningsanmälan</t>
        </is>
      </c>
      <c r="C486" t="inlineStr">
        <is>
          <t>Föryngringsavverkning</t>
        </is>
      </c>
      <c r="D486" s="1" t="n">
        <v>46071</v>
      </c>
      <c r="E486" s="1" t="n">
        <v>46298</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46298</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46298</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25866-2022</t>
        </is>
      </c>
      <c r="B489" t="inlineStr">
        <is>
          <t>avverkningsanmälan</t>
        </is>
      </c>
      <c r="C489" t="inlineStr">
        <is>
          <t>Föryngringsavverkning</t>
        </is>
      </c>
      <c r="D489" s="1" t="n">
        <v>44733</v>
      </c>
      <c r="E489" s="1" t="n">
        <v>46298</v>
      </c>
      <c r="F489" t="inlineStr">
        <is>
          <t>GOTLANDS LÄN</t>
        </is>
      </c>
      <c r="G489" t="inlineStr">
        <is>
          <t>GOTLAND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46298</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46298</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46298</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46298</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46298</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46298</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46298</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46298</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46298</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27596-2023</t>
        </is>
      </c>
      <c r="B499" t="inlineStr">
        <is>
          <t>avverkningsanmälan</t>
        </is>
      </c>
      <c r="C499" t="inlineStr">
        <is>
          <t>Avverkning för annat ändamål</t>
        </is>
      </c>
      <c r="D499" s="1" t="n">
        <v>45097</v>
      </c>
      <c r="E499" s="1" t="n">
        <v>46298</v>
      </c>
      <c r="F499" t="inlineStr">
        <is>
          <t>GOTLANDS LÄN</t>
        </is>
      </c>
      <c r="G499" t="inlineStr">
        <is>
          <t>GOTLAND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64969-2023</t>
        </is>
      </c>
      <c r="B500" t="inlineStr">
        <is>
          <t>avverkningsanmälan</t>
        </is>
      </c>
      <c r="C500" t="inlineStr">
        <is>
          <t>Föryngringsavverkning</t>
        </is>
      </c>
      <c r="D500" s="1" t="n">
        <v>45284</v>
      </c>
      <c r="E500" s="1" t="n">
        <v>46298</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46949-2024</t>
        </is>
      </c>
      <c r="B501" t="inlineStr">
        <is>
          <t>avverkningsanmälan</t>
        </is>
      </c>
      <c r="C501" t="inlineStr">
        <is>
          <t>Föryngringsavverkning</t>
        </is>
      </c>
      <c r="D501" s="1" t="n">
        <v>45585</v>
      </c>
      <c r="E501" s="1" t="n">
        <v>46298</v>
      </c>
      <c r="F501" t="inlineStr">
        <is>
          <t>GOTLANDS LÄN</t>
        </is>
      </c>
      <c r="G501" t="inlineStr">
        <is>
          <t>GOTLAND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39479-2022</t>
        </is>
      </c>
      <c r="B502" t="inlineStr">
        <is>
          <t>avverkningsanmälan</t>
        </is>
      </c>
      <c r="C502" t="inlineStr">
        <is>
          <t>Föryngringsavverkning</t>
        </is>
      </c>
      <c r="D502" s="1" t="n">
        <v>44818</v>
      </c>
      <c r="E502" s="1" t="n">
        <v>46298</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39496-2022</t>
        </is>
      </c>
      <c r="B503" t="inlineStr">
        <is>
          <t>avverkningsanmälan</t>
        </is>
      </c>
      <c r="C503" t="inlineStr">
        <is>
          <t>Föryngringsavverkning</t>
        </is>
      </c>
      <c r="D503" s="1" t="n">
        <v>44818</v>
      </c>
      <c r="E503" s="1" t="n">
        <v>46298</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46298</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46298</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46298</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46298</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21164-2024</t>
        </is>
      </c>
      <c r="B508" t="inlineStr">
        <is>
          <t>avverkningsanmälan</t>
        </is>
      </c>
      <c r="C508" t="inlineStr">
        <is>
          <t>Föryngringsavverkning</t>
        </is>
      </c>
      <c r="D508" s="1" t="n">
        <v>45440</v>
      </c>
      <c r="E508" s="1" t="n">
        <v>46298</v>
      </c>
      <c r="F508" t="inlineStr">
        <is>
          <t>GOTLANDS LÄN</t>
        </is>
      </c>
      <c r="G508" t="inlineStr">
        <is>
          <t>GOTLAND</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17541-2024</t>
        </is>
      </c>
      <c r="B509" t="inlineStr">
        <is>
          <t>avverkningsanmälan</t>
        </is>
      </c>
      <c r="C509" t="inlineStr">
        <is>
          <t>Föryngringsavverkning</t>
        </is>
      </c>
      <c r="D509" s="1" t="n">
        <v>45415</v>
      </c>
      <c r="E509" s="1" t="n">
        <v>46298</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46298</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46298</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46298</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46298</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46298</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46298</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46298</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46298</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46298</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46298</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46298</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46298</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46298</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2026-10-03T01:58:49Z</dcterms:created>
  <dcterms:modified xmlns:dcterms="http://purl.org/dc/terms/" xmlns:xsi="http://www.w3.org/2001/XMLSchema-instance" xsi:type="dcterms:W3CDTF">2026-10-03T01:58:50Z</dcterms:modified>
</cp:coreProperties>
</file>