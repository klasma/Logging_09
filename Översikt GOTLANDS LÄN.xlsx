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46158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46158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46158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46158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46158</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46158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46158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46158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46158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46158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46158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46158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46158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46158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46158</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46158</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46158</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46158</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46158</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46158</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46158</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46158</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46158</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46158</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46158</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46158</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46158</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46158</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46158</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46158</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46158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46158</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46158</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46158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46158</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46158</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46158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46158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46158</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46158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46158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46158</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46158</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46158</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17766-2024</t>
        </is>
      </c>
      <c r="B46" s="1" t="n">
        <v>45418</v>
      </c>
      <c r="C46" s="1" t="n">
        <v>46158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45248-2024</t>
        </is>
      </c>
      <c r="B47" s="1" t="n">
        <v>45576</v>
      </c>
      <c r="C47" s="1" t="n">
        <v>46158</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27280-2023</t>
        </is>
      </c>
      <c r="B48" s="1" t="n">
        <v>45096</v>
      </c>
      <c r="C48" s="1" t="n">
        <v>46158</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1719-2025</t>
        </is>
      </c>
      <c r="B49" s="1" t="n">
        <v>45671</v>
      </c>
      <c r="C49" s="1" t="n">
        <v>46158</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46158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46158</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46158</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46158</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46158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46158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46158</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46158</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46158</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46158</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46158</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46158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46158</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46158</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46158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46158</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46158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46158</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46158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46158</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46158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46158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46158</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46158</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46158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46158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46158</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46158</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46158</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46158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46158</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52245-2025</t>
        </is>
      </c>
      <c r="B81" s="1" t="n">
        <v>45953.47115740741</v>
      </c>
      <c r="C81" s="1" t="n">
        <v>46158</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35293-2025</t>
        </is>
      </c>
      <c r="B82" s="1" t="n">
        <v>45854.39438657407</v>
      </c>
      <c r="C82" s="1" t="n">
        <v>46158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6839-2026</t>
        </is>
      </c>
      <c r="B83" s="1" t="n">
        <v>46057.41193287037</v>
      </c>
      <c r="C83" s="1" t="n">
        <v>46158</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39425-2023</t>
        </is>
      </c>
      <c r="B84" s="1" t="n">
        <v>45166</v>
      </c>
      <c r="C84" s="1" t="n">
        <v>46158</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46158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46158</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46158</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46158</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46158</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46158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46158</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46158</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46158</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46158</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46158</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44933-2022</t>
        </is>
      </c>
      <c r="B96" s="1" t="n">
        <v>44841</v>
      </c>
      <c r="C96" s="1" t="n">
        <v>46158</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13203-2026</t>
        </is>
      </c>
      <c r="B97" s="1" t="n">
        <v>46093</v>
      </c>
      <c r="C97" s="1" t="n">
        <v>46158</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46158</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46158</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46158</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46158</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46158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46158</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46158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46158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46158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46158</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46158</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46158</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46158</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20831-2024</t>
        </is>
      </c>
      <c r="B111" s="1" t="n">
        <v>45439</v>
      </c>
      <c r="C111" s="1" t="n">
        <v>46158</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46158</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46158</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46158</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46158</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46158</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46158</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46158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46158</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46158</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46158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46158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46158</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46158</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46158</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46158</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62760-2025</t>
        </is>
      </c>
      <c r="B127" s="1" t="n">
        <v>46008</v>
      </c>
      <c r="C127" s="1" t="n">
        <v>46158</v>
      </c>
      <c r="D127" t="inlineStr">
        <is>
          <t>GOTLANDS LÄN</t>
        </is>
      </c>
      <c r="E127" t="inlineStr">
        <is>
          <t>GOTLAND</t>
        </is>
      </c>
      <c r="F127" t="inlineStr">
        <is>
          <t>Övriga Aktiebolag</t>
        </is>
      </c>
      <c r="G127" t="n">
        <v>4.6</v>
      </c>
      <c r="H127" t="n">
        <v>1</v>
      </c>
      <c r="I127" t="n">
        <v>2</v>
      </c>
      <c r="J127" t="n">
        <v>0</v>
      </c>
      <c r="K127" t="n">
        <v>0</v>
      </c>
      <c r="L127" t="n">
        <v>0</v>
      </c>
      <c r="M127" t="n">
        <v>0</v>
      </c>
      <c r="N127" t="n">
        <v>0</v>
      </c>
      <c r="O127" t="n">
        <v>0</v>
      </c>
      <c r="P127" t="n">
        <v>0</v>
      </c>
      <c r="Q127" t="n">
        <v>2</v>
      </c>
      <c r="R127" s="2" t="inlineStr">
        <is>
          <t>Nästrot
Vårärt</t>
        </is>
      </c>
      <c r="S127">
        <f>HYPERLINK("https://klasma.github.io/Logging_0980/artfynd/A 62760-2025 artfynd.xlsx", "A 62760-2025")</f>
        <v/>
      </c>
      <c r="T127">
        <f>HYPERLINK("https://klasma.github.io/Logging_0980/kartor/A 62760-2025 karta.png", "A 62760-2025")</f>
        <v/>
      </c>
      <c r="V127">
        <f>HYPERLINK("https://klasma.github.io/Logging_0980/klagomål/A 62760-2025 FSC-klagomål.docx", "A 62760-2025")</f>
        <v/>
      </c>
      <c r="W127">
        <f>HYPERLINK("https://klasma.github.io/Logging_0980/klagomålsmail/A 62760-2025 FSC-klagomål mail.docx", "A 62760-2025")</f>
        <v/>
      </c>
      <c r="X127">
        <f>HYPERLINK("https://klasma.github.io/Logging_0980/tillsyn/A 62760-2025 tillsynsbegäran.docx", "A 62760-2025")</f>
        <v/>
      </c>
      <c r="Y127">
        <f>HYPERLINK("https://klasma.github.io/Logging_0980/tillsynsmail/A 62760-2025 tillsynsbegäran mail.docx", "A 62760-2025")</f>
        <v/>
      </c>
    </row>
    <row r="128" ht="15" customHeight="1">
      <c r="A128" t="inlineStr">
        <is>
          <t>A 63162-2025</t>
        </is>
      </c>
      <c r="B128" s="1" t="n">
        <v>46010.37629629629</v>
      </c>
      <c r="C128" s="1" t="n">
        <v>46158</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17328-2026</t>
        </is>
      </c>
      <c r="B129" s="1" t="n">
        <v>46119.61216435185</v>
      </c>
      <c r="C129" s="1" t="n">
        <v>46158</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20838-2024</t>
        </is>
      </c>
      <c r="B130" s="1" t="n">
        <v>45439</v>
      </c>
      <c r="C130" s="1" t="n">
        <v>46158</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46158</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46158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46158</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16997-2026</t>
        </is>
      </c>
      <c r="B134" s="1" t="n">
        <v>46114.42539351852</v>
      </c>
      <c r="C134" s="1" t="n">
        <v>46158</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12914-2025</t>
        </is>
      </c>
      <c r="B135" s="1" t="n">
        <v>45733</v>
      </c>
      <c r="C135" s="1" t="n">
        <v>46158</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46158</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46158</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46158</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46158</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46158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46158</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46158</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46158</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46158</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39812-2025</t>
        </is>
      </c>
      <c r="B145" s="1" t="n">
        <v>45891</v>
      </c>
      <c r="C145" s="1" t="n">
        <v>46158</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46158</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65927-2021</t>
        </is>
      </c>
      <c r="B147" s="1" t="n">
        <v>44516</v>
      </c>
      <c r="C147" s="1" t="n">
        <v>46158</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61796-2022</t>
        </is>
      </c>
      <c r="B148" s="1" t="n">
        <v>44917</v>
      </c>
      <c r="C148" s="1" t="n">
        <v>46158</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35467-2021</t>
        </is>
      </c>
      <c r="B149" s="1" t="n">
        <v>44385</v>
      </c>
      <c r="C149" s="1" t="n">
        <v>46158</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46158</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15637-2024</t>
        </is>
      </c>
      <c r="B151" s="1" t="n">
        <v>45403.6684837963</v>
      </c>
      <c r="C151" s="1" t="n">
        <v>46158</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46158</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46158</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49726-2025</t>
        </is>
      </c>
      <c r="B154" s="1" t="n">
        <v>45939.84466435185</v>
      </c>
      <c r="C154" s="1" t="n">
        <v>46158</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2476-2025</t>
        </is>
      </c>
      <c r="B155" s="1" t="n">
        <v>45673</v>
      </c>
      <c r="C155" s="1" t="n">
        <v>46158</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46158</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12924-2025</t>
        </is>
      </c>
      <c r="B157" s="1" t="n">
        <v>45734</v>
      </c>
      <c r="C157" s="1" t="n">
        <v>46158</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46158</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46158</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46158</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10013-2026</t>
        </is>
      </c>
      <c r="B161" s="1" t="n">
        <v>46073</v>
      </c>
      <c r="C161" s="1" t="n">
        <v>46158</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447-2023</t>
        </is>
      </c>
      <c r="B162" s="1" t="n">
        <v>44929</v>
      </c>
      <c r="C162" s="1" t="n">
        <v>46158</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46158</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46158</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46158</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46158</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17854-2026</t>
        </is>
      </c>
      <c r="B167" s="1" t="n">
        <v>46121</v>
      </c>
      <c r="C167" s="1" t="n">
        <v>46158</v>
      </c>
      <c r="D167" t="inlineStr">
        <is>
          <t>GOTLANDS LÄN</t>
        </is>
      </c>
      <c r="E167" t="inlineStr">
        <is>
          <t>GOTLAND</t>
        </is>
      </c>
      <c r="G167" t="n">
        <v>6.6</v>
      </c>
      <c r="H167" t="n">
        <v>0</v>
      </c>
      <c r="I167" t="n">
        <v>1</v>
      </c>
      <c r="J167" t="n">
        <v>0</v>
      </c>
      <c r="K167" t="n">
        <v>0</v>
      </c>
      <c r="L167" t="n">
        <v>0</v>
      </c>
      <c r="M167" t="n">
        <v>0</v>
      </c>
      <c r="N167" t="n">
        <v>0</v>
      </c>
      <c r="O167" t="n">
        <v>0</v>
      </c>
      <c r="P167" t="n">
        <v>0</v>
      </c>
      <c r="Q167" t="n">
        <v>1</v>
      </c>
      <c r="R167" s="2" t="inlineStr">
        <is>
          <t>Blå slemspindling</t>
        </is>
      </c>
      <c r="S167">
        <f>HYPERLINK("https://klasma.github.io/Logging_0980/artfynd/A 17854-2026 artfynd.xlsx", "A 17854-2026")</f>
        <v/>
      </c>
      <c r="T167">
        <f>HYPERLINK("https://klasma.github.io/Logging_0980/kartor/A 17854-2026 karta.png", "A 17854-2026")</f>
        <v/>
      </c>
      <c r="V167">
        <f>HYPERLINK("https://klasma.github.io/Logging_0980/klagomål/A 17854-2026 FSC-klagomål.docx", "A 17854-2026")</f>
        <v/>
      </c>
      <c r="W167">
        <f>HYPERLINK("https://klasma.github.io/Logging_0980/klagomålsmail/A 17854-2026 FSC-klagomål mail.docx", "A 17854-2026")</f>
        <v/>
      </c>
      <c r="X167">
        <f>HYPERLINK("https://klasma.github.io/Logging_0980/tillsyn/A 17854-2026 tillsynsbegäran.docx", "A 17854-2026")</f>
        <v/>
      </c>
      <c r="Y167">
        <f>HYPERLINK("https://klasma.github.io/Logging_0980/tillsynsmail/A 17854-2026 tillsynsbegäran mail.docx", "A 17854-2026")</f>
        <v/>
      </c>
    </row>
    <row r="168" ht="15" customHeight="1">
      <c r="A168" t="inlineStr">
        <is>
          <t>A 18036-2026</t>
        </is>
      </c>
      <c r="B168" s="1" t="n">
        <v>46125.39576388889</v>
      </c>
      <c r="C168" s="1" t="n">
        <v>46158</v>
      </c>
      <c r="D168" t="inlineStr">
        <is>
          <t>GOTLANDS LÄN</t>
        </is>
      </c>
      <c r="E168" t="inlineStr">
        <is>
          <t>GOTLAND</t>
        </is>
      </c>
      <c r="G168" t="n">
        <v>1.8</v>
      </c>
      <c r="H168" t="n">
        <v>0</v>
      </c>
      <c r="I168" t="n">
        <v>0</v>
      </c>
      <c r="J168" t="n">
        <v>1</v>
      </c>
      <c r="K168" t="n">
        <v>0</v>
      </c>
      <c r="L168" t="n">
        <v>0</v>
      </c>
      <c r="M168" t="n">
        <v>0</v>
      </c>
      <c r="N168" t="n">
        <v>0</v>
      </c>
      <c r="O168" t="n">
        <v>1</v>
      </c>
      <c r="P168" t="n">
        <v>0</v>
      </c>
      <c r="Q168" t="n">
        <v>1</v>
      </c>
      <c r="R168" s="2" t="inlineStr">
        <is>
          <t>Sommarfibbla</t>
        </is>
      </c>
      <c r="S168">
        <f>HYPERLINK("https://klasma.github.io/Logging_0980/artfynd/A 18036-2026 artfynd.xlsx", "A 18036-2026")</f>
        <v/>
      </c>
      <c r="T168">
        <f>HYPERLINK("https://klasma.github.io/Logging_0980/kartor/A 18036-2026 karta.png", "A 18036-2026")</f>
        <v/>
      </c>
      <c r="V168">
        <f>HYPERLINK("https://klasma.github.io/Logging_0980/klagomål/A 18036-2026 FSC-klagomål.docx", "A 18036-2026")</f>
        <v/>
      </c>
      <c r="W168">
        <f>HYPERLINK("https://klasma.github.io/Logging_0980/klagomålsmail/A 18036-2026 FSC-klagomål mail.docx", "A 18036-2026")</f>
        <v/>
      </c>
      <c r="X168">
        <f>HYPERLINK("https://klasma.github.io/Logging_0980/tillsyn/A 18036-2026 tillsynsbegäran.docx", "A 18036-2026")</f>
        <v/>
      </c>
      <c r="Y168">
        <f>HYPERLINK("https://klasma.github.io/Logging_0980/tillsynsmail/A 18036-2026 tillsynsbegäran mail.docx", "A 18036-2026")</f>
        <v/>
      </c>
    </row>
    <row r="169" ht="15" customHeight="1">
      <c r="A169" t="inlineStr">
        <is>
          <t>A 11708-2026</t>
        </is>
      </c>
      <c r="B169" s="1" t="n">
        <v>46084</v>
      </c>
      <c r="C169" s="1" t="n">
        <v>46158</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27589-2023</t>
        </is>
      </c>
      <c r="B170" s="1" t="n">
        <v>45097</v>
      </c>
      <c r="C170" s="1" t="n">
        <v>46158</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46158</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46158</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46158</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46158</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46158</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46158</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46158</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46154.42940972222</v>
      </c>
      <c r="C178" s="1" t="n">
        <v>46158</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61561-2023</t>
        </is>
      </c>
      <c r="B179" s="1" t="n">
        <v>45265</v>
      </c>
      <c r="C179" s="1" t="n">
        <v>46158</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46158</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46158</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46158</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46158</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46158</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46158</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46158</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46158</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46158</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36313-2021</t>
        </is>
      </c>
      <c r="B189" s="1" t="n">
        <v>44390</v>
      </c>
      <c r="C189" s="1" t="n">
        <v>46158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46158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46158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46158</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46158</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46158</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46158</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46158</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46158</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46158</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46158</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46158</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46158</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46158</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46158</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46158</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46158</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46158</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46158</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46158</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46158</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46158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46158</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46158</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46158</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46158</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46158</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46158</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46158</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46158</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46158</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46158</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46158</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46158</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46158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46158</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46158</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46158</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46158</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46158</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46158</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46158</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46158</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46158</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46158</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46158</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46158</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46158</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46158</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46158</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23473-2025</t>
        </is>
      </c>
      <c r="B239" s="1" t="n">
        <v>45792</v>
      </c>
      <c r="C239" s="1" t="n">
        <v>46158</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57522-2022</t>
        </is>
      </c>
      <c r="B240" s="1" t="n">
        <v>44896</v>
      </c>
      <c r="C240" s="1" t="n">
        <v>46158</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23856-2025</t>
        </is>
      </c>
      <c r="B241" s="1" t="n">
        <v>45793</v>
      </c>
      <c r="C241" s="1" t="n">
        <v>46158</v>
      </c>
      <c r="D241" t="inlineStr">
        <is>
          <t>GOTLANDS LÄN</t>
        </is>
      </c>
      <c r="E241" t="inlineStr">
        <is>
          <t>GOTLAND</t>
        </is>
      </c>
      <c r="G241" t="n">
        <v>4.4</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46158</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38649-2025</t>
        </is>
      </c>
      <c r="B243" s="1" t="n">
        <v>45884</v>
      </c>
      <c r="C243" s="1" t="n">
        <v>46158</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15073-2025</t>
        </is>
      </c>
      <c r="B244" s="1" t="n">
        <v>45743</v>
      </c>
      <c r="C244" s="1" t="n">
        <v>46158</v>
      </c>
      <c r="D244" t="inlineStr">
        <is>
          <t>GOTLANDS LÄN</t>
        </is>
      </c>
      <c r="E244" t="inlineStr">
        <is>
          <t>GOTLAND</t>
        </is>
      </c>
      <c r="G244" t="n">
        <v>12.1</v>
      </c>
      <c r="H244" t="n">
        <v>0</v>
      </c>
      <c r="I244" t="n">
        <v>0</v>
      </c>
      <c r="J244" t="n">
        <v>0</v>
      </c>
      <c r="K244" t="n">
        <v>0</v>
      </c>
      <c r="L244" t="n">
        <v>0</v>
      </c>
      <c r="M244" t="n">
        <v>0</v>
      </c>
      <c r="N244" t="n">
        <v>0</v>
      </c>
      <c r="O244" t="n">
        <v>0</v>
      </c>
      <c r="P244" t="n">
        <v>0</v>
      </c>
      <c r="Q244" t="n">
        <v>0</v>
      </c>
      <c r="R244" s="2" t="inlineStr"/>
    </row>
    <row r="245" ht="15" customHeight="1">
      <c r="A245" t="inlineStr">
        <is>
          <t>A 61078-2025</t>
        </is>
      </c>
      <c r="B245" s="1" t="n">
        <v>46000</v>
      </c>
      <c r="C245" s="1" t="n">
        <v>46158</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46158</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63516-2023</t>
        </is>
      </c>
      <c r="B247" s="1" t="n">
        <v>45274</v>
      </c>
      <c r="C247" s="1" t="n">
        <v>46158</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46158</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46158</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36-2026</t>
        </is>
      </c>
      <c r="B250" s="1" t="n">
        <v>46024.38886574074</v>
      </c>
      <c r="C250" s="1" t="n">
        <v>46158</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46158</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46158</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62674-2025</t>
        </is>
      </c>
      <c r="B253" s="1" t="n">
        <v>46008</v>
      </c>
      <c r="C253" s="1" t="n">
        <v>46158</v>
      </c>
      <c r="D253" t="inlineStr">
        <is>
          <t>GOTLANDS LÄN</t>
        </is>
      </c>
      <c r="E253" t="inlineStr">
        <is>
          <t>GOTLAND</t>
        </is>
      </c>
      <c r="G253" t="n">
        <v>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46158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46158</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46158</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46158</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46158</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46158</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5462-2025</t>
        </is>
      </c>
      <c r="B260" s="1" t="n">
        <v>45693.29331018519</v>
      </c>
      <c r="C260" s="1" t="n">
        <v>46158</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1273-2023</t>
        </is>
      </c>
      <c r="B261" s="1" t="n">
        <v>44936</v>
      </c>
      <c r="C261" s="1" t="n">
        <v>46158</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46158</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46158</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46158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46158</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46158</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46158</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46158</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46158</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46158</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61100-2022</t>
        </is>
      </c>
      <c r="B271" s="1" t="n">
        <v>44915</v>
      </c>
      <c r="C271" s="1" t="n">
        <v>46158</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46158</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40103-2025</t>
        </is>
      </c>
      <c r="B273" s="1" t="n">
        <v>45894.4880324074</v>
      </c>
      <c r="C273" s="1" t="n">
        <v>46158</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46158</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46158</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46158</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40372-2025</t>
        </is>
      </c>
      <c r="B277" s="1" t="n">
        <v>45895.5162037037</v>
      </c>
      <c r="C277" s="1" t="n">
        <v>46158</v>
      </c>
      <c r="D277" t="inlineStr">
        <is>
          <t>GOTLANDS LÄN</t>
        </is>
      </c>
      <c r="E277" t="inlineStr">
        <is>
          <t>GOTLAND</t>
        </is>
      </c>
      <c r="G277" t="n">
        <v>3.3</v>
      </c>
      <c r="H277" t="n">
        <v>0</v>
      </c>
      <c r="I277" t="n">
        <v>0</v>
      </c>
      <c r="J277" t="n">
        <v>0</v>
      </c>
      <c r="K277" t="n">
        <v>0</v>
      </c>
      <c r="L277" t="n">
        <v>0</v>
      </c>
      <c r="M277" t="n">
        <v>0</v>
      </c>
      <c r="N277" t="n">
        <v>0</v>
      </c>
      <c r="O277" t="n">
        <v>0</v>
      </c>
      <c r="P277" t="n">
        <v>0</v>
      </c>
      <c r="Q277" t="n">
        <v>0</v>
      </c>
      <c r="R277" s="2" t="inlineStr"/>
    </row>
    <row r="278" ht="15" customHeight="1">
      <c r="A278" t="inlineStr">
        <is>
          <t>A 39278-2025</t>
        </is>
      </c>
      <c r="B278" s="1" t="n">
        <v>45889</v>
      </c>
      <c r="C278" s="1" t="n">
        <v>46158</v>
      </c>
      <c r="D278" t="inlineStr">
        <is>
          <t>GOTLANDS LÄN</t>
        </is>
      </c>
      <c r="E278" t="inlineStr">
        <is>
          <t>GOTLAND</t>
        </is>
      </c>
      <c r="G278" t="n">
        <v>3.7</v>
      </c>
      <c r="H278" t="n">
        <v>0</v>
      </c>
      <c r="I278" t="n">
        <v>0</v>
      </c>
      <c r="J278" t="n">
        <v>0</v>
      </c>
      <c r="K278" t="n">
        <v>0</v>
      </c>
      <c r="L278" t="n">
        <v>0</v>
      </c>
      <c r="M278" t="n">
        <v>0</v>
      </c>
      <c r="N278" t="n">
        <v>0</v>
      </c>
      <c r="O278" t="n">
        <v>0</v>
      </c>
      <c r="P278" t="n">
        <v>0</v>
      </c>
      <c r="Q278" t="n">
        <v>0</v>
      </c>
      <c r="R278" s="2" t="inlineStr"/>
    </row>
    <row r="279" ht="15" customHeight="1">
      <c r="A279" t="inlineStr">
        <is>
          <t>A 26457-2025</t>
        </is>
      </c>
      <c r="B279" s="1" t="n">
        <v>45807.42773148148</v>
      </c>
      <c r="C279" s="1" t="n">
        <v>46158</v>
      </c>
      <c r="D279" t="inlineStr">
        <is>
          <t>GOTLANDS LÄN</t>
        </is>
      </c>
      <c r="E279" t="inlineStr">
        <is>
          <t>GOTLAND</t>
        </is>
      </c>
      <c r="G279" t="n">
        <v>5.7</v>
      </c>
      <c r="H279" t="n">
        <v>0</v>
      </c>
      <c r="I279" t="n">
        <v>0</v>
      </c>
      <c r="J279" t="n">
        <v>0</v>
      </c>
      <c r="K279" t="n">
        <v>0</v>
      </c>
      <c r="L279" t="n">
        <v>0</v>
      </c>
      <c r="M279" t="n">
        <v>0</v>
      </c>
      <c r="N279" t="n">
        <v>0</v>
      </c>
      <c r="O279" t="n">
        <v>0</v>
      </c>
      <c r="P279" t="n">
        <v>0</v>
      </c>
      <c r="Q279" t="n">
        <v>0</v>
      </c>
      <c r="R279" s="2" t="inlineStr"/>
    </row>
    <row r="280" ht="15" customHeight="1">
      <c r="A280" t="inlineStr">
        <is>
          <t>A 26467-2025</t>
        </is>
      </c>
      <c r="B280" s="1" t="n">
        <v>45807.44640046296</v>
      </c>
      <c r="C280" s="1" t="n">
        <v>46158</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46158</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26660-2025</t>
        </is>
      </c>
      <c r="B282" s="1" t="n">
        <v>45810.39737268518</v>
      </c>
      <c r="C282" s="1" t="n">
        <v>46158</v>
      </c>
      <c r="D282" t="inlineStr">
        <is>
          <t>GOTLANDS LÄN</t>
        </is>
      </c>
      <c r="E282" t="inlineStr">
        <is>
          <t>GOTLAND</t>
        </is>
      </c>
      <c r="G282" t="n">
        <v>1.8</v>
      </c>
      <c r="H282" t="n">
        <v>0</v>
      </c>
      <c r="I282" t="n">
        <v>0</v>
      </c>
      <c r="J282" t="n">
        <v>0</v>
      </c>
      <c r="K282" t="n">
        <v>0</v>
      </c>
      <c r="L282" t="n">
        <v>0</v>
      </c>
      <c r="M282" t="n">
        <v>0</v>
      </c>
      <c r="N282" t="n">
        <v>0</v>
      </c>
      <c r="O282" t="n">
        <v>0</v>
      </c>
      <c r="P282" t="n">
        <v>0</v>
      </c>
      <c r="Q282" t="n">
        <v>0</v>
      </c>
      <c r="R282" s="2" t="inlineStr"/>
    </row>
    <row r="283" ht="15" customHeight="1">
      <c r="A283" t="inlineStr">
        <is>
          <t>A 58388-2022</t>
        </is>
      </c>
      <c r="B283" s="1" t="n">
        <v>44894</v>
      </c>
      <c r="C283" s="1" t="n">
        <v>46158</v>
      </c>
      <c r="D283" t="inlineStr">
        <is>
          <t>GOTLANDS LÄN</t>
        </is>
      </c>
      <c r="E283" t="inlineStr">
        <is>
          <t>GOTLAND</t>
        </is>
      </c>
      <c r="F283" t="inlineStr">
        <is>
          <t>Övriga statliga verk och myndigheter</t>
        </is>
      </c>
      <c r="G283" t="n">
        <v>3.1</v>
      </c>
      <c r="H283" t="n">
        <v>0</v>
      </c>
      <c r="I283" t="n">
        <v>0</v>
      </c>
      <c r="J283" t="n">
        <v>0</v>
      </c>
      <c r="K283" t="n">
        <v>0</v>
      </c>
      <c r="L283" t="n">
        <v>0</v>
      </c>
      <c r="M283" t="n">
        <v>0</v>
      </c>
      <c r="N283" t="n">
        <v>0</v>
      </c>
      <c r="O283" t="n">
        <v>0</v>
      </c>
      <c r="P283" t="n">
        <v>0</v>
      </c>
      <c r="Q283" t="n">
        <v>0</v>
      </c>
      <c r="R283" s="2" t="inlineStr"/>
    </row>
    <row r="284" ht="15" customHeight="1">
      <c r="A284" t="inlineStr">
        <is>
          <t>A 41435-2025</t>
        </is>
      </c>
      <c r="B284" s="1" t="n">
        <v>45901.39974537037</v>
      </c>
      <c r="C284" s="1" t="n">
        <v>46158</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21792-2024</t>
        </is>
      </c>
      <c r="B285" s="1" t="n">
        <v>45442.64326388889</v>
      </c>
      <c r="C285" s="1" t="n">
        <v>46158</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27371-2025</t>
        </is>
      </c>
      <c r="B286" s="1" t="n">
        <v>45812</v>
      </c>
      <c r="C286" s="1" t="n">
        <v>46158</v>
      </c>
      <c r="D286" t="inlineStr">
        <is>
          <t>GOTLANDS LÄN</t>
        </is>
      </c>
      <c r="E286" t="inlineStr">
        <is>
          <t>GOTLAND</t>
        </is>
      </c>
      <c r="G286" t="n">
        <v>8</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46158</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6739-2025</t>
        </is>
      </c>
      <c r="B288" s="1" t="n">
        <v>45700</v>
      </c>
      <c r="C288" s="1" t="n">
        <v>46158</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7850-2025</t>
        </is>
      </c>
      <c r="B289" s="1" t="n">
        <v>45706</v>
      </c>
      <c r="C289" s="1" t="n">
        <v>46158</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46158</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46158</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46158</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7837-2024</t>
        </is>
      </c>
      <c r="B293" s="1" t="n">
        <v>45349.83787037037</v>
      </c>
      <c r="C293" s="1" t="n">
        <v>46158</v>
      </c>
      <c r="D293" t="inlineStr">
        <is>
          <t>GOTLANDS LÄN</t>
        </is>
      </c>
      <c r="E293" t="inlineStr">
        <is>
          <t>GOTLAND</t>
        </is>
      </c>
      <c r="G293" t="n">
        <v>5</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46158</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19905-2025</t>
        </is>
      </c>
      <c r="B295" s="1" t="n">
        <v>45771</v>
      </c>
      <c r="C295" s="1" t="n">
        <v>46158</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1355-2026</t>
        </is>
      </c>
      <c r="B296" s="1" t="n">
        <v>46031.59909722222</v>
      </c>
      <c r="C296" s="1" t="n">
        <v>46158</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46158</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29196-2025</t>
        </is>
      </c>
      <c r="B298" s="1" t="n">
        <v>45822</v>
      </c>
      <c r="C298" s="1" t="n">
        <v>46158</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46158</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1898-2026</t>
        </is>
      </c>
      <c r="B300" s="1" t="n">
        <v>46035.52024305556</v>
      </c>
      <c r="C300" s="1" t="n">
        <v>46158</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46158</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46158</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46036.76203703704</v>
      </c>
      <c r="C303" s="1" t="n">
        <v>46158</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46158</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10158-2025</t>
        </is>
      </c>
      <c r="B305" s="1" t="n">
        <v>45719</v>
      </c>
      <c r="C305" s="1" t="n">
        <v>46158</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46158</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43911-2025</t>
        </is>
      </c>
      <c r="B307" s="1" t="n">
        <v>45914.3881712963</v>
      </c>
      <c r="C307" s="1" t="n">
        <v>46158</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44410-2025</t>
        </is>
      </c>
      <c r="B308" s="1" t="n">
        <v>45916.53699074074</v>
      </c>
      <c r="C308" s="1" t="n">
        <v>46158</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1291-2023</t>
        </is>
      </c>
      <c r="B309" s="1" t="n">
        <v>44936.47561342592</v>
      </c>
      <c r="C309" s="1" t="n">
        <v>46158</v>
      </c>
      <c r="D309" t="inlineStr">
        <is>
          <t>GOTLANDS LÄN</t>
        </is>
      </c>
      <c r="E309" t="inlineStr">
        <is>
          <t>GOTLAND</t>
        </is>
      </c>
      <c r="G309" t="n">
        <v>7.4</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46158</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3253-2026</t>
        </is>
      </c>
      <c r="B311" s="1" t="n">
        <v>46041.58902777778</v>
      </c>
      <c r="C311" s="1" t="n">
        <v>46158</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58160-2024</t>
        </is>
      </c>
      <c r="B312" s="1" t="n">
        <v>45632.44927083333</v>
      </c>
      <c r="C312" s="1" t="n">
        <v>46158</v>
      </c>
      <c r="D312" t="inlineStr">
        <is>
          <t>GOTLANDS LÄN</t>
        </is>
      </c>
      <c r="E312" t="inlineStr">
        <is>
          <t>GOTLAND</t>
        </is>
      </c>
      <c r="G312" t="n">
        <v>5.6</v>
      </c>
      <c r="H312" t="n">
        <v>0</v>
      </c>
      <c r="I312" t="n">
        <v>0</v>
      </c>
      <c r="J312" t="n">
        <v>0</v>
      </c>
      <c r="K312" t="n">
        <v>0</v>
      </c>
      <c r="L312" t="n">
        <v>0</v>
      </c>
      <c r="M312" t="n">
        <v>0</v>
      </c>
      <c r="N312" t="n">
        <v>0</v>
      </c>
      <c r="O312" t="n">
        <v>0</v>
      </c>
      <c r="P312" t="n">
        <v>0</v>
      </c>
      <c r="Q312" t="n">
        <v>0</v>
      </c>
      <c r="R312" s="2" t="inlineStr"/>
    </row>
    <row r="313" ht="15" customHeight="1">
      <c r="A313" t="inlineStr">
        <is>
          <t>A 44405-2025</t>
        </is>
      </c>
      <c r="B313" s="1" t="n">
        <v>45916.52405092592</v>
      </c>
      <c r="C313" s="1" t="n">
        <v>46158</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46158</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49315-2024</t>
        </is>
      </c>
      <c r="B315" s="1" t="n">
        <v>45595</v>
      </c>
      <c r="C315" s="1" t="n">
        <v>46158</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46158</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46158</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2676-2023</t>
        </is>
      </c>
      <c r="B318" s="1" t="n">
        <v>44944</v>
      </c>
      <c r="C318" s="1" t="n">
        <v>46158</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3150-2025</t>
        </is>
      </c>
      <c r="B319" s="1" t="n">
        <v>45679.28974537037</v>
      </c>
      <c r="C319" s="1" t="n">
        <v>46158</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8484-2025</t>
        </is>
      </c>
      <c r="B320" s="1" t="n">
        <v>45709</v>
      </c>
      <c r="C320" s="1" t="n">
        <v>46158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46158</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46158</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46158</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46158</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46158</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46158</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14141-2024</t>
        </is>
      </c>
      <c r="B327" s="1" t="n">
        <v>45392.85193287037</v>
      </c>
      <c r="C327" s="1" t="n">
        <v>46158</v>
      </c>
      <c r="D327" t="inlineStr">
        <is>
          <t>GOTLANDS LÄN</t>
        </is>
      </c>
      <c r="E327" t="inlineStr">
        <is>
          <t>GOTLAND</t>
        </is>
      </c>
      <c r="G327" t="n">
        <v>5.3</v>
      </c>
      <c r="H327" t="n">
        <v>0</v>
      </c>
      <c r="I327" t="n">
        <v>0</v>
      </c>
      <c r="J327" t="n">
        <v>0</v>
      </c>
      <c r="K327" t="n">
        <v>0</v>
      </c>
      <c r="L327" t="n">
        <v>0</v>
      </c>
      <c r="M327" t="n">
        <v>0</v>
      </c>
      <c r="N327" t="n">
        <v>0</v>
      </c>
      <c r="O327" t="n">
        <v>0</v>
      </c>
      <c r="P327" t="n">
        <v>0</v>
      </c>
      <c r="Q327" t="n">
        <v>0</v>
      </c>
      <c r="R327" s="2" t="inlineStr"/>
    </row>
    <row r="328" ht="15" customHeight="1">
      <c r="A328" t="inlineStr">
        <is>
          <t>A 4646-2026</t>
        </is>
      </c>
      <c r="B328" s="1" t="n">
        <v>46048.40357638889</v>
      </c>
      <c r="C328" s="1" t="n">
        <v>46158</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1839-2026</t>
        </is>
      </c>
      <c r="B329" s="1" t="n">
        <v>46035.3942824074</v>
      </c>
      <c r="C329" s="1" t="n">
        <v>46158</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4634-2026</t>
        </is>
      </c>
      <c r="B330" s="1" t="n">
        <v>46048.39304398148</v>
      </c>
      <c r="C330" s="1" t="n">
        <v>46158</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4670-2026</t>
        </is>
      </c>
      <c r="B331" s="1" t="n">
        <v>46048.41733796296</v>
      </c>
      <c r="C331" s="1" t="n">
        <v>46158</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46158</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46158</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46158</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46158</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46158</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46158</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57685-2022</t>
        </is>
      </c>
      <c r="B338" s="1" t="n">
        <v>44897.4777662037</v>
      </c>
      <c r="C338" s="1" t="n">
        <v>46158</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30815-2023</t>
        </is>
      </c>
      <c r="B339" s="1" t="n">
        <v>45112</v>
      </c>
      <c r="C339" s="1" t="n">
        <v>46158</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46158</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7034-2023</t>
        </is>
      </c>
      <c r="B341" s="1" t="n">
        <v>44968.32108796296</v>
      </c>
      <c r="C341" s="1" t="n">
        <v>46158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7042-2023</t>
        </is>
      </c>
      <c r="B342" s="1" t="n">
        <v>44968</v>
      </c>
      <c r="C342" s="1" t="n">
        <v>46158</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46158</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46158</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46158</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46158</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63229-2021</t>
        </is>
      </c>
      <c r="B347" s="1" t="n">
        <v>44508.34518518519</v>
      </c>
      <c r="C347" s="1" t="n">
        <v>46158</v>
      </c>
      <c r="D347" t="inlineStr">
        <is>
          <t>GOTLANDS LÄN</t>
        </is>
      </c>
      <c r="E347" t="inlineStr">
        <is>
          <t>GOTLAND</t>
        </is>
      </c>
      <c r="F347" t="inlineStr">
        <is>
          <t>Kyrkan</t>
        </is>
      </c>
      <c r="G347" t="n">
        <v>3.8</v>
      </c>
      <c r="H347" t="n">
        <v>0</v>
      </c>
      <c r="I347" t="n">
        <v>0</v>
      </c>
      <c r="J347" t="n">
        <v>0</v>
      </c>
      <c r="K347" t="n">
        <v>0</v>
      </c>
      <c r="L347" t="n">
        <v>0</v>
      </c>
      <c r="M347" t="n">
        <v>0</v>
      </c>
      <c r="N347" t="n">
        <v>0</v>
      </c>
      <c r="O347" t="n">
        <v>0</v>
      </c>
      <c r="P347" t="n">
        <v>0</v>
      </c>
      <c r="Q347" t="n">
        <v>0</v>
      </c>
      <c r="R347" s="2" t="inlineStr"/>
    </row>
    <row r="348" ht="15" customHeight="1">
      <c r="A348" t="inlineStr">
        <is>
          <t>A 46375-2024</t>
        </is>
      </c>
      <c r="B348" s="1" t="n">
        <v>45582</v>
      </c>
      <c r="C348" s="1" t="n">
        <v>46158</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46158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46158</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46158</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35096-2025</t>
        </is>
      </c>
      <c r="B352" s="1" t="n">
        <v>45852.54356481481</v>
      </c>
      <c r="C352" s="1" t="n">
        <v>46158</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46158</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6218-2026</t>
        </is>
      </c>
      <c r="B354" s="1" t="n">
        <v>46055.42859953704</v>
      </c>
      <c r="C354" s="1" t="n">
        <v>46158</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46158</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46158</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46158</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46158</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46158</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46158</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46158</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33011-2025</t>
        </is>
      </c>
      <c r="B362" s="1" t="n">
        <v>45840</v>
      </c>
      <c r="C362" s="1" t="n">
        <v>46158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46158</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46158</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20993-2023</t>
        </is>
      </c>
      <c r="B365" s="1" t="n">
        <v>45056</v>
      </c>
      <c r="C365" s="1" t="n">
        <v>46158</v>
      </c>
      <c r="D365" t="inlineStr">
        <is>
          <t>GOTLANDS LÄN</t>
        </is>
      </c>
      <c r="E365" t="inlineStr">
        <is>
          <t>GOTLAND</t>
        </is>
      </c>
      <c r="G365" t="n">
        <v>7.1</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46158</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46158</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46158</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46158</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46158</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46158</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6207-2026</t>
        </is>
      </c>
      <c r="B372" s="1" t="n">
        <v>46055.42083333333</v>
      </c>
      <c r="C372" s="1" t="n">
        <v>46158</v>
      </c>
      <c r="D372" t="inlineStr">
        <is>
          <t>GOTLANDS LÄN</t>
        </is>
      </c>
      <c r="E372" t="inlineStr">
        <is>
          <t>GOTLAND</t>
        </is>
      </c>
      <c r="G372" t="n">
        <v>7.6</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46158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46158</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46158</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46158</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46158</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46158</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17847-2025</t>
        </is>
      </c>
      <c r="B379" s="1" t="n">
        <v>45758</v>
      </c>
      <c r="C379" s="1" t="n">
        <v>46158</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6959-2026</t>
        </is>
      </c>
      <c r="B380" s="1" t="n">
        <v>46057.580625</v>
      </c>
      <c r="C380" s="1" t="n">
        <v>46158</v>
      </c>
      <c r="D380" t="inlineStr">
        <is>
          <t>GOTLANDS LÄN</t>
        </is>
      </c>
      <c r="E380" t="inlineStr">
        <is>
          <t>GOTLAND</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46158</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46158</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46158</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46158</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51262-2025</t>
        </is>
      </c>
      <c r="B385" s="1" t="n">
        <v>45949.49872685185</v>
      </c>
      <c r="C385" s="1" t="n">
        <v>46158</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52249-2025</t>
        </is>
      </c>
      <c r="B386" s="1" t="n">
        <v>45953.48637731482</v>
      </c>
      <c r="C386" s="1" t="n">
        <v>46158</v>
      </c>
      <c r="D386" t="inlineStr">
        <is>
          <t>GOTLANDS LÄN</t>
        </is>
      </c>
      <c r="E386" t="inlineStr">
        <is>
          <t>GOTLAND</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1446-2025</t>
        </is>
      </c>
      <c r="B387" s="1" t="n">
        <v>45669.86035879629</v>
      </c>
      <c r="C387" s="1" t="n">
        <v>46158</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6960-2026</t>
        </is>
      </c>
      <c r="B388" s="1" t="n">
        <v>46057.58105324074</v>
      </c>
      <c r="C388" s="1" t="n">
        <v>46158</v>
      </c>
      <c r="D388" t="inlineStr">
        <is>
          <t>GOTLANDS LÄN</t>
        </is>
      </c>
      <c r="E388" t="inlineStr">
        <is>
          <t>GOTLAND</t>
        </is>
      </c>
      <c r="F388" t="inlineStr">
        <is>
          <t>Kyrkan</t>
        </is>
      </c>
      <c r="G388" t="n">
        <v>2.4</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46158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46158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52637-2025</t>
        </is>
      </c>
      <c r="B391" s="1" t="n">
        <v>45954.75099537037</v>
      </c>
      <c r="C391" s="1" t="n">
        <v>46158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46158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16501-2023</t>
        </is>
      </c>
      <c r="B393" s="1" t="n">
        <v>45029</v>
      </c>
      <c r="C393" s="1" t="n">
        <v>46158</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6108-2025</t>
        </is>
      </c>
      <c r="B394" s="1" t="n">
        <v>45698.29880787037</v>
      </c>
      <c r="C394" s="1" t="n">
        <v>46158</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46158</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46158</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53569-2025</t>
        </is>
      </c>
      <c r="B397" s="1" t="n">
        <v>45960.41155092593</v>
      </c>
      <c r="C397" s="1" t="n">
        <v>46158</v>
      </c>
      <c r="D397" t="inlineStr">
        <is>
          <t>GOTLANDS LÄN</t>
        </is>
      </c>
      <c r="E397" t="inlineStr">
        <is>
          <t>GOTLAND</t>
        </is>
      </c>
      <c r="F397" t="inlineStr">
        <is>
          <t>Övriga Aktiebolag</t>
        </is>
      </c>
      <c r="G397" t="n">
        <v>11.3</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46158</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17343-2025</t>
        </is>
      </c>
      <c r="B399" s="1" t="n">
        <v>45756.6687037037</v>
      </c>
      <c r="C399" s="1" t="n">
        <v>46158</v>
      </c>
      <c r="D399" t="inlineStr">
        <is>
          <t>GOTLANDS LÄN</t>
        </is>
      </c>
      <c r="E399" t="inlineStr">
        <is>
          <t>GOTLAND</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46158</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10492-2023</t>
        </is>
      </c>
      <c r="B401" s="1" t="n">
        <v>44987</v>
      </c>
      <c r="C401" s="1" t="n">
        <v>46158</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18938-2025</t>
        </is>
      </c>
      <c r="B402" s="1" t="n">
        <v>45764.49172453704</v>
      </c>
      <c r="C402" s="1" t="n">
        <v>46158</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46158</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7625-2026</t>
        </is>
      </c>
      <c r="B404" s="1" t="n">
        <v>46062.35135416667</v>
      </c>
      <c r="C404" s="1" t="n">
        <v>46158</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46158</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5909-2025</t>
        </is>
      </c>
      <c r="B406" s="1" t="n">
        <v>45695.40634259259</v>
      </c>
      <c r="C406" s="1" t="n">
        <v>46158</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46158</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7627-2026</t>
        </is>
      </c>
      <c r="B408" s="1" t="n">
        <v>46062.35465277778</v>
      </c>
      <c r="C408" s="1" t="n">
        <v>46158</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63105-2025</t>
        </is>
      </c>
      <c r="B409" s="1" t="n">
        <v>46009</v>
      </c>
      <c r="C409" s="1" t="n">
        <v>46158</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46158</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2135-2026</t>
        </is>
      </c>
      <c r="B411" s="1" t="n">
        <v>46036</v>
      </c>
      <c r="C411" s="1" t="n">
        <v>46158</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2134-2026</t>
        </is>
      </c>
      <c r="B412" s="1" t="n">
        <v>46036</v>
      </c>
      <c r="C412" s="1" t="n">
        <v>46158</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46158</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46158</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46158</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46158</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53561-2025</t>
        </is>
      </c>
      <c r="B417" s="1" t="n">
        <v>45960.4059375</v>
      </c>
      <c r="C417" s="1" t="n">
        <v>46158</v>
      </c>
      <c r="D417" t="inlineStr">
        <is>
          <t>GOTLANDS LÄN</t>
        </is>
      </c>
      <c r="E417" t="inlineStr">
        <is>
          <t>GOTLAND</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46158</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46158</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46158</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46158</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52892-2021</t>
        </is>
      </c>
      <c r="B422" s="1" t="n">
        <v>44467.49048611111</v>
      </c>
      <c r="C422" s="1" t="n">
        <v>46158</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9504-2026</t>
        </is>
      </c>
      <c r="B423" s="1" t="n">
        <v>46071.57730324074</v>
      </c>
      <c r="C423" s="1" t="n">
        <v>46158</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9518-2026</t>
        </is>
      </c>
      <c r="B424" s="1" t="n">
        <v>46071.59653935185</v>
      </c>
      <c r="C424" s="1" t="n">
        <v>46158</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9519-2026</t>
        </is>
      </c>
      <c r="B425" s="1" t="n">
        <v>46071.59820601852</v>
      </c>
      <c r="C425" s="1" t="n">
        <v>46158</v>
      </c>
      <c r="D425" t="inlineStr">
        <is>
          <t>GOTLANDS LÄN</t>
        </is>
      </c>
      <c r="E425" t="inlineStr">
        <is>
          <t>GOTLAND</t>
        </is>
      </c>
      <c r="G425" t="n">
        <v>4</v>
      </c>
      <c r="H425" t="n">
        <v>0</v>
      </c>
      <c r="I425" t="n">
        <v>0</v>
      </c>
      <c r="J425" t="n">
        <v>0</v>
      </c>
      <c r="K425" t="n">
        <v>0</v>
      </c>
      <c r="L425" t="n">
        <v>0</v>
      </c>
      <c r="M425" t="n">
        <v>0</v>
      </c>
      <c r="N425" t="n">
        <v>0</v>
      </c>
      <c r="O425" t="n">
        <v>0</v>
      </c>
      <c r="P425" t="n">
        <v>0</v>
      </c>
      <c r="Q425" t="n">
        <v>0</v>
      </c>
      <c r="R425" s="2" t="inlineStr"/>
    </row>
    <row r="426" ht="15" customHeight="1">
      <c r="A426" t="inlineStr">
        <is>
          <t>A 9540-2026</t>
        </is>
      </c>
      <c r="B426" s="1" t="n">
        <v>46071.61961805556</v>
      </c>
      <c r="C426" s="1" t="n">
        <v>46158</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46158</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46158</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9521-2026</t>
        </is>
      </c>
      <c r="B429" s="1" t="n">
        <v>46071.59969907408</v>
      </c>
      <c r="C429" s="1" t="n">
        <v>46158</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9524-2026</t>
        </is>
      </c>
      <c r="B430" s="1" t="n">
        <v>46071.60108796296</v>
      </c>
      <c r="C430" s="1" t="n">
        <v>46158</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9543-2026</t>
        </is>
      </c>
      <c r="B431" s="1" t="n">
        <v>46071.62486111111</v>
      </c>
      <c r="C431" s="1" t="n">
        <v>46158</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56688-2025</t>
        </is>
      </c>
      <c r="B432" s="1" t="n">
        <v>45975.84331018518</v>
      </c>
      <c r="C432" s="1" t="n">
        <v>46158</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17724-2024</t>
        </is>
      </c>
      <c r="B433" s="1" t="n">
        <v>45418.55096064815</v>
      </c>
      <c r="C433" s="1" t="n">
        <v>46158</v>
      </c>
      <c r="D433" t="inlineStr">
        <is>
          <t>GOTLANDS LÄN</t>
        </is>
      </c>
      <c r="E433" t="inlineStr">
        <is>
          <t>GOTLAND</t>
        </is>
      </c>
      <c r="G433" t="n">
        <v>2</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46158</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10486-2026</t>
        </is>
      </c>
      <c r="B435" s="1" t="n">
        <v>46077.51425925926</v>
      </c>
      <c r="C435" s="1" t="n">
        <v>46158</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46158</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9901-2026</t>
        </is>
      </c>
      <c r="B437" s="1" t="n">
        <v>46073.40391203704</v>
      </c>
      <c r="C437" s="1" t="n">
        <v>46158</v>
      </c>
      <c r="D437" t="inlineStr">
        <is>
          <t>GOTLANDS LÄN</t>
        </is>
      </c>
      <c r="E437" t="inlineStr">
        <is>
          <t>GOTLAND</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46158</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46158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10284-2026</t>
        </is>
      </c>
      <c r="B440" s="1" t="n">
        <v>46076</v>
      </c>
      <c r="C440" s="1" t="n">
        <v>46158</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46158</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46158</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46158</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59197-2025</t>
        </is>
      </c>
      <c r="B444" s="1" t="n">
        <v>45988.59846064815</v>
      </c>
      <c r="C444" s="1" t="n">
        <v>46158</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25129-2023</t>
        </is>
      </c>
      <c r="B445" s="1" t="n">
        <v>45086.44261574074</v>
      </c>
      <c r="C445" s="1" t="n">
        <v>46158</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46158</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60384-2025</t>
        </is>
      </c>
      <c r="B447" s="1" t="n">
        <v>45995</v>
      </c>
      <c r="C447" s="1" t="n">
        <v>46158</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46158</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46158</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46158</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36319-2025</t>
        </is>
      </c>
      <c r="B451" s="1" t="n">
        <v>45868</v>
      </c>
      <c r="C451" s="1" t="n">
        <v>46158</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46158</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46158</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47762-2023</t>
        </is>
      </c>
      <c r="B454" s="1" t="n">
        <v>45203.86256944444</v>
      </c>
      <c r="C454" s="1" t="n">
        <v>46158</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46158</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60086-2022</t>
        </is>
      </c>
      <c r="B456" s="1" t="n">
        <v>44909</v>
      </c>
      <c r="C456" s="1" t="n">
        <v>46158</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28480-2023</t>
        </is>
      </c>
      <c r="B457" s="1" t="n">
        <v>45103</v>
      </c>
      <c r="C457" s="1" t="n">
        <v>46158</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28485-2023</t>
        </is>
      </c>
      <c r="B458" s="1" t="n">
        <v>45103.43731481482</v>
      </c>
      <c r="C458" s="1" t="n">
        <v>46158</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46158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17935-2026</t>
        </is>
      </c>
      <c r="B460" s="1" t="n">
        <v>46122</v>
      </c>
      <c r="C460" s="1" t="n">
        <v>46158</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62066-2025</t>
        </is>
      </c>
      <c r="B461" s="1" t="n">
        <v>46006.34738425926</v>
      </c>
      <c r="C461" s="1" t="n">
        <v>46158</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44949-2023</t>
        </is>
      </c>
      <c r="B462" s="1" t="n">
        <v>45190.69520833333</v>
      </c>
      <c r="C462" s="1" t="n">
        <v>46158</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62103-2025</t>
        </is>
      </c>
      <c r="B463" s="1" t="n">
        <v>46006</v>
      </c>
      <c r="C463" s="1" t="n">
        <v>46158</v>
      </c>
      <c r="D463" t="inlineStr">
        <is>
          <t>GOTLANDS LÄN</t>
        </is>
      </c>
      <c r="E463" t="inlineStr">
        <is>
          <t>GOTLAND</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11424-2026</t>
        </is>
      </c>
      <c r="B464" s="1" t="n">
        <v>46083.48068287037</v>
      </c>
      <c r="C464" s="1" t="n">
        <v>46158</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46158</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11414-2026</t>
        </is>
      </c>
      <c r="B466" s="1" t="n">
        <v>46083.46336805556</v>
      </c>
      <c r="C466" s="1" t="n">
        <v>46158</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17943-2026</t>
        </is>
      </c>
      <c r="B467" s="1" t="n">
        <v>46122</v>
      </c>
      <c r="C467" s="1" t="n">
        <v>46158</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3964-2024</t>
        </is>
      </c>
      <c r="B468" s="1" t="n">
        <v>45322</v>
      </c>
      <c r="C468" s="1" t="n">
        <v>46158</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54584-2025</t>
        </is>
      </c>
      <c r="B469" s="1" t="n">
        <v>45965.71788194445</v>
      </c>
      <c r="C469" s="1" t="n">
        <v>46158</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46158</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3067-2026</t>
        </is>
      </c>
      <c r="B471" s="1" t="n">
        <v>46040.59025462963</v>
      </c>
      <c r="C471" s="1" t="n">
        <v>46158</v>
      </c>
      <c r="D471" t="inlineStr">
        <is>
          <t>GOTLANDS LÄN</t>
        </is>
      </c>
      <c r="E471" t="inlineStr">
        <is>
          <t>GOTLAND</t>
        </is>
      </c>
      <c r="G471" t="n">
        <v>7.8</v>
      </c>
      <c r="H471" t="n">
        <v>0</v>
      </c>
      <c r="I471" t="n">
        <v>0</v>
      </c>
      <c r="J471" t="n">
        <v>0</v>
      </c>
      <c r="K471" t="n">
        <v>0</v>
      </c>
      <c r="L471" t="n">
        <v>0</v>
      </c>
      <c r="M471" t="n">
        <v>0</v>
      </c>
      <c r="N471" t="n">
        <v>0</v>
      </c>
      <c r="O471" t="n">
        <v>0</v>
      </c>
      <c r="P471" t="n">
        <v>0</v>
      </c>
      <c r="Q471" t="n">
        <v>0</v>
      </c>
      <c r="R471" s="2" t="inlineStr"/>
    </row>
    <row r="472" ht="15" customHeight="1">
      <c r="A472" t="inlineStr">
        <is>
          <t>A 63002-2025</t>
        </is>
      </c>
      <c r="B472" s="1" t="n">
        <v>46009.56564814815</v>
      </c>
      <c r="C472" s="1" t="n">
        <v>46158</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5217-2023</t>
        </is>
      </c>
      <c r="B473" s="1" t="n">
        <v>44959.39582175926</v>
      </c>
      <c r="C473" s="1" t="n">
        <v>46158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11982-2026</t>
        </is>
      </c>
      <c r="B474" s="1" t="n">
        <v>46085.6434375</v>
      </c>
      <c r="C474" s="1" t="n">
        <v>46158</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46158</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18804-2026</t>
        </is>
      </c>
      <c r="B476" s="1" t="n">
        <v>46128.62366898148</v>
      </c>
      <c r="C476" s="1" t="n">
        <v>46158</v>
      </c>
      <c r="D476" t="inlineStr">
        <is>
          <t>GOTLANDS LÄN</t>
        </is>
      </c>
      <c r="E476" t="inlineStr">
        <is>
          <t>GOTLAND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46158</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46158</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42201-2023</t>
        </is>
      </c>
      <c r="B479" s="1" t="n">
        <v>45179</v>
      </c>
      <c r="C479" s="1" t="n">
        <v>46158</v>
      </c>
      <c r="D479" t="inlineStr">
        <is>
          <t>GOTLANDS LÄN</t>
        </is>
      </c>
      <c r="E479" t="inlineStr">
        <is>
          <t>GOTLAND</t>
        </is>
      </c>
      <c r="G479" t="n">
        <v>11.9</v>
      </c>
      <c r="H479" t="n">
        <v>0</v>
      </c>
      <c r="I479" t="n">
        <v>0</v>
      </c>
      <c r="J479" t="n">
        <v>0</v>
      </c>
      <c r="K479" t="n">
        <v>0</v>
      </c>
      <c r="L479" t="n">
        <v>0</v>
      </c>
      <c r="M479" t="n">
        <v>0</v>
      </c>
      <c r="N479" t="n">
        <v>0</v>
      </c>
      <c r="O479" t="n">
        <v>0</v>
      </c>
      <c r="P479" t="n">
        <v>0</v>
      </c>
      <c r="Q479" t="n">
        <v>0</v>
      </c>
      <c r="R479" s="2" t="inlineStr"/>
    </row>
    <row r="480" ht="15" customHeight="1">
      <c r="A480" t="inlineStr">
        <is>
          <t>A 8260-2023</t>
        </is>
      </c>
      <c r="B480" s="1" t="n">
        <v>44974.61608796296</v>
      </c>
      <c r="C480" s="1" t="n">
        <v>46158</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19322-2026</t>
        </is>
      </c>
      <c r="B481" s="1" t="n">
        <v>46129</v>
      </c>
      <c r="C481" s="1" t="n">
        <v>46158</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46158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46158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46158</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46158</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15434-2024</t>
        </is>
      </c>
      <c r="B486" s="1" t="n">
        <v>45401.38836805556</v>
      </c>
      <c r="C486" s="1" t="n">
        <v>46158</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5943-2024</t>
        </is>
      </c>
      <c r="B487" s="1" t="n">
        <v>45336</v>
      </c>
      <c r="C487" s="1" t="n">
        <v>46158</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62754-2025</t>
        </is>
      </c>
      <c r="B488" s="1" t="n">
        <v>46008</v>
      </c>
      <c r="C488" s="1" t="n">
        <v>46158</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46158</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46158</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46158</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62836-2025</t>
        </is>
      </c>
      <c r="B492" s="1" t="n">
        <v>46008</v>
      </c>
      <c r="C492" s="1" t="n">
        <v>46158</v>
      </c>
      <c r="D492" t="inlineStr">
        <is>
          <t>GOTLANDS LÄN</t>
        </is>
      </c>
      <c r="E492" t="inlineStr">
        <is>
          <t>GOTLAND</t>
        </is>
      </c>
      <c r="G492" t="n">
        <v>6.5</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46158</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46158</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46158</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13486-2026</t>
        </is>
      </c>
      <c r="B496" s="1" t="n">
        <v>46094</v>
      </c>
      <c r="C496" s="1" t="n">
        <v>46158</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62751-2025</t>
        </is>
      </c>
      <c r="B497" s="1" t="n">
        <v>46008</v>
      </c>
      <c r="C497" s="1" t="n">
        <v>46158</v>
      </c>
      <c r="D497" t="inlineStr">
        <is>
          <t>GOTLANDS LÄN</t>
        </is>
      </c>
      <c r="E497" t="inlineStr">
        <is>
          <t>GOTLAND</t>
        </is>
      </c>
      <c r="F497" t="inlineStr">
        <is>
          <t>Övriga Aktiebolag</t>
        </is>
      </c>
      <c r="G497" t="n">
        <v>7.8</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44609.44362268518</v>
      </c>
      <c r="C498" s="1" t="n">
        <v>46158</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12846-2025</t>
        </is>
      </c>
      <c r="B499" s="1" t="n">
        <v>45733.65049768519</v>
      </c>
      <c r="C499" s="1" t="n">
        <v>46158</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46158</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46158</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46158</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46158</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46158</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46158</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46158</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46158</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14840-2026</t>
        </is>
      </c>
      <c r="B508" s="1" t="n">
        <v>46104.39498842593</v>
      </c>
      <c r="C508" s="1" t="n">
        <v>46158</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21164-2024</t>
        </is>
      </c>
      <c r="B509" s="1" t="n">
        <v>45440</v>
      </c>
      <c r="C509" s="1" t="n">
        <v>46158</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8045-2022</t>
        </is>
      </c>
      <c r="B510" s="1" t="n">
        <v>44609</v>
      </c>
      <c r="C510" s="1" t="n">
        <v>46158</v>
      </c>
      <c r="D510" t="inlineStr">
        <is>
          <t>GOTLANDS LÄN</t>
        </is>
      </c>
      <c r="E510" t="inlineStr">
        <is>
          <t>GOTLAND</t>
        </is>
      </c>
      <c r="G510" t="n">
        <v>7</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46158</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61897-2024</t>
        </is>
      </c>
      <c r="B512" s="1" t="n">
        <v>45652.75685185185</v>
      </c>
      <c r="C512" s="1" t="n">
        <v>46158</v>
      </c>
      <c r="D512" t="inlineStr">
        <is>
          <t>GOTLANDS LÄN</t>
        </is>
      </c>
      <c r="E512" t="inlineStr">
        <is>
          <t>GOTLAND</t>
        </is>
      </c>
      <c r="G512" t="n">
        <v>6.4</v>
      </c>
      <c r="H512" t="n">
        <v>0</v>
      </c>
      <c r="I512" t="n">
        <v>0</v>
      </c>
      <c r="J512" t="n">
        <v>0</v>
      </c>
      <c r="K512" t="n">
        <v>0</v>
      </c>
      <c r="L512" t="n">
        <v>0</v>
      </c>
      <c r="M512" t="n">
        <v>0</v>
      </c>
      <c r="N512" t="n">
        <v>0</v>
      </c>
      <c r="O512" t="n">
        <v>0</v>
      </c>
      <c r="P512" t="n">
        <v>0</v>
      </c>
      <c r="Q512" t="n">
        <v>0</v>
      </c>
      <c r="R512" s="2" t="inlineStr"/>
    </row>
    <row r="513" ht="15" customHeight="1">
      <c r="A513" t="inlineStr">
        <is>
          <t>A 49962-2023</t>
        </is>
      </c>
      <c r="B513" s="1" t="n">
        <v>45215.38775462963</v>
      </c>
      <c r="C513" s="1" t="n">
        <v>46158</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21396-2026</t>
        </is>
      </c>
      <c r="B514" s="1" t="n">
        <v>46148.30710648148</v>
      </c>
      <c r="C514" s="1" t="n">
        <v>46158</v>
      </c>
      <c r="D514" t="inlineStr">
        <is>
          <t>GOTLANDS LÄN</t>
        </is>
      </c>
      <c r="E514" t="inlineStr">
        <is>
          <t>GOTLAND</t>
        </is>
      </c>
      <c r="G514" t="n">
        <v>6.1</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44698.49854166667</v>
      </c>
      <c r="C515" s="1" t="n">
        <v>46158</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46158</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12032-2025</t>
        </is>
      </c>
      <c r="B517" s="1" t="n">
        <v>45728.64472222222</v>
      </c>
      <c r="C517" s="1" t="n">
        <v>46158</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4662-2026</t>
        </is>
      </c>
      <c r="B518" s="1" t="n">
        <v>46048.40949074074</v>
      </c>
      <c r="C518" s="1" t="n">
        <v>46158</v>
      </c>
      <c r="D518" t="inlineStr">
        <is>
          <t>GOTLANDS LÄN</t>
        </is>
      </c>
      <c r="E518" t="inlineStr">
        <is>
          <t>GOTLAND</t>
        </is>
      </c>
      <c r="G518" t="n">
        <v>7.6</v>
      </c>
      <c r="H518" t="n">
        <v>0</v>
      </c>
      <c r="I518" t="n">
        <v>0</v>
      </c>
      <c r="J518" t="n">
        <v>0</v>
      </c>
      <c r="K518" t="n">
        <v>0</v>
      </c>
      <c r="L518" t="n">
        <v>0</v>
      </c>
      <c r="M518" t="n">
        <v>0</v>
      </c>
      <c r="N518" t="n">
        <v>0</v>
      </c>
      <c r="O518" t="n">
        <v>0</v>
      </c>
      <c r="P518" t="n">
        <v>0</v>
      </c>
      <c r="Q518" t="n">
        <v>0</v>
      </c>
      <c r="R518" s="2" t="inlineStr"/>
    </row>
    <row r="519" ht="15" customHeight="1">
      <c r="A519" t="inlineStr">
        <is>
          <t>A 38787-2023</t>
        </is>
      </c>
      <c r="B519" s="1" t="n">
        <v>45163</v>
      </c>
      <c r="C519" s="1" t="n">
        <v>46158</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43231-2023</t>
        </is>
      </c>
      <c r="B520" s="1" t="n">
        <v>45183.47025462963</v>
      </c>
      <c r="C520" s="1" t="n">
        <v>46158</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17532-2024</t>
        </is>
      </c>
      <c r="B521" s="1" t="n">
        <v>45415</v>
      </c>
      <c r="C521" s="1" t="n">
        <v>46158</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46158</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46158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1854-2026</t>
        </is>
      </c>
      <c r="B524" s="1" t="n">
        <v>46035.4171875</v>
      </c>
      <c r="C524" s="1" t="n">
        <v>46158</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22351-2026</t>
        </is>
      </c>
      <c r="B525" s="1" t="n">
        <v>46154.58350694444</v>
      </c>
      <c r="C525" s="1" t="n">
        <v>46158</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5863-2026</t>
        </is>
      </c>
      <c r="B526" s="1" t="n">
        <v>46052</v>
      </c>
      <c r="C526" s="1" t="n">
        <v>46158</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45772.65802083333</v>
      </c>
      <c r="C527" s="1" t="n">
        <v>46158</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22275-2026</t>
        </is>
      </c>
      <c r="B528" s="1" t="n">
        <v>46154.41924768518</v>
      </c>
      <c r="C528" s="1" t="n">
        <v>46158</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22348-2026</t>
        </is>
      </c>
      <c r="B529" s="1" t="n">
        <v>46154.58071759259</v>
      </c>
      <c r="C529" s="1" t="n">
        <v>46158</v>
      </c>
      <c r="D529" t="inlineStr">
        <is>
          <t>GOTLANDS LÄN</t>
        </is>
      </c>
      <c r="E529" t="inlineStr">
        <is>
          <t>GOTLAND</t>
        </is>
      </c>
      <c r="G529" t="n">
        <v>3.3</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46158</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63152-2025</t>
        </is>
      </c>
      <c r="B531" s="1" t="n">
        <v>46010</v>
      </c>
      <c r="C531" s="1" t="n">
        <v>46158</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46158</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46158</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16993-2026</t>
        </is>
      </c>
      <c r="B534" s="1" t="n">
        <v>46114.41918981481</v>
      </c>
      <c r="C534" s="1" t="n">
        <v>46158</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17000-2026</t>
        </is>
      </c>
      <c r="B535" s="1" t="n">
        <v>46114.42690972222</v>
      </c>
      <c r="C535" s="1" t="n">
        <v>46158</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56009-2024</t>
        </is>
      </c>
      <c r="B536" s="1" t="n">
        <v>45623.80864583333</v>
      </c>
      <c r="C536" s="1" t="n">
        <v>46158</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46158</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46158</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46158</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873-2024</t>
        </is>
      </c>
      <c r="B540" s="1" t="n">
        <v>45301</v>
      </c>
      <c r="C540" s="1" t="n">
        <v>46158</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46158</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22275-2023</t>
        </is>
      </c>
      <c r="B542" s="1" t="n">
        <v>45070.39875</v>
      </c>
      <c r="C542" s="1" t="n">
        <v>46158</v>
      </c>
      <c r="D542" t="inlineStr">
        <is>
          <t>GOTLANDS LÄN</t>
        </is>
      </c>
      <c r="E542" t="inlineStr">
        <is>
          <t>GOTLAND</t>
        </is>
      </c>
      <c r="G542" t="n">
        <v>7.2</v>
      </c>
      <c r="H542" t="n">
        <v>0</v>
      </c>
      <c r="I542" t="n">
        <v>0</v>
      </c>
      <c r="J542" t="n">
        <v>0</v>
      </c>
      <c r="K542" t="n">
        <v>0</v>
      </c>
      <c r="L542" t="n">
        <v>0</v>
      </c>
      <c r="M542" t="n">
        <v>0</v>
      </c>
      <c r="N542" t="n">
        <v>0</v>
      </c>
      <c r="O542" t="n">
        <v>0</v>
      </c>
      <c r="P542" t="n">
        <v>0</v>
      </c>
      <c r="Q542" t="n">
        <v>0</v>
      </c>
      <c r="R542" s="2" t="inlineStr"/>
    </row>
    <row r="543" ht="15" customHeight="1">
      <c r="A543" t="inlineStr">
        <is>
          <t>A 12322-2025</t>
        </is>
      </c>
      <c r="B543" s="1" t="n">
        <v>45730</v>
      </c>
      <c r="C543" s="1" t="n">
        <v>46158</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14797-2024</t>
        </is>
      </c>
      <c r="B544" s="1" t="n">
        <v>45397.87030092593</v>
      </c>
      <c r="C544" s="1" t="n">
        <v>46158</v>
      </c>
      <c r="D544" t="inlineStr">
        <is>
          <t>GOTLANDS LÄN</t>
        </is>
      </c>
      <c r="E544" t="inlineStr">
        <is>
          <t>GOTLAND</t>
        </is>
      </c>
      <c r="G544" t="n">
        <v>8.1</v>
      </c>
      <c r="H544" t="n">
        <v>0</v>
      </c>
      <c r="I544" t="n">
        <v>0</v>
      </c>
      <c r="J544" t="n">
        <v>0</v>
      </c>
      <c r="K544" t="n">
        <v>0</v>
      </c>
      <c r="L544" t="n">
        <v>0</v>
      </c>
      <c r="M544" t="n">
        <v>0</v>
      </c>
      <c r="N544" t="n">
        <v>0</v>
      </c>
      <c r="O544" t="n">
        <v>0</v>
      </c>
      <c r="P544" t="n">
        <v>0</v>
      </c>
      <c r="Q544" t="n">
        <v>0</v>
      </c>
      <c r="R544" s="2" t="inlineStr"/>
    </row>
    <row r="545" ht="15" customHeight="1">
      <c r="A545" t="inlineStr">
        <is>
          <t>A 999-2024</t>
        </is>
      </c>
      <c r="B545" s="1" t="n">
        <v>45301</v>
      </c>
      <c r="C545" s="1" t="n">
        <v>46158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46158</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14638-2025</t>
        </is>
      </c>
      <c r="B547" s="1" t="n">
        <v>45742</v>
      </c>
      <c r="C547" s="1" t="n">
        <v>46158</v>
      </c>
      <c r="D547" t="inlineStr">
        <is>
          <t>GOTLANDS LÄN</t>
        </is>
      </c>
      <c r="E547" t="inlineStr">
        <is>
          <t>GOTLAND</t>
        </is>
      </c>
      <c r="G547" t="n">
        <v>13.4</v>
      </c>
      <c r="H547" t="n">
        <v>0</v>
      </c>
      <c r="I547" t="n">
        <v>0</v>
      </c>
      <c r="J547" t="n">
        <v>0</v>
      </c>
      <c r="K547" t="n">
        <v>0</v>
      </c>
      <c r="L547" t="n">
        <v>0</v>
      </c>
      <c r="M547" t="n">
        <v>0</v>
      </c>
      <c r="N547" t="n">
        <v>0</v>
      </c>
      <c r="O547" t="n">
        <v>0</v>
      </c>
      <c r="P547" t="n">
        <v>0</v>
      </c>
      <c r="Q547" t="n">
        <v>0</v>
      </c>
      <c r="R547" s="2" t="inlineStr"/>
    </row>
    <row r="548" ht="15" customHeight="1">
      <c r="A548" t="inlineStr">
        <is>
          <t>A 60675-2021</t>
        </is>
      </c>
      <c r="B548" s="1" t="n">
        <v>44496.64855324074</v>
      </c>
      <c r="C548" s="1" t="n">
        <v>46158</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37728-2024</t>
        </is>
      </c>
      <c r="B549" s="1" t="n">
        <v>45541</v>
      </c>
      <c r="C549" s="1" t="n">
        <v>46158</v>
      </c>
      <c r="D549" t="inlineStr">
        <is>
          <t>GOTLANDS LÄN</t>
        </is>
      </c>
      <c r="E549" t="inlineStr">
        <is>
          <t>GOTLAND</t>
        </is>
      </c>
      <c r="G549" t="n">
        <v>0.4</v>
      </c>
      <c r="H549" t="n">
        <v>0</v>
      </c>
      <c r="I549" t="n">
        <v>0</v>
      </c>
      <c r="J549" t="n">
        <v>0</v>
      </c>
      <c r="K549" t="n">
        <v>0</v>
      </c>
      <c r="L549" t="n">
        <v>0</v>
      </c>
      <c r="M549" t="n">
        <v>0</v>
      </c>
      <c r="N549" t="n">
        <v>0</v>
      </c>
      <c r="O549" t="n">
        <v>0</v>
      </c>
      <c r="P549" t="n">
        <v>0</v>
      </c>
      <c r="Q549" t="n">
        <v>0</v>
      </c>
      <c r="R549" s="2" t="inlineStr"/>
    </row>
    <row r="550" ht="15" customHeight="1">
      <c r="A550" t="inlineStr">
        <is>
          <t>A 22287-2022</t>
        </is>
      </c>
      <c r="B550" s="1" t="n">
        <v>44712</v>
      </c>
      <c r="C550" s="1" t="n">
        <v>46158</v>
      </c>
      <c r="D550" t="inlineStr">
        <is>
          <t>GOTLANDS LÄN</t>
        </is>
      </c>
      <c r="E550" t="inlineStr">
        <is>
          <t>GOTLAND</t>
        </is>
      </c>
      <c r="G550" t="n">
        <v>6.1</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46158</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65249-2023</t>
        </is>
      </c>
      <c r="B552" s="1" t="n">
        <v>45290</v>
      </c>
      <c r="C552" s="1" t="n">
        <v>46158</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46158</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17780-2022</t>
        </is>
      </c>
      <c r="B554" s="1" t="n">
        <v>44682.82622685185</v>
      </c>
      <c r="C554" s="1" t="n">
        <v>46158</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46158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46158</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42041-2024</t>
        </is>
      </c>
      <c r="B557" s="1" t="n">
        <v>45561</v>
      </c>
      <c r="C557" s="1" t="n">
        <v>46158</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61694-2023</t>
        </is>
      </c>
      <c r="B558" s="1" t="n">
        <v>45264</v>
      </c>
      <c r="C558" s="1" t="n">
        <v>46158</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64555-2023</t>
        </is>
      </c>
      <c r="B559" s="1" t="n">
        <v>45281</v>
      </c>
      <c r="C559" s="1" t="n">
        <v>46158</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46158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46158</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46158</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4377-2023</t>
        </is>
      </c>
      <c r="B563" s="1" t="n">
        <v>44955.5502662037</v>
      </c>
      <c r="C563" s="1" t="n">
        <v>46158</v>
      </c>
      <c r="D563" t="inlineStr">
        <is>
          <t>GOTLANDS LÄN</t>
        </is>
      </c>
      <c r="E563" t="inlineStr">
        <is>
          <t>GOTLAND</t>
        </is>
      </c>
      <c r="F563" t="inlineStr">
        <is>
          <t>Kyrkan</t>
        </is>
      </c>
      <c r="G563" t="n">
        <v>0.6</v>
      </c>
      <c r="H563" t="n">
        <v>0</v>
      </c>
      <c r="I563" t="n">
        <v>0</v>
      </c>
      <c r="J563" t="n">
        <v>0</v>
      </c>
      <c r="K563" t="n">
        <v>0</v>
      </c>
      <c r="L563" t="n">
        <v>0</v>
      </c>
      <c r="M563" t="n">
        <v>0</v>
      </c>
      <c r="N563" t="n">
        <v>0</v>
      </c>
      <c r="O563" t="n">
        <v>0</v>
      </c>
      <c r="P563" t="n">
        <v>0</v>
      </c>
      <c r="Q563" t="n">
        <v>0</v>
      </c>
      <c r="R563" s="2" t="inlineStr"/>
    </row>
    <row r="564" ht="15" customHeight="1">
      <c r="A564" t="inlineStr">
        <is>
          <t>A 4387-2023</t>
        </is>
      </c>
      <c r="B564" s="1" t="n">
        <v>44955.73359953704</v>
      </c>
      <c r="C564" s="1" t="n">
        <v>46158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39479-2022</t>
        </is>
      </c>
      <c r="B565" s="1" t="n">
        <v>44818</v>
      </c>
      <c r="C565" s="1" t="n">
        <v>46158</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46158</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46158</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46389-2021</t>
        </is>
      </c>
      <c r="B568" s="1" t="n">
        <v>44443</v>
      </c>
      <c r="C568" s="1" t="n">
        <v>46158</v>
      </c>
      <c r="D568" t="inlineStr">
        <is>
          <t>GOTLANDS LÄN</t>
        </is>
      </c>
      <c r="E568" t="inlineStr">
        <is>
          <t>GOTLAND</t>
        </is>
      </c>
      <c r="F568" t="inlineStr">
        <is>
          <t>Kyrkan</t>
        </is>
      </c>
      <c r="G568" t="n">
        <v>2.1</v>
      </c>
      <c r="H568" t="n">
        <v>0</v>
      </c>
      <c r="I568" t="n">
        <v>0</v>
      </c>
      <c r="J568" t="n">
        <v>0</v>
      </c>
      <c r="K568" t="n">
        <v>0</v>
      </c>
      <c r="L568" t="n">
        <v>0</v>
      </c>
      <c r="M568" t="n">
        <v>0</v>
      </c>
      <c r="N568" t="n">
        <v>0</v>
      </c>
      <c r="O568" t="n">
        <v>0</v>
      </c>
      <c r="P568" t="n">
        <v>0</v>
      </c>
      <c r="Q568" t="n">
        <v>0</v>
      </c>
      <c r="R568" s="2" t="inlineStr"/>
    </row>
    <row r="569" ht="15" customHeight="1">
      <c r="A569" t="inlineStr">
        <is>
          <t>A 26810-2021</t>
        </is>
      </c>
      <c r="B569" s="1" t="n">
        <v>44349.55087962963</v>
      </c>
      <c r="C569" s="1" t="n">
        <v>46158</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5923-2023</t>
        </is>
      </c>
      <c r="B570" s="1" t="n">
        <v>44963.69503472222</v>
      </c>
      <c r="C570" s="1" t="n">
        <v>46158</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46158</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46158</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46158</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46158</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46158</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26891-2024</t>
        </is>
      </c>
      <c r="B576" s="1" t="n">
        <v>45470.65540509259</v>
      </c>
      <c r="C576" s="1" t="n">
        <v>46158</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42007-2023</t>
        </is>
      </c>
      <c r="B577" s="1" t="n">
        <v>45177</v>
      </c>
      <c r="C577" s="1" t="n">
        <v>46158</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9887-2025</t>
        </is>
      </c>
      <c r="B578" s="1" t="n">
        <v>45716</v>
      </c>
      <c r="C578" s="1" t="n">
        <v>46158</v>
      </c>
      <c r="D578" t="inlineStr">
        <is>
          <t>GOTLANDS LÄN</t>
        </is>
      </c>
      <c r="E578" t="inlineStr">
        <is>
          <t>GOTLAND</t>
        </is>
      </c>
      <c r="G578" t="n">
        <v>7.5</v>
      </c>
      <c r="H578" t="n">
        <v>0</v>
      </c>
      <c r="I578" t="n">
        <v>0</v>
      </c>
      <c r="J578" t="n">
        <v>0</v>
      </c>
      <c r="K578" t="n">
        <v>0</v>
      </c>
      <c r="L578" t="n">
        <v>0</v>
      </c>
      <c r="M578" t="n">
        <v>0</v>
      </c>
      <c r="N578" t="n">
        <v>0</v>
      </c>
      <c r="O578" t="n">
        <v>0</v>
      </c>
      <c r="P578" t="n">
        <v>0</v>
      </c>
      <c r="Q578" t="n">
        <v>0</v>
      </c>
      <c r="R578" s="2" t="inlineStr"/>
    </row>
    <row r="579" ht="15" customHeight="1">
      <c r="A579" t="inlineStr">
        <is>
          <t>A 38165-2023</t>
        </is>
      </c>
      <c r="B579" s="1" t="n">
        <v>45161</v>
      </c>
      <c r="C579" s="1" t="n">
        <v>46158</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46158</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24825-2024</t>
        </is>
      </c>
      <c r="B581" s="1" t="n">
        <v>45461</v>
      </c>
      <c r="C581" s="1" t="n">
        <v>46158</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6696-2023</t>
        </is>
      </c>
      <c r="B582" s="1" t="n">
        <v>44966.66425925926</v>
      </c>
      <c r="C582" s="1" t="n">
        <v>46158</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21247-2022</t>
        </is>
      </c>
      <c r="B583" s="1" t="n">
        <v>44705.38832175926</v>
      </c>
      <c r="C583" s="1" t="n">
        <v>46158</v>
      </c>
      <c r="D583" t="inlineStr">
        <is>
          <t>GOTLANDS LÄN</t>
        </is>
      </c>
      <c r="E583" t="inlineStr">
        <is>
          <t>GOTLAND</t>
        </is>
      </c>
      <c r="G583" t="n">
        <v>16.2</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44929.87122685185</v>
      </c>
      <c r="C584" s="1" t="n">
        <v>46158</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44944.54896990741</v>
      </c>
      <c r="C585" s="1" t="n">
        <v>46158</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46158</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51782-2023</t>
        </is>
      </c>
      <c r="B587" s="1" t="n">
        <v>45222.80952546297</v>
      </c>
      <c r="C587" s="1" t="n">
        <v>46158</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54268-2022</t>
        </is>
      </c>
      <c r="B588" s="1" t="n">
        <v>44882</v>
      </c>
      <c r="C588" s="1" t="n">
        <v>46158</v>
      </c>
      <c r="D588" t="inlineStr">
        <is>
          <t>GOTLANDS LÄN</t>
        </is>
      </c>
      <c r="E588" t="inlineStr">
        <is>
          <t>GOTLAND</t>
        </is>
      </c>
      <c r="G588" t="n">
        <v>2.7</v>
      </c>
      <c r="H588" t="n">
        <v>0</v>
      </c>
      <c r="I588" t="n">
        <v>0</v>
      </c>
      <c r="J588" t="n">
        <v>0</v>
      </c>
      <c r="K588" t="n">
        <v>0</v>
      </c>
      <c r="L588" t="n">
        <v>0</v>
      </c>
      <c r="M588" t="n">
        <v>0</v>
      </c>
      <c r="N588" t="n">
        <v>0</v>
      </c>
      <c r="O588" t="n">
        <v>0</v>
      </c>
      <c r="P588" t="n">
        <v>0</v>
      </c>
      <c r="Q588" t="n">
        <v>0</v>
      </c>
      <c r="R588" s="2" t="inlineStr"/>
    </row>
    <row r="589" ht="15" customHeight="1">
      <c r="A589" t="inlineStr">
        <is>
          <t>A 57534-2022</t>
        </is>
      </c>
      <c r="B589" s="1" t="n">
        <v>44896</v>
      </c>
      <c r="C589" s="1" t="n">
        <v>46158</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25866-2022</t>
        </is>
      </c>
      <c r="B590" s="1" t="n">
        <v>44733</v>
      </c>
      <c r="C590" s="1" t="n">
        <v>46158</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43229-2023</t>
        </is>
      </c>
      <c r="B591" s="1" t="n">
        <v>45183.46704861111</v>
      </c>
      <c r="C591" s="1" t="n">
        <v>46158</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46158</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27095-2022</t>
        </is>
      </c>
      <c r="B593" s="1" t="n">
        <v>44741</v>
      </c>
      <c r="C593" s="1" t="n">
        <v>46158</v>
      </c>
      <c r="D593" t="inlineStr">
        <is>
          <t>GOTLANDS LÄN</t>
        </is>
      </c>
      <c r="E593" t="inlineStr">
        <is>
          <t>GOTLAND</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22899-2023</t>
        </is>
      </c>
      <c r="B594" s="1" t="n">
        <v>45072</v>
      </c>
      <c r="C594" s="1" t="n">
        <v>46158</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23978-2023</t>
        </is>
      </c>
      <c r="B595" s="1" t="n">
        <v>45078</v>
      </c>
      <c r="C595" s="1" t="n">
        <v>46158</v>
      </c>
      <c r="D595" t="inlineStr">
        <is>
          <t>GOTLANDS LÄN</t>
        </is>
      </c>
      <c r="E595" t="inlineStr">
        <is>
          <t>GOTLAND</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34407-2023</t>
        </is>
      </c>
      <c r="B596" s="1" t="n">
        <v>45132</v>
      </c>
      <c r="C596" s="1" t="n">
        <v>46158</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46158</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27694-2024</t>
        </is>
      </c>
      <c r="B598" s="1" t="n">
        <v>45475</v>
      </c>
      <c r="C598" s="1" t="n">
        <v>46158</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15083-2025</t>
        </is>
      </c>
      <c r="B599" s="1" t="n">
        <v>45743</v>
      </c>
      <c r="C599" s="1" t="n">
        <v>46158</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13037-2025</t>
        </is>
      </c>
      <c r="B600" s="1" t="n">
        <v>45734</v>
      </c>
      <c r="C600" s="1" t="n">
        <v>46158</v>
      </c>
      <c r="D600" t="inlineStr">
        <is>
          <t>GOTLANDS LÄN</t>
        </is>
      </c>
      <c r="E600" t="inlineStr">
        <is>
          <t>GOTLAND</t>
        </is>
      </c>
      <c r="G600" t="n">
        <v>9.5</v>
      </c>
      <c r="H600" t="n">
        <v>0</v>
      </c>
      <c r="I600" t="n">
        <v>0</v>
      </c>
      <c r="J600" t="n">
        <v>0</v>
      </c>
      <c r="K600" t="n">
        <v>0</v>
      </c>
      <c r="L600" t="n">
        <v>0</v>
      </c>
      <c r="M600" t="n">
        <v>0</v>
      </c>
      <c r="N600" t="n">
        <v>0</v>
      </c>
      <c r="O600" t="n">
        <v>0</v>
      </c>
      <c r="P600" t="n">
        <v>0</v>
      </c>
      <c r="Q600" t="n">
        <v>0</v>
      </c>
      <c r="R600" s="2" t="inlineStr"/>
    </row>
    <row r="601" ht="15" customHeight="1">
      <c r="A601" t="inlineStr">
        <is>
          <t>A 458-2023</t>
        </is>
      </c>
      <c r="B601" s="1" t="n">
        <v>44929</v>
      </c>
      <c r="C601" s="1" t="n">
        <v>46158</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44228-2022</t>
        </is>
      </c>
      <c r="B602" s="1" t="n">
        <v>44839.51599537037</v>
      </c>
      <c r="C602" s="1" t="n">
        <v>46158</v>
      </c>
      <c r="D602" t="inlineStr">
        <is>
          <t>GOTLANDS LÄN</t>
        </is>
      </c>
      <c r="E602" t="inlineStr">
        <is>
          <t>GOTLAND</t>
        </is>
      </c>
      <c r="G602" t="n">
        <v>2.1</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46158</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49884-2023</t>
        </is>
      </c>
      <c r="B604" s="1" t="n">
        <v>45213</v>
      </c>
      <c r="C604" s="1" t="n">
        <v>46158</v>
      </c>
      <c r="D604" t="inlineStr">
        <is>
          <t>GOTLANDS LÄN</t>
        </is>
      </c>
      <c r="E604" t="inlineStr">
        <is>
          <t>GOTLAND</t>
        </is>
      </c>
      <c r="G604" t="n">
        <v>8.9</v>
      </c>
      <c r="H604" t="n">
        <v>0</v>
      </c>
      <c r="I604" t="n">
        <v>0</v>
      </c>
      <c r="J604" t="n">
        <v>0</v>
      </c>
      <c r="K604" t="n">
        <v>0</v>
      </c>
      <c r="L604" t="n">
        <v>0</v>
      </c>
      <c r="M604" t="n">
        <v>0</v>
      </c>
      <c r="N604" t="n">
        <v>0</v>
      </c>
      <c r="O604" t="n">
        <v>0</v>
      </c>
      <c r="P604" t="n">
        <v>0</v>
      </c>
      <c r="Q604" t="n">
        <v>0</v>
      </c>
      <c r="R604" s="2" t="inlineStr"/>
    </row>
    <row r="605" ht="15" customHeight="1">
      <c r="A605" t="inlineStr">
        <is>
          <t>A 876-2024</t>
        </is>
      </c>
      <c r="B605" s="1" t="n">
        <v>45301</v>
      </c>
      <c r="C605" s="1" t="n">
        <v>46158</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46158</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46158</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46158</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46158</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46158</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46158</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46158</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46158</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46158</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1364-2025</t>
        </is>
      </c>
      <c r="B615" s="1" t="n">
        <v>45667.63929398148</v>
      </c>
      <c r="C615" s="1" t="n">
        <v>46158</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46158</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2180-2025</t>
        </is>
      </c>
      <c r="B617" s="1" t="n">
        <v>45673</v>
      </c>
      <c r="C617" s="1" t="n">
        <v>46158</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15436-2025</t>
        </is>
      </c>
      <c r="B618" s="1" t="n">
        <v>45747.47462962963</v>
      </c>
      <c r="C618" s="1" t="n">
        <v>46158</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46158</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37202-2024</t>
        </is>
      </c>
      <c r="B620" s="1" t="n">
        <v>45539.67310185185</v>
      </c>
      <c r="C620" s="1" t="n">
        <v>46158</v>
      </c>
      <c r="D620" t="inlineStr">
        <is>
          <t>GOTLANDS LÄN</t>
        </is>
      </c>
      <c r="E620" t="inlineStr">
        <is>
          <t>GOTLAND</t>
        </is>
      </c>
      <c r="G620" t="n">
        <v>0.3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46158</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2774-2024</t>
        </is>
      </c>
      <c r="B622" s="1" t="n">
        <v>45314.62375</v>
      </c>
      <c r="C622" s="1" t="n">
        <v>46158</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60709-2023</t>
        </is>
      </c>
      <c r="B623" s="1" t="n">
        <v>45260</v>
      </c>
      <c r="C623" s="1" t="n">
        <v>46158</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64208-2021</t>
        </is>
      </c>
      <c r="B624" s="1" t="n">
        <v>44510</v>
      </c>
      <c r="C624" s="1" t="n">
        <v>46158</v>
      </c>
      <c r="D624" t="inlineStr">
        <is>
          <t>GOTLANDS LÄN</t>
        </is>
      </c>
      <c r="E624" t="inlineStr">
        <is>
          <t>GOTLAND</t>
        </is>
      </c>
      <c r="G624" t="n">
        <v>4.7</v>
      </c>
      <c r="H624" t="n">
        <v>0</v>
      </c>
      <c r="I624" t="n">
        <v>0</v>
      </c>
      <c r="J624" t="n">
        <v>0</v>
      </c>
      <c r="K624" t="n">
        <v>0</v>
      </c>
      <c r="L624" t="n">
        <v>0</v>
      </c>
      <c r="M624" t="n">
        <v>0</v>
      </c>
      <c r="N624" t="n">
        <v>0</v>
      </c>
      <c r="O624" t="n">
        <v>0</v>
      </c>
      <c r="P624" t="n">
        <v>0</v>
      </c>
      <c r="Q624" t="n">
        <v>0</v>
      </c>
      <c r="R624" s="2" t="inlineStr"/>
    </row>
    <row r="625" ht="15" customHeight="1">
      <c r="A625" t="inlineStr">
        <is>
          <t>A 39764-2022</t>
        </is>
      </c>
      <c r="B625" s="1" t="n">
        <v>44819</v>
      </c>
      <c r="C625" s="1" t="n">
        <v>46158</v>
      </c>
      <c r="D625" t="inlineStr">
        <is>
          <t>GOTLANDS LÄN</t>
        </is>
      </c>
      <c r="E625" t="inlineStr">
        <is>
          <t>GOTLAND</t>
        </is>
      </c>
      <c r="F625" t="inlineStr">
        <is>
          <t>Kyrkan</t>
        </is>
      </c>
      <c r="G625" t="n">
        <v>3.7</v>
      </c>
      <c r="H625" t="n">
        <v>0</v>
      </c>
      <c r="I625" t="n">
        <v>0</v>
      </c>
      <c r="J625" t="n">
        <v>0</v>
      </c>
      <c r="K625" t="n">
        <v>0</v>
      </c>
      <c r="L625" t="n">
        <v>0</v>
      </c>
      <c r="M625" t="n">
        <v>0</v>
      </c>
      <c r="N625" t="n">
        <v>0</v>
      </c>
      <c r="O625" t="n">
        <v>0</v>
      </c>
      <c r="P625" t="n">
        <v>0</v>
      </c>
      <c r="Q625" t="n">
        <v>0</v>
      </c>
      <c r="R625" s="2" t="inlineStr"/>
    </row>
    <row r="626" ht="15" customHeight="1">
      <c r="A626" t="inlineStr">
        <is>
          <t>A 58211-2024</t>
        </is>
      </c>
      <c r="B626" s="1" t="n">
        <v>45632.49292824074</v>
      </c>
      <c r="C626" s="1" t="n">
        <v>46158</v>
      </c>
      <c r="D626" t="inlineStr">
        <is>
          <t>GOTLANDS LÄN</t>
        </is>
      </c>
      <c r="E626" t="inlineStr">
        <is>
          <t>GOTLAND</t>
        </is>
      </c>
      <c r="G626" t="n">
        <v>5.4</v>
      </c>
      <c r="H626" t="n">
        <v>0</v>
      </c>
      <c r="I626" t="n">
        <v>0</v>
      </c>
      <c r="J626" t="n">
        <v>0</v>
      </c>
      <c r="K626" t="n">
        <v>0</v>
      </c>
      <c r="L626" t="n">
        <v>0</v>
      </c>
      <c r="M626" t="n">
        <v>0</v>
      </c>
      <c r="N626" t="n">
        <v>0</v>
      </c>
      <c r="O626" t="n">
        <v>0</v>
      </c>
      <c r="P626" t="n">
        <v>0</v>
      </c>
      <c r="Q626" t="n">
        <v>0</v>
      </c>
      <c r="R626" s="2" t="inlineStr"/>
    </row>
    <row r="627" ht="15" customHeight="1">
      <c r="A627" t="inlineStr">
        <is>
          <t>A 30956-2024</t>
        </is>
      </c>
      <c r="B627" s="1" t="n">
        <v>45499.42527777778</v>
      </c>
      <c r="C627" s="1" t="n">
        <v>46158</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30892-2024</t>
        </is>
      </c>
      <c r="B628" s="1" t="n">
        <v>45491</v>
      </c>
      <c r="C628" s="1" t="n">
        <v>46158</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45013.69365740741</v>
      </c>
      <c r="C629" s="1" t="n">
        <v>46158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59469-2024</t>
        </is>
      </c>
      <c r="B630" s="1" t="n">
        <v>45638</v>
      </c>
      <c r="C630" s="1" t="n">
        <v>46158</v>
      </c>
      <c r="D630" t="inlineStr">
        <is>
          <t>GOTLANDS LÄN</t>
        </is>
      </c>
      <c r="E630" t="inlineStr">
        <is>
          <t>GOTLAND</t>
        </is>
      </c>
      <c r="G630" t="n">
        <v>0.4</v>
      </c>
      <c r="H630" t="n">
        <v>0</v>
      </c>
      <c r="I630" t="n">
        <v>0</v>
      </c>
      <c r="J630" t="n">
        <v>0</v>
      </c>
      <c r="K630" t="n">
        <v>0</v>
      </c>
      <c r="L630" t="n">
        <v>0</v>
      </c>
      <c r="M630" t="n">
        <v>0</v>
      </c>
      <c r="N630" t="n">
        <v>0</v>
      </c>
      <c r="O630" t="n">
        <v>0</v>
      </c>
      <c r="P630" t="n">
        <v>0</v>
      </c>
      <c r="Q630" t="n">
        <v>0</v>
      </c>
      <c r="R630" s="2" t="inlineStr"/>
    </row>
    <row r="631" ht="15" customHeight="1">
      <c r="A631" t="inlineStr">
        <is>
          <t>A 7858-2025</t>
        </is>
      </c>
      <c r="B631" s="1" t="n">
        <v>45706.68633101852</v>
      </c>
      <c r="C631" s="1" t="n">
        <v>46158</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53935-2024</t>
        </is>
      </c>
      <c r="B632" s="1" t="n">
        <v>45615</v>
      </c>
      <c r="C632" s="1" t="n">
        <v>46158</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18223-2025</t>
        </is>
      </c>
      <c r="B633" s="1" t="n">
        <v>45761</v>
      </c>
      <c r="C633" s="1" t="n">
        <v>46158</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4420-2025</t>
        </is>
      </c>
      <c r="B634" s="1" t="n">
        <v>45686.47157407407</v>
      </c>
      <c r="C634" s="1" t="n">
        <v>46158</v>
      </c>
      <c r="D634" t="inlineStr">
        <is>
          <t>GOTLANDS LÄN</t>
        </is>
      </c>
      <c r="E634" t="inlineStr">
        <is>
          <t>GOTLAND</t>
        </is>
      </c>
      <c r="G634" t="n">
        <v>1.6</v>
      </c>
      <c r="H634" t="n">
        <v>0</v>
      </c>
      <c r="I634" t="n">
        <v>0</v>
      </c>
      <c r="J634" t="n">
        <v>0</v>
      </c>
      <c r="K634" t="n">
        <v>0</v>
      </c>
      <c r="L634" t="n">
        <v>0</v>
      </c>
      <c r="M634" t="n">
        <v>0</v>
      </c>
      <c r="N634" t="n">
        <v>0</v>
      </c>
      <c r="O634" t="n">
        <v>0</v>
      </c>
      <c r="P634" t="n">
        <v>0</v>
      </c>
      <c r="Q634" t="n">
        <v>0</v>
      </c>
      <c r="R634" s="2" t="inlineStr"/>
    </row>
    <row r="635" ht="15" customHeight="1">
      <c r="A635" t="inlineStr">
        <is>
          <t>A 5891-2025</t>
        </is>
      </c>
      <c r="B635" s="1" t="n">
        <v>45695.38327546296</v>
      </c>
      <c r="C635" s="1" t="n">
        <v>46158</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7835-2024</t>
        </is>
      </c>
      <c r="B636" s="1" t="n">
        <v>45349.83138888889</v>
      </c>
      <c r="C636" s="1" t="n">
        <v>46158</v>
      </c>
      <c r="D636" t="inlineStr">
        <is>
          <t>GOTLANDS LÄN</t>
        </is>
      </c>
      <c r="E636" t="inlineStr">
        <is>
          <t>GOTLAND</t>
        </is>
      </c>
      <c r="G636" t="n">
        <v>3.8</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46158</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46158</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46158</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46158</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57356-2023</t>
        </is>
      </c>
      <c r="B641" s="1" t="n">
        <v>45240</v>
      </c>
      <c r="C641" s="1" t="n">
        <v>46158</v>
      </c>
      <c r="D641" t="inlineStr">
        <is>
          <t>GOTLANDS LÄN</t>
        </is>
      </c>
      <c r="E641" t="inlineStr">
        <is>
          <t>GOTLAND</t>
        </is>
      </c>
      <c r="G641" t="n">
        <v>6.4</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46158</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28506-2023</t>
        </is>
      </c>
      <c r="B643" s="1" t="n">
        <v>45103</v>
      </c>
      <c r="C643" s="1" t="n">
        <v>46158</v>
      </c>
      <c r="D643" t="inlineStr">
        <is>
          <t>GOTLANDS LÄN</t>
        </is>
      </c>
      <c r="E643" t="inlineStr">
        <is>
          <t>GOTLAND</t>
        </is>
      </c>
      <c r="G643" t="n">
        <v>3.2</v>
      </c>
      <c r="H643" t="n">
        <v>0</v>
      </c>
      <c r="I643" t="n">
        <v>0</v>
      </c>
      <c r="J643" t="n">
        <v>0</v>
      </c>
      <c r="K643" t="n">
        <v>0</v>
      </c>
      <c r="L643" t="n">
        <v>0</v>
      </c>
      <c r="M643" t="n">
        <v>0</v>
      </c>
      <c r="N643" t="n">
        <v>0</v>
      </c>
      <c r="O643" t="n">
        <v>0</v>
      </c>
      <c r="P643" t="n">
        <v>0</v>
      </c>
      <c r="Q643" t="n">
        <v>0</v>
      </c>
      <c r="R643" s="2" t="inlineStr"/>
    </row>
    <row r="644" ht="15" customHeight="1">
      <c r="A644" t="inlineStr">
        <is>
          <t>A 21420-2024</t>
        </is>
      </c>
      <c r="B644" s="1" t="n">
        <v>45441.38293981482</v>
      </c>
      <c r="C644" s="1" t="n">
        <v>46158</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23188-2025</t>
        </is>
      </c>
      <c r="B645" s="1" t="n">
        <v>45791</v>
      </c>
      <c r="C645" s="1" t="n">
        <v>46158</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2026-05-16T12:16:04Z</dcterms:created>
  <dcterms:modified xmlns:dcterms="http://purl.org/dc/terms/" xmlns:xsi="http://www.w3.org/2001/XMLSchema-instance" xsi:type="dcterms:W3CDTF">2026-05-16T12:16:04Z</dcterms:modified>
</cp:coreProperties>
</file>