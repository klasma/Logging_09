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46111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46111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46111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46111</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46111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46111</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46111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46111</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46111</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46111</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46111</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46111</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46111</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46111</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46111</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46111</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46111</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24575-2025</t>
        </is>
      </c>
      <c r="B23" s="1" t="n">
        <v>45798</v>
      </c>
      <c r="C23" s="1" t="n">
        <v>46111</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46111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46111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46111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46111</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46111</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46111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46111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46111</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46111</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46111</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44204-2022</t>
        </is>
      </c>
      <c r="B34" s="1" t="n">
        <v>44839</v>
      </c>
      <c r="C34" s="1" t="n">
        <v>46111</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2804-2023</t>
        </is>
      </c>
      <c r="B35" s="1" t="n">
        <v>44944</v>
      </c>
      <c r="C35" s="1" t="n">
        <v>46111</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46111</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46111</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61664-2023</t>
        </is>
      </c>
      <c r="B38" s="1" t="n">
        <v>45265</v>
      </c>
      <c r="C38" s="1" t="n">
        <v>46111</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46111</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46111</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46111</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46111</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46111</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46111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46111</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46111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46111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46111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46111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46111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46111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27280-2023</t>
        </is>
      </c>
      <c r="B52" s="1" t="n">
        <v>45096</v>
      </c>
      <c r="C52" s="1" t="n">
        <v>46111</v>
      </c>
      <c r="D52" t="inlineStr">
        <is>
          <t>GOTLANDS LÄN</t>
        </is>
      </c>
      <c r="E52" t="inlineStr">
        <is>
          <t>GOTLAND</t>
        </is>
      </c>
      <c r="G52" t="n">
        <v>2.7</v>
      </c>
      <c r="H52" t="n">
        <v>10</v>
      </c>
      <c r="I52" t="n">
        <v>2</v>
      </c>
      <c r="J52" t="n">
        <v>3</v>
      </c>
      <c r="K52" t="n">
        <v>1</v>
      </c>
      <c r="L52" t="n">
        <v>0</v>
      </c>
      <c r="M52" t="n">
        <v>0</v>
      </c>
      <c r="N52" t="n">
        <v>0</v>
      </c>
      <c r="O52" t="n">
        <v>4</v>
      </c>
      <c r="P52" t="n">
        <v>1</v>
      </c>
      <c r="Q52" t="n">
        <v>10</v>
      </c>
      <c r="R52" s="2" t="inlineStr">
        <is>
          <t>Stare
Björktrast
Mindre hackspett
Spillkråka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584-2023</t>
        </is>
      </c>
      <c r="B53" s="1" t="n">
        <v>44930</v>
      </c>
      <c r="C53" s="1" t="n">
        <v>46111</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46111</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agg.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46111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46111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46111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46111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46111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46111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27168-2022</t>
        </is>
      </c>
      <c r="B61" s="1" t="n">
        <v>44741</v>
      </c>
      <c r="C61" s="1" t="n">
        <v>46111</v>
      </c>
      <c r="D61" t="inlineStr">
        <is>
          <t>GOTLANDS LÄN</t>
        </is>
      </c>
      <c r="E61" t="inlineStr">
        <is>
          <t>GOTLAND</t>
        </is>
      </c>
      <c r="G61" t="n">
        <v>2.2</v>
      </c>
      <c r="H61" t="n">
        <v>5</v>
      </c>
      <c r="I61" t="n">
        <v>2</v>
      </c>
      <c r="J61" t="n">
        <v>2</v>
      </c>
      <c r="K61" t="n">
        <v>1</v>
      </c>
      <c r="L61" t="n">
        <v>0</v>
      </c>
      <c r="M61" t="n">
        <v>0</v>
      </c>
      <c r="N61" t="n">
        <v>0</v>
      </c>
      <c r="O61" t="n">
        <v>3</v>
      </c>
      <c r="P61" t="n">
        <v>1</v>
      </c>
      <c r="Q61" t="n">
        <v>8</v>
      </c>
      <c r="R61" s="2" t="inlineStr">
        <is>
          <t>Gotlandsmåra
Solvända
Svinrot
Purpurknipprot
Vit skogslilja
Brudsporre
Fläcknycklar
Kärrknipprot</t>
        </is>
      </c>
      <c r="S61">
        <f>HYPERLINK("https://klasma.github.io/Logging_0980/artfynd/A 27168-2022 artfynd.xlsx", "A 27168-2022")</f>
        <v/>
      </c>
      <c r="T61">
        <f>HYPERLINK("https://klasma.github.io/Logging_0980/kartor/A 27168-2022 karta.png", "A 27168-2022")</f>
        <v/>
      </c>
      <c r="V61">
        <f>HYPERLINK("https://klasma.github.io/Logging_0980/klagomål/A 27168-2022 FSC-klagomål.docx", "A 27168-2022")</f>
        <v/>
      </c>
      <c r="W61">
        <f>HYPERLINK("https://klasma.github.io/Logging_0980/klagomålsmail/A 27168-2022 FSC-klagomål mail.docx", "A 27168-2022")</f>
        <v/>
      </c>
      <c r="X61">
        <f>HYPERLINK("https://klasma.github.io/Logging_0980/tillsyn/A 27168-2022 tillsynsbegäran.docx", "A 27168-2022")</f>
        <v/>
      </c>
      <c r="Y61">
        <f>HYPERLINK("https://klasma.github.io/Logging_0980/tillsynsmail/A 27168-2022 tillsynsbegäran mail.docx", "A 27168-2022")</f>
        <v/>
      </c>
    </row>
    <row r="62" ht="15" customHeight="1">
      <c r="A62" t="inlineStr">
        <is>
          <t>A 51737-2021</t>
        </is>
      </c>
      <c r="B62" s="1" t="n">
        <v>44462.57368055556</v>
      </c>
      <c r="C62" s="1" t="n">
        <v>46111</v>
      </c>
      <c r="D62" t="inlineStr">
        <is>
          <t>GOTLANDS LÄN</t>
        </is>
      </c>
      <c r="E62" t="inlineStr">
        <is>
          <t>GOTLAND</t>
        </is>
      </c>
      <c r="G62" t="n">
        <v>8.6</v>
      </c>
      <c r="H62" t="n">
        <v>1</v>
      </c>
      <c r="I62" t="n">
        <v>6</v>
      </c>
      <c r="J62" t="n">
        <v>1</v>
      </c>
      <c r="K62" t="n">
        <v>0</v>
      </c>
      <c r="L62" t="n">
        <v>0</v>
      </c>
      <c r="M62" t="n">
        <v>0</v>
      </c>
      <c r="N62" t="n">
        <v>0</v>
      </c>
      <c r="O62" t="n">
        <v>1</v>
      </c>
      <c r="P62" t="n">
        <v>0</v>
      </c>
      <c r="Q62" t="n">
        <v>7</v>
      </c>
      <c r="R62" s="2" t="inlineStr">
        <is>
          <t>Igelkott
Blå slemspindling
Blåmossa
Kambräken
Skogsknipprot
Västlig hakmossa
Vårärt</t>
        </is>
      </c>
      <c r="S62">
        <f>HYPERLINK("https://klasma.github.io/Logging_0980/artfynd/A 51737-2021 artfynd.xlsx", "A 51737-2021")</f>
        <v/>
      </c>
      <c r="T62">
        <f>HYPERLINK("https://klasma.github.io/Logging_0980/kartor/A 51737-2021 karta.png", "A 51737-2021")</f>
        <v/>
      </c>
      <c r="V62">
        <f>HYPERLINK("https://klasma.github.io/Logging_0980/klagomål/A 51737-2021 FSC-klagomål.docx", "A 51737-2021")</f>
        <v/>
      </c>
      <c r="W62">
        <f>HYPERLINK("https://klasma.github.io/Logging_0980/klagomålsmail/A 51737-2021 FSC-klagomål mail.docx", "A 51737-2021")</f>
        <v/>
      </c>
      <c r="X62">
        <f>HYPERLINK("https://klasma.github.io/Logging_0980/tillsyn/A 51737-2021 tillsynsbegäran.docx", "A 51737-2021")</f>
        <v/>
      </c>
      <c r="Y62">
        <f>HYPERLINK("https://klasma.github.io/Logging_0980/tillsynsmail/A 51737-2021 tillsynsbegäran mail.docx", "A 51737-2021")</f>
        <v/>
      </c>
    </row>
    <row r="63" ht="15" customHeight="1">
      <c r="A63" t="inlineStr">
        <is>
          <t>A 56687-2025</t>
        </is>
      </c>
      <c r="B63" s="1" t="n">
        <v>45975.84065972222</v>
      </c>
      <c r="C63" s="1" t="n">
        <v>46111</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4984-2025</t>
        </is>
      </c>
      <c r="B64" s="1" t="n">
        <v>45691.29891203704</v>
      </c>
      <c r="C64" s="1" t="n">
        <v>46111</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46111</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46111</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46111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46111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46111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46111</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446-2023</t>
        </is>
      </c>
      <c r="B71" s="1" t="n">
        <v>44929</v>
      </c>
      <c r="C71" s="1" t="n">
        <v>46111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46111</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46111</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46111</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46111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54527-2023</t>
        </is>
      </c>
      <c r="B76" s="1" t="n">
        <v>45233</v>
      </c>
      <c r="C76" s="1" t="n">
        <v>46111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7038-2023</t>
        </is>
      </c>
      <c r="B77" s="1" t="n">
        <v>44968</v>
      </c>
      <c r="C77" s="1" t="n">
        <v>46111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46111</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46111</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46111</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46111</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10274-2026</t>
        </is>
      </c>
      <c r="B82" s="1" t="n">
        <v>46076.58261574074</v>
      </c>
      <c r="C82" s="1" t="n">
        <v>46111</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46111</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6839-2026</t>
        </is>
      </c>
      <c r="B84" s="1" t="n">
        <v>46057.41193287037</v>
      </c>
      <c r="C84" s="1" t="n">
        <v>46111</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35293-2025</t>
        </is>
      </c>
      <c r="B85" s="1" t="n">
        <v>45854.39438657407</v>
      </c>
      <c r="C85" s="1" t="n">
        <v>46111</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39425-2023</t>
        </is>
      </c>
      <c r="B86" s="1" t="n">
        <v>45166</v>
      </c>
      <c r="C86" s="1" t="n">
        <v>46111</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2213-2023</t>
        </is>
      </c>
      <c r="B87" s="1" t="n">
        <v>44942</v>
      </c>
      <c r="C87" s="1" t="n">
        <v>46111</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46111</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46111</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46111</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6159-2023</t>
        </is>
      </c>
      <c r="B91" s="1" t="n">
        <v>44964</v>
      </c>
      <c r="C91" s="1" t="n">
        <v>46111</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46111</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54523-2023</t>
        </is>
      </c>
      <c r="B93" s="1" t="n">
        <v>45233</v>
      </c>
      <c r="C93" s="1" t="n">
        <v>46111</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43197-2023</t>
        </is>
      </c>
      <c r="B94" s="1" t="n">
        <v>45183</v>
      </c>
      <c r="C94" s="1" t="n">
        <v>46111</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1971-2023</t>
        </is>
      </c>
      <c r="B95" s="1" t="n">
        <v>44939</v>
      </c>
      <c r="C95" s="1" t="n">
        <v>46111</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57463-2025</t>
        </is>
      </c>
      <c r="B96" s="1" t="n">
        <v>45980.54174768519</v>
      </c>
      <c r="C96" s="1" t="n">
        <v>46111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46111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13203-2026</t>
        </is>
      </c>
      <c r="B98" s="1" t="n">
        <v>46093</v>
      </c>
      <c r="C98" s="1" t="n">
        <v>46111</v>
      </c>
      <c r="D98" t="inlineStr">
        <is>
          <t>GOTLANDS LÄN</t>
        </is>
      </c>
      <c r="E98" t="inlineStr">
        <is>
          <t>GOTLAND</t>
        </is>
      </c>
      <c r="G98" t="n">
        <v>4.5</v>
      </c>
      <c r="H98" t="n">
        <v>2</v>
      </c>
      <c r="I98" t="n">
        <v>1</v>
      </c>
      <c r="J98" t="n">
        <v>1</v>
      </c>
      <c r="K98" t="n">
        <v>1</v>
      </c>
      <c r="L98" t="n">
        <v>0</v>
      </c>
      <c r="M98" t="n">
        <v>0</v>
      </c>
      <c r="N98" t="n">
        <v>0</v>
      </c>
      <c r="O98" t="n">
        <v>2</v>
      </c>
      <c r="P98" t="n">
        <v>1</v>
      </c>
      <c r="Q98" t="n">
        <v>4</v>
      </c>
      <c r="R98" s="2" t="inlineStr">
        <is>
          <t>Gotlandsmåra
Svinrot
Nästrot
Grönvit nattviol</t>
        </is>
      </c>
      <c r="S98">
        <f>HYPERLINK("https://klasma.github.io/Logging_0980/artfynd/A 13203-2026 artfynd.xlsx", "A 13203-2026")</f>
        <v/>
      </c>
      <c r="T98">
        <f>HYPERLINK("https://klasma.github.io/Logging_0980/kartor/A 13203-2026 karta.png", "A 13203-2026")</f>
        <v/>
      </c>
      <c r="V98">
        <f>HYPERLINK("https://klasma.github.io/Logging_0980/klagomål/A 13203-2026 FSC-klagomål.docx", "A 13203-2026")</f>
        <v/>
      </c>
      <c r="W98">
        <f>HYPERLINK("https://klasma.github.io/Logging_0980/klagomålsmail/A 13203-2026 FSC-klagomål mail.docx", "A 13203-2026")</f>
        <v/>
      </c>
      <c r="X98">
        <f>HYPERLINK("https://klasma.github.io/Logging_0980/tillsyn/A 13203-2026 tillsynsbegäran.docx", "A 13203-2026")</f>
        <v/>
      </c>
      <c r="Y98">
        <f>HYPERLINK("https://klasma.github.io/Logging_0980/tillsynsmail/A 13203-2026 tillsynsbegäran mail.docx", "A 13203-2026")</f>
        <v/>
      </c>
    </row>
    <row r="99" ht="15" customHeight="1">
      <c r="A99" t="inlineStr">
        <is>
          <t>A 6836-2026</t>
        </is>
      </c>
      <c r="B99" s="1" t="n">
        <v>46057.40902777778</v>
      </c>
      <c r="C99" s="1" t="n">
        <v>46111</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20833-2024</t>
        </is>
      </c>
      <c r="B100" s="1" t="n">
        <v>45439</v>
      </c>
      <c r="C100" s="1" t="n">
        <v>46111</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44933-2022</t>
        </is>
      </c>
      <c r="B101" s="1" t="n">
        <v>44841</v>
      </c>
      <c r="C101" s="1" t="n">
        <v>46111</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2485-2025</t>
        </is>
      </c>
      <c r="B102" s="1" t="n">
        <v>45673</v>
      </c>
      <c r="C102" s="1" t="n">
        <v>46111</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8265-2023</t>
        </is>
      </c>
      <c r="B103" s="1" t="n">
        <v>44974</v>
      </c>
      <c r="C103" s="1" t="n">
        <v>46111</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186-2023</t>
        </is>
      </c>
      <c r="B104" s="1" t="n">
        <v>44928</v>
      </c>
      <c r="C104" s="1" t="n">
        <v>46111</v>
      </c>
      <c r="D104" t="inlineStr">
        <is>
          <t>GOTLANDS LÄN</t>
        </is>
      </c>
      <c r="E104" t="inlineStr">
        <is>
          <t>GOTLAND</t>
        </is>
      </c>
      <c r="G104" t="n">
        <v>2.2</v>
      </c>
      <c r="H104" t="n">
        <v>2</v>
      </c>
      <c r="I104" t="n">
        <v>2</v>
      </c>
      <c r="J104" t="n">
        <v>0</v>
      </c>
      <c r="K104" t="n">
        <v>2</v>
      </c>
      <c r="L104" t="n">
        <v>0</v>
      </c>
      <c r="M104" t="n">
        <v>0</v>
      </c>
      <c r="N104" t="n">
        <v>0</v>
      </c>
      <c r="O104" t="n">
        <v>2</v>
      </c>
      <c r="P104" t="n">
        <v>2</v>
      </c>
      <c r="Q104" t="n">
        <v>4</v>
      </c>
      <c r="R104" s="2" t="inlineStr">
        <is>
          <t>Svartgrön spindling
Vit taggsvamp
Nästrot
Skogsknipprot</t>
        </is>
      </c>
      <c r="S104">
        <f>HYPERLINK("https://klasma.github.io/Logging_0980/artfynd/A 186-2023 artfynd.xlsx", "A 186-2023")</f>
        <v/>
      </c>
      <c r="T104">
        <f>HYPERLINK("https://klasma.github.io/Logging_0980/kartor/A 186-2023 karta.png", "A 186-2023")</f>
        <v/>
      </c>
      <c r="V104">
        <f>HYPERLINK("https://klasma.github.io/Logging_0980/klagomål/A 186-2023 FSC-klagomål.docx", "A 186-2023")</f>
        <v/>
      </c>
      <c r="W104">
        <f>HYPERLINK("https://klasma.github.io/Logging_0980/klagomålsmail/A 186-2023 FSC-klagomål mail.docx", "A 186-2023")</f>
        <v/>
      </c>
      <c r="X104">
        <f>HYPERLINK("https://klasma.github.io/Logging_0980/tillsyn/A 186-2023 tillsynsbegäran.docx", "A 186-2023")</f>
        <v/>
      </c>
      <c r="Y104">
        <f>HYPERLINK("https://klasma.github.io/Logging_0980/tillsynsmail/A 186-2023 tillsynsbegäran mail.docx", "A 186-2023")</f>
        <v/>
      </c>
    </row>
    <row r="105" ht="15" customHeight="1">
      <c r="A105" t="inlineStr">
        <is>
          <t>A 56717-2024</t>
        </is>
      </c>
      <c r="B105" s="1" t="n">
        <v>45628.3166550926</v>
      </c>
      <c r="C105" s="1" t="n">
        <v>46111</v>
      </c>
      <c r="D105" t="inlineStr">
        <is>
          <t>GOTLANDS LÄN</t>
        </is>
      </c>
      <c r="E105" t="inlineStr">
        <is>
          <t>GOTLAND</t>
        </is>
      </c>
      <c r="G105" t="n">
        <v>9.699999999999999</v>
      </c>
      <c r="H105" t="n">
        <v>0</v>
      </c>
      <c r="I105" t="n">
        <v>2</v>
      </c>
      <c r="J105" t="n">
        <v>2</v>
      </c>
      <c r="K105" t="n">
        <v>0</v>
      </c>
      <c r="L105" t="n">
        <v>0</v>
      </c>
      <c r="M105" t="n">
        <v>0</v>
      </c>
      <c r="N105" t="n">
        <v>0</v>
      </c>
      <c r="O105" t="n">
        <v>2</v>
      </c>
      <c r="P105" t="n">
        <v>0</v>
      </c>
      <c r="Q105" t="n">
        <v>4</v>
      </c>
      <c r="R105" s="2" t="inlineStr">
        <is>
          <t>Ekvaxskivling
Odörspindling
Fjällig taggsvamp s.str.
Kattfotslav</t>
        </is>
      </c>
      <c r="S105">
        <f>HYPERLINK("https://klasma.github.io/Logging_0980/artfynd/A 56717-2024 artfynd.xlsx", "A 56717-2024")</f>
        <v/>
      </c>
      <c r="T105">
        <f>HYPERLINK("https://klasma.github.io/Logging_0980/kartor/A 56717-2024 karta.png", "A 56717-2024")</f>
        <v/>
      </c>
      <c r="V105">
        <f>HYPERLINK("https://klasma.github.io/Logging_0980/klagomål/A 56717-2024 FSC-klagomål.docx", "A 56717-2024")</f>
        <v/>
      </c>
      <c r="W105">
        <f>HYPERLINK("https://klasma.github.io/Logging_0980/klagomålsmail/A 56717-2024 FSC-klagomål mail.docx", "A 56717-2024")</f>
        <v/>
      </c>
      <c r="X105">
        <f>HYPERLINK("https://klasma.github.io/Logging_0980/tillsyn/A 56717-2024 tillsynsbegäran.docx", "A 56717-2024")</f>
        <v/>
      </c>
      <c r="Y105">
        <f>HYPERLINK("https://klasma.github.io/Logging_0980/tillsynsmail/A 56717-2024 tillsynsbegäran mail.docx", "A 56717-2024")</f>
        <v/>
      </c>
    </row>
    <row r="106" ht="15" customHeight="1">
      <c r="A106" t="inlineStr">
        <is>
          <t>A 44323-2021</t>
        </is>
      </c>
      <c r="B106" s="1" t="n">
        <v>44434</v>
      </c>
      <c r="C106" s="1" t="n">
        <v>46111</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46111</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46111</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46111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55334-2024</t>
        </is>
      </c>
      <c r="B110" s="1" t="n">
        <v>45621</v>
      </c>
      <c r="C110" s="1" t="n">
        <v>46111</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1520-2026</t>
        </is>
      </c>
      <c r="B111" s="1" t="n">
        <v>46034.35891203704</v>
      </c>
      <c r="C111" s="1" t="n">
        <v>46111</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49709-2025</t>
        </is>
      </c>
      <c r="B112" s="1" t="n">
        <v>45939.68228009259</v>
      </c>
      <c r="C112" s="1" t="n">
        <v>46111</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30490-2025</t>
        </is>
      </c>
      <c r="B113" s="1" t="n">
        <v>45830</v>
      </c>
      <c r="C113" s="1" t="n">
        <v>46111</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43013-2022</t>
        </is>
      </c>
      <c r="B114" s="1" t="n">
        <v>44833</v>
      </c>
      <c r="C114" s="1" t="n">
        <v>46111</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46111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46111</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20831-2024</t>
        </is>
      </c>
      <c r="B117" s="1" t="n">
        <v>45439</v>
      </c>
      <c r="C117" s="1" t="n">
        <v>46111</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17982-2023</t>
        </is>
      </c>
      <c r="B118" s="1" t="n">
        <v>45040</v>
      </c>
      <c r="C118" s="1" t="n">
        <v>46111</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46111</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46111</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46111</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46111</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46111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46111</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46111</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46111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46111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46111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63162-2025</t>
        </is>
      </c>
      <c r="B129" s="1" t="n">
        <v>46010.37629629629</v>
      </c>
      <c r="C129" s="1" t="n">
        <v>46111</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20429-2025</t>
        </is>
      </c>
      <c r="B130" s="1" t="n">
        <v>45775.47728009259</v>
      </c>
      <c r="C130" s="1" t="n">
        <v>46111</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20838-2024</t>
        </is>
      </c>
      <c r="B131" s="1" t="n">
        <v>45439</v>
      </c>
      <c r="C131" s="1" t="n">
        <v>46111</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62760-2025</t>
        </is>
      </c>
      <c r="B132" s="1" t="n">
        <v>46008</v>
      </c>
      <c r="C132" s="1" t="n">
        <v>46111</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46111</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46111</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46111</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46111</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46111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46111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46111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46111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46111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46111</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46111</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46111</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46111</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46111</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46111</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46111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46111</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46111</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61796-2022</t>
        </is>
      </c>
      <c r="B151" s="1" t="n">
        <v>44917</v>
      </c>
      <c r="C151" s="1" t="n">
        <v>46111</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44619-2025</t>
        </is>
      </c>
      <c r="B152" s="1" t="n">
        <v>45917</v>
      </c>
      <c r="C152" s="1" t="n">
        <v>46111</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63149-2025</t>
        </is>
      </c>
      <c r="B153" s="1" t="n">
        <v>46010</v>
      </c>
      <c r="C153" s="1" t="n">
        <v>46111</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Anisspindling</t>
        </is>
      </c>
      <c r="S153">
        <f>HYPERLINK("https://klasma.github.io/Logging_0980/artfynd/A 63149-2025 artfynd.xlsx", "A 63149-2025")</f>
        <v/>
      </c>
      <c r="T153">
        <f>HYPERLINK("https://klasma.github.io/Logging_0980/kartor/A 63149-2025 karta.png", "A 63149-2025")</f>
        <v/>
      </c>
      <c r="V153">
        <f>HYPERLINK("https://klasma.github.io/Logging_0980/klagomål/A 63149-2025 FSC-klagomål.docx", "A 63149-2025")</f>
        <v/>
      </c>
      <c r="W153">
        <f>HYPERLINK("https://klasma.github.io/Logging_0980/klagomålsmail/A 63149-2025 FSC-klagomål mail.docx", "A 63149-2025")</f>
        <v/>
      </c>
      <c r="X153">
        <f>HYPERLINK("https://klasma.github.io/Logging_0980/tillsyn/A 63149-2025 tillsynsbegäran.docx", "A 63149-2025")</f>
        <v/>
      </c>
      <c r="Y153">
        <f>HYPERLINK("https://klasma.github.io/Logging_0980/tillsynsmail/A 63149-2025 tillsynsbegäran mail.docx", "A 63149-2025")</f>
        <v/>
      </c>
    </row>
    <row r="154" ht="15" customHeight="1">
      <c r="A154" t="inlineStr">
        <is>
          <t>A 26461-2025</t>
        </is>
      </c>
      <c r="B154" s="1" t="n">
        <v>45807.43337962963</v>
      </c>
      <c r="C154" s="1" t="n">
        <v>46111</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15637-2024</t>
        </is>
      </c>
      <c r="B155" s="1" t="n">
        <v>45403.6684837963</v>
      </c>
      <c r="C155" s="1" t="n">
        <v>46111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49726-2025</t>
        </is>
      </c>
      <c r="B156" s="1" t="n">
        <v>45939.84466435185</v>
      </c>
      <c r="C156" s="1" t="n">
        <v>46111</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2476-2025</t>
        </is>
      </c>
      <c r="B157" s="1" t="n">
        <v>45673</v>
      </c>
      <c r="C157" s="1" t="n">
        <v>46111</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11708-2026</t>
        </is>
      </c>
      <c r="B158" s="1" t="n">
        <v>46084</v>
      </c>
      <c r="C158" s="1" t="n">
        <v>46111</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10995-2023</t>
        </is>
      </c>
      <c r="B159" s="1" t="n">
        <v>44986</v>
      </c>
      <c r="C159" s="1" t="n">
        <v>46111</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10013-2026</t>
        </is>
      </c>
      <c r="B160" s="1" t="n">
        <v>46073</v>
      </c>
      <c r="C160" s="1" t="n">
        <v>46111</v>
      </c>
      <c r="D160" t="inlineStr">
        <is>
          <t>GOTLANDS LÄN</t>
        </is>
      </c>
      <c r="E160" t="inlineStr">
        <is>
          <t>GOTLAND</t>
        </is>
      </c>
      <c r="G160" t="n">
        <v>10.5</v>
      </c>
      <c r="H160" t="n">
        <v>0</v>
      </c>
      <c r="I160" t="n">
        <v>0</v>
      </c>
      <c r="J160" t="n">
        <v>0</v>
      </c>
      <c r="K160" t="n">
        <v>1</v>
      </c>
      <c r="L160" t="n">
        <v>0</v>
      </c>
      <c r="M160" t="n">
        <v>0</v>
      </c>
      <c r="N160" t="n">
        <v>0</v>
      </c>
      <c r="O160" t="n">
        <v>1</v>
      </c>
      <c r="P160" t="n">
        <v>1</v>
      </c>
      <c r="Q160" t="n">
        <v>1</v>
      </c>
      <c r="R160" s="2" t="inlineStr">
        <is>
          <t>Skogskorn</t>
        </is>
      </c>
      <c r="S160">
        <f>HYPERLINK("https://klasma.github.io/Logging_0980/artfynd/A 10013-2026 artfynd.xlsx", "A 10013-2026")</f>
        <v/>
      </c>
      <c r="T160">
        <f>HYPERLINK("https://klasma.github.io/Logging_0980/kartor/A 10013-2026 karta.png", "A 10013-2026")</f>
        <v/>
      </c>
      <c r="V160">
        <f>HYPERLINK("https://klasma.github.io/Logging_0980/klagomål/A 10013-2026 FSC-klagomål.docx", "A 10013-2026")</f>
        <v/>
      </c>
      <c r="W160">
        <f>HYPERLINK("https://klasma.github.io/Logging_0980/klagomålsmail/A 10013-2026 FSC-klagomål mail.docx", "A 10013-2026")</f>
        <v/>
      </c>
      <c r="X160">
        <f>HYPERLINK("https://klasma.github.io/Logging_0980/tillsyn/A 10013-2026 tillsynsbegäran.docx", "A 10013-2026")</f>
        <v/>
      </c>
      <c r="Y160">
        <f>HYPERLINK("https://klasma.github.io/Logging_0980/tillsynsmail/A 10013-2026 tillsynsbegäran mail.docx", "A 10013-2026")</f>
        <v/>
      </c>
    </row>
    <row r="161" ht="15" customHeight="1">
      <c r="A161" t="inlineStr">
        <is>
          <t>A 62552-2022</t>
        </is>
      </c>
      <c r="B161" s="1" t="n">
        <v>44924</v>
      </c>
      <c r="C161" s="1" t="n">
        <v>46111</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34141-2024</t>
        </is>
      </c>
      <c r="B162" s="1" t="n">
        <v>45524.36229166666</v>
      </c>
      <c r="C162" s="1" t="n">
        <v>46111</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9862-2024</t>
        </is>
      </c>
      <c r="B163" s="1" t="n">
        <v>45363</v>
      </c>
      <c r="C163" s="1" t="n">
        <v>46111</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44088-2022</t>
        </is>
      </c>
      <c r="B164" s="1" t="n">
        <v>44839</v>
      </c>
      <c r="C164" s="1" t="n">
        <v>46111</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46111</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46111</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46111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12924-2025</t>
        </is>
      </c>
      <c r="B168" s="1" t="n">
        <v>45734</v>
      </c>
      <c r="C168" s="1" t="n">
        <v>46111</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49304-2024</t>
        </is>
      </c>
      <c r="B169" s="1" t="n">
        <v>45595.54996527778</v>
      </c>
      <c r="C169" s="1" t="n">
        <v>46111</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46111</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46111</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46111</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46111</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46111</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46111</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46111</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46111</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46111</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46111</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46111</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46111</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46111</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46111</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46111</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46111</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46111</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46111</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46111</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46111</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46111</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46111</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46111</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46111</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46111</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46111</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46111</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46111</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46111</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46111</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46111</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46111</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46111</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46111</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46111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46111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46111</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46111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46111</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46111</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46111</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46111</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46111</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46111</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46111</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46111</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46111</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46111</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46111</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46111</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46111</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46111</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46111</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46111</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46111</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46111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46111</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46111</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4868-2024</t>
        </is>
      </c>
      <c r="B231" s="1" t="n">
        <v>45329</v>
      </c>
      <c r="C231" s="1" t="n">
        <v>46111</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9613-2025</t>
        </is>
      </c>
      <c r="B232" s="1" t="n">
        <v>45715</v>
      </c>
      <c r="C232" s="1" t="n">
        <v>46111</v>
      </c>
      <c r="D232" t="inlineStr">
        <is>
          <t>GOTLANDS LÄN</t>
        </is>
      </c>
      <c r="E232" t="inlineStr">
        <is>
          <t>GOTLAND</t>
        </is>
      </c>
      <c r="G232" t="n">
        <v>3.5</v>
      </c>
      <c r="H232" t="n">
        <v>0</v>
      </c>
      <c r="I232" t="n">
        <v>0</v>
      </c>
      <c r="J232" t="n">
        <v>0</v>
      </c>
      <c r="K232" t="n">
        <v>0</v>
      </c>
      <c r="L232" t="n">
        <v>0</v>
      </c>
      <c r="M232" t="n">
        <v>0</v>
      </c>
      <c r="N232" t="n">
        <v>0</v>
      </c>
      <c r="O232" t="n">
        <v>0</v>
      </c>
      <c r="P232" t="n">
        <v>0</v>
      </c>
      <c r="Q232" t="n">
        <v>0</v>
      </c>
      <c r="R232" s="2" t="inlineStr"/>
    </row>
    <row r="233" ht="15" customHeight="1">
      <c r="A233" t="inlineStr">
        <is>
          <t>A 5751-2024</t>
        </is>
      </c>
      <c r="B233" s="1" t="n">
        <v>45335.32702546296</v>
      </c>
      <c r="C233" s="1" t="n">
        <v>46111</v>
      </c>
      <c r="D233" t="inlineStr">
        <is>
          <t>GOTLANDS LÄN</t>
        </is>
      </c>
      <c r="E233" t="inlineStr">
        <is>
          <t>GOTLAND</t>
        </is>
      </c>
      <c r="G233" t="n">
        <v>4.2</v>
      </c>
      <c r="H233" t="n">
        <v>0</v>
      </c>
      <c r="I233" t="n">
        <v>0</v>
      </c>
      <c r="J233" t="n">
        <v>0</v>
      </c>
      <c r="K233" t="n">
        <v>0</v>
      </c>
      <c r="L233" t="n">
        <v>0</v>
      </c>
      <c r="M233" t="n">
        <v>0</v>
      </c>
      <c r="N233" t="n">
        <v>0</v>
      </c>
      <c r="O233" t="n">
        <v>0</v>
      </c>
      <c r="P233" t="n">
        <v>0</v>
      </c>
      <c r="Q233" t="n">
        <v>0</v>
      </c>
      <c r="R233" s="2" t="inlineStr"/>
    </row>
    <row r="234" ht="15" customHeight="1">
      <c r="A234" t="inlineStr">
        <is>
          <t>A 32330-2024</t>
        </is>
      </c>
      <c r="B234" s="1" t="n">
        <v>45512</v>
      </c>
      <c r="C234" s="1" t="n">
        <v>46111</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46111</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24966-2023</t>
        </is>
      </c>
      <c r="B236" s="1" t="n">
        <v>45085</v>
      </c>
      <c r="C236" s="1" t="n">
        <v>46111</v>
      </c>
      <c r="D236" t="inlineStr">
        <is>
          <t>GOTLANDS LÄN</t>
        </is>
      </c>
      <c r="E236" t="inlineStr">
        <is>
          <t>GOTLAND</t>
        </is>
      </c>
      <c r="G236" t="n">
        <v>7</v>
      </c>
      <c r="H236" t="n">
        <v>0</v>
      </c>
      <c r="I236" t="n">
        <v>0</v>
      </c>
      <c r="J236" t="n">
        <v>0</v>
      </c>
      <c r="K236" t="n">
        <v>0</v>
      </c>
      <c r="L236" t="n">
        <v>0</v>
      </c>
      <c r="M236" t="n">
        <v>0</v>
      </c>
      <c r="N236" t="n">
        <v>0</v>
      </c>
      <c r="O236" t="n">
        <v>0</v>
      </c>
      <c r="P236" t="n">
        <v>0</v>
      </c>
      <c r="Q236" t="n">
        <v>0</v>
      </c>
      <c r="R236" s="2" t="inlineStr"/>
    </row>
    <row r="237" ht="15" customHeight="1">
      <c r="A237" t="inlineStr">
        <is>
          <t>A 46189-2022</t>
        </is>
      </c>
      <c r="B237" s="1" t="n">
        <v>44847</v>
      </c>
      <c r="C237" s="1" t="n">
        <v>46111</v>
      </c>
      <c r="D237" t="inlineStr">
        <is>
          <t>GOTLANDS LÄN</t>
        </is>
      </c>
      <c r="E237" t="inlineStr">
        <is>
          <t>GOTLAND</t>
        </is>
      </c>
      <c r="G237" t="n">
        <v>0.4</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46111</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46111</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46111</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20356-2022</t>
        </is>
      </c>
      <c r="B241" s="1" t="n">
        <v>44699</v>
      </c>
      <c r="C241" s="1" t="n">
        <v>46111</v>
      </c>
      <c r="D241" t="inlineStr">
        <is>
          <t>GOTLANDS LÄN</t>
        </is>
      </c>
      <c r="E241" t="inlineStr">
        <is>
          <t>GOTLAND</t>
        </is>
      </c>
      <c r="F241" t="inlineStr">
        <is>
          <t>Övriga Aktiebolag</t>
        </is>
      </c>
      <c r="G241" t="n">
        <v>4.4</v>
      </c>
      <c r="H241" t="n">
        <v>0</v>
      </c>
      <c r="I241" t="n">
        <v>0</v>
      </c>
      <c r="J241" t="n">
        <v>0</v>
      </c>
      <c r="K241" t="n">
        <v>0</v>
      </c>
      <c r="L241" t="n">
        <v>0</v>
      </c>
      <c r="M241" t="n">
        <v>0</v>
      </c>
      <c r="N241" t="n">
        <v>0</v>
      </c>
      <c r="O241" t="n">
        <v>0</v>
      </c>
      <c r="P241" t="n">
        <v>0</v>
      </c>
      <c r="Q241" t="n">
        <v>0</v>
      </c>
      <c r="R241" s="2" t="inlineStr"/>
    </row>
    <row r="242" ht="15" customHeight="1">
      <c r="A242" t="inlineStr">
        <is>
          <t>A 56688-2025</t>
        </is>
      </c>
      <c r="B242" s="1" t="n">
        <v>45975.84331018518</v>
      </c>
      <c r="C242" s="1" t="n">
        <v>46111</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46111</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46111</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46111</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44649-2021</t>
        </is>
      </c>
      <c r="B246" s="1" t="n">
        <v>44437</v>
      </c>
      <c r="C246" s="1" t="n">
        <v>46111</v>
      </c>
      <c r="D246" t="inlineStr">
        <is>
          <t>GOTLANDS LÄN</t>
        </is>
      </c>
      <c r="E246" t="inlineStr">
        <is>
          <t>GOTLAND</t>
        </is>
      </c>
      <c r="G246" t="n">
        <v>8.1</v>
      </c>
      <c r="H246" t="n">
        <v>0</v>
      </c>
      <c r="I246" t="n">
        <v>0</v>
      </c>
      <c r="J246" t="n">
        <v>0</v>
      </c>
      <c r="K246" t="n">
        <v>0</v>
      </c>
      <c r="L246" t="n">
        <v>0</v>
      </c>
      <c r="M246" t="n">
        <v>0</v>
      </c>
      <c r="N246" t="n">
        <v>0</v>
      </c>
      <c r="O246" t="n">
        <v>0</v>
      </c>
      <c r="P246" t="n">
        <v>0</v>
      </c>
      <c r="Q246" t="n">
        <v>0</v>
      </c>
      <c r="R246" s="2" t="inlineStr"/>
    </row>
    <row r="247" ht="15" customHeight="1">
      <c r="A247" t="inlineStr">
        <is>
          <t>A 10656-2024</t>
        </is>
      </c>
      <c r="B247" s="1" t="n">
        <v>45368</v>
      </c>
      <c r="C247" s="1" t="n">
        <v>46111</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46111</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17682-2024</t>
        </is>
      </c>
      <c r="B249" s="1" t="n">
        <v>45418.42966435185</v>
      </c>
      <c r="C249" s="1" t="n">
        <v>46111</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57522-2022</t>
        </is>
      </c>
      <c r="B250" s="1" t="n">
        <v>44896</v>
      </c>
      <c r="C250" s="1" t="n">
        <v>46111</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28506-2023</t>
        </is>
      </c>
      <c r="B251" s="1" t="n">
        <v>45103</v>
      </c>
      <c r="C251" s="1" t="n">
        <v>46111</v>
      </c>
      <c r="D251" t="inlineStr">
        <is>
          <t>GOTLANDS LÄN</t>
        </is>
      </c>
      <c r="E251" t="inlineStr">
        <is>
          <t>GOTLAND</t>
        </is>
      </c>
      <c r="G251" t="n">
        <v>3.2</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46111</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46111</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46111</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46111</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46111</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46111</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35142-2025</t>
        </is>
      </c>
      <c r="B258" s="1" t="n">
        <v>45852.65532407408</v>
      </c>
      <c r="C258" s="1" t="n">
        <v>46111</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63516-2023</t>
        </is>
      </c>
      <c r="B259" s="1" t="n">
        <v>45274</v>
      </c>
      <c r="C259" s="1" t="n">
        <v>46111</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59197-2025</t>
        </is>
      </c>
      <c r="B260" s="1" t="n">
        <v>45988.59846064815</v>
      </c>
      <c r="C260" s="1" t="n">
        <v>46111</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46111</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24001-2021</t>
        </is>
      </c>
      <c r="B262" s="1" t="n">
        <v>44335</v>
      </c>
      <c r="C262" s="1" t="n">
        <v>46111</v>
      </c>
      <c r="D262" t="inlineStr">
        <is>
          <t>GOTLANDS LÄN</t>
        </is>
      </c>
      <c r="E262" t="inlineStr">
        <is>
          <t>GOTLAND</t>
        </is>
      </c>
      <c r="G262" t="n">
        <v>3.4</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46111</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39814-2025</t>
        </is>
      </c>
      <c r="B264" s="1" t="n">
        <v>45891.52694444444</v>
      </c>
      <c r="C264" s="1" t="n">
        <v>46111</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46111</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30365-2024</t>
        </is>
      </c>
      <c r="B266" s="1" t="n">
        <v>45491.3716087963</v>
      </c>
      <c r="C266" s="1" t="n">
        <v>46111</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39752-2025</t>
        </is>
      </c>
      <c r="B267" s="1" t="n">
        <v>45891</v>
      </c>
      <c r="C267" s="1" t="n">
        <v>46111</v>
      </c>
      <c r="D267" t="inlineStr">
        <is>
          <t>GOTLANDS LÄN</t>
        </is>
      </c>
      <c r="E267" t="inlineStr">
        <is>
          <t>GOTLAND</t>
        </is>
      </c>
      <c r="G267" t="n">
        <v>5.3</v>
      </c>
      <c r="H267" t="n">
        <v>0</v>
      </c>
      <c r="I267" t="n">
        <v>0</v>
      </c>
      <c r="J267" t="n">
        <v>0</v>
      </c>
      <c r="K267" t="n">
        <v>0</v>
      </c>
      <c r="L267" t="n">
        <v>0</v>
      </c>
      <c r="M267" t="n">
        <v>0</v>
      </c>
      <c r="N267" t="n">
        <v>0</v>
      </c>
      <c r="O267" t="n">
        <v>0</v>
      </c>
      <c r="P267" t="n">
        <v>0</v>
      </c>
      <c r="Q267" t="n">
        <v>0</v>
      </c>
      <c r="R267" s="2" t="inlineStr"/>
    </row>
    <row r="268" ht="15" customHeight="1">
      <c r="A268" t="inlineStr">
        <is>
          <t>A 1681-2023</t>
        </is>
      </c>
      <c r="B268" s="1" t="n">
        <v>44938.39715277778</v>
      </c>
      <c r="C268" s="1" t="n">
        <v>46111</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36319-2025</t>
        </is>
      </c>
      <c r="B269" s="1" t="n">
        <v>45868</v>
      </c>
      <c r="C269" s="1" t="n">
        <v>46111</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46111</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46111</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46111</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40499-2025</t>
        </is>
      </c>
      <c r="B273" s="1" t="n">
        <v>45896.32517361111</v>
      </c>
      <c r="C273" s="1" t="n">
        <v>46111</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23473-2025</t>
        </is>
      </c>
      <c r="B274" s="1" t="n">
        <v>45792</v>
      </c>
      <c r="C274" s="1" t="n">
        <v>46111</v>
      </c>
      <c r="D274" t="inlineStr">
        <is>
          <t>GOTLANDS LÄN</t>
        </is>
      </c>
      <c r="E274" t="inlineStr">
        <is>
          <t>GOTLAND</t>
        </is>
      </c>
      <c r="G274" t="n">
        <v>3.6</v>
      </c>
      <c r="H274" t="n">
        <v>0</v>
      </c>
      <c r="I274" t="n">
        <v>0</v>
      </c>
      <c r="J274" t="n">
        <v>0</v>
      </c>
      <c r="K274" t="n">
        <v>0</v>
      </c>
      <c r="L274" t="n">
        <v>0</v>
      </c>
      <c r="M274" t="n">
        <v>0</v>
      </c>
      <c r="N274" t="n">
        <v>0</v>
      </c>
      <c r="O274" t="n">
        <v>0</v>
      </c>
      <c r="P274" t="n">
        <v>0</v>
      </c>
      <c r="Q274" t="n">
        <v>0</v>
      </c>
      <c r="R274" s="2" t="inlineStr"/>
    </row>
    <row r="275" ht="15" customHeight="1">
      <c r="A275" t="inlineStr">
        <is>
          <t>A 23856-2025</t>
        </is>
      </c>
      <c r="B275" s="1" t="n">
        <v>45793</v>
      </c>
      <c r="C275" s="1" t="n">
        <v>46111</v>
      </c>
      <c r="D275" t="inlineStr">
        <is>
          <t>GOTLANDS LÄN</t>
        </is>
      </c>
      <c r="E275" t="inlineStr">
        <is>
          <t>GOTLAND</t>
        </is>
      </c>
      <c r="G275" t="n">
        <v>4.4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46111</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15073-2025</t>
        </is>
      </c>
      <c r="B277" s="1" t="n">
        <v>45743</v>
      </c>
      <c r="C277" s="1" t="n">
        <v>46111</v>
      </c>
      <c r="D277" t="inlineStr">
        <is>
          <t>GOTLANDS LÄN</t>
        </is>
      </c>
      <c r="E277" t="inlineStr">
        <is>
          <t>GOTLAND</t>
        </is>
      </c>
      <c r="G277" t="n">
        <v>12.1</v>
      </c>
      <c r="H277" t="n">
        <v>0</v>
      </c>
      <c r="I277" t="n">
        <v>0</v>
      </c>
      <c r="J277" t="n">
        <v>0</v>
      </c>
      <c r="K277" t="n">
        <v>0</v>
      </c>
      <c r="L277" t="n">
        <v>0</v>
      </c>
      <c r="M277" t="n">
        <v>0</v>
      </c>
      <c r="N277" t="n">
        <v>0</v>
      </c>
      <c r="O277" t="n">
        <v>0</v>
      </c>
      <c r="P277" t="n">
        <v>0</v>
      </c>
      <c r="Q277" t="n">
        <v>0</v>
      </c>
      <c r="R277" s="2" t="inlineStr"/>
    </row>
    <row r="278" ht="15" customHeight="1">
      <c r="A278" t="inlineStr">
        <is>
          <t>A 6749-2025</t>
        </is>
      </c>
      <c r="B278" s="1" t="n">
        <v>45700</v>
      </c>
      <c r="C278" s="1" t="n">
        <v>46111</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6099-2024</t>
        </is>
      </c>
      <c r="B279" s="1" t="n">
        <v>45337</v>
      </c>
      <c r="C279" s="1" t="n">
        <v>46111</v>
      </c>
      <c r="D279" t="inlineStr">
        <is>
          <t>GOTLANDS LÄN</t>
        </is>
      </c>
      <c r="E279" t="inlineStr">
        <is>
          <t>GOTLAND</t>
        </is>
      </c>
      <c r="G279" t="n">
        <v>12.6</v>
      </c>
      <c r="H279" t="n">
        <v>0</v>
      </c>
      <c r="I279" t="n">
        <v>0</v>
      </c>
      <c r="J279" t="n">
        <v>0</v>
      </c>
      <c r="K279" t="n">
        <v>0</v>
      </c>
      <c r="L279" t="n">
        <v>0</v>
      </c>
      <c r="M279" t="n">
        <v>0</v>
      </c>
      <c r="N279" t="n">
        <v>0</v>
      </c>
      <c r="O279" t="n">
        <v>0</v>
      </c>
      <c r="P279" t="n">
        <v>0</v>
      </c>
      <c r="Q279" t="n">
        <v>0</v>
      </c>
      <c r="R279" s="2" t="inlineStr"/>
    </row>
    <row r="280" ht="15" customHeight="1">
      <c r="A280" t="inlineStr">
        <is>
          <t>A 23698-2025</t>
        </is>
      </c>
      <c r="B280" s="1" t="n">
        <v>45793</v>
      </c>
      <c r="C280" s="1" t="n">
        <v>46111</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46111</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46111</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39278-2025</t>
        </is>
      </c>
      <c r="B283" s="1" t="n">
        <v>45889</v>
      </c>
      <c r="C283" s="1" t="n">
        <v>46111</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46111</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46111</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45692-2023</t>
        </is>
      </c>
      <c r="B286" s="1" t="n">
        <v>45195</v>
      </c>
      <c r="C286" s="1" t="n">
        <v>46111</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33876-2024</t>
        </is>
      </c>
      <c r="B287" s="1" t="n">
        <v>45521.87988425926</v>
      </c>
      <c r="C287" s="1" t="n">
        <v>46111</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46111</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28285-2024</t>
        </is>
      </c>
      <c r="B289" s="1" t="n">
        <v>45477</v>
      </c>
      <c r="C289" s="1" t="n">
        <v>46111</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61100-2022</t>
        </is>
      </c>
      <c r="B290" s="1" t="n">
        <v>44915</v>
      </c>
      <c r="C290" s="1" t="n">
        <v>46111</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61682-2024</t>
        </is>
      </c>
      <c r="B291" s="1" t="n">
        <v>45647.48824074074</v>
      </c>
      <c r="C291" s="1" t="n">
        <v>46111</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46111</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62066-2025</t>
        </is>
      </c>
      <c r="B293" s="1" t="n">
        <v>46006.34738425926</v>
      </c>
      <c r="C293" s="1" t="n">
        <v>46111</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62103-2025</t>
        </is>
      </c>
      <c r="B294" s="1" t="n">
        <v>46006</v>
      </c>
      <c r="C294" s="1" t="n">
        <v>46111</v>
      </c>
      <c r="D294" t="inlineStr">
        <is>
          <t>GOTLANDS LÄN</t>
        </is>
      </c>
      <c r="E294" t="inlineStr">
        <is>
          <t>GOTLAND</t>
        </is>
      </c>
      <c r="F294" t="inlineStr">
        <is>
          <t>Övriga Aktiebolag</t>
        </is>
      </c>
      <c r="G294" t="n">
        <v>1.7</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46111</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46111</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21792-2024</t>
        </is>
      </c>
      <c r="B297" s="1" t="n">
        <v>45442.64326388889</v>
      </c>
      <c r="C297" s="1" t="n">
        <v>46111</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46111</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17688-2024</t>
        </is>
      </c>
      <c r="B299" s="1" t="n">
        <v>45418.43575231481</v>
      </c>
      <c r="C299" s="1" t="n">
        <v>46111</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7837-2024</t>
        </is>
      </c>
      <c r="B300" s="1" t="n">
        <v>45349.83787037037</v>
      </c>
      <c r="C300" s="1" t="n">
        <v>46111</v>
      </c>
      <c r="D300" t="inlineStr">
        <is>
          <t>GOTLANDS LÄN</t>
        </is>
      </c>
      <c r="E300" t="inlineStr">
        <is>
          <t>GOTLAND</t>
        </is>
      </c>
      <c r="G300" t="n">
        <v>5</v>
      </c>
      <c r="H300" t="n">
        <v>0</v>
      </c>
      <c r="I300" t="n">
        <v>0</v>
      </c>
      <c r="J300" t="n">
        <v>0</v>
      </c>
      <c r="K300" t="n">
        <v>0</v>
      </c>
      <c r="L300" t="n">
        <v>0</v>
      </c>
      <c r="M300" t="n">
        <v>0</v>
      </c>
      <c r="N300" t="n">
        <v>0</v>
      </c>
      <c r="O300" t="n">
        <v>0</v>
      </c>
      <c r="P300" t="n">
        <v>0</v>
      </c>
      <c r="Q300" t="n">
        <v>0</v>
      </c>
      <c r="R300" s="2" t="inlineStr"/>
    </row>
    <row r="301" ht="15" customHeight="1">
      <c r="A301" t="inlineStr">
        <is>
          <t>A 63002-2025</t>
        </is>
      </c>
      <c r="B301" s="1" t="n">
        <v>46009.56564814815</v>
      </c>
      <c r="C301" s="1" t="n">
        <v>46111</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46111</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4568-2025</t>
        </is>
      </c>
      <c r="B303" s="1" t="n">
        <v>45687</v>
      </c>
      <c r="C303" s="1" t="n">
        <v>46111</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43911-2025</t>
        </is>
      </c>
      <c r="B304" s="1" t="n">
        <v>45914.3881712963</v>
      </c>
      <c r="C304" s="1" t="n">
        <v>46111</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44410-2025</t>
        </is>
      </c>
      <c r="B305" s="1" t="n">
        <v>45916.53699074074</v>
      </c>
      <c r="C305" s="1" t="n">
        <v>46111</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54584-2025</t>
        </is>
      </c>
      <c r="B306" s="1" t="n">
        <v>45965.71788194445</v>
      </c>
      <c r="C306" s="1" t="n">
        <v>46111</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43951-2025</t>
        </is>
      </c>
      <c r="B307" s="1" t="n">
        <v>45915.38119212963</v>
      </c>
      <c r="C307" s="1" t="n">
        <v>46111</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46111</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35512-2023</t>
        </is>
      </c>
      <c r="B309" s="1" t="n">
        <v>45147.25623842593</v>
      </c>
      <c r="C309" s="1" t="n">
        <v>46111</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46111</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38649-2025</t>
        </is>
      </c>
      <c r="B311" s="1" t="n">
        <v>45884</v>
      </c>
      <c r="C311" s="1" t="n">
        <v>46111</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61078-2025</t>
        </is>
      </c>
      <c r="B312" s="1" t="n">
        <v>46000</v>
      </c>
      <c r="C312" s="1" t="n">
        <v>46111</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44936.47561342592</v>
      </c>
      <c r="C313" s="1" t="n">
        <v>46111</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46111</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36-2026</t>
        </is>
      </c>
      <c r="B315" s="1" t="n">
        <v>46024.38886574074</v>
      </c>
      <c r="C315" s="1" t="n">
        <v>46111</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62674-2025</t>
        </is>
      </c>
      <c r="B316" s="1" t="n">
        <v>46008</v>
      </c>
      <c r="C316" s="1" t="n">
        <v>46111</v>
      </c>
      <c r="D316" t="inlineStr">
        <is>
          <t>GOTLANDS LÄN</t>
        </is>
      </c>
      <c r="E316" t="inlineStr">
        <is>
          <t>GOTLAND</t>
        </is>
      </c>
      <c r="G316" t="n">
        <v>5</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46111</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45106-2024</t>
        </is>
      </c>
      <c r="B318" s="1" t="n">
        <v>45575</v>
      </c>
      <c r="C318" s="1" t="n">
        <v>46111</v>
      </c>
      <c r="D318" t="inlineStr">
        <is>
          <t>GOTLANDS LÄN</t>
        </is>
      </c>
      <c r="E318" t="inlineStr">
        <is>
          <t>GOTLAND</t>
        </is>
      </c>
      <c r="G318" t="n">
        <v>10</v>
      </c>
      <c r="H318" t="n">
        <v>0</v>
      </c>
      <c r="I318" t="n">
        <v>0</v>
      </c>
      <c r="J318" t="n">
        <v>0</v>
      </c>
      <c r="K318" t="n">
        <v>0</v>
      </c>
      <c r="L318" t="n">
        <v>0</v>
      </c>
      <c r="M318" t="n">
        <v>0</v>
      </c>
      <c r="N318" t="n">
        <v>0</v>
      </c>
      <c r="O318" t="n">
        <v>0</v>
      </c>
      <c r="P318" t="n">
        <v>0</v>
      </c>
      <c r="Q318" t="n">
        <v>0</v>
      </c>
      <c r="R318" s="2" t="inlineStr"/>
    </row>
    <row r="319" ht="15" customHeight="1">
      <c r="A319" t="inlineStr">
        <is>
          <t>A 45112-2024</t>
        </is>
      </c>
      <c r="B319" s="1" t="n">
        <v>45575</v>
      </c>
      <c r="C319" s="1" t="n">
        <v>46111</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26457-2025</t>
        </is>
      </c>
      <c r="B320" s="1" t="n">
        <v>45807.42773148148</v>
      </c>
      <c r="C320" s="1" t="n">
        <v>46111</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46111</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26467-2025</t>
        </is>
      </c>
      <c r="B322" s="1" t="n">
        <v>45807.44640046296</v>
      </c>
      <c r="C322" s="1" t="n">
        <v>46111</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3150-2025</t>
        </is>
      </c>
      <c r="B323" s="1" t="n">
        <v>45679.28974537037</v>
      </c>
      <c r="C323" s="1" t="n">
        <v>46111</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46111</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46111</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9543-2026</t>
        </is>
      </c>
      <c r="B326" s="1" t="n">
        <v>46071.62486111111</v>
      </c>
      <c r="C326" s="1" t="n">
        <v>46111</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7635-2025</t>
        </is>
      </c>
      <c r="B327" s="1" t="n">
        <v>45705</v>
      </c>
      <c r="C327" s="1" t="n">
        <v>46111</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7636-2025</t>
        </is>
      </c>
      <c r="B328" s="1" t="n">
        <v>45705.7687962963</v>
      </c>
      <c r="C328" s="1" t="n">
        <v>46111</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7639-2025</t>
        </is>
      </c>
      <c r="B329" s="1" t="n">
        <v>45705.77465277778</v>
      </c>
      <c r="C329" s="1" t="n">
        <v>46111</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26465-2025</t>
        </is>
      </c>
      <c r="B330" s="1" t="n">
        <v>45807.44377314814</v>
      </c>
      <c r="C330" s="1" t="n">
        <v>46111</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9521-2026</t>
        </is>
      </c>
      <c r="B331" s="1" t="n">
        <v>46071.59969907408</v>
      </c>
      <c r="C331" s="1" t="n">
        <v>46111</v>
      </c>
      <c r="D331" t="inlineStr">
        <is>
          <t>GOTLANDS LÄN</t>
        </is>
      </c>
      <c r="E331" t="inlineStr">
        <is>
          <t>GOTLAND</t>
        </is>
      </c>
      <c r="G331" t="n">
        <v>3.9</v>
      </c>
      <c r="H331" t="n">
        <v>0</v>
      </c>
      <c r="I331" t="n">
        <v>0</v>
      </c>
      <c r="J331" t="n">
        <v>0</v>
      </c>
      <c r="K331" t="n">
        <v>0</v>
      </c>
      <c r="L331" t="n">
        <v>0</v>
      </c>
      <c r="M331" t="n">
        <v>0</v>
      </c>
      <c r="N331" t="n">
        <v>0</v>
      </c>
      <c r="O331" t="n">
        <v>0</v>
      </c>
      <c r="P331" t="n">
        <v>0</v>
      </c>
      <c r="Q331" t="n">
        <v>0</v>
      </c>
      <c r="R331" s="2" t="inlineStr"/>
    </row>
    <row r="332" ht="15" customHeight="1">
      <c r="A332" t="inlineStr">
        <is>
          <t>A 9524-2026</t>
        </is>
      </c>
      <c r="B332" s="1" t="n">
        <v>46071.60108796296</v>
      </c>
      <c r="C332" s="1" t="n">
        <v>46111</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9518-2026</t>
        </is>
      </c>
      <c r="B333" s="1" t="n">
        <v>46071.59653935185</v>
      </c>
      <c r="C333" s="1" t="n">
        <v>46111</v>
      </c>
      <c r="D333" t="inlineStr">
        <is>
          <t>GOTLANDS LÄN</t>
        </is>
      </c>
      <c r="E333" t="inlineStr">
        <is>
          <t>GOTLAND</t>
        </is>
      </c>
      <c r="G333" t="n">
        <v>6.2</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46111</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46111</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46111</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46111</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9519-2026</t>
        </is>
      </c>
      <c r="B338" s="1" t="n">
        <v>46071.59820601852</v>
      </c>
      <c r="C338" s="1" t="n">
        <v>46111</v>
      </c>
      <c r="D338" t="inlineStr">
        <is>
          <t>GOTLANDS LÄN</t>
        </is>
      </c>
      <c r="E338" t="inlineStr">
        <is>
          <t>GOTLAND</t>
        </is>
      </c>
      <c r="G338" t="n">
        <v>4</v>
      </c>
      <c r="H338" t="n">
        <v>0</v>
      </c>
      <c r="I338" t="n">
        <v>0</v>
      </c>
      <c r="J338" t="n">
        <v>0</v>
      </c>
      <c r="K338" t="n">
        <v>0</v>
      </c>
      <c r="L338" t="n">
        <v>0</v>
      </c>
      <c r="M338" t="n">
        <v>0</v>
      </c>
      <c r="N338" t="n">
        <v>0</v>
      </c>
      <c r="O338" t="n">
        <v>0</v>
      </c>
      <c r="P338" t="n">
        <v>0</v>
      </c>
      <c r="Q338" t="n">
        <v>0</v>
      </c>
      <c r="R338" s="2" t="inlineStr"/>
    </row>
    <row r="339" ht="15" customHeight="1">
      <c r="A339" t="inlineStr">
        <is>
          <t>A 46836-2025</t>
        </is>
      </c>
      <c r="B339" s="1" t="n">
        <v>45928.31511574074</v>
      </c>
      <c r="C339" s="1" t="n">
        <v>46111</v>
      </c>
      <c r="D339" t="inlineStr">
        <is>
          <t>GOTLANDS LÄN</t>
        </is>
      </c>
      <c r="E339" t="inlineStr">
        <is>
          <t>GOTLAND</t>
        </is>
      </c>
      <c r="G339" t="n">
        <v>2.8</v>
      </c>
      <c r="H339" t="n">
        <v>0</v>
      </c>
      <c r="I339" t="n">
        <v>0</v>
      </c>
      <c r="J339" t="n">
        <v>0</v>
      </c>
      <c r="K339" t="n">
        <v>0</v>
      </c>
      <c r="L339" t="n">
        <v>0</v>
      </c>
      <c r="M339" t="n">
        <v>0</v>
      </c>
      <c r="N339" t="n">
        <v>0</v>
      </c>
      <c r="O339" t="n">
        <v>0</v>
      </c>
      <c r="P339" t="n">
        <v>0</v>
      </c>
      <c r="Q339" t="n">
        <v>0</v>
      </c>
      <c r="R339" s="2" t="inlineStr"/>
    </row>
    <row r="340" ht="15" customHeight="1">
      <c r="A340" t="inlineStr">
        <is>
          <t>A 9540-2026</t>
        </is>
      </c>
      <c r="B340" s="1" t="n">
        <v>46071.61961805556</v>
      </c>
      <c r="C340" s="1" t="n">
        <v>46111</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9504-2026</t>
        </is>
      </c>
      <c r="B341" s="1" t="n">
        <v>46071.57730324074</v>
      </c>
      <c r="C341" s="1" t="n">
        <v>46111</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63152-2025</t>
        </is>
      </c>
      <c r="B342" s="1" t="n">
        <v>46010</v>
      </c>
      <c r="C342" s="1" t="n">
        <v>46111</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46111</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9901-2026</t>
        </is>
      </c>
      <c r="B344" s="1" t="n">
        <v>46073.40391203704</v>
      </c>
      <c r="C344" s="1" t="n">
        <v>46111</v>
      </c>
      <c r="D344" t="inlineStr">
        <is>
          <t>GOTLANDS LÄN</t>
        </is>
      </c>
      <c r="E344" t="inlineStr">
        <is>
          <t>GOTLAND</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57685-2022</t>
        </is>
      </c>
      <c r="B345" s="1" t="n">
        <v>44897.4777662037</v>
      </c>
      <c r="C345" s="1" t="n">
        <v>46111</v>
      </c>
      <c r="D345" t="inlineStr">
        <is>
          <t>GOTLANDS LÄN</t>
        </is>
      </c>
      <c r="E345" t="inlineStr">
        <is>
          <t>GOTLAND</t>
        </is>
      </c>
      <c r="G345" t="n">
        <v>3.7</v>
      </c>
      <c r="H345" t="n">
        <v>0</v>
      </c>
      <c r="I345" t="n">
        <v>0</v>
      </c>
      <c r="J345" t="n">
        <v>0</v>
      </c>
      <c r="K345" t="n">
        <v>0</v>
      </c>
      <c r="L345" t="n">
        <v>0</v>
      </c>
      <c r="M345" t="n">
        <v>0</v>
      </c>
      <c r="N345" t="n">
        <v>0</v>
      </c>
      <c r="O345" t="n">
        <v>0</v>
      </c>
      <c r="P345" t="n">
        <v>0</v>
      </c>
      <c r="Q345" t="n">
        <v>0</v>
      </c>
      <c r="R345" s="2" t="inlineStr"/>
    </row>
    <row r="346" ht="15" customHeight="1">
      <c r="A346" t="inlineStr">
        <is>
          <t>A 47637-2025</t>
        </is>
      </c>
      <c r="B346" s="1" t="n">
        <v>45931.49753472222</v>
      </c>
      <c r="C346" s="1" t="n">
        <v>46111</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30815-2023</t>
        </is>
      </c>
      <c r="B347" s="1" t="n">
        <v>45112</v>
      </c>
      <c r="C347" s="1" t="n">
        <v>46111</v>
      </c>
      <c r="D347" t="inlineStr">
        <is>
          <t>GOTLANDS LÄN</t>
        </is>
      </c>
      <c r="E347" t="inlineStr">
        <is>
          <t>GOTLAND</t>
        </is>
      </c>
      <c r="G347" t="n">
        <v>6</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46111</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1355-2026</t>
        </is>
      </c>
      <c r="B349" s="1" t="n">
        <v>46031.59909722222</v>
      </c>
      <c r="C349" s="1" t="n">
        <v>46111</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46111</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46111</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10486-2026</t>
        </is>
      </c>
      <c r="B352" s="1" t="n">
        <v>46077.51425925926</v>
      </c>
      <c r="C352" s="1" t="n">
        <v>46111</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35550-2025</t>
        </is>
      </c>
      <c r="B353" s="1" t="n">
        <v>45856.49324074074</v>
      </c>
      <c r="C353" s="1" t="n">
        <v>46111</v>
      </c>
      <c r="D353" t="inlineStr">
        <is>
          <t>GOTLANDS LÄN</t>
        </is>
      </c>
      <c r="E353" t="inlineStr">
        <is>
          <t>GOTLAND</t>
        </is>
      </c>
      <c r="G353" t="n">
        <v>3.2</v>
      </c>
      <c r="H353" t="n">
        <v>0</v>
      </c>
      <c r="I353" t="n">
        <v>0</v>
      </c>
      <c r="J353" t="n">
        <v>0</v>
      </c>
      <c r="K353" t="n">
        <v>0</v>
      </c>
      <c r="L353" t="n">
        <v>0</v>
      </c>
      <c r="M353" t="n">
        <v>0</v>
      </c>
      <c r="N353" t="n">
        <v>0</v>
      </c>
      <c r="O353" t="n">
        <v>0</v>
      </c>
      <c r="P353" t="n">
        <v>0</v>
      </c>
      <c r="Q353" t="n">
        <v>0</v>
      </c>
      <c r="R353" s="2" t="inlineStr"/>
    </row>
    <row r="354" ht="15" customHeight="1">
      <c r="A354" t="inlineStr">
        <is>
          <t>A 23516-2023</t>
        </is>
      </c>
      <c r="B354" s="1" t="n">
        <v>45076.93391203704</v>
      </c>
      <c r="C354" s="1" t="n">
        <v>46111</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27371-2025</t>
        </is>
      </c>
      <c r="B355" s="1" t="n">
        <v>45812</v>
      </c>
      <c r="C355" s="1" t="n">
        <v>46111</v>
      </c>
      <c r="D355" t="inlineStr">
        <is>
          <t>GOTLANDS LÄN</t>
        </is>
      </c>
      <c r="E355" t="inlineStr">
        <is>
          <t>GOTLAND</t>
        </is>
      </c>
      <c r="G355" t="n">
        <v>8</v>
      </c>
      <c r="H355" t="n">
        <v>0</v>
      </c>
      <c r="I355" t="n">
        <v>0</v>
      </c>
      <c r="J355" t="n">
        <v>0</v>
      </c>
      <c r="K355" t="n">
        <v>0</v>
      </c>
      <c r="L355" t="n">
        <v>0</v>
      </c>
      <c r="M355" t="n">
        <v>0</v>
      </c>
      <c r="N355" t="n">
        <v>0</v>
      </c>
      <c r="O355" t="n">
        <v>0</v>
      </c>
      <c r="P355" t="n">
        <v>0</v>
      </c>
      <c r="Q355" t="n">
        <v>0</v>
      </c>
      <c r="R355" s="2" t="inlineStr"/>
    </row>
    <row r="356" ht="15" customHeight="1">
      <c r="A356" t="inlineStr">
        <is>
          <t>A 27355-2025</t>
        </is>
      </c>
      <c r="B356" s="1" t="n">
        <v>45812</v>
      </c>
      <c r="C356" s="1" t="n">
        <v>46111</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64660-2023</t>
        </is>
      </c>
      <c r="B357" s="1" t="n">
        <v>45281.60122685185</v>
      </c>
      <c r="C357" s="1" t="n">
        <v>46111</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6739-2025</t>
        </is>
      </c>
      <c r="B358" s="1" t="n">
        <v>45700</v>
      </c>
      <c r="C358" s="1" t="n">
        <v>46111</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7850-2025</t>
        </is>
      </c>
      <c r="B359" s="1" t="n">
        <v>45706</v>
      </c>
      <c r="C359" s="1" t="n">
        <v>46111</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63763-2023</t>
        </is>
      </c>
      <c r="B360" s="1" t="n">
        <v>45278.33944444444</v>
      </c>
      <c r="C360" s="1" t="n">
        <v>46111</v>
      </c>
      <c r="D360" t="inlineStr">
        <is>
          <t>GOTLANDS LÄN</t>
        </is>
      </c>
      <c r="E360" t="inlineStr">
        <is>
          <t>GOTLAND</t>
        </is>
      </c>
      <c r="G360" t="n">
        <v>0.5</v>
      </c>
      <c r="H360" t="n">
        <v>0</v>
      </c>
      <c r="I360" t="n">
        <v>0</v>
      </c>
      <c r="J360" t="n">
        <v>0</v>
      </c>
      <c r="K360" t="n">
        <v>0</v>
      </c>
      <c r="L360" t="n">
        <v>0</v>
      </c>
      <c r="M360" t="n">
        <v>0</v>
      </c>
      <c r="N360" t="n">
        <v>0</v>
      </c>
      <c r="O360" t="n">
        <v>0</v>
      </c>
      <c r="P360" t="n">
        <v>0</v>
      </c>
      <c r="Q360" t="n">
        <v>0</v>
      </c>
      <c r="R360" s="2" t="inlineStr"/>
    </row>
    <row r="361" ht="15" customHeight="1">
      <c r="A361" t="inlineStr">
        <is>
          <t>A 47578-2025</t>
        </is>
      </c>
      <c r="B361" s="1" t="n">
        <v>45931</v>
      </c>
      <c r="C361" s="1" t="n">
        <v>46111</v>
      </c>
      <c r="D361" t="inlineStr">
        <is>
          <t>GOTLANDS LÄN</t>
        </is>
      </c>
      <c r="E361" t="inlineStr">
        <is>
          <t>GOTLAND</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8444-2025</t>
        </is>
      </c>
      <c r="B362" s="1" t="n">
        <v>45709</v>
      </c>
      <c r="C362" s="1" t="n">
        <v>46111</v>
      </c>
      <c r="D362" t="inlineStr">
        <is>
          <t>GOTLANDS LÄN</t>
        </is>
      </c>
      <c r="E362" t="inlineStr">
        <is>
          <t>GOTLAND</t>
        </is>
      </c>
      <c r="G362" t="n">
        <v>5.2</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46111</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46111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10284-2026</t>
        </is>
      </c>
      <c r="B365" s="1" t="n">
        <v>46076</v>
      </c>
      <c r="C365" s="1" t="n">
        <v>46111</v>
      </c>
      <c r="D365" t="inlineStr">
        <is>
          <t>GOTLANDS LÄN</t>
        </is>
      </c>
      <c r="E365" t="inlineStr">
        <is>
          <t>GOTLAND</t>
        </is>
      </c>
      <c r="G365" t="n">
        <v>5.2</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46111</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1898-2026</t>
        </is>
      </c>
      <c r="B367" s="1" t="n">
        <v>46035.52024305556</v>
      </c>
      <c r="C367" s="1" t="n">
        <v>46111</v>
      </c>
      <c r="D367" t="inlineStr">
        <is>
          <t>GOTLANDS LÄN</t>
        </is>
      </c>
      <c r="E367" t="inlineStr">
        <is>
          <t>GOTLAND</t>
        </is>
      </c>
      <c r="G367" t="n">
        <v>3.7</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46111</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46111</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46375-2024</t>
        </is>
      </c>
      <c r="B370" s="1" t="n">
        <v>45582</v>
      </c>
      <c r="C370" s="1" t="n">
        <v>46111</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46111</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49690-2025</t>
        </is>
      </c>
      <c r="B372" s="1" t="n">
        <v>45939.66730324074</v>
      </c>
      <c r="C372" s="1" t="n">
        <v>46111</v>
      </c>
      <c r="D372" t="inlineStr">
        <is>
          <t>GOTLANDS LÄN</t>
        </is>
      </c>
      <c r="E372" t="inlineStr">
        <is>
          <t>GOTLAND</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33011-2025</t>
        </is>
      </c>
      <c r="B373" s="1" t="n">
        <v>45840</v>
      </c>
      <c r="C373" s="1" t="n">
        <v>46111</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46111</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30061-2025</t>
        </is>
      </c>
      <c r="B375" s="1" t="n">
        <v>45826.61488425926</v>
      </c>
      <c r="C375" s="1" t="n">
        <v>46111</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50431-2025</t>
        </is>
      </c>
      <c r="B376" s="1" t="n">
        <v>45944.68453703704</v>
      </c>
      <c r="C376" s="1" t="n">
        <v>46111</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50928-2025</t>
        </is>
      </c>
      <c r="B377" s="1" t="n">
        <v>45946.67896990741</v>
      </c>
      <c r="C377" s="1" t="n">
        <v>46111</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2415-2026</t>
        </is>
      </c>
      <c r="B378" s="1" t="n">
        <v>46036.76203703704</v>
      </c>
      <c r="C378" s="1" t="n">
        <v>46111</v>
      </c>
      <c r="D378" t="inlineStr">
        <is>
          <t>GOTLANDS LÄN</t>
        </is>
      </c>
      <c r="E378" t="inlineStr">
        <is>
          <t>GOTLAND</t>
        </is>
      </c>
      <c r="G378" t="n">
        <v>6.9</v>
      </c>
      <c r="H378" t="n">
        <v>0</v>
      </c>
      <c r="I378" t="n">
        <v>0</v>
      </c>
      <c r="J378" t="n">
        <v>0</v>
      </c>
      <c r="K378" t="n">
        <v>0</v>
      </c>
      <c r="L378" t="n">
        <v>0</v>
      </c>
      <c r="M378" t="n">
        <v>0</v>
      </c>
      <c r="N378" t="n">
        <v>0</v>
      </c>
      <c r="O378" t="n">
        <v>0</v>
      </c>
      <c r="P378" t="n">
        <v>0</v>
      </c>
      <c r="Q378" t="n">
        <v>0</v>
      </c>
      <c r="R378" s="2" t="inlineStr"/>
    </row>
    <row r="379" ht="15" customHeight="1">
      <c r="A379" t="inlineStr">
        <is>
          <t>A 11414-2026</t>
        </is>
      </c>
      <c r="B379" s="1" t="n">
        <v>46083.46336805556</v>
      </c>
      <c r="C379" s="1" t="n">
        <v>46111</v>
      </c>
      <c r="D379" t="inlineStr">
        <is>
          <t>GOTLANDS LÄN</t>
        </is>
      </c>
      <c r="E379" t="inlineStr">
        <is>
          <t>GOTLAND</t>
        </is>
      </c>
      <c r="G379" t="n">
        <v>4.9</v>
      </c>
      <c r="H379" t="n">
        <v>0</v>
      </c>
      <c r="I379" t="n">
        <v>0</v>
      </c>
      <c r="J379" t="n">
        <v>0</v>
      </c>
      <c r="K379" t="n">
        <v>0</v>
      </c>
      <c r="L379" t="n">
        <v>0</v>
      </c>
      <c r="M379" t="n">
        <v>0</v>
      </c>
      <c r="N379" t="n">
        <v>0</v>
      </c>
      <c r="O379" t="n">
        <v>0</v>
      </c>
      <c r="P379" t="n">
        <v>0</v>
      </c>
      <c r="Q379" t="n">
        <v>0</v>
      </c>
      <c r="R379" s="2" t="inlineStr"/>
    </row>
    <row r="380" ht="15" customHeight="1">
      <c r="A380" t="inlineStr">
        <is>
          <t>A 58160-2024</t>
        </is>
      </c>
      <c r="B380" s="1" t="n">
        <v>45632.44927083333</v>
      </c>
      <c r="C380" s="1" t="n">
        <v>46111</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46111</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11424-2026</t>
        </is>
      </c>
      <c r="B382" s="1" t="n">
        <v>46083.48068287037</v>
      </c>
      <c r="C382" s="1" t="n">
        <v>46111</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46111</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46111</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53587-2025</t>
        </is>
      </c>
      <c r="B385" s="1" t="n">
        <v>45960.43681712963</v>
      </c>
      <c r="C385" s="1" t="n">
        <v>46111</v>
      </c>
      <c r="D385" t="inlineStr">
        <is>
          <t>GOTLANDS LÄN</t>
        </is>
      </c>
      <c r="E385" t="inlineStr">
        <is>
          <t>GOTLAND</t>
        </is>
      </c>
      <c r="F385" t="inlineStr">
        <is>
          <t>Övriga Aktiebolag</t>
        </is>
      </c>
      <c r="G385" t="n">
        <v>1.7</v>
      </c>
      <c r="H385" t="n">
        <v>0</v>
      </c>
      <c r="I385" t="n">
        <v>0</v>
      </c>
      <c r="J385" t="n">
        <v>0</v>
      </c>
      <c r="K385" t="n">
        <v>0</v>
      </c>
      <c r="L385" t="n">
        <v>0</v>
      </c>
      <c r="M385" t="n">
        <v>0</v>
      </c>
      <c r="N385" t="n">
        <v>0</v>
      </c>
      <c r="O385" t="n">
        <v>0</v>
      </c>
      <c r="P385" t="n">
        <v>0</v>
      </c>
      <c r="Q385" t="n">
        <v>0</v>
      </c>
      <c r="R385" s="2" t="inlineStr"/>
    </row>
    <row r="386" ht="15" customHeight="1">
      <c r="A386" t="inlineStr">
        <is>
          <t>A 12596-2023</t>
        </is>
      </c>
      <c r="B386" s="1" t="n">
        <v>45000.43310185185</v>
      </c>
      <c r="C386" s="1" t="n">
        <v>46111</v>
      </c>
      <c r="D386" t="inlineStr">
        <is>
          <t>GOTLANDS LÄN</t>
        </is>
      </c>
      <c r="E386" t="inlineStr">
        <is>
          <t>GOTLAND</t>
        </is>
      </c>
      <c r="G386" t="n">
        <v>4.1</v>
      </c>
      <c r="H386" t="n">
        <v>0</v>
      </c>
      <c r="I386" t="n">
        <v>0</v>
      </c>
      <c r="J386" t="n">
        <v>0</v>
      </c>
      <c r="K386" t="n">
        <v>0</v>
      </c>
      <c r="L386" t="n">
        <v>0</v>
      </c>
      <c r="M386" t="n">
        <v>0</v>
      </c>
      <c r="N386" t="n">
        <v>0</v>
      </c>
      <c r="O386" t="n">
        <v>0</v>
      </c>
      <c r="P386" t="n">
        <v>0</v>
      </c>
      <c r="Q386" t="n">
        <v>0</v>
      </c>
      <c r="R386" s="2" t="inlineStr"/>
    </row>
    <row r="387" ht="15" customHeight="1">
      <c r="A387" t="inlineStr">
        <is>
          <t>A 2125-2025</t>
        </is>
      </c>
      <c r="B387" s="1" t="n">
        <v>45672.64940972222</v>
      </c>
      <c r="C387" s="1" t="n">
        <v>46111</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46111</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3253-2026</t>
        </is>
      </c>
      <c r="B389" s="1" t="n">
        <v>46041.58902777778</v>
      </c>
      <c r="C389" s="1" t="n">
        <v>46111</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52249-2025</t>
        </is>
      </c>
      <c r="B390" s="1" t="n">
        <v>45953.48637731482</v>
      </c>
      <c r="C390" s="1" t="n">
        <v>46111</v>
      </c>
      <c r="D390" t="inlineStr">
        <is>
          <t>GOTLANDS LÄN</t>
        </is>
      </c>
      <c r="E390" t="inlineStr">
        <is>
          <t>GOTLAND</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12155-2023</t>
        </is>
      </c>
      <c r="B391" s="1" t="n">
        <v>44998.49106481481</v>
      </c>
      <c r="C391" s="1" t="n">
        <v>46111</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457-2023</t>
        </is>
      </c>
      <c r="B392" s="1" t="n">
        <v>44929.87238425926</v>
      </c>
      <c r="C392" s="1" t="n">
        <v>46111</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459-2023</t>
        </is>
      </c>
      <c r="B393" s="1" t="n">
        <v>44929.87423611111</v>
      </c>
      <c r="C393" s="1" t="n">
        <v>46111</v>
      </c>
      <c r="D393" t="inlineStr">
        <is>
          <t>GOTLANDS LÄN</t>
        </is>
      </c>
      <c r="E393" t="inlineStr">
        <is>
          <t>GOTLAND</t>
        </is>
      </c>
      <c r="G393" t="n">
        <v>4.2</v>
      </c>
      <c r="H393" t="n">
        <v>0</v>
      </c>
      <c r="I393" t="n">
        <v>0</v>
      </c>
      <c r="J393" t="n">
        <v>0</v>
      </c>
      <c r="K393" t="n">
        <v>0</v>
      </c>
      <c r="L393" t="n">
        <v>0</v>
      </c>
      <c r="M393" t="n">
        <v>0</v>
      </c>
      <c r="N393" t="n">
        <v>0</v>
      </c>
      <c r="O393" t="n">
        <v>0</v>
      </c>
      <c r="P393" t="n">
        <v>0</v>
      </c>
      <c r="Q393" t="n">
        <v>0</v>
      </c>
      <c r="R393" s="2" t="inlineStr"/>
    </row>
    <row r="394" ht="15" customHeight="1">
      <c r="A394" t="inlineStr">
        <is>
          <t>A 38234-2023</t>
        </is>
      </c>
      <c r="B394" s="1" t="n">
        <v>45161.56663194444</v>
      </c>
      <c r="C394" s="1" t="n">
        <v>46111</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11982-2026</t>
        </is>
      </c>
      <c r="B395" s="1" t="n">
        <v>46085.6434375</v>
      </c>
      <c r="C395" s="1" t="n">
        <v>46111</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50744-2024</t>
        </is>
      </c>
      <c r="B396" s="1" t="n">
        <v>45602.4187037037</v>
      </c>
      <c r="C396" s="1" t="n">
        <v>46111</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32379-2025</t>
        </is>
      </c>
      <c r="B397" s="1" t="n">
        <v>45837</v>
      </c>
      <c r="C397" s="1" t="n">
        <v>46111</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46111</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12135-2026</t>
        </is>
      </c>
      <c r="B399" s="1" t="n">
        <v>46086</v>
      </c>
      <c r="C399" s="1" t="n">
        <v>46111</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46111</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32467-2025</t>
        </is>
      </c>
      <c r="B401" s="1" t="n">
        <v>45838.42111111111</v>
      </c>
      <c r="C401" s="1" t="n">
        <v>46111</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46111</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63000-2025</t>
        </is>
      </c>
      <c r="B403" s="1" t="n">
        <v>46009</v>
      </c>
      <c r="C403" s="1" t="n">
        <v>46111</v>
      </c>
      <c r="D403" t="inlineStr">
        <is>
          <t>GOTLANDS LÄN</t>
        </is>
      </c>
      <c r="E403" t="inlineStr">
        <is>
          <t>GOTLAND</t>
        </is>
      </c>
      <c r="F403" t="inlineStr">
        <is>
          <t>Övriga Aktiebolag</t>
        </is>
      </c>
      <c r="G403" t="n">
        <v>1.7</v>
      </c>
      <c r="H403" t="n">
        <v>0</v>
      </c>
      <c r="I403" t="n">
        <v>0</v>
      </c>
      <c r="J403" t="n">
        <v>0</v>
      </c>
      <c r="K403" t="n">
        <v>0</v>
      </c>
      <c r="L403" t="n">
        <v>0</v>
      </c>
      <c r="M403" t="n">
        <v>0</v>
      </c>
      <c r="N403" t="n">
        <v>0</v>
      </c>
      <c r="O403" t="n">
        <v>0</v>
      </c>
      <c r="P403" t="n">
        <v>0</v>
      </c>
      <c r="Q403" t="n">
        <v>0</v>
      </c>
      <c r="R403" s="2" t="inlineStr"/>
    </row>
    <row r="404" ht="15" customHeight="1">
      <c r="A404" t="inlineStr">
        <is>
          <t>A 16109-2025</t>
        </is>
      </c>
      <c r="B404" s="1" t="n">
        <v>45750</v>
      </c>
      <c r="C404" s="1" t="n">
        <v>46111</v>
      </c>
      <c r="D404" t="inlineStr">
        <is>
          <t>GOTLANDS LÄN</t>
        </is>
      </c>
      <c r="E404" t="inlineStr">
        <is>
          <t>GOTLAND</t>
        </is>
      </c>
      <c r="G404" t="n">
        <v>4.9</v>
      </c>
      <c r="H404" t="n">
        <v>0</v>
      </c>
      <c r="I404" t="n">
        <v>0</v>
      </c>
      <c r="J404" t="n">
        <v>0</v>
      </c>
      <c r="K404" t="n">
        <v>0</v>
      </c>
      <c r="L404" t="n">
        <v>0</v>
      </c>
      <c r="M404" t="n">
        <v>0</v>
      </c>
      <c r="N404" t="n">
        <v>0</v>
      </c>
      <c r="O404" t="n">
        <v>0</v>
      </c>
      <c r="P404" t="n">
        <v>0</v>
      </c>
      <c r="Q404" t="n">
        <v>0</v>
      </c>
      <c r="R404" s="2" t="inlineStr"/>
    </row>
    <row r="405" ht="15" customHeight="1">
      <c r="A405" t="inlineStr">
        <is>
          <t>A 4662-2026</t>
        </is>
      </c>
      <c r="B405" s="1" t="n">
        <v>46048.40949074074</v>
      </c>
      <c r="C405" s="1" t="n">
        <v>46111</v>
      </c>
      <c r="D405" t="inlineStr">
        <is>
          <t>GOTLANDS LÄN</t>
        </is>
      </c>
      <c r="E405" t="inlineStr">
        <is>
          <t>GOTLAND</t>
        </is>
      </c>
      <c r="G405" t="n">
        <v>7.6</v>
      </c>
      <c r="H405" t="n">
        <v>0</v>
      </c>
      <c r="I405" t="n">
        <v>0</v>
      </c>
      <c r="J405" t="n">
        <v>0</v>
      </c>
      <c r="K405" t="n">
        <v>0</v>
      </c>
      <c r="L405" t="n">
        <v>0</v>
      </c>
      <c r="M405" t="n">
        <v>0</v>
      </c>
      <c r="N405" t="n">
        <v>0</v>
      </c>
      <c r="O405" t="n">
        <v>0</v>
      </c>
      <c r="P405" t="n">
        <v>0</v>
      </c>
      <c r="Q405" t="n">
        <v>0</v>
      </c>
      <c r="R405" s="2" t="inlineStr"/>
    </row>
    <row r="406" ht="15" customHeight="1">
      <c r="A406" t="inlineStr">
        <is>
          <t>A 62751-2025</t>
        </is>
      </c>
      <c r="B406" s="1" t="n">
        <v>46008</v>
      </c>
      <c r="C406" s="1" t="n">
        <v>46111</v>
      </c>
      <c r="D406" t="inlineStr">
        <is>
          <t>GOTLANDS LÄN</t>
        </is>
      </c>
      <c r="E406" t="inlineStr">
        <is>
          <t>GOTLAND</t>
        </is>
      </c>
      <c r="F406" t="inlineStr">
        <is>
          <t>Övriga Aktiebolag</t>
        </is>
      </c>
      <c r="G406" t="n">
        <v>7.8</v>
      </c>
      <c r="H406" t="n">
        <v>0</v>
      </c>
      <c r="I406" t="n">
        <v>0</v>
      </c>
      <c r="J406" t="n">
        <v>0</v>
      </c>
      <c r="K406" t="n">
        <v>0</v>
      </c>
      <c r="L406" t="n">
        <v>0</v>
      </c>
      <c r="M406" t="n">
        <v>0</v>
      </c>
      <c r="N406" t="n">
        <v>0</v>
      </c>
      <c r="O406" t="n">
        <v>0</v>
      </c>
      <c r="P406" t="n">
        <v>0</v>
      </c>
      <c r="Q406" t="n">
        <v>0</v>
      </c>
      <c r="R406" s="2" t="inlineStr"/>
    </row>
    <row r="407" ht="15" customHeight="1">
      <c r="A407" t="inlineStr">
        <is>
          <t>A 4639-2026</t>
        </is>
      </c>
      <c r="B407" s="1" t="n">
        <v>46048.39880787037</v>
      </c>
      <c r="C407" s="1" t="n">
        <v>46111</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53569-2025</t>
        </is>
      </c>
      <c r="B408" s="1" t="n">
        <v>45960.41155092593</v>
      </c>
      <c r="C408" s="1" t="n">
        <v>46111</v>
      </c>
      <c r="D408" t="inlineStr">
        <is>
          <t>GOTLANDS LÄN</t>
        </is>
      </c>
      <c r="E408" t="inlineStr">
        <is>
          <t>GOTLAND</t>
        </is>
      </c>
      <c r="F408" t="inlineStr">
        <is>
          <t>Övriga Aktiebolag</t>
        </is>
      </c>
      <c r="G408" t="n">
        <v>11.3</v>
      </c>
      <c r="H408" t="n">
        <v>0</v>
      </c>
      <c r="I408" t="n">
        <v>0</v>
      </c>
      <c r="J408" t="n">
        <v>0</v>
      </c>
      <c r="K408" t="n">
        <v>0</v>
      </c>
      <c r="L408" t="n">
        <v>0</v>
      </c>
      <c r="M408" t="n">
        <v>0</v>
      </c>
      <c r="N408" t="n">
        <v>0</v>
      </c>
      <c r="O408" t="n">
        <v>0</v>
      </c>
      <c r="P408" t="n">
        <v>0</v>
      </c>
      <c r="Q408" t="n">
        <v>0</v>
      </c>
      <c r="R408" s="2" t="inlineStr"/>
    </row>
    <row r="409" ht="15" customHeight="1">
      <c r="A409" t="inlineStr">
        <is>
          <t>A 1839-2026</t>
        </is>
      </c>
      <c r="B409" s="1" t="n">
        <v>46035.3942824074</v>
      </c>
      <c r="C409" s="1" t="n">
        <v>46111</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46111</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60384-2025</t>
        </is>
      </c>
      <c r="B411" s="1" t="n">
        <v>45995</v>
      </c>
      <c r="C411" s="1" t="n">
        <v>46111</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4634-2026</t>
        </is>
      </c>
      <c r="B412" s="1" t="n">
        <v>46048.39304398148</v>
      </c>
      <c r="C412" s="1" t="n">
        <v>46111</v>
      </c>
      <c r="D412" t="inlineStr">
        <is>
          <t>GOTLANDS LÄN</t>
        </is>
      </c>
      <c r="E412" t="inlineStr">
        <is>
          <t>GOTLAND</t>
        </is>
      </c>
      <c r="G412" t="n">
        <v>7.8</v>
      </c>
      <c r="H412" t="n">
        <v>0</v>
      </c>
      <c r="I412" t="n">
        <v>0</v>
      </c>
      <c r="J412" t="n">
        <v>0</v>
      </c>
      <c r="K412" t="n">
        <v>0</v>
      </c>
      <c r="L412" t="n">
        <v>0</v>
      </c>
      <c r="M412" t="n">
        <v>0</v>
      </c>
      <c r="N412" t="n">
        <v>0</v>
      </c>
      <c r="O412" t="n">
        <v>0</v>
      </c>
      <c r="P412" t="n">
        <v>0</v>
      </c>
      <c r="Q412" t="n">
        <v>0</v>
      </c>
      <c r="R412" s="2" t="inlineStr"/>
    </row>
    <row r="413" ht="15" customHeight="1">
      <c r="A413" t="inlineStr">
        <is>
          <t>A 4670-2026</t>
        </is>
      </c>
      <c r="B413" s="1" t="n">
        <v>46048.41733796296</v>
      </c>
      <c r="C413" s="1" t="n">
        <v>46111</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1446-2025</t>
        </is>
      </c>
      <c r="B414" s="1" t="n">
        <v>45669.86035879629</v>
      </c>
      <c r="C414" s="1" t="n">
        <v>46111</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62754-2025</t>
        </is>
      </c>
      <c r="B415" s="1" t="n">
        <v>46008</v>
      </c>
      <c r="C415" s="1" t="n">
        <v>46111</v>
      </c>
      <c r="D415" t="inlineStr">
        <is>
          <t>GOTLANDS LÄN</t>
        </is>
      </c>
      <c r="E415" t="inlineStr">
        <is>
          <t>GOTLAND</t>
        </is>
      </c>
      <c r="F415" t="inlineStr">
        <is>
          <t>Övriga Aktiebolag</t>
        </is>
      </c>
      <c r="G415" t="n">
        <v>2.9</v>
      </c>
      <c r="H415" t="n">
        <v>0</v>
      </c>
      <c r="I415" t="n">
        <v>0</v>
      </c>
      <c r="J415" t="n">
        <v>0</v>
      </c>
      <c r="K415" t="n">
        <v>0</v>
      </c>
      <c r="L415" t="n">
        <v>0</v>
      </c>
      <c r="M415" t="n">
        <v>0</v>
      </c>
      <c r="N415" t="n">
        <v>0</v>
      </c>
      <c r="O415" t="n">
        <v>0</v>
      </c>
      <c r="P415" t="n">
        <v>0</v>
      </c>
      <c r="Q415" t="n">
        <v>0</v>
      </c>
      <c r="R415" s="2" t="inlineStr"/>
    </row>
    <row r="416" ht="15" customHeight="1">
      <c r="A416" t="inlineStr">
        <is>
          <t>A 31264-2021</t>
        </is>
      </c>
      <c r="B416" s="1" t="n">
        <v>44368</v>
      </c>
      <c r="C416" s="1" t="n">
        <v>46111</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43901-2023</t>
        </is>
      </c>
      <c r="B417" s="1" t="n">
        <v>45187</v>
      </c>
      <c r="C417" s="1" t="n">
        <v>46111</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10746-2025</t>
        </is>
      </c>
      <c r="B418" s="1" t="n">
        <v>45722.42766203704</v>
      </c>
      <c r="C418" s="1" t="n">
        <v>46111</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16501-2023</t>
        </is>
      </c>
      <c r="B419" s="1" t="n">
        <v>45029</v>
      </c>
      <c r="C419" s="1" t="n">
        <v>46111</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33007-2025</t>
        </is>
      </c>
      <c r="B420" s="1" t="n">
        <v>45840</v>
      </c>
      <c r="C420" s="1" t="n">
        <v>46111</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46111</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61962-2024</t>
        </is>
      </c>
      <c r="B422" s="1" t="n">
        <v>45653.54340277778</v>
      </c>
      <c r="C422" s="1" t="n">
        <v>46111</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1854-2026</t>
        </is>
      </c>
      <c r="B423" s="1" t="n">
        <v>46035.4171875</v>
      </c>
      <c r="C423" s="1" t="n">
        <v>46111</v>
      </c>
      <c r="D423" t="inlineStr">
        <is>
          <t>GOTLANDS LÄN</t>
        </is>
      </c>
      <c r="E423" t="inlineStr">
        <is>
          <t>GOTLAND</t>
        </is>
      </c>
      <c r="G423" t="n">
        <v>3</v>
      </c>
      <c r="H423" t="n">
        <v>0</v>
      </c>
      <c r="I423" t="n">
        <v>0</v>
      </c>
      <c r="J423" t="n">
        <v>0</v>
      </c>
      <c r="K423" t="n">
        <v>0</v>
      </c>
      <c r="L423" t="n">
        <v>0</v>
      </c>
      <c r="M423" t="n">
        <v>0</v>
      </c>
      <c r="N423" t="n">
        <v>0</v>
      </c>
      <c r="O423" t="n">
        <v>0</v>
      </c>
      <c r="P423" t="n">
        <v>0</v>
      </c>
      <c r="Q423" t="n">
        <v>0</v>
      </c>
      <c r="R423" s="2" t="inlineStr"/>
    </row>
    <row r="424" ht="15" customHeight="1">
      <c r="A424" t="inlineStr">
        <is>
          <t>A 10492-2023</t>
        </is>
      </c>
      <c r="B424" s="1" t="n">
        <v>44987</v>
      </c>
      <c r="C424" s="1" t="n">
        <v>46111</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13482-2026</t>
        </is>
      </c>
      <c r="B425" s="1" t="n">
        <v>46094</v>
      </c>
      <c r="C425" s="1" t="n">
        <v>46111</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46111</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10653-2023</t>
        </is>
      </c>
      <c r="B427" s="1" t="n">
        <v>44988.48859953704</v>
      </c>
      <c r="C427" s="1" t="n">
        <v>46111</v>
      </c>
      <c r="D427" t="inlineStr">
        <is>
          <t>GOTLANDS LÄN</t>
        </is>
      </c>
      <c r="E427" t="inlineStr">
        <is>
          <t>GOTLAND</t>
        </is>
      </c>
      <c r="F427" t="inlineStr">
        <is>
          <t>Kyrkan</t>
        </is>
      </c>
      <c r="G427" t="n">
        <v>3</v>
      </c>
      <c r="H427" t="n">
        <v>0</v>
      </c>
      <c r="I427" t="n">
        <v>0</v>
      </c>
      <c r="J427" t="n">
        <v>0</v>
      </c>
      <c r="K427" t="n">
        <v>0</v>
      </c>
      <c r="L427" t="n">
        <v>0</v>
      </c>
      <c r="M427" t="n">
        <v>0</v>
      </c>
      <c r="N427" t="n">
        <v>0</v>
      </c>
      <c r="O427" t="n">
        <v>0</v>
      </c>
      <c r="P427" t="n">
        <v>0</v>
      </c>
      <c r="Q427" t="n">
        <v>0</v>
      </c>
      <c r="R427" s="2" t="inlineStr"/>
    </row>
    <row r="428" ht="15" customHeight="1">
      <c r="A428" t="inlineStr">
        <is>
          <t>A 4990-2025</t>
        </is>
      </c>
      <c r="B428" s="1" t="n">
        <v>45691</v>
      </c>
      <c r="C428" s="1" t="n">
        <v>46111</v>
      </c>
      <c r="D428" t="inlineStr">
        <is>
          <t>GOTLANDS LÄN</t>
        </is>
      </c>
      <c r="E428" t="inlineStr">
        <is>
          <t>GOTLAND</t>
        </is>
      </c>
      <c r="G428" t="n">
        <v>7.7</v>
      </c>
      <c r="H428" t="n">
        <v>0</v>
      </c>
      <c r="I428" t="n">
        <v>0</v>
      </c>
      <c r="J428" t="n">
        <v>0</v>
      </c>
      <c r="K428" t="n">
        <v>0</v>
      </c>
      <c r="L428" t="n">
        <v>0</v>
      </c>
      <c r="M428" t="n">
        <v>0</v>
      </c>
      <c r="N428" t="n">
        <v>0</v>
      </c>
      <c r="O428" t="n">
        <v>0</v>
      </c>
      <c r="P428" t="n">
        <v>0</v>
      </c>
      <c r="Q428" t="n">
        <v>0</v>
      </c>
      <c r="R428" s="2" t="inlineStr"/>
    </row>
    <row r="429" ht="15" customHeight="1">
      <c r="A429" t="inlineStr">
        <is>
          <t>A 56799-2025</t>
        </is>
      </c>
      <c r="B429" s="1" t="n">
        <v>45978.43392361111</v>
      </c>
      <c r="C429" s="1" t="n">
        <v>46111</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13486-2026</t>
        </is>
      </c>
      <c r="B430" s="1" t="n">
        <v>46094</v>
      </c>
      <c r="C430" s="1" t="n">
        <v>46111</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3067-2026</t>
        </is>
      </c>
      <c r="B431" s="1" t="n">
        <v>46040.59025462963</v>
      </c>
      <c r="C431" s="1" t="n">
        <v>46111</v>
      </c>
      <c r="D431" t="inlineStr">
        <is>
          <t>GOTLANDS LÄN</t>
        </is>
      </c>
      <c r="E431" t="inlineStr">
        <is>
          <t>GOTLAND</t>
        </is>
      </c>
      <c r="G431" t="n">
        <v>7.8</v>
      </c>
      <c r="H431" t="n">
        <v>0</v>
      </c>
      <c r="I431" t="n">
        <v>0</v>
      </c>
      <c r="J431" t="n">
        <v>0</v>
      </c>
      <c r="K431" t="n">
        <v>0</v>
      </c>
      <c r="L431" t="n">
        <v>0</v>
      </c>
      <c r="M431" t="n">
        <v>0</v>
      </c>
      <c r="N431" t="n">
        <v>0</v>
      </c>
      <c r="O431" t="n">
        <v>0</v>
      </c>
      <c r="P431" t="n">
        <v>0</v>
      </c>
      <c r="Q431" t="n">
        <v>0</v>
      </c>
      <c r="R431" s="2" t="inlineStr"/>
    </row>
    <row r="432" ht="15" customHeight="1">
      <c r="A432" t="inlineStr">
        <is>
          <t>A 43081-2022</t>
        </is>
      </c>
      <c r="B432" s="1" t="n">
        <v>44833</v>
      </c>
      <c r="C432" s="1" t="n">
        <v>46111</v>
      </c>
      <c r="D432" t="inlineStr">
        <is>
          <t>GOTLANDS LÄN</t>
        </is>
      </c>
      <c r="E432" t="inlineStr">
        <is>
          <t>GOTLAND</t>
        </is>
      </c>
      <c r="G432" t="n">
        <v>6.8</v>
      </c>
      <c r="H432" t="n">
        <v>0</v>
      </c>
      <c r="I432" t="n">
        <v>0</v>
      </c>
      <c r="J432" t="n">
        <v>0</v>
      </c>
      <c r="K432" t="n">
        <v>0</v>
      </c>
      <c r="L432" t="n">
        <v>0</v>
      </c>
      <c r="M432" t="n">
        <v>0</v>
      </c>
      <c r="N432" t="n">
        <v>0</v>
      </c>
      <c r="O432" t="n">
        <v>0</v>
      </c>
      <c r="P432" t="n">
        <v>0</v>
      </c>
      <c r="Q432" t="n">
        <v>0</v>
      </c>
      <c r="R432" s="2" t="inlineStr"/>
    </row>
    <row r="433" ht="15" customHeight="1">
      <c r="A433" t="inlineStr">
        <is>
          <t>A 32958-2021</t>
        </is>
      </c>
      <c r="B433" s="1" t="n">
        <v>44376</v>
      </c>
      <c r="C433" s="1" t="n">
        <v>46111</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5884-2025</t>
        </is>
      </c>
      <c r="B434" s="1" t="n">
        <v>45695.37482638889</v>
      </c>
      <c r="C434" s="1" t="n">
        <v>46111</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5897-2025</t>
        </is>
      </c>
      <c r="B435" s="1" t="n">
        <v>45695.39273148148</v>
      </c>
      <c r="C435" s="1" t="n">
        <v>46111</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6218-2026</t>
        </is>
      </c>
      <c r="B436" s="1" t="n">
        <v>46055.42859953704</v>
      </c>
      <c r="C436" s="1" t="n">
        <v>46111</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15413-2025</t>
        </is>
      </c>
      <c r="B437" s="1" t="n">
        <v>45747.451875</v>
      </c>
      <c r="C437" s="1" t="n">
        <v>46111</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6207-2026</t>
        </is>
      </c>
      <c r="B438" s="1" t="n">
        <v>46055.42083333333</v>
      </c>
      <c r="C438" s="1" t="n">
        <v>46111</v>
      </c>
      <c r="D438" t="inlineStr">
        <is>
          <t>GOTLANDS LÄN</t>
        </is>
      </c>
      <c r="E438" t="inlineStr">
        <is>
          <t>GOTLAND</t>
        </is>
      </c>
      <c r="G438" t="n">
        <v>7.6</v>
      </c>
      <c r="H438" t="n">
        <v>0</v>
      </c>
      <c r="I438" t="n">
        <v>0</v>
      </c>
      <c r="J438" t="n">
        <v>0</v>
      </c>
      <c r="K438" t="n">
        <v>0</v>
      </c>
      <c r="L438" t="n">
        <v>0</v>
      </c>
      <c r="M438" t="n">
        <v>0</v>
      </c>
      <c r="N438" t="n">
        <v>0</v>
      </c>
      <c r="O438" t="n">
        <v>0</v>
      </c>
      <c r="P438" t="n">
        <v>0</v>
      </c>
      <c r="Q438" t="n">
        <v>0</v>
      </c>
      <c r="R438" s="2" t="inlineStr"/>
    </row>
    <row r="439" ht="15" customHeight="1">
      <c r="A439" t="inlineStr">
        <is>
          <t>A 35123-2025</t>
        </is>
      </c>
      <c r="B439" s="1" t="n">
        <v>45852.614375</v>
      </c>
      <c r="C439" s="1" t="n">
        <v>46111</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49693-2023</t>
        </is>
      </c>
      <c r="B440" s="1" t="n">
        <v>45212.38138888889</v>
      </c>
      <c r="C440" s="1" t="n">
        <v>46111</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49697-2023</t>
        </is>
      </c>
      <c r="B441" s="1" t="n">
        <v>45212.38909722222</v>
      </c>
      <c r="C441" s="1" t="n">
        <v>46111</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6959-2026</t>
        </is>
      </c>
      <c r="B442" s="1" t="n">
        <v>46057.580625</v>
      </c>
      <c r="C442" s="1" t="n">
        <v>46111</v>
      </c>
      <c r="D442" t="inlineStr">
        <is>
          <t>GOTLANDS LÄN</t>
        </is>
      </c>
      <c r="E442" t="inlineStr">
        <is>
          <t>GOTLAND</t>
        </is>
      </c>
      <c r="F442" t="inlineStr">
        <is>
          <t>Kyrkan</t>
        </is>
      </c>
      <c r="G442" t="n">
        <v>1.2</v>
      </c>
      <c r="H442" t="n">
        <v>0</v>
      </c>
      <c r="I442" t="n">
        <v>0</v>
      </c>
      <c r="J442" t="n">
        <v>0</v>
      </c>
      <c r="K442" t="n">
        <v>0</v>
      </c>
      <c r="L442" t="n">
        <v>0</v>
      </c>
      <c r="M442" t="n">
        <v>0</v>
      </c>
      <c r="N442" t="n">
        <v>0</v>
      </c>
      <c r="O442" t="n">
        <v>0</v>
      </c>
      <c r="P442" t="n">
        <v>0</v>
      </c>
      <c r="Q442" t="n">
        <v>0</v>
      </c>
      <c r="R442" s="2" t="inlineStr"/>
    </row>
    <row r="443" ht="15" customHeight="1">
      <c r="A443" t="inlineStr">
        <is>
          <t>A 35096-2025</t>
        </is>
      </c>
      <c r="B443" s="1" t="n">
        <v>45852.54356481481</v>
      </c>
      <c r="C443" s="1" t="n">
        <v>46111</v>
      </c>
      <c r="D443" t="inlineStr">
        <is>
          <t>GOTLANDS LÄN</t>
        </is>
      </c>
      <c r="E443" t="inlineStr">
        <is>
          <t>GOTLAND</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17901-2023</t>
        </is>
      </c>
      <c r="B444" s="1" t="n">
        <v>45039</v>
      </c>
      <c r="C444" s="1" t="n">
        <v>46111</v>
      </c>
      <c r="D444" t="inlineStr">
        <is>
          <t>GOTLANDS LÄN</t>
        </is>
      </c>
      <c r="E444" t="inlineStr">
        <is>
          <t>GOTLAND</t>
        </is>
      </c>
      <c r="F444" t="inlineStr">
        <is>
          <t>Kyrkan</t>
        </is>
      </c>
      <c r="G444" t="n">
        <v>0.6</v>
      </c>
      <c r="H444" t="n">
        <v>0</v>
      </c>
      <c r="I444" t="n">
        <v>0</v>
      </c>
      <c r="J444" t="n">
        <v>0</v>
      </c>
      <c r="K444" t="n">
        <v>0</v>
      </c>
      <c r="L444" t="n">
        <v>0</v>
      </c>
      <c r="M444" t="n">
        <v>0</v>
      </c>
      <c r="N444" t="n">
        <v>0</v>
      </c>
      <c r="O444" t="n">
        <v>0</v>
      </c>
      <c r="P444" t="n">
        <v>0</v>
      </c>
      <c r="Q444" t="n">
        <v>0</v>
      </c>
      <c r="R444" s="2" t="inlineStr"/>
    </row>
    <row r="445" ht="15" customHeight="1">
      <c r="A445" t="inlineStr">
        <is>
          <t>A 30104-2025</t>
        </is>
      </c>
      <c r="B445" s="1" t="n">
        <v>45826.68806712963</v>
      </c>
      <c r="C445" s="1" t="n">
        <v>46111</v>
      </c>
      <c r="D445" t="inlineStr">
        <is>
          <t>GOTLANDS LÄN</t>
        </is>
      </c>
      <c r="E445" t="inlineStr">
        <is>
          <t>GOTLAND</t>
        </is>
      </c>
      <c r="G445" t="n">
        <v>15.4</v>
      </c>
      <c r="H445" t="n">
        <v>0</v>
      </c>
      <c r="I445" t="n">
        <v>0</v>
      </c>
      <c r="J445" t="n">
        <v>0</v>
      </c>
      <c r="K445" t="n">
        <v>0</v>
      </c>
      <c r="L445" t="n">
        <v>0</v>
      </c>
      <c r="M445" t="n">
        <v>0</v>
      </c>
      <c r="N445" t="n">
        <v>0</v>
      </c>
      <c r="O445" t="n">
        <v>0</v>
      </c>
      <c r="P445" t="n">
        <v>0</v>
      </c>
      <c r="Q445" t="n">
        <v>0</v>
      </c>
      <c r="R445" s="2" t="inlineStr"/>
    </row>
    <row r="446" ht="15" customHeight="1">
      <c r="A446" t="inlineStr">
        <is>
          <t>A 35290-2025</t>
        </is>
      </c>
      <c r="B446" s="1" t="n">
        <v>45854.38502314815</v>
      </c>
      <c r="C446" s="1" t="n">
        <v>46111</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32669-2024</t>
        </is>
      </c>
      <c r="B447" s="1" t="n">
        <v>45514</v>
      </c>
      <c r="C447" s="1" t="n">
        <v>46111</v>
      </c>
      <c r="D447" t="inlineStr">
        <is>
          <t>GOTLANDS LÄN</t>
        </is>
      </c>
      <c r="E447" t="inlineStr">
        <is>
          <t>GOTLAND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35537-2025</t>
        </is>
      </c>
      <c r="B448" s="1" t="n">
        <v>45856</v>
      </c>
      <c r="C448" s="1" t="n">
        <v>46111</v>
      </c>
      <c r="D448" t="inlineStr">
        <is>
          <t>GOTLANDS LÄN</t>
        </is>
      </c>
      <c r="E448" t="inlineStr">
        <is>
          <t>GOTLAND</t>
        </is>
      </c>
      <c r="G448" t="n">
        <v>16.8</v>
      </c>
      <c r="H448" t="n">
        <v>0</v>
      </c>
      <c r="I448" t="n">
        <v>0</v>
      </c>
      <c r="J448" t="n">
        <v>0</v>
      </c>
      <c r="K448" t="n">
        <v>0</v>
      </c>
      <c r="L448" t="n">
        <v>0</v>
      </c>
      <c r="M448" t="n">
        <v>0</v>
      </c>
      <c r="N448" t="n">
        <v>0</v>
      </c>
      <c r="O448" t="n">
        <v>0</v>
      </c>
      <c r="P448" t="n">
        <v>0</v>
      </c>
      <c r="Q448" t="n">
        <v>0</v>
      </c>
      <c r="R448" s="2" t="inlineStr"/>
    </row>
    <row r="449" ht="15" customHeight="1">
      <c r="A449" t="inlineStr">
        <is>
          <t>A 6960-2026</t>
        </is>
      </c>
      <c r="B449" s="1" t="n">
        <v>46057.58105324074</v>
      </c>
      <c r="C449" s="1" t="n">
        <v>46111</v>
      </c>
      <c r="D449" t="inlineStr">
        <is>
          <t>GOTLANDS LÄN</t>
        </is>
      </c>
      <c r="E449" t="inlineStr">
        <is>
          <t>GOTLAND</t>
        </is>
      </c>
      <c r="F449" t="inlineStr">
        <is>
          <t>Kyrkan</t>
        </is>
      </c>
      <c r="G449" t="n">
        <v>2.4</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44467.49048611111</v>
      </c>
      <c r="C450" s="1" t="n">
        <v>46111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15216-2025</t>
        </is>
      </c>
      <c r="B451" s="1" t="n">
        <v>45744</v>
      </c>
      <c r="C451" s="1" t="n">
        <v>46111</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43790-2024</t>
        </is>
      </c>
      <c r="B452" s="1" t="n">
        <v>45571</v>
      </c>
      <c r="C452" s="1" t="n">
        <v>46111</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15001-2025</t>
        </is>
      </c>
      <c r="B453" s="1" t="n">
        <v>45743</v>
      </c>
      <c r="C453" s="1" t="n">
        <v>46111</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46396-2023</t>
        </is>
      </c>
      <c r="B454" s="1" t="n">
        <v>45197</v>
      </c>
      <c r="C454" s="1" t="n">
        <v>46111</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30488-2025</t>
        </is>
      </c>
      <c r="B455" s="1" t="n">
        <v>45830</v>
      </c>
      <c r="C455" s="1" t="n">
        <v>46111</v>
      </c>
      <c r="D455" t="inlineStr">
        <is>
          <t>GOTLANDS LÄN</t>
        </is>
      </c>
      <c r="E455" t="inlineStr">
        <is>
          <t>GOTLAND</t>
        </is>
      </c>
      <c r="F455" t="inlineStr">
        <is>
          <t>Kyrkan</t>
        </is>
      </c>
      <c r="G455" t="n">
        <v>3.9</v>
      </c>
      <c r="H455" t="n">
        <v>0</v>
      </c>
      <c r="I455" t="n">
        <v>0</v>
      </c>
      <c r="J455" t="n">
        <v>0</v>
      </c>
      <c r="K455" t="n">
        <v>0</v>
      </c>
      <c r="L455" t="n">
        <v>0</v>
      </c>
      <c r="M455" t="n">
        <v>0</v>
      </c>
      <c r="N455" t="n">
        <v>0</v>
      </c>
      <c r="O455" t="n">
        <v>0</v>
      </c>
      <c r="P455" t="n">
        <v>0</v>
      </c>
      <c r="Q455" t="n">
        <v>0</v>
      </c>
      <c r="R455" s="2" t="inlineStr"/>
    </row>
    <row r="456" ht="15" customHeight="1">
      <c r="A456" t="inlineStr">
        <is>
          <t>A 17847-2025</t>
        </is>
      </c>
      <c r="B456" s="1" t="n">
        <v>45758</v>
      </c>
      <c r="C456" s="1" t="n">
        <v>46111</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18742-2025</t>
        </is>
      </c>
      <c r="B457" s="1" t="n">
        <v>45763</v>
      </c>
      <c r="C457" s="1" t="n">
        <v>46111</v>
      </c>
      <c r="D457" t="inlineStr">
        <is>
          <t>GOTLANDS LÄN</t>
        </is>
      </c>
      <c r="E457" t="inlineStr">
        <is>
          <t>GOTLAND</t>
        </is>
      </c>
      <c r="G457" t="n">
        <v>3.4</v>
      </c>
      <c r="H457" t="n">
        <v>0</v>
      </c>
      <c r="I457" t="n">
        <v>0</v>
      </c>
      <c r="J457" t="n">
        <v>0</v>
      </c>
      <c r="K457" t="n">
        <v>0</v>
      </c>
      <c r="L457" t="n">
        <v>0</v>
      </c>
      <c r="M457" t="n">
        <v>0</v>
      </c>
      <c r="N457" t="n">
        <v>0</v>
      </c>
      <c r="O457" t="n">
        <v>0</v>
      </c>
      <c r="P457" t="n">
        <v>0</v>
      </c>
      <c r="Q457" t="n">
        <v>0</v>
      </c>
      <c r="R457" s="2" t="inlineStr"/>
    </row>
    <row r="458" ht="15" customHeight="1">
      <c r="A458" t="inlineStr">
        <is>
          <t>A 14840-2026</t>
        </is>
      </c>
      <c r="B458" s="1" t="n">
        <v>46104.39498842593</v>
      </c>
      <c r="C458" s="1" t="n">
        <v>46111</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17724-2024</t>
        </is>
      </c>
      <c r="B459" s="1" t="n">
        <v>45418.55096064815</v>
      </c>
      <c r="C459" s="1" t="n">
        <v>46111</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35129-2025</t>
        </is>
      </c>
      <c r="B460" s="1" t="n">
        <v>45852.63224537037</v>
      </c>
      <c r="C460" s="1" t="n">
        <v>46111</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7625-2026</t>
        </is>
      </c>
      <c r="B461" s="1" t="n">
        <v>46062.35135416667</v>
      </c>
      <c r="C461" s="1" t="n">
        <v>46111</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34312-2024</t>
        </is>
      </c>
      <c r="B462" s="1" t="n">
        <v>45524.69703703704</v>
      </c>
      <c r="C462" s="1" t="n">
        <v>46111</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7627-2026</t>
        </is>
      </c>
      <c r="B463" s="1" t="n">
        <v>46062.35465277778</v>
      </c>
      <c r="C463" s="1" t="n">
        <v>46111</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62836-2025</t>
        </is>
      </c>
      <c r="B464" s="1" t="n">
        <v>46008</v>
      </c>
      <c r="C464" s="1" t="n">
        <v>46111</v>
      </c>
      <c r="D464" t="inlineStr">
        <is>
          <t>GOTLANDS LÄN</t>
        </is>
      </c>
      <c r="E464" t="inlineStr">
        <is>
          <t>GOTLAND</t>
        </is>
      </c>
      <c r="G464" t="n">
        <v>6.5</v>
      </c>
      <c r="H464" t="n">
        <v>0</v>
      </c>
      <c r="I464" t="n">
        <v>0</v>
      </c>
      <c r="J464" t="n">
        <v>0</v>
      </c>
      <c r="K464" t="n">
        <v>0</v>
      </c>
      <c r="L464" t="n">
        <v>0</v>
      </c>
      <c r="M464" t="n">
        <v>0</v>
      </c>
      <c r="N464" t="n">
        <v>0</v>
      </c>
      <c r="O464" t="n">
        <v>0</v>
      </c>
      <c r="P464" t="n">
        <v>0</v>
      </c>
      <c r="Q464" t="n">
        <v>0</v>
      </c>
      <c r="R464" s="2" t="inlineStr"/>
    </row>
    <row r="465" ht="15" customHeight="1">
      <c r="A465" t="inlineStr">
        <is>
          <t>A 63105-2025</t>
        </is>
      </c>
      <c r="B465" s="1" t="n">
        <v>46009</v>
      </c>
      <c r="C465" s="1" t="n">
        <v>46111</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5863-2026</t>
        </is>
      </c>
      <c r="B466" s="1" t="n">
        <v>46052.36697916667</v>
      </c>
      <c r="C466" s="1" t="n">
        <v>46111</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46111</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2135-2026</t>
        </is>
      </c>
      <c r="B468" s="1" t="n">
        <v>46036</v>
      </c>
      <c r="C468" s="1" t="n">
        <v>46111</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46111</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50482-2024</t>
        </is>
      </c>
      <c r="B470" s="1" t="n">
        <v>45601.48114583334</v>
      </c>
      <c r="C470" s="1" t="n">
        <v>46111</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2134-2026</t>
        </is>
      </c>
      <c r="B471" s="1" t="n">
        <v>46036</v>
      </c>
      <c r="C471" s="1" t="n">
        <v>46111</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46111</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46111</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46111</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25129-2023</t>
        </is>
      </c>
      <c r="B475" s="1" t="n">
        <v>45086.44261574074</v>
      </c>
      <c r="C475" s="1" t="n">
        <v>46111</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46111</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5386-2023</t>
        </is>
      </c>
      <c r="B477" s="1" t="n">
        <v>44959</v>
      </c>
      <c r="C477" s="1" t="n">
        <v>46111</v>
      </c>
      <c r="D477" t="inlineStr">
        <is>
          <t>GOTLANDS LÄN</t>
        </is>
      </c>
      <c r="E477" t="inlineStr">
        <is>
          <t>GOTLAND</t>
        </is>
      </c>
      <c r="G477" t="n">
        <v>5.4</v>
      </c>
      <c r="H477" t="n">
        <v>0</v>
      </c>
      <c r="I477" t="n">
        <v>0</v>
      </c>
      <c r="J477" t="n">
        <v>0</v>
      </c>
      <c r="K477" t="n">
        <v>0</v>
      </c>
      <c r="L477" t="n">
        <v>0</v>
      </c>
      <c r="M477" t="n">
        <v>0</v>
      </c>
      <c r="N477" t="n">
        <v>0</v>
      </c>
      <c r="O477" t="n">
        <v>0</v>
      </c>
      <c r="P477" t="n">
        <v>0</v>
      </c>
      <c r="Q477" t="n">
        <v>0</v>
      </c>
      <c r="R477" s="2" t="inlineStr"/>
    </row>
    <row r="478" ht="15" customHeight="1">
      <c r="A478" t="inlineStr">
        <is>
          <t>A 7026-2023</t>
        </is>
      </c>
      <c r="B478" s="1" t="n">
        <v>44968.30340277778</v>
      </c>
      <c r="C478" s="1" t="n">
        <v>46111</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20855-2023</t>
        </is>
      </c>
      <c r="B479" s="1" t="n">
        <v>45058.82172453704</v>
      </c>
      <c r="C479" s="1" t="n">
        <v>46111</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1000-2024</t>
        </is>
      </c>
      <c r="B480" s="1" t="n">
        <v>45301.63371527778</v>
      </c>
      <c r="C480" s="1" t="n">
        <v>46111</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1010-2024</t>
        </is>
      </c>
      <c r="B481" s="1" t="n">
        <v>45301</v>
      </c>
      <c r="C481" s="1" t="n">
        <v>46111</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6108-2025</t>
        </is>
      </c>
      <c r="B482" s="1" t="n">
        <v>45698.29880787037</v>
      </c>
      <c r="C482" s="1" t="n">
        <v>46111</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21142-2025</t>
        </is>
      </c>
      <c r="B483" s="1" t="n">
        <v>45779</v>
      </c>
      <c r="C483" s="1" t="n">
        <v>46111</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17343-2025</t>
        </is>
      </c>
      <c r="B484" s="1" t="n">
        <v>45756.6687037037</v>
      </c>
      <c r="C484" s="1" t="n">
        <v>46111</v>
      </c>
      <c r="D484" t="inlineStr">
        <is>
          <t>GOTLANDS LÄN</t>
        </is>
      </c>
      <c r="E484" t="inlineStr">
        <is>
          <t>GOTLAND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18938-2025</t>
        </is>
      </c>
      <c r="B485" s="1" t="n">
        <v>45764.49172453704</v>
      </c>
      <c r="C485" s="1" t="n">
        <v>46111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47762-2023</t>
        </is>
      </c>
      <c r="B486" s="1" t="n">
        <v>45203.86256944444</v>
      </c>
      <c r="C486" s="1" t="n">
        <v>46111</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46111</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20307-2025</t>
        </is>
      </c>
      <c r="B488" s="1" t="n">
        <v>45774.95546296296</v>
      </c>
      <c r="C488" s="1" t="n">
        <v>46111</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46545-2024</t>
        </is>
      </c>
      <c r="B489" s="1" t="n">
        <v>45582.65831018519</v>
      </c>
      <c r="C489" s="1" t="n">
        <v>46111</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60086-2022</t>
        </is>
      </c>
      <c r="B490" s="1" t="n">
        <v>44909</v>
      </c>
      <c r="C490" s="1" t="n">
        <v>46111</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28480-2023</t>
        </is>
      </c>
      <c r="B491" s="1" t="n">
        <v>45103</v>
      </c>
      <c r="C491" s="1" t="n">
        <v>46111</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28485-2023</t>
        </is>
      </c>
      <c r="B492" s="1" t="n">
        <v>45103.43731481482</v>
      </c>
      <c r="C492" s="1" t="n">
        <v>46111</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62915-2021</t>
        </is>
      </c>
      <c r="B493" s="1" t="n">
        <v>44504</v>
      </c>
      <c r="C493" s="1" t="n">
        <v>46111</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44949-2023</t>
        </is>
      </c>
      <c r="B494" s="1" t="n">
        <v>45190.69520833333</v>
      </c>
      <c r="C494" s="1" t="n">
        <v>46111</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37222-2021</t>
        </is>
      </c>
      <c r="B495" s="1" t="n">
        <v>44396</v>
      </c>
      <c r="C495" s="1" t="n">
        <v>46111</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3964-2024</t>
        </is>
      </c>
      <c r="B496" s="1" t="n">
        <v>45322</v>
      </c>
      <c r="C496" s="1" t="n">
        <v>46111</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45084-2024</t>
        </is>
      </c>
      <c r="B497" s="1" t="n">
        <v>45575</v>
      </c>
      <c r="C497" s="1" t="n">
        <v>46111</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5217-2023</t>
        </is>
      </c>
      <c r="B498" s="1" t="n">
        <v>44959.39582175926</v>
      </c>
      <c r="C498" s="1" t="n">
        <v>46111</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1677-2023</t>
        </is>
      </c>
      <c r="B499" s="1" t="n">
        <v>44938</v>
      </c>
      <c r="C499" s="1" t="n">
        <v>46111</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45244-2024</t>
        </is>
      </c>
      <c r="B500" s="1" t="n">
        <v>45576</v>
      </c>
      <c r="C500" s="1" t="n">
        <v>46111</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8260-2023</t>
        </is>
      </c>
      <c r="B501" s="1" t="n">
        <v>44974.61608796296</v>
      </c>
      <c r="C501" s="1" t="n">
        <v>46111</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64969-2023</t>
        </is>
      </c>
      <c r="B502" s="1" t="n">
        <v>45284.54009259259</v>
      </c>
      <c r="C502" s="1" t="n">
        <v>46111</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48843-2024</t>
        </is>
      </c>
      <c r="B503" s="1" t="n">
        <v>45593</v>
      </c>
      <c r="C503" s="1" t="n">
        <v>46111</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17541-2024</t>
        </is>
      </c>
      <c r="B504" s="1" t="n">
        <v>45415</v>
      </c>
      <c r="C504" s="1" t="n">
        <v>46111</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2241-2025</t>
        </is>
      </c>
      <c r="B505" s="1" t="n">
        <v>45673.48710648148</v>
      </c>
      <c r="C505" s="1" t="n">
        <v>46111</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15434-2024</t>
        </is>
      </c>
      <c r="B506" s="1" t="n">
        <v>45401.38836805556</v>
      </c>
      <c r="C506" s="1" t="n">
        <v>46111</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5943-2024</t>
        </is>
      </c>
      <c r="B507" s="1" t="n">
        <v>45336</v>
      </c>
      <c r="C507" s="1" t="n">
        <v>46111</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44881.50380787037</v>
      </c>
      <c r="C508" s="1" t="n">
        <v>46111</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46111</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41038-2023</t>
        </is>
      </c>
      <c r="B510" s="1" t="n">
        <v>45173.60959490741</v>
      </c>
      <c r="C510" s="1" t="n">
        <v>46111</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14427-2024</t>
        </is>
      </c>
      <c r="B511" s="1" t="n">
        <v>45394</v>
      </c>
      <c r="C511" s="1" t="n">
        <v>46111</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31802-2024</t>
        </is>
      </c>
      <c r="B512" s="1" t="n">
        <v>45509</v>
      </c>
      <c r="C512" s="1" t="n">
        <v>46111</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8036-2022</t>
        </is>
      </c>
      <c r="B513" s="1" t="n">
        <v>44609.44362268518</v>
      </c>
      <c r="C513" s="1" t="n">
        <v>46111</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12846-2025</t>
        </is>
      </c>
      <c r="B514" s="1" t="n">
        <v>45733.65049768519</v>
      </c>
      <c r="C514" s="1" t="n">
        <v>46111</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46949-2024</t>
        </is>
      </c>
      <c r="B515" s="1" t="n">
        <v>45585</v>
      </c>
      <c r="C515" s="1" t="n">
        <v>46111</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10650-2022</t>
        </is>
      </c>
      <c r="B516" s="1" t="n">
        <v>44624.57945601852</v>
      </c>
      <c r="C516" s="1" t="n">
        <v>46111</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11634-2024</t>
        </is>
      </c>
      <c r="B517" s="1" t="n">
        <v>45373</v>
      </c>
      <c r="C517" s="1" t="n">
        <v>46111</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1351-2025</t>
        </is>
      </c>
      <c r="B518" s="1" t="n">
        <v>45667.62246527777</v>
      </c>
      <c r="C518" s="1" t="n">
        <v>46111</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39496-2022</t>
        </is>
      </c>
      <c r="B519" s="1" t="n">
        <v>44818</v>
      </c>
      <c r="C519" s="1" t="n">
        <v>46111</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49874-2024</t>
        </is>
      </c>
      <c r="B520" s="1" t="n">
        <v>45597.49274305555</v>
      </c>
      <c r="C520" s="1" t="n">
        <v>46111</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42201-2023</t>
        </is>
      </c>
      <c r="B521" s="1" t="n">
        <v>45179</v>
      </c>
      <c r="C521" s="1" t="n">
        <v>46111</v>
      </c>
      <c r="D521" t="inlineStr">
        <is>
          <t>GOTLANDS LÄN</t>
        </is>
      </c>
      <c r="E521" t="inlineStr">
        <is>
          <t>GOTLAND</t>
        </is>
      </c>
      <c r="G521" t="n">
        <v>11.9</v>
      </c>
      <c r="H521" t="n">
        <v>0</v>
      </c>
      <c r="I521" t="n">
        <v>0</v>
      </c>
      <c r="J521" t="n">
        <v>0</v>
      </c>
      <c r="K521" t="n">
        <v>0</v>
      </c>
      <c r="L521" t="n">
        <v>0</v>
      </c>
      <c r="M521" t="n">
        <v>0</v>
      </c>
      <c r="N521" t="n">
        <v>0</v>
      </c>
      <c r="O521" t="n">
        <v>0</v>
      </c>
      <c r="P521" t="n">
        <v>0</v>
      </c>
      <c r="Q521" t="n">
        <v>0</v>
      </c>
      <c r="R521" s="2" t="inlineStr"/>
    </row>
    <row r="522" ht="15" customHeight="1">
      <c r="A522" t="inlineStr">
        <is>
          <t>A 46400-2023</t>
        </is>
      </c>
      <c r="B522" s="1" t="n">
        <v>45197.49290509259</v>
      </c>
      <c r="C522" s="1" t="n">
        <v>46111</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9875-2025</t>
        </is>
      </c>
      <c r="B523" s="1" t="n">
        <v>45716</v>
      </c>
      <c r="C523" s="1" t="n">
        <v>46111</v>
      </c>
      <c r="D523" t="inlineStr">
        <is>
          <t>GOTLANDS LÄN</t>
        </is>
      </c>
      <c r="E523" t="inlineStr">
        <is>
          <t>GOTLAND</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21164-2024</t>
        </is>
      </c>
      <c r="B524" s="1" t="n">
        <v>45440</v>
      </c>
      <c r="C524" s="1" t="n">
        <v>46111</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8045-2022</t>
        </is>
      </c>
      <c r="B525" s="1" t="n">
        <v>44609</v>
      </c>
      <c r="C525" s="1" t="n">
        <v>46111</v>
      </c>
      <c r="D525" t="inlineStr">
        <is>
          <t>GOTLANDS LÄN</t>
        </is>
      </c>
      <c r="E525" t="inlineStr">
        <is>
          <t>GOTLAND</t>
        </is>
      </c>
      <c r="G525" t="n">
        <v>7</v>
      </c>
      <c r="H525" t="n">
        <v>0</v>
      </c>
      <c r="I525" t="n">
        <v>0</v>
      </c>
      <c r="J525" t="n">
        <v>0</v>
      </c>
      <c r="K525" t="n">
        <v>0</v>
      </c>
      <c r="L525" t="n">
        <v>0</v>
      </c>
      <c r="M525" t="n">
        <v>0</v>
      </c>
      <c r="N525" t="n">
        <v>0</v>
      </c>
      <c r="O525" t="n">
        <v>0</v>
      </c>
      <c r="P525" t="n">
        <v>0</v>
      </c>
      <c r="Q525" t="n">
        <v>0</v>
      </c>
      <c r="R525" s="2" t="inlineStr"/>
    </row>
    <row r="526" ht="15" customHeight="1">
      <c r="A526" t="inlineStr">
        <is>
          <t>A 22897-2023</t>
        </is>
      </c>
      <c r="B526" s="1" t="n">
        <v>45072.55239583334</v>
      </c>
      <c r="C526" s="1" t="n">
        <v>46111</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61897-2024</t>
        </is>
      </c>
      <c r="B527" s="1" t="n">
        <v>45652.75685185185</v>
      </c>
      <c r="C527" s="1" t="n">
        <v>46111</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46111</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20165-2022</t>
        </is>
      </c>
      <c r="B529" s="1" t="n">
        <v>44698.49854166667</v>
      </c>
      <c r="C529" s="1" t="n">
        <v>46111</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46111</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12032-2025</t>
        </is>
      </c>
      <c r="B531" s="1" t="n">
        <v>45728.64472222222</v>
      </c>
      <c r="C531" s="1" t="n">
        <v>46111</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38787-2023</t>
        </is>
      </c>
      <c r="B532" s="1" t="n">
        <v>45163</v>
      </c>
      <c r="C532" s="1" t="n">
        <v>46111</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43231-2023</t>
        </is>
      </c>
      <c r="B533" s="1" t="n">
        <v>45183.47025462963</v>
      </c>
      <c r="C533" s="1" t="n">
        <v>46111</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46111</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3935-2025</t>
        </is>
      </c>
      <c r="B535" s="1" t="n">
        <v>45684.46070601852</v>
      </c>
      <c r="C535" s="1" t="n">
        <v>46111</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46111</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46111</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1066-2024</t>
        </is>
      </c>
      <c r="B538" s="1" t="n">
        <v>45302.285</v>
      </c>
      <c r="C538" s="1" t="n">
        <v>46111</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17144-2025</t>
        </is>
      </c>
      <c r="B539" s="1" t="n">
        <v>45755.9499537037</v>
      </c>
      <c r="C539" s="1" t="n">
        <v>46111</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56009-2024</t>
        </is>
      </c>
      <c r="B540" s="1" t="n">
        <v>45623.80864583333</v>
      </c>
      <c r="C540" s="1" t="n">
        <v>46111</v>
      </c>
      <c r="D540" t="inlineStr">
        <is>
          <t>GOTLANDS LÄN</t>
        </is>
      </c>
      <c r="E540" t="inlineStr">
        <is>
          <t>GOTLAND</t>
        </is>
      </c>
      <c r="G540" t="n">
        <v>2.8</v>
      </c>
      <c r="H540" t="n">
        <v>0</v>
      </c>
      <c r="I540" t="n">
        <v>0</v>
      </c>
      <c r="J540" t="n">
        <v>0</v>
      </c>
      <c r="K540" t="n">
        <v>0</v>
      </c>
      <c r="L540" t="n">
        <v>0</v>
      </c>
      <c r="M540" t="n">
        <v>0</v>
      </c>
      <c r="N540" t="n">
        <v>0</v>
      </c>
      <c r="O540" t="n">
        <v>0</v>
      </c>
      <c r="P540" t="n">
        <v>0</v>
      </c>
      <c r="Q540" t="n">
        <v>0</v>
      </c>
      <c r="R540" s="2" t="inlineStr"/>
    </row>
    <row r="541" ht="15" customHeight="1">
      <c r="A541" t="inlineStr">
        <is>
          <t>A 42338-2023</t>
        </is>
      </c>
      <c r="B541" s="1" t="n">
        <v>45180</v>
      </c>
      <c r="C541" s="1" t="n">
        <v>46111</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46111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46111</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46111</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46111</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46111</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46111</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14797-2024</t>
        </is>
      </c>
      <c r="B548" s="1" t="n">
        <v>45397.87030092593</v>
      </c>
      <c r="C548" s="1" t="n">
        <v>46111</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999-2024</t>
        </is>
      </c>
      <c r="B549" s="1" t="n">
        <v>45301</v>
      </c>
      <c r="C549" s="1" t="n">
        <v>46111</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61596-2023</t>
        </is>
      </c>
      <c r="B550" s="1" t="n">
        <v>45265</v>
      </c>
      <c r="C550" s="1" t="n">
        <v>46111</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14638-2025</t>
        </is>
      </c>
      <c r="B551" s="1" t="n">
        <v>45742</v>
      </c>
      <c r="C551" s="1" t="n">
        <v>46111</v>
      </c>
      <c r="D551" t="inlineStr">
        <is>
          <t>GOTLANDS LÄN</t>
        </is>
      </c>
      <c r="E551" t="inlineStr">
        <is>
          <t>GOTLAND</t>
        </is>
      </c>
      <c r="G551" t="n">
        <v>13.4</v>
      </c>
      <c r="H551" t="n">
        <v>0</v>
      </c>
      <c r="I551" t="n">
        <v>0</v>
      </c>
      <c r="J551" t="n">
        <v>0</v>
      </c>
      <c r="K551" t="n">
        <v>0</v>
      </c>
      <c r="L551" t="n">
        <v>0</v>
      </c>
      <c r="M551" t="n">
        <v>0</v>
      </c>
      <c r="N551" t="n">
        <v>0</v>
      </c>
      <c r="O551" t="n">
        <v>0</v>
      </c>
      <c r="P551" t="n">
        <v>0</v>
      </c>
      <c r="Q551" t="n">
        <v>0</v>
      </c>
      <c r="R551" s="2" t="inlineStr"/>
    </row>
    <row r="552" ht="15" customHeight="1">
      <c r="A552" t="inlineStr">
        <is>
          <t>A 60675-2021</t>
        </is>
      </c>
      <c r="B552" s="1" t="n">
        <v>44496.64855324074</v>
      </c>
      <c r="C552" s="1" t="n">
        <v>46111</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37728-2024</t>
        </is>
      </c>
      <c r="B553" s="1" t="n">
        <v>45541</v>
      </c>
      <c r="C553" s="1" t="n">
        <v>46111</v>
      </c>
      <c r="D553" t="inlineStr">
        <is>
          <t>GOTLANDS LÄN</t>
        </is>
      </c>
      <c r="E553" t="inlineStr">
        <is>
          <t>GOTLAND</t>
        </is>
      </c>
      <c r="G553" t="n">
        <v>0.4</v>
      </c>
      <c r="H553" t="n">
        <v>0</v>
      </c>
      <c r="I553" t="n">
        <v>0</v>
      </c>
      <c r="J553" t="n">
        <v>0</v>
      </c>
      <c r="K553" t="n">
        <v>0</v>
      </c>
      <c r="L553" t="n">
        <v>0</v>
      </c>
      <c r="M553" t="n">
        <v>0</v>
      </c>
      <c r="N553" t="n">
        <v>0</v>
      </c>
      <c r="O553" t="n">
        <v>0</v>
      </c>
      <c r="P553" t="n">
        <v>0</v>
      </c>
      <c r="Q553" t="n">
        <v>0</v>
      </c>
      <c r="R553" s="2" t="inlineStr"/>
    </row>
    <row r="554" ht="15" customHeight="1">
      <c r="A554" t="inlineStr">
        <is>
          <t>A 22287-2022</t>
        </is>
      </c>
      <c r="B554" s="1" t="n">
        <v>44712</v>
      </c>
      <c r="C554" s="1" t="n">
        <v>46111</v>
      </c>
      <c r="D554" t="inlineStr">
        <is>
          <t>GOTLANDS LÄN</t>
        </is>
      </c>
      <c r="E554" t="inlineStr">
        <is>
          <t>GOTLAND</t>
        </is>
      </c>
      <c r="G554" t="n">
        <v>6.1</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46111</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65249-2023</t>
        </is>
      </c>
      <c r="B556" s="1" t="n">
        <v>45290</v>
      </c>
      <c r="C556" s="1" t="n">
        <v>46111</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13910-2025</t>
        </is>
      </c>
      <c r="B557" s="1" t="n">
        <v>45737</v>
      </c>
      <c r="C557" s="1" t="n">
        <v>46111</v>
      </c>
      <c r="D557" t="inlineStr">
        <is>
          <t>GOTLANDS LÄN</t>
        </is>
      </c>
      <c r="E557" t="inlineStr">
        <is>
          <t>GOTLAND</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17780-2022</t>
        </is>
      </c>
      <c r="B558" s="1" t="n">
        <v>44682.82622685185</v>
      </c>
      <c r="C558" s="1" t="n">
        <v>46111</v>
      </c>
      <c r="D558" t="inlineStr">
        <is>
          <t>GOTLANDS LÄN</t>
        </is>
      </c>
      <c r="E558" t="inlineStr">
        <is>
          <t>GOTLAND</t>
        </is>
      </c>
      <c r="G558" t="n">
        <v>2.2</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46111</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11874-2024</t>
        </is>
      </c>
      <c r="B560" s="1" t="n">
        <v>45376.46956018519</v>
      </c>
      <c r="C560" s="1" t="n">
        <v>46111</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42041-2024</t>
        </is>
      </c>
      <c r="B561" s="1" t="n">
        <v>45561</v>
      </c>
      <c r="C561" s="1" t="n">
        <v>46111</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61694-2023</t>
        </is>
      </c>
      <c r="B562" s="1" t="n">
        <v>45264</v>
      </c>
      <c r="C562" s="1" t="n">
        <v>46111</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64555-2023</t>
        </is>
      </c>
      <c r="B563" s="1" t="n">
        <v>45281</v>
      </c>
      <c r="C563" s="1" t="n">
        <v>46111</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64831-2023</t>
        </is>
      </c>
      <c r="B564" s="1" t="n">
        <v>45282.44924768519</v>
      </c>
      <c r="C564" s="1" t="n">
        <v>46111</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46111</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27602-2023</t>
        </is>
      </c>
      <c r="B566" s="1" t="n">
        <v>45097</v>
      </c>
      <c r="C566" s="1" t="n">
        <v>46111</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46111</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44955.73359953704</v>
      </c>
      <c r="C568" s="1" t="n">
        <v>46111</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39479-2022</t>
        </is>
      </c>
      <c r="B569" s="1" t="n">
        <v>44818</v>
      </c>
      <c r="C569" s="1" t="n">
        <v>46111</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51963-2024</t>
        </is>
      </c>
      <c r="B570" s="1" t="n">
        <v>45607.64833333333</v>
      </c>
      <c r="C570" s="1" t="n">
        <v>46111</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46111</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46389-2021</t>
        </is>
      </c>
      <c r="B572" s="1" t="n">
        <v>44443</v>
      </c>
      <c r="C572" s="1" t="n">
        <v>46111</v>
      </c>
      <c r="D572" t="inlineStr">
        <is>
          <t>GOTLANDS LÄN</t>
        </is>
      </c>
      <c r="E572" t="inlineStr">
        <is>
          <t>GOTLAND</t>
        </is>
      </c>
      <c r="F572" t="inlineStr">
        <is>
          <t>Kyrkan</t>
        </is>
      </c>
      <c r="G572" t="n">
        <v>2.1</v>
      </c>
      <c r="H572" t="n">
        <v>0</v>
      </c>
      <c r="I572" t="n">
        <v>0</v>
      </c>
      <c r="J572" t="n">
        <v>0</v>
      </c>
      <c r="K572" t="n">
        <v>0</v>
      </c>
      <c r="L572" t="n">
        <v>0</v>
      </c>
      <c r="M572" t="n">
        <v>0</v>
      </c>
      <c r="N572" t="n">
        <v>0</v>
      </c>
      <c r="O572" t="n">
        <v>0</v>
      </c>
      <c r="P572" t="n">
        <v>0</v>
      </c>
      <c r="Q572" t="n">
        <v>0</v>
      </c>
      <c r="R572" s="2" t="inlineStr"/>
    </row>
    <row r="573" ht="15" customHeight="1">
      <c r="A573" t="inlineStr">
        <is>
          <t>A 26810-2021</t>
        </is>
      </c>
      <c r="B573" s="1" t="n">
        <v>44349.55087962963</v>
      </c>
      <c r="C573" s="1" t="n">
        <v>46111</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44963.69503472222</v>
      </c>
      <c r="C574" s="1" t="n">
        <v>46111</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33853-2024</t>
        </is>
      </c>
      <c r="B575" s="1" t="n">
        <v>45520.64298611111</v>
      </c>
      <c r="C575" s="1" t="n">
        <v>46111</v>
      </c>
      <c r="D575" t="inlineStr">
        <is>
          <t>GOTLANDS LÄN</t>
        </is>
      </c>
      <c r="E575" t="inlineStr">
        <is>
          <t>GOTLAND</t>
        </is>
      </c>
      <c r="G575" t="n">
        <v>3.9</v>
      </c>
      <c r="H575" t="n">
        <v>0</v>
      </c>
      <c r="I575" t="n">
        <v>0</v>
      </c>
      <c r="J575" t="n">
        <v>0</v>
      </c>
      <c r="K575" t="n">
        <v>0</v>
      </c>
      <c r="L575" t="n">
        <v>0</v>
      </c>
      <c r="M575" t="n">
        <v>0</v>
      </c>
      <c r="N575" t="n">
        <v>0</v>
      </c>
      <c r="O575" t="n">
        <v>0</v>
      </c>
      <c r="P575" t="n">
        <v>0</v>
      </c>
      <c r="Q575" t="n">
        <v>0</v>
      </c>
      <c r="R575" s="2" t="inlineStr"/>
    </row>
    <row r="576" ht="15" customHeight="1">
      <c r="A576" t="inlineStr">
        <is>
          <t>A 18918-2025</t>
        </is>
      </c>
      <c r="B576" s="1" t="n">
        <v>45764</v>
      </c>
      <c r="C576" s="1" t="n">
        <v>46111</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46111</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10655-2023</t>
        </is>
      </c>
      <c r="B578" s="1" t="n">
        <v>44988.49543981482</v>
      </c>
      <c r="C578" s="1" t="n">
        <v>46111</v>
      </c>
      <c r="D578" t="inlineStr">
        <is>
          <t>GOTLANDS LÄN</t>
        </is>
      </c>
      <c r="E578" t="inlineStr">
        <is>
          <t>GOTLAND</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44944.55361111111</v>
      </c>
      <c r="C579" s="1" t="n">
        <v>46111</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26891-2024</t>
        </is>
      </c>
      <c r="B580" s="1" t="n">
        <v>45470.65540509259</v>
      </c>
      <c r="C580" s="1" t="n">
        <v>46111</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42007-2023</t>
        </is>
      </c>
      <c r="B581" s="1" t="n">
        <v>45177</v>
      </c>
      <c r="C581" s="1" t="n">
        <v>46111</v>
      </c>
      <c r="D581" t="inlineStr">
        <is>
          <t>GOTLANDS LÄN</t>
        </is>
      </c>
      <c r="E581" t="inlineStr">
        <is>
          <t>GOTLAND</t>
        </is>
      </c>
      <c r="G581" t="n">
        <v>0.8</v>
      </c>
      <c r="H581" t="n">
        <v>0</v>
      </c>
      <c r="I581" t="n">
        <v>0</v>
      </c>
      <c r="J581" t="n">
        <v>0</v>
      </c>
      <c r="K581" t="n">
        <v>0</v>
      </c>
      <c r="L581" t="n">
        <v>0</v>
      </c>
      <c r="M581" t="n">
        <v>0</v>
      </c>
      <c r="N581" t="n">
        <v>0</v>
      </c>
      <c r="O581" t="n">
        <v>0</v>
      </c>
      <c r="P581" t="n">
        <v>0</v>
      </c>
      <c r="Q581" t="n">
        <v>0</v>
      </c>
      <c r="R581" s="2" t="inlineStr"/>
    </row>
    <row r="582" ht="15" customHeight="1">
      <c r="A582" t="inlineStr">
        <is>
          <t>A 9887-2025</t>
        </is>
      </c>
      <c r="B582" s="1" t="n">
        <v>45716</v>
      </c>
      <c r="C582" s="1" t="n">
        <v>46111</v>
      </c>
      <c r="D582" t="inlineStr">
        <is>
          <t>GOTLANDS LÄN</t>
        </is>
      </c>
      <c r="E582" t="inlineStr">
        <is>
          <t>GOTLAND</t>
        </is>
      </c>
      <c r="G582" t="n">
        <v>7.5</v>
      </c>
      <c r="H582" t="n">
        <v>0</v>
      </c>
      <c r="I582" t="n">
        <v>0</v>
      </c>
      <c r="J582" t="n">
        <v>0</v>
      </c>
      <c r="K582" t="n">
        <v>0</v>
      </c>
      <c r="L582" t="n">
        <v>0</v>
      </c>
      <c r="M582" t="n">
        <v>0</v>
      </c>
      <c r="N582" t="n">
        <v>0</v>
      </c>
      <c r="O582" t="n">
        <v>0</v>
      </c>
      <c r="P582" t="n">
        <v>0</v>
      </c>
      <c r="Q582" t="n">
        <v>0</v>
      </c>
      <c r="R582" s="2" t="inlineStr"/>
    </row>
    <row r="583" ht="15" customHeight="1">
      <c r="A583" t="inlineStr">
        <is>
          <t>A 38165-2023</t>
        </is>
      </c>
      <c r="B583" s="1" t="n">
        <v>45161</v>
      </c>
      <c r="C583" s="1" t="n">
        <v>46111</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27596-2023</t>
        </is>
      </c>
      <c r="B584" s="1" t="n">
        <v>45097</v>
      </c>
      <c r="C584" s="1" t="n">
        <v>46111</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24825-2024</t>
        </is>
      </c>
      <c r="B585" s="1" t="n">
        <v>45461</v>
      </c>
      <c r="C585" s="1" t="n">
        <v>46111</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6696-2023</t>
        </is>
      </c>
      <c r="B586" s="1" t="n">
        <v>44966.66425925926</v>
      </c>
      <c r="C586" s="1" t="n">
        <v>46111</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21247-2022</t>
        </is>
      </c>
      <c r="B587" s="1" t="n">
        <v>44705.38832175926</v>
      </c>
      <c r="C587" s="1" t="n">
        <v>46111</v>
      </c>
      <c r="D587" t="inlineStr">
        <is>
          <t>GOTLANDS LÄN</t>
        </is>
      </c>
      <c r="E587" t="inlineStr">
        <is>
          <t>GOTLAND</t>
        </is>
      </c>
      <c r="G587" t="n">
        <v>16.2</v>
      </c>
      <c r="H587" t="n">
        <v>0</v>
      </c>
      <c r="I587" t="n">
        <v>0</v>
      </c>
      <c r="J587" t="n">
        <v>0</v>
      </c>
      <c r="K587" t="n">
        <v>0</v>
      </c>
      <c r="L587" t="n">
        <v>0</v>
      </c>
      <c r="M587" t="n">
        <v>0</v>
      </c>
      <c r="N587" t="n">
        <v>0</v>
      </c>
      <c r="O587" t="n">
        <v>0</v>
      </c>
      <c r="P587" t="n">
        <v>0</v>
      </c>
      <c r="Q587" t="n">
        <v>0</v>
      </c>
      <c r="R587" s="2" t="inlineStr"/>
    </row>
    <row r="588" ht="15" customHeight="1">
      <c r="A588" t="inlineStr">
        <is>
          <t>A 456-2023</t>
        </is>
      </c>
      <c r="B588" s="1" t="n">
        <v>44929.87122685185</v>
      </c>
      <c r="C588" s="1" t="n">
        <v>46111</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46111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4421-2024</t>
        </is>
      </c>
      <c r="B590" s="1" t="n">
        <v>45327.45173611111</v>
      </c>
      <c r="C590" s="1" t="n">
        <v>46111</v>
      </c>
      <c r="D590" t="inlineStr">
        <is>
          <t>GOTLANDS LÄN</t>
        </is>
      </c>
      <c r="E590" t="inlineStr">
        <is>
          <t>GOTLAND</t>
        </is>
      </c>
      <c r="G590" t="n">
        <v>5.1</v>
      </c>
      <c r="H590" t="n">
        <v>0</v>
      </c>
      <c r="I590" t="n">
        <v>0</v>
      </c>
      <c r="J590" t="n">
        <v>0</v>
      </c>
      <c r="K590" t="n">
        <v>0</v>
      </c>
      <c r="L590" t="n">
        <v>0</v>
      </c>
      <c r="M590" t="n">
        <v>0</v>
      </c>
      <c r="N590" t="n">
        <v>0</v>
      </c>
      <c r="O590" t="n">
        <v>0</v>
      </c>
      <c r="P590" t="n">
        <v>0</v>
      </c>
      <c r="Q590" t="n">
        <v>0</v>
      </c>
      <c r="R590" s="2" t="inlineStr"/>
    </row>
    <row r="591" ht="15" customHeight="1">
      <c r="A591" t="inlineStr">
        <is>
          <t>A 51782-2023</t>
        </is>
      </c>
      <c r="B591" s="1" t="n">
        <v>45222.80952546297</v>
      </c>
      <c r="C591" s="1" t="n">
        <v>46111</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54268-2022</t>
        </is>
      </c>
      <c r="B592" s="1" t="n">
        <v>44882</v>
      </c>
      <c r="C592" s="1" t="n">
        <v>46111</v>
      </c>
      <c r="D592" t="inlineStr">
        <is>
          <t>GOTLANDS LÄN</t>
        </is>
      </c>
      <c r="E592" t="inlineStr">
        <is>
          <t>GOTLAND</t>
        </is>
      </c>
      <c r="G592" t="n">
        <v>2.7</v>
      </c>
      <c r="H592" t="n">
        <v>0</v>
      </c>
      <c r="I592" t="n">
        <v>0</v>
      </c>
      <c r="J592" t="n">
        <v>0</v>
      </c>
      <c r="K592" t="n">
        <v>0</v>
      </c>
      <c r="L592" t="n">
        <v>0</v>
      </c>
      <c r="M592" t="n">
        <v>0</v>
      </c>
      <c r="N592" t="n">
        <v>0</v>
      </c>
      <c r="O592" t="n">
        <v>0</v>
      </c>
      <c r="P592" t="n">
        <v>0</v>
      </c>
      <c r="Q592" t="n">
        <v>0</v>
      </c>
      <c r="R592" s="2" t="inlineStr"/>
    </row>
    <row r="593" ht="15" customHeight="1">
      <c r="A593" t="inlineStr">
        <is>
          <t>A 57534-2022</t>
        </is>
      </c>
      <c r="B593" s="1" t="n">
        <v>44896</v>
      </c>
      <c r="C593" s="1" t="n">
        <v>46111</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25866-2022</t>
        </is>
      </c>
      <c r="B594" s="1" t="n">
        <v>44733</v>
      </c>
      <c r="C594" s="1" t="n">
        <v>46111</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43229-2023</t>
        </is>
      </c>
      <c r="B595" s="1" t="n">
        <v>45183.46704861111</v>
      </c>
      <c r="C595" s="1" t="n">
        <v>46111</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1175-2025</t>
        </is>
      </c>
      <c r="B596" s="1" t="n">
        <v>45667.34449074074</v>
      </c>
      <c r="C596" s="1" t="n">
        <v>46111</v>
      </c>
      <c r="D596" t="inlineStr">
        <is>
          <t>GOTLANDS LÄN</t>
        </is>
      </c>
      <c r="E596" t="inlineStr">
        <is>
          <t>GOTLAND</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27095-2022</t>
        </is>
      </c>
      <c r="B597" s="1" t="n">
        <v>44741</v>
      </c>
      <c r="C597" s="1" t="n">
        <v>46111</v>
      </c>
      <c r="D597" t="inlineStr">
        <is>
          <t>GOTLANDS LÄN</t>
        </is>
      </c>
      <c r="E597" t="inlineStr">
        <is>
          <t>GOTLAND</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22899-2023</t>
        </is>
      </c>
      <c r="B598" s="1" t="n">
        <v>45072</v>
      </c>
      <c r="C598" s="1" t="n">
        <v>46111</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23978-2023</t>
        </is>
      </c>
      <c r="B599" s="1" t="n">
        <v>45078</v>
      </c>
      <c r="C599" s="1" t="n">
        <v>46111</v>
      </c>
      <c r="D599" t="inlineStr">
        <is>
          <t>GOTLANDS LÄN</t>
        </is>
      </c>
      <c r="E599" t="inlineStr">
        <is>
          <t>GOTLAND</t>
        </is>
      </c>
      <c r="F599" t="inlineStr">
        <is>
          <t>Naturvårdsverket</t>
        </is>
      </c>
      <c r="G599" t="n">
        <v>1.7</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46111</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11013-2024</t>
        </is>
      </c>
      <c r="B601" s="1" t="n">
        <v>45370</v>
      </c>
      <c r="C601" s="1" t="n">
        <v>46111</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27694-2024</t>
        </is>
      </c>
      <c r="B602" s="1" t="n">
        <v>45475</v>
      </c>
      <c r="C602" s="1" t="n">
        <v>46111</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15083-2025</t>
        </is>
      </c>
      <c r="B603" s="1" t="n">
        <v>45743</v>
      </c>
      <c r="C603" s="1" t="n">
        <v>46111</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13037-2025</t>
        </is>
      </c>
      <c r="B604" s="1" t="n">
        <v>45734</v>
      </c>
      <c r="C604" s="1" t="n">
        <v>46111</v>
      </c>
      <c r="D604" t="inlineStr">
        <is>
          <t>GOTLANDS LÄN</t>
        </is>
      </c>
      <c r="E604" t="inlineStr">
        <is>
          <t>GOTLAND</t>
        </is>
      </c>
      <c r="G604" t="n">
        <v>9.5</v>
      </c>
      <c r="H604" t="n">
        <v>0</v>
      </c>
      <c r="I604" t="n">
        <v>0</v>
      </c>
      <c r="J604" t="n">
        <v>0</v>
      </c>
      <c r="K604" t="n">
        <v>0</v>
      </c>
      <c r="L604" t="n">
        <v>0</v>
      </c>
      <c r="M604" t="n">
        <v>0</v>
      </c>
      <c r="N604" t="n">
        <v>0</v>
      </c>
      <c r="O604" t="n">
        <v>0</v>
      </c>
      <c r="P604" t="n">
        <v>0</v>
      </c>
      <c r="Q604" t="n">
        <v>0</v>
      </c>
      <c r="R604" s="2" t="inlineStr"/>
    </row>
    <row r="605" ht="15" customHeight="1">
      <c r="A605" t="inlineStr">
        <is>
          <t>A 458-2023</t>
        </is>
      </c>
      <c r="B605" s="1" t="n">
        <v>44929</v>
      </c>
      <c r="C605" s="1" t="n">
        <v>46111</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44228-2022</t>
        </is>
      </c>
      <c r="B606" s="1" t="n">
        <v>44839.51599537037</v>
      </c>
      <c r="C606" s="1" t="n">
        <v>46111</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58132-2023</t>
        </is>
      </c>
      <c r="B607" s="1" t="n">
        <v>45250</v>
      </c>
      <c r="C607" s="1" t="n">
        <v>46111</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49884-2023</t>
        </is>
      </c>
      <c r="B608" s="1" t="n">
        <v>45213</v>
      </c>
      <c r="C608" s="1" t="n">
        <v>46111</v>
      </c>
      <c r="D608" t="inlineStr">
        <is>
          <t>GOTLANDS LÄN</t>
        </is>
      </c>
      <c r="E608" t="inlineStr">
        <is>
          <t>GOTLAND</t>
        </is>
      </c>
      <c r="G608" t="n">
        <v>8.9</v>
      </c>
      <c r="H608" t="n">
        <v>0</v>
      </c>
      <c r="I608" t="n">
        <v>0</v>
      </c>
      <c r="J608" t="n">
        <v>0</v>
      </c>
      <c r="K608" t="n">
        <v>0</v>
      </c>
      <c r="L608" t="n">
        <v>0</v>
      </c>
      <c r="M608" t="n">
        <v>0</v>
      </c>
      <c r="N608" t="n">
        <v>0</v>
      </c>
      <c r="O608" t="n">
        <v>0</v>
      </c>
      <c r="P608" t="n">
        <v>0</v>
      </c>
      <c r="Q608" t="n">
        <v>0</v>
      </c>
      <c r="R608" s="2" t="inlineStr"/>
    </row>
    <row r="609" ht="15" customHeight="1">
      <c r="A609" t="inlineStr">
        <is>
          <t>A 876-2024</t>
        </is>
      </c>
      <c r="B609" s="1" t="n">
        <v>45301</v>
      </c>
      <c r="C609" s="1" t="n">
        <v>46111</v>
      </c>
      <c r="D609" t="inlineStr">
        <is>
          <t>GOTLANDS LÄN</t>
        </is>
      </c>
      <c r="E609" t="inlineStr">
        <is>
          <t>GOTLAND</t>
        </is>
      </c>
      <c r="G609" t="n">
        <v>5.3</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46111</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28425-2023</t>
        </is>
      </c>
      <c r="B611" s="1" t="n">
        <v>45102</v>
      </c>
      <c r="C611" s="1" t="n">
        <v>46111</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58476-2022</t>
        </is>
      </c>
      <c r="B612" s="1" t="n">
        <v>44902</v>
      </c>
      <c r="C612" s="1" t="n">
        <v>46111</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43200-2023</t>
        </is>
      </c>
      <c r="B613" s="1" t="n">
        <v>45183</v>
      </c>
      <c r="C613" s="1" t="n">
        <v>46111</v>
      </c>
      <c r="D613" t="inlineStr">
        <is>
          <t>GOTLANDS LÄN</t>
        </is>
      </c>
      <c r="E613" t="inlineStr">
        <is>
          <t>GOTLAND</t>
        </is>
      </c>
      <c r="G613" t="n">
        <v>0.5</v>
      </c>
      <c r="H613" t="n">
        <v>0</v>
      </c>
      <c r="I613" t="n">
        <v>0</v>
      </c>
      <c r="J613" t="n">
        <v>0</v>
      </c>
      <c r="K613" t="n">
        <v>0</v>
      </c>
      <c r="L613" t="n">
        <v>0</v>
      </c>
      <c r="M613" t="n">
        <v>0</v>
      </c>
      <c r="N613" t="n">
        <v>0</v>
      </c>
      <c r="O613" t="n">
        <v>0</v>
      </c>
      <c r="P613" t="n">
        <v>0</v>
      </c>
      <c r="Q613" t="n">
        <v>0</v>
      </c>
      <c r="R613" s="2" t="inlineStr"/>
    </row>
    <row r="614" ht="15" customHeight="1">
      <c r="A614" t="inlineStr">
        <is>
          <t>A 43223-2023</t>
        </is>
      </c>
      <c r="B614" s="1" t="n">
        <v>45183.45642361111</v>
      </c>
      <c r="C614" s="1" t="n">
        <v>46111</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12327-2025</t>
        </is>
      </c>
      <c r="B615" s="1" t="n">
        <v>45730</v>
      </c>
      <c r="C615" s="1" t="n">
        <v>46111</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3431-2025</t>
        </is>
      </c>
      <c r="B616" s="1" t="n">
        <v>45680.42935185185</v>
      </c>
      <c r="C616" s="1" t="n">
        <v>46111</v>
      </c>
      <c r="D616" t="inlineStr">
        <is>
          <t>GOTLANDS LÄN</t>
        </is>
      </c>
      <c r="E616" t="inlineStr">
        <is>
          <t>GOTLAND</t>
        </is>
      </c>
      <c r="G616" t="n">
        <v>4.8</v>
      </c>
      <c r="H616" t="n">
        <v>0</v>
      </c>
      <c r="I616" t="n">
        <v>0</v>
      </c>
      <c r="J616" t="n">
        <v>0</v>
      </c>
      <c r="K616" t="n">
        <v>0</v>
      </c>
      <c r="L616" t="n">
        <v>0</v>
      </c>
      <c r="M616" t="n">
        <v>0</v>
      </c>
      <c r="N616" t="n">
        <v>0</v>
      </c>
      <c r="O616" t="n">
        <v>0</v>
      </c>
      <c r="P616" t="n">
        <v>0</v>
      </c>
      <c r="Q616" t="n">
        <v>0</v>
      </c>
      <c r="R616" s="2" t="inlineStr"/>
    </row>
    <row r="617" ht="15" customHeight="1">
      <c r="A617" t="inlineStr">
        <is>
          <t>A 12209-2024</t>
        </is>
      </c>
      <c r="B617" s="1" t="n">
        <v>45378</v>
      </c>
      <c r="C617" s="1" t="n">
        <v>46111</v>
      </c>
      <c r="D617" t="inlineStr">
        <is>
          <t>GOTLANDS LÄN</t>
        </is>
      </c>
      <c r="E617" t="inlineStr">
        <is>
          <t>GOTLAND</t>
        </is>
      </c>
      <c r="G617" t="n">
        <v>5.3</v>
      </c>
      <c r="H617" t="n">
        <v>0</v>
      </c>
      <c r="I617" t="n">
        <v>0</v>
      </c>
      <c r="J617" t="n">
        <v>0</v>
      </c>
      <c r="K617" t="n">
        <v>0</v>
      </c>
      <c r="L617" t="n">
        <v>0</v>
      </c>
      <c r="M617" t="n">
        <v>0</v>
      </c>
      <c r="N617" t="n">
        <v>0</v>
      </c>
      <c r="O617" t="n">
        <v>0</v>
      </c>
      <c r="P617" t="n">
        <v>0</v>
      </c>
      <c r="Q617" t="n">
        <v>0</v>
      </c>
      <c r="R617" s="2" t="inlineStr"/>
    </row>
    <row r="618" ht="15" customHeight="1">
      <c r="A618" t="inlineStr">
        <is>
          <t>A 12210-2024</t>
        </is>
      </c>
      <c r="B618" s="1" t="n">
        <v>45378</v>
      </c>
      <c r="C618" s="1" t="n">
        <v>46111</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1364-2025</t>
        </is>
      </c>
      <c r="B619" s="1" t="n">
        <v>45667.63929398148</v>
      </c>
      <c r="C619" s="1" t="n">
        <v>46111</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46111</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2180-2025</t>
        </is>
      </c>
      <c r="B621" s="1" t="n">
        <v>45673</v>
      </c>
      <c r="C621" s="1" t="n">
        <v>46111</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15436-2025</t>
        </is>
      </c>
      <c r="B622" s="1" t="n">
        <v>45747.47462962963</v>
      </c>
      <c r="C622" s="1" t="n">
        <v>46111</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49257-2024</t>
        </is>
      </c>
      <c r="B623" s="1" t="n">
        <v>45595.47627314815</v>
      </c>
      <c r="C623" s="1" t="n">
        <v>46111</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37202-2024</t>
        </is>
      </c>
      <c r="B624" s="1" t="n">
        <v>45539.67310185185</v>
      </c>
      <c r="C624" s="1" t="n">
        <v>46111</v>
      </c>
      <c r="D624" t="inlineStr">
        <is>
          <t>GOTLANDS LÄN</t>
        </is>
      </c>
      <c r="E624" t="inlineStr">
        <is>
          <t>GOTLAND</t>
        </is>
      </c>
      <c r="G624" t="n">
        <v>0.3</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46111</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2774-2024</t>
        </is>
      </c>
      <c r="B626" s="1" t="n">
        <v>45314.62375</v>
      </c>
      <c r="C626" s="1" t="n">
        <v>46111</v>
      </c>
      <c r="D626" t="inlineStr">
        <is>
          <t>GOTLANDS LÄN</t>
        </is>
      </c>
      <c r="E626" t="inlineStr">
        <is>
          <t>GOTLAND</t>
        </is>
      </c>
      <c r="G626" t="n">
        <v>1</v>
      </c>
      <c r="H626" t="n">
        <v>0</v>
      </c>
      <c r="I626" t="n">
        <v>0</v>
      </c>
      <c r="J626" t="n">
        <v>0</v>
      </c>
      <c r="K626" t="n">
        <v>0</v>
      </c>
      <c r="L626" t="n">
        <v>0</v>
      </c>
      <c r="M626" t="n">
        <v>0</v>
      </c>
      <c r="N626" t="n">
        <v>0</v>
      </c>
      <c r="O626" t="n">
        <v>0</v>
      </c>
      <c r="P626" t="n">
        <v>0</v>
      </c>
      <c r="Q626" t="n">
        <v>0</v>
      </c>
      <c r="R626" s="2" t="inlineStr"/>
    </row>
    <row r="627" ht="15" customHeight="1">
      <c r="A627" t="inlineStr">
        <is>
          <t>A 60709-2023</t>
        </is>
      </c>
      <c r="B627" s="1" t="n">
        <v>45260</v>
      </c>
      <c r="C627" s="1" t="n">
        <v>46111</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64208-2021</t>
        </is>
      </c>
      <c r="B628" s="1" t="n">
        <v>44510</v>
      </c>
      <c r="C628" s="1" t="n">
        <v>46111</v>
      </c>
      <c r="D628" t="inlineStr">
        <is>
          <t>GOTLANDS LÄN</t>
        </is>
      </c>
      <c r="E628" t="inlineStr">
        <is>
          <t>GOTLAND</t>
        </is>
      </c>
      <c r="G628" t="n">
        <v>4.7</v>
      </c>
      <c r="H628" t="n">
        <v>0</v>
      </c>
      <c r="I628" t="n">
        <v>0</v>
      </c>
      <c r="J628" t="n">
        <v>0</v>
      </c>
      <c r="K628" t="n">
        <v>0</v>
      </c>
      <c r="L628" t="n">
        <v>0</v>
      </c>
      <c r="M628" t="n">
        <v>0</v>
      </c>
      <c r="N628" t="n">
        <v>0</v>
      </c>
      <c r="O628" t="n">
        <v>0</v>
      </c>
      <c r="P628" t="n">
        <v>0</v>
      </c>
      <c r="Q628" t="n">
        <v>0</v>
      </c>
      <c r="R628" s="2" t="inlineStr"/>
    </row>
    <row r="629" ht="15" customHeight="1">
      <c r="A629" t="inlineStr">
        <is>
          <t>A 39764-2022</t>
        </is>
      </c>
      <c r="B629" s="1" t="n">
        <v>44819</v>
      </c>
      <c r="C629" s="1" t="n">
        <v>46111</v>
      </c>
      <c r="D629" t="inlineStr">
        <is>
          <t>GOTLANDS LÄN</t>
        </is>
      </c>
      <c r="E629" t="inlineStr">
        <is>
          <t>GOTLAND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58211-2024</t>
        </is>
      </c>
      <c r="B630" s="1" t="n">
        <v>45632.49292824074</v>
      </c>
      <c r="C630" s="1" t="n">
        <v>46111</v>
      </c>
      <c r="D630" t="inlineStr">
        <is>
          <t>GOTLANDS LÄN</t>
        </is>
      </c>
      <c r="E630" t="inlineStr">
        <is>
          <t>GOTLAND</t>
        </is>
      </c>
      <c r="G630" t="n">
        <v>5.4</v>
      </c>
      <c r="H630" t="n">
        <v>0</v>
      </c>
      <c r="I630" t="n">
        <v>0</v>
      </c>
      <c r="J630" t="n">
        <v>0</v>
      </c>
      <c r="K630" t="n">
        <v>0</v>
      </c>
      <c r="L630" t="n">
        <v>0</v>
      </c>
      <c r="M630" t="n">
        <v>0</v>
      </c>
      <c r="N630" t="n">
        <v>0</v>
      </c>
      <c r="O630" t="n">
        <v>0</v>
      </c>
      <c r="P630" t="n">
        <v>0</v>
      </c>
      <c r="Q630" t="n">
        <v>0</v>
      </c>
      <c r="R630" s="2" t="inlineStr"/>
    </row>
    <row r="631" ht="15" customHeight="1">
      <c r="A631" t="inlineStr">
        <is>
          <t>A 30956-2024</t>
        </is>
      </c>
      <c r="B631" s="1" t="n">
        <v>45499.42527777778</v>
      </c>
      <c r="C631" s="1" t="n">
        <v>46111</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30892-2024</t>
        </is>
      </c>
      <c r="B632" s="1" t="n">
        <v>45491</v>
      </c>
      <c r="C632" s="1" t="n">
        <v>46111</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14635-2023</t>
        </is>
      </c>
      <c r="B633" s="1" t="n">
        <v>45013.69365740741</v>
      </c>
      <c r="C633" s="1" t="n">
        <v>46111</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59469-2024</t>
        </is>
      </c>
      <c r="B634" s="1" t="n">
        <v>45638</v>
      </c>
      <c r="C634" s="1" t="n">
        <v>46111</v>
      </c>
      <c r="D634" t="inlineStr">
        <is>
          <t>GOTLANDS LÄN</t>
        </is>
      </c>
      <c r="E634" t="inlineStr">
        <is>
          <t>GOTLAND</t>
        </is>
      </c>
      <c r="G634" t="n">
        <v>0.4</v>
      </c>
      <c r="H634" t="n">
        <v>0</v>
      </c>
      <c r="I634" t="n">
        <v>0</v>
      </c>
      <c r="J634" t="n">
        <v>0</v>
      </c>
      <c r="K634" t="n">
        <v>0</v>
      </c>
      <c r="L634" t="n">
        <v>0</v>
      </c>
      <c r="M634" t="n">
        <v>0</v>
      </c>
      <c r="N634" t="n">
        <v>0</v>
      </c>
      <c r="O634" t="n">
        <v>0</v>
      </c>
      <c r="P634" t="n">
        <v>0</v>
      </c>
      <c r="Q634" t="n">
        <v>0</v>
      </c>
      <c r="R634" s="2" t="inlineStr"/>
    </row>
    <row r="635" ht="15" customHeight="1">
      <c r="A635" t="inlineStr">
        <is>
          <t>A 7858-2025</t>
        </is>
      </c>
      <c r="B635" s="1" t="n">
        <v>45706.68633101852</v>
      </c>
      <c r="C635" s="1" t="n">
        <v>46111</v>
      </c>
      <c r="D635" t="inlineStr">
        <is>
          <t>GOTLANDS LÄN</t>
        </is>
      </c>
      <c r="E635" t="inlineStr">
        <is>
          <t>GOTLAND</t>
        </is>
      </c>
      <c r="G635" t="n">
        <v>3</v>
      </c>
      <c r="H635" t="n">
        <v>0</v>
      </c>
      <c r="I635" t="n">
        <v>0</v>
      </c>
      <c r="J635" t="n">
        <v>0</v>
      </c>
      <c r="K635" t="n">
        <v>0</v>
      </c>
      <c r="L635" t="n">
        <v>0</v>
      </c>
      <c r="M635" t="n">
        <v>0</v>
      </c>
      <c r="N635" t="n">
        <v>0</v>
      </c>
      <c r="O635" t="n">
        <v>0</v>
      </c>
      <c r="P635" t="n">
        <v>0</v>
      </c>
      <c r="Q635" t="n">
        <v>0</v>
      </c>
      <c r="R635" s="2" t="inlineStr"/>
    </row>
    <row r="636" ht="15" customHeight="1">
      <c r="A636" t="inlineStr">
        <is>
          <t>A 53935-2024</t>
        </is>
      </c>
      <c r="B636" s="1" t="n">
        <v>45615</v>
      </c>
      <c r="C636" s="1" t="n">
        <v>46111</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18223-2025</t>
        </is>
      </c>
      <c r="B637" s="1" t="n">
        <v>45761</v>
      </c>
      <c r="C637" s="1" t="n">
        <v>46111</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4420-2025</t>
        </is>
      </c>
      <c r="B638" s="1" t="n">
        <v>45686.47157407407</v>
      </c>
      <c r="C638" s="1" t="n">
        <v>46111</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row r="639" ht="15" customHeight="1">
      <c r="A639" t="inlineStr">
        <is>
          <t>A 5891-2025</t>
        </is>
      </c>
      <c r="B639" s="1" t="n">
        <v>45695.38327546296</v>
      </c>
      <c r="C639" s="1" t="n">
        <v>46111</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7835-2024</t>
        </is>
      </c>
      <c r="B640" s="1" t="n">
        <v>45349.83138888889</v>
      </c>
      <c r="C640" s="1" t="n">
        <v>46111</v>
      </c>
      <c r="D640" t="inlineStr">
        <is>
          <t>GOTLANDS LÄN</t>
        </is>
      </c>
      <c r="E640" t="inlineStr">
        <is>
          <t>GOTLAND</t>
        </is>
      </c>
      <c r="G640" t="n">
        <v>3.8</v>
      </c>
      <c r="H640" t="n">
        <v>0</v>
      </c>
      <c r="I640" t="n">
        <v>0</v>
      </c>
      <c r="J640" t="n">
        <v>0</v>
      </c>
      <c r="K640" t="n">
        <v>0</v>
      </c>
      <c r="L640" t="n">
        <v>0</v>
      </c>
      <c r="M640" t="n">
        <v>0</v>
      </c>
      <c r="N640" t="n">
        <v>0</v>
      </c>
      <c r="O640" t="n">
        <v>0</v>
      </c>
      <c r="P640" t="n">
        <v>0</v>
      </c>
      <c r="Q640" t="n">
        <v>0</v>
      </c>
      <c r="R640" s="2" t="inlineStr"/>
    </row>
    <row r="641" ht="15" customHeight="1">
      <c r="A641" t="inlineStr">
        <is>
          <t>A 20794-2025</t>
        </is>
      </c>
      <c r="B641" s="1" t="n">
        <v>45776</v>
      </c>
      <c r="C641" s="1" t="n">
        <v>46111</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20805-2025</t>
        </is>
      </c>
      <c r="B642" s="1" t="n">
        <v>45776</v>
      </c>
      <c r="C642" s="1" t="n">
        <v>46111</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21389-2025</t>
        </is>
      </c>
      <c r="B643" s="1" t="n">
        <v>45782</v>
      </c>
      <c r="C643" s="1" t="n">
        <v>46111</v>
      </c>
      <c r="D643" t="inlineStr">
        <is>
          <t>GOTLANDS LÄN</t>
        </is>
      </c>
      <c r="E643" t="inlineStr">
        <is>
          <t>GOTLAND</t>
        </is>
      </c>
      <c r="G643" t="n">
        <v>4.1</v>
      </c>
      <c r="H643" t="n">
        <v>0</v>
      </c>
      <c r="I643" t="n">
        <v>0</v>
      </c>
      <c r="J643" t="n">
        <v>0</v>
      </c>
      <c r="K643" t="n">
        <v>0</v>
      </c>
      <c r="L643" t="n">
        <v>0</v>
      </c>
      <c r="M643" t="n">
        <v>0</v>
      </c>
      <c r="N643" t="n">
        <v>0</v>
      </c>
      <c r="O643" t="n">
        <v>0</v>
      </c>
      <c r="P643" t="n">
        <v>0</v>
      </c>
      <c r="Q643" t="n">
        <v>0</v>
      </c>
      <c r="R643" s="2" t="inlineStr"/>
    </row>
    <row r="644">
      <c r="A644" t="inlineStr">
        <is>
          <t>A 21651-2025</t>
        </is>
      </c>
      <c r="B644" s="1" t="n">
        <v>45783</v>
      </c>
      <c r="C644" s="1" t="n">
        <v>46111</v>
      </c>
      <c r="D644" t="inlineStr">
        <is>
          <t>GOTLANDS LÄN</t>
        </is>
      </c>
      <c r="E644" t="inlineStr">
        <is>
          <t>GOTLAND</t>
        </is>
      </c>
      <c r="G644" t="n">
        <v>4.2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2026-03-30T10:46:04Z</dcterms:created>
  <dcterms:modified xmlns:dcterms="http://purl.org/dc/terms/" xmlns:xsi="http://www.w3.org/2001/XMLSchema-instance" xsi:type="dcterms:W3CDTF">2026-03-30T10:46:04Z</dcterms:modified>
</cp:coreProperties>
</file>