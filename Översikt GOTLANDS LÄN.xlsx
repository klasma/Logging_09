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45505</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45505</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45505</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45505</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45505</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45505</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45505</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45505</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45505</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45505</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45505</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45505</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45505</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45505</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45505</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45505</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45505</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45505</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45505</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45505</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45505</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45505</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45505</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45505</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45505</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45505</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45505</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45505</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45505</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45505</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45505</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45505</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45505</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45505</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45505</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45505</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45505</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45505</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45505</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45505</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45505</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45505</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45505</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45505</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45505</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45505</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45505</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45505</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45505</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45505</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45505</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45505</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45505</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45505</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45505</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45505</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45505</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45505</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45505</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45505</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45505</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45505</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45505</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45505</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45505</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45505</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45505</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45505</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45505</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45505</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45505</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45505</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45505</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45505</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45505</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45505</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45505</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45505</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45505</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45505</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45505</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45505</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45505</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45505</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45505</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45505</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45505</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45505</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45505</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45505</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45505</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45505</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45505</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45505</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45505</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45505</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45505</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45505</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45505</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45505</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45505</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45505</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45505</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45505</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45505</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45505</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45505</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45505</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45505</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45505</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45505</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45505</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45505</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45505</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45505</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45505</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45505</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45505</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45505</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45505</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45505</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45505</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45505</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45505</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45505</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45505</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45505</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45505</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45505</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45505</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45505</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45505</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45505</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45505</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45505</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45505</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45505</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45505</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45505</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45505</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45505</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45505</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45505</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28276-2024</t>
        </is>
      </c>
      <c r="B155" s="1" t="n">
        <v>45477</v>
      </c>
      <c r="C155" s="1" t="n">
        <v>45505</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28276-2024 artfynd.xlsx", "A 28276-2024")</f>
        <v/>
      </c>
      <c r="T155">
        <f>HYPERLINK("https://klasma.github.io/Logging_0980/kartor/A 28276-2024 karta.png", "A 28276-2024")</f>
        <v/>
      </c>
      <c r="V155">
        <f>HYPERLINK("https://klasma.github.io/Logging_0980/klagomål/A 28276-2024 FSC-klagomål.docx", "A 28276-2024")</f>
        <v/>
      </c>
      <c r="W155">
        <f>HYPERLINK("https://klasma.github.io/Logging_0980/klagomålsmail/A 28276-2024 FSC-klagomål mail.docx", "A 28276-2024")</f>
        <v/>
      </c>
      <c r="X155">
        <f>HYPERLINK("https://klasma.github.io/Logging_0980/tillsyn/A 28276-2024 tillsynsbegäran.docx", "A 28276-2024")</f>
        <v/>
      </c>
      <c r="Y155">
        <f>HYPERLINK("https://klasma.github.io/Logging_0980/tillsynsmail/A 28276-2024 tillsynsbegäran mail.docx", "A 28276-2024")</f>
        <v/>
      </c>
    </row>
    <row r="156" ht="15" customHeight="1">
      <c r="A156" t="inlineStr">
        <is>
          <t>A 28261-2024</t>
        </is>
      </c>
      <c r="B156" s="1" t="n">
        <v>45477</v>
      </c>
      <c r="C156" s="1" t="n">
        <v>45505</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28261-2024 artfynd.xlsx", "A 28261-2024")</f>
        <v/>
      </c>
      <c r="T156">
        <f>HYPERLINK("https://klasma.github.io/Logging_0980/kartor/A 28261-2024 karta.png", "A 28261-2024")</f>
        <v/>
      </c>
      <c r="V156">
        <f>HYPERLINK("https://klasma.github.io/Logging_0980/klagomål/A 28261-2024 FSC-klagomål.docx", "A 28261-2024")</f>
        <v/>
      </c>
      <c r="W156">
        <f>HYPERLINK("https://klasma.github.io/Logging_0980/klagomålsmail/A 28261-2024 FSC-klagomål mail.docx", "A 28261-2024")</f>
        <v/>
      </c>
      <c r="X156">
        <f>HYPERLINK("https://klasma.github.io/Logging_0980/tillsyn/A 28261-2024 tillsynsbegäran.docx", "A 28261-2024")</f>
        <v/>
      </c>
      <c r="Y156">
        <f>HYPERLINK("https://klasma.github.io/Logging_0980/tillsynsmail/A 28261-2024 tillsynsbegäran mail.docx", "A 28261-2024")</f>
        <v/>
      </c>
    </row>
    <row r="157" ht="15" customHeight="1">
      <c r="A157" t="inlineStr">
        <is>
          <t>A 18223-2019</t>
        </is>
      </c>
      <c r="B157" s="1" t="n">
        <v>43558</v>
      </c>
      <c r="C157" s="1" t="n">
        <v>45505</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45505</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45505</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45505</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45505</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45505</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45505</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45505</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45505</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45505</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45505</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45505</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45505</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45505</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45505</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45505</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45505</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45505</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45505</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45505</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45505</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45505</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45505</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45505</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45505</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45505</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45505</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45505</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45505</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45505</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45505</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45505</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45505</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45505</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45505</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45505</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45505</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45505</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45505</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45505</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45505</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45505</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45505</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45505</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45505</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45505</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45505</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45505</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45505</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45505</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45505</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45505</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45505</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45505</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45505</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45505</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45505</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45505</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45505</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45505</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45505</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45505</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45505</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45505</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45505</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45505</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45505</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45505</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45505</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45505</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45505</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45505</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45505</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45505</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45505</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45505</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45505</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45505</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45505</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45505</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45505</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45505</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45505</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45505</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45505</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45505</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45505</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45505</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45505</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45505</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45505</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45505</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45505</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45505</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45505</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45505</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45505</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45505</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45505</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45505</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45505</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45505</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45505</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45505</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45505</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45505</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45505</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45505</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45505</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45505</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45505</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45505</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45505</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45505</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45505</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45505</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45505</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45505</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45505</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45505</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45505</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45505</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45505</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45505</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45505</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45505</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45505</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45505</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45505</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45505</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45505</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45505</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45505</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45505</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45505</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45505</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45505</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45505</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45505</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45505</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45505</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45505</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45505</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45505</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45505</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45505</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45505</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45505</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45505</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45505</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45505</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45505</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45505</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45505</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45505</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45505</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45505</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45505</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45505</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45505</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45505</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45505</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45505</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45505</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45505</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45505</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45505</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45505</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45505</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45505</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45505</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45505</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45505</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45505</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45505</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45505</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45505</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45505</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45505</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45505</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45505</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45505</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45505</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45505</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45505</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45505</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45505</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45505</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45505</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45505</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45505</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45505</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45505</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45505</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45505</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45505</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45505</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45505</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45505</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45505</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45505</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45505</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45505</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45505</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45505</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45505</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45505</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45505</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45505</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45505</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45505</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45505</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45505</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45505</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45505</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45505</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45505</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45505</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45505</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45505</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45505</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45505</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45505</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45505</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45505</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45505</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45505</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45505</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45505</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45505</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45505</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45505</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45505</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45505</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45505</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45505</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45505</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45505</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45505</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45505</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45505</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45505</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45505</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45505</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45505</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45505</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45505</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45505</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45505</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45505</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45505</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45505</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45505</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45505</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45505</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45505</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45505</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45505</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45505</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45505</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45505</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45505</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45505</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45505</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45505</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45505</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45505</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45505</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45505</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45505</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45505</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45505</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45505</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45505</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45505</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45505</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45505</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45505</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45505</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45505</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45505</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45505</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45505</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45505</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45505</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45505</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45505</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45505</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45505</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45505</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45505</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45505</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45505</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45505</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45505</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45505</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45505</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45505</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45505</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45505</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45505</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45505</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45505</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45505</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45505</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45505</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45505</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45505</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45505</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45505</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45505</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45505</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45505</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45505</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45505</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45505</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45505</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45505</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45505</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45505</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45505</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45505</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45505</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45505</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45505</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45505</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45505</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45505</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45505</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45505</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45505</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45505</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45505</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45505</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45505</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45505</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45505</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45505</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45505</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45505</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45505</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45505</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45505</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45505</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45505</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45505</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45505</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45505</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45505</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45505</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45505</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45505</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45505</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45505</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45505</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45505</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45505</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45505</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45505</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45505</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45505</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45505</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45505</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45505</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45505</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45505</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45505</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45505</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45505</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45505</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45505</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45505</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45505</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45505</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45505</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45505</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45505</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45505</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45505</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45505</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45505</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45505</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45505</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45505</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45505</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45505</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45505</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45505</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45505</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45505</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45505</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45505</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45505</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45505</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45505</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45505</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45505</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45505</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45505</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45505</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45505</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45505</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45505</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45505</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45505</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45505</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45505</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45505</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45505</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45505</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45505</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45505</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45505</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45505</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45505</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45505</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45505</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45505</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45505</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45505</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45505</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45505</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45505</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45505</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45505</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45505</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45505</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45505</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45505</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45505</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45505</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45505</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45505</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45505</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45505</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45505</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45505</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45505</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45505</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45505</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45505</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45505</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45505</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45505</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45505</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45505</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45505</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45505</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45505</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45505</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45505</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45505</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45505</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45505</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45505</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45505</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45505</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45505</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45505</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45505</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45505</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45505</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45505</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45505</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45505</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45505</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45505</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45505</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45505</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45505</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45505</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45505</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45505</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45505</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45505</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45505</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45505</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45505</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45505</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45505</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45505</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45505</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45505</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45505</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45505</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45505</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45505</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45505</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45505</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45505</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45505</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45505</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45505</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45505</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45505</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45505</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45505</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45505</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45505</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45505</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45505</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45505</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45505</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45505</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45505</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45505</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45505</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45505</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45505</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45505</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45505</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45505</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45505</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45505</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45505</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45505</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45505</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45505</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45505</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45505</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45505</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45505</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45505</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45505</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45505</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45505</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45505</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45505</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45505</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45505</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45505</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45505</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45505</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45505</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45505</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45505</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45505</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45505</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45505</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45505</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45505</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45505</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45505</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45505</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45505</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45505</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45505</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45505</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45505</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45505</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45505</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45505</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45505</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45505</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45505</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45505</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45505</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45505</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45505</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45505</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45505</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45505</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45505</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45505</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45505</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45505</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45505</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45505</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45505</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45505</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45505</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45505</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45505</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45505</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45505</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45505</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45505</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45505</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45505</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45505</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45505</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45505</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45505</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45505</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45505</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45505</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45505</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45505</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45505</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45505</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45505</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45505</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45505</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45505</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45505</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45505</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45505</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45505</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45505</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45505</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45505</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45505</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45505</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45505</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45505</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45505</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45505</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45505</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45505</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45505</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45505</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45505</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45505</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45505</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45505</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45505</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45505</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45505</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45505</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45505</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45505</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45505</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45505</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45505</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45505</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45505</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45505</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45505</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45505</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45505</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45505</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45505</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45505</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45505</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45505</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45505</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45505</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45505</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45505</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45505</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45505</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45505</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45505</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45505</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45505</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45505</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45505</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45505</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45505</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45505</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45505</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45505</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45505</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45505</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45505</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30595-2024</t>
        </is>
      </c>
      <c r="B839" s="1" t="n">
        <v>45493</v>
      </c>
      <c r="C839" s="1" t="n">
        <v>45505</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45505</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30596-2024</t>
        </is>
      </c>
      <c r="B841" s="1" t="n">
        <v>45493</v>
      </c>
      <c r="C841" s="1" t="n">
        <v>45505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30956-2024</t>
        </is>
      </c>
      <c r="B842" s="1" t="n">
        <v>45499</v>
      </c>
      <c r="C842" s="1" t="n">
        <v>45505</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c r="A843" t="inlineStr">
        <is>
          <t>A 30954-2024</t>
        </is>
      </c>
      <c r="B843" s="1" t="n">
        <v>45499</v>
      </c>
      <c r="C843" s="1" t="n">
        <v>45505</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2024-08-01T10:45:14Z</dcterms:created>
  <dcterms:modified xmlns:dcterms="http://purl.org/dc/terms/" xmlns:xsi="http://www.w3.org/2001/XMLSchema-instance" xsi:type="dcterms:W3CDTF">2024-08-01T10:45:15Z</dcterms:modified>
</cp:coreProperties>
</file>