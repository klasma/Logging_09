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45579</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45579</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9064-2024</t>
        </is>
      </c>
      <c r="B5" s="1" t="n">
        <v>45357</v>
      </c>
      <c r="C5" s="1" t="n">
        <v>45579</v>
      </c>
      <c r="D5" t="inlineStr">
        <is>
          <t>GOTLANDS LÄN</t>
        </is>
      </c>
      <c r="E5" t="inlineStr">
        <is>
          <t>GOTLAND</t>
        </is>
      </c>
      <c r="G5" t="n">
        <v>21.5</v>
      </c>
      <c r="H5" t="n">
        <v>5</v>
      </c>
      <c r="I5" t="n">
        <v>12</v>
      </c>
      <c r="J5" t="n">
        <v>7</v>
      </c>
      <c r="K5" t="n">
        <v>7</v>
      </c>
      <c r="L5" t="n">
        <v>0</v>
      </c>
      <c r="M5" t="n">
        <v>0</v>
      </c>
      <c r="N5" t="n">
        <v>0</v>
      </c>
      <c r="O5" t="n">
        <v>15</v>
      </c>
      <c r="P5" t="n">
        <v>7</v>
      </c>
      <c r="Q5" t="n">
        <v>29</v>
      </c>
      <c r="R5"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Skogsknipprot
Skogsduva
Sankt pers nycklar</t>
        </is>
      </c>
      <c r="S5">
        <f>HYPERLINK("https://klasma.github.io/Logging_0980/artfynd/A 9064-2024 artfynd.xlsx", "A 9064-2024")</f>
        <v/>
      </c>
      <c r="T5">
        <f>HYPERLINK("https://klasma.github.io/Logging_0980/kartor/A 9064-2024 karta.png", "A 9064-2024")</f>
        <v/>
      </c>
      <c r="V5">
        <f>HYPERLINK("https://klasma.github.io/Logging_0980/klagomål/A 9064-2024 FSC-klagomål.docx", "A 9064-2024")</f>
        <v/>
      </c>
      <c r="W5">
        <f>HYPERLINK("https://klasma.github.io/Logging_0980/klagomålsmail/A 9064-2024 FSC-klagomål mail.docx", "A 9064-2024")</f>
        <v/>
      </c>
      <c r="X5">
        <f>HYPERLINK("https://klasma.github.io/Logging_0980/tillsyn/A 9064-2024 tillsynsbegäran.docx", "A 9064-2024")</f>
        <v/>
      </c>
      <c r="Y5">
        <f>HYPERLINK("https://klasma.github.io/Logging_0980/tillsynsmail/A 9064-2024 tillsynsbegäran mail.docx", "A 9064-2024")</f>
        <v/>
      </c>
      <c r="Z5">
        <f>HYPERLINK("https://klasma.github.io/Logging_0980/fåglar/A 9064-2024 prioriterade fågelarter.docx", "A 9064-2024")</f>
        <v/>
      </c>
    </row>
    <row r="6" ht="15" customHeight="1">
      <c r="A6" t="inlineStr">
        <is>
          <t>A 1836-2023</t>
        </is>
      </c>
      <c r="B6" s="1" t="n">
        <v>44938</v>
      </c>
      <c r="C6" s="1" t="n">
        <v>45579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1702-2023</t>
        </is>
      </c>
      <c r="B7" s="1" t="n">
        <v>44938</v>
      </c>
      <c r="C7" s="1" t="n">
        <v>45579</v>
      </c>
      <c r="D7" t="inlineStr">
        <is>
          <t>GOTLANDS LÄN</t>
        </is>
      </c>
      <c r="E7" t="inlineStr">
        <is>
          <t>GOTLAND</t>
        </is>
      </c>
      <c r="G7" t="n">
        <v>3.7</v>
      </c>
      <c r="H7" t="n">
        <v>3</v>
      </c>
      <c r="I7" t="n">
        <v>9</v>
      </c>
      <c r="J7" t="n">
        <v>3</v>
      </c>
      <c r="K7" t="n">
        <v>3</v>
      </c>
      <c r="L7" t="n">
        <v>0</v>
      </c>
      <c r="M7" t="n">
        <v>0</v>
      </c>
      <c r="N7" t="n">
        <v>0</v>
      </c>
      <c r="O7" t="n">
        <v>6</v>
      </c>
      <c r="P7" t="n">
        <v>3</v>
      </c>
      <c r="Q7" t="n">
        <v>18</v>
      </c>
      <c r="R7"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7">
        <f>HYPERLINK("https://klasma.github.io/Logging_0980/artfynd/A 1702-2023 artfynd.xlsx", "A 1702-2023")</f>
        <v/>
      </c>
      <c r="T7">
        <f>HYPERLINK("https://klasma.github.io/Logging_0980/kartor/A 1702-2023 karta.png", "A 1702-2023")</f>
        <v/>
      </c>
      <c r="V7">
        <f>HYPERLINK("https://klasma.github.io/Logging_0980/klagomål/A 1702-2023 FSC-klagomål.docx", "A 1702-2023")</f>
        <v/>
      </c>
      <c r="W7">
        <f>HYPERLINK("https://klasma.github.io/Logging_0980/klagomålsmail/A 1702-2023 FSC-klagomål mail.docx", "A 1702-2023")</f>
        <v/>
      </c>
      <c r="X7">
        <f>HYPERLINK("https://klasma.github.io/Logging_0980/tillsyn/A 1702-2023 tillsynsbegäran.docx", "A 1702-2023")</f>
        <v/>
      </c>
      <c r="Y7">
        <f>HYPERLINK("https://klasma.github.io/Logging_0980/tillsynsmail/A 1702-2023 tillsynsbegäran mail.docx", "A 1702-2023")</f>
        <v/>
      </c>
    </row>
    <row r="8" ht="15" customHeight="1">
      <c r="A8" t="inlineStr">
        <is>
          <t>A 530-2024</t>
        </is>
      </c>
      <c r="B8" s="1" t="n">
        <v>45299</v>
      </c>
      <c r="C8" s="1" t="n">
        <v>45579</v>
      </c>
      <c r="D8" t="inlineStr">
        <is>
          <t>GOTLANDS LÄN</t>
        </is>
      </c>
      <c r="E8" t="inlineStr">
        <is>
          <t>GOTLAND</t>
        </is>
      </c>
      <c r="G8" t="n">
        <v>6.5</v>
      </c>
      <c r="H8" t="n">
        <v>7</v>
      </c>
      <c r="I8" t="n">
        <v>6</v>
      </c>
      <c r="J8" t="n">
        <v>3</v>
      </c>
      <c r="K8" t="n">
        <v>3</v>
      </c>
      <c r="L8" t="n">
        <v>1</v>
      </c>
      <c r="M8" t="n">
        <v>0</v>
      </c>
      <c r="N8" t="n">
        <v>0</v>
      </c>
      <c r="O8" t="n">
        <v>7</v>
      </c>
      <c r="P8" t="n">
        <v>4</v>
      </c>
      <c r="Q8" t="n">
        <v>18</v>
      </c>
      <c r="R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8">
        <f>HYPERLINK("https://klasma.github.io/Logging_0980/artfynd/A 530-2024 artfynd.xlsx", "A 530-2024")</f>
        <v/>
      </c>
      <c r="T8">
        <f>HYPERLINK("https://klasma.github.io/Logging_0980/kartor/A 530-2024 karta.png", "A 530-2024")</f>
        <v/>
      </c>
      <c r="V8">
        <f>HYPERLINK("https://klasma.github.io/Logging_0980/klagomål/A 530-2024 FSC-klagomål.docx", "A 530-2024")</f>
        <v/>
      </c>
      <c r="W8">
        <f>HYPERLINK("https://klasma.github.io/Logging_0980/klagomålsmail/A 530-2024 FSC-klagomål mail.docx", "A 530-2024")</f>
        <v/>
      </c>
      <c r="X8">
        <f>HYPERLINK("https://klasma.github.io/Logging_0980/tillsyn/A 530-2024 tillsynsbegäran.docx", "A 530-2024")</f>
        <v/>
      </c>
      <c r="Y8">
        <f>HYPERLINK("https://klasma.github.io/Logging_0980/tillsynsmail/A 530-2024 tillsynsbegäran mail.docx", "A 530-2024")</f>
        <v/>
      </c>
      <c r="Z8">
        <f>HYPERLINK("https://klasma.github.io/Logging_0980/fåglar/A 530-2024 prioriterade fågelarter.docx", "A 530-2024")</f>
        <v/>
      </c>
    </row>
    <row r="9" ht="15" customHeight="1">
      <c r="A9" t="inlineStr">
        <is>
          <t>A 62551-2022</t>
        </is>
      </c>
      <c r="B9" s="1" t="n">
        <v>44924</v>
      </c>
      <c r="C9" s="1" t="n">
        <v>45579</v>
      </c>
      <c r="D9" t="inlineStr">
        <is>
          <t>GOTLANDS LÄN</t>
        </is>
      </c>
      <c r="E9" t="inlineStr">
        <is>
          <t>GOTLAND</t>
        </is>
      </c>
      <c r="G9" t="n">
        <v>7.9</v>
      </c>
      <c r="H9" t="n">
        <v>2</v>
      </c>
      <c r="I9" t="n">
        <v>9</v>
      </c>
      <c r="J9" t="n">
        <v>5</v>
      </c>
      <c r="K9" t="n">
        <v>2</v>
      </c>
      <c r="L9" t="n">
        <v>0</v>
      </c>
      <c r="M9" t="n">
        <v>0</v>
      </c>
      <c r="N9" t="n">
        <v>0</v>
      </c>
      <c r="O9" t="n">
        <v>7</v>
      </c>
      <c r="P9" t="n">
        <v>2</v>
      </c>
      <c r="Q9" t="n">
        <v>17</v>
      </c>
      <c r="R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9">
        <f>HYPERLINK("https://klasma.github.io/Logging_0980/artfynd/A 62551-2022 artfynd.xlsx", "A 62551-2022")</f>
        <v/>
      </c>
      <c r="T9">
        <f>HYPERLINK("https://klasma.github.io/Logging_0980/kartor/A 62551-2022 karta.png", "A 62551-2022")</f>
        <v/>
      </c>
      <c r="V9">
        <f>HYPERLINK("https://klasma.github.io/Logging_0980/klagomål/A 62551-2022 FSC-klagomål.docx", "A 62551-2022")</f>
        <v/>
      </c>
      <c r="W9">
        <f>HYPERLINK("https://klasma.github.io/Logging_0980/klagomålsmail/A 62551-2022 FSC-klagomål mail.docx", "A 62551-2022")</f>
        <v/>
      </c>
      <c r="X9">
        <f>HYPERLINK("https://klasma.github.io/Logging_0980/tillsyn/A 62551-2022 tillsynsbegäran.docx", "A 62551-2022")</f>
        <v/>
      </c>
      <c r="Y9">
        <f>HYPERLINK("https://klasma.github.io/Logging_0980/tillsynsmail/A 62551-2022 tillsynsbegäran mail.docx", "A 62551-2022")</f>
        <v/>
      </c>
    </row>
    <row r="10" ht="15" customHeight="1">
      <c r="A10" t="inlineStr">
        <is>
          <t>A 1684-2023</t>
        </is>
      </c>
      <c r="B10" s="1" t="n">
        <v>44938</v>
      </c>
      <c r="C10" s="1" t="n">
        <v>45579</v>
      </c>
      <c r="D10" t="inlineStr">
        <is>
          <t>GOTLANDS LÄN</t>
        </is>
      </c>
      <c r="E10" t="inlineStr">
        <is>
          <t>GOTLAND</t>
        </is>
      </c>
      <c r="G10" t="n">
        <v>23.3</v>
      </c>
      <c r="H10" t="n">
        <v>2</v>
      </c>
      <c r="I10" t="n">
        <v>8</v>
      </c>
      <c r="J10" t="n">
        <v>3</v>
      </c>
      <c r="K10" t="n">
        <v>1</v>
      </c>
      <c r="L10" t="n">
        <v>1</v>
      </c>
      <c r="M10" t="n">
        <v>2</v>
      </c>
      <c r="N10" t="n">
        <v>0</v>
      </c>
      <c r="O10" t="n">
        <v>7</v>
      </c>
      <c r="P10" t="n">
        <v>4</v>
      </c>
      <c r="Q10" t="n">
        <v>17</v>
      </c>
      <c r="R10" s="2" t="inlineStr">
        <is>
          <t>Cinnoberfläck
Frostfläck
Ädellav
Mörk kraterlav
Loppstarr
Mjölmusseron
Odörspindling
Anisspindling
Besk kastanjemusseron
Havstulpanlav
Kattfotslav
Korallblylav
Murgröna
Rikfruktig blemlav
Västlig hakmossa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row>
    <row r="11" ht="15" customHeight="1">
      <c r="A11" t="inlineStr">
        <is>
          <t>A 61664-2023</t>
        </is>
      </c>
      <c r="B11" s="1" t="n">
        <v>45265</v>
      </c>
      <c r="C11" s="1" t="n">
        <v>45579</v>
      </c>
      <c r="D11" t="inlineStr">
        <is>
          <t>GOTLANDS LÄN</t>
        </is>
      </c>
      <c r="E11" t="inlineStr">
        <is>
          <t>GOTLAND</t>
        </is>
      </c>
      <c r="G11" t="n">
        <v>13.3</v>
      </c>
      <c r="H11" t="n">
        <v>1</v>
      </c>
      <c r="I11" t="n">
        <v>7</v>
      </c>
      <c r="J11" t="n">
        <v>1</v>
      </c>
      <c r="K11" t="n">
        <v>7</v>
      </c>
      <c r="L11" t="n">
        <v>0</v>
      </c>
      <c r="M11" t="n">
        <v>0</v>
      </c>
      <c r="N11" t="n">
        <v>0</v>
      </c>
      <c r="O11" t="n">
        <v>8</v>
      </c>
      <c r="P11" t="n">
        <v>7</v>
      </c>
      <c r="Q11" t="n">
        <v>16</v>
      </c>
      <c r="R11"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row>
    <row r="12" ht="15" customHeight="1">
      <c r="A12" t="inlineStr">
        <is>
          <t>A 58474-2022</t>
        </is>
      </c>
      <c r="B12" s="1" t="n">
        <v>44902</v>
      </c>
      <c r="C12" s="1" t="n">
        <v>45579</v>
      </c>
      <c r="D12" t="inlineStr">
        <is>
          <t>GOTLANDS LÄN</t>
        </is>
      </c>
      <c r="E12" t="inlineStr">
        <is>
          <t>GOTLAND</t>
        </is>
      </c>
      <c r="G12" t="n">
        <v>10.3</v>
      </c>
      <c r="H12" t="n">
        <v>1</v>
      </c>
      <c r="I12" t="n">
        <v>9</v>
      </c>
      <c r="J12" t="n">
        <v>2</v>
      </c>
      <c r="K12" t="n">
        <v>2</v>
      </c>
      <c r="L12" t="n">
        <v>1</v>
      </c>
      <c r="M12" t="n">
        <v>0</v>
      </c>
      <c r="N12" t="n">
        <v>0</v>
      </c>
      <c r="O12" t="n">
        <v>5</v>
      </c>
      <c r="P12" t="n">
        <v>3</v>
      </c>
      <c r="Q12" t="n">
        <v>15</v>
      </c>
      <c r="R12" s="2" t="inlineStr">
        <is>
          <t>Ädellav
Mörk kraterlav
Skogskorn
Flattoppad klubbsvamp
Odörspindling
Anisspindling
Diskvaxskivling
Havstulpanlav
Murgröna
Rikfruktig blemlav
Rödgul trumpetsvamp
Skuggsprötmossa
Svavelriska
Västlig hakmossa
Fläcknycklar</t>
        </is>
      </c>
      <c r="S12">
        <f>HYPERLINK("https://klasma.github.io/Logging_0980/artfynd/A 58474-2022 artfynd.xlsx", "A 58474-2022")</f>
        <v/>
      </c>
      <c r="T12">
        <f>HYPERLINK("https://klasma.github.io/Logging_0980/kartor/A 58474-2022 karta.png", "A 58474-2022")</f>
        <v/>
      </c>
      <c r="V12">
        <f>HYPERLINK("https://klasma.github.io/Logging_0980/klagomål/A 58474-2022 FSC-klagomål.docx", "A 58474-2022")</f>
        <v/>
      </c>
      <c r="W12">
        <f>HYPERLINK("https://klasma.github.io/Logging_0980/klagomålsmail/A 58474-2022 FSC-klagomål mail.docx", "A 58474-2022")</f>
        <v/>
      </c>
      <c r="X12">
        <f>HYPERLINK("https://klasma.github.io/Logging_0980/tillsyn/A 58474-2022 tillsynsbegäran.docx", "A 58474-2022")</f>
        <v/>
      </c>
      <c r="Y12">
        <f>HYPERLINK("https://klasma.github.io/Logging_0980/tillsynsmail/A 58474-2022 tillsynsbegäran mail.docx", "A 58474-2022")</f>
        <v/>
      </c>
    </row>
    <row r="13" ht="15" customHeight="1">
      <c r="A13" t="inlineStr">
        <is>
          <t>A 24202-2023</t>
        </is>
      </c>
      <c r="B13" s="1" t="n">
        <v>45079</v>
      </c>
      <c r="C13" s="1" t="n">
        <v>45579</v>
      </c>
      <c r="D13" t="inlineStr">
        <is>
          <t>GOTLANDS LÄN</t>
        </is>
      </c>
      <c r="E13" t="inlineStr">
        <is>
          <t>GOTLAND</t>
        </is>
      </c>
      <c r="G13" t="n">
        <v>2.5</v>
      </c>
      <c r="H13" t="n">
        <v>0</v>
      </c>
      <c r="I13" t="n">
        <v>10</v>
      </c>
      <c r="J13" t="n">
        <v>2</v>
      </c>
      <c r="K13" t="n">
        <v>3</v>
      </c>
      <c r="L13" t="n">
        <v>0</v>
      </c>
      <c r="M13" t="n">
        <v>0</v>
      </c>
      <c r="N13" t="n">
        <v>0</v>
      </c>
      <c r="O13" t="n">
        <v>5</v>
      </c>
      <c r="P13" t="n">
        <v>3</v>
      </c>
      <c r="Q13" t="n">
        <v>15</v>
      </c>
      <c r="R13"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3">
        <f>HYPERLINK("https://klasma.github.io/Logging_0980/artfynd/A 24202-2023 artfynd.xlsx", "A 24202-2023")</f>
        <v/>
      </c>
      <c r="T13">
        <f>HYPERLINK("https://klasma.github.io/Logging_0980/kartor/A 24202-2023 karta.png", "A 24202-2023")</f>
        <v/>
      </c>
      <c r="V13">
        <f>HYPERLINK("https://klasma.github.io/Logging_0980/klagomål/A 24202-2023 FSC-klagomål.docx", "A 24202-2023")</f>
        <v/>
      </c>
      <c r="W13">
        <f>HYPERLINK("https://klasma.github.io/Logging_0980/klagomålsmail/A 24202-2023 FSC-klagomål mail.docx", "A 24202-2023")</f>
        <v/>
      </c>
      <c r="X13">
        <f>HYPERLINK("https://klasma.github.io/Logging_0980/tillsyn/A 24202-2023 tillsynsbegäran.docx", "A 24202-2023")</f>
        <v/>
      </c>
      <c r="Y13">
        <f>HYPERLINK("https://klasma.github.io/Logging_0980/tillsynsmail/A 24202-2023 tillsynsbegäran mail.docx", "A 24202-2023")</f>
        <v/>
      </c>
    </row>
    <row r="14" ht="15" customHeight="1">
      <c r="A14" t="inlineStr">
        <is>
          <t>A 61697-2023</t>
        </is>
      </c>
      <c r="B14" s="1" t="n">
        <v>45265</v>
      </c>
      <c r="C14" s="1" t="n">
        <v>45579</v>
      </c>
      <c r="D14" t="inlineStr">
        <is>
          <t>GOTLANDS LÄN</t>
        </is>
      </c>
      <c r="E14" t="inlineStr">
        <is>
          <t>GOTLAND</t>
        </is>
      </c>
      <c r="G14" t="n">
        <v>8.699999999999999</v>
      </c>
      <c r="H14" t="n">
        <v>2</v>
      </c>
      <c r="I14" t="n">
        <v>3</v>
      </c>
      <c r="J14" t="n">
        <v>4</v>
      </c>
      <c r="K14" t="n">
        <v>7</v>
      </c>
      <c r="L14" t="n">
        <v>1</v>
      </c>
      <c r="M14" t="n">
        <v>0</v>
      </c>
      <c r="N14" t="n">
        <v>0</v>
      </c>
      <c r="O14" t="n">
        <v>12</v>
      </c>
      <c r="P14" t="n">
        <v>8</v>
      </c>
      <c r="Q14" t="n">
        <v>15</v>
      </c>
      <c r="R14"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4">
        <f>HYPERLINK("https://klasma.github.io/Logging_0980/artfynd/A 61697-2023 artfynd.xlsx", "A 61697-2023")</f>
        <v/>
      </c>
      <c r="T14">
        <f>HYPERLINK("https://klasma.github.io/Logging_0980/kartor/A 61697-2023 karta.png", "A 61697-2023")</f>
        <v/>
      </c>
      <c r="V14">
        <f>HYPERLINK("https://klasma.github.io/Logging_0980/klagomål/A 61697-2023 FSC-klagomål.docx", "A 61697-2023")</f>
        <v/>
      </c>
      <c r="W14">
        <f>HYPERLINK("https://klasma.github.io/Logging_0980/klagomålsmail/A 61697-2023 FSC-klagomål mail.docx", "A 61697-2023")</f>
        <v/>
      </c>
      <c r="X14">
        <f>HYPERLINK("https://klasma.github.io/Logging_0980/tillsyn/A 61697-2023 tillsynsbegäran.docx", "A 61697-2023")</f>
        <v/>
      </c>
      <c r="Y14">
        <f>HYPERLINK("https://klasma.github.io/Logging_0980/tillsynsmail/A 61697-2023 tillsynsbegäran mail.docx", "A 61697-2023")</f>
        <v/>
      </c>
    </row>
    <row r="15" ht="15" customHeight="1">
      <c r="A15" t="inlineStr">
        <is>
          <t>A 25779-2022</t>
        </is>
      </c>
      <c r="B15" s="1" t="n">
        <v>44733</v>
      </c>
      <c r="C15" s="1" t="n">
        <v>45579</v>
      </c>
      <c r="D15" t="inlineStr">
        <is>
          <t>GOTLANDS LÄN</t>
        </is>
      </c>
      <c r="E15" t="inlineStr">
        <is>
          <t>GOTLAND</t>
        </is>
      </c>
      <c r="G15" t="n">
        <v>12.6</v>
      </c>
      <c r="H15" t="n">
        <v>4</v>
      </c>
      <c r="I15" t="n">
        <v>8</v>
      </c>
      <c r="J15" t="n">
        <v>3</v>
      </c>
      <c r="K15" t="n">
        <v>3</v>
      </c>
      <c r="L15" t="n">
        <v>0</v>
      </c>
      <c r="M15" t="n">
        <v>0</v>
      </c>
      <c r="N15" t="n">
        <v>0</v>
      </c>
      <c r="O15" t="n">
        <v>6</v>
      </c>
      <c r="P15" t="n">
        <v>3</v>
      </c>
      <c r="Q15" t="n">
        <v>14</v>
      </c>
      <c r="R15" s="2" t="inlineStr">
        <is>
          <t>Duvspindling
Knärot
Ruttaggsvamp
Jordtistel
Odörspindling
Svart taggsvamp
Nästrot
Rödgul trumpetsvamp
Skogsknipprot
Strimspindling
Strävlosta
Svavelriska
Vit skogslilja
Zontaggsvamp</t>
        </is>
      </c>
      <c r="S15">
        <f>HYPERLINK("https://klasma.github.io/Logging_0980/artfynd/A 25779-2022 artfynd.xlsx", "A 25779-2022")</f>
        <v/>
      </c>
      <c r="T15">
        <f>HYPERLINK("https://klasma.github.io/Logging_0980/kartor/A 25779-2022 karta.png", "A 25779-2022")</f>
        <v/>
      </c>
      <c r="U15">
        <f>HYPERLINK("https://klasma.github.io/Logging_0980/knärot/A 25779-2022 karta knärot.png", "A 25779-2022")</f>
        <v/>
      </c>
      <c r="V15">
        <f>HYPERLINK("https://klasma.github.io/Logging_0980/klagomål/A 25779-2022 FSC-klagomål.docx", "A 25779-2022")</f>
        <v/>
      </c>
      <c r="W15">
        <f>HYPERLINK("https://klasma.github.io/Logging_0980/klagomålsmail/A 25779-2022 FSC-klagomål mail.docx", "A 25779-2022")</f>
        <v/>
      </c>
      <c r="X15">
        <f>HYPERLINK("https://klasma.github.io/Logging_0980/tillsyn/A 25779-2022 tillsynsbegäran.docx", "A 25779-2022")</f>
        <v/>
      </c>
      <c r="Y15">
        <f>HYPERLINK("https://klasma.github.io/Logging_0980/tillsynsmail/A 25779-2022 tillsynsbegäran mail.docx", "A 25779-2022")</f>
        <v/>
      </c>
    </row>
    <row r="16" ht="15" customHeight="1">
      <c r="A16" t="inlineStr">
        <is>
          <t>A 569-2023</t>
        </is>
      </c>
      <c r="B16" s="1" t="n">
        <v>44930</v>
      </c>
      <c r="C16" s="1" t="n">
        <v>45579</v>
      </c>
      <c r="D16" t="inlineStr">
        <is>
          <t>GOTLANDS LÄN</t>
        </is>
      </c>
      <c r="E16" t="inlineStr">
        <is>
          <t>GOTLAND</t>
        </is>
      </c>
      <c r="G16" t="n">
        <v>12.8</v>
      </c>
      <c r="H16" t="n">
        <v>1</v>
      </c>
      <c r="I16" t="n">
        <v>5</v>
      </c>
      <c r="J16" t="n">
        <v>4</v>
      </c>
      <c r="K16" t="n">
        <v>5</v>
      </c>
      <c r="L16" t="n">
        <v>0</v>
      </c>
      <c r="M16" t="n">
        <v>0</v>
      </c>
      <c r="N16" t="n">
        <v>0</v>
      </c>
      <c r="O16" t="n">
        <v>9</v>
      </c>
      <c r="P16" t="n">
        <v>5</v>
      </c>
      <c r="Q16" t="n">
        <v>14</v>
      </c>
      <c r="R16"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53920-2023</t>
        </is>
      </c>
      <c r="B17" s="1" t="n">
        <v>45231</v>
      </c>
      <c r="C17" s="1" t="n">
        <v>45579</v>
      </c>
      <c r="D17" t="inlineStr">
        <is>
          <t>GOTLANDS LÄN</t>
        </is>
      </c>
      <c r="E17" t="inlineStr">
        <is>
          <t>GOTLAND</t>
        </is>
      </c>
      <c r="G17" t="n">
        <v>11.4</v>
      </c>
      <c r="H17" t="n">
        <v>0</v>
      </c>
      <c r="I17" t="n">
        <v>6</v>
      </c>
      <c r="J17" t="n">
        <v>2</v>
      </c>
      <c r="K17" t="n">
        <v>6</v>
      </c>
      <c r="L17" t="n">
        <v>0</v>
      </c>
      <c r="M17" t="n">
        <v>0</v>
      </c>
      <c r="N17" t="n">
        <v>0</v>
      </c>
      <c r="O17" t="n">
        <v>8</v>
      </c>
      <c r="P17" t="n">
        <v>6</v>
      </c>
      <c r="Q17" t="n">
        <v>14</v>
      </c>
      <c r="R17" s="2" t="inlineStr">
        <is>
          <t>Duvspindling
Granrotspindling
Gulsträngad fagerspindling
Svartgrön spindling
Tvillingspindling
Vit taggsvamp
Igelkott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12841-2020</t>
        </is>
      </c>
      <c r="B18" s="1" t="n">
        <v>43899</v>
      </c>
      <c r="C18" s="1" t="n">
        <v>45579</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45579</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45579</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45579</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45579</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45579</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45579</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45579</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45579</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45579</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45579</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45579</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45579</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45579</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45579</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45579</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45579</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45579</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45579</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45579</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45579</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45579</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45579</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45579</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45579</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45579</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45579</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45579</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45579</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45579</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45579</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45579</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45579</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45579</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45579</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45579</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45579</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45579</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45579</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45579</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45579</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45579</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45579</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45579</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45579</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45579</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45579</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45579</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45579</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45579</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45579</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45579</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45579</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45579</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45248-2024</t>
        </is>
      </c>
      <c r="B73" s="1" t="n">
        <v>45576</v>
      </c>
      <c r="C73" s="1" t="n">
        <v>45579</v>
      </c>
      <c r="D73" t="inlineStr">
        <is>
          <t>GOTLANDS LÄN</t>
        </is>
      </c>
      <c r="E73" t="inlineStr">
        <is>
          <t>GOTLAND</t>
        </is>
      </c>
      <c r="G73" t="n">
        <v>9.4</v>
      </c>
      <c r="H73" t="n">
        <v>0</v>
      </c>
      <c r="I73" t="n">
        <v>3</v>
      </c>
      <c r="J73" t="n">
        <v>1</v>
      </c>
      <c r="K73" t="n">
        <v>0</v>
      </c>
      <c r="L73" t="n">
        <v>1</v>
      </c>
      <c r="M73" t="n">
        <v>1</v>
      </c>
      <c r="N73" t="n">
        <v>0</v>
      </c>
      <c r="O73" t="n">
        <v>3</v>
      </c>
      <c r="P73" t="n">
        <v>2</v>
      </c>
      <c r="Q73" t="n">
        <v>6</v>
      </c>
      <c r="R73" s="2" t="inlineStr">
        <is>
          <t>Lundalm
Ask
Oxtungssvamp
Myskmadra
Stinkbrosking
Underviol</t>
        </is>
      </c>
      <c r="S73">
        <f>HYPERLINK("https://klasma.github.io/Logging_0980/artfynd/A 45248-2024 artfynd.xlsx", "A 45248-2024")</f>
        <v/>
      </c>
      <c r="T73">
        <f>HYPERLINK("https://klasma.github.io/Logging_0980/kartor/A 45248-2024 karta.png", "A 45248-2024")</f>
        <v/>
      </c>
      <c r="V73">
        <f>HYPERLINK("https://klasma.github.io/Logging_0980/klagomål/A 45248-2024 FSC-klagomål.docx", "A 45248-2024")</f>
        <v/>
      </c>
      <c r="W73">
        <f>HYPERLINK("https://klasma.github.io/Logging_0980/klagomålsmail/A 45248-2024 FSC-klagomål mail.docx", "A 45248-2024")</f>
        <v/>
      </c>
      <c r="X73">
        <f>HYPERLINK("https://klasma.github.io/Logging_0980/tillsyn/A 45248-2024 tillsynsbegäran.docx", "A 45248-2024")</f>
        <v/>
      </c>
      <c r="Y73">
        <f>HYPERLINK("https://klasma.github.io/Logging_0980/tillsynsmail/A 45248-2024 tillsynsbegäran mail.docx", "A 45248-2024")</f>
        <v/>
      </c>
    </row>
    <row r="74" ht="15" customHeight="1">
      <c r="A74" t="inlineStr">
        <is>
          <t>A 32960-2019</t>
        </is>
      </c>
      <c r="B74" s="1" t="n">
        <v>43648</v>
      </c>
      <c r="C74" s="1" t="n">
        <v>45579</v>
      </c>
      <c r="D74" t="inlineStr">
        <is>
          <t>GOTLANDS LÄN</t>
        </is>
      </c>
      <c r="E74" t="inlineStr">
        <is>
          <t>GOTLAND</t>
        </is>
      </c>
      <c r="G74" t="n">
        <v>10.9</v>
      </c>
      <c r="H74" t="n">
        <v>4</v>
      </c>
      <c r="I74" t="n">
        <v>3</v>
      </c>
      <c r="J74" t="n">
        <v>1</v>
      </c>
      <c r="K74" t="n">
        <v>0</v>
      </c>
      <c r="L74" t="n">
        <v>0</v>
      </c>
      <c r="M74" t="n">
        <v>0</v>
      </c>
      <c r="N74" t="n">
        <v>0</v>
      </c>
      <c r="O74" t="n">
        <v>1</v>
      </c>
      <c r="P74" t="n">
        <v>0</v>
      </c>
      <c r="Q74" t="n">
        <v>5</v>
      </c>
      <c r="R74" s="2" t="inlineStr">
        <is>
          <t>Grönsångare
Kalktallört
Nästrot
Vit skogslilja
Fläcknycklar</t>
        </is>
      </c>
      <c r="S74">
        <f>HYPERLINK("https://klasma.github.io/Logging_0980/artfynd/A 32960-2019 artfynd.xlsx", "A 32960-2019")</f>
        <v/>
      </c>
      <c r="T74">
        <f>HYPERLINK("https://klasma.github.io/Logging_0980/kartor/A 32960-2019 karta.png", "A 32960-2019")</f>
        <v/>
      </c>
      <c r="V74">
        <f>HYPERLINK("https://klasma.github.io/Logging_0980/klagomål/A 32960-2019 FSC-klagomål.docx", "A 32960-2019")</f>
        <v/>
      </c>
      <c r="W74">
        <f>HYPERLINK("https://klasma.github.io/Logging_0980/klagomålsmail/A 32960-2019 FSC-klagomål mail.docx", "A 32960-2019")</f>
        <v/>
      </c>
      <c r="X74">
        <f>HYPERLINK("https://klasma.github.io/Logging_0980/tillsyn/A 32960-2019 tillsynsbegäran.docx", "A 32960-2019")</f>
        <v/>
      </c>
      <c r="Y74">
        <f>HYPERLINK("https://klasma.github.io/Logging_0980/tillsynsmail/A 32960-2019 tillsynsbegäran mail.docx", "A 32960-2019")</f>
        <v/>
      </c>
      <c r="Z74">
        <f>HYPERLINK("https://klasma.github.io/Logging_0980/fåglar/A 32960-2019 prioriterade fågelarter.docx", "A 32960-2019")</f>
        <v/>
      </c>
    </row>
    <row r="75" ht="15" customHeight="1">
      <c r="A75" t="inlineStr">
        <is>
          <t>A 38183-2019</t>
        </is>
      </c>
      <c r="B75" s="1" t="n">
        <v>43684</v>
      </c>
      <c r="C75" s="1" t="n">
        <v>45579</v>
      </c>
      <c r="D75" t="inlineStr">
        <is>
          <t>GOTLANDS LÄN</t>
        </is>
      </c>
      <c r="E75" t="inlineStr">
        <is>
          <t>GOTLAND</t>
        </is>
      </c>
      <c r="G75" t="n">
        <v>2.1</v>
      </c>
      <c r="H75" t="n">
        <v>0</v>
      </c>
      <c r="I75" t="n">
        <v>2</v>
      </c>
      <c r="J75" t="n">
        <v>0</v>
      </c>
      <c r="K75" t="n">
        <v>3</v>
      </c>
      <c r="L75" t="n">
        <v>0</v>
      </c>
      <c r="M75" t="n">
        <v>0</v>
      </c>
      <c r="N75" t="n">
        <v>0</v>
      </c>
      <c r="O75" t="n">
        <v>3</v>
      </c>
      <c r="P75" t="n">
        <v>3</v>
      </c>
      <c r="Q75" t="n">
        <v>5</v>
      </c>
      <c r="R75" s="2" t="inlineStr">
        <is>
          <t>Bullspindling
Gulsträngad fagerspindling
Skogskorn
Anisspindling
Myskmadra</t>
        </is>
      </c>
      <c r="S75">
        <f>HYPERLINK("https://klasma.github.io/Logging_0980/artfynd/A 38183-2019 artfynd.xlsx", "A 38183-2019")</f>
        <v/>
      </c>
      <c r="T75">
        <f>HYPERLINK("https://klasma.github.io/Logging_0980/kartor/A 38183-2019 karta.png", "A 38183-2019")</f>
        <v/>
      </c>
      <c r="V75">
        <f>HYPERLINK("https://klasma.github.io/Logging_0980/klagomål/A 38183-2019 FSC-klagomål.docx", "A 38183-2019")</f>
        <v/>
      </c>
      <c r="W75">
        <f>HYPERLINK("https://klasma.github.io/Logging_0980/klagomålsmail/A 38183-2019 FSC-klagomål mail.docx", "A 38183-2019")</f>
        <v/>
      </c>
      <c r="X75">
        <f>HYPERLINK("https://klasma.github.io/Logging_0980/tillsyn/A 38183-2019 tillsynsbegäran.docx", "A 38183-2019")</f>
        <v/>
      </c>
      <c r="Y75">
        <f>HYPERLINK("https://klasma.github.io/Logging_0980/tillsynsmail/A 38183-2019 tillsynsbegäran mail.docx", "A 38183-2019")</f>
        <v/>
      </c>
    </row>
    <row r="76" ht="15" customHeight="1">
      <c r="A76" t="inlineStr">
        <is>
          <t>A 62991-2019</t>
        </is>
      </c>
      <c r="B76" s="1" t="n">
        <v>43790</v>
      </c>
      <c r="C76" s="1" t="n">
        <v>45579</v>
      </c>
      <c r="D76" t="inlineStr">
        <is>
          <t>GOTLANDS LÄN</t>
        </is>
      </c>
      <c r="E76" t="inlineStr">
        <is>
          <t>GOTLAND</t>
        </is>
      </c>
      <c r="G76" t="n">
        <v>3.9</v>
      </c>
      <c r="H76" t="n">
        <v>0</v>
      </c>
      <c r="I76" t="n">
        <v>2</v>
      </c>
      <c r="J76" t="n">
        <v>3</v>
      </c>
      <c r="K76" t="n">
        <v>0</v>
      </c>
      <c r="L76" t="n">
        <v>0</v>
      </c>
      <c r="M76" t="n">
        <v>0</v>
      </c>
      <c r="N76" t="n">
        <v>0</v>
      </c>
      <c r="O76" t="n">
        <v>3</v>
      </c>
      <c r="P76" t="n">
        <v>0</v>
      </c>
      <c r="Q76" t="n">
        <v>5</v>
      </c>
      <c r="R76" s="2" t="inlineStr">
        <is>
          <t>Reliktbock
Smedbock
Tallticka
Blodticka
Mindre märgborre</t>
        </is>
      </c>
      <c r="S76">
        <f>HYPERLINK("https://klasma.github.io/Logging_0980/artfynd/A 62991-2019 artfynd.xlsx", "A 62991-2019")</f>
        <v/>
      </c>
      <c r="T76">
        <f>HYPERLINK("https://klasma.github.io/Logging_0980/kartor/A 62991-2019 karta.png", "A 62991-2019")</f>
        <v/>
      </c>
      <c r="V76">
        <f>HYPERLINK("https://klasma.github.io/Logging_0980/klagomål/A 62991-2019 FSC-klagomål.docx", "A 62991-2019")</f>
        <v/>
      </c>
      <c r="W76">
        <f>HYPERLINK("https://klasma.github.io/Logging_0980/klagomålsmail/A 62991-2019 FSC-klagomål mail.docx", "A 62991-2019")</f>
        <v/>
      </c>
      <c r="X76">
        <f>HYPERLINK("https://klasma.github.io/Logging_0980/tillsyn/A 62991-2019 tillsynsbegäran.docx", "A 62991-2019")</f>
        <v/>
      </c>
      <c r="Y76">
        <f>HYPERLINK("https://klasma.github.io/Logging_0980/tillsynsmail/A 62991-2019 tillsynsbegäran mail.docx", "A 62991-2019")</f>
        <v/>
      </c>
    </row>
    <row r="77" ht="15" customHeight="1">
      <c r="A77" t="inlineStr">
        <is>
          <t>A 7648-2020</t>
        </is>
      </c>
      <c r="B77" s="1" t="n">
        <v>43872</v>
      </c>
      <c r="C77" s="1" t="n">
        <v>45579</v>
      </c>
      <c r="D77" t="inlineStr">
        <is>
          <t>GOTLANDS LÄN</t>
        </is>
      </c>
      <c r="E77" t="inlineStr">
        <is>
          <t>GOTLAND</t>
        </is>
      </c>
      <c r="F77" t="inlineStr">
        <is>
          <t>Kyrkan</t>
        </is>
      </c>
      <c r="G77" t="n">
        <v>4.2</v>
      </c>
      <c r="H77" t="n">
        <v>0</v>
      </c>
      <c r="I77" t="n">
        <v>3</v>
      </c>
      <c r="J77" t="n">
        <v>1</v>
      </c>
      <c r="K77" t="n">
        <v>0</v>
      </c>
      <c r="L77" t="n">
        <v>1</v>
      </c>
      <c r="M77" t="n">
        <v>0</v>
      </c>
      <c r="N77" t="n">
        <v>0</v>
      </c>
      <c r="O77" t="n">
        <v>2</v>
      </c>
      <c r="P77" t="n">
        <v>1</v>
      </c>
      <c r="Q77" t="n">
        <v>5</v>
      </c>
      <c r="R77" s="2" t="inlineStr">
        <is>
          <t>Ädellav
Orangepudrad klotterlav
Kornig nållav
Rikfruktig blemlav
Slät lönnlav</t>
        </is>
      </c>
      <c r="S77">
        <f>HYPERLINK("https://klasma.github.io/Logging_0980/artfynd/A 7648-2020 artfynd.xlsx", "A 7648-2020")</f>
        <v/>
      </c>
      <c r="T77">
        <f>HYPERLINK("https://klasma.github.io/Logging_0980/kartor/A 7648-2020 karta.png", "A 7648-2020")</f>
        <v/>
      </c>
      <c r="V77">
        <f>HYPERLINK("https://klasma.github.io/Logging_0980/klagomål/A 7648-2020 FSC-klagomål.docx", "A 7648-2020")</f>
        <v/>
      </c>
      <c r="W77">
        <f>HYPERLINK("https://klasma.github.io/Logging_0980/klagomålsmail/A 7648-2020 FSC-klagomål mail.docx", "A 7648-2020")</f>
        <v/>
      </c>
      <c r="X77">
        <f>HYPERLINK("https://klasma.github.io/Logging_0980/tillsyn/A 7648-2020 tillsynsbegäran.docx", "A 7648-2020")</f>
        <v/>
      </c>
      <c r="Y77">
        <f>HYPERLINK("https://klasma.github.io/Logging_0980/tillsynsmail/A 7648-2020 tillsynsbegäran mail.docx", "A 7648-2020")</f>
        <v/>
      </c>
    </row>
    <row r="78" ht="15" customHeight="1">
      <c r="A78" t="inlineStr">
        <is>
          <t>A 22317-2022</t>
        </is>
      </c>
      <c r="B78" s="1" t="n">
        <v>44712</v>
      </c>
      <c r="C78" s="1" t="n">
        <v>45579</v>
      </c>
      <c r="D78" t="inlineStr">
        <is>
          <t>GOTLANDS LÄN</t>
        </is>
      </c>
      <c r="E78" t="inlineStr">
        <is>
          <t>GOTLAND</t>
        </is>
      </c>
      <c r="G78" t="n">
        <v>2</v>
      </c>
      <c r="H78" t="n">
        <v>0</v>
      </c>
      <c r="I78" t="n">
        <v>4</v>
      </c>
      <c r="J78" t="n">
        <v>1</v>
      </c>
      <c r="K78" t="n">
        <v>0</v>
      </c>
      <c r="L78" t="n">
        <v>0</v>
      </c>
      <c r="M78" t="n">
        <v>0</v>
      </c>
      <c r="N78" t="n">
        <v>0</v>
      </c>
      <c r="O78" t="n">
        <v>1</v>
      </c>
      <c r="P78" t="n">
        <v>0</v>
      </c>
      <c r="Q78" t="n">
        <v>5</v>
      </c>
      <c r="R78" s="2" t="inlineStr">
        <is>
          <t>Odörspindling
Anisspindling
Blå slemspindling
Kattfotslav
Svavelriska</t>
        </is>
      </c>
      <c r="S78">
        <f>HYPERLINK("https://klasma.github.io/Logging_0980/artfynd/A 22317-2022 artfynd.xlsx", "A 22317-2022")</f>
        <v/>
      </c>
      <c r="T78">
        <f>HYPERLINK("https://klasma.github.io/Logging_0980/kartor/A 22317-2022 karta.png", "A 22317-2022")</f>
        <v/>
      </c>
      <c r="V78">
        <f>HYPERLINK("https://klasma.github.io/Logging_0980/klagomål/A 22317-2022 FSC-klagomål.docx", "A 22317-2022")</f>
        <v/>
      </c>
      <c r="W78">
        <f>HYPERLINK("https://klasma.github.io/Logging_0980/klagomålsmail/A 22317-2022 FSC-klagomål mail.docx", "A 22317-2022")</f>
        <v/>
      </c>
      <c r="X78">
        <f>HYPERLINK("https://klasma.github.io/Logging_0980/tillsyn/A 22317-2022 tillsynsbegäran.docx", "A 22317-2022")</f>
        <v/>
      </c>
      <c r="Y78">
        <f>HYPERLINK("https://klasma.github.io/Logging_0980/tillsynsmail/A 22317-2022 tillsynsbegäran mail.docx", "A 22317-2022")</f>
        <v/>
      </c>
    </row>
    <row r="79" ht="15" customHeight="1">
      <c r="A79" t="inlineStr">
        <is>
          <t>A 39471-2022</t>
        </is>
      </c>
      <c r="B79" s="1" t="n">
        <v>44818</v>
      </c>
      <c r="C79" s="1" t="n">
        <v>45579</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Anisspindling
Blå slemspindling
Svavelriska</t>
        </is>
      </c>
      <c r="S79">
        <f>HYPERLINK("https://klasma.github.io/Logging_0980/artfynd/A 39471-2022 artfynd.xlsx", "A 39471-2022")</f>
        <v/>
      </c>
      <c r="T79">
        <f>HYPERLINK("https://klasma.github.io/Logging_0980/kartor/A 39471-2022 karta.png", "A 39471-2022")</f>
        <v/>
      </c>
      <c r="V79">
        <f>HYPERLINK("https://klasma.github.io/Logging_0980/klagomål/A 39471-2022 FSC-klagomål.docx", "A 39471-2022")</f>
        <v/>
      </c>
      <c r="W79">
        <f>HYPERLINK("https://klasma.github.io/Logging_0980/klagomålsmail/A 39471-2022 FSC-klagomål mail.docx", "A 39471-2022")</f>
        <v/>
      </c>
      <c r="X79">
        <f>HYPERLINK("https://klasma.github.io/Logging_0980/tillsyn/A 39471-2022 tillsynsbegäran.docx", "A 39471-2022")</f>
        <v/>
      </c>
      <c r="Y79">
        <f>HYPERLINK("https://klasma.github.io/Logging_0980/tillsynsmail/A 39471-2022 tillsynsbegäran mail.docx", "A 39471-2022")</f>
        <v/>
      </c>
    </row>
    <row r="80" ht="15" customHeight="1">
      <c r="A80" t="inlineStr">
        <is>
          <t>A 43074-2022</t>
        </is>
      </c>
      <c r="B80" s="1" t="n">
        <v>44833</v>
      </c>
      <c r="C80" s="1" t="n">
        <v>45579</v>
      </c>
      <c r="D80" t="inlineStr">
        <is>
          <t>GOTLANDS LÄN</t>
        </is>
      </c>
      <c r="E80" t="inlineStr">
        <is>
          <t>GOTLAND</t>
        </is>
      </c>
      <c r="G80" t="n">
        <v>10.6</v>
      </c>
      <c r="H80" t="n">
        <v>3</v>
      </c>
      <c r="I80" t="n">
        <v>1</v>
      </c>
      <c r="J80" t="n">
        <v>3</v>
      </c>
      <c r="K80" t="n">
        <v>1</v>
      </c>
      <c r="L80" t="n">
        <v>0</v>
      </c>
      <c r="M80" t="n">
        <v>0</v>
      </c>
      <c r="N80" t="n">
        <v>0</v>
      </c>
      <c r="O80" t="n">
        <v>4</v>
      </c>
      <c r="P80" t="n">
        <v>1</v>
      </c>
      <c r="Q80" t="n">
        <v>5</v>
      </c>
      <c r="R80" s="2" t="inlineStr">
        <is>
          <t>Väddnätfjäril
Gulsparv
Rödvingetrast
Skugglosta
Strävlosta</t>
        </is>
      </c>
      <c r="S80">
        <f>HYPERLINK("https://klasma.github.io/Logging_0980/artfynd/A 43074-2022 artfynd.xlsx", "A 43074-2022")</f>
        <v/>
      </c>
      <c r="T80">
        <f>HYPERLINK("https://klasma.github.io/Logging_0980/kartor/A 43074-2022 karta.png", "A 43074-2022")</f>
        <v/>
      </c>
      <c r="V80">
        <f>HYPERLINK("https://klasma.github.io/Logging_0980/klagomål/A 43074-2022 FSC-klagomål.docx", "A 43074-2022")</f>
        <v/>
      </c>
      <c r="W80">
        <f>HYPERLINK("https://klasma.github.io/Logging_0980/klagomålsmail/A 43074-2022 FSC-klagomål mail.docx", "A 43074-2022")</f>
        <v/>
      </c>
      <c r="X80">
        <f>HYPERLINK("https://klasma.github.io/Logging_0980/tillsyn/A 43074-2022 tillsynsbegäran.docx", "A 43074-2022")</f>
        <v/>
      </c>
      <c r="Y80">
        <f>HYPERLINK("https://klasma.github.io/Logging_0980/tillsynsmail/A 43074-2022 tillsynsbegäran mail.docx", "A 43074-2022")</f>
        <v/>
      </c>
      <c r="Z80">
        <f>HYPERLINK("https://klasma.github.io/Logging_0980/fåglar/A 43074-2022 prioriterade fågelarter.docx", "A 43074-2022")</f>
        <v/>
      </c>
    </row>
    <row r="81" ht="15" customHeight="1">
      <c r="A81" t="inlineStr">
        <is>
          <t>A 44944-2022</t>
        </is>
      </c>
      <c r="B81" s="1" t="n">
        <v>44841</v>
      </c>
      <c r="C81" s="1" t="n">
        <v>45579</v>
      </c>
      <c r="D81" t="inlineStr">
        <is>
          <t>GOTLANDS LÄN</t>
        </is>
      </c>
      <c r="E81" t="inlineStr">
        <is>
          <t>GOTLAND</t>
        </is>
      </c>
      <c r="G81" t="n">
        <v>2.8</v>
      </c>
      <c r="H81" t="n">
        <v>0</v>
      </c>
      <c r="I81" t="n">
        <v>3</v>
      </c>
      <c r="J81" t="n">
        <v>2</v>
      </c>
      <c r="K81" t="n">
        <v>0</v>
      </c>
      <c r="L81" t="n">
        <v>0</v>
      </c>
      <c r="M81" t="n">
        <v>0</v>
      </c>
      <c r="N81" t="n">
        <v>0</v>
      </c>
      <c r="O81" t="n">
        <v>2</v>
      </c>
      <c r="P81" t="n">
        <v>0</v>
      </c>
      <c r="Q81" t="n">
        <v>5</v>
      </c>
      <c r="R81" s="2" t="inlineStr">
        <is>
          <t>Gulfotad denisespindling
Odörspindling
Anisspindling
Fjällig taggsvamp s.str.
Rödgul trumpetsvamp</t>
        </is>
      </c>
      <c r="S81">
        <f>HYPERLINK("https://klasma.github.io/Logging_0980/artfynd/A 44944-2022 artfynd.xlsx", "A 44944-2022")</f>
        <v/>
      </c>
      <c r="T81">
        <f>HYPERLINK("https://klasma.github.io/Logging_0980/kartor/A 44944-2022 karta.png", "A 44944-2022")</f>
        <v/>
      </c>
      <c r="V81">
        <f>HYPERLINK("https://klasma.github.io/Logging_0980/klagomål/A 44944-2022 FSC-klagomål.docx", "A 44944-2022")</f>
        <v/>
      </c>
      <c r="W81">
        <f>HYPERLINK("https://klasma.github.io/Logging_0980/klagomålsmail/A 44944-2022 FSC-klagomål mail.docx", "A 44944-2022")</f>
        <v/>
      </c>
      <c r="X81">
        <f>HYPERLINK("https://klasma.github.io/Logging_0980/tillsyn/A 44944-2022 tillsynsbegäran.docx", "A 44944-2022")</f>
        <v/>
      </c>
      <c r="Y81">
        <f>HYPERLINK("https://klasma.github.io/Logging_0980/tillsynsmail/A 44944-2022 tillsynsbegäran mail.docx", "A 44944-2022")</f>
        <v/>
      </c>
    </row>
    <row r="82" ht="15" customHeight="1">
      <c r="A82" t="inlineStr">
        <is>
          <t>A 54055-2022</t>
        </is>
      </c>
      <c r="B82" s="1" t="n">
        <v>44881</v>
      </c>
      <c r="C82" s="1" t="n">
        <v>45579</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39425-2023</t>
        </is>
      </c>
      <c r="B83" s="1" t="n">
        <v>45166</v>
      </c>
      <c r="C83" s="1" t="n">
        <v>45579</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48749-2023</t>
        </is>
      </c>
      <c r="B84" s="1" t="n">
        <v>45208</v>
      </c>
      <c r="C84" s="1" t="n">
        <v>45579</v>
      </c>
      <c r="D84" t="inlineStr">
        <is>
          <t>GOTLANDS LÄN</t>
        </is>
      </c>
      <c r="E84" t="inlineStr">
        <is>
          <t>GOTLAND</t>
        </is>
      </c>
      <c r="G84" t="n">
        <v>6.8</v>
      </c>
      <c r="H84" t="n">
        <v>2</v>
      </c>
      <c r="I84" t="n">
        <v>2</v>
      </c>
      <c r="J84" t="n">
        <v>2</v>
      </c>
      <c r="K84" t="n">
        <v>1</v>
      </c>
      <c r="L84" t="n">
        <v>0</v>
      </c>
      <c r="M84" t="n">
        <v>0</v>
      </c>
      <c r="N84" t="n">
        <v>0</v>
      </c>
      <c r="O84" t="n">
        <v>3</v>
      </c>
      <c r="P84" t="n">
        <v>1</v>
      </c>
      <c r="Q84" t="n">
        <v>5</v>
      </c>
      <c r="R84" s="2" t="inlineStr">
        <is>
          <t>Garderönn
Axveronika
Backtimjan
Murgröna
Skogsknipprot</t>
        </is>
      </c>
      <c r="S84">
        <f>HYPERLINK("https://klasma.github.io/Logging_0980/artfynd/A 48749-2023 artfynd.xlsx", "A 48749-2023")</f>
        <v/>
      </c>
      <c r="T84">
        <f>HYPERLINK("https://klasma.github.io/Logging_0980/kartor/A 48749-2023 karta.png", "A 48749-2023")</f>
        <v/>
      </c>
      <c r="V84">
        <f>HYPERLINK("https://klasma.github.io/Logging_0980/klagomål/A 48749-2023 FSC-klagomål.docx", "A 48749-2023")</f>
        <v/>
      </c>
      <c r="W84">
        <f>HYPERLINK("https://klasma.github.io/Logging_0980/klagomålsmail/A 48749-2023 FSC-klagomål mail.docx", "A 48749-2023")</f>
        <v/>
      </c>
      <c r="X84">
        <f>HYPERLINK("https://klasma.github.io/Logging_0980/tillsyn/A 48749-2023 tillsynsbegäran.docx", "A 48749-2023")</f>
        <v/>
      </c>
      <c r="Y84">
        <f>HYPERLINK("https://klasma.github.io/Logging_0980/tillsynsmail/A 48749-2023 tillsynsbegäran mail.docx", "A 48749-2023")</f>
        <v/>
      </c>
    </row>
    <row r="85" ht="15" customHeight="1">
      <c r="A85" t="inlineStr">
        <is>
          <t>A 32300-2024</t>
        </is>
      </c>
      <c r="B85" s="1" t="n">
        <v>45512</v>
      </c>
      <c r="C85" s="1" t="n">
        <v>45579</v>
      </c>
      <c r="D85" t="inlineStr">
        <is>
          <t>GOTLANDS LÄN</t>
        </is>
      </c>
      <c r="E85" t="inlineStr">
        <is>
          <t>GOTLAND</t>
        </is>
      </c>
      <c r="G85" t="n">
        <v>5.3</v>
      </c>
      <c r="H85" t="n">
        <v>3</v>
      </c>
      <c r="I85" t="n">
        <v>4</v>
      </c>
      <c r="J85" t="n">
        <v>0</v>
      </c>
      <c r="K85" t="n">
        <v>1</v>
      </c>
      <c r="L85" t="n">
        <v>0</v>
      </c>
      <c r="M85" t="n">
        <v>0</v>
      </c>
      <c r="N85" t="n">
        <v>0</v>
      </c>
      <c r="O85" t="n">
        <v>1</v>
      </c>
      <c r="P85" t="n">
        <v>1</v>
      </c>
      <c r="Q85" t="n">
        <v>5</v>
      </c>
      <c r="R85" s="2" t="inlineStr">
        <is>
          <t>Vit taggsvamp
Blå slemspindling
Flugblomster
Purpurknipprot
Tvåblad</t>
        </is>
      </c>
      <c r="S85">
        <f>HYPERLINK("https://klasma.github.io/Logging_0980/artfynd/A 32300-2024 artfynd.xlsx", "A 32300-2024")</f>
        <v/>
      </c>
      <c r="T85">
        <f>HYPERLINK("https://klasma.github.io/Logging_0980/kartor/A 32300-2024 karta.png", "A 32300-2024")</f>
        <v/>
      </c>
      <c r="V85">
        <f>HYPERLINK("https://klasma.github.io/Logging_0980/klagomål/A 32300-2024 FSC-klagomål.docx", "A 32300-2024")</f>
        <v/>
      </c>
      <c r="W85">
        <f>HYPERLINK("https://klasma.github.io/Logging_0980/klagomålsmail/A 32300-2024 FSC-klagomål mail.docx", "A 32300-2024")</f>
        <v/>
      </c>
      <c r="X85">
        <f>HYPERLINK("https://klasma.github.io/Logging_0980/tillsyn/A 32300-2024 tillsynsbegäran.docx", "A 32300-2024")</f>
        <v/>
      </c>
      <c r="Y85">
        <f>HYPERLINK("https://klasma.github.io/Logging_0980/tillsynsmail/A 32300-2024 tillsynsbegäran mail.docx", "A 32300-2024")</f>
        <v/>
      </c>
    </row>
    <row r="86" ht="15" customHeight="1">
      <c r="A86" t="inlineStr">
        <is>
          <t>A 34584-2024</t>
        </is>
      </c>
      <c r="B86" s="1" t="n">
        <v>45526</v>
      </c>
      <c r="C86" s="1" t="n">
        <v>45579</v>
      </c>
      <c r="D86" t="inlineStr">
        <is>
          <t>GOTLANDS LÄN</t>
        </is>
      </c>
      <c r="E86" t="inlineStr">
        <is>
          <t>GOTLAND</t>
        </is>
      </c>
      <c r="G86" t="n">
        <v>3.4</v>
      </c>
      <c r="H86" t="n">
        <v>3</v>
      </c>
      <c r="I86" t="n">
        <v>1</v>
      </c>
      <c r="J86" t="n">
        <v>3</v>
      </c>
      <c r="K86" t="n">
        <v>1</v>
      </c>
      <c r="L86" t="n">
        <v>0</v>
      </c>
      <c r="M86" t="n">
        <v>0</v>
      </c>
      <c r="N86" t="n">
        <v>0</v>
      </c>
      <c r="O86" t="n">
        <v>4</v>
      </c>
      <c r="P86" t="n">
        <v>1</v>
      </c>
      <c r="Q86" t="n">
        <v>5</v>
      </c>
      <c r="R86" s="2" t="inlineStr">
        <is>
          <t>Garderönn
Dårgräsfjäril
Spillkråka
Svinrot
Blåmossa</t>
        </is>
      </c>
      <c r="S86">
        <f>HYPERLINK("https://klasma.github.io/Logging_0980/artfynd/A 34584-2024 artfynd.xlsx", "A 34584-2024")</f>
        <v/>
      </c>
      <c r="T86">
        <f>HYPERLINK("https://klasma.github.io/Logging_0980/kartor/A 34584-2024 karta.png", "A 34584-2024")</f>
        <v/>
      </c>
      <c r="V86">
        <f>HYPERLINK("https://klasma.github.io/Logging_0980/klagomål/A 34584-2024 FSC-klagomål.docx", "A 34584-2024")</f>
        <v/>
      </c>
      <c r="W86">
        <f>HYPERLINK("https://klasma.github.io/Logging_0980/klagomålsmail/A 34584-2024 FSC-klagomål mail.docx", "A 34584-2024")</f>
        <v/>
      </c>
      <c r="X86">
        <f>HYPERLINK("https://klasma.github.io/Logging_0980/tillsyn/A 34584-2024 tillsynsbegäran.docx", "A 34584-2024")</f>
        <v/>
      </c>
      <c r="Y86">
        <f>HYPERLINK("https://klasma.github.io/Logging_0980/tillsynsmail/A 34584-2024 tillsynsbegäran mail.docx", "A 34584-2024")</f>
        <v/>
      </c>
      <c r="Z86">
        <f>HYPERLINK("https://klasma.github.io/Logging_0980/fåglar/A 34584-2024 prioriterade fågelarter.docx", "A 34584-2024")</f>
        <v/>
      </c>
    </row>
    <row r="87" ht="15" customHeight="1">
      <c r="A87" t="inlineStr">
        <is>
          <t>A 42936-2024</t>
        </is>
      </c>
      <c r="B87" s="1" t="n">
        <v>45567</v>
      </c>
      <c r="C87" s="1" t="n">
        <v>45579</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21537-2019</t>
        </is>
      </c>
      <c r="B88" s="1" t="n">
        <v>43580</v>
      </c>
      <c r="C88" s="1" t="n">
        <v>45579</v>
      </c>
      <c r="D88" t="inlineStr">
        <is>
          <t>GOTLANDS LÄN</t>
        </is>
      </c>
      <c r="E88" t="inlineStr">
        <is>
          <t>GOTLAND</t>
        </is>
      </c>
      <c r="G88" t="n">
        <v>5.3</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21537-2019 artfynd.xlsx", "A 21537-2019")</f>
        <v/>
      </c>
      <c r="T88">
        <f>HYPERLINK("https://klasma.github.io/Logging_0980/kartor/A 21537-2019 karta.png", "A 21537-2019")</f>
        <v/>
      </c>
      <c r="V88">
        <f>HYPERLINK("https://klasma.github.io/Logging_0980/klagomål/A 21537-2019 FSC-klagomål.docx", "A 21537-2019")</f>
        <v/>
      </c>
      <c r="W88">
        <f>HYPERLINK("https://klasma.github.io/Logging_0980/klagomålsmail/A 21537-2019 FSC-klagomål mail.docx", "A 21537-2019")</f>
        <v/>
      </c>
      <c r="X88">
        <f>HYPERLINK("https://klasma.github.io/Logging_0980/tillsyn/A 21537-2019 tillsynsbegäran.docx", "A 21537-2019")</f>
        <v/>
      </c>
      <c r="Y88">
        <f>HYPERLINK("https://klasma.github.io/Logging_0980/tillsynsmail/A 21537-2019 tillsynsbegäran mail.docx", "A 21537-2019")</f>
        <v/>
      </c>
    </row>
    <row r="89" ht="15" customHeight="1">
      <c r="A89" t="inlineStr">
        <is>
          <t>A 39839-2019</t>
        </is>
      </c>
      <c r="B89" s="1" t="n">
        <v>43689</v>
      </c>
      <c r="C89" s="1" t="n">
        <v>45579</v>
      </c>
      <c r="D89" t="inlineStr">
        <is>
          <t>GOTLANDS LÄN</t>
        </is>
      </c>
      <c r="E89" t="inlineStr">
        <is>
          <t>GOTLAND</t>
        </is>
      </c>
      <c r="G89" t="n">
        <v>18.9</v>
      </c>
      <c r="H89" t="n">
        <v>1</v>
      </c>
      <c r="I89" t="n">
        <v>1</v>
      </c>
      <c r="J89" t="n">
        <v>3</v>
      </c>
      <c r="K89" t="n">
        <v>0</v>
      </c>
      <c r="L89" t="n">
        <v>0</v>
      </c>
      <c r="M89" t="n">
        <v>0</v>
      </c>
      <c r="N89" t="n">
        <v>0</v>
      </c>
      <c r="O89" t="n">
        <v>3</v>
      </c>
      <c r="P89" t="n">
        <v>0</v>
      </c>
      <c r="Q89" t="n">
        <v>4</v>
      </c>
      <c r="R89" s="2" t="inlineStr">
        <is>
          <t>Apollofjäril
Hårig blombock
Sexfläckig bastardsvärmare
Åttafläckig praktbagge</t>
        </is>
      </c>
      <c r="S89">
        <f>HYPERLINK("https://klasma.github.io/Logging_0980/artfynd/A 39839-2019 artfynd.xlsx", "A 39839-2019")</f>
        <v/>
      </c>
      <c r="T89">
        <f>HYPERLINK("https://klasma.github.io/Logging_0980/kartor/A 39839-2019 karta.png", "A 39839-2019")</f>
        <v/>
      </c>
      <c r="V89">
        <f>HYPERLINK("https://klasma.github.io/Logging_0980/klagomål/A 39839-2019 FSC-klagomål.docx", "A 39839-2019")</f>
        <v/>
      </c>
      <c r="W89">
        <f>HYPERLINK("https://klasma.github.io/Logging_0980/klagomålsmail/A 39839-2019 FSC-klagomål mail.docx", "A 39839-2019")</f>
        <v/>
      </c>
      <c r="X89">
        <f>HYPERLINK("https://klasma.github.io/Logging_0980/tillsyn/A 39839-2019 tillsynsbegäran.docx", "A 39839-2019")</f>
        <v/>
      </c>
      <c r="Y89">
        <f>HYPERLINK("https://klasma.github.io/Logging_0980/tillsynsmail/A 39839-2019 tillsynsbegäran mail.docx", "A 39839-2019")</f>
        <v/>
      </c>
    </row>
    <row r="90" ht="15" customHeight="1">
      <c r="A90" t="inlineStr">
        <is>
          <t>A 64378-2020</t>
        </is>
      </c>
      <c r="B90" s="1" t="n">
        <v>44168</v>
      </c>
      <c r="C90" s="1" t="n">
        <v>45579</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2223-2021</t>
        </is>
      </c>
      <c r="B91" s="1" t="n">
        <v>44211</v>
      </c>
      <c r="C91" s="1" t="n">
        <v>45579</v>
      </c>
      <c r="D91" t="inlineStr">
        <is>
          <t>GOTLANDS LÄN</t>
        </is>
      </c>
      <c r="E91" t="inlineStr">
        <is>
          <t>GOTLAND</t>
        </is>
      </c>
      <c r="G91" t="n">
        <v>2.2</v>
      </c>
      <c r="H91" t="n">
        <v>2</v>
      </c>
      <c r="I91" t="n">
        <v>4</v>
      </c>
      <c r="J91" t="n">
        <v>0</v>
      </c>
      <c r="K91" t="n">
        <v>0</v>
      </c>
      <c r="L91" t="n">
        <v>0</v>
      </c>
      <c r="M91" t="n">
        <v>0</v>
      </c>
      <c r="N91" t="n">
        <v>0</v>
      </c>
      <c r="O91" t="n">
        <v>0</v>
      </c>
      <c r="P91" t="n">
        <v>0</v>
      </c>
      <c r="Q91" t="n">
        <v>4</v>
      </c>
      <c r="R91" s="2" t="inlineStr">
        <is>
          <t>Blåmossa
Granbarkgnagare
Nästrot
Tvåblad</t>
        </is>
      </c>
      <c r="S91">
        <f>HYPERLINK("https://klasma.github.io/Logging_0980/artfynd/A 2223-2021 artfynd.xlsx", "A 2223-2021")</f>
        <v/>
      </c>
      <c r="T91">
        <f>HYPERLINK("https://klasma.github.io/Logging_0980/kartor/A 2223-2021 karta.png", "A 2223-2021")</f>
        <v/>
      </c>
      <c r="V91">
        <f>HYPERLINK("https://klasma.github.io/Logging_0980/klagomål/A 2223-2021 FSC-klagomål.docx", "A 2223-2021")</f>
        <v/>
      </c>
      <c r="W91">
        <f>HYPERLINK("https://klasma.github.io/Logging_0980/klagomålsmail/A 2223-2021 FSC-klagomål mail.docx", "A 2223-2021")</f>
        <v/>
      </c>
      <c r="X91">
        <f>HYPERLINK("https://klasma.github.io/Logging_0980/tillsyn/A 2223-2021 tillsynsbegäran.docx", "A 2223-2021")</f>
        <v/>
      </c>
      <c r="Y91">
        <f>HYPERLINK("https://klasma.github.io/Logging_0980/tillsynsmail/A 2223-2021 tillsynsbegäran mail.docx", "A 2223-2021")</f>
        <v/>
      </c>
    </row>
    <row r="92" ht="15" customHeight="1">
      <c r="A92" t="inlineStr">
        <is>
          <t>A 29331-2021</t>
        </is>
      </c>
      <c r="B92" s="1" t="n">
        <v>44361</v>
      </c>
      <c r="C92" s="1" t="n">
        <v>45579</v>
      </c>
      <c r="D92" t="inlineStr">
        <is>
          <t>GOTLANDS LÄN</t>
        </is>
      </c>
      <c r="E92" t="inlineStr">
        <is>
          <t>GOTLAND</t>
        </is>
      </c>
      <c r="G92" t="n">
        <v>3.7</v>
      </c>
      <c r="H92" t="n">
        <v>1</v>
      </c>
      <c r="I92" t="n">
        <v>4</v>
      </c>
      <c r="J92" t="n">
        <v>0</v>
      </c>
      <c r="K92" t="n">
        <v>0</v>
      </c>
      <c r="L92" t="n">
        <v>0</v>
      </c>
      <c r="M92" t="n">
        <v>0</v>
      </c>
      <c r="N92" t="n">
        <v>0</v>
      </c>
      <c r="O92" t="n">
        <v>0</v>
      </c>
      <c r="P92" t="n">
        <v>0</v>
      </c>
      <c r="Q92" t="n">
        <v>4</v>
      </c>
      <c r="R92" s="2" t="inlineStr">
        <is>
          <t>Blåmossa
Granbarkgnagare
Kattfotslav
Tvåblad</t>
        </is>
      </c>
      <c r="S92">
        <f>HYPERLINK("https://klasma.github.io/Logging_0980/artfynd/A 29331-2021 artfynd.xlsx", "A 29331-2021")</f>
        <v/>
      </c>
      <c r="T92">
        <f>HYPERLINK("https://klasma.github.io/Logging_0980/kartor/A 29331-2021 karta.png", "A 29331-2021")</f>
        <v/>
      </c>
      <c r="V92">
        <f>HYPERLINK("https://klasma.github.io/Logging_0980/klagomål/A 29331-2021 FSC-klagomål.docx", "A 29331-2021")</f>
        <v/>
      </c>
      <c r="W92">
        <f>HYPERLINK("https://klasma.github.io/Logging_0980/klagomålsmail/A 29331-2021 FSC-klagomål mail.docx", "A 29331-2021")</f>
        <v/>
      </c>
      <c r="X92">
        <f>HYPERLINK("https://klasma.github.io/Logging_0980/tillsyn/A 29331-2021 tillsynsbegäran.docx", "A 29331-2021")</f>
        <v/>
      </c>
      <c r="Y92">
        <f>HYPERLINK("https://klasma.github.io/Logging_0980/tillsynsmail/A 29331-2021 tillsynsbegäran mail.docx", "A 29331-2021")</f>
        <v/>
      </c>
    </row>
    <row r="93" ht="15" customHeight="1">
      <c r="A93" t="inlineStr">
        <is>
          <t>A 44933-2022</t>
        </is>
      </c>
      <c r="B93" s="1" t="n">
        <v>44841</v>
      </c>
      <c r="C93" s="1" t="n">
        <v>45579</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47526-2022</t>
        </is>
      </c>
      <c r="B94" s="1" t="n">
        <v>44853</v>
      </c>
      <c r="C94" s="1" t="n">
        <v>45579</v>
      </c>
      <c r="D94" t="inlineStr">
        <is>
          <t>GOTLANDS LÄN</t>
        </is>
      </c>
      <c r="E94" t="inlineStr">
        <is>
          <t>GOTLAND</t>
        </is>
      </c>
      <c r="G94" t="n">
        <v>9.800000000000001</v>
      </c>
      <c r="H94" t="n">
        <v>3</v>
      </c>
      <c r="I94" t="n">
        <v>0</v>
      </c>
      <c r="J94" t="n">
        <v>2</v>
      </c>
      <c r="K94" t="n">
        <v>0</v>
      </c>
      <c r="L94" t="n">
        <v>0</v>
      </c>
      <c r="M94" t="n">
        <v>0</v>
      </c>
      <c r="N94" t="n">
        <v>0</v>
      </c>
      <c r="O94" t="n">
        <v>2</v>
      </c>
      <c r="P94" t="n">
        <v>0</v>
      </c>
      <c r="Q94" t="n">
        <v>4</v>
      </c>
      <c r="R94" s="2" t="inlineStr">
        <is>
          <t>Dårgräsfjäril
Svinrot
Sankt pers nycklar
Blåsippa</t>
        </is>
      </c>
      <c r="S94">
        <f>HYPERLINK("https://klasma.github.io/Logging_0980/artfynd/A 47526-2022 artfynd.xlsx", "A 47526-2022")</f>
        <v/>
      </c>
      <c r="T94">
        <f>HYPERLINK("https://klasma.github.io/Logging_0980/kartor/A 47526-2022 karta.png", "A 47526-2022")</f>
        <v/>
      </c>
      <c r="V94">
        <f>HYPERLINK("https://klasma.github.io/Logging_0980/klagomål/A 47526-2022 FSC-klagomål.docx", "A 47526-2022")</f>
        <v/>
      </c>
      <c r="W94">
        <f>HYPERLINK("https://klasma.github.io/Logging_0980/klagomålsmail/A 47526-2022 FSC-klagomål mail.docx", "A 47526-2022")</f>
        <v/>
      </c>
      <c r="X94">
        <f>HYPERLINK("https://klasma.github.io/Logging_0980/tillsyn/A 47526-2022 tillsynsbegäran.docx", "A 47526-2022")</f>
        <v/>
      </c>
      <c r="Y94">
        <f>HYPERLINK("https://klasma.github.io/Logging_0980/tillsynsmail/A 47526-2022 tillsynsbegäran mail.docx", "A 47526-2022")</f>
        <v/>
      </c>
    </row>
    <row r="95" ht="15" customHeight="1">
      <c r="A95" t="inlineStr">
        <is>
          <t>A 186-2023</t>
        </is>
      </c>
      <c r="B95" s="1" t="n">
        <v>44928</v>
      </c>
      <c r="C95" s="1" t="n">
        <v>45579</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445-2023</t>
        </is>
      </c>
      <c r="B96" s="1" t="n">
        <v>44929</v>
      </c>
      <c r="C96" s="1" t="n">
        <v>45579</v>
      </c>
      <c r="D96" t="inlineStr">
        <is>
          <t>GOTLANDS LÄN</t>
        </is>
      </c>
      <c r="E96" t="inlineStr">
        <is>
          <t>GOTLAND</t>
        </is>
      </c>
      <c r="G96" t="n">
        <v>4.9</v>
      </c>
      <c r="H96" t="n">
        <v>0</v>
      </c>
      <c r="I96" t="n">
        <v>1</v>
      </c>
      <c r="J96" t="n">
        <v>1</v>
      </c>
      <c r="K96" t="n">
        <v>2</v>
      </c>
      <c r="L96" t="n">
        <v>0</v>
      </c>
      <c r="M96" t="n">
        <v>0</v>
      </c>
      <c r="N96" t="n">
        <v>0</v>
      </c>
      <c r="O96" t="n">
        <v>3</v>
      </c>
      <c r="P96" t="n">
        <v>2</v>
      </c>
      <c r="Q96" t="n">
        <v>4</v>
      </c>
      <c r="R96" s="2" t="inlineStr">
        <is>
          <t>Granrotspindling
Taggfingersvamp
Jordtistel
Rödgul trumpetsvamp</t>
        </is>
      </c>
      <c r="S96">
        <f>HYPERLINK("https://klasma.github.io/Logging_0980/artfynd/A 445-2023 artfynd.xlsx", "A 445-2023")</f>
        <v/>
      </c>
      <c r="T96">
        <f>HYPERLINK("https://klasma.github.io/Logging_0980/kartor/A 445-2023 karta.png", "A 445-2023")</f>
        <v/>
      </c>
      <c r="V96">
        <f>HYPERLINK("https://klasma.github.io/Logging_0980/klagomål/A 445-2023 FSC-klagomål.docx", "A 445-2023")</f>
        <v/>
      </c>
      <c r="W96">
        <f>HYPERLINK("https://klasma.github.io/Logging_0980/klagomålsmail/A 445-2023 FSC-klagomål mail.docx", "A 445-2023")</f>
        <v/>
      </c>
      <c r="X96">
        <f>HYPERLINK("https://klasma.github.io/Logging_0980/tillsyn/A 445-2023 tillsynsbegäran.docx", "A 445-2023")</f>
        <v/>
      </c>
      <c r="Y96">
        <f>HYPERLINK("https://klasma.github.io/Logging_0980/tillsynsmail/A 445-2023 tillsynsbegäran mail.docx", "A 445-2023")</f>
        <v/>
      </c>
    </row>
    <row r="97" ht="15" customHeight="1">
      <c r="A97" t="inlineStr">
        <is>
          <t>A 584-2023</t>
        </is>
      </c>
      <c r="B97" s="1" t="n">
        <v>44930</v>
      </c>
      <c r="C97" s="1" t="n">
        <v>45579</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45579</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45579</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45579</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45579</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45579</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45579</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45579</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45579</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45579</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45579</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45579</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45579</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45579</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45579</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45579</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45579</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45579</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45579</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45579</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45579</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45579</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45579</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45579</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45579</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45579</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45579</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45579</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45579</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45579</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45579</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45579</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45579</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45579</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45579</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45579</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45579</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45579</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45579</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45579</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45579</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45579</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45579</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45579</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45579</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45579</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45579</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45579</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45579</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45579</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45579</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45579</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45579</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45579</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45579</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45579</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45579</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45579</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45579</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45579</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45579</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45579</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45579</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45579</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45579</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45579</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45579</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45579</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45579</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45579</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45579</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45579</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45579</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45579</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45579</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45579</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45579</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45579</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45579</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45579</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45579</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45579</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45579</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45579</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45579</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45579</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45579</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45579</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45579</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45579</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45579</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45579</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45579</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44308-2021</t>
        </is>
      </c>
      <c r="B190" s="1" t="n">
        <v>44434</v>
      </c>
      <c r="C190" s="1" t="n">
        <v>45579</v>
      </c>
      <c r="D190" t="inlineStr">
        <is>
          <t>GOTLANDS LÄN</t>
        </is>
      </c>
      <c r="E190" t="inlineStr">
        <is>
          <t>GOTLAND</t>
        </is>
      </c>
      <c r="G190" t="n">
        <v>5.9</v>
      </c>
      <c r="H190" t="n">
        <v>0</v>
      </c>
      <c r="I190" t="n">
        <v>1</v>
      </c>
      <c r="J190" t="n">
        <v>0</v>
      </c>
      <c r="K190" t="n">
        <v>0</v>
      </c>
      <c r="L190" t="n">
        <v>0</v>
      </c>
      <c r="M190" t="n">
        <v>0</v>
      </c>
      <c r="N190" t="n">
        <v>0</v>
      </c>
      <c r="O190" t="n">
        <v>0</v>
      </c>
      <c r="P190" t="n">
        <v>0</v>
      </c>
      <c r="Q190" t="n">
        <v>1</v>
      </c>
      <c r="R190" s="2" t="inlineStr">
        <is>
          <t>Svavelriska</t>
        </is>
      </c>
      <c r="S190">
        <f>HYPERLINK("https://klasma.github.io/Logging_0980/artfynd/A 44308-2021 artfynd.xlsx", "A 44308-2021")</f>
        <v/>
      </c>
      <c r="T190">
        <f>HYPERLINK("https://klasma.github.io/Logging_0980/kartor/A 44308-2021 karta.png", "A 44308-2021")</f>
        <v/>
      </c>
      <c r="V190">
        <f>HYPERLINK("https://klasma.github.io/Logging_0980/klagomål/A 44308-2021 FSC-klagomål.docx", "A 44308-2021")</f>
        <v/>
      </c>
      <c r="W190">
        <f>HYPERLINK("https://klasma.github.io/Logging_0980/klagomålsmail/A 44308-2021 FSC-klagomål mail.docx", "A 44308-2021")</f>
        <v/>
      </c>
      <c r="X190">
        <f>HYPERLINK("https://klasma.github.io/Logging_0980/tillsyn/A 44308-2021 tillsynsbegäran.docx", "A 44308-2021")</f>
        <v/>
      </c>
      <c r="Y190">
        <f>HYPERLINK("https://klasma.github.io/Logging_0980/tillsynsmail/A 44308-2021 tillsynsbegäran mail.docx", "A 44308-2021")</f>
        <v/>
      </c>
    </row>
    <row r="191" ht="15" customHeight="1">
      <c r="A191" t="inlineStr">
        <is>
          <t>A 47411-2021</t>
        </is>
      </c>
      <c r="B191" s="1" t="n">
        <v>44447</v>
      </c>
      <c r="C191" s="1" t="n">
        <v>45579</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Revlummer</t>
        </is>
      </c>
      <c r="S191">
        <f>HYPERLINK("https://klasma.github.io/Logging_0980/artfynd/A 47411-2021 artfynd.xlsx", "A 47411-2021")</f>
        <v/>
      </c>
      <c r="T191">
        <f>HYPERLINK("https://klasma.github.io/Logging_0980/kartor/A 47411-2021 karta.png", "A 47411-2021")</f>
        <v/>
      </c>
      <c r="V191">
        <f>HYPERLINK("https://klasma.github.io/Logging_0980/klagomål/A 47411-2021 FSC-klagomål.docx", "A 47411-2021")</f>
        <v/>
      </c>
      <c r="W191">
        <f>HYPERLINK("https://klasma.github.io/Logging_0980/klagomålsmail/A 47411-2021 FSC-klagomål mail.docx", "A 47411-2021")</f>
        <v/>
      </c>
      <c r="X191">
        <f>HYPERLINK("https://klasma.github.io/Logging_0980/tillsyn/A 47411-2021 tillsynsbegäran.docx", "A 47411-2021")</f>
        <v/>
      </c>
      <c r="Y191">
        <f>HYPERLINK("https://klasma.github.io/Logging_0980/tillsynsmail/A 47411-2021 tillsynsbegäran mail.docx", "A 47411-2021")</f>
        <v/>
      </c>
    </row>
    <row r="192" ht="15" customHeight="1">
      <c r="A192" t="inlineStr">
        <is>
          <t>A 63576-2021</t>
        </is>
      </c>
      <c r="B192" s="1" t="n">
        <v>44508</v>
      </c>
      <c r="C192" s="1" t="n">
        <v>45579</v>
      </c>
      <c r="D192" t="inlineStr">
        <is>
          <t>GOTLANDS LÄN</t>
        </is>
      </c>
      <c r="E192" t="inlineStr">
        <is>
          <t>GOTLAND</t>
        </is>
      </c>
      <c r="F192" t="inlineStr">
        <is>
          <t>Kyrkan</t>
        </is>
      </c>
      <c r="G192" t="n">
        <v>4.1</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63576-2021 artfynd.xlsx", "A 63576-2021")</f>
        <v/>
      </c>
      <c r="T192">
        <f>HYPERLINK("https://klasma.github.io/Logging_0980/kartor/A 63576-2021 karta.png", "A 63576-2021")</f>
        <v/>
      </c>
      <c r="V192">
        <f>HYPERLINK("https://klasma.github.io/Logging_0980/klagomål/A 63576-2021 FSC-klagomål.docx", "A 63576-2021")</f>
        <v/>
      </c>
      <c r="W192">
        <f>HYPERLINK("https://klasma.github.io/Logging_0980/klagomålsmail/A 63576-2021 FSC-klagomål mail.docx", "A 63576-2021")</f>
        <v/>
      </c>
      <c r="X192">
        <f>HYPERLINK("https://klasma.github.io/Logging_0980/tillsyn/A 63576-2021 tillsynsbegäran.docx", "A 63576-2021")</f>
        <v/>
      </c>
      <c r="Y192">
        <f>HYPERLINK("https://klasma.github.io/Logging_0980/tillsynsmail/A 63576-2021 tillsynsbegäran mail.docx", "A 63576-2021")</f>
        <v/>
      </c>
    </row>
    <row r="193" ht="15" customHeight="1">
      <c r="A193" t="inlineStr">
        <is>
          <t>A 64700-2021</t>
        </is>
      </c>
      <c r="B193" s="1" t="n">
        <v>44511</v>
      </c>
      <c r="C193" s="1" t="n">
        <v>45579</v>
      </c>
      <c r="D193" t="inlineStr">
        <is>
          <t>GOTLANDS LÄN</t>
        </is>
      </c>
      <c r="E193" t="inlineStr">
        <is>
          <t>GOTLAND</t>
        </is>
      </c>
      <c r="F193" t="inlineStr">
        <is>
          <t>Naturvårdsverket</t>
        </is>
      </c>
      <c r="G193" t="n">
        <v>2.4</v>
      </c>
      <c r="H193" t="n">
        <v>1</v>
      </c>
      <c r="I193" t="n">
        <v>0</v>
      </c>
      <c r="J193" t="n">
        <v>0</v>
      </c>
      <c r="K193" t="n">
        <v>1</v>
      </c>
      <c r="L193" t="n">
        <v>0</v>
      </c>
      <c r="M193" t="n">
        <v>0</v>
      </c>
      <c r="N193" t="n">
        <v>0</v>
      </c>
      <c r="O193" t="n">
        <v>1</v>
      </c>
      <c r="P193" t="n">
        <v>1</v>
      </c>
      <c r="Q193" t="n">
        <v>1</v>
      </c>
      <c r="R193" s="2" t="inlineStr">
        <is>
          <t>Kalkdån</t>
        </is>
      </c>
      <c r="S193">
        <f>HYPERLINK("https://klasma.github.io/Logging_0980/artfynd/A 64700-2021 artfynd.xlsx", "A 64700-2021")</f>
        <v/>
      </c>
      <c r="T193">
        <f>HYPERLINK("https://klasma.github.io/Logging_0980/kartor/A 64700-2021 karta.png", "A 64700-2021")</f>
        <v/>
      </c>
      <c r="V193">
        <f>HYPERLINK("https://klasma.github.io/Logging_0980/klagomål/A 64700-2021 FSC-klagomål.docx", "A 64700-2021")</f>
        <v/>
      </c>
      <c r="W193">
        <f>HYPERLINK("https://klasma.github.io/Logging_0980/klagomålsmail/A 64700-2021 FSC-klagomål mail.docx", "A 64700-2021")</f>
        <v/>
      </c>
      <c r="X193">
        <f>HYPERLINK("https://klasma.github.io/Logging_0980/tillsyn/A 64700-2021 tillsynsbegäran.docx", "A 64700-2021")</f>
        <v/>
      </c>
      <c r="Y193">
        <f>HYPERLINK("https://klasma.github.io/Logging_0980/tillsynsmail/A 64700-2021 tillsynsbegäran mail.docx", "A 64700-2021")</f>
        <v/>
      </c>
    </row>
    <row r="194" ht="15" customHeight="1">
      <c r="A194" t="inlineStr">
        <is>
          <t>A 65927-2021</t>
        </is>
      </c>
      <c r="B194" s="1" t="n">
        <v>44516</v>
      </c>
      <c r="C194" s="1" t="n">
        <v>45579</v>
      </c>
      <c r="D194" t="inlineStr">
        <is>
          <t>GOTLANDS LÄN</t>
        </is>
      </c>
      <c r="E194" t="inlineStr">
        <is>
          <t>GOTLAND</t>
        </is>
      </c>
      <c r="G194" t="n">
        <v>3.1</v>
      </c>
      <c r="H194" t="n">
        <v>1</v>
      </c>
      <c r="I194" t="n">
        <v>0</v>
      </c>
      <c r="J194" t="n">
        <v>0</v>
      </c>
      <c r="K194" t="n">
        <v>1</v>
      </c>
      <c r="L194" t="n">
        <v>0</v>
      </c>
      <c r="M194" t="n">
        <v>0</v>
      </c>
      <c r="N194" t="n">
        <v>0</v>
      </c>
      <c r="O194" t="n">
        <v>1</v>
      </c>
      <c r="P194" t="n">
        <v>1</v>
      </c>
      <c r="Q194" t="n">
        <v>1</v>
      </c>
      <c r="R194" s="2" t="inlineStr">
        <is>
          <t>Grenigt kungsljus</t>
        </is>
      </c>
      <c r="S194">
        <f>HYPERLINK("https://klasma.github.io/Logging_0980/artfynd/A 65927-2021 artfynd.xlsx", "A 65927-2021")</f>
        <v/>
      </c>
      <c r="T194">
        <f>HYPERLINK("https://klasma.github.io/Logging_0980/kartor/A 65927-2021 karta.png", "A 65927-2021")</f>
        <v/>
      </c>
      <c r="V194">
        <f>HYPERLINK("https://klasma.github.io/Logging_0980/klagomål/A 65927-2021 FSC-klagomål.docx", "A 65927-2021")</f>
        <v/>
      </c>
      <c r="W194">
        <f>HYPERLINK("https://klasma.github.io/Logging_0980/klagomålsmail/A 65927-2021 FSC-klagomål mail.docx", "A 65927-2021")</f>
        <v/>
      </c>
      <c r="X194">
        <f>HYPERLINK("https://klasma.github.io/Logging_0980/tillsyn/A 65927-2021 tillsynsbegäran.docx", "A 65927-2021")</f>
        <v/>
      </c>
      <c r="Y194">
        <f>HYPERLINK("https://klasma.github.io/Logging_0980/tillsynsmail/A 65927-2021 tillsynsbegäran mail.docx", "A 65927-2021")</f>
        <v/>
      </c>
    </row>
    <row r="195" ht="15" customHeight="1">
      <c r="A195" t="inlineStr">
        <is>
          <t>A 66091-2021</t>
        </is>
      </c>
      <c r="B195" s="1" t="n">
        <v>44517</v>
      </c>
      <c r="C195" s="1" t="n">
        <v>45579</v>
      </c>
      <c r="D195" t="inlineStr">
        <is>
          <t>GOTLANDS LÄN</t>
        </is>
      </c>
      <c r="E195" t="inlineStr">
        <is>
          <t>GOTLAND</t>
        </is>
      </c>
      <c r="G195" t="n">
        <v>11.7</v>
      </c>
      <c r="H195" t="n">
        <v>1</v>
      </c>
      <c r="I195" t="n">
        <v>0</v>
      </c>
      <c r="J195" t="n">
        <v>0</v>
      </c>
      <c r="K195" t="n">
        <v>0</v>
      </c>
      <c r="L195" t="n">
        <v>0</v>
      </c>
      <c r="M195" t="n">
        <v>0</v>
      </c>
      <c r="N195" t="n">
        <v>0</v>
      </c>
      <c r="O195" t="n">
        <v>0</v>
      </c>
      <c r="P195" t="n">
        <v>0</v>
      </c>
      <c r="Q195" t="n">
        <v>1</v>
      </c>
      <c r="R195" s="2" t="inlineStr">
        <is>
          <t>Pärluggla</t>
        </is>
      </c>
      <c r="S195">
        <f>HYPERLINK("https://klasma.github.io/Logging_0980/artfynd/A 66091-2021 artfynd.xlsx", "A 66091-2021")</f>
        <v/>
      </c>
      <c r="T195">
        <f>HYPERLINK("https://klasma.github.io/Logging_0980/kartor/A 66091-2021 karta.png", "A 66091-2021")</f>
        <v/>
      </c>
      <c r="V195">
        <f>HYPERLINK("https://klasma.github.io/Logging_0980/klagomål/A 66091-2021 FSC-klagomål.docx", "A 66091-2021")</f>
        <v/>
      </c>
      <c r="W195">
        <f>HYPERLINK("https://klasma.github.io/Logging_0980/klagomålsmail/A 66091-2021 FSC-klagomål mail.docx", "A 66091-2021")</f>
        <v/>
      </c>
      <c r="X195">
        <f>HYPERLINK("https://klasma.github.io/Logging_0980/tillsyn/A 66091-2021 tillsynsbegäran.docx", "A 66091-2021")</f>
        <v/>
      </c>
      <c r="Y195">
        <f>HYPERLINK("https://klasma.github.io/Logging_0980/tillsynsmail/A 66091-2021 tillsynsbegäran mail.docx", "A 66091-2021")</f>
        <v/>
      </c>
      <c r="Z195">
        <f>HYPERLINK("https://klasma.github.io/Logging_0980/fåglar/A 66091-2021 prioriterade fågelarter.docx", "A 66091-2021")</f>
        <v/>
      </c>
    </row>
    <row r="196" ht="15" customHeight="1">
      <c r="A196" t="inlineStr">
        <is>
          <t>A 24245-2022</t>
        </is>
      </c>
      <c r="B196" s="1" t="n">
        <v>44725</v>
      </c>
      <c r="C196" s="1" t="n">
        <v>45579</v>
      </c>
      <c r="D196" t="inlineStr">
        <is>
          <t>GOTLANDS LÄN</t>
        </is>
      </c>
      <c r="E196" t="inlineStr">
        <is>
          <t>GOTLAND</t>
        </is>
      </c>
      <c r="G196" t="n">
        <v>4.9</v>
      </c>
      <c r="H196" t="n">
        <v>0</v>
      </c>
      <c r="I196" t="n">
        <v>0</v>
      </c>
      <c r="J196" t="n">
        <v>0</v>
      </c>
      <c r="K196" t="n">
        <v>0</v>
      </c>
      <c r="L196" t="n">
        <v>1</v>
      </c>
      <c r="M196" t="n">
        <v>0</v>
      </c>
      <c r="N196" t="n">
        <v>0</v>
      </c>
      <c r="O196" t="n">
        <v>1</v>
      </c>
      <c r="P196" t="n">
        <v>1</v>
      </c>
      <c r="Q196" t="n">
        <v>1</v>
      </c>
      <c r="R196" s="2" t="inlineStr">
        <is>
          <t>Slät taggsvamp</t>
        </is>
      </c>
      <c r="S196">
        <f>HYPERLINK("https://klasma.github.io/Logging_0980/artfynd/A 24245-2022 artfynd.xlsx", "A 24245-2022")</f>
        <v/>
      </c>
      <c r="T196">
        <f>HYPERLINK("https://klasma.github.io/Logging_0980/kartor/A 24245-2022 karta.png", "A 24245-2022")</f>
        <v/>
      </c>
      <c r="V196">
        <f>HYPERLINK("https://klasma.github.io/Logging_0980/klagomål/A 24245-2022 FSC-klagomål.docx", "A 24245-2022")</f>
        <v/>
      </c>
      <c r="W196">
        <f>HYPERLINK("https://klasma.github.io/Logging_0980/klagomålsmail/A 24245-2022 FSC-klagomål mail.docx", "A 24245-2022")</f>
        <v/>
      </c>
      <c r="X196">
        <f>HYPERLINK("https://klasma.github.io/Logging_0980/tillsyn/A 24245-2022 tillsynsbegäran.docx", "A 24245-2022")</f>
        <v/>
      </c>
      <c r="Y196">
        <f>HYPERLINK("https://klasma.github.io/Logging_0980/tillsynsmail/A 24245-2022 tillsynsbegäran mail.docx", "A 24245-2022")</f>
        <v/>
      </c>
    </row>
    <row r="197" ht="15" customHeight="1">
      <c r="A197" t="inlineStr">
        <is>
          <t>A 25783-2022</t>
        </is>
      </c>
      <c r="B197" s="1" t="n">
        <v>44733</v>
      </c>
      <c r="C197" s="1" t="n">
        <v>45579</v>
      </c>
      <c r="D197" t="inlineStr">
        <is>
          <t>GOTLANDS LÄN</t>
        </is>
      </c>
      <c r="E197" t="inlineStr">
        <is>
          <t>GOTLAND</t>
        </is>
      </c>
      <c r="G197" t="n">
        <v>1</v>
      </c>
      <c r="H197" t="n">
        <v>1</v>
      </c>
      <c r="I197" t="n">
        <v>1</v>
      </c>
      <c r="J197" t="n">
        <v>0</v>
      </c>
      <c r="K197" t="n">
        <v>0</v>
      </c>
      <c r="L197" t="n">
        <v>0</v>
      </c>
      <c r="M197" t="n">
        <v>0</v>
      </c>
      <c r="N197" t="n">
        <v>0</v>
      </c>
      <c r="O197" t="n">
        <v>0</v>
      </c>
      <c r="P197" t="n">
        <v>0</v>
      </c>
      <c r="Q197" t="n">
        <v>1</v>
      </c>
      <c r="R197" s="2" t="inlineStr">
        <is>
          <t>Vit skogslilja</t>
        </is>
      </c>
      <c r="S197">
        <f>HYPERLINK("https://klasma.github.io/Logging_0980/artfynd/A 25783-2022 artfynd.xlsx", "A 25783-2022")</f>
        <v/>
      </c>
      <c r="T197">
        <f>HYPERLINK("https://klasma.github.io/Logging_0980/kartor/A 25783-2022 karta.png", "A 25783-2022")</f>
        <v/>
      </c>
      <c r="V197">
        <f>HYPERLINK("https://klasma.github.io/Logging_0980/klagomål/A 25783-2022 FSC-klagomål.docx", "A 25783-2022")</f>
        <v/>
      </c>
      <c r="W197">
        <f>HYPERLINK("https://klasma.github.io/Logging_0980/klagomålsmail/A 25783-2022 FSC-klagomål mail.docx", "A 25783-2022")</f>
        <v/>
      </c>
      <c r="X197">
        <f>HYPERLINK("https://klasma.github.io/Logging_0980/tillsyn/A 25783-2022 tillsynsbegäran.docx", "A 25783-2022")</f>
        <v/>
      </c>
      <c r="Y197">
        <f>HYPERLINK("https://klasma.github.io/Logging_0980/tillsynsmail/A 25783-2022 tillsynsbegäran mail.docx", "A 25783-2022")</f>
        <v/>
      </c>
    </row>
    <row r="198" ht="15" customHeight="1">
      <c r="A198" t="inlineStr">
        <is>
          <t>A 27168-2022</t>
        </is>
      </c>
      <c r="B198" s="1" t="n">
        <v>44741</v>
      </c>
      <c r="C198" s="1" t="n">
        <v>45579</v>
      </c>
      <c r="D198" t="inlineStr">
        <is>
          <t>GOTLANDS LÄN</t>
        </is>
      </c>
      <c r="E198" t="inlineStr">
        <is>
          <t>GOTLAND</t>
        </is>
      </c>
      <c r="G198" t="n">
        <v>2.2</v>
      </c>
      <c r="H198" t="n">
        <v>1</v>
      </c>
      <c r="I198" t="n">
        <v>1</v>
      </c>
      <c r="J198" t="n">
        <v>0</v>
      </c>
      <c r="K198" t="n">
        <v>0</v>
      </c>
      <c r="L198" t="n">
        <v>0</v>
      </c>
      <c r="M198" t="n">
        <v>0</v>
      </c>
      <c r="N198" t="n">
        <v>0</v>
      </c>
      <c r="O198" t="n">
        <v>0</v>
      </c>
      <c r="P198" t="n">
        <v>0</v>
      </c>
      <c r="Q198" t="n">
        <v>1</v>
      </c>
      <c r="R198" s="2" t="inlineStr">
        <is>
          <t>Purpurknipprot</t>
        </is>
      </c>
      <c r="S198">
        <f>HYPERLINK("https://klasma.github.io/Logging_0980/artfynd/A 27168-2022 artfynd.xlsx", "A 27168-2022")</f>
        <v/>
      </c>
      <c r="T198">
        <f>HYPERLINK("https://klasma.github.io/Logging_0980/kartor/A 27168-2022 karta.png", "A 27168-2022")</f>
        <v/>
      </c>
      <c r="V198">
        <f>HYPERLINK("https://klasma.github.io/Logging_0980/klagomål/A 27168-2022 FSC-klagomål.docx", "A 27168-2022")</f>
        <v/>
      </c>
      <c r="W198">
        <f>HYPERLINK("https://klasma.github.io/Logging_0980/klagomålsmail/A 27168-2022 FSC-klagomål mail.docx", "A 27168-2022")</f>
        <v/>
      </c>
      <c r="X198">
        <f>HYPERLINK("https://klasma.github.io/Logging_0980/tillsyn/A 27168-2022 tillsynsbegäran.docx", "A 27168-2022")</f>
        <v/>
      </c>
      <c r="Y198">
        <f>HYPERLINK("https://klasma.github.io/Logging_0980/tillsynsmail/A 27168-2022 tillsynsbegäran mail.docx", "A 27168-2022")</f>
        <v/>
      </c>
    </row>
    <row r="199" ht="15" customHeight="1">
      <c r="A199" t="inlineStr">
        <is>
          <t>A 27814-2022</t>
        </is>
      </c>
      <c r="B199" s="1" t="n">
        <v>44743</v>
      </c>
      <c r="C199" s="1" t="n">
        <v>45579</v>
      </c>
      <c r="D199" t="inlineStr">
        <is>
          <t>GOTLANDS LÄN</t>
        </is>
      </c>
      <c r="E199" t="inlineStr">
        <is>
          <t>GOTLAND</t>
        </is>
      </c>
      <c r="G199" t="n">
        <v>25</v>
      </c>
      <c r="H199" t="n">
        <v>1</v>
      </c>
      <c r="I199" t="n">
        <v>0</v>
      </c>
      <c r="J199" t="n">
        <v>0</v>
      </c>
      <c r="K199" t="n">
        <v>0</v>
      </c>
      <c r="L199" t="n">
        <v>0</v>
      </c>
      <c r="M199" t="n">
        <v>0</v>
      </c>
      <c r="N199" t="n">
        <v>0</v>
      </c>
      <c r="O199" t="n">
        <v>0</v>
      </c>
      <c r="P199" t="n">
        <v>0</v>
      </c>
      <c r="Q199" t="n">
        <v>1</v>
      </c>
      <c r="R199" s="2" t="inlineStr">
        <is>
          <t>Mindre vattensalamander</t>
        </is>
      </c>
      <c r="S199">
        <f>HYPERLINK("https://klasma.github.io/Logging_0980/artfynd/A 27814-2022 artfynd.xlsx", "A 27814-2022")</f>
        <v/>
      </c>
      <c r="T199">
        <f>HYPERLINK("https://klasma.github.io/Logging_0980/kartor/A 27814-2022 karta.png", "A 27814-2022")</f>
        <v/>
      </c>
      <c r="V199">
        <f>HYPERLINK("https://klasma.github.io/Logging_0980/klagomål/A 27814-2022 FSC-klagomål.docx", "A 27814-2022")</f>
        <v/>
      </c>
      <c r="W199">
        <f>HYPERLINK("https://klasma.github.io/Logging_0980/klagomålsmail/A 27814-2022 FSC-klagomål mail.docx", "A 27814-2022")</f>
        <v/>
      </c>
      <c r="X199">
        <f>HYPERLINK("https://klasma.github.io/Logging_0980/tillsyn/A 27814-2022 tillsynsbegäran.docx", "A 27814-2022")</f>
        <v/>
      </c>
      <c r="Y199">
        <f>HYPERLINK("https://klasma.github.io/Logging_0980/tillsynsmail/A 27814-2022 tillsynsbegäran mail.docx", "A 27814-2022")</f>
        <v/>
      </c>
    </row>
    <row r="200" ht="15" customHeight="1">
      <c r="A200" t="inlineStr">
        <is>
          <t>A 44095-2022</t>
        </is>
      </c>
      <c r="B200" s="1" t="n">
        <v>44839</v>
      </c>
      <c r="C200" s="1" t="n">
        <v>45579</v>
      </c>
      <c r="D200" t="inlineStr">
        <is>
          <t>GOTLANDS LÄN</t>
        </is>
      </c>
      <c r="E200" t="inlineStr">
        <is>
          <t>GOTLAND</t>
        </is>
      </c>
      <c r="G200" t="n">
        <v>9</v>
      </c>
      <c r="H200" t="n">
        <v>0</v>
      </c>
      <c r="I200" t="n">
        <v>1</v>
      </c>
      <c r="J200" t="n">
        <v>0</v>
      </c>
      <c r="K200" t="n">
        <v>0</v>
      </c>
      <c r="L200" t="n">
        <v>0</v>
      </c>
      <c r="M200" t="n">
        <v>0</v>
      </c>
      <c r="N200" t="n">
        <v>0</v>
      </c>
      <c r="O200" t="n">
        <v>0</v>
      </c>
      <c r="P200" t="n">
        <v>0</v>
      </c>
      <c r="Q200" t="n">
        <v>1</v>
      </c>
      <c r="R200" s="2" t="inlineStr">
        <is>
          <t>Strävlosta</t>
        </is>
      </c>
      <c r="S200">
        <f>HYPERLINK("https://klasma.github.io/Logging_0980/artfynd/A 44095-2022 artfynd.xlsx", "A 44095-2022")</f>
        <v/>
      </c>
      <c r="T200">
        <f>HYPERLINK("https://klasma.github.io/Logging_0980/kartor/A 44095-2022 karta.png", "A 44095-2022")</f>
        <v/>
      </c>
      <c r="V200">
        <f>HYPERLINK("https://klasma.github.io/Logging_0980/klagomål/A 44095-2022 FSC-klagomål.docx", "A 44095-2022")</f>
        <v/>
      </c>
      <c r="W200">
        <f>HYPERLINK("https://klasma.github.io/Logging_0980/klagomålsmail/A 44095-2022 FSC-klagomål mail.docx", "A 44095-2022")</f>
        <v/>
      </c>
      <c r="X200">
        <f>HYPERLINK("https://klasma.github.io/Logging_0980/tillsyn/A 44095-2022 tillsynsbegäran.docx", "A 44095-2022")</f>
        <v/>
      </c>
      <c r="Y200">
        <f>HYPERLINK("https://klasma.github.io/Logging_0980/tillsynsmail/A 44095-2022 tillsynsbegäran mail.docx", "A 44095-2022")</f>
        <v/>
      </c>
    </row>
    <row r="201" ht="15" customHeight="1">
      <c r="A201" t="inlineStr">
        <is>
          <t>A 44088-2022</t>
        </is>
      </c>
      <c r="B201" s="1" t="n">
        <v>44839</v>
      </c>
      <c r="C201" s="1" t="n">
        <v>45579</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Strävlosta</t>
        </is>
      </c>
      <c r="S201">
        <f>HYPERLINK("https://klasma.github.io/Logging_0980/artfynd/A 44088-2022 artfynd.xlsx", "A 44088-2022")</f>
        <v/>
      </c>
      <c r="T201">
        <f>HYPERLINK("https://klasma.github.io/Logging_0980/kartor/A 44088-2022 karta.png", "A 44088-2022")</f>
        <v/>
      </c>
      <c r="V201">
        <f>HYPERLINK("https://klasma.github.io/Logging_0980/klagomål/A 44088-2022 FSC-klagomål.docx", "A 44088-2022")</f>
        <v/>
      </c>
      <c r="W201">
        <f>HYPERLINK("https://klasma.github.io/Logging_0980/klagomålsmail/A 44088-2022 FSC-klagomål mail.docx", "A 44088-2022")</f>
        <v/>
      </c>
      <c r="X201">
        <f>HYPERLINK("https://klasma.github.io/Logging_0980/tillsyn/A 44088-2022 tillsynsbegäran.docx", "A 44088-2022")</f>
        <v/>
      </c>
      <c r="Y201">
        <f>HYPERLINK("https://klasma.github.io/Logging_0980/tillsynsmail/A 44088-2022 tillsynsbegäran mail.docx", "A 44088-2022")</f>
        <v/>
      </c>
    </row>
    <row r="202" ht="15" customHeight="1">
      <c r="A202" t="inlineStr">
        <is>
          <t>A 61796-2022</t>
        </is>
      </c>
      <c r="B202" s="1" t="n">
        <v>44917</v>
      </c>
      <c r="C202" s="1" t="n">
        <v>45579</v>
      </c>
      <c r="D202" t="inlineStr">
        <is>
          <t>GOTLANDS LÄN</t>
        </is>
      </c>
      <c r="E202" t="inlineStr">
        <is>
          <t>GOTLAND</t>
        </is>
      </c>
      <c r="G202" t="n">
        <v>1.5</v>
      </c>
      <c r="H202" t="n">
        <v>1</v>
      </c>
      <c r="I202" t="n">
        <v>0</v>
      </c>
      <c r="J202" t="n">
        <v>0</v>
      </c>
      <c r="K202" t="n">
        <v>0</v>
      </c>
      <c r="L202" t="n">
        <v>0</v>
      </c>
      <c r="M202" t="n">
        <v>0</v>
      </c>
      <c r="N202" t="n">
        <v>0</v>
      </c>
      <c r="O202" t="n">
        <v>0</v>
      </c>
      <c r="P202" t="n">
        <v>0</v>
      </c>
      <c r="Q202" t="n">
        <v>1</v>
      </c>
      <c r="R202" s="2" t="inlineStr">
        <is>
          <t>Skogsduva</t>
        </is>
      </c>
      <c r="S202">
        <f>HYPERLINK("https://klasma.github.io/Logging_0980/artfynd/A 61796-2022 artfynd.xlsx", "A 61796-2022")</f>
        <v/>
      </c>
      <c r="T202">
        <f>HYPERLINK("https://klasma.github.io/Logging_0980/kartor/A 61796-2022 karta.png", "A 61796-2022")</f>
        <v/>
      </c>
      <c r="V202">
        <f>HYPERLINK("https://klasma.github.io/Logging_0980/klagomål/A 61796-2022 FSC-klagomål.docx", "A 61796-2022")</f>
        <v/>
      </c>
      <c r="W202">
        <f>HYPERLINK("https://klasma.github.io/Logging_0980/klagomålsmail/A 61796-2022 FSC-klagomål mail.docx", "A 61796-2022")</f>
        <v/>
      </c>
      <c r="X202">
        <f>HYPERLINK("https://klasma.github.io/Logging_0980/tillsyn/A 61796-2022 tillsynsbegäran.docx", "A 61796-2022")</f>
        <v/>
      </c>
      <c r="Y202">
        <f>HYPERLINK("https://klasma.github.io/Logging_0980/tillsynsmail/A 61796-2022 tillsynsbegäran mail.docx", "A 61796-2022")</f>
        <v/>
      </c>
      <c r="Z202">
        <f>HYPERLINK("https://klasma.github.io/Logging_0980/fåglar/A 61796-2022 prioriterade fågelarter.docx", "A 61796-2022")</f>
        <v/>
      </c>
    </row>
    <row r="203" ht="15" customHeight="1">
      <c r="A203" t="inlineStr">
        <is>
          <t>A 62552-2022</t>
        </is>
      </c>
      <c r="B203" s="1" t="n">
        <v>44924</v>
      </c>
      <c r="C203" s="1" t="n">
        <v>45579</v>
      </c>
      <c r="D203" t="inlineStr">
        <is>
          <t>GOTLANDS LÄN</t>
        </is>
      </c>
      <c r="E203" t="inlineStr">
        <is>
          <t>GOTLAND</t>
        </is>
      </c>
      <c r="G203" t="n">
        <v>1.6</v>
      </c>
      <c r="H203" t="n">
        <v>0</v>
      </c>
      <c r="I203" t="n">
        <v>0</v>
      </c>
      <c r="J203" t="n">
        <v>1</v>
      </c>
      <c r="K203" t="n">
        <v>0</v>
      </c>
      <c r="L203" t="n">
        <v>0</v>
      </c>
      <c r="M203" t="n">
        <v>0</v>
      </c>
      <c r="N203" t="n">
        <v>0</v>
      </c>
      <c r="O203" t="n">
        <v>1</v>
      </c>
      <c r="P203" t="n">
        <v>0</v>
      </c>
      <c r="Q203" t="n">
        <v>1</v>
      </c>
      <c r="R203" s="2" t="inlineStr">
        <is>
          <t>Äggspindling</t>
        </is>
      </c>
      <c r="S203">
        <f>HYPERLINK("https://klasma.github.io/Logging_0980/artfynd/A 62552-2022 artfynd.xlsx", "A 62552-2022")</f>
        <v/>
      </c>
      <c r="T203">
        <f>HYPERLINK("https://klasma.github.io/Logging_0980/kartor/A 62552-2022 karta.png", "A 62552-2022")</f>
        <v/>
      </c>
      <c r="V203">
        <f>HYPERLINK("https://klasma.github.io/Logging_0980/klagomål/A 62552-2022 FSC-klagomål.docx", "A 62552-2022")</f>
        <v/>
      </c>
      <c r="W203">
        <f>HYPERLINK("https://klasma.github.io/Logging_0980/klagomålsmail/A 62552-2022 FSC-klagomål mail.docx", "A 62552-2022")</f>
        <v/>
      </c>
      <c r="X203">
        <f>HYPERLINK("https://klasma.github.io/Logging_0980/tillsyn/A 62552-2022 tillsynsbegäran.docx", "A 62552-2022")</f>
        <v/>
      </c>
      <c r="Y203">
        <f>HYPERLINK("https://klasma.github.io/Logging_0980/tillsynsmail/A 62552-2022 tillsynsbegäran mail.docx", "A 62552-2022")</f>
        <v/>
      </c>
    </row>
    <row r="204" ht="15" customHeight="1">
      <c r="A204" t="inlineStr">
        <is>
          <t>A 447-2023</t>
        </is>
      </c>
      <c r="B204" s="1" t="n">
        <v>44929</v>
      </c>
      <c r="C204" s="1" t="n">
        <v>45579</v>
      </c>
      <c r="D204" t="inlineStr">
        <is>
          <t>GOTLANDS LÄN</t>
        </is>
      </c>
      <c r="E204" t="inlineStr">
        <is>
          <t>GOTLAND</t>
        </is>
      </c>
      <c r="G204" t="n">
        <v>5.1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447-2023 artfynd.xlsx", "A 447-2023")</f>
        <v/>
      </c>
      <c r="T204">
        <f>HYPERLINK("https://klasma.github.io/Logging_0980/kartor/A 447-2023 karta.png", "A 447-2023")</f>
        <v/>
      </c>
      <c r="V204">
        <f>HYPERLINK("https://klasma.github.io/Logging_0980/klagomål/A 447-2023 FSC-klagomål.docx", "A 447-2023")</f>
        <v/>
      </c>
      <c r="W204">
        <f>HYPERLINK("https://klasma.github.io/Logging_0980/klagomålsmail/A 447-2023 FSC-klagomål mail.docx", "A 447-2023")</f>
        <v/>
      </c>
      <c r="X204">
        <f>HYPERLINK("https://klasma.github.io/Logging_0980/tillsyn/A 447-2023 tillsynsbegäran.docx", "A 447-2023")</f>
        <v/>
      </c>
      <c r="Y204">
        <f>HYPERLINK("https://klasma.github.io/Logging_0980/tillsynsmail/A 447-2023 tillsynsbegäran mail.docx", "A 447-2023")</f>
        <v/>
      </c>
    </row>
    <row r="205" ht="15" customHeight="1">
      <c r="A205" t="inlineStr">
        <is>
          <t>A 446-2023</t>
        </is>
      </c>
      <c r="B205" s="1" t="n">
        <v>44929</v>
      </c>
      <c r="C205" s="1" t="n">
        <v>45579</v>
      </c>
      <c r="D205" t="inlineStr">
        <is>
          <t>GOTLANDS LÄN</t>
        </is>
      </c>
      <c r="E205" t="inlineStr">
        <is>
          <t>GOTLAND</t>
        </is>
      </c>
      <c r="G205" t="n">
        <v>7.1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446-2023 artfynd.xlsx", "A 446-2023")</f>
        <v/>
      </c>
      <c r="T205">
        <f>HYPERLINK("https://klasma.github.io/Logging_0980/kartor/A 446-2023 karta.png", "A 446-2023")</f>
        <v/>
      </c>
      <c r="V205">
        <f>HYPERLINK("https://klasma.github.io/Logging_0980/klagomål/A 446-2023 FSC-klagomål.docx", "A 446-2023")</f>
        <v/>
      </c>
      <c r="W205">
        <f>HYPERLINK("https://klasma.github.io/Logging_0980/klagomålsmail/A 446-2023 FSC-klagomål mail.docx", "A 446-2023")</f>
        <v/>
      </c>
      <c r="X205">
        <f>HYPERLINK("https://klasma.github.io/Logging_0980/tillsyn/A 446-2023 tillsynsbegäran.docx", "A 446-2023")</f>
        <v/>
      </c>
      <c r="Y205">
        <f>HYPERLINK("https://klasma.github.io/Logging_0980/tillsynsmail/A 446-2023 tillsynsbegäran mail.docx", "A 446-2023")</f>
        <v/>
      </c>
    </row>
    <row r="206" ht="15" customHeight="1">
      <c r="A206" t="inlineStr">
        <is>
          <t>A 947-2023</t>
        </is>
      </c>
      <c r="B206" s="1" t="n">
        <v>44934</v>
      </c>
      <c r="C206" s="1" t="n">
        <v>45579</v>
      </c>
      <c r="D206" t="inlineStr">
        <is>
          <t>GOTLANDS LÄN</t>
        </is>
      </c>
      <c r="E206" t="inlineStr">
        <is>
          <t>GOTLAND</t>
        </is>
      </c>
      <c r="G206" t="n">
        <v>0.7</v>
      </c>
      <c r="H206" t="n">
        <v>1</v>
      </c>
      <c r="I206" t="n">
        <v>0</v>
      </c>
      <c r="J206" t="n">
        <v>0</v>
      </c>
      <c r="K206" t="n">
        <v>1</v>
      </c>
      <c r="L206" t="n">
        <v>0</v>
      </c>
      <c r="M206" t="n">
        <v>0</v>
      </c>
      <c r="N206" t="n">
        <v>0</v>
      </c>
      <c r="O206" t="n">
        <v>1</v>
      </c>
      <c r="P206" t="n">
        <v>1</v>
      </c>
      <c r="Q206" t="n">
        <v>1</v>
      </c>
      <c r="R206" s="2" t="inlineStr">
        <is>
          <t>Garderönn</t>
        </is>
      </c>
      <c r="S206">
        <f>HYPERLINK("https://klasma.github.io/Logging_0980/artfynd/A 947-2023 artfynd.xlsx", "A 947-2023")</f>
        <v/>
      </c>
      <c r="T206">
        <f>HYPERLINK("https://klasma.github.io/Logging_0980/kartor/A 947-2023 karta.png", "A 947-2023")</f>
        <v/>
      </c>
      <c r="V206">
        <f>HYPERLINK("https://klasma.github.io/Logging_0980/klagomål/A 947-2023 FSC-klagomål.docx", "A 947-2023")</f>
        <v/>
      </c>
      <c r="W206">
        <f>HYPERLINK("https://klasma.github.io/Logging_0980/klagomålsmail/A 947-2023 FSC-klagomål mail.docx", "A 947-2023")</f>
        <v/>
      </c>
      <c r="X206">
        <f>HYPERLINK("https://klasma.github.io/Logging_0980/tillsyn/A 947-2023 tillsynsbegäran.docx", "A 947-2023")</f>
        <v/>
      </c>
      <c r="Y206">
        <f>HYPERLINK("https://klasma.github.io/Logging_0980/tillsynsmail/A 947-2023 tillsynsbegäran mail.docx", "A 947-2023")</f>
        <v/>
      </c>
    </row>
    <row r="207" ht="15" customHeight="1">
      <c r="A207" t="inlineStr">
        <is>
          <t>A 2213-2023</t>
        </is>
      </c>
      <c r="B207" s="1" t="n">
        <v>44942</v>
      </c>
      <c r="C207" s="1" t="n">
        <v>45579</v>
      </c>
      <c r="D207" t="inlineStr">
        <is>
          <t>GOTLANDS LÄN</t>
        </is>
      </c>
      <c r="E207" t="inlineStr">
        <is>
          <t>GOTLAND</t>
        </is>
      </c>
      <c r="G207" t="n">
        <v>2.7</v>
      </c>
      <c r="H207" t="n">
        <v>0</v>
      </c>
      <c r="I207" t="n">
        <v>0</v>
      </c>
      <c r="J207" t="n">
        <v>1</v>
      </c>
      <c r="K207" t="n">
        <v>0</v>
      </c>
      <c r="L207" t="n">
        <v>0</v>
      </c>
      <c r="M207" t="n">
        <v>0</v>
      </c>
      <c r="N207" t="n">
        <v>0</v>
      </c>
      <c r="O207" t="n">
        <v>1</v>
      </c>
      <c r="P207" t="n">
        <v>0</v>
      </c>
      <c r="Q207" t="n">
        <v>1</v>
      </c>
      <c r="R207" s="2" t="inlineStr">
        <is>
          <t>Odörspindling</t>
        </is>
      </c>
      <c r="S207">
        <f>HYPERLINK("https://klasma.github.io/Logging_0980/artfynd/A 2213-2023 artfynd.xlsx", "A 2213-2023")</f>
        <v/>
      </c>
      <c r="T207">
        <f>HYPERLINK("https://klasma.github.io/Logging_0980/kartor/A 2213-2023 karta.png", "A 2213-2023")</f>
        <v/>
      </c>
      <c r="V207">
        <f>HYPERLINK("https://klasma.github.io/Logging_0980/klagomål/A 2213-2023 FSC-klagomål.docx", "A 2213-2023")</f>
        <v/>
      </c>
      <c r="W207">
        <f>HYPERLINK("https://klasma.github.io/Logging_0980/klagomålsmail/A 2213-2023 FSC-klagomål mail.docx", "A 2213-2023")</f>
        <v/>
      </c>
      <c r="X207">
        <f>HYPERLINK("https://klasma.github.io/Logging_0980/tillsyn/A 2213-2023 tillsynsbegäran.docx", "A 2213-2023")</f>
        <v/>
      </c>
      <c r="Y207">
        <f>HYPERLINK("https://klasma.github.io/Logging_0980/tillsynsmail/A 2213-2023 tillsynsbegäran mail.docx", "A 2213-2023")</f>
        <v/>
      </c>
    </row>
    <row r="208" ht="15" customHeight="1">
      <c r="A208" t="inlineStr">
        <is>
          <t>A 10995-2023</t>
        </is>
      </c>
      <c r="B208" s="1" t="n">
        <v>44986</v>
      </c>
      <c r="C208" s="1" t="n">
        <v>45579</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15212-2023</t>
        </is>
      </c>
      <c r="B209" s="1" t="n">
        <v>45019</v>
      </c>
      <c r="C209" s="1" t="n">
        <v>45579</v>
      </c>
      <c r="D209" t="inlineStr">
        <is>
          <t>GOTLANDS LÄN</t>
        </is>
      </c>
      <c r="E209" t="inlineStr">
        <is>
          <t>GOTLAND</t>
        </is>
      </c>
      <c r="G209" t="n">
        <v>3.1</v>
      </c>
      <c r="H209" t="n">
        <v>0</v>
      </c>
      <c r="I209" t="n">
        <v>0</v>
      </c>
      <c r="J209" t="n">
        <v>1</v>
      </c>
      <c r="K209" t="n">
        <v>0</v>
      </c>
      <c r="L209" t="n">
        <v>0</v>
      </c>
      <c r="M209" t="n">
        <v>0</v>
      </c>
      <c r="N209" t="n">
        <v>0</v>
      </c>
      <c r="O209" t="n">
        <v>1</v>
      </c>
      <c r="P209" t="n">
        <v>0</v>
      </c>
      <c r="Q209" t="n">
        <v>1</v>
      </c>
      <c r="R209" s="2" t="inlineStr">
        <is>
          <t>Grådådra</t>
        </is>
      </c>
      <c r="S209">
        <f>HYPERLINK("https://klasma.github.io/Logging_0980/artfynd/A 15212-2023 artfynd.xlsx", "A 15212-2023")</f>
        <v/>
      </c>
      <c r="T209">
        <f>HYPERLINK("https://klasma.github.io/Logging_0980/kartor/A 15212-2023 karta.png", "A 15212-2023")</f>
        <v/>
      </c>
      <c r="V209">
        <f>HYPERLINK("https://klasma.github.io/Logging_0980/klagomål/A 15212-2023 FSC-klagomål.docx", "A 15212-2023")</f>
        <v/>
      </c>
      <c r="W209">
        <f>HYPERLINK("https://klasma.github.io/Logging_0980/klagomålsmail/A 15212-2023 FSC-klagomål mail.docx", "A 15212-2023")</f>
        <v/>
      </c>
      <c r="X209">
        <f>HYPERLINK("https://klasma.github.io/Logging_0980/tillsyn/A 15212-2023 tillsynsbegäran.docx", "A 15212-2023")</f>
        <v/>
      </c>
      <c r="Y209">
        <f>HYPERLINK("https://klasma.github.io/Logging_0980/tillsynsmail/A 15212-2023 tillsynsbegäran mail.docx", "A 15212-2023")</f>
        <v/>
      </c>
    </row>
    <row r="210" ht="15" customHeight="1">
      <c r="A210" t="inlineStr">
        <is>
          <t>A 22782-2023</t>
        </is>
      </c>
      <c r="B210" s="1" t="n">
        <v>45072</v>
      </c>
      <c r="C210" s="1" t="n">
        <v>45579</v>
      </c>
      <c r="D210" t="inlineStr">
        <is>
          <t>GOTLANDS LÄN</t>
        </is>
      </c>
      <c r="E210" t="inlineStr">
        <is>
          <t>GOTLAND</t>
        </is>
      </c>
      <c r="F210" t="inlineStr">
        <is>
          <t>Kyrkan</t>
        </is>
      </c>
      <c r="G210" t="n">
        <v>3.1</v>
      </c>
      <c r="H210" t="n">
        <v>1</v>
      </c>
      <c r="I210" t="n">
        <v>0</v>
      </c>
      <c r="J210" t="n">
        <v>0</v>
      </c>
      <c r="K210" t="n">
        <v>0</v>
      </c>
      <c r="L210" t="n">
        <v>0</v>
      </c>
      <c r="M210" t="n">
        <v>0</v>
      </c>
      <c r="N210" t="n">
        <v>0</v>
      </c>
      <c r="O210" t="n">
        <v>0</v>
      </c>
      <c r="P210" t="n">
        <v>0</v>
      </c>
      <c r="Q210" t="n">
        <v>1</v>
      </c>
      <c r="R210" s="2" t="inlineStr">
        <is>
          <t>Ängsnycklar × skogsnycklar</t>
        </is>
      </c>
      <c r="S210">
        <f>HYPERLINK("https://klasma.github.io/Logging_0980/artfynd/A 22782-2023 artfynd.xlsx", "A 22782-2023")</f>
        <v/>
      </c>
      <c r="T210">
        <f>HYPERLINK("https://klasma.github.io/Logging_0980/kartor/A 22782-2023 karta.png", "A 22782-2023")</f>
        <v/>
      </c>
      <c r="V210">
        <f>HYPERLINK("https://klasma.github.io/Logging_0980/klagomål/A 22782-2023 FSC-klagomål.docx", "A 22782-2023")</f>
        <v/>
      </c>
      <c r="W210">
        <f>HYPERLINK("https://klasma.github.io/Logging_0980/klagomålsmail/A 22782-2023 FSC-klagomål mail.docx", "A 22782-2023")</f>
        <v/>
      </c>
      <c r="X210">
        <f>HYPERLINK("https://klasma.github.io/Logging_0980/tillsyn/A 22782-2023 tillsynsbegäran.docx", "A 22782-2023")</f>
        <v/>
      </c>
      <c r="Y210">
        <f>HYPERLINK("https://klasma.github.io/Logging_0980/tillsynsmail/A 22782-2023 tillsynsbegäran mail.docx", "A 22782-2023")</f>
        <v/>
      </c>
    </row>
    <row r="211" ht="15" customHeight="1">
      <c r="A211" t="inlineStr">
        <is>
          <t>A 24007-2023</t>
        </is>
      </c>
      <c r="B211" s="1" t="n">
        <v>45078</v>
      </c>
      <c r="C211" s="1" t="n">
        <v>45579</v>
      </c>
      <c r="D211" t="inlineStr">
        <is>
          <t>GOTLANDS LÄN</t>
        </is>
      </c>
      <c r="E211" t="inlineStr">
        <is>
          <t>GOTLAND</t>
        </is>
      </c>
      <c r="F211" t="inlineStr">
        <is>
          <t>Naturvårdsverket</t>
        </is>
      </c>
      <c r="G211" t="n">
        <v>2.5</v>
      </c>
      <c r="H211" t="n">
        <v>1</v>
      </c>
      <c r="I211" t="n">
        <v>1</v>
      </c>
      <c r="J211" t="n">
        <v>0</v>
      </c>
      <c r="K211" t="n">
        <v>0</v>
      </c>
      <c r="L211" t="n">
        <v>0</v>
      </c>
      <c r="M211" t="n">
        <v>0</v>
      </c>
      <c r="N211" t="n">
        <v>0</v>
      </c>
      <c r="O211" t="n">
        <v>0</v>
      </c>
      <c r="P211" t="n">
        <v>0</v>
      </c>
      <c r="Q211" t="n">
        <v>1</v>
      </c>
      <c r="R211" s="2" t="inlineStr">
        <is>
          <t>Nästrot</t>
        </is>
      </c>
      <c r="S211">
        <f>HYPERLINK("https://klasma.github.io/Logging_0980/artfynd/A 24007-2023 artfynd.xlsx", "A 24007-2023")</f>
        <v/>
      </c>
      <c r="T211">
        <f>HYPERLINK("https://klasma.github.io/Logging_0980/kartor/A 24007-2023 karta.png", "A 24007-2023")</f>
        <v/>
      </c>
      <c r="V211">
        <f>HYPERLINK("https://klasma.github.io/Logging_0980/klagomål/A 24007-2023 FSC-klagomål.docx", "A 24007-2023")</f>
        <v/>
      </c>
      <c r="W211">
        <f>HYPERLINK("https://klasma.github.io/Logging_0980/klagomålsmail/A 24007-2023 FSC-klagomål mail.docx", "A 24007-2023")</f>
        <v/>
      </c>
      <c r="X211">
        <f>HYPERLINK("https://klasma.github.io/Logging_0980/tillsyn/A 24007-2023 tillsynsbegäran.docx", "A 24007-2023")</f>
        <v/>
      </c>
      <c r="Y211">
        <f>HYPERLINK("https://klasma.github.io/Logging_0980/tillsynsmail/A 24007-2023 tillsynsbegäran mail.docx", "A 24007-2023")</f>
        <v/>
      </c>
    </row>
    <row r="212" ht="15" customHeight="1">
      <c r="A212" t="inlineStr">
        <is>
          <t>A 27589-2023</t>
        </is>
      </c>
      <c r="B212" s="1" t="n">
        <v>45097</v>
      </c>
      <c r="C212" s="1" t="n">
        <v>45579</v>
      </c>
      <c r="D212" t="inlineStr">
        <is>
          <t>GOTLANDS LÄN</t>
        </is>
      </c>
      <c r="E212" t="inlineStr">
        <is>
          <t>GOTLAND</t>
        </is>
      </c>
      <c r="G212" t="n">
        <v>5.4</v>
      </c>
      <c r="H212" t="n">
        <v>0</v>
      </c>
      <c r="I212" t="n">
        <v>0</v>
      </c>
      <c r="J212" t="n">
        <v>0</v>
      </c>
      <c r="K212" t="n">
        <v>0</v>
      </c>
      <c r="L212" t="n">
        <v>0</v>
      </c>
      <c r="M212" t="n">
        <v>1</v>
      </c>
      <c r="N212" t="n">
        <v>0</v>
      </c>
      <c r="O212" t="n">
        <v>1</v>
      </c>
      <c r="P212" t="n">
        <v>1</v>
      </c>
      <c r="Q212" t="n">
        <v>1</v>
      </c>
      <c r="R212" s="2" t="inlineStr">
        <is>
          <t>Skogsalm</t>
        </is>
      </c>
      <c r="S212">
        <f>HYPERLINK("https://klasma.github.io/Logging_0980/artfynd/A 27589-2023 artfynd.xlsx", "A 27589-2023")</f>
        <v/>
      </c>
      <c r="T212">
        <f>HYPERLINK("https://klasma.github.io/Logging_0980/kartor/A 27589-2023 karta.png", "A 27589-2023")</f>
        <v/>
      </c>
      <c r="V212">
        <f>HYPERLINK("https://klasma.github.io/Logging_0980/klagomål/A 27589-2023 FSC-klagomål.docx", "A 27589-2023")</f>
        <v/>
      </c>
      <c r="W212">
        <f>HYPERLINK("https://klasma.github.io/Logging_0980/klagomålsmail/A 27589-2023 FSC-klagomål mail.docx", "A 27589-2023")</f>
        <v/>
      </c>
      <c r="X212">
        <f>HYPERLINK("https://klasma.github.io/Logging_0980/tillsyn/A 27589-2023 tillsynsbegäran.docx", "A 27589-2023")</f>
        <v/>
      </c>
      <c r="Y212">
        <f>HYPERLINK("https://klasma.github.io/Logging_0980/tillsynsmail/A 27589-2023 tillsynsbegäran mail.docx", "A 27589-2023")</f>
        <v/>
      </c>
    </row>
    <row r="213" ht="15" customHeight="1">
      <c r="A213" t="inlineStr">
        <is>
          <t>A 28546-2023</t>
        </is>
      </c>
      <c r="B213" s="1" t="n">
        <v>45103</v>
      </c>
      <c r="C213" s="1" t="n">
        <v>45579</v>
      </c>
      <c r="D213" t="inlineStr">
        <is>
          <t>GOTLANDS LÄN</t>
        </is>
      </c>
      <c r="E213" t="inlineStr">
        <is>
          <t>GOTLAND</t>
        </is>
      </c>
      <c r="G213" t="n">
        <v>7.9</v>
      </c>
      <c r="H213" t="n">
        <v>1</v>
      </c>
      <c r="I213" t="n">
        <v>0</v>
      </c>
      <c r="J213" t="n">
        <v>0</v>
      </c>
      <c r="K213" t="n">
        <v>0</v>
      </c>
      <c r="L213" t="n">
        <v>0</v>
      </c>
      <c r="M213" t="n">
        <v>0</v>
      </c>
      <c r="N213" t="n">
        <v>0</v>
      </c>
      <c r="O213" t="n">
        <v>0</v>
      </c>
      <c r="P213" t="n">
        <v>0</v>
      </c>
      <c r="Q213" t="n">
        <v>1</v>
      </c>
      <c r="R213" s="2" t="inlineStr">
        <is>
          <t>Lopplummer</t>
        </is>
      </c>
      <c r="S213">
        <f>HYPERLINK("https://klasma.github.io/Logging_0980/artfynd/A 28546-2023 artfynd.xlsx", "A 28546-2023")</f>
        <v/>
      </c>
      <c r="T213">
        <f>HYPERLINK("https://klasma.github.io/Logging_0980/kartor/A 28546-2023 karta.png", "A 28546-2023")</f>
        <v/>
      </c>
      <c r="V213">
        <f>HYPERLINK("https://klasma.github.io/Logging_0980/klagomål/A 28546-2023 FSC-klagomål.docx", "A 28546-2023")</f>
        <v/>
      </c>
      <c r="W213">
        <f>HYPERLINK("https://klasma.github.io/Logging_0980/klagomålsmail/A 28546-2023 FSC-klagomål mail.docx", "A 28546-2023")</f>
        <v/>
      </c>
      <c r="X213">
        <f>HYPERLINK("https://klasma.github.io/Logging_0980/tillsyn/A 28546-2023 tillsynsbegäran.docx", "A 28546-2023")</f>
        <v/>
      </c>
      <c r="Y213">
        <f>HYPERLINK("https://klasma.github.io/Logging_0980/tillsynsmail/A 28546-2023 tillsynsbegäran mail.docx", "A 28546-2023")</f>
        <v/>
      </c>
    </row>
    <row r="214" ht="15" customHeight="1">
      <c r="A214" t="inlineStr">
        <is>
          <t>A 35615-2023</t>
        </is>
      </c>
      <c r="B214" s="1" t="n">
        <v>45147</v>
      </c>
      <c r="C214" s="1" t="n">
        <v>45579</v>
      </c>
      <c r="D214" t="inlineStr">
        <is>
          <t>GOTLANDS LÄN</t>
        </is>
      </c>
      <c r="E214" t="inlineStr">
        <is>
          <t>GOTLAND</t>
        </is>
      </c>
      <c r="G214" t="n">
        <v>6.1</v>
      </c>
      <c r="H214" t="n">
        <v>0</v>
      </c>
      <c r="I214" t="n">
        <v>0</v>
      </c>
      <c r="J214" t="n">
        <v>1</v>
      </c>
      <c r="K214" t="n">
        <v>0</v>
      </c>
      <c r="L214" t="n">
        <v>0</v>
      </c>
      <c r="M214" t="n">
        <v>0</v>
      </c>
      <c r="N214" t="n">
        <v>0</v>
      </c>
      <c r="O214" t="n">
        <v>1</v>
      </c>
      <c r="P214" t="n">
        <v>0</v>
      </c>
      <c r="Q214" t="n">
        <v>1</v>
      </c>
      <c r="R214" s="2" t="inlineStr">
        <is>
          <t>Åkerranunkel</t>
        </is>
      </c>
      <c r="S214">
        <f>HYPERLINK("https://klasma.github.io/Logging_0980/artfynd/A 35615-2023 artfynd.xlsx", "A 35615-2023")</f>
        <v/>
      </c>
      <c r="T214">
        <f>HYPERLINK("https://klasma.github.io/Logging_0980/kartor/A 35615-2023 karta.png", "A 35615-2023")</f>
        <v/>
      </c>
      <c r="V214">
        <f>HYPERLINK("https://klasma.github.io/Logging_0980/klagomål/A 35615-2023 FSC-klagomål.docx", "A 35615-2023")</f>
        <v/>
      </c>
      <c r="W214">
        <f>HYPERLINK("https://klasma.github.io/Logging_0980/klagomålsmail/A 35615-2023 FSC-klagomål mail.docx", "A 35615-2023")</f>
        <v/>
      </c>
      <c r="X214">
        <f>HYPERLINK("https://klasma.github.io/Logging_0980/tillsyn/A 35615-2023 tillsynsbegäran.docx", "A 35615-2023")</f>
        <v/>
      </c>
      <c r="Y214">
        <f>HYPERLINK("https://klasma.github.io/Logging_0980/tillsynsmail/A 35615-2023 tillsynsbegäran mail.docx", "A 35615-2023")</f>
        <v/>
      </c>
    </row>
    <row r="215" ht="15" customHeight="1">
      <c r="A215" t="inlineStr">
        <is>
          <t>A 37584-2023</t>
        </is>
      </c>
      <c r="B215" s="1" t="n">
        <v>45159</v>
      </c>
      <c r="C215" s="1" t="n">
        <v>45579</v>
      </c>
      <c r="D215" t="inlineStr">
        <is>
          <t>GOTLANDS LÄN</t>
        </is>
      </c>
      <c r="E215" t="inlineStr">
        <is>
          <t>GOTLAND</t>
        </is>
      </c>
      <c r="G215" t="n">
        <v>5.4</v>
      </c>
      <c r="H215" t="n">
        <v>0</v>
      </c>
      <c r="I215" t="n">
        <v>1</v>
      </c>
      <c r="J215" t="n">
        <v>0</v>
      </c>
      <c r="K215" t="n">
        <v>0</v>
      </c>
      <c r="L215" t="n">
        <v>0</v>
      </c>
      <c r="M215" t="n">
        <v>0</v>
      </c>
      <c r="N215" t="n">
        <v>0</v>
      </c>
      <c r="O215" t="n">
        <v>0</v>
      </c>
      <c r="P215" t="n">
        <v>0</v>
      </c>
      <c r="Q215" t="n">
        <v>1</v>
      </c>
      <c r="R215" s="2" t="inlineStr">
        <is>
          <t>Myskmadra</t>
        </is>
      </c>
      <c r="S215">
        <f>HYPERLINK("https://klasma.github.io/Logging_0980/artfynd/A 37584-2023 artfynd.xlsx", "A 37584-2023")</f>
        <v/>
      </c>
      <c r="T215">
        <f>HYPERLINK("https://klasma.github.io/Logging_0980/kartor/A 37584-2023 karta.png", "A 37584-2023")</f>
        <v/>
      </c>
      <c r="V215">
        <f>HYPERLINK("https://klasma.github.io/Logging_0980/klagomål/A 37584-2023 FSC-klagomål.docx", "A 37584-2023")</f>
        <v/>
      </c>
      <c r="W215">
        <f>HYPERLINK("https://klasma.github.io/Logging_0980/klagomålsmail/A 37584-2023 FSC-klagomål mail.docx", "A 37584-2023")</f>
        <v/>
      </c>
      <c r="X215">
        <f>HYPERLINK("https://klasma.github.io/Logging_0980/tillsyn/A 37584-2023 tillsynsbegäran.docx", "A 37584-2023")</f>
        <v/>
      </c>
      <c r="Y215">
        <f>HYPERLINK("https://klasma.github.io/Logging_0980/tillsynsmail/A 37584-2023 tillsynsbegäran mail.docx", "A 37584-2023")</f>
        <v/>
      </c>
    </row>
    <row r="216" ht="15" customHeight="1">
      <c r="A216" t="inlineStr">
        <is>
          <t>A 42939-2023</t>
        </is>
      </c>
      <c r="B216" s="1" t="n">
        <v>45182</v>
      </c>
      <c r="C216" s="1" t="n">
        <v>45579</v>
      </c>
      <c r="D216" t="inlineStr">
        <is>
          <t>GOTLANDS LÄN</t>
        </is>
      </c>
      <c r="E216" t="inlineStr">
        <is>
          <t>GOTLAND</t>
        </is>
      </c>
      <c r="G216" t="n">
        <v>7.5</v>
      </c>
      <c r="H216" t="n">
        <v>0</v>
      </c>
      <c r="I216" t="n">
        <v>0</v>
      </c>
      <c r="J216" t="n">
        <v>0</v>
      </c>
      <c r="K216" t="n">
        <v>1</v>
      </c>
      <c r="L216" t="n">
        <v>0</v>
      </c>
      <c r="M216" t="n">
        <v>0</v>
      </c>
      <c r="N216" t="n">
        <v>0</v>
      </c>
      <c r="O216" t="n">
        <v>1</v>
      </c>
      <c r="P216" t="n">
        <v>1</v>
      </c>
      <c r="Q216" t="n">
        <v>1</v>
      </c>
      <c r="R216" s="2" t="inlineStr">
        <is>
          <t>Skogskorn</t>
        </is>
      </c>
      <c r="S216">
        <f>HYPERLINK("https://klasma.github.io/Logging_0980/artfynd/A 42939-2023 artfynd.xlsx", "A 42939-2023")</f>
        <v/>
      </c>
      <c r="T216">
        <f>HYPERLINK("https://klasma.github.io/Logging_0980/kartor/A 42939-2023 karta.png", "A 42939-2023")</f>
        <v/>
      </c>
      <c r="V216">
        <f>HYPERLINK("https://klasma.github.io/Logging_0980/klagomål/A 42939-2023 FSC-klagomål.docx", "A 42939-2023")</f>
        <v/>
      </c>
      <c r="W216">
        <f>HYPERLINK("https://klasma.github.io/Logging_0980/klagomålsmail/A 42939-2023 FSC-klagomål mail.docx", "A 42939-2023")</f>
        <v/>
      </c>
      <c r="X216">
        <f>HYPERLINK("https://klasma.github.io/Logging_0980/tillsyn/A 42939-2023 tillsynsbegäran.docx", "A 42939-2023")</f>
        <v/>
      </c>
      <c r="Y216">
        <f>HYPERLINK("https://klasma.github.io/Logging_0980/tillsynsmail/A 42939-2023 tillsynsbegäran mail.docx", "A 42939-2023")</f>
        <v/>
      </c>
    </row>
    <row r="217" ht="15" customHeight="1">
      <c r="A217" t="inlineStr">
        <is>
          <t>A 43219-2023</t>
        </is>
      </c>
      <c r="B217" s="1" t="n">
        <v>45183</v>
      </c>
      <c r="C217" s="1" t="n">
        <v>45579</v>
      </c>
      <c r="D217" t="inlineStr">
        <is>
          <t>GOTLANDS LÄN</t>
        </is>
      </c>
      <c r="E217" t="inlineStr">
        <is>
          <t>GOTLAND</t>
        </is>
      </c>
      <c r="G217" t="n">
        <v>3.6</v>
      </c>
      <c r="H217" t="n">
        <v>1</v>
      </c>
      <c r="I217" t="n">
        <v>0</v>
      </c>
      <c r="J217" t="n">
        <v>0</v>
      </c>
      <c r="K217" t="n">
        <v>0</v>
      </c>
      <c r="L217" t="n">
        <v>0</v>
      </c>
      <c r="M217" t="n">
        <v>0</v>
      </c>
      <c r="N217" t="n">
        <v>0</v>
      </c>
      <c r="O217" t="n">
        <v>0</v>
      </c>
      <c r="P217" t="n">
        <v>0</v>
      </c>
      <c r="Q217" t="n">
        <v>1</v>
      </c>
      <c r="R217" s="2" t="inlineStr">
        <is>
          <t>Skogsduva</t>
        </is>
      </c>
      <c r="S217">
        <f>HYPERLINK("https://klasma.github.io/Logging_0980/artfynd/A 43219-2023 artfynd.xlsx", "A 43219-2023")</f>
        <v/>
      </c>
      <c r="T217">
        <f>HYPERLINK("https://klasma.github.io/Logging_0980/kartor/A 43219-2023 karta.png", "A 43219-2023")</f>
        <v/>
      </c>
      <c r="V217">
        <f>HYPERLINK("https://klasma.github.io/Logging_0980/klagomål/A 43219-2023 FSC-klagomål.docx", "A 43219-2023")</f>
        <v/>
      </c>
      <c r="W217">
        <f>HYPERLINK("https://klasma.github.io/Logging_0980/klagomålsmail/A 43219-2023 FSC-klagomål mail.docx", "A 43219-2023")</f>
        <v/>
      </c>
      <c r="X217">
        <f>HYPERLINK("https://klasma.github.io/Logging_0980/tillsyn/A 43219-2023 tillsynsbegäran.docx", "A 43219-2023")</f>
        <v/>
      </c>
      <c r="Y217">
        <f>HYPERLINK("https://klasma.github.io/Logging_0980/tillsynsmail/A 43219-2023 tillsynsbegäran mail.docx", "A 43219-2023")</f>
        <v/>
      </c>
      <c r="Z217">
        <f>HYPERLINK("https://klasma.github.io/Logging_0980/fåglar/A 43219-2023 prioriterade fågelarter.docx", "A 43219-2023")</f>
        <v/>
      </c>
    </row>
    <row r="218" ht="15" customHeight="1">
      <c r="A218" t="inlineStr">
        <is>
          <t>A 46527-2023</t>
        </is>
      </c>
      <c r="B218" s="1" t="n">
        <v>45197</v>
      </c>
      <c r="C218" s="1" t="n">
        <v>45579</v>
      </c>
      <c r="D218" t="inlineStr">
        <is>
          <t>GOTLANDS LÄN</t>
        </is>
      </c>
      <c r="E218" t="inlineStr">
        <is>
          <t>GOTLAND</t>
        </is>
      </c>
      <c r="G218" t="n">
        <v>0.9</v>
      </c>
      <c r="H218" t="n">
        <v>0</v>
      </c>
      <c r="I218" t="n">
        <v>0</v>
      </c>
      <c r="J218" t="n">
        <v>1</v>
      </c>
      <c r="K218" t="n">
        <v>0</v>
      </c>
      <c r="L218" t="n">
        <v>0</v>
      </c>
      <c r="M218" t="n">
        <v>0</v>
      </c>
      <c r="N218" t="n">
        <v>0</v>
      </c>
      <c r="O218" t="n">
        <v>1</v>
      </c>
      <c r="P218" t="n">
        <v>0</v>
      </c>
      <c r="Q218" t="n">
        <v>1</v>
      </c>
      <c r="R218" s="2" t="inlineStr">
        <is>
          <t>Guldgräshoppa</t>
        </is>
      </c>
      <c r="S218">
        <f>HYPERLINK("https://klasma.github.io/Logging_0980/artfynd/A 46527-2023 artfynd.xlsx", "A 46527-2023")</f>
        <v/>
      </c>
      <c r="T218">
        <f>HYPERLINK("https://klasma.github.io/Logging_0980/kartor/A 46527-2023 karta.png", "A 46527-2023")</f>
        <v/>
      </c>
      <c r="V218">
        <f>HYPERLINK("https://klasma.github.io/Logging_0980/klagomål/A 46527-2023 FSC-klagomål.docx", "A 46527-2023")</f>
        <v/>
      </c>
      <c r="W218">
        <f>HYPERLINK("https://klasma.github.io/Logging_0980/klagomålsmail/A 46527-2023 FSC-klagomål mail.docx", "A 46527-2023")</f>
        <v/>
      </c>
      <c r="X218">
        <f>HYPERLINK("https://klasma.github.io/Logging_0980/tillsyn/A 46527-2023 tillsynsbegäran.docx", "A 46527-2023")</f>
        <v/>
      </c>
      <c r="Y218">
        <f>HYPERLINK("https://klasma.github.io/Logging_0980/tillsynsmail/A 46527-2023 tillsynsbegäran mail.docx", "A 46527-2023")</f>
        <v/>
      </c>
    </row>
    <row r="219" ht="15" customHeight="1">
      <c r="A219" t="inlineStr">
        <is>
          <t>A 49847-2023</t>
        </is>
      </c>
      <c r="B219" s="1" t="n">
        <v>45212</v>
      </c>
      <c r="C219" s="1" t="n">
        <v>45579</v>
      </c>
      <c r="D219" t="inlineStr">
        <is>
          <t>GOTLANDS LÄN</t>
        </is>
      </c>
      <c r="E219" t="inlineStr">
        <is>
          <t>GOTLAND</t>
        </is>
      </c>
      <c r="G219" t="n">
        <v>35.2</v>
      </c>
      <c r="H219" t="n">
        <v>0</v>
      </c>
      <c r="I219" t="n">
        <v>0</v>
      </c>
      <c r="J219" t="n">
        <v>0</v>
      </c>
      <c r="K219" t="n">
        <v>1</v>
      </c>
      <c r="L219" t="n">
        <v>0</v>
      </c>
      <c r="M219" t="n">
        <v>0</v>
      </c>
      <c r="N219" t="n">
        <v>0</v>
      </c>
      <c r="O219" t="n">
        <v>1</v>
      </c>
      <c r="P219" t="n">
        <v>1</v>
      </c>
      <c r="Q219" t="n">
        <v>1</v>
      </c>
      <c r="R219" s="2" t="inlineStr">
        <is>
          <t>Strandviol</t>
        </is>
      </c>
      <c r="S219">
        <f>HYPERLINK("https://klasma.github.io/Logging_0980/artfynd/A 49847-2023 artfynd.xlsx", "A 49847-2023")</f>
        <v/>
      </c>
      <c r="T219">
        <f>HYPERLINK("https://klasma.github.io/Logging_0980/kartor/A 49847-2023 karta.png", "A 49847-2023")</f>
        <v/>
      </c>
      <c r="V219">
        <f>HYPERLINK("https://klasma.github.io/Logging_0980/klagomål/A 49847-2023 FSC-klagomål.docx", "A 49847-2023")</f>
        <v/>
      </c>
      <c r="W219">
        <f>HYPERLINK("https://klasma.github.io/Logging_0980/klagomålsmail/A 49847-2023 FSC-klagomål mail.docx", "A 49847-2023")</f>
        <v/>
      </c>
      <c r="X219">
        <f>HYPERLINK("https://klasma.github.io/Logging_0980/tillsyn/A 49847-2023 tillsynsbegäran.docx", "A 49847-2023")</f>
        <v/>
      </c>
      <c r="Y219">
        <f>HYPERLINK("https://klasma.github.io/Logging_0980/tillsynsmail/A 49847-2023 tillsynsbegäran mail.docx", "A 49847-2023")</f>
        <v/>
      </c>
    </row>
    <row r="220" ht="15" customHeight="1">
      <c r="A220" t="inlineStr">
        <is>
          <t>A 53907-2023</t>
        </is>
      </c>
      <c r="B220" s="1" t="n">
        <v>45231</v>
      </c>
      <c r="C220" s="1" t="n">
        <v>45579</v>
      </c>
      <c r="D220" t="inlineStr">
        <is>
          <t>GOTLANDS LÄN</t>
        </is>
      </c>
      <c r="E220" t="inlineStr">
        <is>
          <t>GOTLAND</t>
        </is>
      </c>
      <c r="G220" t="n">
        <v>13.7</v>
      </c>
      <c r="H220" t="n">
        <v>0</v>
      </c>
      <c r="I220" t="n">
        <v>0</v>
      </c>
      <c r="J220" t="n">
        <v>0</v>
      </c>
      <c r="K220" t="n">
        <v>1</v>
      </c>
      <c r="L220" t="n">
        <v>0</v>
      </c>
      <c r="M220" t="n">
        <v>0</v>
      </c>
      <c r="N220" t="n">
        <v>0</v>
      </c>
      <c r="O220" t="n">
        <v>1</v>
      </c>
      <c r="P220" t="n">
        <v>1</v>
      </c>
      <c r="Q220" t="n">
        <v>1</v>
      </c>
      <c r="R220" s="2" t="inlineStr">
        <is>
          <t>Granrotspindling</t>
        </is>
      </c>
      <c r="S220">
        <f>HYPERLINK("https://klasma.github.io/Logging_0980/artfynd/A 53907-2023 artfynd.xlsx", "A 53907-2023")</f>
        <v/>
      </c>
      <c r="T220">
        <f>HYPERLINK("https://klasma.github.io/Logging_0980/kartor/A 53907-2023 karta.png", "A 53907-2023")</f>
        <v/>
      </c>
      <c r="V220">
        <f>HYPERLINK("https://klasma.github.io/Logging_0980/klagomål/A 53907-2023 FSC-klagomål.docx", "A 53907-2023")</f>
        <v/>
      </c>
      <c r="W220">
        <f>HYPERLINK("https://klasma.github.io/Logging_0980/klagomålsmail/A 53907-2023 FSC-klagomål mail.docx", "A 53907-2023")</f>
        <v/>
      </c>
      <c r="X220">
        <f>HYPERLINK("https://klasma.github.io/Logging_0980/tillsyn/A 53907-2023 tillsynsbegäran.docx", "A 53907-2023")</f>
        <v/>
      </c>
      <c r="Y220">
        <f>HYPERLINK("https://klasma.github.io/Logging_0980/tillsynsmail/A 53907-2023 tillsynsbegäran mail.docx", "A 53907-2023")</f>
        <v/>
      </c>
    </row>
    <row r="221" ht="15" customHeight="1">
      <c r="A221" t="inlineStr">
        <is>
          <t>A 56304-2023</t>
        </is>
      </c>
      <c r="B221" s="1" t="n">
        <v>45242</v>
      </c>
      <c r="C221" s="1" t="n">
        <v>45579</v>
      </c>
      <c r="D221" t="inlineStr">
        <is>
          <t>GOTLANDS LÄN</t>
        </is>
      </c>
      <c r="E221" t="inlineStr">
        <is>
          <t>GOTLAND</t>
        </is>
      </c>
      <c r="G221" t="n">
        <v>0.9</v>
      </c>
      <c r="H221" t="n">
        <v>1</v>
      </c>
      <c r="I221" t="n">
        <v>0</v>
      </c>
      <c r="J221" t="n">
        <v>0</v>
      </c>
      <c r="K221" t="n">
        <v>1</v>
      </c>
      <c r="L221" t="n">
        <v>0</v>
      </c>
      <c r="M221" t="n">
        <v>0</v>
      </c>
      <c r="N221" t="n">
        <v>0</v>
      </c>
      <c r="O221" t="n">
        <v>1</v>
      </c>
      <c r="P221" t="n">
        <v>1</v>
      </c>
      <c r="Q221" t="n">
        <v>1</v>
      </c>
      <c r="R221" s="2" t="inlineStr">
        <is>
          <t>Garderönn</t>
        </is>
      </c>
      <c r="S221">
        <f>HYPERLINK("https://klasma.github.io/Logging_0980/artfynd/A 56304-2023 artfynd.xlsx", "A 56304-2023")</f>
        <v/>
      </c>
      <c r="T221">
        <f>HYPERLINK("https://klasma.github.io/Logging_0980/kartor/A 56304-2023 karta.png", "A 56304-2023")</f>
        <v/>
      </c>
      <c r="V221">
        <f>HYPERLINK("https://klasma.github.io/Logging_0980/klagomål/A 56304-2023 FSC-klagomål.docx", "A 56304-2023")</f>
        <v/>
      </c>
      <c r="W221">
        <f>HYPERLINK("https://klasma.github.io/Logging_0980/klagomålsmail/A 56304-2023 FSC-klagomål mail.docx", "A 56304-2023")</f>
        <v/>
      </c>
      <c r="X221">
        <f>HYPERLINK("https://klasma.github.io/Logging_0980/tillsyn/A 56304-2023 tillsynsbegäran.docx", "A 56304-2023")</f>
        <v/>
      </c>
      <c r="Y221">
        <f>HYPERLINK("https://klasma.github.io/Logging_0980/tillsynsmail/A 56304-2023 tillsynsbegäran mail.docx", "A 56304-2023")</f>
        <v/>
      </c>
    </row>
    <row r="222" ht="15" customHeight="1">
      <c r="A222" t="inlineStr">
        <is>
          <t>A 61561-2023</t>
        </is>
      </c>
      <c r="B222" s="1" t="n">
        <v>45265</v>
      </c>
      <c r="C222" s="1" t="n">
        <v>45579</v>
      </c>
      <c r="D222" t="inlineStr">
        <is>
          <t>GOTLANDS LÄN</t>
        </is>
      </c>
      <c r="E222" t="inlineStr">
        <is>
          <t>GOTLAND</t>
        </is>
      </c>
      <c r="G222" t="n">
        <v>7.4</v>
      </c>
      <c r="H222" t="n">
        <v>0</v>
      </c>
      <c r="I222" t="n">
        <v>0</v>
      </c>
      <c r="J222" t="n">
        <v>1</v>
      </c>
      <c r="K222" t="n">
        <v>0</v>
      </c>
      <c r="L222" t="n">
        <v>0</v>
      </c>
      <c r="M222" t="n">
        <v>0</v>
      </c>
      <c r="N222" t="n">
        <v>0</v>
      </c>
      <c r="O222" t="n">
        <v>1</v>
      </c>
      <c r="P222" t="n">
        <v>0</v>
      </c>
      <c r="Q222" t="n">
        <v>1</v>
      </c>
      <c r="R222" s="2" t="inlineStr">
        <is>
          <t>Loppstarr</t>
        </is>
      </c>
      <c r="S222">
        <f>HYPERLINK("https://klasma.github.io/Logging_0980/artfynd/A 61561-2023 artfynd.xlsx", "A 61561-2023")</f>
        <v/>
      </c>
      <c r="T222">
        <f>HYPERLINK("https://klasma.github.io/Logging_0980/kartor/A 61561-2023 karta.png", "A 61561-2023")</f>
        <v/>
      </c>
      <c r="V222">
        <f>HYPERLINK("https://klasma.github.io/Logging_0980/klagomål/A 61561-2023 FSC-klagomål.docx", "A 61561-2023")</f>
        <v/>
      </c>
      <c r="W222">
        <f>HYPERLINK("https://klasma.github.io/Logging_0980/klagomålsmail/A 61561-2023 FSC-klagomål mail.docx", "A 61561-2023")</f>
        <v/>
      </c>
      <c r="X222">
        <f>HYPERLINK("https://klasma.github.io/Logging_0980/tillsyn/A 61561-2023 tillsynsbegäran.docx", "A 61561-2023")</f>
        <v/>
      </c>
      <c r="Y222">
        <f>HYPERLINK("https://klasma.github.io/Logging_0980/tillsynsmail/A 61561-2023 tillsynsbegäran mail.docx", "A 61561-2023")</f>
        <v/>
      </c>
    </row>
    <row r="223" ht="15" customHeight="1">
      <c r="A223" t="inlineStr">
        <is>
          <t>A 61846-2023</t>
        </is>
      </c>
      <c r="B223" s="1" t="n">
        <v>45266</v>
      </c>
      <c r="C223" s="1" t="n">
        <v>45579</v>
      </c>
      <c r="D223" t="inlineStr">
        <is>
          <t>GOTLANDS LÄN</t>
        </is>
      </c>
      <c r="E223" t="inlineStr">
        <is>
          <t>GOTLAND</t>
        </is>
      </c>
      <c r="G223" t="n">
        <v>2.2</v>
      </c>
      <c r="H223" t="n">
        <v>1</v>
      </c>
      <c r="I223" t="n">
        <v>0</v>
      </c>
      <c r="J223" t="n">
        <v>1</v>
      </c>
      <c r="K223" t="n">
        <v>0</v>
      </c>
      <c r="L223" t="n">
        <v>0</v>
      </c>
      <c r="M223" t="n">
        <v>0</v>
      </c>
      <c r="N223" t="n">
        <v>0</v>
      </c>
      <c r="O223" t="n">
        <v>1</v>
      </c>
      <c r="P223" t="n">
        <v>0</v>
      </c>
      <c r="Q223" t="n">
        <v>1</v>
      </c>
      <c r="R223" s="2" t="inlineStr">
        <is>
          <t>Rosenfink</t>
        </is>
      </c>
      <c r="S223">
        <f>HYPERLINK("https://klasma.github.io/Logging_0980/artfynd/A 61846-2023 artfynd.xlsx", "A 61846-2023")</f>
        <v/>
      </c>
      <c r="T223">
        <f>HYPERLINK("https://klasma.github.io/Logging_0980/kartor/A 61846-2023 karta.png", "A 61846-2023")</f>
        <v/>
      </c>
      <c r="V223">
        <f>HYPERLINK("https://klasma.github.io/Logging_0980/klagomål/A 61846-2023 FSC-klagomål.docx", "A 61846-2023")</f>
        <v/>
      </c>
      <c r="W223">
        <f>HYPERLINK("https://klasma.github.io/Logging_0980/klagomålsmail/A 61846-2023 FSC-klagomål mail.docx", "A 61846-2023")</f>
        <v/>
      </c>
      <c r="X223">
        <f>HYPERLINK("https://klasma.github.io/Logging_0980/tillsyn/A 61846-2023 tillsynsbegäran.docx", "A 61846-2023")</f>
        <v/>
      </c>
      <c r="Y223">
        <f>HYPERLINK("https://klasma.github.io/Logging_0980/tillsynsmail/A 61846-2023 tillsynsbegäran mail.docx", "A 61846-2023")</f>
        <v/>
      </c>
      <c r="Z223">
        <f>HYPERLINK("https://klasma.github.io/Logging_0980/fåglar/A 61846-2023 prioriterade fågelarter.docx", "A 61846-2023")</f>
        <v/>
      </c>
    </row>
    <row r="224" ht="15" customHeight="1">
      <c r="A224" t="inlineStr">
        <is>
          <t>A 61994-2023</t>
        </is>
      </c>
      <c r="B224" s="1" t="n">
        <v>45266</v>
      </c>
      <c r="C224" s="1" t="n">
        <v>45579</v>
      </c>
      <c r="D224" t="inlineStr">
        <is>
          <t>GOTLANDS LÄN</t>
        </is>
      </c>
      <c r="E224" t="inlineStr">
        <is>
          <t>GOTLAND</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HYPERLINK("https://klasma.github.io/Logging_0980/artfynd/A 61994-2023 artfynd.xlsx", "A 61994-2023")</f>
        <v/>
      </c>
      <c r="T224">
        <f>HYPERLINK("https://klasma.github.io/Logging_0980/kartor/A 61994-2023 karta.png", "A 61994-2023")</f>
        <v/>
      </c>
      <c r="V224">
        <f>HYPERLINK("https://klasma.github.io/Logging_0980/klagomål/A 61994-2023 FSC-klagomål.docx", "A 61994-2023")</f>
        <v/>
      </c>
      <c r="W224">
        <f>HYPERLINK("https://klasma.github.io/Logging_0980/klagomålsmail/A 61994-2023 FSC-klagomål mail.docx", "A 61994-2023")</f>
        <v/>
      </c>
      <c r="X224">
        <f>HYPERLINK("https://klasma.github.io/Logging_0980/tillsyn/A 61994-2023 tillsynsbegäran.docx", "A 61994-2023")</f>
        <v/>
      </c>
      <c r="Y224">
        <f>HYPERLINK("https://klasma.github.io/Logging_0980/tillsynsmail/A 61994-2023 tillsynsbegäran mail.docx", "A 61994-2023")</f>
        <v/>
      </c>
    </row>
    <row r="225" ht="15" customHeight="1">
      <c r="A225" t="inlineStr">
        <is>
          <t>A 62376-2023</t>
        </is>
      </c>
      <c r="B225" s="1" t="n">
        <v>45268</v>
      </c>
      <c r="C225" s="1" t="n">
        <v>45579</v>
      </c>
      <c r="D225" t="inlineStr">
        <is>
          <t>GOTLANDS LÄN</t>
        </is>
      </c>
      <c r="E225" t="inlineStr">
        <is>
          <t>GOTLAND</t>
        </is>
      </c>
      <c r="G225" t="n">
        <v>4.2</v>
      </c>
      <c r="H225" t="n">
        <v>1</v>
      </c>
      <c r="I225" t="n">
        <v>0</v>
      </c>
      <c r="J225" t="n">
        <v>0</v>
      </c>
      <c r="K225" t="n">
        <v>0</v>
      </c>
      <c r="L225" t="n">
        <v>0</v>
      </c>
      <c r="M225" t="n">
        <v>0</v>
      </c>
      <c r="N225" t="n">
        <v>0</v>
      </c>
      <c r="O225" t="n">
        <v>0</v>
      </c>
      <c r="P225" t="n">
        <v>0</v>
      </c>
      <c r="Q225" t="n">
        <v>1</v>
      </c>
      <c r="R225" s="2" t="inlineStr">
        <is>
          <t>Fläcknycklar</t>
        </is>
      </c>
      <c r="S225">
        <f>HYPERLINK("https://klasma.github.io/Logging_0980/artfynd/A 62376-2023 artfynd.xlsx", "A 62376-2023")</f>
        <v/>
      </c>
      <c r="T225">
        <f>HYPERLINK("https://klasma.github.io/Logging_0980/kartor/A 62376-2023 karta.png", "A 62376-2023")</f>
        <v/>
      </c>
      <c r="V225">
        <f>HYPERLINK("https://klasma.github.io/Logging_0980/klagomål/A 62376-2023 FSC-klagomål.docx", "A 62376-2023")</f>
        <v/>
      </c>
      <c r="W225">
        <f>HYPERLINK("https://klasma.github.io/Logging_0980/klagomålsmail/A 62376-2023 FSC-klagomål mail.docx", "A 62376-2023")</f>
        <v/>
      </c>
      <c r="X225">
        <f>HYPERLINK("https://klasma.github.io/Logging_0980/tillsyn/A 62376-2023 tillsynsbegäran.docx", "A 62376-2023")</f>
        <v/>
      </c>
      <c r="Y225">
        <f>HYPERLINK("https://klasma.github.io/Logging_0980/tillsynsmail/A 62376-2023 tillsynsbegäran mail.docx", "A 62376-2023")</f>
        <v/>
      </c>
    </row>
    <row r="226" ht="15" customHeight="1">
      <c r="A226" t="inlineStr">
        <is>
          <t>A 63515-2023</t>
        </is>
      </c>
      <c r="B226" s="1" t="n">
        <v>45274</v>
      </c>
      <c r="C226" s="1" t="n">
        <v>45579</v>
      </c>
      <c r="D226" t="inlineStr">
        <is>
          <t>GOTLANDS LÄN</t>
        </is>
      </c>
      <c r="E226" t="inlineStr">
        <is>
          <t>GOTLAND</t>
        </is>
      </c>
      <c r="G226" t="n">
        <v>2.1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63515-2023 artfynd.xlsx", "A 63515-2023")</f>
        <v/>
      </c>
      <c r="T226">
        <f>HYPERLINK("https://klasma.github.io/Logging_0980/kartor/A 63515-2023 karta.png", "A 63515-2023")</f>
        <v/>
      </c>
      <c r="V226">
        <f>HYPERLINK("https://klasma.github.io/Logging_0980/klagomål/A 63515-2023 FSC-klagomål.docx", "A 63515-2023")</f>
        <v/>
      </c>
      <c r="W226">
        <f>HYPERLINK("https://klasma.github.io/Logging_0980/klagomålsmail/A 63515-2023 FSC-klagomål mail.docx", "A 63515-2023")</f>
        <v/>
      </c>
      <c r="X226">
        <f>HYPERLINK("https://klasma.github.io/Logging_0980/tillsyn/A 63515-2023 tillsynsbegäran.docx", "A 63515-2023")</f>
        <v/>
      </c>
      <c r="Y226">
        <f>HYPERLINK("https://klasma.github.io/Logging_0980/tillsynsmail/A 63515-2023 tillsynsbegäran mail.docx", "A 63515-2023")</f>
        <v/>
      </c>
    </row>
    <row r="227" ht="15" customHeight="1">
      <c r="A227" t="inlineStr">
        <is>
          <t>A 63302-2023</t>
        </is>
      </c>
      <c r="B227" s="1" t="n">
        <v>45274</v>
      </c>
      <c r="C227" s="1" t="n">
        <v>45579</v>
      </c>
      <c r="D227" t="inlineStr">
        <is>
          <t>GOTLANDS LÄN</t>
        </is>
      </c>
      <c r="E227" t="inlineStr">
        <is>
          <t>GOTLAND</t>
        </is>
      </c>
      <c r="G227" t="n">
        <v>1.3</v>
      </c>
      <c r="H227" t="n">
        <v>1</v>
      </c>
      <c r="I227" t="n">
        <v>0</v>
      </c>
      <c r="J227" t="n">
        <v>0</v>
      </c>
      <c r="K227" t="n">
        <v>0</v>
      </c>
      <c r="L227" t="n">
        <v>0</v>
      </c>
      <c r="M227" t="n">
        <v>0</v>
      </c>
      <c r="N227" t="n">
        <v>0</v>
      </c>
      <c r="O227" t="n">
        <v>0</v>
      </c>
      <c r="P227" t="n">
        <v>0</v>
      </c>
      <c r="Q227" t="n">
        <v>1</v>
      </c>
      <c r="R227" s="2" t="inlineStr">
        <is>
          <t>Nattskärra</t>
        </is>
      </c>
      <c r="S227">
        <f>HYPERLINK("https://klasma.github.io/Logging_0980/artfynd/A 63302-2023 artfynd.xlsx", "A 63302-2023")</f>
        <v/>
      </c>
      <c r="T227">
        <f>HYPERLINK("https://klasma.github.io/Logging_0980/kartor/A 63302-2023 karta.png", "A 63302-2023")</f>
        <v/>
      </c>
      <c r="V227">
        <f>HYPERLINK("https://klasma.github.io/Logging_0980/klagomål/A 63302-2023 FSC-klagomål.docx", "A 63302-2023")</f>
        <v/>
      </c>
      <c r="W227">
        <f>HYPERLINK("https://klasma.github.io/Logging_0980/klagomålsmail/A 63302-2023 FSC-klagomål mail.docx", "A 63302-2023")</f>
        <v/>
      </c>
      <c r="X227">
        <f>HYPERLINK("https://klasma.github.io/Logging_0980/tillsyn/A 63302-2023 tillsynsbegäran.docx", "A 63302-2023")</f>
        <v/>
      </c>
      <c r="Y227">
        <f>HYPERLINK("https://klasma.github.io/Logging_0980/tillsynsmail/A 63302-2023 tillsynsbegäran mail.docx", "A 63302-2023")</f>
        <v/>
      </c>
      <c r="Z227">
        <f>HYPERLINK("https://klasma.github.io/Logging_0980/fåglar/A 63302-2023 prioriterade fågelarter.docx", "A 63302-2023")</f>
        <v/>
      </c>
    </row>
    <row r="228" ht="15" customHeight="1">
      <c r="A228" t="inlineStr">
        <is>
          <t>A 2534-2024</t>
        </is>
      </c>
      <c r="B228" s="1" t="n">
        <v>45313</v>
      </c>
      <c r="C228" s="1" t="n">
        <v>45579</v>
      </c>
      <c r="D228" t="inlineStr">
        <is>
          <t>GOTLANDS LÄN</t>
        </is>
      </c>
      <c r="E228" t="inlineStr">
        <is>
          <t>GOTLAND</t>
        </is>
      </c>
      <c r="G228" t="n">
        <v>1</v>
      </c>
      <c r="H228" t="n">
        <v>0</v>
      </c>
      <c r="I228" t="n">
        <v>0</v>
      </c>
      <c r="J228" t="n">
        <v>0</v>
      </c>
      <c r="K228" t="n">
        <v>0</v>
      </c>
      <c r="L228" t="n">
        <v>1</v>
      </c>
      <c r="M228" t="n">
        <v>0</v>
      </c>
      <c r="N228" t="n">
        <v>0</v>
      </c>
      <c r="O228" t="n">
        <v>1</v>
      </c>
      <c r="P228" t="n">
        <v>1</v>
      </c>
      <c r="Q228" t="n">
        <v>1</v>
      </c>
      <c r="R228" s="2" t="inlineStr">
        <is>
          <t>Ryl</t>
        </is>
      </c>
      <c r="S228">
        <f>HYPERLINK("https://klasma.github.io/Logging_0980/artfynd/A 2534-2024 artfynd.xlsx", "A 2534-2024")</f>
        <v/>
      </c>
      <c r="T228">
        <f>HYPERLINK("https://klasma.github.io/Logging_0980/kartor/A 2534-2024 karta.png", "A 2534-2024")</f>
        <v/>
      </c>
      <c r="V228">
        <f>HYPERLINK("https://klasma.github.io/Logging_0980/klagomål/A 2534-2024 FSC-klagomål.docx", "A 2534-2024")</f>
        <v/>
      </c>
      <c r="W228">
        <f>HYPERLINK("https://klasma.github.io/Logging_0980/klagomålsmail/A 2534-2024 FSC-klagomål mail.docx", "A 2534-2024")</f>
        <v/>
      </c>
      <c r="X228">
        <f>HYPERLINK("https://klasma.github.io/Logging_0980/tillsyn/A 2534-2024 tillsynsbegäran.docx", "A 2534-2024")</f>
        <v/>
      </c>
      <c r="Y228">
        <f>HYPERLINK("https://klasma.github.io/Logging_0980/tillsynsmail/A 2534-2024 tillsynsbegäran mail.docx", "A 2534-2024")</f>
        <v/>
      </c>
    </row>
    <row r="229" ht="15" customHeight="1">
      <c r="A229" t="inlineStr">
        <is>
          <t>A 6303-2024</t>
        </is>
      </c>
      <c r="B229" s="1" t="n">
        <v>45338</v>
      </c>
      <c r="C229" s="1" t="n">
        <v>45579</v>
      </c>
      <c r="D229" t="inlineStr">
        <is>
          <t>GOTLANDS LÄN</t>
        </is>
      </c>
      <c r="E229" t="inlineStr">
        <is>
          <t>GOTLAND</t>
        </is>
      </c>
      <c r="G229" t="n">
        <v>0.6</v>
      </c>
      <c r="H229" t="n">
        <v>0</v>
      </c>
      <c r="I229" t="n">
        <v>1</v>
      </c>
      <c r="J229" t="n">
        <v>0</v>
      </c>
      <c r="K229" t="n">
        <v>0</v>
      </c>
      <c r="L229" t="n">
        <v>0</v>
      </c>
      <c r="M229" t="n">
        <v>0</v>
      </c>
      <c r="N229" t="n">
        <v>0</v>
      </c>
      <c r="O229" t="n">
        <v>0</v>
      </c>
      <c r="P229" t="n">
        <v>0</v>
      </c>
      <c r="Q229" t="n">
        <v>1</v>
      </c>
      <c r="R229" s="2" t="inlineStr">
        <is>
          <t>Strävlosta</t>
        </is>
      </c>
      <c r="S229">
        <f>HYPERLINK("https://klasma.github.io/Logging_0980/artfynd/A 6303-2024 artfynd.xlsx", "A 6303-2024")</f>
        <v/>
      </c>
      <c r="T229">
        <f>HYPERLINK("https://klasma.github.io/Logging_0980/kartor/A 6303-2024 karta.png", "A 6303-2024")</f>
        <v/>
      </c>
      <c r="V229">
        <f>HYPERLINK("https://klasma.github.io/Logging_0980/klagomål/A 6303-2024 FSC-klagomål.docx", "A 6303-2024")</f>
        <v/>
      </c>
      <c r="W229">
        <f>HYPERLINK("https://klasma.github.io/Logging_0980/klagomålsmail/A 6303-2024 FSC-klagomål mail.docx", "A 6303-2024")</f>
        <v/>
      </c>
      <c r="X229">
        <f>HYPERLINK("https://klasma.github.io/Logging_0980/tillsyn/A 6303-2024 tillsynsbegäran.docx", "A 6303-2024")</f>
        <v/>
      </c>
      <c r="Y229">
        <f>HYPERLINK("https://klasma.github.io/Logging_0980/tillsynsmail/A 6303-2024 tillsynsbegäran mail.docx", "A 6303-2024")</f>
        <v/>
      </c>
    </row>
    <row r="230" ht="15" customHeight="1">
      <c r="A230" t="inlineStr">
        <is>
          <t>A 8291-2024</t>
        </is>
      </c>
      <c r="B230" s="1" t="n">
        <v>45352</v>
      </c>
      <c r="C230" s="1" t="n">
        <v>45579</v>
      </c>
      <c r="D230" t="inlineStr">
        <is>
          <t>GOTLANDS LÄN</t>
        </is>
      </c>
      <c r="E230" t="inlineStr">
        <is>
          <t>GOTLAND</t>
        </is>
      </c>
      <c r="G230" t="n">
        <v>5.4</v>
      </c>
      <c r="H230" t="n">
        <v>1</v>
      </c>
      <c r="I230" t="n">
        <v>0</v>
      </c>
      <c r="J230" t="n">
        <v>1</v>
      </c>
      <c r="K230" t="n">
        <v>0</v>
      </c>
      <c r="L230" t="n">
        <v>0</v>
      </c>
      <c r="M230" t="n">
        <v>0</v>
      </c>
      <c r="N230" t="n">
        <v>0</v>
      </c>
      <c r="O230" t="n">
        <v>1</v>
      </c>
      <c r="P230" t="n">
        <v>0</v>
      </c>
      <c r="Q230" t="n">
        <v>1</v>
      </c>
      <c r="R230" s="2" t="inlineStr">
        <is>
          <t>Ärtsångare</t>
        </is>
      </c>
      <c r="S230">
        <f>HYPERLINK("https://klasma.github.io/Logging_0980/artfynd/A 8291-2024 artfynd.xlsx", "A 8291-2024")</f>
        <v/>
      </c>
      <c r="T230">
        <f>HYPERLINK("https://klasma.github.io/Logging_0980/kartor/A 8291-2024 karta.png", "A 8291-2024")</f>
        <v/>
      </c>
      <c r="V230">
        <f>HYPERLINK("https://klasma.github.io/Logging_0980/klagomål/A 8291-2024 FSC-klagomål.docx", "A 8291-2024")</f>
        <v/>
      </c>
      <c r="W230">
        <f>HYPERLINK("https://klasma.github.io/Logging_0980/klagomålsmail/A 8291-2024 FSC-klagomål mail.docx", "A 8291-2024")</f>
        <v/>
      </c>
      <c r="X230">
        <f>HYPERLINK("https://klasma.github.io/Logging_0980/tillsyn/A 8291-2024 tillsynsbegäran.docx", "A 8291-2024")</f>
        <v/>
      </c>
      <c r="Y230">
        <f>HYPERLINK("https://klasma.github.io/Logging_0980/tillsynsmail/A 8291-2024 tillsynsbegäran mail.docx", "A 8291-2024")</f>
        <v/>
      </c>
      <c r="Z230">
        <f>HYPERLINK("https://klasma.github.io/Logging_0980/fåglar/A 8291-2024 prioriterade fågelarter.docx", "A 8291-2024")</f>
        <v/>
      </c>
    </row>
    <row r="231" ht="15" customHeight="1">
      <c r="A231" t="inlineStr">
        <is>
          <t>A 9862-2024</t>
        </is>
      </c>
      <c r="B231" s="1" t="n">
        <v>45363</v>
      </c>
      <c r="C231" s="1" t="n">
        <v>45579</v>
      </c>
      <c r="D231" t="inlineStr">
        <is>
          <t>GOTLANDS LÄN</t>
        </is>
      </c>
      <c r="E231" t="inlineStr">
        <is>
          <t>GOTLAND</t>
        </is>
      </c>
      <c r="G231" t="n">
        <v>3.5</v>
      </c>
      <c r="H231" t="n">
        <v>1</v>
      </c>
      <c r="I231" t="n">
        <v>0</v>
      </c>
      <c r="J231" t="n">
        <v>0</v>
      </c>
      <c r="K231" t="n">
        <v>0</v>
      </c>
      <c r="L231" t="n">
        <v>0</v>
      </c>
      <c r="M231" t="n">
        <v>0</v>
      </c>
      <c r="N231" t="n">
        <v>0</v>
      </c>
      <c r="O231" t="n">
        <v>0</v>
      </c>
      <c r="P231" t="n">
        <v>0</v>
      </c>
      <c r="Q231" t="n">
        <v>1</v>
      </c>
      <c r="R231" s="2" t="inlineStr">
        <is>
          <t>Nattviol</t>
        </is>
      </c>
      <c r="S231">
        <f>HYPERLINK("https://klasma.github.io/Logging_0980/artfynd/A 9862-2024 artfynd.xlsx", "A 9862-2024")</f>
        <v/>
      </c>
      <c r="T231">
        <f>HYPERLINK("https://klasma.github.io/Logging_0980/kartor/A 9862-2024 karta.png", "A 9862-2024")</f>
        <v/>
      </c>
      <c r="V231">
        <f>HYPERLINK("https://klasma.github.io/Logging_0980/klagomål/A 9862-2024 FSC-klagomål.docx", "A 9862-2024")</f>
        <v/>
      </c>
      <c r="W231">
        <f>HYPERLINK("https://klasma.github.io/Logging_0980/klagomålsmail/A 9862-2024 FSC-klagomål mail.docx", "A 9862-2024")</f>
        <v/>
      </c>
      <c r="X231">
        <f>HYPERLINK("https://klasma.github.io/Logging_0980/tillsyn/A 9862-2024 tillsynsbegäran.docx", "A 9862-2024")</f>
        <v/>
      </c>
      <c r="Y231">
        <f>HYPERLINK("https://klasma.github.io/Logging_0980/tillsynsmail/A 9862-2024 tillsynsbegäran mail.docx", "A 9862-2024")</f>
        <v/>
      </c>
    </row>
    <row r="232" ht="15" customHeight="1">
      <c r="A232" t="inlineStr">
        <is>
          <t>A 10440-2024</t>
        </is>
      </c>
      <c r="B232" s="1" t="n">
        <v>45366</v>
      </c>
      <c r="C232" s="1" t="n">
        <v>45579</v>
      </c>
      <c r="D232" t="inlineStr">
        <is>
          <t>GOTLANDS LÄN</t>
        </is>
      </c>
      <c r="E232" t="inlineStr">
        <is>
          <t>GOTLAND</t>
        </is>
      </c>
      <c r="G232" t="n">
        <v>2.5</v>
      </c>
      <c r="H232" t="n">
        <v>1</v>
      </c>
      <c r="I232" t="n">
        <v>0</v>
      </c>
      <c r="J232" t="n">
        <v>1</v>
      </c>
      <c r="K232" t="n">
        <v>0</v>
      </c>
      <c r="L232" t="n">
        <v>0</v>
      </c>
      <c r="M232" t="n">
        <v>0</v>
      </c>
      <c r="N232" t="n">
        <v>0</v>
      </c>
      <c r="O232" t="n">
        <v>1</v>
      </c>
      <c r="P232" t="n">
        <v>0</v>
      </c>
      <c r="Q232" t="n">
        <v>1</v>
      </c>
      <c r="R232" s="2" t="inlineStr">
        <is>
          <t>Mindre hackspett</t>
        </is>
      </c>
      <c r="S232">
        <f>HYPERLINK("https://klasma.github.io/Logging_0980/artfynd/A 10440-2024 artfynd.xlsx", "A 10440-2024")</f>
        <v/>
      </c>
      <c r="T232">
        <f>HYPERLINK("https://klasma.github.io/Logging_0980/kartor/A 10440-2024 karta.png", "A 10440-2024")</f>
        <v/>
      </c>
      <c r="V232">
        <f>HYPERLINK("https://klasma.github.io/Logging_0980/klagomål/A 10440-2024 FSC-klagomål.docx", "A 10440-2024")</f>
        <v/>
      </c>
      <c r="W232">
        <f>HYPERLINK("https://klasma.github.io/Logging_0980/klagomålsmail/A 10440-2024 FSC-klagomål mail.docx", "A 10440-2024")</f>
        <v/>
      </c>
      <c r="X232">
        <f>HYPERLINK("https://klasma.github.io/Logging_0980/tillsyn/A 10440-2024 tillsynsbegäran.docx", "A 10440-2024")</f>
        <v/>
      </c>
      <c r="Y232">
        <f>HYPERLINK("https://klasma.github.io/Logging_0980/tillsynsmail/A 10440-2024 tillsynsbegäran mail.docx", "A 10440-2024")</f>
        <v/>
      </c>
      <c r="Z232">
        <f>HYPERLINK("https://klasma.github.io/Logging_0980/fåglar/A 10440-2024 prioriterade fågelarter.docx", "A 10440-2024")</f>
        <v/>
      </c>
    </row>
    <row r="233" ht="15" customHeight="1">
      <c r="A233" t="inlineStr">
        <is>
          <t>A 12379-2024</t>
        </is>
      </c>
      <c r="B233" s="1" t="n">
        <v>45379</v>
      </c>
      <c r="C233" s="1" t="n">
        <v>45579</v>
      </c>
      <c r="D233" t="inlineStr">
        <is>
          <t>GOTLANDS LÄN</t>
        </is>
      </c>
      <c r="E233" t="inlineStr">
        <is>
          <t>GOTLAND</t>
        </is>
      </c>
      <c r="G233" t="n">
        <v>4.4</v>
      </c>
      <c r="H233" t="n">
        <v>0</v>
      </c>
      <c r="I233" t="n">
        <v>0</v>
      </c>
      <c r="J233" t="n">
        <v>1</v>
      </c>
      <c r="K233" t="n">
        <v>0</v>
      </c>
      <c r="L233" t="n">
        <v>0</v>
      </c>
      <c r="M233" t="n">
        <v>0</v>
      </c>
      <c r="N233" t="n">
        <v>0</v>
      </c>
      <c r="O233" t="n">
        <v>1</v>
      </c>
      <c r="P233" t="n">
        <v>0</v>
      </c>
      <c r="Q233" t="n">
        <v>1</v>
      </c>
      <c r="R233" s="2" t="inlineStr">
        <is>
          <t>Svinrot</t>
        </is>
      </c>
      <c r="S233">
        <f>HYPERLINK("https://klasma.github.io/Logging_0980/artfynd/A 12379-2024 artfynd.xlsx", "A 12379-2024")</f>
        <v/>
      </c>
      <c r="T233">
        <f>HYPERLINK("https://klasma.github.io/Logging_0980/kartor/A 12379-2024 karta.png", "A 12379-2024")</f>
        <v/>
      </c>
      <c r="V233">
        <f>HYPERLINK("https://klasma.github.io/Logging_0980/klagomål/A 12379-2024 FSC-klagomål.docx", "A 12379-2024")</f>
        <v/>
      </c>
      <c r="W233">
        <f>HYPERLINK("https://klasma.github.io/Logging_0980/klagomålsmail/A 12379-2024 FSC-klagomål mail.docx", "A 12379-2024")</f>
        <v/>
      </c>
      <c r="X233">
        <f>HYPERLINK("https://klasma.github.io/Logging_0980/tillsyn/A 12379-2024 tillsynsbegäran.docx", "A 12379-2024")</f>
        <v/>
      </c>
      <c r="Y233">
        <f>HYPERLINK("https://klasma.github.io/Logging_0980/tillsynsmail/A 12379-2024 tillsynsbegäran mail.docx", "A 12379-2024")</f>
        <v/>
      </c>
    </row>
    <row r="234" ht="15" customHeight="1">
      <c r="A234" t="inlineStr">
        <is>
          <t>A 15629-2024</t>
        </is>
      </c>
      <c r="B234" s="1" t="n">
        <v>45402</v>
      </c>
      <c r="C234" s="1" t="n">
        <v>45579</v>
      </c>
      <c r="D234" t="inlineStr">
        <is>
          <t>GOTLANDS LÄN</t>
        </is>
      </c>
      <c r="E234" t="inlineStr">
        <is>
          <t>GOTLAND</t>
        </is>
      </c>
      <c r="G234" t="n">
        <v>6.3</v>
      </c>
      <c r="H234" t="n">
        <v>1</v>
      </c>
      <c r="I234" t="n">
        <v>0</v>
      </c>
      <c r="J234" t="n">
        <v>1</v>
      </c>
      <c r="K234" t="n">
        <v>0</v>
      </c>
      <c r="L234" t="n">
        <v>0</v>
      </c>
      <c r="M234" t="n">
        <v>0</v>
      </c>
      <c r="N234" t="n">
        <v>0</v>
      </c>
      <c r="O234" t="n">
        <v>1</v>
      </c>
      <c r="P234" t="n">
        <v>0</v>
      </c>
      <c r="Q234" t="n">
        <v>1</v>
      </c>
      <c r="R234" s="2" t="inlineStr">
        <is>
          <t>Apollofjäril</t>
        </is>
      </c>
      <c r="S234">
        <f>HYPERLINK("https://klasma.github.io/Logging_0980/artfynd/A 15629-2024 artfynd.xlsx", "A 15629-2024")</f>
        <v/>
      </c>
      <c r="T234">
        <f>HYPERLINK("https://klasma.github.io/Logging_0980/kartor/A 15629-2024 karta.png", "A 15629-2024")</f>
        <v/>
      </c>
      <c r="V234">
        <f>HYPERLINK("https://klasma.github.io/Logging_0980/klagomål/A 15629-2024 FSC-klagomål.docx", "A 15629-2024")</f>
        <v/>
      </c>
      <c r="W234">
        <f>HYPERLINK("https://klasma.github.io/Logging_0980/klagomålsmail/A 15629-2024 FSC-klagomål mail.docx", "A 15629-2024")</f>
        <v/>
      </c>
      <c r="X234">
        <f>HYPERLINK("https://klasma.github.io/Logging_0980/tillsyn/A 15629-2024 tillsynsbegäran.docx", "A 15629-2024")</f>
        <v/>
      </c>
      <c r="Y234">
        <f>HYPERLINK("https://klasma.github.io/Logging_0980/tillsynsmail/A 15629-2024 tillsynsbegäran mail.docx", "A 15629-2024")</f>
        <v/>
      </c>
    </row>
    <row r="235" ht="15" customHeight="1">
      <c r="A235" t="inlineStr">
        <is>
          <t>A 15637-2024</t>
        </is>
      </c>
      <c r="B235" s="1" t="n">
        <v>45403</v>
      </c>
      <c r="C235" s="1" t="n">
        <v>45579</v>
      </c>
      <c r="D235" t="inlineStr">
        <is>
          <t>GOTLANDS LÄN</t>
        </is>
      </c>
      <c r="E235" t="inlineStr">
        <is>
          <t>GOTLAND</t>
        </is>
      </c>
      <c r="G235" t="n">
        <v>4.1</v>
      </c>
      <c r="H235" t="n">
        <v>1</v>
      </c>
      <c r="I235" t="n">
        <v>0</v>
      </c>
      <c r="J235" t="n">
        <v>0</v>
      </c>
      <c r="K235" t="n">
        <v>0</v>
      </c>
      <c r="L235" t="n">
        <v>0</v>
      </c>
      <c r="M235" t="n">
        <v>0</v>
      </c>
      <c r="N235" t="n">
        <v>0</v>
      </c>
      <c r="O235" t="n">
        <v>0</v>
      </c>
      <c r="P235" t="n">
        <v>0</v>
      </c>
      <c r="Q235" t="n">
        <v>1</v>
      </c>
      <c r="R235" s="2" t="inlineStr">
        <is>
          <t>Blåsippa</t>
        </is>
      </c>
      <c r="S235">
        <f>HYPERLINK("https://klasma.github.io/Logging_0980/artfynd/A 15637-2024 artfynd.xlsx", "A 15637-2024")</f>
        <v/>
      </c>
      <c r="T235">
        <f>HYPERLINK("https://klasma.github.io/Logging_0980/kartor/A 15637-2024 karta.png", "A 15637-2024")</f>
        <v/>
      </c>
      <c r="V235">
        <f>HYPERLINK("https://klasma.github.io/Logging_0980/klagomål/A 15637-2024 FSC-klagomål.docx", "A 15637-2024")</f>
        <v/>
      </c>
      <c r="W235">
        <f>HYPERLINK("https://klasma.github.io/Logging_0980/klagomålsmail/A 15637-2024 FSC-klagomål mail.docx", "A 15637-2024")</f>
        <v/>
      </c>
      <c r="X235">
        <f>HYPERLINK("https://klasma.github.io/Logging_0980/tillsyn/A 15637-2024 tillsynsbegäran.docx", "A 15637-2024")</f>
        <v/>
      </c>
      <c r="Y235">
        <f>HYPERLINK("https://klasma.github.io/Logging_0980/tillsynsmail/A 15637-2024 tillsynsbegäran mail.docx", "A 15637-2024")</f>
        <v/>
      </c>
    </row>
    <row r="236" ht="15" customHeight="1">
      <c r="A236" t="inlineStr">
        <is>
          <t>A 17681-2024</t>
        </is>
      </c>
      <c r="B236" s="1" t="n">
        <v>45418</v>
      </c>
      <c r="C236" s="1" t="n">
        <v>45579</v>
      </c>
      <c r="D236" t="inlineStr">
        <is>
          <t>GOTLANDS LÄN</t>
        </is>
      </c>
      <c r="E236" t="inlineStr">
        <is>
          <t>GOTLAND</t>
        </is>
      </c>
      <c r="G236" t="n">
        <v>1.9</v>
      </c>
      <c r="H236" t="n">
        <v>0</v>
      </c>
      <c r="I236" t="n">
        <v>0</v>
      </c>
      <c r="J236" t="n">
        <v>1</v>
      </c>
      <c r="K236" t="n">
        <v>0</v>
      </c>
      <c r="L236" t="n">
        <v>0</v>
      </c>
      <c r="M236" t="n">
        <v>0</v>
      </c>
      <c r="N236" t="n">
        <v>0</v>
      </c>
      <c r="O236" t="n">
        <v>1</v>
      </c>
      <c r="P236" t="n">
        <v>0</v>
      </c>
      <c r="Q236" t="n">
        <v>1</v>
      </c>
      <c r="R236" s="2" t="inlineStr">
        <is>
          <t>Igelkott</t>
        </is>
      </c>
      <c r="S236">
        <f>HYPERLINK("https://klasma.github.io/Logging_0980/artfynd/A 17681-2024 artfynd.xlsx", "A 17681-2024")</f>
        <v/>
      </c>
      <c r="T236">
        <f>HYPERLINK("https://klasma.github.io/Logging_0980/kartor/A 17681-2024 karta.png", "A 17681-2024")</f>
        <v/>
      </c>
      <c r="V236">
        <f>HYPERLINK("https://klasma.github.io/Logging_0980/klagomål/A 17681-2024 FSC-klagomål.docx", "A 17681-2024")</f>
        <v/>
      </c>
      <c r="W236">
        <f>HYPERLINK("https://klasma.github.io/Logging_0980/klagomålsmail/A 17681-2024 FSC-klagomål mail.docx", "A 17681-2024")</f>
        <v/>
      </c>
      <c r="X236">
        <f>HYPERLINK("https://klasma.github.io/Logging_0980/tillsyn/A 17681-2024 tillsynsbegäran.docx", "A 17681-2024")</f>
        <v/>
      </c>
      <c r="Y236">
        <f>HYPERLINK("https://klasma.github.io/Logging_0980/tillsynsmail/A 17681-2024 tillsynsbegäran mail.docx", "A 17681-2024")</f>
        <v/>
      </c>
    </row>
    <row r="237" ht="15" customHeight="1">
      <c r="A237" t="inlineStr">
        <is>
          <t>A 17727-2024</t>
        </is>
      </c>
      <c r="B237" s="1" t="n">
        <v>45418</v>
      </c>
      <c r="C237" s="1" t="n">
        <v>45579</v>
      </c>
      <c r="D237" t="inlineStr">
        <is>
          <t>GOTLANDS LÄN</t>
        </is>
      </c>
      <c r="E237" t="inlineStr">
        <is>
          <t>GOTLAND</t>
        </is>
      </c>
      <c r="G237" t="n">
        <v>1</v>
      </c>
      <c r="H237" t="n">
        <v>0</v>
      </c>
      <c r="I237" t="n">
        <v>0</v>
      </c>
      <c r="J237" t="n">
        <v>1</v>
      </c>
      <c r="K237" t="n">
        <v>0</v>
      </c>
      <c r="L237" t="n">
        <v>0</v>
      </c>
      <c r="M237" t="n">
        <v>0</v>
      </c>
      <c r="N237" t="n">
        <v>0</v>
      </c>
      <c r="O237" t="n">
        <v>1</v>
      </c>
      <c r="P237" t="n">
        <v>0</v>
      </c>
      <c r="Q237" t="n">
        <v>1</v>
      </c>
      <c r="R237" s="2" t="inlineStr">
        <is>
          <t>Åkerranunkel</t>
        </is>
      </c>
      <c r="S237">
        <f>HYPERLINK("https://klasma.github.io/Logging_0980/artfynd/A 17727-2024 artfynd.xlsx", "A 17727-2024")</f>
        <v/>
      </c>
      <c r="T237">
        <f>HYPERLINK("https://klasma.github.io/Logging_0980/kartor/A 17727-2024 karta.png", "A 17727-2024")</f>
        <v/>
      </c>
      <c r="V237">
        <f>HYPERLINK("https://klasma.github.io/Logging_0980/klagomål/A 17727-2024 FSC-klagomål.docx", "A 17727-2024")</f>
        <v/>
      </c>
      <c r="W237">
        <f>HYPERLINK("https://klasma.github.io/Logging_0980/klagomålsmail/A 17727-2024 FSC-klagomål mail.docx", "A 17727-2024")</f>
        <v/>
      </c>
      <c r="X237">
        <f>HYPERLINK("https://klasma.github.io/Logging_0980/tillsyn/A 17727-2024 tillsynsbegäran.docx", "A 17727-2024")</f>
        <v/>
      </c>
      <c r="Y237">
        <f>HYPERLINK("https://klasma.github.io/Logging_0980/tillsynsmail/A 17727-2024 tillsynsbegäran mail.docx", "A 17727-2024")</f>
        <v/>
      </c>
    </row>
    <row r="238" ht="15" customHeight="1">
      <c r="A238" t="inlineStr">
        <is>
          <t>A 20831-2024</t>
        </is>
      </c>
      <c r="B238" s="1" t="n">
        <v>45439</v>
      </c>
      <c r="C238" s="1" t="n">
        <v>45579</v>
      </c>
      <c r="D238" t="inlineStr">
        <is>
          <t>GOTLANDS LÄN</t>
        </is>
      </c>
      <c r="E238" t="inlineStr">
        <is>
          <t>GOTLAND</t>
        </is>
      </c>
      <c r="G238" t="n">
        <v>2.9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20831-2024 artfynd.xlsx", "A 20831-2024")</f>
        <v/>
      </c>
      <c r="T238">
        <f>HYPERLINK("https://klasma.github.io/Logging_0980/kartor/A 20831-2024 karta.png", "A 20831-2024")</f>
        <v/>
      </c>
      <c r="V238">
        <f>HYPERLINK("https://klasma.github.io/Logging_0980/klagomål/A 20831-2024 FSC-klagomål.docx", "A 20831-2024")</f>
        <v/>
      </c>
      <c r="W238">
        <f>HYPERLINK("https://klasma.github.io/Logging_0980/klagomålsmail/A 20831-2024 FSC-klagomål mail.docx", "A 20831-2024")</f>
        <v/>
      </c>
      <c r="X238">
        <f>HYPERLINK("https://klasma.github.io/Logging_0980/tillsyn/A 20831-2024 tillsynsbegäran.docx", "A 20831-2024")</f>
        <v/>
      </c>
      <c r="Y238">
        <f>HYPERLINK("https://klasma.github.io/Logging_0980/tillsynsmail/A 20831-2024 tillsynsbegäran mail.docx", "A 20831-2024")</f>
        <v/>
      </c>
    </row>
    <row r="239" ht="15" customHeight="1">
      <c r="A239" t="inlineStr">
        <is>
          <t>A 20838-2024</t>
        </is>
      </c>
      <c r="B239" s="1" t="n">
        <v>45439</v>
      </c>
      <c r="C239" s="1" t="n">
        <v>45579</v>
      </c>
      <c r="D239" t="inlineStr">
        <is>
          <t>GOTLANDS LÄN</t>
        </is>
      </c>
      <c r="E239" t="inlineStr">
        <is>
          <t>GOTLAND</t>
        </is>
      </c>
      <c r="G239" t="n">
        <v>0.7</v>
      </c>
      <c r="H239" t="n">
        <v>1</v>
      </c>
      <c r="I239" t="n">
        <v>1</v>
      </c>
      <c r="J239" t="n">
        <v>0</v>
      </c>
      <c r="K239" t="n">
        <v>0</v>
      </c>
      <c r="L239" t="n">
        <v>0</v>
      </c>
      <c r="M239" t="n">
        <v>0</v>
      </c>
      <c r="N239" t="n">
        <v>0</v>
      </c>
      <c r="O239" t="n">
        <v>0</v>
      </c>
      <c r="P239" t="n">
        <v>0</v>
      </c>
      <c r="Q239" t="n">
        <v>1</v>
      </c>
      <c r="R239" s="2" t="inlineStr">
        <is>
          <t>Skogsknipprot</t>
        </is>
      </c>
      <c r="S239">
        <f>HYPERLINK("https://klasma.github.io/Logging_0980/artfynd/A 20838-2024 artfynd.xlsx", "A 20838-2024")</f>
        <v/>
      </c>
      <c r="T239">
        <f>HYPERLINK("https://klasma.github.io/Logging_0980/kartor/A 20838-2024 karta.png", "A 20838-2024")</f>
        <v/>
      </c>
      <c r="V239">
        <f>HYPERLINK("https://klasma.github.io/Logging_0980/klagomål/A 20838-2024 FSC-klagomål.docx", "A 20838-2024")</f>
        <v/>
      </c>
      <c r="W239">
        <f>HYPERLINK("https://klasma.github.io/Logging_0980/klagomålsmail/A 20838-2024 FSC-klagomål mail.docx", "A 20838-2024")</f>
        <v/>
      </c>
      <c r="X239">
        <f>HYPERLINK("https://klasma.github.io/Logging_0980/tillsyn/A 20838-2024 tillsynsbegäran.docx", "A 20838-2024")</f>
        <v/>
      </c>
      <c r="Y239">
        <f>HYPERLINK("https://klasma.github.io/Logging_0980/tillsynsmail/A 20838-2024 tillsynsbegäran mail.docx", "A 20838-2024")</f>
        <v/>
      </c>
    </row>
    <row r="240" ht="15" customHeight="1">
      <c r="A240" t="inlineStr">
        <is>
          <t>A 20833-2024</t>
        </is>
      </c>
      <c r="B240" s="1" t="n">
        <v>45439</v>
      </c>
      <c r="C240" s="1" t="n">
        <v>45579</v>
      </c>
      <c r="D240" t="inlineStr">
        <is>
          <t>GOTLANDS LÄN</t>
        </is>
      </c>
      <c r="E240" t="inlineStr">
        <is>
          <t>GOTLAND</t>
        </is>
      </c>
      <c r="G240" t="n">
        <v>0.9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20833-2024 artfynd.xlsx", "A 20833-2024")</f>
        <v/>
      </c>
      <c r="T240">
        <f>HYPERLINK("https://klasma.github.io/Logging_0980/kartor/A 20833-2024 karta.png", "A 20833-2024")</f>
        <v/>
      </c>
      <c r="V240">
        <f>HYPERLINK("https://klasma.github.io/Logging_0980/klagomål/A 20833-2024 FSC-klagomål.docx", "A 20833-2024")</f>
        <v/>
      </c>
      <c r="W240">
        <f>HYPERLINK("https://klasma.github.io/Logging_0980/klagomålsmail/A 20833-2024 FSC-klagomål mail.docx", "A 20833-2024")</f>
        <v/>
      </c>
      <c r="X240">
        <f>HYPERLINK("https://klasma.github.io/Logging_0980/tillsyn/A 20833-2024 tillsynsbegäran.docx", "A 20833-2024")</f>
        <v/>
      </c>
      <c r="Y240">
        <f>HYPERLINK("https://klasma.github.io/Logging_0980/tillsynsmail/A 20833-2024 tillsynsbegäran mail.docx", "A 20833-2024")</f>
        <v/>
      </c>
    </row>
    <row r="241" ht="15" customHeight="1">
      <c r="A241" t="inlineStr">
        <is>
          <t>A 25977-2024</t>
        </is>
      </c>
      <c r="B241" s="1" t="n">
        <v>45467</v>
      </c>
      <c r="C241" s="1" t="n">
        <v>45579</v>
      </c>
      <c r="D241" t="inlineStr">
        <is>
          <t>GOTLANDS LÄN</t>
        </is>
      </c>
      <c r="E241" t="inlineStr">
        <is>
          <t>GOTLAND</t>
        </is>
      </c>
      <c r="G241" t="n">
        <v>3</v>
      </c>
      <c r="H241" t="n">
        <v>1</v>
      </c>
      <c r="I241" t="n">
        <v>0</v>
      </c>
      <c r="J241" t="n">
        <v>0</v>
      </c>
      <c r="K241" t="n">
        <v>0</v>
      </c>
      <c r="L241" t="n">
        <v>0</v>
      </c>
      <c r="M241" t="n">
        <v>0</v>
      </c>
      <c r="N241" t="n">
        <v>0</v>
      </c>
      <c r="O241" t="n">
        <v>0</v>
      </c>
      <c r="P241" t="n">
        <v>0</v>
      </c>
      <c r="Q241" t="n">
        <v>1</v>
      </c>
      <c r="R241" s="2" t="inlineStr">
        <is>
          <t>Nattviol</t>
        </is>
      </c>
      <c r="S241">
        <f>HYPERLINK("https://klasma.github.io/Logging_0980/artfynd/A 25977-2024 artfynd.xlsx", "A 25977-2024")</f>
        <v/>
      </c>
      <c r="T241">
        <f>HYPERLINK("https://klasma.github.io/Logging_0980/kartor/A 25977-2024 karta.png", "A 25977-2024")</f>
        <v/>
      </c>
      <c r="V241">
        <f>HYPERLINK("https://klasma.github.io/Logging_0980/klagomål/A 25977-2024 FSC-klagomål.docx", "A 25977-2024")</f>
        <v/>
      </c>
      <c r="W241">
        <f>HYPERLINK("https://klasma.github.io/Logging_0980/klagomålsmail/A 25977-2024 FSC-klagomål mail.docx", "A 25977-2024")</f>
        <v/>
      </c>
      <c r="X241">
        <f>HYPERLINK("https://klasma.github.io/Logging_0980/tillsyn/A 25977-2024 tillsynsbegäran.docx", "A 25977-2024")</f>
        <v/>
      </c>
      <c r="Y241">
        <f>HYPERLINK("https://klasma.github.io/Logging_0980/tillsynsmail/A 25977-2024 tillsynsbegäran mail.docx", "A 25977-2024")</f>
        <v/>
      </c>
    </row>
    <row r="242" ht="15" customHeight="1">
      <c r="A242" t="inlineStr">
        <is>
          <t>A 30892-2024</t>
        </is>
      </c>
      <c r="B242" s="1" t="n">
        <v>45491</v>
      </c>
      <c r="C242" s="1" t="n">
        <v>45579</v>
      </c>
      <c r="D242" t="inlineStr">
        <is>
          <t>GOTLANDS LÄN</t>
        </is>
      </c>
      <c r="E242" t="inlineStr">
        <is>
          <t>GOTLAND</t>
        </is>
      </c>
      <c r="G242" t="n">
        <v>16.3</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30892-2024 artfynd.xlsx", "A 30892-2024")</f>
        <v/>
      </c>
      <c r="T242">
        <f>HYPERLINK("https://klasma.github.io/Logging_0980/kartor/A 30892-2024 karta.png", "A 30892-2024")</f>
        <v/>
      </c>
      <c r="V242">
        <f>HYPERLINK("https://klasma.github.io/Logging_0980/klagomål/A 30892-2024 FSC-klagomål.docx", "A 30892-2024")</f>
        <v/>
      </c>
      <c r="W242">
        <f>HYPERLINK("https://klasma.github.io/Logging_0980/klagomålsmail/A 30892-2024 FSC-klagomål mail.docx", "A 30892-2024")</f>
        <v/>
      </c>
      <c r="X242">
        <f>HYPERLINK("https://klasma.github.io/Logging_0980/tillsyn/A 30892-2024 tillsynsbegäran.docx", "A 30892-2024")</f>
        <v/>
      </c>
      <c r="Y242">
        <f>HYPERLINK("https://klasma.github.io/Logging_0980/tillsynsmail/A 30892-2024 tillsynsbegäran mail.docx", "A 30892-2024")</f>
        <v/>
      </c>
    </row>
    <row r="243" ht="15" customHeight="1">
      <c r="A243" t="inlineStr">
        <is>
          <t>A 30410-2024</t>
        </is>
      </c>
      <c r="B243" s="1" t="n">
        <v>45491</v>
      </c>
      <c r="C243" s="1" t="n">
        <v>45579</v>
      </c>
      <c r="D243" t="inlineStr">
        <is>
          <t>GOTLANDS LÄN</t>
        </is>
      </c>
      <c r="E243" t="inlineStr">
        <is>
          <t>GOTLAND</t>
        </is>
      </c>
      <c r="G243" t="n">
        <v>4</v>
      </c>
      <c r="H243" t="n">
        <v>0</v>
      </c>
      <c r="I243" t="n">
        <v>0</v>
      </c>
      <c r="J243" t="n">
        <v>1</v>
      </c>
      <c r="K243" t="n">
        <v>0</v>
      </c>
      <c r="L243" t="n">
        <v>0</v>
      </c>
      <c r="M243" t="n">
        <v>0</v>
      </c>
      <c r="N243" t="n">
        <v>0</v>
      </c>
      <c r="O243" t="n">
        <v>1</v>
      </c>
      <c r="P243" t="n">
        <v>0</v>
      </c>
      <c r="Q243" t="n">
        <v>1</v>
      </c>
      <c r="R243" s="2" t="inlineStr">
        <is>
          <t>Granticka</t>
        </is>
      </c>
      <c r="S243">
        <f>HYPERLINK("https://klasma.github.io/Logging_0980/artfynd/A 30410-2024 artfynd.xlsx", "A 30410-2024")</f>
        <v/>
      </c>
      <c r="T243">
        <f>HYPERLINK("https://klasma.github.io/Logging_0980/kartor/A 30410-2024 karta.png", "A 30410-2024")</f>
        <v/>
      </c>
      <c r="V243">
        <f>HYPERLINK("https://klasma.github.io/Logging_0980/klagomål/A 30410-2024 FSC-klagomål.docx", "A 30410-2024")</f>
        <v/>
      </c>
      <c r="W243">
        <f>HYPERLINK("https://klasma.github.io/Logging_0980/klagomålsmail/A 30410-2024 FSC-klagomål mail.docx", "A 30410-2024")</f>
        <v/>
      </c>
      <c r="X243">
        <f>HYPERLINK("https://klasma.github.io/Logging_0980/tillsyn/A 30410-2024 tillsynsbegäran.docx", "A 30410-2024")</f>
        <v/>
      </c>
      <c r="Y243">
        <f>HYPERLINK("https://klasma.github.io/Logging_0980/tillsynsmail/A 30410-2024 tillsynsbegäran mail.docx", "A 30410-2024")</f>
        <v/>
      </c>
    </row>
    <row r="244" ht="15" customHeight="1">
      <c r="A244" t="inlineStr">
        <is>
          <t>A 31750-2024</t>
        </is>
      </c>
      <c r="B244" s="1" t="n">
        <v>45509</v>
      </c>
      <c r="C244" s="1" t="n">
        <v>45579</v>
      </c>
      <c r="D244" t="inlineStr">
        <is>
          <t>GOTLANDS LÄN</t>
        </is>
      </c>
      <c r="E244" t="inlineStr">
        <is>
          <t>GOTLAND</t>
        </is>
      </c>
      <c r="G244" t="n">
        <v>10.3</v>
      </c>
      <c r="H244" t="n">
        <v>1</v>
      </c>
      <c r="I244" t="n">
        <v>0</v>
      </c>
      <c r="J244" t="n">
        <v>1</v>
      </c>
      <c r="K244" t="n">
        <v>0</v>
      </c>
      <c r="L244" t="n">
        <v>0</v>
      </c>
      <c r="M244" t="n">
        <v>0</v>
      </c>
      <c r="N244" t="n">
        <v>0</v>
      </c>
      <c r="O244" t="n">
        <v>1</v>
      </c>
      <c r="P244" t="n">
        <v>0</v>
      </c>
      <c r="Q244" t="n">
        <v>1</v>
      </c>
      <c r="R244" s="2" t="inlineStr">
        <is>
          <t>Grönsångare</t>
        </is>
      </c>
      <c r="S244">
        <f>HYPERLINK("https://klasma.github.io/Logging_0980/artfynd/A 31750-2024 artfynd.xlsx", "A 31750-2024")</f>
        <v/>
      </c>
      <c r="T244">
        <f>HYPERLINK("https://klasma.github.io/Logging_0980/kartor/A 31750-2024 karta.png", "A 31750-2024")</f>
        <v/>
      </c>
      <c r="V244">
        <f>HYPERLINK("https://klasma.github.io/Logging_0980/klagomål/A 31750-2024 FSC-klagomål.docx", "A 31750-2024")</f>
        <v/>
      </c>
      <c r="W244">
        <f>HYPERLINK("https://klasma.github.io/Logging_0980/klagomålsmail/A 31750-2024 FSC-klagomål mail.docx", "A 31750-2024")</f>
        <v/>
      </c>
      <c r="X244">
        <f>HYPERLINK("https://klasma.github.io/Logging_0980/tillsyn/A 31750-2024 tillsynsbegäran.docx", "A 31750-2024")</f>
        <v/>
      </c>
      <c r="Y244">
        <f>HYPERLINK("https://klasma.github.io/Logging_0980/tillsynsmail/A 31750-2024 tillsynsbegäran mail.docx", "A 31750-2024")</f>
        <v/>
      </c>
      <c r="Z244">
        <f>HYPERLINK("https://klasma.github.io/Logging_0980/fåglar/A 31750-2024 prioriterade fågelarter.docx", "A 31750-2024")</f>
        <v/>
      </c>
    </row>
    <row r="245" ht="15" customHeight="1">
      <c r="A245" t="inlineStr">
        <is>
          <t>A 33081-2024</t>
        </is>
      </c>
      <c r="B245" s="1" t="n">
        <v>45517</v>
      </c>
      <c r="C245" s="1" t="n">
        <v>45579</v>
      </c>
      <c r="D245" t="inlineStr">
        <is>
          <t>GOTLANDS LÄN</t>
        </is>
      </c>
      <c r="E245" t="inlineStr">
        <is>
          <t>GOTLAND</t>
        </is>
      </c>
      <c r="G245" t="n">
        <v>1.4</v>
      </c>
      <c r="H245" t="n">
        <v>0</v>
      </c>
      <c r="I245" t="n">
        <v>0</v>
      </c>
      <c r="J245" t="n">
        <v>0</v>
      </c>
      <c r="K245" t="n">
        <v>1</v>
      </c>
      <c r="L245" t="n">
        <v>0</v>
      </c>
      <c r="M245" t="n">
        <v>0</v>
      </c>
      <c r="N245" t="n">
        <v>0</v>
      </c>
      <c r="O245" t="n">
        <v>1</v>
      </c>
      <c r="P245" t="n">
        <v>1</v>
      </c>
      <c r="Q245" t="n">
        <v>1</v>
      </c>
      <c r="R245" s="2" t="inlineStr">
        <is>
          <t>Gotlandsmåra</t>
        </is>
      </c>
      <c r="S245">
        <f>HYPERLINK("https://klasma.github.io/Logging_0980/artfynd/A 33081-2024 artfynd.xlsx", "A 33081-2024")</f>
        <v/>
      </c>
      <c r="T245">
        <f>HYPERLINK("https://klasma.github.io/Logging_0980/kartor/A 33081-2024 karta.png", "A 33081-2024")</f>
        <v/>
      </c>
      <c r="V245">
        <f>HYPERLINK("https://klasma.github.io/Logging_0980/klagomål/A 33081-2024 FSC-klagomål.docx", "A 33081-2024")</f>
        <v/>
      </c>
      <c r="W245">
        <f>HYPERLINK("https://klasma.github.io/Logging_0980/klagomålsmail/A 33081-2024 FSC-klagomål mail.docx", "A 33081-2024")</f>
        <v/>
      </c>
      <c r="X245">
        <f>HYPERLINK("https://klasma.github.io/Logging_0980/tillsyn/A 33081-2024 tillsynsbegäran.docx", "A 33081-2024")</f>
        <v/>
      </c>
      <c r="Y245">
        <f>HYPERLINK("https://klasma.github.io/Logging_0980/tillsynsmail/A 33081-2024 tillsynsbegäran mail.docx", "A 33081-2024")</f>
        <v/>
      </c>
    </row>
    <row r="246" ht="15" customHeight="1">
      <c r="A246" t="inlineStr">
        <is>
          <t>A 34141-2024</t>
        </is>
      </c>
      <c r="B246" s="1" t="n">
        <v>45524</v>
      </c>
      <c r="C246" s="1" t="n">
        <v>45579</v>
      </c>
      <c r="D246" t="inlineStr">
        <is>
          <t>GOTLANDS LÄN</t>
        </is>
      </c>
      <c r="E246" t="inlineStr">
        <is>
          <t>GOTLAND</t>
        </is>
      </c>
      <c r="G246" t="n">
        <v>0.9</v>
      </c>
      <c r="H246" t="n">
        <v>0</v>
      </c>
      <c r="I246" t="n">
        <v>1</v>
      </c>
      <c r="J246" t="n">
        <v>0</v>
      </c>
      <c r="K246" t="n">
        <v>0</v>
      </c>
      <c r="L246" t="n">
        <v>0</v>
      </c>
      <c r="M246" t="n">
        <v>0</v>
      </c>
      <c r="N246" t="n">
        <v>0</v>
      </c>
      <c r="O246" t="n">
        <v>0</v>
      </c>
      <c r="P246" t="n">
        <v>0</v>
      </c>
      <c r="Q246" t="n">
        <v>1</v>
      </c>
      <c r="R246" s="2" t="inlineStr">
        <is>
          <t>Strävlosta</t>
        </is>
      </c>
      <c r="S246">
        <f>HYPERLINK("https://klasma.github.io/Logging_0980/artfynd/A 34141-2024 artfynd.xlsx", "A 34141-2024")</f>
        <v/>
      </c>
      <c r="T246">
        <f>HYPERLINK("https://klasma.github.io/Logging_0980/kartor/A 34141-2024 karta.png", "A 34141-2024")</f>
        <v/>
      </c>
      <c r="V246">
        <f>HYPERLINK("https://klasma.github.io/Logging_0980/klagomål/A 34141-2024 FSC-klagomål.docx", "A 34141-2024")</f>
        <v/>
      </c>
      <c r="W246">
        <f>HYPERLINK("https://klasma.github.io/Logging_0980/klagomålsmail/A 34141-2024 FSC-klagomål mail.docx", "A 34141-2024")</f>
        <v/>
      </c>
      <c r="X246">
        <f>HYPERLINK("https://klasma.github.io/Logging_0980/tillsyn/A 34141-2024 tillsynsbegäran.docx", "A 34141-2024")</f>
        <v/>
      </c>
      <c r="Y246">
        <f>HYPERLINK("https://klasma.github.io/Logging_0980/tillsynsmail/A 34141-2024 tillsynsbegäran mail.docx", "A 34141-2024")</f>
        <v/>
      </c>
    </row>
    <row r="247" ht="15" customHeight="1">
      <c r="A247" t="inlineStr">
        <is>
          <t>A 34809-2024</t>
        </is>
      </c>
      <c r="B247" s="1" t="n">
        <v>45526</v>
      </c>
      <c r="C247" s="1" t="n">
        <v>45579</v>
      </c>
      <c r="D247" t="inlineStr">
        <is>
          <t>GOTLANDS LÄN</t>
        </is>
      </c>
      <c r="E247" t="inlineStr">
        <is>
          <t>GOTLAND</t>
        </is>
      </c>
      <c r="G247" t="n">
        <v>9.9</v>
      </c>
      <c r="H247" t="n">
        <v>1</v>
      </c>
      <c r="I247" t="n">
        <v>0</v>
      </c>
      <c r="J247" t="n">
        <v>1</v>
      </c>
      <c r="K247" t="n">
        <v>0</v>
      </c>
      <c r="L247" t="n">
        <v>0</v>
      </c>
      <c r="M247" t="n">
        <v>0</v>
      </c>
      <c r="N247" t="n">
        <v>0</v>
      </c>
      <c r="O247" t="n">
        <v>1</v>
      </c>
      <c r="P247" t="n">
        <v>0</v>
      </c>
      <c r="Q247" t="n">
        <v>1</v>
      </c>
      <c r="R247" s="2" t="inlineStr">
        <is>
          <t>Brun ögontröst</t>
        </is>
      </c>
      <c r="S247">
        <f>HYPERLINK("https://klasma.github.io/Logging_0980/artfynd/A 34809-2024 artfynd.xlsx", "A 34809-2024")</f>
        <v/>
      </c>
      <c r="T247">
        <f>HYPERLINK("https://klasma.github.io/Logging_0980/kartor/A 34809-2024 karta.png", "A 34809-2024")</f>
        <v/>
      </c>
      <c r="V247">
        <f>HYPERLINK("https://klasma.github.io/Logging_0980/klagomål/A 34809-2024 FSC-klagomål.docx", "A 34809-2024")</f>
        <v/>
      </c>
      <c r="W247">
        <f>HYPERLINK("https://klasma.github.io/Logging_0980/klagomålsmail/A 34809-2024 FSC-klagomål mail.docx", "A 34809-2024")</f>
        <v/>
      </c>
      <c r="X247">
        <f>HYPERLINK("https://klasma.github.io/Logging_0980/tillsyn/A 34809-2024 tillsynsbegäran.docx", "A 34809-2024")</f>
        <v/>
      </c>
      <c r="Y247">
        <f>HYPERLINK("https://klasma.github.io/Logging_0980/tillsynsmail/A 34809-2024 tillsynsbegäran mail.docx", "A 34809-2024")</f>
        <v/>
      </c>
    </row>
    <row r="248" ht="15" customHeight="1">
      <c r="A248" t="inlineStr">
        <is>
          <t>A 35574-2024</t>
        </is>
      </c>
      <c r="B248" s="1" t="n">
        <v>45531</v>
      </c>
      <c r="C248" s="1" t="n">
        <v>45579</v>
      </c>
      <c r="D248" t="inlineStr">
        <is>
          <t>GOTLANDS LÄN</t>
        </is>
      </c>
      <c r="E248" t="inlineStr">
        <is>
          <t>GOTLAND</t>
        </is>
      </c>
      <c r="G248" t="n">
        <v>5.7</v>
      </c>
      <c r="H248" t="n">
        <v>0</v>
      </c>
      <c r="I248" t="n">
        <v>1</v>
      </c>
      <c r="J248" t="n">
        <v>0</v>
      </c>
      <c r="K248" t="n">
        <v>0</v>
      </c>
      <c r="L248" t="n">
        <v>0</v>
      </c>
      <c r="M248" t="n">
        <v>0</v>
      </c>
      <c r="N248" t="n">
        <v>0</v>
      </c>
      <c r="O248" t="n">
        <v>0</v>
      </c>
      <c r="P248" t="n">
        <v>0</v>
      </c>
      <c r="Q248" t="n">
        <v>1</v>
      </c>
      <c r="R248" s="2" t="inlineStr">
        <is>
          <t>Murgröna</t>
        </is>
      </c>
      <c r="S248">
        <f>HYPERLINK("https://klasma.github.io/Logging_0980/artfynd/A 35574-2024 artfynd.xlsx", "A 35574-2024")</f>
        <v/>
      </c>
      <c r="T248">
        <f>HYPERLINK("https://klasma.github.io/Logging_0980/kartor/A 35574-2024 karta.png", "A 35574-2024")</f>
        <v/>
      </c>
      <c r="V248">
        <f>HYPERLINK("https://klasma.github.io/Logging_0980/klagomål/A 35574-2024 FSC-klagomål.docx", "A 35574-2024")</f>
        <v/>
      </c>
      <c r="W248">
        <f>HYPERLINK("https://klasma.github.io/Logging_0980/klagomålsmail/A 35574-2024 FSC-klagomål mail.docx", "A 35574-2024")</f>
        <v/>
      </c>
      <c r="X248">
        <f>HYPERLINK("https://klasma.github.io/Logging_0980/tillsyn/A 35574-2024 tillsynsbegäran.docx", "A 35574-2024")</f>
        <v/>
      </c>
      <c r="Y248">
        <f>HYPERLINK("https://klasma.github.io/Logging_0980/tillsynsmail/A 35574-2024 tillsynsbegäran mail.docx", "A 35574-2024")</f>
        <v/>
      </c>
    </row>
    <row r="249" ht="15" customHeight="1">
      <c r="A249" t="inlineStr">
        <is>
          <t>A 44468-2024</t>
        </is>
      </c>
      <c r="B249" s="1" t="n">
        <v>45574</v>
      </c>
      <c r="C249" s="1" t="n">
        <v>45579</v>
      </c>
      <c r="D249" t="inlineStr">
        <is>
          <t>GOTLANDS LÄN</t>
        </is>
      </c>
      <c r="E249" t="inlineStr">
        <is>
          <t>GOTLAND</t>
        </is>
      </c>
      <c r="G249" t="n">
        <v>7</v>
      </c>
      <c r="H249" t="n">
        <v>0</v>
      </c>
      <c r="I249" t="n">
        <v>0</v>
      </c>
      <c r="J249" t="n">
        <v>0</v>
      </c>
      <c r="K249" t="n">
        <v>0</v>
      </c>
      <c r="L249" t="n">
        <v>0</v>
      </c>
      <c r="M249" t="n">
        <v>1</v>
      </c>
      <c r="N249" t="n">
        <v>0</v>
      </c>
      <c r="O249" t="n">
        <v>1</v>
      </c>
      <c r="P249" t="n">
        <v>1</v>
      </c>
      <c r="Q249" t="n">
        <v>1</v>
      </c>
      <c r="R249" s="2" t="inlineStr">
        <is>
          <t>Skogsalm</t>
        </is>
      </c>
      <c r="S249">
        <f>HYPERLINK("https://klasma.github.io/Logging_0980/artfynd/A 44468-2024 artfynd.xlsx", "A 44468-2024")</f>
        <v/>
      </c>
      <c r="T249">
        <f>HYPERLINK("https://klasma.github.io/Logging_0980/kartor/A 44468-2024 karta.png", "A 44468-2024")</f>
        <v/>
      </c>
      <c r="V249">
        <f>HYPERLINK("https://klasma.github.io/Logging_0980/klagomål/A 44468-2024 FSC-klagomål.docx", "A 44468-2024")</f>
        <v/>
      </c>
      <c r="W249">
        <f>HYPERLINK("https://klasma.github.io/Logging_0980/klagomålsmail/A 44468-2024 FSC-klagomål mail.docx", "A 44468-2024")</f>
        <v/>
      </c>
      <c r="X249">
        <f>HYPERLINK("https://klasma.github.io/Logging_0980/tillsyn/A 44468-2024 tillsynsbegäran.docx", "A 44468-2024")</f>
        <v/>
      </c>
      <c r="Y249">
        <f>HYPERLINK("https://klasma.github.io/Logging_0980/tillsynsmail/A 44468-2024 tillsynsbegäran mail.docx", "A 44468-2024")</f>
        <v/>
      </c>
    </row>
    <row r="250" ht="15" customHeight="1">
      <c r="A250" t="inlineStr">
        <is>
          <t>A 19159-2019</t>
        </is>
      </c>
      <c r="B250" s="1" t="n">
        <v>43564</v>
      </c>
      <c r="C250" s="1" t="n">
        <v>45579</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21380-2019</t>
        </is>
      </c>
      <c r="B251" s="1" t="n">
        <v>43579</v>
      </c>
      <c r="C251" s="1" t="n">
        <v>45579</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21894-2019</t>
        </is>
      </c>
      <c r="B252" s="1" t="n">
        <v>43584</v>
      </c>
      <c r="C252" s="1" t="n">
        <v>45579</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21925-2019</t>
        </is>
      </c>
      <c r="B253" s="1" t="n">
        <v>43584</v>
      </c>
      <c r="C253" s="1" t="n">
        <v>45579</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22457-2019</t>
        </is>
      </c>
      <c r="B254" s="1" t="n">
        <v>43587</v>
      </c>
      <c r="C254" s="1" t="n">
        <v>45579</v>
      </c>
      <c r="D254" t="inlineStr">
        <is>
          <t>GOTLANDS LÄN</t>
        </is>
      </c>
      <c r="E254" t="inlineStr">
        <is>
          <t>GOTLAND</t>
        </is>
      </c>
      <c r="G254" t="n">
        <v>0.3</v>
      </c>
      <c r="H254" t="n">
        <v>0</v>
      </c>
      <c r="I254" t="n">
        <v>0</v>
      </c>
      <c r="J254" t="n">
        <v>0</v>
      </c>
      <c r="K254" t="n">
        <v>0</v>
      </c>
      <c r="L254" t="n">
        <v>0</v>
      </c>
      <c r="M254" t="n">
        <v>0</v>
      </c>
      <c r="N254" t="n">
        <v>0</v>
      </c>
      <c r="O254" t="n">
        <v>0</v>
      </c>
      <c r="P254" t="n">
        <v>0</v>
      </c>
      <c r="Q254" t="n">
        <v>0</v>
      </c>
      <c r="R254" s="2" t="inlineStr"/>
    </row>
    <row r="255" ht="15" customHeight="1">
      <c r="A255" t="inlineStr">
        <is>
          <t>A 23044-2019</t>
        </is>
      </c>
      <c r="B255" s="1" t="n">
        <v>43591</v>
      </c>
      <c r="C255" s="1" t="n">
        <v>45579</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26595-2019</t>
        </is>
      </c>
      <c r="B256" s="1" t="n">
        <v>43612</v>
      </c>
      <c r="C256" s="1" t="n">
        <v>45579</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27795-2019</t>
        </is>
      </c>
      <c r="B257" s="1" t="n">
        <v>43612</v>
      </c>
      <c r="C257" s="1" t="n">
        <v>45579</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28977-2019</t>
        </is>
      </c>
      <c r="B258" s="1" t="n">
        <v>43628</v>
      </c>
      <c r="C258" s="1" t="n">
        <v>45579</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29470-2019</t>
        </is>
      </c>
      <c r="B259" s="1" t="n">
        <v>43629</v>
      </c>
      <c r="C259" s="1" t="n">
        <v>45579</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29469-2019</t>
        </is>
      </c>
      <c r="B260" s="1" t="n">
        <v>43629</v>
      </c>
      <c r="C260" s="1" t="n">
        <v>45579</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30033-2019</t>
        </is>
      </c>
      <c r="B261" s="1" t="n">
        <v>43630</v>
      </c>
      <c r="C261" s="1" t="n">
        <v>45579</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31396-2019</t>
        </is>
      </c>
      <c r="B262" s="1" t="n">
        <v>43636</v>
      </c>
      <c r="C262" s="1" t="n">
        <v>45579</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32061-2019</t>
        </is>
      </c>
      <c r="B263" s="1" t="n">
        <v>43643</v>
      </c>
      <c r="C263" s="1" t="n">
        <v>45579</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32949-2019</t>
        </is>
      </c>
      <c r="B264" s="1" t="n">
        <v>43648</v>
      </c>
      <c r="C264" s="1" t="n">
        <v>45579</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32964-2019</t>
        </is>
      </c>
      <c r="B265" s="1" t="n">
        <v>43648</v>
      </c>
      <c r="C265" s="1" t="n">
        <v>45579</v>
      </c>
      <c r="D265" t="inlineStr">
        <is>
          <t>GOTLANDS LÄN</t>
        </is>
      </c>
      <c r="E265" t="inlineStr">
        <is>
          <t>GOTLAND</t>
        </is>
      </c>
      <c r="G265" t="n">
        <v>8.9</v>
      </c>
      <c r="H265" t="n">
        <v>0</v>
      </c>
      <c r="I265" t="n">
        <v>0</v>
      </c>
      <c r="J265" t="n">
        <v>0</v>
      </c>
      <c r="K265" t="n">
        <v>0</v>
      </c>
      <c r="L265" t="n">
        <v>0</v>
      </c>
      <c r="M265" t="n">
        <v>0</v>
      </c>
      <c r="N265" t="n">
        <v>0</v>
      </c>
      <c r="O265" t="n">
        <v>0</v>
      </c>
      <c r="P265" t="n">
        <v>0</v>
      </c>
      <c r="Q265" t="n">
        <v>0</v>
      </c>
      <c r="R265" s="2" t="inlineStr"/>
    </row>
    <row r="266" ht="15" customHeight="1">
      <c r="A266" t="inlineStr">
        <is>
          <t>A 32970-2019</t>
        </is>
      </c>
      <c r="B266" s="1" t="n">
        <v>43648</v>
      </c>
      <c r="C266" s="1" t="n">
        <v>45579</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33673-2019</t>
        </is>
      </c>
      <c r="B267" s="1" t="n">
        <v>43651</v>
      </c>
      <c r="C267" s="1" t="n">
        <v>45579</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33668-2019</t>
        </is>
      </c>
      <c r="B268" s="1" t="n">
        <v>43651</v>
      </c>
      <c r="C268" s="1" t="n">
        <v>45579</v>
      </c>
      <c r="D268" t="inlineStr">
        <is>
          <t>GOTLANDS LÄN</t>
        </is>
      </c>
      <c r="E268" t="inlineStr">
        <is>
          <t>GOTLAND</t>
        </is>
      </c>
      <c r="G268" t="n">
        <v>9.4</v>
      </c>
      <c r="H268" t="n">
        <v>0</v>
      </c>
      <c r="I268" t="n">
        <v>0</v>
      </c>
      <c r="J268" t="n">
        <v>0</v>
      </c>
      <c r="K268" t="n">
        <v>0</v>
      </c>
      <c r="L268" t="n">
        <v>0</v>
      </c>
      <c r="M268" t="n">
        <v>0</v>
      </c>
      <c r="N268" t="n">
        <v>0</v>
      </c>
      <c r="O268" t="n">
        <v>0</v>
      </c>
      <c r="P268" t="n">
        <v>0</v>
      </c>
      <c r="Q268" t="n">
        <v>0</v>
      </c>
      <c r="R268" s="2" t="inlineStr"/>
    </row>
    <row r="269" ht="15" customHeight="1">
      <c r="A269" t="inlineStr">
        <is>
          <t>A 33674-2019</t>
        </is>
      </c>
      <c r="B269" s="1" t="n">
        <v>43651</v>
      </c>
      <c r="C269" s="1" t="n">
        <v>45579</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33646-2019</t>
        </is>
      </c>
      <c r="B270" s="1" t="n">
        <v>43651</v>
      </c>
      <c r="C270" s="1" t="n">
        <v>45579</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34790-2019</t>
        </is>
      </c>
      <c r="B271" s="1" t="n">
        <v>43658</v>
      </c>
      <c r="C271" s="1" t="n">
        <v>45579</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36344-2019</t>
        </is>
      </c>
      <c r="B272" s="1" t="n">
        <v>43661</v>
      </c>
      <c r="C272" s="1" t="n">
        <v>45579</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36072-2019</t>
        </is>
      </c>
      <c r="B273" s="1" t="n">
        <v>43668</v>
      </c>
      <c r="C273" s="1" t="n">
        <v>45579</v>
      </c>
      <c r="D273" t="inlineStr">
        <is>
          <t>GOTLANDS LÄN</t>
        </is>
      </c>
      <c r="E273" t="inlineStr">
        <is>
          <t>GOTLAND</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37028-2019</t>
        </is>
      </c>
      <c r="B274" s="1" t="n">
        <v>43675</v>
      </c>
      <c r="C274" s="1" t="n">
        <v>45579</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40205-2019</t>
        </is>
      </c>
      <c r="B275" s="1" t="n">
        <v>43693</v>
      </c>
      <c r="C275" s="1" t="n">
        <v>45579</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46423-2019</t>
        </is>
      </c>
      <c r="B276" s="1" t="n">
        <v>43719</v>
      </c>
      <c r="C276" s="1" t="n">
        <v>45579</v>
      </c>
      <c r="D276" t="inlineStr">
        <is>
          <t>GOTLANDS LÄN</t>
        </is>
      </c>
      <c r="E276" t="inlineStr">
        <is>
          <t>GOTLAND</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47141-2019</t>
        </is>
      </c>
      <c r="B277" s="1" t="n">
        <v>43721</v>
      </c>
      <c r="C277" s="1" t="n">
        <v>45579</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48459-2019</t>
        </is>
      </c>
      <c r="B278" s="1" t="n">
        <v>43727</v>
      </c>
      <c r="C278" s="1" t="n">
        <v>45579</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49769-2019</t>
        </is>
      </c>
      <c r="B279" s="1" t="n">
        <v>43733</v>
      </c>
      <c r="C279" s="1" t="n">
        <v>45579</v>
      </c>
      <c r="D279" t="inlineStr">
        <is>
          <t>GOTLANDS LÄN</t>
        </is>
      </c>
      <c r="E279" t="inlineStr">
        <is>
          <t>GOTLAND</t>
        </is>
      </c>
      <c r="G279" t="n">
        <v>22.3</v>
      </c>
      <c r="H279" t="n">
        <v>0</v>
      </c>
      <c r="I279" t="n">
        <v>0</v>
      </c>
      <c r="J279" t="n">
        <v>0</v>
      </c>
      <c r="K279" t="n">
        <v>0</v>
      </c>
      <c r="L279" t="n">
        <v>0</v>
      </c>
      <c r="M279" t="n">
        <v>0</v>
      </c>
      <c r="N279" t="n">
        <v>0</v>
      </c>
      <c r="O279" t="n">
        <v>0</v>
      </c>
      <c r="P279" t="n">
        <v>0</v>
      </c>
      <c r="Q279" t="n">
        <v>0</v>
      </c>
      <c r="R279" s="2" t="inlineStr"/>
    </row>
    <row r="280" ht="15" customHeight="1">
      <c r="A280" t="inlineStr">
        <is>
          <t>A 50463-2019</t>
        </is>
      </c>
      <c r="B280" s="1" t="n">
        <v>43735</v>
      </c>
      <c r="C280" s="1" t="n">
        <v>45579</v>
      </c>
      <c r="D280" t="inlineStr">
        <is>
          <t>GOTLANDS LÄN</t>
        </is>
      </c>
      <c r="E280" t="inlineStr">
        <is>
          <t>GOTLAND</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50632-2019</t>
        </is>
      </c>
      <c r="B281" s="1" t="n">
        <v>43737</v>
      </c>
      <c r="C281" s="1" t="n">
        <v>45579</v>
      </c>
      <c r="D281" t="inlineStr">
        <is>
          <t>GOTLANDS LÄN</t>
        </is>
      </c>
      <c r="E281" t="inlineStr">
        <is>
          <t>GOTLAND</t>
        </is>
      </c>
      <c r="G281" t="n">
        <v>7.7</v>
      </c>
      <c r="H281" t="n">
        <v>0</v>
      </c>
      <c r="I281" t="n">
        <v>0</v>
      </c>
      <c r="J281" t="n">
        <v>0</v>
      </c>
      <c r="K281" t="n">
        <v>0</v>
      </c>
      <c r="L281" t="n">
        <v>0</v>
      </c>
      <c r="M281" t="n">
        <v>0</v>
      </c>
      <c r="N281" t="n">
        <v>0</v>
      </c>
      <c r="O281" t="n">
        <v>0</v>
      </c>
      <c r="P281" t="n">
        <v>0</v>
      </c>
      <c r="Q281" t="n">
        <v>0</v>
      </c>
      <c r="R281" s="2" t="inlineStr"/>
    </row>
    <row r="282" ht="15" customHeight="1">
      <c r="A282" t="inlineStr">
        <is>
          <t>A 51577-2019</t>
        </is>
      </c>
      <c r="B282" s="1" t="n">
        <v>43740</v>
      </c>
      <c r="C282" s="1" t="n">
        <v>45579</v>
      </c>
      <c r="D282" t="inlineStr">
        <is>
          <t>GOTLANDS LÄN</t>
        </is>
      </c>
      <c r="E282" t="inlineStr">
        <is>
          <t>GOTLAND</t>
        </is>
      </c>
      <c r="G282" t="n">
        <v>6.5</v>
      </c>
      <c r="H282" t="n">
        <v>0</v>
      </c>
      <c r="I282" t="n">
        <v>0</v>
      </c>
      <c r="J282" t="n">
        <v>0</v>
      </c>
      <c r="K282" t="n">
        <v>0</v>
      </c>
      <c r="L282" t="n">
        <v>0</v>
      </c>
      <c r="M282" t="n">
        <v>0</v>
      </c>
      <c r="N282" t="n">
        <v>0</v>
      </c>
      <c r="O282" t="n">
        <v>0</v>
      </c>
      <c r="P282" t="n">
        <v>0</v>
      </c>
      <c r="Q282" t="n">
        <v>0</v>
      </c>
      <c r="R282" s="2" t="inlineStr"/>
    </row>
    <row r="283" ht="15" customHeight="1">
      <c r="A283" t="inlineStr">
        <is>
          <t>A 53783-2019</t>
        </is>
      </c>
      <c r="B283" s="1" t="n">
        <v>43750</v>
      </c>
      <c r="C283" s="1" t="n">
        <v>45579</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56238-2019</t>
        </is>
      </c>
      <c r="B284" s="1" t="n">
        <v>43762</v>
      </c>
      <c r="C284" s="1" t="n">
        <v>45579</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56845-2019</t>
        </is>
      </c>
      <c r="B285" s="1" t="n">
        <v>43765</v>
      </c>
      <c r="C285" s="1" t="n">
        <v>45579</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60700-2019</t>
        </is>
      </c>
      <c r="B286" s="1" t="n">
        <v>43781</v>
      </c>
      <c r="C286" s="1" t="n">
        <v>45579</v>
      </c>
      <c r="D286" t="inlineStr">
        <is>
          <t>GOTLANDS LÄN</t>
        </is>
      </c>
      <c r="E286" t="inlineStr">
        <is>
          <t>GOTLAND</t>
        </is>
      </c>
      <c r="G286" t="n">
        <v>4.3</v>
      </c>
      <c r="H286" t="n">
        <v>0</v>
      </c>
      <c r="I286" t="n">
        <v>0</v>
      </c>
      <c r="J286" t="n">
        <v>0</v>
      </c>
      <c r="K286" t="n">
        <v>0</v>
      </c>
      <c r="L286" t="n">
        <v>0</v>
      </c>
      <c r="M286" t="n">
        <v>0</v>
      </c>
      <c r="N286" t="n">
        <v>0</v>
      </c>
      <c r="O286" t="n">
        <v>0</v>
      </c>
      <c r="P286" t="n">
        <v>0</v>
      </c>
      <c r="Q286" t="n">
        <v>0</v>
      </c>
      <c r="R286" s="2" t="inlineStr"/>
    </row>
    <row r="287" ht="15" customHeight="1">
      <c r="A287" t="inlineStr">
        <is>
          <t>A 62212-2019</t>
        </is>
      </c>
      <c r="B287" s="1" t="n">
        <v>43788</v>
      </c>
      <c r="C287" s="1" t="n">
        <v>45579</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62209-2019</t>
        </is>
      </c>
      <c r="B288" s="1" t="n">
        <v>43788</v>
      </c>
      <c r="C288" s="1" t="n">
        <v>45579</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62218-2019</t>
        </is>
      </c>
      <c r="B289" s="1" t="n">
        <v>43788</v>
      </c>
      <c r="C289" s="1" t="n">
        <v>45579</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63366-2019</t>
        </is>
      </c>
      <c r="B290" s="1" t="n">
        <v>43794</v>
      </c>
      <c r="C290" s="1" t="n">
        <v>45579</v>
      </c>
      <c r="D290" t="inlineStr">
        <is>
          <t>GOTLANDS LÄN</t>
        </is>
      </c>
      <c r="E290" t="inlineStr">
        <is>
          <t>GOTLAND</t>
        </is>
      </c>
      <c r="G290" t="n">
        <v>16.4</v>
      </c>
      <c r="H290" t="n">
        <v>0</v>
      </c>
      <c r="I290" t="n">
        <v>0</v>
      </c>
      <c r="J290" t="n">
        <v>0</v>
      </c>
      <c r="K290" t="n">
        <v>0</v>
      </c>
      <c r="L290" t="n">
        <v>0</v>
      </c>
      <c r="M290" t="n">
        <v>0</v>
      </c>
      <c r="N290" t="n">
        <v>0</v>
      </c>
      <c r="O290" t="n">
        <v>0</v>
      </c>
      <c r="P290" t="n">
        <v>0</v>
      </c>
      <c r="Q290" t="n">
        <v>0</v>
      </c>
      <c r="R290" s="2" t="inlineStr"/>
    </row>
    <row r="291" ht="15" customHeight="1">
      <c r="A291" t="inlineStr">
        <is>
          <t>A 63747-2019</t>
        </is>
      </c>
      <c r="B291" s="1" t="n">
        <v>43795</v>
      </c>
      <c r="C291" s="1" t="n">
        <v>45579</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63751-2019</t>
        </is>
      </c>
      <c r="B292" s="1" t="n">
        <v>43795</v>
      </c>
      <c r="C292" s="1" t="n">
        <v>45579</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66960-2019</t>
        </is>
      </c>
      <c r="B293" s="1" t="n">
        <v>43810</v>
      </c>
      <c r="C293" s="1" t="n">
        <v>45579</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67079-2019</t>
        </is>
      </c>
      <c r="B294" s="1" t="n">
        <v>43811</v>
      </c>
      <c r="C294" s="1" t="n">
        <v>45579</v>
      </c>
      <c r="D294" t="inlineStr">
        <is>
          <t>GOTLANDS LÄN</t>
        </is>
      </c>
      <c r="E294" t="inlineStr">
        <is>
          <t>GOTLAND</t>
        </is>
      </c>
      <c r="G294" t="n">
        <v>18.7</v>
      </c>
      <c r="H294" t="n">
        <v>0</v>
      </c>
      <c r="I294" t="n">
        <v>0</v>
      </c>
      <c r="J294" t="n">
        <v>0</v>
      </c>
      <c r="K294" t="n">
        <v>0</v>
      </c>
      <c r="L294" t="n">
        <v>0</v>
      </c>
      <c r="M294" t="n">
        <v>0</v>
      </c>
      <c r="N294" t="n">
        <v>0</v>
      </c>
      <c r="O294" t="n">
        <v>0</v>
      </c>
      <c r="P294" t="n">
        <v>0</v>
      </c>
      <c r="Q294" t="n">
        <v>0</v>
      </c>
      <c r="R294" s="2" t="inlineStr"/>
    </row>
    <row r="295" ht="15" customHeight="1">
      <c r="A295" t="inlineStr">
        <is>
          <t>A 67737-2019</t>
        </is>
      </c>
      <c r="B295" s="1" t="n">
        <v>43815</v>
      </c>
      <c r="C295" s="1" t="n">
        <v>45579</v>
      </c>
      <c r="D295" t="inlineStr">
        <is>
          <t>GOTLANDS LÄN</t>
        </is>
      </c>
      <c r="E295" t="inlineStr">
        <is>
          <t>GOTLAND</t>
        </is>
      </c>
      <c r="G295" t="n">
        <v>22.1</v>
      </c>
      <c r="H295" t="n">
        <v>0</v>
      </c>
      <c r="I295" t="n">
        <v>0</v>
      </c>
      <c r="J295" t="n">
        <v>0</v>
      </c>
      <c r="K295" t="n">
        <v>0</v>
      </c>
      <c r="L295" t="n">
        <v>0</v>
      </c>
      <c r="M295" t="n">
        <v>0</v>
      </c>
      <c r="N295" t="n">
        <v>0</v>
      </c>
      <c r="O295" t="n">
        <v>0</v>
      </c>
      <c r="P295" t="n">
        <v>0</v>
      </c>
      <c r="Q295" t="n">
        <v>0</v>
      </c>
      <c r="R295" s="2" t="inlineStr"/>
    </row>
    <row r="296" ht="15" customHeight="1">
      <c r="A296" t="inlineStr">
        <is>
          <t>A 67791-2019</t>
        </is>
      </c>
      <c r="B296" s="1" t="n">
        <v>43815</v>
      </c>
      <c r="C296" s="1" t="n">
        <v>45579</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67743-2019</t>
        </is>
      </c>
      <c r="B297" s="1" t="n">
        <v>43815</v>
      </c>
      <c r="C297" s="1" t="n">
        <v>45579</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972-2020</t>
        </is>
      </c>
      <c r="B298" s="1" t="n">
        <v>43819</v>
      </c>
      <c r="C298" s="1" t="n">
        <v>45579</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68750-2019</t>
        </is>
      </c>
      <c r="B299" s="1" t="n">
        <v>43819</v>
      </c>
      <c r="C299" s="1" t="n">
        <v>45579</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164-2020</t>
        </is>
      </c>
      <c r="B300" s="1" t="n">
        <v>43833</v>
      </c>
      <c r="C300" s="1" t="n">
        <v>45579</v>
      </c>
      <c r="D300" t="inlineStr">
        <is>
          <t>GOTLANDS LÄN</t>
        </is>
      </c>
      <c r="E300" t="inlineStr">
        <is>
          <t>GOTLAND</t>
        </is>
      </c>
      <c r="F300" t="inlineStr">
        <is>
          <t>Kyrkan</t>
        </is>
      </c>
      <c r="G300" t="n">
        <v>6.2</v>
      </c>
      <c r="H300" t="n">
        <v>0</v>
      </c>
      <c r="I300" t="n">
        <v>0</v>
      </c>
      <c r="J300" t="n">
        <v>0</v>
      </c>
      <c r="K300" t="n">
        <v>0</v>
      </c>
      <c r="L300" t="n">
        <v>0</v>
      </c>
      <c r="M300" t="n">
        <v>0</v>
      </c>
      <c r="N300" t="n">
        <v>0</v>
      </c>
      <c r="O300" t="n">
        <v>0</v>
      </c>
      <c r="P300" t="n">
        <v>0</v>
      </c>
      <c r="Q300" t="n">
        <v>0</v>
      </c>
      <c r="R300" s="2" t="inlineStr"/>
    </row>
    <row r="301" ht="15" customHeight="1">
      <c r="A301" t="inlineStr">
        <is>
          <t>A 768-2020</t>
        </is>
      </c>
      <c r="B301" s="1" t="n">
        <v>43838</v>
      </c>
      <c r="C301" s="1" t="n">
        <v>45579</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1384-2020</t>
        </is>
      </c>
      <c r="B302" s="1" t="n">
        <v>43843</v>
      </c>
      <c r="C302" s="1" t="n">
        <v>45579</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1541-2020</t>
        </is>
      </c>
      <c r="B303" s="1" t="n">
        <v>43843</v>
      </c>
      <c r="C303" s="1" t="n">
        <v>45579</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2675-2020</t>
        </is>
      </c>
      <c r="B304" s="1" t="n">
        <v>43849</v>
      </c>
      <c r="C304" s="1" t="n">
        <v>45579</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4409-2020</t>
        </is>
      </c>
      <c r="B305" s="1" t="n">
        <v>43850</v>
      </c>
      <c r="C305" s="1" t="n">
        <v>45579</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5724-2020</t>
        </is>
      </c>
      <c r="B306" s="1" t="n">
        <v>43862</v>
      </c>
      <c r="C306" s="1" t="n">
        <v>45579</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5731-2020</t>
        </is>
      </c>
      <c r="B307" s="1" t="n">
        <v>43862</v>
      </c>
      <c r="C307" s="1" t="n">
        <v>45579</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5723-2020</t>
        </is>
      </c>
      <c r="B308" s="1" t="n">
        <v>43862</v>
      </c>
      <c r="C308" s="1" t="n">
        <v>45579</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5727-2020</t>
        </is>
      </c>
      <c r="B309" s="1" t="n">
        <v>43862</v>
      </c>
      <c r="C309" s="1" t="n">
        <v>45579</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6226-2020</t>
        </is>
      </c>
      <c r="B310" s="1" t="n">
        <v>43865</v>
      </c>
      <c r="C310" s="1" t="n">
        <v>45579</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6611-2020</t>
        </is>
      </c>
      <c r="B311" s="1" t="n">
        <v>43867</v>
      </c>
      <c r="C311" s="1" t="n">
        <v>45579</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8217-2020</t>
        </is>
      </c>
      <c r="B312" s="1" t="n">
        <v>43874</v>
      </c>
      <c r="C312" s="1" t="n">
        <v>45579</v>
      </c>
      <c r="D312" t="inlineStr">
        <is>
          <t>GOTLANDS LÄN</t>
        </is>
      </c>
      <c r="E312" t="inlineStr">
        <is>
          <t>GOTLAND</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8872-2020</t>
        </is>
      </c>
      <c r="B313" s="1" t="n">
        <v>43878</v>
      </c>
      <c r="C313" s="1" t="n">
        <v>45579</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9502-2020</t>
        </is>
      </c>
      <c r="B314" s="1" t="n">
        <v>43880</v>
      </c>
      <c r="C314" s="1" t="n">
        <v>45579</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10932-2020</t>
        </is>
      </c>
      <c r="B315" s="1" t="n">
        <v>43889</v>
      </c>
      <c r="C315" s="1" t="n">
        <v>45579</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10931-2020</t>
        </is>
      </c>
      <c r="B316" s="1" t="n">
        <v>43889</v>
      </c>
      <c r="C316" s="1" t="n">
        <v>45579</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12309-2020</t>
        </is>
      </c>
      <c r="B317" s="1" t="n">
        <v>43895</v>
      </c>
      <c r="C317" s="1" t="n">
        <v>45579</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13940-2020</t>
        </is>
      </c>
      <c r="B318" s="1" t="n">
        <v>43903</v>
      </c>
      <c r="C318" s="1" t="n">
        <v>45579</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13930-2020</t>
        </is>
      </c>
      <c r="B319" s="1" t="n">
        <v>43906</v>
      </c>
      <c r="C319" s="1" t="n">
        <v>45579</v>
      </c>
      <c r="D319" t="inlineStr">
        <is>
          <t>GOTLANDS LÄN</t>
        </is>
      </c>
      <c r="E319" t="inlineStr">
        <is>
          <t>GOTLAND</t>
        </is>
      </c>
      <c r="G319" t="n">
        <v>4</v>
      </c>
      <c r="H319" t="n">
        <v>0</v>
      </c>
      <c r="I319" t="n">
        <v>0</v>
      </c>
      <c r="J319" t="n">
        <v>0</v>
      </c>
      <c r="K319" t="n">
        <v>0</v>
      </c>
      <c r="L319" t="n">
        <v>0</v>
      </c>
      <c r="M319" t="n">
        <v>0</v>
      </c>
      <c r="N319" t="n">
        <v>0</v>
      </c>
      <c r="O319" t="n">
        <v>0</v>
      </c>
      <c r="P319" t="n">
        <v>0</v>
      </c>
      <c r="Q319" t="n">
        <v>0</v>
      </c>
      <c r="R319" s="2" t="inlineStr"/>
    </row>
    <row r="320" ht="15" customHeight="1">
      <c r="A320" t="inlineStr">
        <is>
          <t>A 13995-2020</t>
        </is>
      </c>
      <c r="B320" s="1" t="n">
        <v>43906</v>
      </c>
      <c r="C320" s="1" t="n">
        <v>45579</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13987-2020</t>
        </is>
      </c>
      <c r="B321" s="1" t="n">
        <v>43906</v>
      </c>
      <c r="C321" s="1" t="n">
        <v>45579</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14073-2020</t>
        </is>
      </c>
      <c r="B322" s="1" t="n">
        <v>43907</v>
      </c>
      <c r="C322" s="1" t="n">
        <v>45579</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14074-2020</t>
        </is>
      </c>
      <c r="B323" s="1" t="n">
        <v>43907</v>
      </c>
      <c r="C323" s="1" t="n">
        <v>45579</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16452-2020</t>
        </is>
      </c>
      <c r="B324" s="1" t="n">
        <v>43909</v>
      </c>
      <c r="C324" s="1" t="n">
        <v>45579</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14995-2020</t>
        </is>
      </c>
      <c r="B325" s="1" t="n">
        <v>43910</v>
      </c>
      <c r="C325" s="1" t="n">
        <v>45579</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15202-2020</t>
        </is>
      </c>
      <c r="B326" s="1" t="n">
        <v>43913</v>
      </c>
      <c r="C326" s="1" t="n">
        <v>45579</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15197-2020</t>
        </is>
      </c>
      <c r="B327" s="1" t="n">
        <v>43913</v>
      </c>
      <c r="C327" s="1" t="n">
        <v>45579</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15888-2020</t>
        </is>
      </c>
      <c r="B328" s="1" t="n">
        <v>43915</v>
      </c>
      <c r="C328" s="1" t="n">
        <v>45579</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16133-2020</t>
        </is>
      </c>
      <c r="B329" s="1" t="n">
        <v>43916</v>
      </c>
      <c r="C329" s="1" t="n">
        <v>45579</v>
      </c>
      <c r="D329" t="inlineStr">
        <is>
          <t>GOTLANDS LÄN</t>
        </is>
      </c>
      <c r="E329" t="inlineStr">
        <is>
          <t>GOTLAND</t>
        </is>
      </c>
      <c r="G329" t="n">
        <v>6.7</v>
      </c>
      <c r="H329" t="n">
        <v>0</v>
      </c>
      <c r="I329" t="n">
        <v>0</v>
      </c>
      <c r="J329" t="n">
        <v>0</v>
      </c>
      <c r="K329" t="n">
        <v>0</v>
      </c>
      <c r="L329" t="n">
        <v>0</v>
      </c>
      <c r="M329" t="n">
        <v>0</v>
      </c>
      <c r="N329" t="n">
        <v>0</v>
      </c>
      <c r="O329" t="n">
        <v>0</v>
      </c>
      <c r="P329" t="n">
        <v>0</v>
      </c>
      <c r="Q329" t="n">
        <v>0</v>
      </c>
      <c r="R329" s="2" t="inlineStr"/>
    </row>
    <row r="330" ht="15" customHeight="1">
      <c r="A330" t="inlineStr">
        <is>
          <t>A 17403-2020</t>
        </is>
      </c>
      <c r="B330" s="1" t="n">
        <v>43917</v>
      </c>
      <c r="C330" s="1" t="n">
        <v>45579</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17869-2020</t>
        </is>
      </c>
      <c r="B331" s="1" t="n">
        <v>43924</v>
      </c>
      <c r="C331" s="1" t="n">
        <v>45579</v>
      </c>
      <c r="D331" t="inlineStr">
        <is>
          <t>GOTLANDS LÄN</t>
        </is>
      </c>
      <c r="E331" t="inlineStr">
        <is>
          <t>GOTLAND</t>
        </is>
      </c>
      <c r="G331" t="n">
        <v>2.7</v>
      </c>
      <c r="H331" t="n">
        <v>0</v>
      </c>
      <c r="I331" t="n">
        <v>0</v>
      </c>
      <c r="J331" t="n">
        <v>0</v>
      </c>
      <c r="K331" t="n">
        <v>0</v>
      </c>
      <c r="L331" t="n">
        <v>0</v>
      </c>
      <c r="M331" t="n">
        <v>0</v>
      </c>
      <c r="N331" t="n">
        <v>0</v>
      </c>
      <c r="O331" t="n">
        <v>0</v>
      </c>
      <c r="P331" t="n">
        <v>0</v>
      </c>
      <c r="Q331" t="n">
        <v>0</v>
      </c>
      <c r="R331" s="2" t="inlineStr"/>
    </row>
    <row r="332" ht="15" customHeight="1">
      <c r="A332" t="inlineStr">
        <is>
          <t>A 19900-2020</t>
        </is>
      </c>
      <c r="B332" s="1" t="n">
        <v>43942</v>
      </c>
      <c r="C332" s="1" t="n">
        <v>45579</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21568-2020</t>
        </is>
      </c>
      <c r="B333" s="1" t="n">
        <v>43956</v>
      </c>
      <c r="C333" s="1" t="n">
        <v>45579</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22093-2020</t>
        </is>
      </c>
      <c r="B334" s="1" t="n">
        <v>43959</v>
      </c>
      <c r="C334" s="1" t="n">
        <v>45579</v>
      </c>
      <c r="D334" t="inlineStr">
        <is>
          <t>GOTLANDS LÄN</t>
        </is>
      </c>
      <c r="E334" t="inlineStr">
        <is>
          <t>GOTLAND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22329-2020</t>
        </is>
      </c>
      <c r="B335" s="1" t="n">
        <v>43962</v>
      </c>
      <c r="C335" s="1" t="n">
        <v>45579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22333-2020</t>
        </is>
      </c>
      <c r="B336" s="1" t="n">
        <v>43962</v>
      </c>
      <c r="C336" s="1" t="n">
        <v>45579</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23498-2020</t>
        </is>
      </c>
      <c r="B337" s="1" t="n">
        <v>43969</v>
      </c>
      <c r="C337" s="1" t="n">
        <v>45579</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23728-2020</t>
        </is>
      </c>
      <c r="B338" s="1" t="n">
        <v>43970</v>
      </c>
      <c r="C338" s="1" t="n">
        <v>45579</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24537-2020</t>
        </is>
      </c>
      <c r="B339" s="1" t="n">
        <v>43977</v>
      </c>
      <c r="C339" s="1" t="n">
        <v>45579</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25039-2020</t>
        </is>
      </c>
      <c r="B340" s="1" t="n">
        <v>43979</v>
      </c>
      <c r="C340" s="1" t="n">
        <v>45579</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26117-2020</t>
        </is>
      </c>
      <c r="B341" s="1" t="n">
        <v>43985</v>
      </c>
      <c r="C341" s="1" t="n">
        <v>45579</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27322-2020</t>
        </is>
      </c>
      <c r="B342" s="1" t="n">
        <v>43992</v>
      </c>
      <c r="C342" s="1" t="n">
        <v>45579</v>
      </c>
      <c r="D342" t="inlineStr">
        <is>
          <t>GOTLANDS LÄN</t>
        </is>
      </c>
      <c r="E342" t="inlineStr">
        <is>
          <t>GOTLAND</t>
        </is>
      </c>
      <c r="F342" t="inlineStr">
        <is>
          <t>Övriga statliga verk och myndigheter</t>
        </is>
      </c>
      <c r="G342" t="n">
        <v>7.4</v>
      </c>
      <c r="H342" t="n">
        <v>0</v>
      </c>
      <c r="I342" t="n">
        <v>0</v>
      </c>
      <c r="J342" t="n">
        <v>0</v>
      </c>
      <c r="K342" t="n">
        <v>0</v>
      </c>
      <c r="L342" t="n">
        <v>0</v>
      </c>
      <c r="M342" t="n">
        <v>0</v>
      </c>
      <c r="N342" t="n">
        <v>0</v>
      </c>
      <c r="O342" t="n">
        <v>0</v>
      </c>
      <c r="P342" t="n">
        <v>0</v>
      </c>
      <c r="Q342" t="n">
        <v>0</v>
      </c>
      <c r="R342" s="2" t="inlineStr"/>
    </row>
    <row r="343" ht="15" customHeight="1">
      <c r="A343" t="inlineStr">
        <is>
          <t>A 27334-2020</t>
        </is>
      </c>
      <c r="B343" s="1" t="n">
        <v>43992</v>
      </c>
      <c r="C343" s="1" t="n">
        <v>45579</v>
      </c>
      <c r="D343" t="inlineStr">
        <is>
          <t>GOTLANDS LÄN</t>
        </is>
      </c>
      <c r="E343" t="inlineStr">
        <is>
          <t>GOTLAND</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27723-2020</t>
        </is>
      </c>
      <c r="B344" s="1" t="n">
        <v>43994</v>
      </c>
      <c r="C344" s="1" t="n">
        <v>45579</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27719-2020</t>
        </is>
      </c>
      <c r="B345" s="1" t="n">
        <v>43994</v>
      </c>
      <c r="C345" s="1" t="n">
        <v>45579</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27713-2020</t>
        </is>
      </c>
      <c r="B346" s="1" t="n">
        <v>43994</v>
      </c>
      <c r="C346" s="1" t="n">
        <v>45579</v>
      </c>
      <c r="D346" t="inlineStr">
        <is>
          <t>GOTLANDS LÄN</t>
        </is>
      </c>
      <c r="E346" t="inlineStr">
        <is>
          <t>GOTLAND</t>
        </is>
      </c>
      <c r="F346" t="inlineStr">
        <is>
          <t>Övriga statliga verk och myndigheter</t>
        </is>
      </c>
      <c r="G346" t="n">
        <v>0.8</v>
      </c>
      <c r="H346" t="n">
        <v>0</v>
      </c>
      <c r="I346" t="n">
        <v>0</v>
      </c>
      <c r="J346" t="n">
        <v>0</v>
      </c>
      <c r="K346" t="n">
        <v>0</v>
      </c>
      <c r="L346" t="n">
        <v>0</v>
      </c>
      <c r="M346" t="n">
        <v>0</v>
      </c>
      <c r="N346" t="n">
        <v>0</v>
      </c>
      <c r="O346" t="n">
        <v>0</v>
      </c>
      <c r="P346" t="n">
        <v>0</v>
      </c>
      <c r="Q346" t="n">
        <v>0</v>
      </c>
      <c r="R346" s="2" t="inlineStr"/>
    </row>
    <row r="347" ht="15" customHeight="1">
      <c r="A347" t="inlineStr">
        <is>
          <t>A 29529-2020</t>
        </is>
      </c>
      <c r="B347" s="1" t="n">
        <v>44005</v>
      </c>
      <c r="C347" s="1" t="n">
        <v>45579</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29915-2020</t>
        </is>
      </c>
      <c r="B348" s="1" t="n">
        <v>44006</v>
      </c>
      <c r="C348" s="1" t="n">
        <v>45579</v>
      </c>
      <c r="D348" t="inlineStr">
        <is>
          <t>GOTLANDS LÄN</t>
        </is>
      </c>
      <c r="E348" t="inlineStr">
        <is>
          <t>GOTLAND</t>
        </is>
      </c>
      <c r="F348" t="inlineStr">
        <is>
          <t>Kommuner</t>
        </is>
      </c>
      <c r="G348" t="n">
        <v>5.8</v>
      </c>
      <c r="H348" t="n">
        <v>0</v>
      </c>
      <c r="I348" t="n">
        <v>0</v>
      </c>
      <c r="J348" t="n">
        <v>0</v>
      </c>
      <c r="K348" t="n">
        <v>0</v>
      </c>
      <c r="L348" t="n">
        <v>0</v>
      </c>
      <c r="M348" t="n">
        <v>0</v>
      </c>
      <c r="N348" t="n">
        <v>0</v>
      </c>
      <c r="O348" t="n">
        <v>0</v>
      </c>
      <c r="P348" t="n">
        <v>0</v>
      </c>
      <c r="Q348" t="n">
        <v>0</v>
      </c>
      <c r="R348" s="2" t="inlineStr"/>
    </row>
    <row r="349" ht="15" customHeight="1">
      <c r="A349" t="inlineStr">
        <is>
          <t>A 30980-2020</t>
        </is>
      </c>
      <c r="B349" s="1" t="n">
        <v>44011</v>
      </c>
      <c r="C349" s="1" t="n">
        <v>45579</v>
      </c>
      <c r="D349" t="inlineStr">
        <is>
          <t>GOTLANDS LÄN</t>
        </is>
      </c>
      <c r="E349" t="inlineStr">
        <is>
          <t>GOTLAND</t>
        </is>
      </c>
      <c r="G349" t="n">
        <v>17.9</v>
      </c>
      <c r="H349" t="n">
        <v>0</v>
      </c>
      <c r="I349" t="n">
        <v>0</v>
      </c>
      <c r="J349" t="n">
        <v>0</v>
      </c>
      <c r="K349" t="n">
        <v>0</v>
      </c>
      <c r="L349" t="n">
        <v>0</v>
      </c>
      <c r="M349" t="n">
        <v>0</v>
      </c>
      <c r="N349" t="n">
        <v>0</v>
      </c>
      <c r="O349" t="n">
        <v>0</v>
      </c>
      <c r="P349" t="n">
        <v>0</v>
      </c>
      <c r="Q349" t="n">
        <v>0</v>
      </c>
      <c r="R349" s="2" t="inlineStr"/>
    </row>
    <row r="350" ht="15" customHeight="1">
      <c r="A350" t="inlineStr">
        <is>
          <t>A 32804-2020</t>
        </is>
      </c>
      <c r="B350" s="1" t="n">
        <v>44018</v>
      </c>
      <c r="C350" s="1" t="n">
        <v>45579</v>
      </c>
      <c r="D350" t="inlineStr">
        <is>
          <t>GOTLANDS LÄN</t>
        </is>
      </c>
      <c r="E350" t="inlineStr">
        <is>
          <t>GOTLAND</t>
        </is>
      </c>
      <c r="G350" t="n">
        <v>19.3</v>
      </c>
      <c r="H350" t="n">
        <v>0</v>
      </c>
      <c r="I350" t="n">
        <v>0</v>
      </c>
      <c r="J350" t="n">
        <v>0</v>
      </c>
      <c r="K350" t="n">
        <v>0</v>
      </c>
      <c r="L350" t="n">
        <v>0</v>
      </c>
      <c r="M350" t="n">
        <v>0</v>
      </c>
      <c r="N350" t="n">
        <v>0</v>
      </c>
      <c r="O350" t="n">
        <v>0</v>
      </c>
      <c r="P350" t="n">
        <v>0</v>
      </c>
      <c r="Q350" t="n">
        <v>0</v>
      </c>
      <c r="R350" s="2" t="inlineStr"/>
    </row>
    <row r="351" ht="15" customHeight="1">
      <c r="A351" t="inlineStr">
        <is>
          <t>A 32974-2020</t>
        </is>
      </c>
      <c r="B351" s="1" t="n">
        <v>44020</v>
      </c>
      <c r="C351" s="1" t="n">
        <v>45579</v>
      </c>
      <c r="D351" t="inlineStr">
        <is>
          <t>GOTLANDS LÄN</t>
        </is>
      </c>
      <c r="E351" t="inlineStr">
        <is>
          <t>GOTLAND</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35074-2020</t>
        </is>
      </c>
      <c r="B352" s="1" t="n">
        <v>44039</v>
      </c>
      <c r="C352" s="1" t="n">
        <v>45579</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36073-2020</t>
        </is>
      </c>
      <c r="B353" s="1" t="n">
        <v>44048</v>
      </c>
      <c r="C353" s="1" t="n">
        <v>45579</v>
      </c>
      <c r="D353" t="inlineStr">
        <is>
          <t>GOTLANDS LÄN</t>
        </is>
      </c>
      <c r="E353" t="inlineStr">
        <is>
          <t>GOTLAND</t>
        </is>
      </c>
      <c r="G353" t="n">
        <v>10.1</v>
      </c>
      <c r="H353" t="n">
        <v>0</v>
      </c>
      <c r="I353" t="n">
        <v>0</v>
      </c>
      <c r="J353" t="n">
        <v>0</v>
      </c>
      <c r="K353" t="n">
        <v>0</v>
      </c>
      <c r="L353" t="n">
        <v>0</v>
      </c>
      <c r="M353" t="n">
        <v>0</v>
      </c>
      <c r="N353" t="n">
        <v>0</v>
      </c>
      <c r="O353" t="n">
        <v>0</v>
      </c>
      <c r="P353" t="n">
        <v>0</v>
      </c>
      <c r="Q353" t="n">
        <v>0</v>
      </c>
      <c r="R353" s="2" t="inlineStr"/>
    </row>
    <row r="354" ht="15" customHeight="1">
      <c r="A354" t="inlineStr">
        <is>
          <t>A 36076-2020</t>
        </is>
      </c>
      <c r="B354" s="1" t="n">
        <v>44048</v>
      </c>
      <c r="C354" s="1" t="n">
        <v>45579</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36284-2020</t>
        </is>
      </c>
      <c r="B355" s="1" t="n">
        <v>44049</v>
      </c>
      <c r="C355" s="1" t="n">
        <v>45579</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37204-2020</t>
        </is>
      </c>
      <c r="B356" s="1" t="n">
        <v>44054</v>
      </c>
      <c r="C356" s="1" t="n">
        <v>45579</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38709-2020</t>
        </is>
      </c>
      <c r="B357" s="1" t="n">
        <v>44061</v>
      </c>
      <c r="C357" s="1" t="n">
        <v>45579</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39477-2020</t>
        </is>
      </c>
      <c r="B358" s="1" t="n">
        <v>44064</v>
      </c>
      <c r="C358" s="1" t="n">
        <v>45579</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41109-2020</t>
        </is>
      </c>
      <c r="B359" s="1" t="n">
        <v>44069</v>
      </c>
      <c r="C359" s="1" t="n">
        <v>45579</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41576-2020</t>
        </is>
      </c>
      <c r="B360" s="1" t="n">
        <v>44074</v>
      </c>
      <c r="C360" s="1" t="n">
        <v>45579</v>
      </c>
      <c r="D360" t="inlineStr">
        <is>
          <t>GOTLANDS LÄN</t>
        </is>
      </c>
      <c r="E360" t="inlineStr">
        <is>
          <t>GOTLAND</t>
        </is>
      </c>
      <c r="G360" t="n">
        <v>8.4</v>
      </c>
      <c r="H360" t="n">
        <v>0</v>
      </c>
      <c r="I360" t="n">
        <v>0</v>
      </c>
      <c r="J360" t="n">
        <v>0</v>
      </c>
      <c r="K360" t="n">
        <v>0</v>
      </c>
      <c r="L360" t="n">
        <v>0</v>
      </c>
      <c r="M360" t="n">
        <v>0</v>
      </c>
      <c r="N360" t="n">
        <v>0</v>
      </c>
      <c r="O360" t="n">
        <v>0</v>
      </c>
      <c r="P360" t="n">
        <v>0</v>
      </c>
      <c r="Q360" t="n">
        <v>0</v>
      </c>
      <c r="R360" s="2" t="inlineStr"/>
    </row>
    <row r="361" ht="15" customHeight="1">
      <c r="A361" t="inlineStr">
        <is>
          <t>A 45921-2020</t>
        </is>
      </c>
      <c r="B361" s="1" t="n">
        <v>44088</v>
      </c>
      <c r="C361" s="1" t="n">
        <v>45579</v>
      </c>
      <c r="D361" t="inlineStr">
        <is>
          <t>GOTLANDS LÄN</t>
        </is>
      </c>
      <c r="E361" t="inlineStr">
        <is>
          <t>GOTLAND</t>
        </is>
      </c>
      <c r="G361" t="n">
        <v>6.5</v>
      </c>
      <c r="H361" t="n">
        <v>0</v>
      </c>
      <c r="I361" t="n">
        <v>0</v>
      </c>
      <c r="J361" t="n">
        <v>0</v>
      </c>
      <c r="K361" t="n">
        <v>0</v>
      </c>
      <c r="L361" t="n">
        <v>0</v>
      </c>
      <c r="M361" t="n">
        <v>0</v>
      </c>
      <c r="N361" t="n">
        <v>0</v>
      </c>
      <c r="O361" t="n">
        <v>0</v>
      </c>
      <c r="P361" t="n">
        <v>0</v>
      </c>
      <c r="Q361" t="n">
        <v>0</v>
      </c>
      <c r="R361" s="2" t="inlineStr"/>
    </row>
    <row r="362" ht="15" customHeight="1">
      <c r="A362" t="inlineStr">
        <is>
          <t>A 46019-2020</t>
        </is>
      </c>
      <c r="B362" s="1" t="n">
        <v>44091</v>
      </c>
      <c r="C362" s="1" t="n">
        <v>45579</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46778-2020</t>
        </is>
      </c>
      <c r="B363" s="1" t="n">
        <v>44096</v>
      </c>
      <c r="C363" s="1" t="n">
        <v>45579</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53641-2020</t>
        </is>
      </c>
      <c r="B364" s="1" t="n">
        <v>44124</v>
      </c>
      <c r="C364" s="1" t="n">
        <v>45579</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53665-2020</t>
        </is>
      </c>
      <c r="B365" s="1" t="n">
        <v>44124</v>
      </c>
      <c r="C365" s="1" t="n">
        <v>45579</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59052-2020</t>
        </is>
      </c>
      <c r="B366" s="1" t="n">
        <v>44147</v>
      </c>
      <c r="C366" s="1" t="n">
        <v>45579</v>
      </c>
      <c r="D366" t="inlineStr">
        <is>
          <t>GOTLANDS LÄN</t>
        </is>
      </c>
      <c r="E366" t="inlineStr">
        <is>
          <t>GOTLAND</t>
        </is>
      </c>
      <c r="G366" t="n">
        <v>3.4</v>
      </c>
      <c r="H366" t="n">
        <v>0</v>
      </c>
      <c r="I366" t="n">
        <v>0</v>
      </c>
      <c r="J366" t="n">
        <v>0</v>
      </c>
      <c r="K366" t="n">
        <v>0</v>
      </c>
      <c r="L366" t="n">
        <v>0</v>
      </c>
      <c r="M366" t="n">
        <v>0</v>
      </c>
      <c r="N366" t="n">
        <v>0</v>
      </c>
      <c r="O366" t="n">
        <v>0</v>
      </c>
      <c r="P366" t="n">
        <v>0</v>
      </c>
      <c r="Q366" t="n">
        <v>0</v>
      </c>
      <c r="R366" s="2" t="inlineStr"/>
    </row>
    <row r="367" ht="15" customHeight="1">
      <c r="A367" t="inlineStr">
        <is>
          <t>A 59630-2020</t>
        </is>
      </c>
      <c r="B367" s="1" t="n">
        <v>44150</v>
      </c>
      <c r="C367" s="1" t="n">
        <v>45579</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60356-2020</t>
        </is>
      </c>
      <c r="B368" s="1" t="n">
        <v>44152</v>
      </c>
      <c r="C368" s="1" t="n">
        <v>45579</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62120-2020</t>
        </is>
      </c>
      <c r="B369" s="1" t="n">
        <v>44158</v>
      </c>
      <c r="C369" s="1" t="n">
        <v>45579</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64380-2020</t>
        </is>
      </c>
      <c r="B370" s="1" t="n">
        <v>44168</v>
      </c>
      <c r="C370" s="1" t="n">
        <v>45579</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65126-2020</t>
        </is>
      </c>
      <c r="B371" s="1" t="n">
        <v>44168</v>
      </c>
      <c r="C371" s="1" t="n">
        <v>45579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65537-2020</t>
        </is>
      </c>
      <c r="B372" s="1" t="n">
        <v>44173</v>
      </c>
      <c r="C372" s="1" t="n">
        <v>45579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69643-2020</t>
        </is>
      </c>
      <c r="B373" s="1" t="n">
        <v>44195</v>
      </c>
      <c r="C373" s="1" t="n">
        <v>45579</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14-2021</t>
        </is>
      </c>
      <c r="B374" s="1" t="n">
        <v>44197</v>
      </c>
      <c r="C374" s="1" t="n">
        <v>45579</v>
      </c>
      <c r="D374" t="inlineStr">
        <is>
          <t>GOTLANDS LÄN</t>
        </is>
      </c>
      <c r="E374" t="inlineStr">
        <is>
          <t>GOTLAND</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1229-2021</t>
        </is>
      </c>
      <c r="B375" s="1" t="n">
        <v>44208</v>
      </c>
      <c r="C375" s="1" t="n">
        <v>45579</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2292-2021</t>
        </is>
      </c>
      <c r="B376" s="1" t="n">
        <v>44212</v>
      </c>
      <c r="C376" s="1" t="n">
        <v>45579</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2608-2021</t>
        </is>
      </c>
      <c r="B377" s="1" t="n">
        <v>44214</v>
      </c>
      <c r="C377" s="1" t="n">
        <v>45579</v>
      </c>
      <c r="D377" t="inlineStr">
        <is>
          <t>GOTLANDS LÄN</t>
        </is>
      </c>
      <c r="E377" t="inlineStr">
        <is>
          <t>GOTLAND</t>
        </is>
      </c>
      <c r="G377" t="n">
        <v>3.9</v>
      </c>
      <c r="H377" t="n">
        <v>0</v>
      </c>
      <c r="I377" t="n">
        <v>0</v>
      </c>
      <c r="J377" t="n">
        <v>0</v>
      </c>
      <c r="K377" t="n">
        <v>0</v>
      </c>
      <c r="L377" t="n">
        <v>0</v>
      </c>
      <c r="M377" t="n">
        <v>0</v>
      </c>
      <c r="N377" t="n">
        <v>0</v>
      </c>
      <c r="O377" t="n">
        <v>0</v>
      </c>
      <c r="P377" t="n">
        <v>0</v>
      </c>
      <c r="Q377" t="n">
        <v>0</v>
      </c>
      <c r="R377" s="2" t="inlineStr"/>
    </row>
    <row r="378" ht="15" customHeight="1">
      <c r="A378" t="inlineStr">
        <is>
          <t>A 3319-2021</t>
        </is>
      </c>
      <c r="B378" s="1" t="n">
        <v>44216</v>
      </c>
      <c r="C378" s="1" t="n">
        <v>45579</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3172-2021</t>
        </is>
      </c>
      <c r="B379" s="1" t="n">
        <v>44217</v>
      </c>
      <c r="C379" s="1" t="n">
        <v>45579</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3271-2021</t>
        </is>
      </c>
      <c r="B380" s="1" t="n">
        <v>44217</v>
      </c>
      <c r="C380" s="1" t="n">
        <v>45579</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8329-2021</t>
        </is>
      </c>
      <c r="B381" s="1" t="n">
        <v>44244</v>
      </c>
      <c r="C381" s="1" t="n">
        <v>45579</v>
      </c>
      <c r="D381" t="inlineStr">
        <is>
          <t>GOTLANDS LÄN</t>
        </is>
      </c>
      <c r="E381" t="inlineStr">
        <is>
          <t>GOTLAND</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8700-2021</t>
        </is>
      </c>
      <c r="B382" s="1" t="n">
        <v>44246</v>
      </c>
      <c r="C382" s="1" t="n">
        <v>45579</v>
      </c>
      <c r="D382" t="inlineStr">
        <is>
          <t>GOTLANDS LÄN</t>
        </is>
      </c>
      <c r="E382" t="inlineStr">
        <is>
          <t>GOTLAND</t>
        </is>
      </c>
      <c r="G382" t="n">
        <v>0.1</v>
      </c>
      <c r="H382" t="n">
        <v>0</v>
      </c>
      <c r="I382" t="n">
        <v>0</v>
      </c>
      <c r="J382" t="n">
        <v>0</v>
      </c>
      <c r="K382" t="n">
        <v>0</v>
      </c>
      <c r="L382" t="n">
        <v>0</v>
      </c>
      <c r="M382" t="n">
        <v>0</v>
      </c>
      <c r="N382" t="n">
        <v>0</v>
      </c>
      <c r="O382" t="n">
        <v>0</v>
      </c>
      <c r="P382" t="n">
        <v>0</v>
      </c>
      <c r="Q382" t="n">
        <v>0</v>
      </c>
      <c r="R382" s="2" t="inlineStr"/>
    </row>
    <row r="383" ht="15" customHeight="1">
      <c r="A383" t="inlineStr">
        <is>
          <t>A 11400-2021</t>
        </is>
      </c>
      <c r="B383" s="1" t="n">
        <v>44263</v>
      </c>
      <c r="C383" s="1" t="n">
        <v>45579</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11402-2021</t>
        </is>
      </c>
      <c r="B384" s="1" t="n">
        <v>44263</v>
      </c>
      <c r="C384" s="1" t="n">
        <v>45579</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12318-2021</t>
        </is>
      </c>
      <c r="B385" s="1" t="n">
        <v>44266</v>
      </c>
      <c r="C385" s="1" t="n">
        <v>45579</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13274-2021</t>
        </is>
      </c>
      <c r="B386" s="1" t="n">
        <v>44272</v>
      </c>
      <c r="C386" s="1" t="n">
        <v>45579</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14536-2021</t>
        </is>
      </c>
      <c r="B387" s="1" t="n">
        <v>44279</v>
      </c>
      <c r="C387" s="1" t="n">
        <v>45579</v>
      </c>
      <c r="D387" t="inlineStr">
        <is>
          <t>GOTLANDS LÄN</t>
        </is>
      </c>
      <c r="E387" t="inlineStr">
        <is>
          <t>GOTLAND</t>
        </is>
      </c>
      <c r="G387" t="n">
        <v>8.5</v>
      </c>
      <c r="H387" t="n">
        <v>0</v>
      </c>
      <c r="I387" t="n">
        <v>0</v>
      </c>
      <c r="J387" t="n">
        <v>0</v>
      </c>
      <c r="K387" t="n">
        <v>0</v>
      </c>
      <c r="L387" t="n">
        <v>0</v>
      </c>
      <c r="M387" t="n">
        <v>0</v>
      </c>
      <c r="N387" t="n">
        <v>0</v>
      </c>
      <c r="O387" t="n">
        <v>0</v>
      </c>
      <c r="P387" t="n">
        <v>0</v>
      </c>
      <c r="Q387" t="n">
        <v>0</v>
      </c>
      <c r="R387" s="2" t="inlineStr"/>
    </row>
    <row r="388" ht="15" customHeight="1">
      <c r="A388" t="inlineStr">
        <is>
          <t>A 14804-2021</t>
        </is>
      </c>
      <c r="B388" s="1" t="n">
        <v>44280</v>
      </c>
      <c r="C388" s="1" t="n">
        <v>45579</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15127-2021</t>
        </is>
      </c>
      <c r="B389" s="1" t="n">
        <v>44283</v>
      </c>
      <c r="C389" s="1" t="n">
        <v>45579</v>
      </c>
      <c r="D389" t="inlineStr">
        <is>
          <t>GOTLANDS LÄN</t>
        </is>
      </c>
      <c r="E389" t="inlineStr">
        <is>
          <t>GOTLAND</t>
        </is>
      </c>
      <c r="G389" t="n">
        <v>0.4</v>
      </c>
      <c r="H389" t="n">
        <v>0</v>
      </c>
      <c r="I389" t="n">
        <v>0</v>
      </c>
      <c r="J389" t="n">
        <v>0</v>
      </c>
      <c r="K389" t="n">
        <v>0</v>
      </c>
      <c r="L389" t="n">
        <v>0</v>
      </c>
      <c r="M389" t="n">
        <v>0</v>
      </c>
      <c r="N389" t="n">
        <v>0</v>
      </c>
      <c r="O389" t="n">
        <v>0</v>
      </c>
      <c r="P389" t="n">
        <v>0</v>
      </c>
      <c r="Q389" t="n">
        <v>0</v>
      </c>
      <c r="R389" s="2" t="inlineStr"/>
    </row>
    <row r="390" ht="15" customHeight="1">
      <c r="A390" t="inlineStr">
        <is>
          <t>A 16435-2021</t>
        </is>
      </c>
      <c r="B390" s="1" t="n">
        <v>44293</v>
      </c>
      <c r="C390" s="1" t="n">
        <v>45579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17254-2021</t>
        </is>
      </c>
      <c r="B391" s="1" t="n">
        <v>44298</v>
      </c>
      <c r="C391" s="1" t="n">
        <v>45579</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17227-2021</t>
        </is>
      </c>
      <c r="B392" s="1" t="n">
        <v>44298</v>
      </c>
      <c r="C392" s="1" t="n">
        <v>45579</v>
      </c>
      <c r="D392" t="inlineStr">
        <is>
          <t>GOTLANDS LÄN</t>
        </is>
      </c>
      <c r="E392" t="inlineStr">
        <is>
          <t>GOTLAND</t>
        </is>
      </c>
      <c r="G392" t="n">
        <v>6.2</v>
      </c>
      <c r="H392" t="n">
        <v>0</v>
      </c>
      <c r="I392" t="n">
        <v>0</v>
      </c>
      <c r="J392" t="n">
        <v>0</v>
      </c>
      <c r="K392" t="n">
        <v>0</v>
      </c>
      <c r="L392" t="n">
        <v>0</v>
      </c>
      <c r="M392" t="n">
        <v>0</v>
      </c>
      <c r="N392" t="n">
        <v>0</v>
      </c>
      <c r="O392" t="n">
        <v>0</v>
      </c>
      <c r="P392" t="n">
        <v>0</v>
      </c>
      <c r="Q392" t="n">
        <v>0</v>
      </c>
      <c r="R392" s="2" t="inlineStr"/>
    </row>
    <row r="393" ht="15" customHeight="1">
      <c r="A393" t="inlineStr">
        <is>
          <t>A 17199-2021</t>
        </is>
      </c>
      <c r="B393" s="1" t="n">
        <v>44298</v>
      </c>
      <c r="C393" s="1" t="n">
        <v>45579</v>
      </c>
      <c r="D393" t="inlineStr">
        <is>
          <t>GOTLANDS LÄN</t>
        </is>
      </c>
      <c r="E393" t="inlineStr">
        <is>
          <t>GOTLAND</t>
        </is>
      </c>
      <c r="G393" t="n">
        <v>9.6</v>
      </c>
      <c r="H393" t="n">
        <v>0</v>
      </c>
      <c r="I393" t="n">
        <v>0</v>
      </c>
      <c r="J393" t="n">
        <v>0</v>
      </c>
      <c r="K393" t="n">
        <v>0</v>
      </c>
      <c r="L393" t="n">
        <v>0</v>
      </c>
      <c r="M393" t="n">
        <v>0</v>
      </c>
      <c r="N393" t="n">
        <v>0</v>
      </c>
      <c r="O393" t="n">
        <v>0</v>
      </c>
      <c r="P393" t="n">
        <v>0</v>
      </c>
      <c r="Q393" t="n">
        <v>0</v>
      </c>
      <c r="R393" s="2" t="inlineStr"/>
    </row>
    <row r="394" ht="15" customHeight="1">
      <c r="A394" t="inlineStr">
        <is>
          <t>A 17585-2021</t>
        </is>
      </c>
      <c r="B394" s="1" t="n">
        <v>44299</v>
      </c>
      <c r="C394" s="1" t="n">
        <v>45579</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17920-2021</t>
        </is>
      </c>
      <c r="B395" s="1" t="n">
        <v>44301</v>
      </c>
      <c r="C395" s="1" t="n">
        <v>45579</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18038-2021</t>
        </is>
      </c>
      <c r="B396" s="1" t="n">
        <v>44302</v>
      </c>
      <c r="C396" s="1" t="n">
        <v>45579</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19447-2021</t>
        </is>
      </c>
      <c r="B397" s="1" t="n">
        <v>44310</v>
      </c>
      <c r="C397" s="1" t="n">
        <v>45579</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19448-2021</t>
        </is>
      </c>
      <c r="B398" s="1" t="n">
        <v>44310</v>
      </c>
      <c r="C398" s="1" t="n">
        <v>45579</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19892-2021</t>
        </is>
      </c>
      <c r="B399" s="1" t="n">
        <v>44312</v>
      </c>
      <c r="C399" s="1" t="n">
        <v>45579</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19901-2021</t>
        </is>
      </c>
      <c r="B400" s="1" t="n">
        <v>44312</v>
      </c>
      <c r="C400" s="1" t="n">
        <v>45579</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19939-2021</t>
        </is>
      </c>
      <c r="B401" s="1" t="n">
        <v>44313</v>
      </c>
      <c r="C401" s="1" t="n">
        <v>45579</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20111-2021</t>
        </is>
      </c>
      <c r="B402" s="1" t="n">
        <v>44314</v>
      </c>
      <c r="C402" s="1" t="n">
        <v>45579</v>
      </c>
      <c r="D402" t="inlineStr">
        <is>
          <t>GOTLANDS LÄN</t>
        </is>
      </c>
      <c r="E402" t="inlineStr">
        <is>
          <t>GOTLAND</t>
        </is>
      </c>
      <c r="G402" t="n">
        <v>4.4</v>
      </c>
      <c r="H402" t="n">
        <v>0</v>
      </c>
      <c r="I402" t="n">
        <v>0</v>
      </c>
      <c r="J402" t="n">
        <v>0</v>
      </c>
      <c r="K402" t="n">
        <v>0</v>
      </c>
      <c r="L402" t="n">
        <v>0</v>
      </c>
      <c r="M402" t="n">
        <v>0</v>
      </c>
      <c r="N402" t="n">
        <v>0</v>
      </c>
      <c r="O402" t="n">
        <v>0</v>
      </c>
      <c r="P402" t="n">
        <v>0</v>
      </c>
      <c r="Q402" t="n">
        <v>0</v>
      </c>
      <c r="R402" s="2" t="inlineStr"/>
    </row>
    <row r="403" ht="15" customHeight="1">
      <c r="A403" t="inlineStr">
        <is>
          <t>A 21507-2021</t>
        </is>
      </c>
      <c r="B403" s="1" t="n">
        <v>44321</v>
      </c>
      <c r="C403" s="1" t="n">
        <v>45579</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22155-2021</t>
        </is>
      </c>
      <c r="B404" s="1" t="n">
        <v>44325</v>
      </c>
      <c r="C404" s="1" t="n">
        <v>45579</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23910-2021</t>
        </is>
      </c>
      <c r="B405" s="1" t="n">
        <v>44335</v>
      </c>
      <c r="C405" s="1" t="n">
        <v>45579</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24001-2021</t>
        </is>
      </c>
      <c r="B406" s="1" t="n">
        <v>44335</v>
      </c>
      <c r="C406" s="1" t="n">
        <v>45579</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v>
      </c>
      <c r="C407" s="1" t="n">
        <v>45579</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26857-2021</t>
        </is>
      </c>
      <c r="B408" s="1" t="n">
        <v>44349</v>
      </c>
      <c r="C408" s="1" t="n">
        <v>45579</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26867-2021</t>
        </is>
      </c>
      <c r="B409" s="1" t="n">
        <v>44349</v>
      </c>
      <c r="C409" s="1" t="n">
        <v>45579</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27930-2021</t>
        </is>
      </c>
      <c r="B410" s="1" t="n">
        <v>44354</v>
      </c>
      <c r="C410" s="1" t="n">
        <v>45579</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30055-2021</t>
        </is>
      </c>
      <c r="B411" s="1" t="n">
        <v>44363</v>
      </c>
      <c r="C411" s="1" t="n">
        <v>45579</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31264-2021</t>
        </is>
      </c>
      <c r="B412" s="1" t="n">
        <v>44368</v>
      </c>
      <c r="C412" s="1" t="n">
        <v>45579</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31981-2021</t>
        </is>
      </c>
      <c r="B413" s="1" t="n">
        <v>44370</v>
      </c>
      <c r="C413" s="1" t="n">
        <v>45579</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32647-2021</t>
        </is>
      </c>
      <c r="B414" s="1" t="n">
        <v>44375</v>
      </c>
      <c r="C414" s="1" t="n">
        <v>45579</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32691-2021</t>
        </is>
      </c>
      <c r="B415" s="1" t="n">
        <v>44375</v>
      </c>
      <c r="C415" s="1" t="n">
        <v>45579</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32958-2021</t>
        </is>
      </c>
      <c r="B416" s="1" t="n">
        <v>44376</v>
      </c>
      <c r="C416" s="1" t="n">
        <v>45579</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36313-2021</t>
        </is>
      </c>
      <c r="B417" s="1" t="n">
        <v>44390</v>
      </c>
      <c r="C417" s="1" t="n">
        <v>45579</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37037-2021</t>
        </is>
      </c>
      <c r="B418" s="1" t="n">
        <v>44393</v>
      </c>
      <c r="C418" s="1" t="n">
        <v>45579</v>
      </c>
      <c r="D418" t="inlineStr">
        <is>
          <t>GOTLANDS LÄN</t>
        </is>
      </c>
      <c r="E418" t="inlineStr">
        <is>
          <t>GOTLAND</t>
        </is>
      </c>
      <c r="G418" t="n">
        <v>10.2</v>
      </c>
      <c r="H418" t="n">
        <v>0</v>
      </c>
      <c r="I418" t="n">
        <v>0</v>
      </c>
      <c r="J418" t="n">
        <v>0</v>
      </c>
      <c r="K418" t="n">
        <v>0</v>
      </c>
      <c r="L418" t="n">
        <v>0</v>
      </c>
      <c r="M418" t="n">
        <v>0</v>
      </c>
      <c r="N418" t="n">
        <v>0</v>
      </c>
      <c r="O418" t="n">
        <v>0</v>
      </c>
      <c r="P418" t="n">
        <v>0</v>
      </c>
      <c r="Q418" t="n">
        <v>0</v>
      </c>
      <c r="R418" s="2" t="inlineStr"/>
    </row>
    <row r="419" ht="15" customHeight="1">
      <c r="A419" t="inlineStr">
        <is>
          <t>A 37222-2021</t>
        </is>
      </c>
      <c r="B419" s="1" t="n">
        <v>44396</v>
      </c>
      <c r="C419" s="1" t="n">
        <v>45579</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41346-2021</t>
        </is>
      </c>
      <c r="B420" s="1" t="n">
        <v>44424</v>
      </c>
      <c r="C420" s="1" t="n">
        <v>45579</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45579</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45579</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45579</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45579</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45579</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45579</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45579</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45579</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45579</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45579</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45579</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45579</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45579</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45579</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45579</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45579</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45579</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45579</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45579</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45579</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45579</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45579</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45579</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45579</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45579</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45579</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45579</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45579</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45579</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45579</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45579</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45579</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45579</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45579</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45579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45579</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45579</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45579</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45579</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45579</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45579</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45579</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45579</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45579</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45579</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45579</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45579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45579</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45579</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45579</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45579</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45579</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45579</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45579</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45579</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45579</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45579</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45579</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45579</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45579</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45579</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45579</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45579</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45579</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45579</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45579</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45579</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45579</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45579</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45579</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45579</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45579</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45579</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45579</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45579</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45579</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45579</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45579</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45579</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45579</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45579</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45579</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45579</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45579</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45579</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45579</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45579</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45579</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45579</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45579</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45579</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45579</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45579</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45579</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45579</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45579</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45579</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45579</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45579</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45579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45579</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45579</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45579</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45579</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45579</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45579</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45579</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45579</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45579</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45579</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45579</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45579</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45579</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45579</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45579</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45579</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45579</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45579</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45579</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45579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45579</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45579</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45579</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45579</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45579</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45579</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45579</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45579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45579</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45579</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45579</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45579</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45579</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45579</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45579</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45579</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45579</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45579</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45579</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45579</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45579</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45579</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45579</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45579</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45579</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45579</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45579</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45579</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45579</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45579</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45579</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45579</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45579</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45579</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45579</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45579</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45579</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45579</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45579</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45579</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45579</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45579</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45579</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45579</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45579</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45579</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45579</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45579</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45579</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45579</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45579</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45579</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45579</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45579</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45579</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45579</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45579</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45579</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45579</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45579</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45579</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45579</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45579</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45579</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45579</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45579</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45579</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45579</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45579</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45579</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45579</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45579</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45579</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45579</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45579</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45579</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45579</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45579</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45579</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45579</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45579</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45579</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45579</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45579</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45579</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45579</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45579</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45579</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45579</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45579</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45579</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45579</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45579</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45579</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45579</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45579</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45579</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45579</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45579</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45579</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45579</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45579</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45579</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45579</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45579</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45579</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45579</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45579</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45579</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45579</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45579</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45579</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45579</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45579</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45579</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45579</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45579</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45579</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45579</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45579</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45579</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45579</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45579</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45579</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45579</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45579</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45579</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45579</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45579</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45579</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45579</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45579</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45579</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45579</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45579</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45579</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45579</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45579</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45579</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45579</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45579</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45579</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45579</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45579</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45579</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45579</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45579</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45579</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45579</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45579</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45579</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45579</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45579</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45579</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45579</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45579</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45579</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45579</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45579</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45579</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45579</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45579</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45579</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45579</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45579</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45579</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45579</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45579</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45579</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45579</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45579</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45579</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45579</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45579</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45579</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45579</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45579</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45579</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45579</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45579</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45579</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45579</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45579</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45579</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45579</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45579</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45579</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45579</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45579</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45579</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45579</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45579</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45579</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45579</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45579</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45579</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45579</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45579</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45579</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45579</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45579</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45579</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45579</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45579</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45579</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45579</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45579</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45579</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45579</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45579</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45579</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45579</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45579</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45579</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45579</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45579</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45579</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45579</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45579</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45579</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45579</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45579</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45579</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45579</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45579</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45579</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45579</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45579</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45579</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45579</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45579</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45579</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45579</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45579</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45579</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45579</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45579</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45579</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45579</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45579</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45579</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45579</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45579</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45579</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45579</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45579</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45579</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45579</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45579</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45579</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45579</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45579</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45579</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45579</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45579</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45579</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45579</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45579</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45579</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45579</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45579</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45579</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45579</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45579</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45579</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45579</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45579</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45579</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45579</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45579</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45579</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45579</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45579</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45579</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45579</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45579</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45579</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45579</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45579</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45579</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45579</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45579</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45579</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45579</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45579</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45579</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45579</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45579</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45579</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45579</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45579</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45579</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45579</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45579</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45579</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45579</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45579</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45579</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45579</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45579</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45579</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45579</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45579</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45579</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45579</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45579</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45579</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45579</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45579</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45579</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45579</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45579</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45579</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45579</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45579</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45579</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45579</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45579</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45579</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45579</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45579</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45579</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45579</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45579</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45579</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45579</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45579</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45579</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45579</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45579</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45579</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45579</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45579</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45579</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45579</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45579</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45579</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45579</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45579</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45579</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45579</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45579</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45579</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45579</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45579</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45579</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45579</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45579</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45579</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45579</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45579</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45579</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43785-2024</t>
        </is>
      </c>
      <c r="B893" s="1" t="n">
        <v>45570</v>
      </c>
      <c r="C893" s="1" t="n">
        <v>45579</v>
      </c>
      <c r="D893" t="inlineStr">
        <is>
          <t>GOTLANDS LÄN</t>
        </is>
      </c>
      <c r="E893" t="inlineStr">
        <is>
          <t>GOTLAND</t>
        </is>
      </c>
      <c r="G893" t="n">
        <v>12.6</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45579</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43790-2024</t>
        </is>
      </c>
      <c r="B895" s="1" t="n">
        <v>45571</v>
      </c>
      <c r="C895" s="1" t="n">
        <v>45579</v>
      </c>
      <c r="D895" t="inlineStr">
        <is>
          <t>GOTLANDS LÄN</t>
        </is>
      </c>
      <c r="E895" t="inlineStr">
        <is>
          <t>GOTLAND</t>
        </is>
      </c>
      <c r="G895" t="n">
        <v>3.5</v>
      </c>
      <c r="H895" t="n">
        <v>0</v>
      </c>
      <c r="I895" t="n">
        <v>0</v>
      </c>
      <c r="J895" t="n">
        <v>0</v>
      </c>
      <c r="K895" t="n">
        <v>0</v>
      </c>
      <c r="L895" t="n">
        <v>0</v>
      </c>
      <c r="M895" t="n">
        <v>0</v>
      </c>
      <c r="N895" t="n">
        <v>0</v>
      </c>
      <c r="O895" t="n">
        <v>0</v>
      </c>
      <c r="P895" t="n">
        <v>0</v>
      </c>
      <c r="Q895" t="n">
        <v>0</v>
      </c>
      <c r="R895" s="2" t="inlineStr"/>
    </row>
    <row r="896" ht="15" customHeight="1">
      <c r="A896" t="inlineStr">
        <is>
          <t>A 43787-2024</t>
        </is>
      </c>
      <c r="B896" s="1" t="n">
        <v>45571</v>
      </c>
      <c r="C896" s="1" t="n">
        <v>45579</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45579</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45579</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45579</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45579</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44892-2024</t>
        </is>
      </c>
      <c r="B901" s="1" t="n">
        <v>45575</v>
      </c>
      <c r="C901" s="1" t="n">
        <v>45579</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45071-2024</t>
        </is>
      </c>
      <c r="B902" s="1" t="n">
        <v>45575</v>
      </c>
      <c r="C902" s="1" t="n">
        <v>45579</v>
      </c>
      <c r="D902" t="inlineStr">
        <is>
          <t>GOTLANDS LÄN</t>
        </is>
      </c>
      <c r="E902" t="inlineStr">
        <is>
          <t>GOTLAND</t>
        </is>
      </c>
      <c r="G902" t="n">
        <v>7.9</v>
      </c>
      <c r="H902" t="n">
        <v>0</v>
      </c>
      <c r="I902" t="n">
        <v>0</v>
      </c>
      <c r="J902" t="n">
        <v>0</v>
      </c>
      <c r="K902" t="n">
        <v>0</v>
      </c>
      <c r="L902" t="n">
        <v>0</v>
      </c>
      <c r="M902" t="n">
        <v>0</v>
      </c>
      <c r="N902" t="n">
        <v>0</v>
      </c>
      <c r="O902" t="n">
        <v>0</v>
      </c>
      <c r="P902" t="n">
        <v>0</v>
      </c>
      <c r="Q902" t="n">
        <v>0</v>
      </c>
      <c r="R902" s="2" t="inlineStr"/>
    </row>
    <row r="903" ht="15" customHeight="1">
      <c r="A903" t="inlineStr">
        <is>
          <t>A 45079-2024</t>
        </is>
      </c>
      <c r="B903" s="1" t="n">
        <v>45575</v>
      </c>
      <c r="C903" s="1" t="n">
        <v>45579</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45084-2024</t>
        </is>
      </c>
      <c r="B904" s="1" t="n">
        <v>45575</v>
      </c>
      <c r="C904" s="1" t="n">
        <v>45579</v>
      </c>
      <c r="D904" t="inlineStr">
        <is>
          <t>GOTLANDS LÄN</t>
        </is>
      </c>
      <c r="E904" t="inlineStr">
        <is>
          <t>GOTLAND</t>
        </is>
      </c>
      <c r="G904" t="n">
        <v>6.8</v>
      </c>
      <c r="H904" t="n">
        <v>0</v>
      </c>
      <c r="I904" t="n">
        <v>0</v>
      </c>
      <c r="J904" t="n">
        <v>0</v>
      </c>
      <c r="K904" t="n">
        <v>0</v>
      </c>
      <c r="L904" t="n">
        <v>0</v>
      </c>
      <c r="M904" t="n">
        <v>0</v>
      </c>
      <c r="N904" t="n">
        <v>0</v>
      </c>
      <c r="O904" t="n">
        <v>0</v>
      </c>
      <c r="P904" t="n">
        <v>0</v>
      </c>
      <c r="Q904" t="n">
        <v>0</v>
      </c>
      <c r="R904" s="2" t="inlineStr"/>
    </row>
    <row r="905" ht="15" customHeight="1">
      <c r="A905" t="inlineStr">
        <is>
          <t>A 45101-2024</t>
        </is>
      </c>
      <c r="B905" s="1" t="n">
        <v>45575</v>
      </c>
      <c r="C905" s="1" t="n">
        <v>45579</v>
      </c>
      <c r="D905" t="inlineStr">
        <is>
          <t>GOTLANDS LÄN</t>
        </is>
      </c>
      <c r="E905" t="inlineStr">
        <is>
          <t>GOTLAND</t>
        </is>
      </c>
      <c r="G905" t="n">
        <v>1.6</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45579</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2024-10-14T12:08:10Z</dcterms:created>
  <dcterms:modified xmlns:dcterms="http://purl.org/dc/terms/" xmlns:xsi="http://www.w3.org/2001/XMLSchema-instance" xsi:type="dcterms:W3CDTF">2024-10-14T12:08:11Z</dcterms:modified>
</cp:coreProperties>
</file>