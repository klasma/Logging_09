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46107</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46107</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46107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46107</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46107</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46107</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46107</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46107</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46107</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46107</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46107</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46107</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46107</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62551-2022</t>
        </is>
      </c>
      <c r="B21" s="1" t="n">
        <v>44924</v>
      </c>
      <c r="C21" s="1" t="n">
        <v>46107</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46107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24575-2025</t>
        </is>
      </c>
      <c r="B23" s="1" t="n">
        <v>45798</v>
      </c>
      <c r="C23" s="1" t="n">
        <v>46107</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46107</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46107</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46107</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46107</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46107</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46107</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46107</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46107</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46107</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46107</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35141-2022</t>
        </is>
      </c>
      <c r="B34" s="1" t="n">
        <v>44797.53318287037</v>
      </c>
      <c r="C34" s="1" t="n">
        <v>46107</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46107</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46107</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3324-2023</t>
        </is>
      </c>
      <c r="B37" s="1" t="n">
        <v>44949</v>
      </c>
      <c r="C37" s="1" t="n">
        <v>46107</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46107</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46107</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46107</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46107</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46107</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46107</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46107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52223-2025</t>
        </is>
      </c>
      <c r="B46" s="1" t="n">
        <v>45953.44509259259</v>
      </c>
      <c r="C46" s="1" t="n">
        <v>46107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14354-2024</t>
        </is>
      </c>
      <c r="B47" s="1" t="n">
        <v>45393</v>
      </c>
      <c r="C47" s="1" t="n">
        <v>46107</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584-2023</t>
        </is>
      </c>
      <c r="B48" s="1" t="n">
        <v>44930</v>
      </c>
      <c r="C48" s="1" t="n">
        <v>46107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46107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45248-2024</t>
        </is>
      </c>
      <c r="B50" s="1" t="n">
        <v>45576</v>
      </c>
      <c r="C50" s="1" t="n">
        <v>46107</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46107</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46107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22404-2024</t>
        </is>
      </c>
      <c r="B53" s="1" t="n">
        <v>45446</v>
      </c>
      <c r="C53" s="1" t="n">
        <v>46107</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46107</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46107</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46107</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7039-2023</t>
        </is>
      </c>
      <c r="B57" s="1" t="n">
        <v>44968</v>
      </c>
      <c r="C57" s="1" t="n">
        <v>46107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27168-2022</t>
        </is>
      </c>
      <c r="B58" s="1" t="n">
        <v>44741</v>
      </c>
      <c r="C58" s="1" t="n">
        <v>46107</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46107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46107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46107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46107</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10419-2025</t>
        </is>
      </c>
      <c r="B64" s="1" t="n">
        <v>45720</v>
      </c>
      <c r="C64" s="1" t="n">
        <v>46107</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56687-2025</t>
        </is>
      </c>
      <c r="B65" s="1" t="n">
        <v>45975.84065972222</v>
      </c>
      <c r="C65" s="1" t="n">
        <v>46107</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46107</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27280-2023</t>
        </is>
      </c>
      <c r="B67" s="1" t="n">
        <v>45096</v>
      </c>
      <c r="C67" s="1" t="n">
        <v>46107</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46107</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25205-2021</t>
        </is>
      </c>
      <c r="B69" s="1" t="n">
        <v>44342</v>
      </c>
      <c r="C69" s="1" t="n">
        <v>46107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54527-2023</t>
        </is>
      </c>
      <c r="B70" s="1" t="n">
        <v>45233</v>
      </c>
      <c r="C70" s="1" t="n">
        <v>46107</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7038-2023</t>
        </is>
      </c>
      <c r="B71" s="1" t="n">
        <v>44968</v>
      </c>
      <c r="C71" s="1" t="n">
        <v>46107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2085-2023</t>
        </is>
      </c>
      <c r="B72" s="1" t="n">
        <v>44939</v>
      </c>
      <c r="C72" s="1" t="n">
        <v>46107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446-2023</t>
        </is>
      </c>
      <c r="B73" s="1" t="n">
        <v>44929</v>
      </c>
      <c r="C73" s="1" t="n">
        <v>46107</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46107</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16823-2024</t>
        </is>
      </c>
      <c r="B75" s="1" t="n">
        <v>45411</v>
      </c>
      <c r="C75" s="1" t="n">
        <v>46107</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46107</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46107</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46107</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42936-2024</t>
        </is>
      </c>
      <c r="B80" s="1" t="n">
        <v>45567</v>
      </c>
      <c r="C80" s="1" t="n">
        <v>46107</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2213-2023</t>
        </is>
      </c>
      <c r="B81" s="1" t="n">
        <v>44942</v>
      </c>
      <c r="C81" s="1" t="n">
        <v>46107</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32326-2024</t>
        </is>
      </c>
      <c r="B82" s="1" t="n">
        <v>45512</v>
      </c>
      <c r="C82" s="1" t="n">
        <v>46107</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16375-2025</t>
        </is>
      </c>
      <c r="B83" s="1" t="n">
        <v>45751.41064814815</v>
      </c>
      <c r="C83" s="1" t="n">
        <v>46107</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10274-2026</t>
        </is>
      </c>
      <c r="B84" s="1" t="n">
        <v>46076.58261574074</v>
      </c>
      <c r="C84" s="1" t="n">
        <v>46107</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52245-2025</t>
        </is>
      </c>
      <c r="B85" s="1" t="n">
        <v>45953.47115740741</v>
      </c>
      <c r="C85" s="1" t="n">
        <v>46107</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35293-2025</t>
        </is>
      </c>
      <c r="B86" s="1" t="n">
        <v>45854.39438657407</v>
      </c>
      <c r="C86" s="1" t="n">
        <v>46107</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6839-2026</t>
        </is>
      </c>
      <c r="B87" s="1" t="n">
        <v>46057.41193287037</v>
      </c>
      <c r="C87" s="1" t="n">
        <v>46107</v>
      </c>
      <c r="D87" t="inlineStr">
        <is>
          <t>GOTLANDS LÄN</t>
        </is>
      </c>
      <c r="E87" t="inlineStr">
        <is>
          <t>GOTLAND</t>
        </is>
      </c>
      <c r="G87" t="n">
        <v>4.9</v>
      </c>
      <c r="H87" t="n">
        <v>0</v>
      </c>
      <c r="I87" t="n">
        <v>1</v>
      </c>
      <c r="J87" t="n">
        <v>2</v>
      </c>
      <c r="K87" t="n">
        <v>2</v>
      </c>
      <c r="L87" t="n">
        <v>0</v>
      </c>
      <c r="M87" t="n">
        <v>0</v>
      </c>
      <c r="N87" t="n">
        <v>0</v>
      </c>
      <c r="O87" t="n">
        <v>4</v>
      </c>
      <c r="P87" t="n">
        <v>2</v>
      </c>
      <c r="Q87" t="n">
        <v>5</v>
      </c>
      <c r="R87" s="2" t="inlineStr">
        <is>
          <t>Mörk kraterlav
Skogskorn
Ekvaxskivling
Mjölmusseron
Besk kastanjemusseron</t>
        </is>
      </c>
      <c r="S87">
        <f>HYPERLINK("https://klasma.github.io/Logging_0980/artfynd/A 6839-2026 artfynd.xlsx", "A 6839-2026")</f>
        <v/>
      </c>
      <c r="T87">
        <f>HYPERLINK("https://klasma.github.io/Logging_0980/kartor/A 6839-2026 karta.png", "A 6839-2026")</f>
        <v/>
      </c>
      <c r="V87">
        <f>HYPERLINK("https://klasma.github.io/Logging_0980/klagomål/A 6839-2026 FSC-klagomål.docx", "A 6839-2026")</f>
        <v/>
      </c>
      <c r="W87">
        <f>HYPERLINK("https://klasma.github.io/Logging_0980/klagomålsmail/A 6839-2026 FSC-klagomål mail.docx", "A 6839-2026")</f>
        <v/>
      </c>
      <c r="X87">
        <f>HYPERLINK("https://klasma.github.io/Logging_0980/tillsyn/A 6839-2026 tillsynsbegäran.docx", "A 6839-2026")</f>
        <v/>
      </c>
      <c r="Y87">
        <f>HYPERLINK("https://klasma.github.io/Logging_0980/tillsynsmail/A 6839-2026 tillsynsbegäran mail.docx", "A 6839-2026")</f>
        <v/>
      </c>
    </row>
    <row r="88" ht="15" customHeight="1">
      <c r="A88" t="inlineStr">
        <is>
          <t>A 39425-2023</t>
        </is>
      </c>
      <c r="B88" s="1" t="n">
        <v>45166</v>
      </c>
      <c r="C88" s="1" t="n">
        <v>46107</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29331-2021</t>
        </is>
      </c>
      <c r="B89" s="1" t="n">
        <v>44361</v>
      </c>
      <c r="C89" s="1" t="n">
        <v>46107</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46107</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6159-2023</t>
        </is>
      </c>
      <c r="B91" s="1" t="n">
        <v>44964</v>
      </c>
      <c r="C91" s="1" t="n">
        <v>46107</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46107</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43197-2023</t>
        </is>
      </c>
      <c r="B93" s="1" t="n">
        <v>45183</v>
      </c>
      <c r="C93" s="1" t="n">
        <v>46107</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46107</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8265-2023</t>
        </is>
      </c>
      <c r="B95" s="1" t="n">
        <v>44974</v>
      </c>
      <c r="C95" s="1" t="n">
        <v>46107</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186-2023</t>
        </is>
      </c>
      <c r="B96" s="1" t="n">
        <v>44928</v>
      </c>
      <c r="C96" s="1" t="n">
        <v>46107</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56717-2024</t>
        </is>
      </c>
      <c r="B97" s="1" t="n">
        <v>45628.3166550926</v>
      </c>
      <c r="C97" s="1" t="n">
        <v>46107</v>
      </c>
      <c r="D97" t="inlineStr">
        <is>
          <t>GOTLANDS LÄN</t>
        </is>
      </c>
      <c r="E97" t="inlineStr">
        <is>
          <t>GOTLAND</t>
        </is>
      </c>
      <c r="G97" t="n">
        <v>9.699999999999999</v>
      </c>
      <c r="H97" t="n">
        <v>0</v>
      </c>
      <c r="I97" t="n">
        <v>2</v>
      </c>
      <c r="J97" t="n">
        <v>2</v>
      </c>
      <c r="K97" t="n">
        <v>0</v>
      </c>
      <c r="L97" t="n">
        <v>0</v>
      </c>
      <c r="M97" t="n">
        <v>0</v>
      </c>
      <c r="N97" t="n">
        <v>0</v>
      </c>
      <c r="O97" t="n">
        <v>2</v>
      </c>
      <c r="P97" t="n">
        <v>0</v>
      </c>
      <c r="Q97" t="n">
        <v>4</v>
      </c>
      <c r="R97" s="2" t="inlineStr">
        <is>
          <t>Ekvaxskivling
Odörspindling
Fjällig taggsvamp s.str.
Kattfotslav</t>
        </is>
      </c>
      <c r="S97">
        <f>HYPERLINK("https://klasma.github.io/Logging_0980/artfynd/A 56717-2024 artfynd.xlsx", "A 56717-2024")</f>
        <v/>
      </c>
      <c r="T97">
        <f>HYPERLINK("https://klasma.github.io/Logging_0980/kartor/A 56717-2024 karta.png", "A 56717-2024")</f>
        <v/>
      </c>
      <c r="V97">
        <f>HYPERLINK("https://klasma.github.io/Logging_0980/klagomål/A 56717-2024 FSC-klagomål.docx", "A 56717-2024")</f>
        <v/>
      </c>
      <c r="W97">
        <f>HYPERLINK("https://klasma.github.io/Logging_0980/klagomålsmail/A 56717-2024 FSC-klagomål mail.docx", "A 56717-2024")</f>
        <v/>
      </c>
      <c r="X97">
        <f>HYPERLINK("https://klasma.github.io/Logging_0980/tillsyn/A 56717-2024 tillsynsbegäran.docx", "A 56717-2024")</f>
        <v/>
      </c>
      <c r="Y97">
        <f>HYPERLINK("https://klasma.github.io/Logging_0980/tillsynsmail/A 56717-2024 tillsynsbegäran mail.docx", "A 56717-2024")</f>
        <v/>
      </c>
    </row>
    <row r="98" ht="15" customHeight="1">
      <c r="A98" t="inlineStr">
        <is>
          <t>A 54523-2023</t>
        </is>
      </c>
      <c r="B98" s="1" t="n">
        <v>45233</v>
      </c>
      <c r="C98" s="1" t="n">
        <v>46107</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46107</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46107</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20833-2024</t>
        </is>
      </c>
      <c r="B101" s="1" t="n">
        <v>45439</v>
      </c>
      <c r="C101" s="1" t="n">
        <v>46107</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13203-2026</t>
        </is>
      </c>
      <c r="B102" s="1" t="n">
        <v>46093</v>
      </c>
      <c r="C102" s="1" t="n">
        <v>46107</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6836-2026</t>
        </is>
      </c>
      <c r="B103" s="1" t="n">
        <v>46057.40902777778</v>
      </c>
      <c r="C103" s="1" t="n">
        <v>46107</v>
      </c>
      <c r="D103" t="inlineStr">
        <is>
          <t>GOTLANDS LÄN</t>
        </is>
      </c>
      <c r="E103" t="inlineStr">
        <is>
          <t>GOTLAND</t>
        </is>
      </c>
      <c r="G103" t="n">
        <v>3.8</v>
      </c>
      <c r="H103" t="n">
        <v>1</v>
      </c>
      <c r="I103" t="n">
        <v>3</v>
      </c>
      <c r="J103" t="n">
        <v>0</v>
      </c>
      <c r="K103" t="n">
        <v>1</v>
      </c>
      <c r="L103" t="n">
        <v>0</v>
      </c>
      <c r="M103" t="n">
        <v>0</v>
      </c>
      <c r="N103" t="n">
        <v>0</v>
      </c>
      <c r="O103" t="n">
        <v>1</v>
      </c>
      <c r="P103" t="n">
        <v>1</v>
      </c>
      <c r="Q103" t="n">
        <v>4</v>
      </c>
      <c r="R103" s="2" t="inlineStr">
        <is>
          <t>Knärot
Fransig jordstjärna
Rödgul trumpetsvamp
Svavelriska</t>
        </is>
      </c>
      <c r="S103">
        <f>HYPERLINK("https://klasma.github.io/Logging_0980/artfynd/A 6836-2026 artfynd.xlsx", "A 6836-2026")</f>
        <v/>
      </c>
      <c r="T103">
        <f>HYPERLINK("https://klasma.github.io/Logging_0980/kartor/A 6836-2026 karta.png", "A 6836-2026")</f>
        <v/>
      </c>
      <c r="U103">
        <f>HYPERLINK("https://klasma.github.io/Logging_0980/knärot/A 6836-2026 karta knärot.png", "A 6836-2026")</f>
        <v/>
      </c>
      <c r="V103">
        <f>HYPERLINK("https://klasma.github.io/Logging_0980/klagomål/A 6836-2026 FSC-klagomål.docx", "A 6836-2026")</f>
        <v/>
      </c>
      <c r="W103">
        <f>HYPERLINK("https://klasma.github.io/Logging_0980/klagomålsmail/A 6836-2026 FSC-klagomål mail.docx", "A 6836-2026")</f>
        <v/>
      </c>
      <c r="X103">
        <f>HYPERLINK("https://klasma.github.io/Logging_0980/tillsyn/A 6836-2026 tillsynsbegäran.docx", "A 6836-2026")</f>
        <v/>
      </c>
      <c r="Y103">
        <f>HYPERLINK("https://klasma.github.io/Logging_0980/tillsynsmail/A 6836-2026 tillsynsbegäran mail.docx", "A 6836-2026")</f>
        <v/>
      </c>
    </row>
    <row r="104" ht="15" customHeight="1">
      <c r="A104" t="inlineStr">
        <is>
          <t>A 44933-2022</t>
        </is>
      </c>
      <c r="B104" s="1" t="n">
        <v>44841</v>
      </c>
      <c r="C104" s="1" t="n">
        <v>46107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2485-2025</t>
        </is>
      </c>
      <c r="B105" s="1" t="n">
        <v>45673</v>
      </c>
      <c r="C105" s="1" t="n">
        <v>46107</v>
      </c>
      <c r="D105" t="inlineStr">
        <is>
          <t>GOTLANDS LÄN</t>
        </is>
      </c>
      <c r="E105" t="inlineStr">
        <is>
          <t>GOTLAND</t>
        </is>
      </c>
      <c r="G105" t="n">
        <v>5</v>
      </c>
      <c r="H105" t="n">
        <v>2</v>
      </c>
      <c r="I105" t="n">
        <v>2</v>
      </c>
      <c r="J105" t="n">
        <v>0</v>
      </c>
      <c r="K105" t="n">
        <v>2</v>
      </c>
      <c r="L105" t="n">
        <v>0</v>
      </c>
      <c r="M105" t="n">
        <v>0</v>
      </c>
      <c r="N105" t="n">
        <v>0</v>
      </c>
      <c r="O105" t="n">
        <v>2</v>
      </c>
      <c r="P105" t="n">
        <v>2</v>
      </c>
      <c r="Q105" t="n">
        <v>4</v>
      </c>
      <c r="R105" s="2" t="inlineStr">
        <is>
          <t>Gotlandsmåra
Skogskorn
Nästrot
Skogsknipprot</t>
        </is>
      </c>
      <c r="S105">
        <f>HYPERLINK("https://klasma.github.io/Logging_0980/artfynd/A 2485-2025 artfynd.xlsx", "A 2485-2025")</f>
        <v/>
      </c>
      <c r="T105">
        <f>HYPERLINK("https://klasma.github.io/Logging_0980/kartor/A 2485-2025 karta.png", "A 2485-2025")</f>
        <v/>
      </c>
      <c r="V105">
        <f>HYPERLINK("https://klasma.github.io/Logging_0980/klagomål/A 2485-2025 FSC-klagomål.docx", "A 2485-2025")</f>
        <v/>
      </c>
      <c r="W105">
        <f>HYPERLINK("https://klasma.github.io/Logging_0980/klagomålsmail/A 2485-2025 FSC-klagomål mail.docx", "A 2485-2025")</f>
        <v/>
      </c>
      <c r="X105">
        <f>HYPERLINK("https://klasma.github.io/Logging_0980/tillsyn/A 2485-2025 tillsynsbegäran.docx", "A 2485-2025")</f>
        <v/>
      </c>
      <c r="Y105">
        <f>HYPERLINK("https://klasma.github.io/Logging_0980/tillsynsmail/A 2485-2025 tillsynsbegäran mail.docx", "A 2485-2025")</f>
        <v/>
      </c>
    </row>
    <row r="106" ht="15" customHeight="1">
      <c r="A106" t="inlineStr">
        <is>
          <t>A 44323-2021</t>
        </is>
      </c>
      <c r="B106" s="1" t="n">
        <v>44434</v>
      </c>
      <c r="C106" s="1" t="n">
        <v>46107</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46107</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46107</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12315-2024</t>
        </is>
      </c>
      <c r="B109" s="1" t="n">
        <v>45378.6434837963</v>
      </c>
      <c r="C109" s="1" t="n">
        <v>46107</v>
      </c>
      <c r="D109" t="inlineStr">
        <is>
          <t>GOTLANDS LÄN</t>
        </is>
      </c>
      <c r="E109" t="inlineStr">
        <is>
          <t>GOTLAND</t>
        </is>
      </c>
      <c r="G109" t="n">
        <v>6</v>
      </c>
      <c r="H109" t="n">
        <v>3</v>
      </c>
      <c r="I109" t="n">
        <v>1</v>
      </c>
      <c r="J109" t="n">
        <v>1</v>
      </c>
      <c r="K109" t="n">
        <v>0</v>
      </c>
      <c r="L109" t="n">
        <v>0</v>
      </c>
      <c r="M109" t="n">
        <v>0</v>
      </c>
      <c r="N109" t="n">
        <v>0</v>
      </c>
      <c r="O109" t="n">
        <v>1</v>
      </c>
      <c r="P109" t="n">
        <v>0</v>
      </c>
      <c r="Q109" t="n">
        <v>3</v>
      </c>
      <c r="R109" s="2" t="inlineStr">
        <is>
          <t>Buskskvätta
Tvåblad
Fläcknycklar</t>
        </is>
      </c>
      <c r="S109">
        <f>HYPERLINK("https://klasma.github.io/Logging_0980/artfynd/A 12315-2024 artfynd.xlsx", "A 12315-2024")</f>
        <v/>
      </c>
      <c r="T109">
        <f>HYPERLINK("https://klasma.github.io/Logging_0980/kartor/A 12315-2024 karta.png", "A 12315-2024")</f>
        <v/>
      </c>
      <c r="V109">
        <f>HYPERLINK("https://klasma.github.io/Logging_0980/klagomål/A 12315-2024 FSC-klagomål.docx", "A 12315-2024")</f>
        <v/>
      </c>
      <c r="W109">
        <f>HYPERLINK("https://klasma.github.io/Logging_0980/klagomålsmail/A 12315-2024 FSC-klagomål mail.docx", "A 12315-2024")</f>
        <v/>
      </c>
      <c r="X109">
        <f>HYPERLINK("https://klasma.github.io/Logging_0980/tillsyn/A 12315-2024 tillsynsbegäran.docx", "A 12315-2024")</f>
        <v/>
      </c>
      <c r="Y109">
        <f>HYPERLINK("https://klasma.github.io/Logging_0980/tillsynsmail/A 12315-2024 tillsynsbegäran mail.docx", "A 12315-2024")</f>
        <v/>
      </c>
      <c r="Z109">
        <f>HYPERLINK("https://klasma.github.io/Logging_0980/fåglar/A 12315-2024 prioriterade fågelarter.docx", "A 12315-2024")</f>
        <v/>
      </c>
    </row>
    <row r="110" ht="15" customHeight="1">
      <c r="A110" t="inlineStr">
        <is>
          <t>A 48126-2022</t>
        </is>
      </c>
      <c r="B110" s="1" t="n">
        <v>44857</v>
      </c>
      <c r="C110" s="1" t="n">
        <v>46107</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55334-2024</t>
        </is>
      </c>
      <c r="B111" s="1" t="n">
        <v>45621</v>
      </c>
      <c r="C111" s="1" t="n">
        <v>46107</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73144-2021</t>
        </is>
      </c>
      <c r="B112" s="1" t="n">
        <v>44550</v>
      </c>
      <c r="C112" s="1" t="n">
        <v>46107</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49709-2025</t>
        </is>
      </c>
      <c r="B113" s="1" t="n">
        <v>45939.68228009259</v>
      </c>
      <c r="C113" s="1" t="n">
        <v>46107</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46107</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30490-2025</t>
        </is>
      </c>
      <c r="B115" s="1" t="n">
        <v>45830</v>
      </c>
      <c r="C115" s="1" t="n">
        <v>46107</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1520-2026</t>
        </is>
      </c>
      <c r="B116" s="1" t="n">
        <v>46034.35891203704</v>
      </c>
      <c r="C116" s="1" t="n">
        <v>46107</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5235-2025</t>
        </is>
      </c>
      <c r="B117" s="1" t="n">
        <v>45692.26797453704</v>
      </c>
      <c r="C117" s="1" t="n">
        <v>46107</v>
      </c>
      <c r="D117" t="inlineStr">
        <is>
          <t>GOTLANDS LÄN</t>
        </is>
      </c>
      <c r="E117" t="inlineStr">
        <is>
          <t>GOTLAND</t>
        </is>
      </c>
      <c r="G117" t="n">
        <v>7.6</v>
      </c>
      <c r="H117" t="n">
        <v>1</v>
      </c>
      <c r="I117" t="n">
        <v>2</v>
      </c>
      <c r="J117" t="n">
        <v>1</v>
      </c>
      <c r="K117" t="n">
        <v>0</v>
      </c>
      <c r="L117" t="n">
        <v>0</v>
      </c>
      <c r="M117" t="n">
        <v>0</v>
      </c>
      <c r="N117" t="n">
        <v>0</v>
      </c>
      <c r="O117" t="n">
        <v>1</v>
      </c>
      <c r="P117" t="n">
        <v>0</v>
      </c>
      <c r="Q117" t="n">
        <v>3</v>
      </c>
      <c r="R117" s="2" t="inlineStr">
        <is>
          <t>Svinrot
Blåmossa
Tvåblad</t>
        </is>
      </c>
      <c r="S117">
        <f>HYPERLINK("https://klasma.github.io/Logging_0980/artfynd/A 5235-2025 artfynd.xlsx", "A 5235-2025")</f>
        <v/>
      </c>
      <c r="T117">
        <f>HYPERLINK("https://klasma.github.io/Logging_0980/kartor/A 5235-2025 karta.png", "A 5235-2025")</f>
        <v/>
      </c>
      <c r="V117">
        <f>HYPERLINK("https://klasma.github.io/Logging_0980/klagomål/A 5235-2025 FSC-klagomål.docx", "A 5235-2025")</f>
        <v/>
      </c>
      <c r="W117">
        <f>HYPERLINK("https://klasma.github.io/Logging_0980/klagomålsmail/A 5235-2025 FSC-klagomål mail.docx", "A 5235-2025")</f>
        <v/>
      </c>
      <c r="X117">
        <f>HYPERLINK("https://klasma.github.io/Logging_0980/tillsyn/A 5235-2025 tillsynsbegäran.docx", "A 5235-2025")</f>
        <v/>
      </c>
      <c r="Y117">
        <f>HYPERLINK("https://klasma.github.io/Logging_0980/tillsynsmail/A 5235-2025 tillsynsbegäran mail.docx", "A 5235-2025")</f>
        <v/>
      </c>
    </row>
    <row r="118" ht="15" customHeight="1">
      <c r="A118" t="inlineStr">
        <is>
          <t>A 53552-2021</t>
        </is>
      </c>
      <c r="B118" s="1" t="n">
        <v>44468</v>
      </c>
      <c r="C118" s="1" t="n">
        <v>46107</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20831-2024</t>
        </is>
      </c>
      <c r="B119" s="1" t="n">
        <v>45439</v>
      </c>
      <c r="C119" s="1" t="n">
        <v>46107</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17982-2023</t>
        </is>
      </c>
      <c r="B120" s="1" t="n">
        <v>45040</v>
      </c>
      <c r="C120" s="1" t="n">
        <v>46107</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17975-2024</t>
        </is>
      </c>
      <c r="B121" s="1" t="n">
        <v>45419.85546296297</v>
      </c>
      <c r="C121" s="1" t="n">
        <v>46107</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13499-2022</t>
        </is>
      </c>
      <c r="B122" s="1" t="n">
        <v>44647.79203703703</v>
      </c>
      <c r="C122" s="1" t="n">
        <v>46107</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29870-2021</t>
        </is>
      </c>
      <c r="B123" s="1" t="n">
        <v>44362</v>
      </c>
      <c r="C123" s="1" t="n">
        <v>46107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46107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46107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46107</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46107</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12914-2025</t>
        </is>
      </c>
      <c r="B128" s="1" t="n">
        <v>45733</v>
      </c>
      <c r="C128" s="1" t="n">
        <v>46107</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28261-2024</t>
        </is>
      </c>
      <c r="B129" s="1" t="n">
        <v>45477</v>
      </c>
      <c r="C129" s="1" t="n">
        <v>46107</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46107</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26077-2024</t>
        </is>
      </c>
      <c r="B131" s="1" t="n">
        <v>45467</v>
      </c>
      <c r="C131" s="1" t="n">
        <v>46107</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20429-2025</t>
        </is>
      </c>
      <c r="B132" s="1" t="n">
        <v>45775.47728009259</v>
      </c>
      <c r="C132" s="1" t="n">
        <v>46107</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28276-2024</t>
        </is>
      </c>
      <c r="B133" s="1" t="n">
        <v>45477</v>
      </c>
      <c r="C133" s="1" t="n">
        <v>46107</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21879-2025</t>
        </is>
      </c>
      <c r="B134" s="1" t="n">
        <v>45784.40533564815</v>
      </c>
      <c r="C134" s="1" t="n">
        <v>46107</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63162-2025</t>
        </is>
      </c>
      <c r="B135" s="1" t="n">
        <v>46010.37629629629</v>
      </c>
      <c r="C135" s="1" t="n">
        <v>46107</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46107</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20838-2024</t>
        </is>
      </c>
      <c r="B137" s="1" t="n">
        <v>45439</v>
      </c>
      <c r="C137" s="1" t="n">
        <v>46107</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54357-2024</t>
        </is>
      </c>
      <c r="B138" s="1" t="n">
        <v>45617.40662037037</v>
      </c>
      <c r="C138" s="1" t="n">
        <v>46107</v>
      </c>
      <c r="D138" t="inlineStr">
        <is>
          <t>GOTLANDS LÄN</t>
        </is>
      </c>
      <c r="E138" t="inlineStr">
        <is>
          <t>GOTLAND</t>
        </is>
      </c>
      <c r="G138" t="n">
        <v>1.5</v>
      </c>
      <c r="H138" t="n">
        <v>1</v>
      </c>
      <c r="I138" t="n">
        <v>0</v>
      </c>
      <c r="J138" t="n">
        <v>1</v>
      </c>
      <c r="K138" t="n">
        <v>0</v>
      </c>
      <c r="L138" t="n">
        <v>0</v>
      </c>
      <c r="M138" t="n">
        <v>0</v>
      </c>
      <c r="N138" t="n">
        <v>0</v>
      </c>
      <c r="O138" t="n">
        <v>1</v>
      </c>
      <c r="P138" t="n">
        <v>0</v>
      </c>
      <c r="Q138" t="n">
        <v>2</v>
      </c>
      <c r="R138" s="2" t="inlineStr">
        <is>
          <t>Loppstarr
Fläcknycklar</t>
        </is>
      </c>
      <c r="S138">
        <f>HYPERLINK("https://klasma.github.io/Logging_0980/artfynd/A 54357-2024 artfynd.xlsx", "A 54357-2024")</f>
        <v/>
      </c>
      <c r="T138">
        <f>HYPERLINK("https://klasma.github.io/Logging_0980/kartor/A 54357-2024 karta.png", "A 54357-2024")</f>
        <v/>
      </c>
      <c r="V138">
        <f>HYPERLINK("https://klasma.github.io/Logging_0980/klagomål/A 54357-2024 FSC-klagomål.docx", "A 54357-2024")</f>
        <v/>
      </c>
      <c r="W138">
        <f>HYPERLINK("https://klasma.github.io/Logging_0980/klagomålsmail/A 54357-2024 FSC-klagomål mail.docx", "A 54357-2024")</f>
        <v/>
      </c>
      <c r="X138">
        <f>HYPERLINK("https://klasma.github.io/Logging_0980/tillsyn/A 54357-2024 tillsynsbegäran.docx", "A 54357-2024")</f>
        <v/>
      </c>
      <c r="Y138">
        <f>HYPERLINK("https://klasma.github.io/Logging_0980/tillsynsmail/A 54357-2024 tillsynsbegäran mail.docx", "A 54357-2024")</f>
        <v/>
      </c>
    </row>
    <row r="139" ht="15" customHeight="1">
      <c r="A139" t="inlineStr">
        <is>
          <t>A 7070-2022</t>
        </is>
      </c>
      <c r="B139" s="1" t="n">
        <v>44603</v>
      </c>
      <c r="C139" s="1" t="n">
        <v>46107</v>
      </c>
      <c r="D139" t="inlineStr">
        <is>
          <t>GOTLANDS LÄN</t>
        </is>
      </c>
      <c r="E139" t="inlineStr">
        <is>
          <t>GOTLAND</t>
        </is>
      </c>
      <c r="G139" t="n">
        <v>2.6</v>
      </c>
      <c r="H139" t="n">
        <v>0</v>
      </c>
      <c r="I139" t="n">
        <v>2</v>
      </c>
      <c r="J139" t="n">
        <v>0</v>
      </c>
      <c r="K139" t="n">
        <v>0</v>
      </c>
      <c r="L139" t="n">
        <v>0</v>
      </c>
      <c r="M139" t="n">
        <v>0</v>
      </c>
      <c r="N139" t="n">
        <v>0</v>
      </c>
      <c r="O139" t="n">
        <v>0</v>
      </c>
      <c r="P139" t="n">
        <v>0</v>
      </c>
      <c r="Q139" t="n">
        <v>2</v>
      </c>
      <c r="R139" s="2" t="inlineStr">
        <is>
          <t>Blåmossa
Kattfotslav</t>
        </is>
      </c>
      <c r="S139">
        <f>HYPERLINK("https://klasma.github.io/Logging_0980/artfynd/A 7070-2022 artfynd.xlsx", "A 7070-2022")</f>
        <v/>
      </c>
      <c r="T139">
        <f>HYPERLINK("https://klasma.github.io/Logging_0980/kartor/A 7070-2022 karta.png", "A 7070-2022")</f>
        <v/>
      </c>
      <c r="V139">
        <f>HYPERLINK("https://klasma.github.io/Logging_0980/klagomål/A 7070-2022 FSC-klagomål.docx", "A 7070-2022")</f>
        <v/>
      </c>
      <c r="W139">
        <f>HYPERLINK("https://klasma.github.io/Logging_0980/klagomålsmail/A 7070-2022 FSC-klagomål mail.docx", "A 7070-2022")</f>
        <v/>
      </c>
      <c r="X139">
        <f>HYPERLINK("https://klasma.github.io/Logging_0980/tillsyn/A 7070-2022 tillsynsbegäran.docx", "A 7070-2022")</f>
        <v/>
      </c>
      <c r="Y139">
        <f>HYPERLINK("https://klasma.github.io/Logging_0980/tillsynsmail/A 7070-2022 tillsynsbegäran mail.docx", "A 7070-2022")</f>
        <v/>
      </c>
    </row>
    <row r="140" ht="15" customHeight="1">
      <c r="A140" t="inlineStr">
        <is>
          <t>A 43219-2023</t>
        </is>
      </c>
      <c r="B140" s="1" t="n">
        <v>45183</v>
      </c>
      <c r="C140" s="1" t="n">
        <v>46107</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46362-2021</t>
        </is>
      </c>
      <c r="B141" s="1" t="n">
        <v>44442</v>
      </c>
      <c r="C141" s="1" t="n">
        <v>46107</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12379-2024</t>
        </is>
      </c>
      <c r="B142" s="1" t="n">
        <v>45379.28155092592</v>
      </c>
      <c r="C142" s="1" t="n">
        <v>46107</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17723-2021</t>
        </is>
      </c>
      <c r="B143" s="1" t="n">
        <v>44300</v>
      </c>
      <c r="C143" s="1" t="n">
        <v>46107</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12924-2025</t>
        </is>
      </c>
      <c r="B144" s="1" t="n">
        <v>45734</v>
      </c>
      <c r="C144" s="1" t="n">
        <v>46107</v>
      </c>
      <c r="D144" t="inlineStr">
        <is>
          <t>GOTLANDS LÄN</t>
        </is>
      </c>
      <c r="E144" t="inlineStr">
        <is>
          <t>GOTLAND</t>
        </is>
      </c>
      <c r="G144" t="n">
        <v>11.7</v>
      </c>
      <c r="H144" t="n">
        <v>0</v>
      </c>
      <c r="I144" t="n">
        <v>0</v>
      </c>
      <c r="J144" t="n">
        <v>0</v>
      </c>
      <c r="K144" t="n">
        <v>1</v>
      </c>
      <c r="L144" t="n">
        <v>0</v>
      </c>
      <c r="M144" t="n">
        <v>0</v>
      </c>
      <c r="N144" t="n">
        <v>0</v>
      </c>
      <c r="O144" t="n">
        <v>1</v>
      </c>
      <c r="P144" t="n">
        <v>1</v>
      </c>
      <c r="Q144" t="n">
        <v>1</v>
      </c>
      <c r="R144" s="2" t="inlineStr">
        <is>
          <t>Gotlandsmåra</t>
        </is>
      </c>
      <c r="S144">
        <f>HYPERLINK("https://klasma.github.io/Logging_0980/artfynd/A 12924-2025 artfynd.xlsx", "A 12924-2025")</f>
        <v/>
      </c>
      <c r="T144">
        <f>HYPERLINK("https://klasma.github.io/Logging_0980/kartor/A 12924-2025 karta.png", "A 12924-2025")</f>
        <v/>
      </c>
      <c r="V144">
        <f>HYPERLINK("https://klasma.github.io/Logging_0980/klagomål/A 12924-2025 FSC-klagomål.docx", "A 12924-2025")</f>
        <v/>
      </c>
      <c r="W144">
        <f>HYPERLINK("https://klasma.github.io/Logging_0980/klagomålsmail/A 12924-2025 FSC-klagomål mail.docx", "A 12924-2025")</f>
        <v/>
      </c>
      <c r="X144">
        <f>HYPERLINK("https://klasma.github.io/Logging_0980/tillsyn/A 12924-2025 tillsynsbegäran.docx", "A 12924-2025")</f>
        <v/>
      </c>
      <c r="Y144">
        <f>HYPERLINK("https://klasma.github.io/Logging_0980/tillsynsmail/A 12924-2025 tillsynsbegäran mail.docx", "A 12924-2025")</f>
        <v/>
      </c>
    </row>
    <row r="145" ht="15" customHeight="1">
      <c r="A145" t="inlineStr">
        <is>
          <t>A 10218-2025</t>
        </is>
      </c>
      <c r="B145" s="1" t="n">
        <v>45720</v>
      </c>
      <c r="C145" s="1" t="n">
        <v>46107</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61561-2023</t>
        </is>
      </c>
      <c r="B146" s="1" t="n">
        <v>45265</v>
      </c>
      <c r="C146" s="1" t="n">
        <v>46107</v>
      </c>
      <c r="D146" t="inlineStr">
        <is>
          <t>GOTLANDS LÄN</t>
        </is>
      </c>
      <c r="E146" t="inlineStr">
        <is>
          <t>GOTLAND</t>
        </is>
      </c>
      <c r="G146" t="n">
        <v>7.4</v>
      </c>
      <c r="H146" t="n">
        <v>0</v>
      </c>
      <c r="I146" t="n">
        <v>0</v>
      </c>
      <c r="J146" t="n">
        <v>1</v>
      </c>
      <c r="K146" t="n">
        <v>0</v>
      </c>
      <c r="L146" t="n">
        <v>0</v>
      </c>
      <c r="M146" t="n">
        <v>0</v>
      </c>
      <c r="N146" t="n">
        <v>0</v>
      </c>
      <c r="O146" t="n">
        <v>1</v>
      </c>
      <c r="P146" t="n">
        <v>0</v>
      </c>
      <c r="Q146" t="n">
        <v>1</v>
      </c>
      <c r="R146" s="2" t="inlineStr">
        <is>
          <t>Loppstarr</t>
        </is>
      </c>
      <c r="S146">
        <f>HYPERLINK("https://klasma.github.io/Logging_0980/artfynd/A 61561-2023 artfynd.xlsx", "A 61561-2023")</f>
        <v/>
      </c>
      <c r="T146">
        <f>HYPERLINK("https://klasma.github.io/Logging_0980/kartor/A 61561-2023 karta.png", "A 61561-2023")</f>
        <v/>
      </c>
      <c r="V146">
        <f>HYPERLINK("https://klasma.github.io/Logging_0980/klagomål/A 61561-2023 FSC-klagomål.docx", "A 61561-2023")</f>
        <v/>
      </c>
      <c r="W146">
        <f>HYPERLINK("https://klasma.github.io/Logging_0980/klagomålsmail/A 61561-2023 FSC-klagomål mail.docx", "A 61561-2023")</f>
        <v/>
      </c>
      <c r="X146">
        <f>HYPERLINK("https://klasma.github.io/Logging_0980/tillsyn/A 61561-2023 tillsynsbegäran.docx", "A 61561-2023")</f>
        <v/>
      </c>
      <c r="Y146">
        <f>HYPERLINK("https://klasma.github.io/Logging_0980/tillsynsmail/A 61561-2023 tillsynsbegäran mail.docx", "A 61561-2023")</f>
        <v/>
      </c>
    </row>
    <row r="147" ht="15" customHeight="1">
      <c r="A147" t="inlineStr">
        <is>
          <t>A 44304-2021</t>
        </is>
      </c>
      <c r="B147" s="1" t="n">
        <v>44434</v>
      </c>
      <c r="C147" s="1" t="n">
        <v>46107</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39812-2025</t>
        </is>
      </c>
      <c r="B148" s="1" t="n">
        <v>45891</v>
      </c>
      <c r="C148" s="1" t="n">
        <v>46107</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25977-2024</t>
        </is>
      </c>
      <c r="B149" s="1" t="n">
        <v>45467.69356481481</v>
      </c>
      <c r="C149" s="1" t="n">
        <v>46107</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22782-2023</t>
        </is>
      </c>
      <c r="B150" s="1" t="n">
        <v>45072</v>
      </c>
      <c r="C150" s="1" t="n">
        <v>46107</v>
      </c>
      <c r="D150" t="inlineStr">
        <is>
          <t>GOTLANDS LÄN</t>
        </is>
      </c>
      <c r="E150" t="inlineStr">
        <is>
          <t>GOTLAND</t>
        </is>
      </c>
      <c r="F150" t="inlineStr">
        <is>
          <t>Kyrkan</t>
        </is>
      </c>
      <c r="G150" t="n">
        <v>3.1</v>
      </c>
      <c r="H150" t="n">
        <v>1</v>
      </c>
      <c r="I150" t="n">
        <v>0</v>
      </c>
      <c r="J150" t="n">
        <v>0</v>
      </c>
      <c r="K150" t="n">
        <v>0</v>
      </c>
      <c r="L150" t="n">
        <v>0</v>
      </c>
      <c r="M150" t="n">
        <v>0</v>
      </c>
      <c r="N150" t="n">
        <v>0</v>
      </c>
      <c r="O150" t="n">
        <v>0</v>
      </c>
      <c r="P150" t="n">
        <v>0</v>
      </c>
      <c r="Q150" t="n">
        <v>1</v>
      </c>
      <c r="R150" s="2" t="inlineStr">
        <is>
          <t>Ängsnycklar × skogsnycklar</t>
        </is>
      </c>
      <c r="S150">
        <f>HYPERLINK("https://klasma.github.io/Logging_0980/artfynd/A 22782-2023 artfynd.xlsx", "A 22782-2023")</f>
        <v/>
      </c>
      <c r="T150">
        <f>HYPERLINK("https://klasma.github.io/Logging_0980/kartor/A 22782-2023 karta.png", "A 22782-2023")</f>
        <v/>
      </c>
      <c r="V150">
        <f>HYPERLINK("https://klasma.github.io/Logging_0980/klagomål/A 22782-2023 FSC-klagomål.docx", "A 22782-2023")</f>
        <v/>
      </c>
      <c r="W150">
        <f>HYPERLINK("https://klasma.github.io/Logging_0980/klagomålsmail/A 22782-2023 FSC-klagomål mail.docx", "A 22782-2023")</f>
        <v/>
      </c>
      <c r="X150">
        <f>HYPERLINK("https://klasma.github.io/Logging_0980/tillsyn/A 22782-2023 tillsynsbegäran.docx", "A 22782-2023")</f>
        <v/>
      </c>
      <c r="Y150">
        <f>HYPERLINK("https://klasma.github.io/Logging_0980/tillsynsmail/A 22782-2023 tillsynsbegäran mail.docx", "A 22782-2023")</f>
        <v/>
      </c>
    </row>
    <row r="151" ht="15" customHeight="1">
      <c r="A151" t="inlineStr">
        <is>
          <t>A 22883-2024</t>
        </is>
      </c>
      <c r="B151" s="1" t="n">
        <v>45448.66368055555</v>
      </c>
      <c r="C151" s="1" t="n">
        <v>46107</v>
      </c>
      <c r="D151" t="inlineStr">
        <is>
          <t>GOTLANDS LÄN</t>
        </is>
      </c>
      <c r="E151" t="inlineStr">
        <is>
          <t>GOTLAND</t>
        </is>
      </c>
      <c r="G151" t="n">
        <v>0.5</v>
      </c>
      <c r="H151" t="n">
        <v>0</v>
      </c>
      <c r="I151" t="n">
        <v>0</v>
      </c>
      <c r="J151" t="n">
        <v>0</v>
      </c>
      <c r="K151" t="n">
        <v>1</v>
      </c>
      <c r="L151" t="n">
        <v>0</v>
      </c>
      <c r="M151" t="n">
        <v>0</v>
      </c>
      <c r="N151" t="n">
        <v>0</v>
      </c>
      <c r="O151" t="n">
        <v>1</v>
      </c>
      <c r="P151" t="n">
        <v>1</v>
      </c>
      <c r="Q151" t="n">
        <v>1</v>
      </c>
      <c r="R151" s="2" t="inlineStr">
        <is>
          <t>Gotlandsmåra</t>
        </is>
      </c>
      <c r="S151">
        <f>HYPERLINK("https://klasma.github.io/Logging_0980/artfynd/A 22883-2024 artfynd.xlsx", "A 22883-2024")</f>
        <v/>
      </c>
      <c r="T151">
        <f>HYPERLINK("https://klasma.github.io/Logging_0980/kartor/A 22883-2024 karta.png", "A 22883-2024")</f>
        <v/>
      </c>
      <c r="V151">
        <f>HYPERLINK("https://klasma.github.io/Logging_0980/klagomål/A 22883-2024 FSC-klagomål.docx", "A 22883-2024")</f>
        <v/>
      </c>
      <c r="W151">
        <f>HYPERLINK("https://klasma.github.io/Logging_0980/klagomålsmail/A 22883-2024 FSC-klagomål mail.docx", "A 22883-2024")</f>
        <v/>
      </c>
      <c r="X151">
        <f>HYPERLINK("https://klasma.github.io/Logging_0980/tillsyn/A 22883-2024 tillsynsbegäran.docx", "A 22883-2024")</f>
        <v/>
      </c>
      <c r="Y151">
        <f>HYPERLINK("https://klasma.github.io/Logging_0980/tillsynsmail/A 22883-2024 tillsynsbegäran mail.docx", "A 22883-2024")</f>
        <v/>
      </c>
    </row>
    <row r="152" ht="15" customHeight="1">
      <c r="A152" t="inlineStr">
        <is>
          <t>A 35467-2021</t>
        </is>
      </c>
      <c r="B152" s="1" t="n">
        <v>44385</v>
      </c>
      <c r="C152" s="1" t="n">
        <v>46107</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46107</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65927-2021</t>
        </is>
      </c>
      <c r="B154" s="1" t="n">
        <v>44516</v>
      </c>
      <c r="C154" s="1" t="n">
        <v>46107</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24245-2022</t>
        </is>
      </c>
      <c r="B155" s="1" t="n">
        <v>44725</v>
      </c>
      <c r="C155" s="1" t="n">
        <v>46107</v>
      </c>
      <c r="D155" t="inlineStr">
        <is>
          <t>GOTLANDS LÄN</t>
        </is>
      </c>
      <c r="E155" t="inlineStr">
        <is>
          <t>GOTLAND</t>
        </is>
      </c>
      <c r="G155" t="n">
        <v>4.9</v>
      </c>
      <c r="H155" t="n">
        <v>0</v>
      </c>
      <c r="I155" t="n">
        <v>0</v>
      </c>
      <c r="J155" t="n">
        <v>0</v>
      </c>
      <c r="K155" t="n">
        <v>0</v>
      </c>
      <c r="L155" t="n">
        <v>1</v>
      </c>
      <c r="M155" t="n">
        <v>0</v>
      </c>
      <c r="N155" t="n">
        <v>0</v>
      </c>
      <c r="O155" t="n">
        <v>1</v>
      </c>
      <c r="P155" t="n">
        <v>1</v>
      </c>
      <c r="Q155" t="n">
        <v>1</v>
      </c>
      <c r="R155" s="2" t="inlineStr">
        <is>
          <t>Slät taggsvamp</t>
        </is>
      </c>
      <c r="S155">
        <f>HYPERLINK("https://klasma.github.io/Logging_0980/artfynd/A 24245-2022 artfynd.xlsx", "A 24245-2022")</f>
        <v/>
      </c>
      <c r="T155">
        <f>HYPERLINK("https://klasma.github.io/Logging_0980/kartor/A 24245-2022 karta.png", "A 24245-2022")</f>
        <v/>
      </c>
      <c r="V155">
        <f>HYPERLINK("https://klasma.github.io/Logging_0980/klagomål/A 24245-2022 FSC-klagomål.docx", "A 24245-2022")</f>
        <v/>
      </c>
      <c r="W155">
        <f>HYPERLINK("https://klasma.github.io/Logging_0980/klagomålsmail/A 24245-2022 FSC-klagomål mail.docx", "A 24245-2022")</f>
        <v/>
      </c>
      <c r="X155">
        <f>HYPERLINK("https://klasma.github.io/Logging_0980/tillsyn/A 24245-2022 tillsynsbegäran.docx", "A 24245-2022")</f>
        <v/>
      </c>
      <c r="Y155">
        <f>HYPERLINK("https://klasma.github.io/Logging_0980/tillsynsmail/A 24245-2022 tillsynsbegäran mail.docx", "A 24245-2022")</f>
        <v/>
      </c>
    </row>
    <row r="156" ht="15" customHeight="1">
      <c r="A156" t="inlineStr">
        <is>
          <t>A 61796-2022</t>
        </is>
      </c>
      <c r="B156" s="1" t="n">
        <v>44917</v>
      </c>
      <c r="C156" s="1" t="n">
        <v>46107</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49726-2025</t>
        </is>
      </c>
      <c r="B157" s="1" t="n">
        <v>45939.84466435185</v>
      </c>
      <c r="C157" s="1" t="n">
        <v>46107</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49847-2023</t>
        </is>
      </c>
      <c r="B158" s="1" t="n">
        <v>45212</v>
      </c>
      <c r="C158" s="1" t="n">
        <v>46107</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46527-2023</t>
        </is>
      </c>
      <c r="B159" s="1" t="n">
        <v>45197</v>
      </c>
      <c r="C159" s="1" t="n">
        <v>46107</v>
      </c>
      <c r="D159" t="inlineStr">
        <is>
          <t>GOTLANDS LÄN</t>
        </is>
      </c>
      <c r="E159" t="inlineStr">
        <is>
          <t>GOTLAND</t>
        </is>
      </c>
      <c r="G159" t="n">
        <v>0.9</v>
      </c>
      <c r="H159" t="n">
        <v>0</v>
      </c>
      <c r="I159" t="n">
        <v>0</v>
      </c>
      <c r="J159" t="n">
        <v>1</v>
      </c>
      <c r="K159" t="n">
        <v>0</v>
      </c>
      <c r="L159" t="n">
        <v>0</v>
      </c>
      <c r="M159" t="n">
        <v>0</v>
      </c>
      <c r="N159" t="n">
        <v>0</v>
      </c>
      <c r="O159" t="n">
        <v>1</v>
      </c>
      <c r="P159" t="n">
        <v>0</v>
      </c>
      <c r="Q159" t="n">
        <v>1</v>
      </c>
      <c r="R159" s="2" t="inlineStr">
        <is>
          <t>Guldgräshoppa</t>
        </is>
      </c>
      <c r="S159">
        <f>HYPERLINK("https://klasma.github.io/Logging_0980/artfynd/A 46527-2023 artfynd.xlsx", "A 46527-2023")</f>
        <v/>
      </c>
      <c r="T159">
        <f>HYPERLINK("https://klasma.github.io/Logging_0980/kartor/A 46527-2023 karta.png", "A 46527-2023")</f>
        <v/>
      </c>
      <c r="V159">
        <f>HYPERLINK("https://klasma.github.io/Logging_0980/klagomål/A 46527-2023 FSC-klagomål.docx", "A 46527-2023")</f>
        <v/>
      </c>
      <c r="W159">
        <f>HYPERLINK("https://klasma.github.io/Logging_0980/klagomålsmail/A 46527-2023 FSC-klagomål mail.docx", "A 46527-2023")</f>
        <v/>
      </c>
      <c r="X159">
        <f>HYPERLINK("https://klasma.github.io/Logging_0980/tillsyn/A 46527-2023 tillsynsbegäran.docx", "A 46527-2023")</f>
        <v/>
      </c>
      <c r="Y159">
        <f>HYPERLINK("https://klasma.github.io/Logging_0980/tillsynsmail/A 46527-2023 tillsynsbegäran mail.docx", "A 46527-2023")</f>
        <v/>
      </c>
    </row>
    <row r="160" ht="15" customHeight="1">
      <c r="A160" t="inlineStr">
        <is>
          <t>A 12324-2025</t>
        </is>
      </c>
      <c r="B160" s="1" t="n">
        <v>45730</v>
      </c>
      <c r="C160" s="1" t="n">
        <v>46107</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37591-2023</t>
        </is>
      </c>
      <c r="B161" s="1" t="n">
        <v>45159</v>
      </c>
      <c r="C161" s="1" t="n">
        <v>46107</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15637-2024</t>
        </is>
      </c>
      <c r="B162" s="1" t="n">
        <v>45403.6684837963</v>
      </c>
      <c r="C162" s="1" t="n">
        <v>46107</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21466-2025</t>
        </is>
      </c>
      <c r="B163" s="1" t="n">
        <v>45782</v>
      </c>
      <c r="C163" s="1" t="n">
        <v>46107</v>
      </c>
      <c r="D163" t="inlineStr">
        <is>
          <t>GOTLANDS LÄN</t>
        </is>
      </c>
      <c r="E163" t="inlineStr">
        <is>
          <t>GOTLAND</t>
        </is>
      </c>
      <c r="F163" t="inlineStr">
        <is>
          <t>Övriga statliga verk och myndigheter</t>
        </is>
      </c>
      <c r="G163" t="n">
        <v>1.7</v>
      </c>
      <c r="H163" t="n">
        <v>1</v>
      </c>
      <c r="I163" t="n">
        <v>0</v>
      </c>
      <c r="J163" t="n">
        <v>0</v>
      </c>
      <c r="K163" t="n">
        <v>0</v>
      </c>
      <c r="L163" t="n">
        <v>0</v>
      </c>
      <c r="M163" t="n">
        <v>0</v>
      </c>
      <c r="N163" t="n">
        <v>0</v>
      </c>
      <c r="O163" t="n">
        <v>0</v>
      </c>
      <c r="P163" t="n">
        <v>0</v>
      </c>
      <c r="Q163" t="n">
        <v>1</v>
      </c>
      <c r="R163" s="2" t="inlineStr">
        <is>
          <t>Blåsippa</t>
        </is>
      </c>
      <c r="S163">
        <f>HYPERLINK("https://klasma.github.io/Logging_0980/artfynd/A 21466-2025 artfynd.xlsx", "A 21466-2025")</f>
        <v/>
      </c>
      <c r="T163">
        <f>HYPERLINK("https://klasma.github.io/Logging_0980/kartor/A 21466-2025 karta.png", "A 21466-2025")</f>
        <v/>
      </c>
      <c r="V163">
        <f>HYPERLINK("https://klasma.github.io/Logging_0980/klagomål/A 21466-2025 FSC-klagomål.docx", "A 21466-2025")</f>
        <v/>
      </c>
      <c r="W163">
        <f>HYPERLINK("https://klasma.github.io/Logging_0980/klagomålsmail/A 21466-2025 FSC-klagomål mail.docx", "A 21466-2025")</f>
        <v/>
      </c>
      <c r="X163">
        <f>HYPERLINK("https://klasma.github.io/Logging_0980/tillsyn/A 21466-2025 tillsynsbegäran.docx", "A 21466-2025")</f>
        <v/>
      </c>
      <c r="Y163">
        <f>HYPERLINK("https://klasma.github.io/Logging_0980/tillsynsmail/A 21466-2025 tillsynsbegäran mail.docx", "A 21466-2025")</f>
        <v/>
      </c>
    </row>
    <row r="164" ht="15" customHeight="1">
      <c r="A164" t="inlineStr">
        <is>
          <t>A 10440-2024</t>
        </is>
      </c>
      <c r="B164" s="1" t="n">
        <v>45366.32818287037</v>
      </c>
      <c r="C164" s="1" t="n">
        <v>46107</v>
      </c>
      <c r="D164" t="inlineStr">
        <is>
          <t>GOTLANDS LÄN</t>
        </is>
      </c>
      <c r="E164" t="inlineStr">
        <is>
          <t>GOTLAND</t>
        </is>
      </c>
      <c r="G164" t="n">
        <v>2.5</v>
      </c>
      <c r="H164" t="n">
        <v>1</v>
      </c>
      <c r="I164" t="n">
        <v>0</v>
      </c>
      <c r="J164" t="n">
        <v>1</v>
      </c>
      <c r="K164" t="n">
        <v>0</v>
      </c>
      <c r="L164" t="n">
        <v>0</v>
      </c>
      <c r="M164" t="n">
        <v>0</v>
      </c>
      <c r="N164" t="n">
        <v>0</v>
      </c>
      <c r="O164" t="n">
        <v>1</v>
      </c>
      <c r="P164" t="n">
        <v>0</v>
      </c>
      <c r="Q164" t="n">
        <v>1</v>
      </c>
      <c r="R164" s="2" t="inlineStr">
        <is>
          <t>Mindre hackspett</t>
        </is>
      </c>
      <c r="S164">
        <f>HYPERLINK("https://klasma.github.io/Logging_0980/artfynd/A 10440-2024 artfynd.xlsx", "A 10440-2024")</f>
        <v/>
      </c>
      <c r="T164">
        <f>HYPERLINK("https://klasma.github.io/Logging_0980/kartor/A 10440-2024 karta.png", "A 10440-2024")</f>
        <v/>
      </c>
      <c r="V164">
        <f>HYPERLINK("https://klasma.github.io/Logging_0980/klagomål/A 10440-2024 FSC-klagomål.docx", "A 10440-2024")</f>
        <v/>
      </c>
      <c r="W164">
        <f>HYPERLINK("https://klasma.github.io/Logging_0980/klagomålsmail/A 10440-2024 FSC-klagomål mail.docx", "A 10440-2024")</f>
        <v/>
      </c>
      <c r="X164">
        <f>HYPERLINK("https://klasma.github.io/Logging_0980/tillsyn/A 10440-2024 tillsynsbegäran.docx", "A 10440-2024")</f>
        <v/>
      </c>
      <c r="Y164">
        <f>HYPERLINK("https://klasma.github.io/Logging_0980/tillsynsmail/A 10440-2024 tillsynsbegäran mail.docx", "A 10440-2024")</f>
        <v/>
      </c>
      <c r="Z164">
        <f>HYPERLINK("https://klasma.github.io/Logging_0980/fåglar/A 10440-2024 prioriterade fågelarter.docx", "A 10440-2024")</f>
        <v/>
      </c>
    </row>
    <row r="165" ht="15" customHeight="1">
      <c r="A165" t="inlineStr">
        <is>
          <t>A 2476-2025</t>
        </is>
      </c>
      <c r="B165" s="1" t="n">
        <v>45673</v>
      </c>
      <c r="C165" s="1" t="n">
        <v>46107</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10995-2023</t>
        </is>
      </c>
      <c r="B166" s="1" t="n">
        <v>44986</v>
      </c>
      <c r="C166" s="1" t="n">
        <v>46107</v>
      </c>
      <c r="D166" t="inlineStr">
        <is>
          <t>GOTLANDS LÄN</t>
        </is>
      </c>
      <c r="E166" t="inlineStr">
        <is>
          <t>GOTLAND</t>
        </is>
      </c>
      <c r="G166" t="n">
        <v>2.8</v>
      </c>
      <c r="H166" t="n">
        <v>0</v>
      </c>
      <c r="I166" t="n">
        <v>0</v>
      </c>
      <c r="J166" t="n">
        <v>0</v>
      </c>
      <c r="K166" t="n">
        <v>1</v>
      </c>
      <c r="L166" t="n">
        <v>0</v>
      </c>
      <c r="M166" t="n">
        <v>0</v>
      </c>
      <c r="N166" t="n">
        <v>0</v>
      </c>
      <c r="O166" t="n">
        <v>1</v>
      </c>
      <c r="P166" t="n">
        <v>1</v>
      </c>
      <c r="Q166" t="n">
        <v>1</v>
      </c>
      <c r="R166" s="2" t="inlineStr">
        <is>
          <t>Violettfläckig spindling</t>
        </is>
      </c>
      <c r="S166">
        <f>HYPERLINK("https://klasma.github.io/Logging_0980/artfynd/A 10995-2023 artfynd.xlsx", "A 10995-2023")</f>
        <v/>
      </c>
      <c r="T166">
        <f>HYPERLINK("https://klasma.github.io/Logging_0980/kartor/A 10995-2023 karta.png", "A 10995-2023")</f>
        <v/>
      </c>
      <c r="V166">
        <f>HYPERLINK("https://klasma.github.io/Logging_0980/klagomål/A 10995-2023 FSC-klagomål.docx", "A 10995-2023")</f>
        <v/>
      </c>
      <c r="W166">
        <f>HYPERLINK("https://klasma.github.io/Logging_0980/klagomålsmail/A 10995-2023 FSC-klagomål mail.docx", "A 10995-2023")</f>
        <v/>
      </c>
      <c r="X166">
        <f>HYPERLINK("https://klasma.github.io/Logging_0980/tillsyn/A 10995-2023 tillsynsbegäran.docx", "A 10995-2023")</f>
        <v/>
      </c>
      <c r="Y166">
        <f>HYPERLINK("https://klasma.github.io/Logging_0980/tillsynsmail/A 10995-2023 tillsynsbegäran mail.docx", "A 10995-2023")</f>
        <v/>
      </c>
    </row>
    <row r="167" ht="15" customHeight="1">
      <c r="A167" t="inlineStr">
        <is>
          <t>A 26461-2025</t>
        </is>
      </c>
      <c r="B167" s="1" t="n">
        <v>45807.43337962963</v>
      </c>
      <c r="C167" s="1" t="n">
        <v>46107</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63149-2025</t>
        </is>
      </c>
      <c r="B168" s="1" t="n">
        <v>46010</v>
      </c>
      <c r="C168" s="1" t="n">
        <v>46107</v>
      </c>
      <c r="D168" t="inlineStr">
        <is>
          <t>GOTLANDS LÄN</t>
        </is>
      </c>
      <c r="E168" t="inlineStr">
        <is>
          <t>GOTLAND</t>
        </is>
      </c>
      <c r="G168" t="n">
        <v>4.3</v>
      </c>
      <c r="H168" t="n">
        <v>0</v>
      </c>
      <c r="I168" t="n">
        <v>1</v>
      </c>
      <c r="J168" t="n">
        <v>0</v>
      </c>
      <c r="K168" t="n">
        <v>0</v>
      </c>
      <c r="L168" t="n">
        <v>0</v>
      </c>
      <c r="M168" t="n">
        <v>0</v>
      </c>
      <c r="N168" t="n">
        <v>0</v>
      </c>
      <c r="O168" t="n">
        <v>0</v>
      </c>
      <c r="P168" t="n">
        <v>0</v>
      </c>
      <c r="Q168" t="n">
        <v>1</v>
      </c>
      <c r="R168" s="2" t="inlineStr">
        <is>
          <t>Anisspindling</t>
        </is>
      </c>
      <c r="S168">
        <f>HYPERLINK("https://klasma.github.io/Logging_0980/artfynd/A 63149-2025 artfynd.xlsx", "A 63149-2025")</f>
        <v/>
      </c>
      <c r="T168">
        <f>HYPERLINK("https://klasma.github.io/Logging_0980/kartor/A 63149-2025 karta.png", "A 63149-2025")</f>
        <v/>
      </c>
      <c r="V168">
        <f>HYPERLINK("https://klasma.github.io/Logging_0980/klagomål/A 63149-2025 FSC-klagomål.docx", "A 63149-2025")</f>
        <v/>
      </c>
      <c r="W168">
        <f>HYPERLINK("https://klasma.github.io/Logging_0980/klagomålsmail/A 63149-2025 FSC-klagomål mail.docx", "A 63149-2025")</f>
        <v/>
      </c>
      <c r="X168">
        <f>HYPERLINK("https://klasma.github.io/Logging_0980/tillsyn/A 63149-2025 tillsynsbegäran.docx", "A 63149-2025")</f>
        <v/>
      </c>
      <c r="Y168">
        <f>HYPERLINK("https://klasma.github.io/Logging_0980/tillsynsmail/A 63149-2025 tillsynsbegäran mail.docx", "A 63149-2025")</f>
        <v/>
      </c>
    </row>
    <row r="169" ht="15" customHeight="1">
      <c r="A169" t="inlineStr">
        <is>
          <t>A 62552-2022</t>
        </is>
      </c>
      <c r="B169" s="1" t="n">
        <v>44924</v>
      </c>
      <c r="C169" s="1" t="n">
        <v>46107</v>
      </c>
      <c r="D169" t="inlineStr">
        <is>
          <t>GOTLANDS LÄN</t>
        </is>
      </c>
      <c r="E169" t="inlineStr">
        <is>
          <t>GOTLAND</t>
        </is>
      </c>
      <c r="G169" t="n">
        <v>1.6</v>
      </c>
      <c r="H169" t="n">
        <v>0</v>
      </c>
      <c r="I169" t="n">
        <v>0</v>
      </c>
      <c r="J169" t="n">
        <v>1</v>
      </c>
      <c r="K169" t="n">
        <v>0</v>
      </c>
      <c r="L169" t="n">
        <v>0</v>
      </c>
      <c r="M169" t="n">
        <v>0</v>
      </c>
      <c r="N169" t="n">
        <v>0</v>
      </c>
      <c r="O169" t="n">
        <v>1</v>
      </c>
      <c r="P169" t="n">
        <v>0</v>
      </c>
      <c r="Q169" t="n">
        <v>1</v>
      </c>
      <c r="R169" s="2" t="inlineStr">
        <is>
          <t>Äggspindling</t>
        </is>
      </c>
      <c r="S169">
        <f>HYPERLINK("https://klasma.github.io/Logging_0980/artfynd/A 62552-2022 artfynd.xlsx", "A 62552-2022")</f>
        <v/>
      </c>
      <c r="T169">
        <f>HYPERLINK("https://klasma.github.io/Logging_0980/kartor/A 62552-2022 karta.png", "A 62552-2022")</f>
        <v/>
      </c>
      <c r="V169">
        <f>HYPERLINK("https://klasma.github.io/Logging_0980/klagomål/A 62552-2022 FSC-klagomål.docx", "A 62552-2022")</f>
        <v/>
      </c>
      <c r="W169">
        <f>HYPERLINK("https://klasma.github.io/Logging_0980/klagomålsmail/A 62552-2022 FSC-klagomål mail.docx", "A 62552-2022")</f>
        <v/>
      </c>
      <c r="X169">
        <f>HYPERLINK("https://klasma.github.io/Logging_0980/tillsyn/A 62552-2022 tillsynsbegäran.docx", "A 62552-2022")</f>
        <v/>
      </c>
      <c r="Y169">
        <f>HYPERLINK("https://klasma.github.io/Logging_0980/tillsynsmail/A 62552-2022 tillsynsbegäran mail.docx", "A 62552-2022")</f>
        <v/>
      </c>
    </row>
    <row r="170" ht="15" customHeight="1">
      <c r="A170" t="inlineStr">
        <is>
          <t>A 44088-2022</t>
        </is>
      </c>
      <c r="B170" s="1" t="n">
        <v>44839</v>
      </c>
      <c r="C170" s="1" t="n">
        <v>46107</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34141-2024</t>
        </is>
      </c>
      <c r="B171" s="1" t="n">
        <v>45524.36229166666</v>
      </c>
      <c r="C171" s="1" t="n">
        <v>46107</v>
      </c>
      <c r="D171" t="inlineStr">
        <is>
          <t>GOTLANDS LÄN</t>
        </is>
      </c>
      <c r="E171" t="inlineStr">
        <is>
          <t>GOTLAND</t>
        </is>
      </c>
      <c r="G171" t="n">
        <v>0.9</v>
      </c>
      <c r="H171" t="n">
        <v>0</v>
      </c>
      <c r="I171" t="n">
        <v>1</v>
      </c>
      <c r="J171" t="n">
        <v>0</v>
      </c>
      <c r="K171" t="n">
        <v>0</v>
      </c>
      <c r="L171" t="n">
        <v>0</v>
      </c>
      <c r="M171" t="n">
        <v>0</v>
      </c>
      <c r="N171" t="n">
        <v>0</v>
      </c>
      <c r="O171" t="n">
        <v>0</v>
      </c>
      <c r="P171" t="n">
        <v>0</v>
      </c>
      <c r="Q171" t="n">
        <v>1</v>
      </c>
      <c r="R171" s="2" t="inlineStr">
        <is>
          <t>Strävlosta</t>
        </is>
      </c>
      <c r="S171">
        <f>HYPERLINK("https://klasma.github.io/Logging_0980/artfynd/A 34141-2024 artfynd.xlsx", "A 34141-2024")</f>
        <v/>
      </c>
      <c r="T171">
        <f>HYPERLINK("https://klasma.github.io/Logging_0980/kartor/A 34141-2024 karta.png", "A 34141-2024")</f>
        <v/>
      </c>
      <c r="V171">
        <f>HYPERLINK("https://klasma.github.io/Logging_0980/klagomål/A 34141-2024 FSC-klagomål.docx", "A 34141-2024")</f>
        <v/>
      </c>
      <c r="W171">
        <f>HYPERLINK("https://klasma.github.io/Logging_0980/klagomålsmail/A 34141-2024 FSC-klagomål mail.docx", "A 34141-2024")</f>
        <v/>
      </c>
      <c r="X171">
        <f>HYPERLINK("https://klasma.github.io/Logging_0980/tillsyn/A 34141-2024 tillsynsbegäran.docx", "A 34141-2024")</f>
        <v/>
      </c>
      <c r="Y171">
        <f>HYPERLINK("https://klasma.github.io/Logging_0980/tillsynsmail/A 34141-2024 tillsynsbegäran mail.docx", "A 34141-2024")</f>
        <v/>
      </c>
    </row>
    <row r="172" ht="15" customHeight="1">
      <c r="A172" t="inlineStr">
        <is>
          <t>A 9862-2024</t>
        </is>
      </c>
      <c r="B172" s="1" t="n">
        <v>45363</v>
      </c>
      <c r="C172" s="1" t="n">
        <v>46107</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11708-2026</t>
        </is>
      </c>
      <c r="B173" s="1" t="n">
        <v>46084</v>
      </c>
      <c r="C173" s="1" t="n">
        <v>46107</v>
      </c>
      <c r="D173" t="inlineStr">
        <is>
          <t>GOTLANDS LÄN</t>
        </is>
      </c>
      <c r="E173" t="inlineStr">
        <is>
          <t>GOTLAND</t>
        </is>
      </c>
      <c r="G173" t="n">
        <v>8.4</v>
      </c>
      <c r="H173" t="n">
        <v>1</v>
      </c>
      <c r="I173" t="n">
        <v>0</v>
      </c>
      <c r="J173" t="n">
        <v>1</v>
      </c>
      <c r="K173" t="n">
        <v>0</v>
      </c>
      <c r="L173" t="n">
        <v>0</v>
      </c>
      <c r="M173" t="n">
        <v>0</v>
      </c>
      <c r="N173" t="n">
        <v>0</v>
      </c>
      <c r="O173" t="n">
        <v>1</v>
      </c>
      <c r="P173" t="n">
        <v>0</v>
      </c>
      <c r="Q173" t="n">
        <v>1</v>
      </c>
      <c r="R173" s="2" t="inlineStr">
        <is>
          <t>Bredarun</t>
        </is>
      </c>
      <c r="S173">
        <f>HYPERLINK("https://klasma.github.io/Logging_0980/artfynd/A 11708-2026 artfynd.xlsx", "A 11708-2026")</f>
        <v/>
      </c>
      <c r="T173">
        <f>HYPERLINK("https://klasma.github.io/Logging_0980/kartor/A 11708-2026 karta.png", "A 11708-2026")</f>
        <v/>
      </c>
      <c r="V173">
        <f>HYPERLINK("https://klasma.github.io/Logging_0980/klagomål/A 11708-2026 FSC-klagomål.docx", "A 11708-2026")</f>
        <v/>
      </c>
      <c r="W173">
        <f>HYPERLINK("https://klasma.github.io/Logging_0980/klagomålsmail/A 11708-2026 FSC-klagomål mail.docx", "A 11708-2026")</f>
        <v/>
      </c>
      <c r="X173">
        <f>HYPERLINK("https://klasma.github.io/Logging_0980/tillsyn/A 11708-2026 tillsynsbegäran.docx", "A 11708-2026")</f>
        <v/>
      </c>
      <c r="Y173">
        <f>HYPERLINK("https://klasma.github.io/Logging_0980/tillsynsmail/A 11708-2026 tillsynsbegäran mail.docx", "A 11708-2026")</f>
        <v/>
      </c>
    </row>
    <row r="174" ht="15" customHeight="1">
      <c r="A174" t="inlineStr">
        <is>
          <t>A 44308-2021</t>
        </is>
      </c>
      <c r="B174" s="1" t="n">
        <v>44434</v>
      </c>
      <c r="C174" s="1" t="n">
        <v>46107</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Svavelriska</t>
        </is>
      </c>
      <c r="S174">
        <f>HYPERLINK("https://klasma.github.io/Logging_0980/artfynd/A 44308-2021 artfynd.xlsx", "A 44308-2021")</f>
        <v/>
      </c>
      <c r="T174">
        <f>HYPERLINK("https://klasma.github.io/Logging_0980/kartor/A 44308-2021 karta.png", "A 44308-2021")</f>
        <v/>
      </c>
      <c r="V174">
        <f>HYPERLINK("https://klasma.github.io/Logging_0980/klagomål/A 44308-2021 FSC-klagomål.docx", "A 44308-2021")</f>
        <v/>
      </c>
      <c r="W174">
        <f>HYPERLINK("https://klasma.github.io/Logging_0980/klagomålsmail/A 44308-2021 FSC-klagomål mail.docx", "A 44308-2021")</f>
        <v/>
      </c>
      <c r="X174">
        <f>HYPERLINK("https://klasma.github.io/Logging_0980/tillsyn/A 44308-2021 tillsynsbegäran.docx", "A 44308-2021")</f>
        <v/>
      </c>
      <c r="Y174">
        <f>HYPERLINK("https://klasma.github.io/Logging_0980/tillsynsmail/A 44308-2021 tillsynsbegäran mail.docx", "A 44308-2021")</f>
        <v/>
      </c>
    </row>
    <row r="175" ht="15" customHeight="1">
      <c r="A175" t="inlineStr">
        <is>
          <t>A 10013-2026</t>
        </is>
      </c>
      <c r="B175" s="1" t="n">
        <v>46073</v>
      </c>
      <c r="C175" s="1" t="n">
        <v>46107</v>
      </c>
      <c r="D175" t="inlineStr">
        <is>
          <t>GOTLANDS LÄN</t>
        </is>
      </c>
      <c r="E175" t="inlineStr">
        <is>
          <t>GOTLAND</t>
        </is>
      </c>
      <c r="G175" t="n">
        <v>10.5</v>
      </c>
      <c r="H175" t="n">
        <v>0</v>
      </c>
      <c r="I175" t="n">
        <v>0</v>
      </c>
      <c r="J175" t="n">
        <v>0</v>
      </c>
      <c r="K175" t="n">
        <v>1</v>
      </c>
      <c r="L175" t="n">
        <v>0</v>
      </c>
      <c r="M175" t="n">
        <v>0</v>
      </c>
      <c r="N175" t="n">
        <v>0</v>
      </c>
      <c r="O175" t="n">
        <v>1</v>
      </c>
      <c r="P175" t="n">
        <v>1</v>
      </c>
      <c r="Q175" t="n">
        <v>1</v>
      </c>
      <c r="R175" s="2" t="inlineStr">
        <is>
          <t>Skogskorn</t>
        </is>
      </c>
      <c r="S175">
        <f>HYPERLINK("https://klasma.github.io/Logging_0980/artfynd/A 10013-2026 artfynd.xlsx", "A 10013-2026")</f>
        <v/>
      </c>
      <c r="T175">
        <f>HYPERLINK("https://klasma.github.io/Logging_0980/kartor/A 10013-2026 karta.png", "A 10013-2026")</f>
        <v/>
      </c>
      <c r="V175">
        <f>HYPERLINK("https://klasma.github.io/Logging_0980/klagomål/A 10013-2026 FSC-klagomål.docx", "A 10013-2026")</f>
        <v/>
      </c>
      <c r="W175">
        <f>HYPERLINK("https://klasma.github.io/Logging_0980/klagomålsmail/A 10013-2026 FSC-klagomål mail.docx", "A 10013-2026")</f>
        <v/>
      </c>
      <c r="X175">
        <f>HYPERLINK("https://klasma.github.io/Logging_0980/tillsyn/A 10013-2026 tillsynsbegäran.docx", "A 10013-2026")</f>
        <v/>
      </c>
      <c r="Y175">
        <f>HYPERLINK("https://klasma.github.io/Logging_0980/tillsynsmail/A 10013-2026 tillsynsbegäran mail.docx", "A 10013-2026")</f>
        <v/>
      </c>
    </row>
    <row r="176" ht="15" customHeight="1">
      <c r="A176" t="inlineStr">
        <is>
          <t>A 447-2023</t>
        </is>
      </c>
      <c r="B176" s="1" t="n">
        <v>44929</v>
      </c>
      <c r="C176" s="1" t="n">
        <v>46107</v>
      </c>
      <c r="D176" t="inlineStr">
        <is>
          <t>GOTLANDS LÄN</t>
        </is>
      </c>
      <c r="E176" t="inlineStr">
        <is>
          <t>GOTLAND</t>
        </is>
      </c>
      <c r="G176" t="n">
        <v>5.1</v>
      </c>
      <c r="H176" t="n">
        <v>0</v>
      </c>
      <c r="I176" t="n">
        <v>0</v>
      </c>
      <c r="J176" t="n">
        <v>1</v>
      </c>
      <c r="K176" t="n">
        <v>0</v>
      </c>
      <c r="L176" t="n">
        <v>0</v>
      </c>
      <c r="M176" t="n">
        <v>0</v>
      </c>
      <c r="N176" t="n">
        <v>0</v>
      </c>
      <c r="O176" t="n">
        <v>1</v>
      </c>
      <c r="P176" t="n">
        <v>0</v>
      </c>
      <c r="Q176" t="n">
        <v>1</v>
      </c>
      <c r="R176" s="2" t="inlineStr">
        <is>
          <t>Äggspindling</t>
        </is>
      </c>
      <c r="S176">
        <f>HYPERLINK("https://klasma.github.io/Logging_0980/artfynd/A 447-2023 artfynd.xlsx", "A 447-2023")</f>
        <v/>
      </c>
      <c r="T176">
        <f>HYPERLINK("https://klasma.github.io/Logging_0980/kartor/A 447-2023 karta.png", "A 447-2023")</f>
        <v/>
      </c>
      <c r="V176">
        <f>HYPERLINK("https://klasma.github.io/Logging_0980/klagomål/A 447-2023 FSC-klagomål.docx", "A 447-2023")</f>
        <v/>
      </c>
      <c r="W176">
        <f>HYPERLINK("https://klasma.github.io/Logging_0980/klagomålsmail/A 447-2023 FSC-klagomål mail.docx", "A 447-2023")</f>
        <v/>
      </c>
      <c r="X176">
        <f>HYPERLINK("https://klasma.github.io/Logging_0980/tillsyn/A 447-2023 tillsynsbegäran.docx", "A 447-2023")</f>
        <v/>
      </c>
      <c r="Y176">
        <f>HYPERLINK("https://klasma.github.io/Logging_0980/tillsynsmail/A 447-2023 tillsynsbegäran mail.docx", "A 447-2023")</f>
        <v/>
      </c>
    </row>
    <row r="177" ht="15" customHeight="1">
      <c r="A177" t="inlineStr">
        <is>
          <t>A 947-2023</t>
        </is>
      </c>
      <c r="B177" s="1" t="n">
        <v>44934</v>
      </c>
      <c r="C177" s="1" t="n">
        <v>46107</v>
      </c>
      <c r="D177" t="inlineStr">
        <is>
          <t>GOTLANDS LÄN</t>
        </is>
      </c>
      <c r="E177" t="inlineStr">
        <is>
          <t>GOTLAND</t>
        </is>
      </c>
      <c r="G177" t="n">
        <v>0.7</v>
      </c>
      <c r="H177" t="n">
        <v>1</v>
      </c>
      <c r="I177" t="n">
        <v>0</v>
      </c>
      <c r="J177" t="n">
        <v>0</v>
      </c>
      <c r="K177" t="n">
        <v>1</v>
      </c>
      <c r="L177" t="n">
        <v>0</v>
      </c>
      <c r="M177" t="n">
        <v>0</v>
      </c>
      <c r="N177" t="n">
        <v>0</v>
      </c>
      <c r="O177" t="n">
        <v>1</v>
      </c>
      <c r="P177" t="n">
        <v>1</v>
      </c>
      <c r="Q177" t="n">
        <v>1</v>
      </c>
      <c r="R177" s="2" t="inlineStr">
        <is>
          <t>Garderönn</t>
        </is>
      </c>
      <c r="S177">
        <f>HYPERLINK("https://klasma.github.io/Logging_0980/artfynd/A 947-2023 artfynd.xlsx", "A 947-2023")</f>
        <v/>
      </c>
      <c r="T177">
        <f>HYPERLINK("https://klasma.github.io/Logging_0980/kartor/A 947-2023 karta.png", "A 947-2023")</f>
        <v/>
      </c>
      <c r="V177">
        <f>HYPERLINK("https://klasma.github.io/Logging_0980/klagomål/A 947-2023 FSC-klagomål.docx", "A 947-2023")</f>
        <v/>
      </c>
      <c r="W177">
        <f>HYPERLINK("https://klasma.github.io/Logging_0980/klagomålsmail/A 947-2023 FSC-klagomål mail.docx", "A 947-2023")</f>
        <v/>
      </c>
      <c r="X177">
        <f>HYPERLINK("https://klasma.github.io/Logging_0980/tillsyn/A 947-2023 tillsynsbegäran.docx", "A 947-2023")</f>
        <v/>
      </c>
      <c r="Y177">
        <f>HYPERLINK("https://klasma.github.io/Logging_0980/tillsynsmail/A 947-2023 tillsynsbegäran mail.docx", "A 947-2023")</f>
        <v/>
      </c>
    </row>
    <row r="178" ht="15" customHeight="1">
      <c r="A178" t="inlineStr">
        <is>
          <t>A 49304-2024</t>
        </is>
      </c>
      <c r="B178" s="1" t="n">
        <v>45595.54996527778</v>
      </c>
      <c r="C178" s="1" t="n">
        <v>46107</v>
      </c>
      <c r="D178" t="inlineStr">
        <is>
          <t>GOTLANDS LÄN</t>
        </is>
      </c>
      <c r="E178" t="inlineStr">
        <is>
          <t>GOTLAND</t>
        </is>
      </c>
      <c r="G178" t="n">
        <v>10.8</v>
      </c>
      <c r="H178" t="n">
        <v>0</v>
      </c>
      <c r="I178" t="n">
        <v>0</v>
      </c>
      <c r="J178" t="n">
        <v>1</v>
      </c>
      <c r="K178" t="n">
        <v>0</v>
      </c>
      <c r="L178" t="n">
        <v>0</v>
      </c>
      <c r="M178" t="n">
        <v>0</v>
      </c>
      <c r="N178" t="n">
        <v>0</v>
      </c>
      <c r="O178" t="n">
        <v>1</v>
      </c>
      <c r="P178" t="n">
        <v>0</v>
      </c>
      <c r="Q178" t="n">
        <v>1</v>
      </c>
      <c r="R178" s="2" t="inlineStr">
        <is>
          <t>Åkerranunkel</t>
        </is>
      </c>
      <c r="S178">
        <f>HYPERLINK("https://klasma.github.io/Logging_0980/artfynd/A 49304-2024 artfynd.xlsx", "A 49304-2024")</f>
        <v/>
      </c>
      <c r="T178">
        <f>HYPERLINK("https://klasma.github.io/Logging_0980/kartor/A 49304-2024 karta.png", "A 49304-2024")</f>
        <v/>
      </c>
      <c r="V178">
        <f>HYPERLINK("https://klasma.github.io/Logging_0980/klagomål/A 49304-2024 FSC-klagomål.docx", "A 49304-2024")</f>
        <v/>
      </c>
      <c r="W178">
        <f>HYPERLINK("https://klasma.github.io/Logging_0980/klagomålsmail/A 49304-2024 FSC-klagomål mail.docx", "A 49304-2024")</f>
        <v/>
      </c>
      <c r="X178">
        <f>HYPERLINK("https://klasma.github.io/Logging_0980/tillsyn/A 49304-2024 tillsynsbegäran.docx", "A 49304-2024")</f>
        <v/>
      </c>
      <c r="Y178">
        <f>HYPERLINK("https://klasma.github.io/Logging_0980/tillsynsmail/A 49304-2024 tillsynsbegäran mail.docx", "A 49304-2024")</f>
        <v/>
      </c>
    </row>
    <row r="179" ht="15" customHeight="1">
      <c r="A179" t="inlineStr">
        <is>
          <t>A 63576-2021</t>
        </is>
      </c>
      <c r="B179" s="1" t="n">
        <v>44508</v>
      </c>
      <c r="C179" s="1" t="n">
        <v>46107</v>
      </c>
      <c r="D179" t="inlineStr">
        <is>
          <t>GOTLANDS LÄN</t>
        </is>
      </c>
      <c r="E179" t="inlineStr">
        <is>
          <t>GOTLAND</t>
        </is>
      </c>
      <c r="F179" t="inlineStr">
        <is>
          <t>Kyrkan</t>
        </is>
      </c>
      <c r="G179" t="n">
        <v>4.1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63576-2021 artfynd.xlsx", "A 63576-2021")</f>
        <v/>
      </c>
      <c r="T179">
        <f>HYPERLINK("https://klasma.github.io/Logging_0980/kartor/A 63576-2021 karta.png", "A 63576-2021")</f>
        <v/>
      </c>
      <c r="V179">
        <f>HYPERLINK("https://klasma.github.io/Logging_0980/klagomål/A 63576-2021 FSC-klagomål.docx", "A 63576-2021")</f>
        <v/>
      </c>
      <c r="W179">
        <f>HYPERLINK("https://klasma.github.io/Logging_0980/klagomålsmail/A 63576-2021 FSC-klagomål mail.docx", "A 63576-2021")</f>
        <v/>
      </c>
      <c r="X179">
        <f>HYPERLINK("https://klasma.github.io/Logging_0980/tillsyn/A 63576-2021 tillsynsbegäran.docx", "A 63576-2021")</f>
        <v/>
      </c>
      <c r="Y179">
        <f>HYPERLINK("https://klasma.github.io/Logging_0980/tillsynsmail/A 63576-2021 tillsynsbegäran mail.docx", "A 63576-2021")</f>
        <v/>
      </c>
    </row>
    <row r="180" ht="15" customHeight="1">
      <c r="A180" t="inlineStr">
        <is>
          <t>A 64700-2021</t>
        </is>
      </c>
      <c r="B180" s="1" t="n">
        <v>44511</v>
      </c>
      <c r="C180" s="1" t="n">
        <v>46107</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27589-2023</t>
        </is>
      </c>
      <c r="B181" s="1" t="n">
        <v>45097</v>
      </c>
      <c r="C181" s="1" t="n">
        <v>46107</v>
      </c>
      <c r="D181" t="inlineStr">
        <is>
          <t>GOTLANDS LÄN</t>
        </is>
      </c>
      <c r="E181" t="inlineStr">
        <is>
          <t>GOTLAND</t>
        </is>
      </c>
      <c r="G181" t="n">
        <v>5.4</v>
      </c>
      <c r="H181" t="n">
        <v>0</v>
      </c>
      <c r="I181" t="n">
        <v>0</v>
      </c>
      <c r="J181" t="n">
        <v>0</v>
      </c>
      <c r="K181" t="n">
        <v>0</v>
      </c>
      <c r="L181" t="n">
        <v>0</v>
      </c>
      <c r="M181" t="n">
        <v>1</v>
      </c>
      <c r="N181" t="n">
        <v>0</v>
      </c>
      <c r="O181" t="n">
        <v>1</v>
      </c>
      <c r="P181" t="n">
        <v>1</v>
      </c>
      <c r="Q181" t="n">
        <v>1</v>
      </c>
      <c r="R181" s="2" t="inlineStr">
        <is>
          <t>Skogsalm</t>
        </is>
      </c>
      <c r="S181">
        <f>HYPERLINK("https://klasma.github.io/Logging_0980/artfynd/A 27589-2023 artfynd.xlsx", "A 27589-2023")</f>
        <v/>
      </c>
      <c r="T181">
        <f>HYPERLINK("https://klasma.github.io/Logging_0980/kartor/A 27589-2023 karta.png", "A 27589-2023")</f>
        <v/>
      </c>
      <c r="V181">
        <f>HYPERLINK("https://klasma.github.io/Logging_0980/klagomål/A 27589-2023 FSC-klagomål.docx", "A 27589-2023")</f>
        <v/>
      </c>
      <c r="W181">
        <f>HYPERLINK("https://klasma.github.io/Logging_0980/klagomålsmail/A 27589-2023 FSC-klagomål mail.docx", "A 27589-2023")</f>
        <v/>
      </c>
      <c r="X181">
        <f>HYPERLINK("https://klasma.github.io/Logging_0980/tillsyn/A 27589-2023 tillsynsbegäran.docx", "A 27589-2023")</f>
        <v/>
      </c>
      <c r="Y181">
        <f>HYPERLINK("https://klasma.github.io/Logging_0980/tillsynsmail/A 27589-2023 tillsynsbegäran mail.docx", "A 27589-2023")</f>
        <v/>
      </c>
    </row>
    <row r="182" ht="15" customHeight="1">
      <c r="A182" t="inlineStr">
        <is>
          <t>A 1477-2024</t>
        </is>
      </c>
      <c r="B182" s="1" t="n">
        <v>45305.37987268518</v>
      </c>
      <c r="C182" s="1" t="n">
        <v>46107</v>
      </c>
      <c r="D182" t="inlineStr">
        <is>
          <t>GOTLANDS LÄN</t>
        </is>
      </c>
      <c r="E182" t="inlineStr">
        <is>
          <t>GOTLAND</t>
        </is>
      </c>
      <c r="G182" t="n">
        <v>6.9</v>
      </c>
      <c r="H182" t="n">
        <v>0</v>
      </c>
      <c r="I182" t="n">
        <v>0</v>
      </c>
      <c r="J182" t="n">
        <v>1</v>
      </c>
      <c r="K182" t="n">
        <v>0</v>
      </c>
      <c r="L182" t="n">
        <v>0</v>
      </c>
      <c r="M182" t="n">
        <v>0</v>
      </c>
      <c r="N182" t="n">
        <v>0</v>
      </c>
      <c r="O182" t="n">
        <v>1</v>
      </c>
      <c r="P182" t="n">
        <v>0</v>
      </c>
      <c r="Q182" t="n">
        <v>1</v>
      </c>
      <c r="R182" s="2" t="inlineStr">
        <is>
          <t>Igelkott</t>
        </is>
      </c>
      <c r="S182">
        <f>HYPERLINK("https://klasma.github.io/Logging_0980/artfynd/A 1477-2024 artfynd.xlsx", "A 1477-2024")</f>
        <v/>
      </c>
      <c r="T182">
        <f>HYPERLINK("https://klasma.github.io/Logging_0980/kartor/A 1477-2024 karta.png", "A 1477-2024")</f>
        <v/>
      </c>
      <c r="V182">
        <f>HYPERLINK("https://klasma.github.io/Logging_0980/klagomål/A 1477-2024 FSC-klagomål.docx", "A 1477-2024")</f>
        <v/>
      </c>
      <c r="W182">
        <f>HYPERLINK("https://klasma.github.io/Logging_0980/klagomålsmail/A 1477-2024 FSC-klagomål mail.docx", "A 1477-2024")</f>
        <v/>
      </c>
      <c r="X182">
        <f>HYPERLINK("https://klasma.github.io/Logging_0980/tillsyn/A 1477-2024 tillsynsbegäran.docx", "A 1477-2024")</f>
        <v/>
      </c>
      <c r="Y182">
        <f>HYPERLINK("https://klasma.github.io/Logging_0980/tillsynsmail/A 1477-2024 tillsynsbegäran mail.docx", "A 1477-2024")</f>
        <v/>
      </c>
    </row>
    <row r="183" ht="15" customHeight="1">
      <c r="A183" t="inlineStr">
        <is>
          <t>A 35574-2024</t>
        </is>
      </c>
      <c r="B183" s="1" t="n">
        <v>45531</v>
      </c>
      <c r="C183" s="1" t="n">
        <v>46107</v>
      </c>
      <c r="D183" t="inlineStr">
        <is>
          <t>GOTLANDS LÄN</t>
        </is>
      </c>
      <c r="E183" t="inlineStr">
        <is>
          <t>GOTLAND</t>
        </is>
      </c>
      <c r="G183" t="n">
        <v>5.7</v>
      </c>
      <c r="H183" t="n">
        <v>0</v>
      </c>
      <c r="I183" t="n">
        <v>1</v>
      </c>
      <c r="J183" t="n">
        <v>0</v>
      </c>
      <c r="K183" t="n">
        <v>0</v>
      </c>
      <c r="L183" t="n">
        <v>0</v>
      </c>
      <c r="M183" t="n">
        <v>0</v>
      </c>
      <c r="N183" t="n">
        <v>0</v>
      </c>
      <c r="O183" t="n">
        <v>0</v>
      </c>
      <c r="P183" t="n">
        <v>0</v>
      </c>
      <c r="Q183" t="n">
        <v>1</v>
      </c>
      <c r="R183" s="2" t="inlineStr">
        <is>
          <t>Murgröna</t>
        </is>
      </c>
      <c r="S183">
        <f>HYPERLINK("https://klasma.github.io/Logging_0980/artfynd/A 35574-2024 artfynd.xlsx", "A 35574-2024")</f>
        <v/>
      </c>
      <c r="T183">
        <f>HYPERLINK("https://klasma.github.io/Logging_0980/kartor/A 35574-2024 karta.png", "A 35574-2024")</f>
        <v/>
      </c>
      <c r="V183">
        <f>HYPERLINK("https://klasma.github.io/Logging_0980/klagomål/A 35574-2024 FSC-klagomål.docx", "A 35574-2024")</f>
        <v/>
      </c>
      <c r="W183">
        <f>HYPERLINK("https://klasma.github.io/Logging_0980/klagomålsmail/A 35574-2024 FSC-klagomål mail.docx", "A 35574-2024")</f>
        <v/>
      </c>
      <c r="X183">
        <f>HYPERLINK("https://klasma.github.io/Logging_0980/tillsyn/A 35574-2024 tillsynsbegäran.docx", "A 35574-2024")</f>
        <v/>
      </c>
      <c r="Y183">
        <f>HYPERLINK("https://klasma.github.io/Logging_0980/tillsynsmail/A 35574-2024 tillsynsbegäran mail.docx", "A 35574-2024")</f>
        <v/>
      </c>
    </row>
    <row r="184" ht="15" customHeight="1">
      <c r="A184" t="inlineStr">
        <is>
          <t>A 7637-2025</t>
        </is>
      </c>
      <c r="B184" s="1" t="n">
        <v>45705.77181712963</v>
      </c>
      <c r="C184" s="1" t="n">
        <v>46107</v>
      </c>
      <c r="D184" t="inlineStr">
        <is>
          <t>GOTLANDS LÄN</t>
        </is>
      </c>
      <c r="E184" t="inlineStr">
        <is>
          <t>GOTLAND</t>
        </is>
      </c>
      <c r="G184" t="n">
        <v>3.7</v>
      </c>
      <c r="H184" t="n">
        <v>0</v>
      </c>
      <c r="I184" t="n">
        <v>0</v>
      </c>
      <c r="J184" t="n">
        <v>0</v>
      </c>
      <c r="K184" t="n">
        <v>0</v>
      </c>
      <c r="L184" t="n">
        <v>0</v>
      </c>
      <c r="M184" t="n">
        <v>1</v>
      </c>
      <c r="N184" t="n">
        <v>0</v>
      </c>
      <c r="O184" t="n">
        <v>1</v>
      </c>
      <c r="P184" t="n">
        <v>1</v>
      </c>
      <c r="Q184" t="n">
        <v>1</v>
      </c>
      <c r="R184" s="2" t="inlineStr">
        <is>
          <t>Skogsalm</t>
        </is>
      </c>
      <c r="S184">
        <f>HYPERLINK("https://klasma.github.io/Logging_0980/artfynd/A 7637-2025 artfynd.xlsx", "A 7637-2025")</f>
        <v/>
      </c>
      <c r="T184">
        <f>HYPERLINK("https://klasma.github.io/Logging_0980/kartor/A 7637-2025 karta.png", "A 7637-2025")</f>
        <v/>
      </c>
      <c r="V184">
        <f>HYPERLINK("https://klasma.github.io/Logging_0980/klagomål/A 7637-2025 FSC-klagomål.docx", "A 7637-2025")</f>
        <v/>
      </c>
      <c r="W184">
        <f>HYPERLINK("https://klasma.github.io/Logging_0980/klagomålsmail/A 7637-2025 FSC-klagomål mail.docx", "A 7637-2025")</f>
        <v/>
      </c>
      <c r="X184">
        <f>HYPERLINK("https://klasma.github.io/Logging_0980/tillsyn/A 7637-2025 tillsynsbegäran.docx", "A 7637-2025")</f>
        <v/>
      </c>
      <c r="Y184">
        <f>HYPERLINK("https://klasma.github.io/Logging_0980/tillsynsmail/A 7637-2025 tillsynsbegäran mail.docx", "A 7637-2025")</f>
        <v/>
      </c>
    </row>
    <row r="185" ht="15" customHeight="1">
      <c r="A185" t="inlineStr">
        <is>
          <t>A 6303-2024</t>
        </is>
      </c>
      <c r="B185" s="1" t="n">
        <v>45338.35376157407</v>
      </c>
      <c r="C185" s="1" t="n">
        <v>46107</v>
      </c>
      <c r="D185" t="inlineStr">
        <is>
          <t>GOTLANDS LÄN</t>
        </is>
      </c>
      <c r="E185" t="inlineStr">
        <is>
          <t>GOTLAND</t>
        </is>
      </c>
      <c r="G185" t="n">
        <v>0.6</v>
      </c>
      <c r="H185" t="n">
        <v>0</v>
      </c>
      <c r="I185" t="n">
        <v>1</v>
      </c>
      <c r="J185" t="n">
        <v>0</v>
      </c>
      <c r="K185" t="n">
        <v>0</v>
      </c>
      <c r="L185" t="n">
        <v>0</v>
      </c>
      <c r="M185" t="n">
        <v>0</v>
      </c>
      <c r="N185" t="n">
        <v>0</v>
      </c>
      <c r="O185" t="n">
        <v>0</v>
      </c>
      <c r="P185" t="n">
        <v>0</v>
      </c>
      <c r="Q185" t="n">
        <v>1</v>
      </c>
      <c r="R185" s="2" t="inlineStr">
        <is>
          <t>Strävlosta</t>
        </is>
      </c>
      <c r="S185">
        <f>HYPERLINK("https://klasma.github.io/Logging_0980/artfynd/A 6303-2024 artfynd.xlsx", "A 6303-2024")</f>
        <v/>
      </c>
      <c r="T185">
        <f>HYPERLINK("https://klasma.github.io/Logging_0980/kartor/A 6303-2024 karta.png", "A 6303-2024")</f>
        <v/>
      </c>
      <c r="V185">
        <f>HYPERLINK("https://klasma.github.io/Logging_0980/klagomål/A 6303-2024 FSC-klagomål.docx", "A 6303-2024")</f>
        <v/>
      </c>
      <c r="W185">
        <f>HYPERLINK("https://klasma.github.io/Logging_0980/klagomålsmail/A 6303-2024 FSC-klagomål mail.docx", "A 6303-2024")</f>
        <v/>
      </c>
      <c r="X185">
        <f>HYPERLINK("https://klasma.github.io/Logging_0980/tillsyn/A 6303-2024 tillsynsbegäran.docx", "A 6303-2024")</f>
        <v/>
      </c>
      <c r="Y185">
        <f>HYPERLINK("https://klasma.github.io/Logging_0980/tillsynsmail/A 6303-2024 tillsynsbegäran mail.docx", "A 6303-2024")</f>
        <v/>
      </c>
    </row>
    <row r="186" ht="15" customHeight="1">
      <c r="A186" t="inlineStr">
        <is>
          <t>A 34809-2024</t>
        </is>
      </c>
      <c r="B186" s="1" t="n">
        <v>45526</v>
      </c>
      <c r="C186" s="1" t="n">
        <v>46107</v>
      </c>
      <c r="D186" t="inlineStr">
        <is>
          <t>GOTLANDS LÄN</t>
        </is>
      </c>
      <c r="E186" t="inlineStr">
        <is>
          <t>GOTLAND</t>
        </is>
      </c>
      <c r="G186" t="n">
        <v>9.9</v>
      </c>
      <c r="H186" t="n">
        <v>1</v>
      </c>
      <c r="I186" t="n">
        <v>0</v>
      </c>
      <c r="J186" t="n">
        <v>1</v>
      </c>
      <c r="K186" t="n">
        <v>0</v>
      </c>
      <c r="L186" t="n">
        <v>0</v>
      </c>
      <c r="M186" t="n">
        <v>0</v>
      </c>
      <c r="N186" t="n">
        <v>0</v>
      </c>
      <c r="O186" t="n">
        <v>1</v>
      </c>
      <c r="P186" t="n">
        <v>0</v>
      </c>
      <c r="Q186" t="n">
        <v>1</v>
      </c>
      <c r="R186" s="2" t="inlineStr">
        <is>
          <t>Brun ögontröst</t>
        </is>
      </c>
      <c r="S186">
        <f>HYPERLINK("https://klasma.github.io/Logging_0980/artfynd/A 34809-2024 artfynd.xlsx", "A 34809-2024")</f>
        <v/>
      </c>
      <c r="T186">
        <f>HYPERLINK("https://klasma.github.io/Logging_0980/kartor/A 34809-2024 karta.png", "A 34809-2024")</f>
        <v/>
      </c>
      <c r="V186">
        <f>HYPERLINK("https://klasma.github.io/Logging_0980/klagomål/A 34809-2024 FSC-klagomål.docx", "A 34809-2024")</f>
        <v/>
      </c>
      <c r="W186">
        <f>HYPERLINK("https://klasma.github.io/Logging_0980/klagomålsmail/A 34809-2024 FSC-klagomål mail.docx", "A 34809-2024")</f>
        <v/>
      </c>
      <c r="X186">
        <f>HYPERLINK("https://klasma.github.io/Logging_0980/tillsyn/A 34809-2024 tillsynsbegäran.docx", "A 34809-2024")</f>
        <v/>
      </c>
      <c r="Y186">
        <f>HYPERLINK("https://klasma.github.io/Logging_0980/tillsynsmail/A 34809-2024 tillsynsbegäran mail.docx", "A 34809-2024")</f>
        <v/>
      </c>
    </row>
    <row r="187" ht="15" customHeight="1">
      <c r="A187" t="inlineStr">
        <is>
          <t>A 19901-2021</t>
        </is>
      </c>
      <c r="B187" s="1" t="n">
        <v>44312</v>
      </c>
      <c r="C187" s="1" t="n">
        <v>46107</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46107</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46107</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46107</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46107</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46107</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46107</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46107</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46107</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46107</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46107</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46107</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46107</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46107</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46107</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46107</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46107</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46107</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46107</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46107</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46107</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46107</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46107</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46107</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46107</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46107</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46107</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46107</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53225-2022</t>
        </is>
      </c>
      <c r="B220" s="1" t="n">
        <v>44876</v>
      </c>
      <c r="C220" s="1" t="n">
        <v>46107</v>
      </c>
      <c r="D220" t="inlineStr">
        <is>
          <t>GOTLANDS LÄN</t>
        </is>
      </c>
      <c r="E220" t="inlineStr">
        <is>
          <t>GOTLAND</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46107</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46107</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46107</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46107</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20225-2025</t>
        </is>
      </c>
      <c r="B225" s="1" t="n">
        <v>45772.65802083333</v>
      </c>
      <c r="C225" s="1" t="n">
        <v>46107</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883-2025</t>
        </is>
      </c>
      <c r="B226" s="1" t="n">
        <v>45665</v>
      </c>
      <c r="C226" s="1" t="n">
        <v>46107</v>
      </c>
      <c r="D226" t="inlineStr">
        <is>
          <t>GOTLANDS LÄN</t>
        </is>
      </c>
      <c r="E226" t="inlineStr">
        <is>
          <t>GOTLAND</t>
        </is>
      </c>
      <c r="G226" t="n">
        <v>1.3</v>
      </c>
      <c r="H226" t="n">
        <v>0</v>
      </c>
      <c r="I226" t="n">
        <v>0</v>
      </c>
      <c r="J226" t="n">
        <v>0</v>
      </c>
      <c r="K226" t="n">
        <v>0</v>
      </c>
      <c r="L226" t="n">
        <v>0</v>
      </c>
      <c r="M226" t="n">
        <v>0</v>
      </c>
      <c r="N226" t="n">
        <v>0</v>
      </c>
      <c r="O226" t="n">
        <v>0</v>
      </c>
      <c r="P226" t="n">
        <v>0</v>
      </c>
      <c r="Q226" t="n">
        <v>0</v>
      </c>
      <c r="R226" s="2" t="inlineStr"/>
    </row>
    <row r="227" ht="15" customHeight="1">
      <c r="A227" t="inlineStr">
        <is>
          <t>A 14413-2022</t>
        </is>
      </c>
      <c r="B227" s="1" t="n">
        <v>44652</v>
      </c>
      <c r="C227" s="1" t="n">
        <v>46107</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1066-2024</t>
        </is>
      </c>
      <c r="B228" s="1" t="n">
        <v>45302.285</v>
      </c>
      <c r="C228" s="1" t="n">
        <v>46107</v>
      </c>
      <c r="D228" t="inlineStr">
        <is>
          <t>GOTLANDS LÄN</t>
        </is>
      </c>
      <c r="E228" t="inlineStr">
        <is>
          <t>GOTLAND</t>
        </is>
      </c>
      <c r="G228" t="n">
        <v>1.4</v>
      </c>
      <c r="H228" t="n">
        <v>0</v>
      </c>
      <c r="I228" t="n">
        <v>0</v>
      </c>
      <c r="J228" t="n">
        <v>0</v>
      </c>
      <c r="K228" t="n">
        <v>0</v>
      </c>
      <c r="L228" t="n">
        <v>0</v>
      </c>
      <c r="M228" t="n">
        <v>0</v>
      </c>
      <c r="N228" t="n">
        <v>0</v>
      </c>
      <c r="O228" t="n">
        <v>0</v>
      </c>
      <c r="P228" t="n">
        <v>0</v>
      </c>
      <c r="Q228" t="n">
        <v>0</v>
      </c>
      <c r="R228" s="2" t="inlineStr"/>
    </row>
    <row r="229" ht="15" customHeight="1">
      <c r="A229" t="inlineStr">
        <is>
          <t>A 17144-2025</t>
        </is>
      </c>
      <c r="B229" s="1" t="n">
        <v>45755.9499537037</v>
      </c>
      <c r="C229" s="1" t="n">
        <v>46107</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46107</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46107</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46107</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56009-2024</t>
        </is>
      </c>
      <c r="B233" s="1" t="n">
        <v>45623.80864583333</v>
      </c>
      <c r="C233" s="1" t="n">
        <v>46107</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42338-2023</t>
        </is>
      </c>
      <c r="B234" s="1" t="n">
        <v>45180</v>
      </c>
      <c r="C234" s="1" t="n">
        <v>46107</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17343-2025</t>
        </is>
      </c>
      <c r="B235" s="1" t="n">
        <v>45756.6687037037</v>
      </c>
      <c r="C235" s="1" t="n">
        <v>46107</v>
      </c>
      <c r="D235" t="inlineStr">
        <is>
          <t>GOTLANDS LÄN</t>
        </is>
      </c>
      <c r="E235" t="inlineStr">
        <is>
          <t>GOTLAND</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18938-2025</t>
        </is>
      </c>
      <c r="B236" s="1" t="n">
        <v>45764.49172453704</v>
      </c>
      <c r="C236" s="1" t="n">
        <v>46107</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46107</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30489-2025</t>
        </is>
      </c>
      <c r="B238" s="1" t="n">
        <v>45830</v>
      </c>
      <c r="C238" s="1" t="n">
        <v>46107</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24966-2023</t>
        </is>
      </c>
      <c r="B239" s="1" t="n">
        <v>45085</v>
      </c>
      <c r="C239" s="1" t="n">
        <v>46107</v>
      </c>
      <c r="D239" t="inlineStr">
        <is>
          <t>GOTLANDS LÄN</t>
        </is>
      </c>
      <c r="E239" t="inlineStr">
        <is>
          <t>GOTLAND</t>
        </is>
      </c>
      <c r="G239" t="n">
        <v>7</v>
      </c>
      <c r="H239" t="n">
        <v>0</v>
      </c>
      <c r="I239" t="n">
        <v>0</v>
      </c>
      <c r="J239" t="n">
        <v>0</v>
      </c>
      <c r="K239" t="n">
        <v>0</v>
      </c>
      <c r="L239" t="n">
        <v>0</v>
      </c>
      <c r="M239" t="n">
        <v>0</v>
      </c>
      <c r="N239" t="n">
        <v>0</v>
      </c>
      <c r="O239" t="n">
        <v>0</v>
      </c>
      <c r="P239" t="n">
        <v>0</v>
      </c>
      <c r="Q239" t="n">
        <v>0</v>
      </c>
      <c r="R239" s="2" t="inlineStr"/>
    </row>
    <row r="240" ht="15" customHeight="1">
      <c r="A240" t="inlineStr">
        <is>
          <t>A 20307-2025</t>
        </is>
      </c>
      <c r="B240" s="1" t="n">
        <v>45774.95546296296</v>
      </c>
      <c r="C240" s="1" t="n">
        <v>46107</v>
      </c>
      <c r="D240" t="inlineStr">
        <is>
          <t>GOTLANDS LÄN</t>
        </is>
      </c>
      <c r="E240" t="inlineStr">
        <is>
          <t>GOTLAND</t>
        </is>
      </c>
      <c r="G240" t="n">
        <v>6.8</v>
      </c>
      <c r="H240" t="n">
        <v>0</v>
      </c>
      <c r="I240" t="n">
        <v>0</v>
      </c>
      <c r="J240" t="n">
        <v>0</v>
      </c>
      <c r="K240" t="n">
        <v>0</v>
      </c>
      <c r="L240" t="n">
        <v>0</v>
      </c>
      <c r="M240" t="n">
        <v>0</v>
      </c>
      <c r="N240" t="n">
        <v>0</v>
      </c>
      <c r="O240" t="n">
        <v>0</v>
      </c>
      <c r="P240" t="n">
        <v>0</v>
      </c>
      <c r="Q240" t="n">
        <v>0</v>
      </c>
      <c r="R240" s="2" t="inlineStr"/>
    </row>
    <row r="241" ht="15" customHeight="1">
      <c r="A241" t="inlineStr">
        <is>
          <t>A 46189-2022</t>
        </is>
      </c>
      <c r="B241" s="1" t="n">
        <v>44847</v>
      </c>
      <c r="C241" s="1" t="n">
        <v>46107</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30282-2022</t>
        </is>
      </c>
      <c r="B242" s="1" t="n">
        <v>44760</v>
      </c>
      <c r="C242" s="1" t="n">
        <v>46107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22031-2024</t>
        </is>
      </c>
      <c r="B243" s="1" t="n">
        <v>45443.60075231481</v>
      </c>
      <c r="C243" s="1" t="n">
        <v>46107</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49314-2024</t>
        </is>
      </c>
      <c r="B244" s="1" t="n">
        <v>45595.55893518519</v>
      </c>
      <c r="C244" s="1" t="n">
        <v>46107</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44919-2022</t>
        </is>
      </c>
      <c r="B245" s="1" t="n">
        <v>44841</v>
      </c>
      <c r="C245" s="1" t="n">
        <v>46107</v>
      </c>
      <c r="D245" t="inlineStr">
        <is>
          <t>GOTLANDS LÄN</t>
        </is>
      </c>
      <c r="E245" t="inlineStr">
        <is>
          <t>GOTLAND</t>
        </is>
      </c>
      <c r="G245" t="n">
        <v>2.2</v>
      </c>
      <c r="H245" t="n">
        <v>0</v>
      </c>
      <c r="I245" t="n">
        <v>0</v>
      </c>
      <c r="J245" t="n">
        <v>0</v>
      </c>
      <c r="K245" t="n">
        <v>0</v>
      </c>
      <c r="L245" t="n">
        <v>0</v>
      </c>
      <c r="M245" t="n">
        <v>0</v>
      </c>
      <c r="N245" t="n">
        <v>0</v>
      </c>
      <c r="O245" t="n">
        <v>0</v>
      </c>
      <c r="P245" t="n">
        <v>0</v>
      </c>
      <c r="Q245" t="n">
        <v>0</v>
      </c>
      <c r="R245" s="2" t="inlineStr"/>
    </row>
    <row r="246" ht="15" customHeight="1">
      <c r="A246" t="inlineStr">
        <is>
          <t>A 581-2023</t>
        </is>
      </c>
      <c r="B246" s="1" t="n">
        <v>44930</v>
      </c>
      <c r="C246" s="1" t="n">
        <v>46107</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48503-2023</t>
        </is>
      </c>
      <c r="B247" s="1" t="n">
        <v>45207</v>
      </c>
      <c r="C247" s="1" t="n">
        <v>46107</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61386-2023</t>
        </is>
      </c>
      <c r="B248" s="1" t="n">
        <v>45264</v>
      </c>
      <c r="C248" s="1" t="n">
        <v>46107</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4868-2024</t>
        </is>
      </c>
      <c r="B249" s="1" t="n">
        <v>45329</v>
      </c>
      <c r="C249" s="1" t="n">
        <v>46107</v>
      </c>
      <c r="D249" t="inlineStr">
        <is>
          <t>GOTLANDS LÄN</t>
        </is>
      </c>
      <c r="E249" t="inlineStr">
        <is>
          <t>GOTLAND</t>
        </is>
      </c>
      <c r="G249" t="n">
        <v>7.1</v>
      </c>
      <c r="H249" t="n">
        <v>0</v>
      </c>
      <c r="I249" t="n">
        <v>0</v>
      </c>
      <c r="J249" t="n">
        <v>0</v>
      </c>
      <c r="K249" t="n">
        <v>0</v>
      </c>
      <c r="L249" t="n">
        <v>0</v>
      </c>
      <c r="M249" t="n">
        <v>0</v>
      </c>
      <c r="N249" t="n">
        <v>0</v>
      </c>
      <c r="O249" t="n">
        <v>0</v>
      </c>
      <c r="P249" t="n">
        <v>0</v>
      </c>
      <c r="Q249" t="n">
        <v>0</v>
      </c>
      <c r="R249" s="2" t="inlineStr"/>
    </row>
    <row r="250" ht="15" customHeight="1">
      <c r="A250" t="inlineStr">
        <is>
          <t>A 65901-2021</t>
        </is>
      </c>
      <c r="B250" s="1" t="n">
        <v>44516</v>
      </c>
      <c r="C250" s="1" t="n">
        <v>46107</v>
      </c>
      <c r="D250" t="inlineStr">
        <is>
          <t>GOTLANDS LÄN</t>
        </is>
      </c>
      <c r="E250" t="inlineStr">
        <is>
          <t>GOTLAND</t>
        </is>
      </c>
      <c r="G250" t="n">
        <v>4.9</v>
      </c>
      <c r="H250" t="n">
        <v>0</v>
      </c>
      <c r="I250" t="n">
        <v>0</v>
      </c>
      <c r="J250" t="n">
        <v>0</v>
      </c>
      <c r="K250" t="n">
        <v>0</v>
      </c>
      <c r="L250" t="n">
        <v>0</v>
      </c>
      <c r="M250" t="n">
        <v>0</v>
      </c>
      <c r="N250" t="n">
        <v>0</v>
      </c>
      <c r="O250" t="n">
        <v>0</v>
      </c>
      <c r="P250" t="n">
        <v>0</v>
      </c>
      <c r="Q250" t="n">
        <v>0</v>
      </c>
      <c r="R250" s="2" t="inlineStr"/>
    </row>
    <row r="251" ht="15" customHeight="1">
      <c r="A251" t="inlineStr">
        <is>
          <t>A 873-2024</t>
        </is>
      </c>
      <c r="B251" s="1" t="n">
        <v>45301</v>
      </c>
      <c r="C251" s="1" t="n">
        <v>46107</v>
      </c>
      <c r="D251" t="inlineStr">
        <is>
          <t>GOTLANDS LÄN</t>
        </is>
      </c>
      <c r="E251" t="inlineStr">
        <is>
          <t>GOTLAND</t>
        </is>
      </c>
      <c r="G251" t="n">
        <v>2.7</v>
      </c>
      <c r="H251" t="n">
        <v>0</v>
      </c>
      <c r="I251" t="n">
        <v>0</v>
      </c>
      <c r="J251" t="n">
        <v>0</v>
      </c>
      <c r="K251" t="n">
        <v>0</v>
      </c>
      <c r="L251" t="n">
        <v>0</v>
      </c>
      <c r="M251" t="n">
        <v>0</v>
      </c>
      <c r="N251" t="n">
        <v>0</v>
      </c>
      <c r="O251" t="n">
        <v>0</v>
      </c>
      <c r="P251" t="n">
        <v>0</v>
      </c>
      <c r="Q251" t="n">
        <v>0</v>
      </c>
      <c r="R251" s="2" t="inlineStr"/>
    </row>
    <row r="252" ht="15" customHeight="1">
      <c r="A252" t="inlineStr">
        <is>
          <t>A 49411-2023</t>
        </is>
      </c>
      <c r="B252" s="1" t="n">
        <v>45205</v>
      </c>
      <c r="C252" s="1" t="n">
        <v>46107</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44649-2021</t>
        </is>
      </c>
      <c r="B253" s="1" t="n">
        <v>44437</v>
      </c>
      <c r="C253" s="1" t="n">
        <v>46107</v>
      </c>
      <c r="D253" t="inlineStr">
        <is>
          <t>GOTLANDS LÄN</t>
        </is>
      </c>
      <c r="E253" t="inlineStr">
        <is>
          <t>GOTLAND</t>
        </is>
      </c>
      <c r="G253" t="n">
        <v>8.1</v>
      </c>
      <c r="H253" t="n">
        <v>0</v>
      </c>
      <c r="I253" t="n">
        <v>0</v>
      </c>
      <c r="J253" t="n">
        <v>0</v>
      </c>
      <c r="K253" t="n">
        <v>0</v>
      </c>
      <c r="L253" t="n">
        <v>0</v>
      </c>
      <c r="M253" t="n">
        <v>0</v>
      </c>
      <c r="N253" t="n">
        <v>0</v>
      </c>
      <c r="O253" t="n">
        <v>0</v>
      </c>
      <c r="P253" t="n">
        <v>0</v>
      </c>
      <c r="Q253" t="n">
        <v>0</v>
      </c>
      <c r="R253" s="2" t="inlineStr"/>
    </row>
    <row r="254" ht="15" customHeight="1">
      <c r="A254" t="inlineStr">
        <is>
          <t>A 22275-2023</t>
        </is>
      </c>
      <c r="B254" s="1" t="n">
        <v>45070.39875</v>
      </c>
      <c r="C254" s="1" t="n">
        <v>46107</v>
      </c>
      <c r="D254" t="inlineStr">
        <is>
          <t>GOTLANDS LÄN</t>
        </is>
      </c>
      <c r="E254" t="inlineStr">
        <is>
          <t>GOTLAND</t>
        </is>
      </c>
      <c r="G254" t="n">
        <v>7.2</v>
      </c>
      <c r="H254" t="n">
        <v>0</v>
      </c>
      <c r="I254" t="n">
        <v>0</v>
      </c>
      <c r="J254" t="n">
        <v>0</v>
      </c>
      <c r="K254" t="n">
        <v>0</v>
      </c>
      <c r="L254" t="n">
        <v>0</v>
      </c>
      <c r="M254" t="n">
        <v>0</v>
      </c>
      <c r="N254" t="n">
        <v>0</v>
      </c>
      <c r="O254" t="n">
        <v>0</v>
      </c>
      <c r="P254" t="n">
        <v>0</v>
      </c>
      <c r="Q254" t="n">
        <v>0</v>
      </c>
      <c r="R254" s="2" t="inlineStr"/>
    </row>
    <row r="255" ht="15" customHeight="1">
      <c r="A255" t="inlineStr">
        <is>
          <t>A 12322-2025</t>
        </is>
      </c>
      <c r="B255" s="1" t="n">
        <v>45730</v>
      </c>
      <c r="C255" s="1" t="n">
        <v>46107</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46107</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14797-2024</t>
        </is>
      </c>
      <c r="B257" s="1" t="n">
        <v>45397.87030092593</v>
      </c>
      <c r="C257" s="1" t="n">
        <v>46107</v>
      </c>
      <c r="D257" t="inlineStr">
        <is>
          <t>GOTLANDS LÄN</t>
        </is>
      </c>
      <c r="E257" t="inlineStr">
        <is>
          <t>GOTLAND</t>
        </is>
      </c>
      <c r="G257" t="n">
        <v>8.1</v>
      </c>
      <c r="H257" t="n">
        <v>0</v>
      </c>
      <c r="I257" t="n">
        <v>0</v>
      </c>
      <c r="J257" t="n">
        <v>0</v>
      </c>
      <c r="K257" t="n">
        <v>0</v>
      </c>
      <c r="L257" t="n">
        <v>0</v>
      </c>
      <c r="M257" t="n">
        <v>0</v>
      </c>
      <c r="N257" t="n">
        <v>0</v>
      </c>
      <c r="O257" t="n">
        <v>0</v>
      </c>
      <c r="P257" t="n">
        <v>0</v>
      </c>
      <c r="Q257" t="n">
        <v>0</v>
      </c>
      <c r="R257" s="2" t="inlineStr"/>
    </row>
    <row r="258" ht="15" customHeight="1">
      <c r="A258" t="inlineStr">
        <is>
          <t>A 999-2024</t>
        </is>
      </c>
      <c r="B258" s="1" t="n">
        <v>45301</v>
      </c>
      <c r="C258" s="1" t="n">
        <v>46107</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20356-2022</t>
        </is>
      </c>
      <c r="B259" s="1" t="n">
        <v>44699</v>
      </c>
      <c r="C259" s="1" t="n">
        <v>46107</v>
      </c>
      <c r="D259" t="inlineStr">
        <is>
          <t>GOTLANDS LÄN</t>
        </is>
      </c>
      <c r="E259" t="inlineStr">
        <is>
          <t>GOTLAND</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9947-2024</t>
        </is>
      </c>
      <c r="B260" s="1" t="n">
        <v>45363</v>
      </c>
      <c r="C260" s="1" t="n">
        <v>46107</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9613-2025</t>
        </is>
      </c>
      <c r="B261" s="1" t="n">
        <v>45715</v>
      </c>
      <c r="C261" s="1" t="n">
        <v>46107</v>
      </c>
      <c r="D261" t="inlineStr">
        <is>
          <t>GOTLANDS LÄN</t>
        </is>
      </c>
      <c r="E261" t="inlineStr">
        <is>
          <t>GOTLAND</t>
        </is>
      </c>
      <c r="G261" t="n">
        <v>3.5</v>
      </c>
      <c r="H261" t="n">
        <v>0</v>
      </c>
      <c r="I261" t="n">
        <v>0</v>
      </c>
      <c r="J261" t="n">
        <v>0</v>
      </c>
      <c r="K261" t="n">
        <v>0</v>
      </c>
      <c r="L261" t="n">
        <v>0</v>
      </c>
      <c r="M261" t="n">
        <v>0</v>
      </c>
      <c r="N261" t="n">
        <v>0</v>
      </c>
      <c r="O261" t="n">
        <v>0</v>
      </c>
      <c r="P261" t="n">
        <v>0</v>
      </c>
      <c r="Q261" t="n">
        <v>0</v>
      </c>
      <c r="R261" s="2" t="inlineStr"/>
    </row>
    <row r="262" ht="15" customHeight="1">
      <c r="A262" t="inlineStr">
        <is>
          <t>A 61596-2023</t>
        </is>
      </c>
      <c r="B262" s="1" t="n">
        <v>45265</v>
      </c>
      <c r="C262" s="1" t="n">
        <v>46107</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46107</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46107</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46107</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60675-2021</t>
        </is>
      </c>
      <c r="B266" s="1" t="n">
        <v>44496.64855324074</v>
      </c>
      <c r="C266" s="1" t="n">
        <v>46107</v>
      </c>
      <c r="D266" t="inlineStr">
        <is>
          <t>GOTLANDS LÄN</t>
        </is>
      </c>
      <c r="E266" t="inlineStr">
        <is>
          <t>GOTLAND</t>
        </is>
      </c>
      <c r="G266" t="n">
        <v>4.6</v>
      </c>
      <c r="H266" t="n">
        <v>0</v>
      </c>
      <c r="I266" t="n">
        <v>0</v>
      </c>
      <c r="J266" t="n">
        <v>0</v>
      </c>
      <c r="K266" t="n">
        <v>0</v>
      </c>
      <c r="L266" t="n">
        <v>0</v>
      </c>
      <c r="M266" t="n">
        <v>0</v>
      </c>
      <c r="N266" t="n">
        <v>0</v>
      </c>
      <c r="O266" t="n">
        <v>0</v>
      </c>
      <c r="P266" t="n">
        <v>0</v>
      </c>
      <c r="Q266" t="n">
        <v>0</v>
      </c>
      <c r="R266" s="2" t="inlineStr"/>
    </row>
    <row r="267" ht="15" customHeight="1">
      <c r="A267" t="inlineStr">
        <is>
          <t>A 37728-2024</t>
        </is>
      </c>
      <c r="B267" s="1" t="n">
        <v>45541</v>
      </c>
      <c r="C267" s="1" t="n">
        <v>46107</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17682-2024</t>
        </is>
      </c>
      <c r="B268" s="1" t="n">
        <v>45418.42966435185</v>
      </c>
      <c r="C268" s="1" t="n">
        <v>46107</v>
      </c>
      <c r="D268" t="inlineStr">
        <is>
          <t>GOTLANDS LÄN</t>
        </is>
      </c>
      <c r="E268" t="inlineStr">
        <is>
          <t>GOTLAND</t>
        </is>
      </c>
      <c r="G268" t="n">
        <v>2.9</v>
      </c>
      <c r="H268" t="n">
        <v>0</v>
      </c>
      <c r="I268" t="n">
        <v>0</v>
      </c>
      <c r="J268" t="n">
        <v>0</v>
      </c>
      <c r="K268" t="n">
        <v>0</v>
      </c>
      <c r="L268" t="n">
        <v>0</v>
      </c>
      <c r="M268" t="n">
        <v>0</v>
      </c>
      <c r="N268" t="n">
        <v>0</v>
      </c>
      <c r="O268" t="n">
        <v>0</v>
      </c>
      <c r="P268" t="n">
        <v>0</v>
      </c>
      <c r="Q268" t="n">
        <v>0</v>
      </c>
      <c r="R268" s="2" t="inlineStr"/>
    </row>
    <row r="269" ht="15" customHeight="1">
      <c r="A269" t="inlineStr">
        <is>
          <t>A 57522-2022</t>
        </is>
      </c>
      <c r="B269" s="1" t="n">
        <v>44896</v>
      </c>
      <c r="C269" s="1" t="n">
        <v>46107</v>
      </c>
      <c r="D269" t="inlineStr">
        <is>
          <t>GOTLANDS LÄN</t>
        </is>
      </c>
      <c r="E269" t="inlineStr">
        <is>
          <t>GOTLAND</t>
        </is>
      </c>
      <c r="G269" t="n">
        <v>2</v>
      </c>
      <c r="H269" t="n">
        <v>0</v>
      </c>
      <c r="I269" t="n">
        <v>0</v>
      </c>
      <c r="J269" t="n">
        <v>0</v>
      </c>
      <c r="K269" t="n">
        <v>0</v>
      </c>
      <c r="L269" t="n">
        <v>0</v>
      </c>
      <c r="M269" t="n">
        <v>0</v>
      </c>
      <c r="N269" t="n">
        <v>0</v>
      </c>
      <c r="O269" t="n">
        <v>0</v>
      </c>
      <c r="P269" t="n">
        <v>0</v>
      </c>
      <c r="Q269" t="n">
        <v>0</v>
      </c>
      <c r="R269" s="2" t="inlineStr"/>
    </row>
    <row r="270" ht="15" customHeight="1">
      <c r="A270" t="inlineStr">
        <is>
          <t>A 22287-2022</t>
        </is>
      </c>
      <c r="B270" s="1" t="n">
        <v>44712</v>
      </c>
      <c r="C270" s="1" t="n">
        <v>46107</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18993-2025</t>
        </is>
      </c>
      <c r="B271" s="1" t="n">
        <v>45764</v>
      </c>
      <c r="C271" s="1" t="n">
        <v>46107</v>
      </c>
      <c r="D271" t="inlineStr">
        <is>
          <t>GOTLANDS LÄN</t>
        </is>
      </c>
      <c r="E271" t="inlineStr">
        <is>
          <t>GOTLAND</t>
        </is>
      </c>
      <c r="G271" t="n">
        <v>3</v>
      </c>
      <c r="H271" t="n">
        <v>0</v>
      </c>
      <c r="I271" t="n">
        <v>0</v>
      </c>
      <c r="J271" t="n">
        <v>0</v>
      </c>
      <c r="K271" t="n">
        <v>0</v>
      </c>
      <c r="L271" t="n">
        <v>0</v>
      </c>
      <c r="M271" t="n">
        <v>0</v>
      </c>
      <c r="N271" t="n">
        <v>0</v>
      </c>
      <c r="O271" t="n">
        <v>0</v>
      </c>
      <c r="P271" t="n">
        <v>0</v>
      </c>
      <c r="Q271" t="n">
        <v>0</v>
      </c>
      <c r="R271" s="2" t="inlineStr"/>
    </row>
    <row r="272" ht="15" customHeight="1">
      <c r="A272" t="inlineStr">
        <is>
          <t>A 27593-2023</t>
        </is>
      </c>
      <c r="B272" s="1" t="n">
        <v>45097</v>
      </c>
      <c r="C272" s="1" t="n">
        <v>46107</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54074-2022</t>
        </is>
      </c>
      <c r="B273" s="1" t="n">
        <v>44881</v>
      </c>
      <c r="C273" s="1" t="n">
        <v>46107</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65249-2023</t>
        </is>
      </c>
      <c r="B274" s="1" t="n">
        <v>45290</v>
      </c>
      <c r="C274" s="1" t="n">
        <v>46107</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30135-2025</t>
        </is>
      </c>
      <c r="B275" s="1" t="n">
        <v>45826</v>
      </c>
      <c r="C275" s="1" t="n">
        <v>46107</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12599-2025</t>
        </is>
      </c>
      <c r="B276" s="1" t="n">
        <v>45733.29546296296</v>
      </c>
      <c r="C276" s="1" t="n">
        <v>46107</v>
      </c>
      <c r="D276" t="inlineStr">
        <is>
          <t>GOTLANDS LÄN</t>
        </is>
      </c>
      <c r="E276" t="inlineStr">
        <is>
          <t>GOTLAND</t>
        </is>
      </c>
      <c r="G276" t="n">
        <v>4.7</v>
      </c>
      <c r="H276" t="n">
        <v>0</v>
      </c>
      <c r="I276" t="n">
        <v>0</v>
      </c>
      <c r="J276" t="n">
        <v>0</v>
      </c>
      <c r="K276" t="n">
        <v>0</v>
      </c>
      <c r="L276" t="n">
        <v>0</v>
      </c>
      <c r="M276" t="n">
        <v>0</v>
      </c>
      <c r="N276" t="n">
        <v>0</v>
      </c>
      <c r="O276" t="n">
        <v>0</v>
      </c>
      <c r="P276" t="n">
        <v>0</v>
      </c>
      <c r="Q276" t="n">
        <v>0</v>
      </c>
      <c r="R276" s="2" t="inlineStr"/>
    </row>
    <row r="277" ht="15" customHeight="1">
      <c r="A277" t="inlineStr">
        <is>
          <t>A 35141-2025</t>
        </is>
      </c>
      <c r="B277" s="1" t="n">
        <v>45852.65206018519</v>
      </c>
      <c r="C277" s="1" t="n">
        <v>46107</v>
      </c>
      <c r="D277" t="inlineStr">
        <is>
          <t>GOTLANDS LÄN</t>
        </is>
      </c>
      <c r="E277" t="inlineStr">
        <is>
          <t>GOTLAND</t>
        </is>
      </c>
      <c r="G277" t="n">
        <v>1</v>
      </c>
      <c r="H277" t="n">
        <v>0</v>
      </c>
      <c r="I277" t="n">
        <v>0</v>
      </c>
      <c r="J277" t="n">
        <v>0</v>
      </c>
      <c r="K277" t="n">
        <v>0</v>
      </c>
      <c r="L277" t="n">
        <v>0</v>
      </c>
      <c r="M277" t="n">
        <v>0</v>
      </c>
      <c r="N277" t="n">
        <v>0</v>
      </c>
      <c r="O277" t="n">
        <v>0</v>
      </c>
      <c r="P277" t="n">
        <v>0</v>
      </c>
      <c r="Q277" t="n">
        <v>0</v>
      </c>
      <c r="R277" s="2" t="inlineStr"/>
    </row>
    <row r="278" ht="15" customHeight="1">
      <c r="A278" t="inlineStr">
        <is>
          <t>A 35142-2025</t>
        </is>
      </c>
      <c r="B278" s="1" t="n">
        <v>45852.65532407408</v>
      </c>
      <c r="C278" s="1" t="n">
        <v>46107</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63516-2023</t>
        </is>
      </c>
      <c r="B279" s="1" t="n">
        <v>45274</v>
      </c>
      <c r="C279" s="1" t="n">
        <v>46107</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13910-2025</t>
        </is>
      </c>
      <c r="B280" s="1" t="n">
        <v>45737</v>
      </c>
      <c r="C280" s="1" t="n">
        <v>46107</v>
      </c>
      <c r="D280" t="inlineStr">
        <is>
          <t>GOTLANDS LÄN</t>
        </is>
      </c>
      <c r="E280" t="inlineStr">
        <is>
          <t>GOTLAND</t>
        </is>
      </c>
      <c r="F280" t="inlineStr">
        <is>
          <t>Kommuner</t>
        </is>
      </c>
      <c r="G280" t="n">
        <v>3.2</v>
      </c>
      <c r="H280" t="n">
        <v>0</v>
      </c>
      <c r="I280" t="n">
        <v>0</v>
      </c>
      <c r="J280" t="n">
        <v>0</v>
      </c>
      <c r="K280" t="n">
        <v>0</v>
      </c>
      <c r="L280" t="n">
        <v>0</v>
      </c>
      <c r="M280" t="n">
        <v>0</v>
      </c>
      <c r="N280" t="n">
        <v>0</v>
      </c>
      <c r="O280" t="n">
        <v>0</v>
      </c>
      <c r="P280" t="n">
        <v>0</v>
      </c>
      <c r="Q280" t="n">
        <v>0</v>
      </c>
      <c r="R280" s="2" t="inlineStr"/>
    </row>
    <row r="281" ht="15" customHeight="1">
      <c r="A281" t="inlineStr">
        <is>
          <t>A 39819-2025</t>
        </is>
      </c>
      <c r="B281" s="1" t="n">
        <v>45891.53418981482</v>
      </c>
      <c r="C281" s="1" t="n">
        <v>46107</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39814-2025</t>
        </is>
      </c>
      <c r="B282" s="1" t="n">
        <v>45891.52694444444</v>
      </c>
      <c r="C282" s="1" t="n">
        <v>46107</v>
      </c>
      <c r="D282" t="inlineStr">
        <is>
          <t>GOTLANDS LÄN</t>
        </is>
      </c>
      <c r="E282" t="inlineStr">
        <is>
          <t>GOTLAND</t>
        </is>
      </c>
      <c r="G282" t="n">
        <v>4.5</v>
      </c>
      <c r="H282" t="n">
        <v>0</v>
      </c>
      <c r="I282" t="n">
        <v>0</v>
      </c>
      <c r="J282" t="n">
        <v>0</v>
      </c>
      <c r="K282" t="n">
        <v>0</v>
      </c>
      <c r="L282" t="n">
        <v>0</v>
      </c>
      <c r="M282" t="n">
        <v>0</v>
      </c>
      <c r="N282" t="n">
        <v>0</v>
      </c>
      <c r="O282" t="n">
        <v>0</v>
      </c>
      <c r="P282" t="n">
        <v>0</v>
      </c>
      <c r="Q282" t="n">
        <v>0</v>
      </c>
      <c r="R282" s="2" t="inlineStr"/>
    </row>
    <row r="283" ht="15" customHeight="1">
      <c r="A283" t="inlineStr">
        <is>
          <t>A 24001-2021</t>
        </is>
      </c>
      <c r="B283" s="1" t="n">
        <v>44335</v>
      </c>
      <c r="C283" s="1" t="n">
        <v>46107</v>
      </c>
      <c r="D283" t="inlineStr">
        <is>
          <t>GOTLANDS LÄN</t>
        </is>
      </c>
      <c r="E283" t="inlineStr">
        <is>
          <t>GOTLAND</t>
        </is>
      </c>
      <c r="G283" t="n">
        <v>3.4</v>
      </c>
      <c r="H283" t="n">
        <v>0</v>
      </c>
      <c r="I283" t="n">
        <v>0</v>
      </c>
      <c r="J283" t="n">
        <v>0</v>
      </c>
      <c r="K283" t="n">
        <v>0</v>
      </c>
      <c r="L283" t="n">
        <v>0</v>
      </c>
      <c r="M283" t="n">
        <v>0</v>
      </c>
      <c r="N283" t="n">
        <v>0</v>
      </c>
      <c r="O283" t="n">
        <v>0</v>
      </c>
      <c r="P283" t="n">
        <v>0</v>
      </c>
      <c r="Q283" t="n">
        <v>0</v>
      </c>
      <c r="R283" s="2" t="inlineStr"/>
    </row>
    <row r="284" ht="15" customHeight="1">
      <c r="A284" t="inlineStr">
        <is>
          <t>A 39849-2025</t>
        </is>
      </c>
      <c r="B284" s="1" t="n">
        <v>45891.58502314815</v>
      </c>
      <c r="C284" s="1" t="n">
        <v>46107</v>
      </c>
      <c r="D284" t="inlineStr">
        <is>
          <t>GOTLANDS LÄN</t>
        </is>
      </c>
      <c r="E284" t="inlineStr">
        <is>
          <t>GOTLAND</t>
        </is>
      </c>
      <c r="G284" t="n">
        <v>6.1</v>
      </c>
      <c r="H284" t="n">
        <v>0</v>
      </c>
      <c r="I284" t="n">
        <v>0</v>
      </c>
      <c r="J284" t="n">
        <v>0</v>
      </c>
      <c r="K284" t="n">
        <v>0</v>
      </c>
      <c r="L284" t="n">
        <v>0</v>
      </c>
      <c r="M284" t="n">
        <v>0</v>
      </c>
      <c r="N284" t="n">
        <v>0</v>
      </c>
      <c r="O284" t="n">
        <v>0</v>
      </c>
      <c r="P284" t="n">
        <v>0</v>
      </c>
      <c r="Q284" t="n">
        <v>0</v>
      </c>
      <c r="R284" s="2" t="inlineStr"/>
    </row>
    <row r="285" ht="15" customHeight="1">
      <c r="A285" t="inlineStr">
        <is>
          <t>A 17780-2022</t>
        </is>
      </c>
      <c r="B285" s="1" t="n">
        <v>44682.82622685185</v>
      </c>
      <c r="C285" s="1" t="n">
        <v>46107</v>
      </c>
      <c r="D285" t="inlineStr">
        <is>
          <t>GOTLANDS LÄN</t>
        </is>
      </c>
      <c r="E285" t="inlineStr">
        <is>
          <t>GOTLAND</t>
        </is>
      </c>
      <c r="G285" t="n">
        <v>2.2</v>
      </c>
      <c r="H285" t="n">
        <v>0</v>
      </c>
      <c r="I285" t="n">
        <v>0</v>
      </c>
      <c r="J285" t="n">
        <v>0</v>
      </c>
      <c r="K285" t="n">
        <v>0</v>
      </c>
      <c r="L285" t="n">
        <v>0</v>
      </c>
      <c r="M285" t="n">
        <v>0</v>
      </c>
      <c r="N285" t="n">
        <v>0</v>
      </c>
      <c r="O285" t="n">
        <v>0</v>
      </c>
      <c r="P285" t="n">
        <v>0</v>
      </c>
      <c r="Q285" t="n">
        <v>0</v>
      </c>
      <c r="R285" s="2" t="inlineStr"/>
    </row>
    <row r="286" ht="15" customHeight="1">
      <c r="A286" t="inlineStr">
        <is>
          <t>A 39752-2025</t>
        </is>
      </c>
      <c r="B286" s="1" t="n">
        <v>45891</v>
      </c>
      <c r="C286" s="1" t="n">
        <v>46107</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39816-2025</t>
        </is>
      </c>
      <c r="B287" s="1" t="n">
        <v>45891</v>
      </c>
      <c r="C287" s="1" t="n">
        <v>46107</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40103-2025</t>
        </is>
      </c>
      <c r="B288" s="1" t="n">
        <v>45894.4880324074</v>
      </c>
      <c r="C288" s="1" t="n">
        <v>46107</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40373-2025</t>
        </is>
      </c>
      <c r="B289" s="1" t="n">
        <v>45895.51821759259</v>
      </c>
      <c r="C289" s="1" t="n">
        <v>46107</v>
      </c>
      <c r="D289" t="inlineStr">
        <is>
          <t>GOTLANDS LÄN</t>
        </is>
      </c>
      <c r="E289" t="inlineStr">
        <is>
          <t>GOTLAND</t>
        </is>
      </c>
      <c r="G289" t="n">
        <v>0.6</v>
      </c>
      <c r="H289" t="n">
        <v>0</v>
      </c>
      <c r="I289" t="n">
        <v>0</v>
      </c>
      <c r="J289" t="n">
        <v>0</v>
      </c>
      <c r="K289" t="n">
        <v>0</v>
      </c>
      <c r="L289" t="n">
        <v>0</v>
      </c>
      <c r="M289" t="n">
        <v>0</v>
      </c>
      <c r="N289" t="n">
        <v>0</v>
      </c>
      <c r="O289" t="n">
        <v>0</v>
      </c>
      <c r="P289" t="n">
        <v>0</v>
      </c>
      <c r="Q289" t="n">
        <v>0</v>
      </c>
      <c r="R289" s="2" t="inlineStr"/>
    </row>
    <row r="290" ht="15" customHeight="1">
      <c r="A290" t="inlineStr">
        <is>
          <t>A 40499-2025</t>
        </is>
      </c>
      <c r="B290" s="1" t="n">
        <v>45896.32517361111</v>
      </c>
      <c r="C290" s="1" t="n">
        <v>46107</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59986-2022</t>
        </is>
      </c>
      <c r="B291" s="1" t="n">
        <v>44909</v>
      </c>
      <c r="C291" s="1" t="n">
        <v>46107</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40372-2025</t>
        </is>
      </c>
      <c r="B292" s="1" t="n">
        <v>45895.5162037037</v>
      </c>
      <c r="C292" s="1" t="n">
        <v>46107</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46107</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39278-2025</t>
        </is>
      </c>
      <c r="B294" s="1" t="n">
        <v>45889</v>
      </c>
      <c r="C294" s="1" t="n">
        <v>46107</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1681-2023</t>
        </is>
      </c>
      <c r="B295" s="1" t="n">
        <v>44938.39715277778</v>
      </c>
      <c r="C295" s="1" t="n">
        <v>46107</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11874-2024</t>
        </is>
      </c>
      <c r="B296" s="1" t="n">
        <v>45376.46956018519</v>
      </c>
      <c r="C296" s="1" t="n">
        <v>46107</v>
      </c>
      <c r="D296" t="inlineStr">
        <is>
          <t>GOTLANDS LÄN</t>
        </is>
      </c>
      <c r="E296" t="inlineStr">
        <is>
          <t>GOTLAND</t>
        </is>
      </c>
      <c r="G296" t="n">
        <v>0.8</v>
      </c>
      <c r="H296" t="n">
        <v>0</v>
      </c>
      <c r="I296" t="n">
        <v>0</v>
      </c>
      <c r="J296" t="n">
        <v>0</v>
      </c>
      <c r="K296" t="n">
        <v>0</v>
      </c>
      <c r="L296" t="n">
        <v>0</v>
      </c>
      <c r="M296" t="n">
        <v>0</v>
      </c>
      <c r="N296" t="n">
        <v>0</v>
      </c>
      <c r="O296" t="n">
        <v>0</v>
      </c>
      <c r="P296" t="n">
        <v>0</v>
      </c>
      <c r="Q296" t="n">
        <v>0</v>
      </c>
      <c r="R296" s="2" t="inlineStr"/>
    </row>
    <row r="297" ht="15" customHeight="1">
      <c r="A297" t="inlineStr">
        <is>
          <t>A 42041-2024</t>
        </is>
      </c>
      <c r="B297" s="1" t="n">
        <v>45561</v>
      </c>
      <c r="C297" s="1" t="n">
        <v>46107</v>
      </c>
      <c r="D297" t="inlineStr">
        <is>
          <t>GOTLANDS LÄN</t>
        </is>
      </c>
      <c r="E297" t="inlineStr">
        <is>
          <t>GOTLAND</t>
        </is>
      </c>
      <c r="G297" t="n">
        <v>3.2</v>
      </c>
      <c r="H297" t="n">
        <v>0</v>
      </c>
      <c r="I297" t="n">
        <v>0</v>
      </c>
      <c r="J297" t="n">
        <v>0</v>
      </c>
      <c r="K297" t="n">
        <v>0</v>
      </c>
      <c r="L297" t="n">
        <v>0</v>
      </c>
      <c r="M297" t="n">
        <v>0</v>
      </c>
      <c r="N297" t="n">
        <v>0</v>
      </c>
      <c r="O297" t="n">
        <v>0</v>
      </c>
      <c r="P297" t="n">
        <v>0</v>
      </c>
      <c r="Q297" t="n">
        <v>0</v>
      </c>
      <c r="R297" s="2" t="inlineStr"/>
    </row>
    <row r="298" ht="15" customHeight="1">
      <c r="A298" t="inlineStr">
        <is>
          <t>A 6099-2024</t>
        </is>
      </c>
      <c r="B298" s="1" t="n">
        <v>45337</v>
      </c>
      <c r="C298" s="1" t="n">
        <v>46107</v>
      </c>
      <c r="D298" t="inlineStr">
        <is>
          <t>GOTLANDS LÄN</t>
        </is>
      </c>
      <c r="E298" t="inlineStr">
        <is>
          <t>GOTLAND</t>
        </is>
      </c>
      <c r="G298" t="n">
        <v>12.6</v>
      </c>
      <c r="H298" t="n">
        <v>0</v>
      </c>
      <c r="I298" t="n">
        <v>0</v>
      </c>
      <c r="J298" t="n">
        <v>0</v>
      </c>
      <c r="K298" t="n">
        <v>0</v>
      </c>
      <c r="L298" t="n">
        <v>0</v>
      </c>
      <c r="M298" t="n">
        <v>0</v>
      </c>
      <c r="N298" t="n">
        <v>0</v>
      </c>
      <c r="O298" t="n">
        <v>0</v>
      </c>
      <c r="P298" t="n">
        <v>0</v>
      </c>
      <c r="Q298" t="n">
        <v>0</v>
      </c>
      <c r="R298" s="2" t="inlineStr"/>
    </row>
    <row r="299" ht="15" customHeight="1">
      <c r="A299" t="inlineStr">
        <is>
          <t>A 61694-2023</t>
        </is>
      </c>
      <c r="B299" s="1" t="n">
        <v>45264</v>
      </c>
      <c r="C299" s="1" t="n">
        <v>46107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41435-2025</t>
        </is>
      </c>
      <c r="B300" s="1" t="n">
        <v>45901.39974537037</v>
      </c>
      <c r="C300" s="1" t="n">
        <v>46107</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1273-2023</t>
        </is>
      </c>
      <c r="B301" s="1" t="n">
        <v>44936</v>
      </c>
      <c r="C301" s="1" t="n">
        <v>46107</v>
      </c>
      <c r="D301" t="inlineStr">
        <is>
          <t>GOTLANDS LÄN</t>
        </is>
      </c>
      <c r="E301" t="inlineStr">
        <is>
          <t>GOTLAND</t>
        </is>
      </c>
      <c r="G301" t="n">
        <v>4.5</v>
      </c>
      <c r="H301" t="n">
        <v>0</v>
      </c>
      <c r="I301" t="n">
        <v>0</v>
      </c>
      <c r="J301" t="n">
        <v>0</v>
      </c>
      <c r="K301" t="n">
        <v>0</v>
      </c>
      <c r="L301" t="n">
        <v>0</v>
      </c>
      <c r="M301" t="n">
        <v>0</v>
      </c>
      <c r="N301" t="n">
        <v>0</v>
      </c>
      <c r="O301" t="n">
        <v>0</v>
      </c>
      <c r="P301" t="n">
        <v>0</v>
      </c>
      <c r="Q301" t="n">
        <v>0</v>
      </c>
      <c r="R301" s="2" t="inlineStr"/>
    </row>
    <row r="302" ht="15" customHeight="1">
      <c r="A302" t="inlineStr">
        <is>
          <t>A 58780-2024</t>
        </is>
      </c>
      <c r="B302" s="1" t="n">
        <v>45635.84113425926</v>
      </c>
      <c r="C302" s="1" t="n">
        <v>46107</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64555-2023</t>
        </is>
      </c>
      <c r="B303" s="1" t="n">
        <v>45281</v>
      </c>
      <c r="C303" s="1" t="n">
        <v>46107</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64831-2023</t>
        </is>
      </c>
      <c r="B304" s="1" t="n">
        <v>45282.44924768519</v>
      </c>
      <c r="C304" s="1" t="n">
        <v>46107</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45692-2023</t>
        </is>
      </c>
      <c r="B305" s="1" t="n">
        <v>45195</v>
      </c>
      <c r="C305" s="1" t="n">
        <v>46107</v>
      </c>
      <c r="D305" t="inlineStr">
        <is>
          <t>GOTLANDS LÄN</t>
        </is>
      </c>
      <c r="E305" t="inlineStr">
        <is>
          <t>GOTLAND</t>
        </is>
      </c>
      <c r="G305" t="n">
        <v>5.3</v>
      </c>
      <c r="H305" t="n">
        <v>0</v>
      </c>
      <c r="I305" t="n">
        <v>0</v>
      </c>
      <c r="J305" t="n">
        <v>0</v>
      </c>
      <c r="K305" t="n">
        <v>0</v>
      </c>
      <c r="L305" t="n">
        <v>0</v>
      </c>
      <c r="M305" t="n">
        <v>0</v>
      </c>
      <c r="N305" t="n">
        <v>0</v>
      </c>
      <c r="O305" t="n">
        <v>0</v>
      </c>
      <c r="P305" t="n">
        <v>0</v>
      </c>
      <c r="Q305" t="n">
        <v>0</v>
      </c>
      <c r="R305" s="2" t="inlineStr"/>
    </row>
    <row r="306" ht="15" customHeight="1">
      <c r="A306" t="inlineStr">
        <is>
          <t>A 999-2023</t>
        </is>
      </c>
      <c r="B306" s="1" t="n">
        <v>44935</v>
      </c>
      <c r="C306" s="1" t="n">
        <v>46107</v>
      </c>
      <c r="D306" t="inlineStr">
        <is>
          <t>GOTLANDS LÄN</t>
        </is>
      </c>
      <c r="E306" t="inlineStr">
        <is>
          <t>GOTLAND</t>
        </is>
      </c>
      <c r="G306" t="n">
        <v>4.7</v>
      </c>
      <c r="H306" t="n">
        <v>0</v>
      </c>
      <c r="I306" t="n">
        <v>0</v>
      </c>
      <c r="J306" t="n">
        <v>0</v>
      </c>
      <c r="K306" t="n">
        <v>0</v>
      </c>
      <c r="L306" t="n">
        <v>0</v>
      </c>
      <c r="M306" t="n">
        <v>0</v>
      </c>
      <c r="N306" t="n">
        <v>0</v>
      </c>
      <c r="O306" t="n">
        <v>0</v>
      </c>
      <c r="P306" t="n">
        <v>0</v>
      </c>
      <c r="Q306" t="n">
        <v>0</v>
      </c>
      <c r="R306" s="2" t="inlineStr"/>
    </row>
    <row r="307" ht="15" customHeight="1">
      <c r="A307" t="inlineStr">
        <is>
          <t>A 41551-2025</t>
        </is>
      </c>
      <c r="B307" s="1" t="n">
        <v>45901.58854166666</v>
      </c>
      <c r="C307" s="1" t="n">
        <v>46107</v>
      </c>
      <c r="D307" t="inlineStr">
        <is>
          <t>GOTLANDS LÄN</t>
        </is>
      </c>
      <c r="E307" t="inlineStr">
        <is>
          <t>GOTLAND</t>
        </is>
      </c>
      <c r="G307" t="n">
        <v>5.6</v>
      </c>
      <c r="H307" t="n">
        <v>0</v>
      </c>
      <c r="I307" t="n">
        <v>0</v>
      </c>
      <c r="J307" t="n">
        <v>0</v>
      </c>
      <c r="K307" t="n">
        <v>0</v>
      </c>
      <c r="L307" t="n">
        <v>0</v>
      </c>
      <c r="M307" t="n">
        <v>0</v>
      </c>
      <c r="N307" t="n">
        <v>0</v>
      </c>
      <c r="O307" t="n">
        <v>0</v>
      </c>
      <c r="P307" t="n">
        <v>0</v>
      </c>
      <c r="Q307" t="n">
        <v>0</v>
      </c>
      <c r="R307" s="2" t="inlineStr"/>
    </row>
    <row r="308" ht="15" customHeight="1">
      <c r="A308" t="inlineStr">
        <is>
          <t>A 33876-2024</t>
        </is>
      </c>
      <c r="B308" s="1" t="n">
        <v>45521.87988425926</v>
      </c>
      <c r="C308" s="1" t="n">
        <v>46107</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27602-2023</t>
        </is>
      </c>
      <c r="B309" s="1" t="n">
        <v>45097</v>
      </c>
      <c r="C309" s="1" t="n">
        <v>46107</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28285-2024</t>
        </is>
      </c>
      <c r="B310" s="1" t="n">
        <v>45477</v>
      </c>
      <c r="C310" s="1" t="n">
        <v>46107</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61100-2022</t>
        </is>
      </c>
      <c r="B311" s="1" t="n">
        <v>44915</v>
      </c>
      <c r="C311" s="1" t="n">
        <v>46107</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4377-2023</t>
        </is>
      </c>
      <c r="B312" s="1" t="n">
        <v>44955.5502662037</v>
      </c>
      <c r="C312" s="1" t="n">
        <v>46107</v>
      </c>
      <c r="D312" t="inlineStr">
        <is>
          <t>GOTLANDS LÄN</t>
        </is>
      </c>
      <c r="E312" t="inlineStr">
        <is>
          <t>GOTLAND</t>
        </is>
      </c>
      <c r="F312" t="inlineStr">
        <is>
          <t>Kyrkan</t>
        </is>
      </c>
      <c r="G312" t="n">
        <v>0.6</v>
      </c>
      <c r="H312" t="n">
        <v>0</v>
      </c>
      <c r="I312" t="n">
        <v>0</v>
      </c>
      <c r="J312" t="n">
        <v>0</v>
      </c>
      <c r="K312" t="n">
        <v>0</v>
      </c>
      <c r="L312" t="n">
        <v>0</v>
      </c>
      <c r="M312" t="n">
        <v>0</v>
      </c>
      <c r="N312" t="n">
        <v>0</v>
      </c>
      <c r="O312" t="n">
        <v>0</v>
      </c>
      <c r="P312" t="n">
        <v>0</v>
      </c>
      <c r="Q312" t="n">
        <v>0</v>
      </c>
      <c r="R312" s="2" t="inlineStr"/>
    </row>
    <row r="313" ht="15" customHeight="1">
      <c r="A313" t="inlineStr">
        <is>
          <t>A 4387-2023</t>
        </is>
      </c>
      <c r="B313" s="1" t="n">
        <v>44955.73359953704</v>
      </c>
      <c r="C313" s="1" t="n">
        <v>46107</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61682-2024</t>
        </is>
      </c>
      <c r="B314" s="1" t="n">
        <v>45647.48824074074</v>
      </c>
      <c r="C314" s="1" t="n">
        <v>46107</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39479-2022</t>
        </is>
      </c>
      <c r="B315" s="1" t="n">
        <v>44818</v>
      </c>
      <c r="C315" s="1" t="n">
        <v>46107</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42608-2025</t>
        </is>
      </c>
      <c r="B316" s="1" t="n">
        <v>45905</v>
      </c>
      <c r="C316" s="1" t="n">
        <v>46107</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51963-2024</t>
        </is>
      </c>
      <c r="B317" s="1" t="n">
        <v>45607.64833333333</v>
      </c>
      <c r="C317" s="1" t="n">
        <v>46107</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811-2023</t>
        </is>
      </c>
      <c r="B318" s="1" t="n">
        <v>44931</v>
      </c>
      <c r="C318" s="1" t="n">
        <v>46107</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16373-2025</t>
        </is>
      </c>
      <c r="B319" s="1" t="n">
        <v>45751</v>
      </c>
      <c r="C319" s="1" t="n">
        <v>46107</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46389-2021</t>
        </is>
      </c>
      <c r="B320" s="1" t="n">
        <v>44443</v>
      </c>
      <c r="C320" s="1" t="n">
        <v>46107</v>
      </c>
      <c r="D320" t="inlineStr">
        <is>
          <t>GOTLANDS LÄN</t>
        </is>
      </c>
      <c r="E320" t="inlineStr">
        <is>
          <t>GOTLAND</t>
        </is>
      </c>
      <c r="F320" t="inlineStr">
        <is>
          <t>Kyrkan</t>
        </is>
      </c>
      <c r="G320" t="n">
        <v>2.1</v>
      </c>
      <c r="H320" t="n">
        <v>0</v>
      </c>
      <c r="I320" t="n">
        <v>0</v>
      </c>
      <c r="J320" t="n">
        <v>0</v>
      </c>
      <c r="K320" t="n">
        <v>0</v>
      </c>
      <c r="L320" t="n">
        <v>0</v>
      </c>
      <c r="M320" t="n">
        <v>0</v>
      </c>
      <c r="N320" t="n">
        <v>0</v>
      </c>
      <c r="O320" t="n">
        <v>0</v>
      </c>
      <c r="P320" t="n">
        <v>0</v>
      </c>
      <c r="Q320" t="n">
        <v>0</v>
      </c>
      <c r="R320" s="2" t="inlineStr"/>
    </row>
    <row r="321" ht="15" customHeight="1">
      <c r="A321" t="inlineStr">
        <is>
          <t>A 26810-2021</t>
        </is>
      </c>
      <c r="B321" s="1" t="n">
        <v>44349.55087962963</v>
      </c>
      <c r="C321" s="1" t="n">
        <v>46107</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5923-2023</t>
        </is>
      </c>
      <c r="B322" s="1" t="n">
        <v>44963.69503472222</v>
      </c>
      <c r="C322" s="1" t="n">
        <v>46107</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33853-2024</t>
        </is>
      </c>
      <c r="B323" s="1" t="n">
        <v>45520.64298611111</v>
      </c>
      <c r="C323" s="1" t="n">
        <v>46107</v>
      </c>
      <c r="D323" t="inlineStr">
        <is>
          <t>GOTLANDS LÄN</t>
        </is>
      </c>
      <c r="E323" t="inlineStr">
        <is>
          <t>GOTLAND</t>
        </is>
      </c>
      <c r="G323" t="n">
        <v>3.9</v>
      </c>
      <c r="H323" t="n">
        <v>0</v>
      </c>
      <c r="I323" t="n">
        <v>0</v>
      </c>
      <c r="J323" t="n">
        <v>0</v>
      </c>
      <c r="K323" t="n">
        <v>0</v>
      </c>
      <c r="L323" t="n">
        <v>0</v>
      </c>
      <c r="M323" t="n">
        <v>0</v>
      </c>
      <c r="N323" t="n">
        <v>0</v>
      </c>
      <c r="O323" t="n">
        <v>0</v>
      </c>
      <c r="P323" t="n">
        <v>0</v>
      </c>
      <c r="Q323" t="n">
        <v>0</v>
      </c>
      <c r="R323" s="2" t="inlineStr"/>
    </row>
    <row r="324" ht="15" customHeight="1">
      <c r="A324" t="inlineStr">
        <is>
          <t>A 10158-2025</t>
        </is>
      </c>
      <c r="B324" s="1" t="n">
        <v>45719</v>
      </c>
      <c r="C324" s="1" t="n">
        <v>46107</v>
      </c>
      <c r="D324" t="inlineStr">
        <is>
          <t>GOTLANDS LÄN</t>
        </is>
      </c>
      <c r="E324" t="inlineStr">
        <is>
          <t>GOTLAND</t>
        </is>
      </c>
      <c r="G324" t="n">
        <v>3.5</v>
      </c>
      <c r="H324" t="n">
        <v>0</v>
      </c>
      <c r="I324" t="n">
        <v>0</v>
      </c>
      <c r="J324" t="n">
        <v>0</v>
      </c>
      <c r="K324" t="n">
        <v>0</v>
      </c>
      <c r="L324" t="n">
        <v>0</v>
      </c>
      <c r="M324" t="n">
        <v>0</v>
      </c>
      <c r="N324" t="n">
        <v>0</v>
      </c>
      <c r="O324" t="n">
        <v>0</v>
      </c>
      <c r="P324" t="n">
        <v>0</v>
      </c>
      <c r="Q324" t="n">
        <v>0</v>
      </c>
      <c r="R324" s="2" t="inlineStr"/>
    </row>
    <row r="325" ht="15" customHeight="1">
      <c r="A325" t="inlineStr">
        <is>
          <t>A 18918-2025</t>
        </is>
      </c>
      <c r="B325" s="1" t="n">
        <v>45764</v>
      </c>
      <c r="C325" s="1" t="n">
        <v>46107</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2674-2023</t>
        </is>
      </c>
      <c r="B326" s="1" t="n">
        <v>44944</v>
      </c>
      <c r="C326" s="1" t="n">
        <v>46107</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43911-2025</t>
        </is>
      </c>
      <c r="B327" s="1" t="n">
        <v>45914.3881712963</v>
      </c>
      <c r="C327" s="1" t="n">
        <v>46107</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44410-2025</t>
        </is>
      </c>
      <c r="B328" s="1" t="n">
        <v>45916.53699074074</v>
      </c>
      <c r="C328" s="1" t="n">
        <v>46107</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43951-2025</t>
        </is>
      </c>
      <c r="B329" s="1" t="n">
        <v>45915.38119212963</v>
      </c>
      <c r="C329" s="1" t="n">
        <v>46107</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44405-2025</t>
        </is>
      </c>
      <c r="B330" s="1" t="n">
        <v>45916.52405092592</v>
      </c>
      <c r="C330" s="1" t="n">
        <v>46107</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10655-2023</t>
        </is>
      </c>
      <c r="B331" s="1" t="n">
        <v>44988.49543981482</v>
      </c>
      <c r="C331" s="1" t="n">
        <v>46107</v>
      </c>
      <c r="D331" t="inlineStr">
        <is>
          <t>GOTLANDS LÄN</t>
        </is>
      </c>
      <c r="E331" t="inlineStr">
        <is>
          <t>GOTLAND</t>
        </is>
      </c>
      <c r="F331" t="inlineStr">
        <is>
          <t>Kyrkan</t>
        </is>
      </c>
      <c r="G331" t="n">
        <v>2</v>
      </c>
      <c r="H331" t="n">
        <v>0</v>
      </c>
      <c r="I331" t="n">
        <v>0</v>
      </c>
      <c r="J331" t="n">
        <v>0</v>
      </c>
      <c r="K331" t="n">
        <v>0</v>
      </c>
      <c r="L331" t="n">
        <v>0</v>
      </c>
      <c r="M331" t="n">
        <v>0</v>
      </c>
      <c r="N331" t="n">
        <v>0</v>
      </c>
      <c r="O331" t="n">
        <v>0</v>
      </c>
      <c r="P331" t="n">
        <v>0</v>
      </c>
      <c r="Q331" t="n">
        <v>0</v>
      </c>
      <c r="R331" s="2" t="inlineStr"/>
    </row>
    <row r="332" ht="15" customHeight="1">
      <c r="A332" t="inlineStr">
        <is>
          <t>A 2719-2023</t>
        </is>
      </c>
      <c r="B332" s="1" t="n">
        <v>44944.55361111111</v>
      </c>
      <c r="C332" s="1" t="n">
        <v>46107</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26891-2024</t>
        </is>
      </c>
      <c r="B333" s="1" t="n">
        <v>45470.65540509259</v>
      </c>
      <c r="C333" s="1" t="n">
        <v>46107</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42007-2023</t>
        </is>
      </c>
      <c r="B334" s="1" t="n">
        <v>45177</v>
      </c>
      <c r="C334" s="1" t="n">
        <v>46107</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9887-2025</t>
        </is>
      </c>
      <c r="B335" s="1" t="n">
        <v>45716</v>
      </c>
      <c r="C335" s="1" t="n">
        <v>46107</v>
      </c>
      <c r="D335" t="inlineStr">
        <is>
          <t>GOTLANDS LÄN</t>
        </is>
      </c>
      <c r="E335" t="inlineStr">
        <is>
          <t>GOTLAND</t>
        </is>
      </c>
      <c r="G335" t="n">
        <v>7.5</v>
      </c>
      <c r="H335" t="n">
        <v>0</v>
      </c>
      <c r="I335" t="n">
        <v>0</v>
      </c>
      <c r="J335" t="n">
        <v>0</v>
      </c>
      <c r="K335" t="n">
        <v>0</v>
      </c>
      <c r="L335" t="n">
        <v>0</v>
      </c>
      <c r="M335" t="n">
        <v>0</v>
      </c>
      <c r="N335" t="n">
        <v>0</v>
      </c>
      <c r="O335" t="n">
        <v>0</v>
      </c>
      <c r="P335" t="n">
        <v>0</v>
      </c>
      <c r="Q335" t="n">
        <v>0</v>
      </c>
      <c r="R335" s="2" t="inlineStr"/>
    </row>
    <row r="336" ht="15" customHeight="1">
      <c r="A336" t="inlineStr">
        <is>
          <t>A 38165-2023</t>
        </is>
      </c>
      <c r="B336" s="1" t="n">
        <v>45161</v>
      </c>
      <c r="C336" s="1" t="n">
        <v>46107</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58388-2022</t>
        </is>
      </c>
      <c r="B337" s="1" t="n">
        <v>44894</v>
      </c>
      <c r="C337" s="1" t="n">
        <v>46107</v>
      </c>
      <c r="D337" t="inlineStr">
        <is>
          <t>GOTLANDS LÄN</t>
        </is>
      </c>
      <c r="E337" t="inlineStr">
        <is>
          <t>GOTLAND</t>
        </is>
      </c>
      <c r="F337" t="inlineStr">
        <is>
          <t>Övriga statliga verk och myndigheter</t>
        </is>
      </c>
      <c r="G337" t="n">
        <v>3.1</v>
      </c>
      <c r="H337" t="n">
        <v>0</v>
      </c>
      <c r="I337" t="n">
        <v>0</v>
      </c>
      <c r="J337" t="n">
        <v>0</v>
      </c>
      <c r="K337" t="n">
        <v>0</v>
      </c>
      <c r="L337" t="n">
        <v>0</v>
      </c>
      <c r="M337" t="n">
        <v>0</v>
      </c>
      <c r="N337" t="n">
        <v>0</v>
      </c>
      <c r="O337" t="n">
        <v>0</v>
      </c>
      <c r="P337" t="n">
        <v>0</v>
      </c>
      <c r="Q337" t="n">
        <v>0</v>
      </c>
      <c r="R337" s="2" t="inlineStr"/>
    </row>
    <row r="338" ht="15" customHeight="1">
      <c r="A338" t="inlineStr">
        <is>
          <t>A 27596-2023</t>
        </is>
      </c>
      <c r="B338" s="1" t="n">
        <v>45097</v>
      </c>
      <c r="C338" s="1" t="n">
        <v>46107</v>
      </c>
      <c r="D338" t="inlineStr">
        <is>
          <t>GOTLANDS LÄN</t>
        </is>
      </c>
      <c r="E338" t="inlineStr">
        <is>
          <t>GOTLAND</t>
        </is>
      </c>
      <c r="G338" t="n">
        <v>3.6</v>
      </c>
      <c r="H338" t="n">
        <v>0</v>
      </c>
      <c r="I338" t="n">
        <v>0</v>
      </c>
      <c r="J338" t="n">
        <v>0</v>
      </c>
      <c r="K338" t="n">
        <v>0</v>
      </c>
      <c r="L338" t="n">
        <v>0</v>
      </c>
      <c r="M338" t="n">
        <v>0</v>
      </c>
      <c r="N338" t="n">
        <v>0</v>
      </c>
      <c r="O338" t="n">
        <v>0</v>
      </c>
      <c r="P338" t="n">
        <v>0</v>
      </c>
      <c r="Q338" t="n">
        <v>0</v>
      </c>
      <c r="R338" s="2" t="inlineStr"/>
    </row>
    <row r="339" ht="15" customHeight="1">
      <c r="A339" t="inlineStr">
        <is>
          <t>A 24825-2024</t>
        </is>
      </c>
      <c r="B339" s="1" t="n">
        <v>45461</v>
      </c>
      <c r="C339" s="1" t="n">
        <v>46107</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6696-2023</t>
        </is>
      </c>
      <c r="B340" s="1" t="n">
        <v>44966.66425925926</v>
      </c>
      <c r="C340" s="1" t="n">
        <v>46107</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21247-2022</t>
        </is>
      </c>
      <c r="B341" s="1" t="n">
        <v>44705.38832175926</v>
      </c>
      <c r="C341" s="1" t="n">
        <v>46107</v>
      </c>
      <c r="D341" t="inlineStr">
        <is>
          <t>GOTLANDS LÄN</t>
        </is>
      </c>
      <c r="E341" t="inlineStr">
        <is>
          <t>GOTLAND</t>
        </is>
      </c>
      <c r="G341" t="n">
        <v>16.2</v>
      </c>
      <c r="H341" t="n">
        <v>0</v>
      </c>
      <c r="I341" t="n">
        <v>0</v>
      </c>
      <c r="J341" t="n">
        <v>0</v>
      </c>
      <c r="K341" t="n">
        <v>0</v>
      </c>
      <c r="L341" t="n">
        <v>0</v>
      </c>
      <c r="M341" t="n">
        <v>0</v>
      </c>
      <c r="N341" t="n">
        <v>0</v>
      </c>
      <c r="O341" t="n">
        <v>0</v>
      </c>
      <c r="P341" t="n">
        <v>0</v>
      </c>
      <c r="Q341" t="n">
        <v>0</v>
      </c>
      <c r="R341" s="2" t="inlineStr"/>
    </row>
    <row r="342" ht="15" customHeight="1">
      <c r="A342" t="inlineStr">
        <is>
          <t>A 456-2023</t>
        </is>
      </c>
      <c r="B342" s="1" t="n">
        <v>44929.87122685185</v>
      </c>
      <c r="C342" s="1" t="n">
        <v>46107</v>
      </c>
      <c r="D342" t="inlineStr">
        <is>
          <t>GOTLANDS LÄN</t>
        </is>
      </c>
      <c r="E342" t="inlineStr">
        <is>
          <t>GOTLAND</t>
        </is>
      </c>
      <c r="G342" t="n">
        <v>3.2</v>
      </c>
      <c r="H342" t="n">
        <v>0</v>
      </c>
      <c r="I342" t="n">
        <v>0</v>
      </c>
      <c r="J342" t="n">
        <v>0</v>
      </c>
      <c r="K342" t="n">
        <v>0</v>
      </c>
      <c r="L342" t="n">
        <v>0</v>
      </c>
      <c r="M342" t="n">
        <v>0</v>
      </c>
      <c r="N342" t="n">
        <v>0</v>
      </c>
      <c r="O342" t="n">
        <v>0</v>
      </c>
      <c r="P342" t="n">
        <v>0</v>
      </c>
      <c r="Q342" t="n">
        <v>0</v>
      </c>
      <c r="R342" s="2" t="inlineStr"/>
    </row>
    <row r="343" ht="15" customHeight="1">
      <c r="A343" t="inlineStr">
        <is>
          <t>A 21792-2024</t>
        </is>
      </c>
      <c r="B343" s="1" t="n">
        <v>45442.64326388889</v>
      </c>
      <c r="C343" s="1" t="n">
        <v>46107</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46107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2714-2023</t>
        </is>
      </c>
      <c r="B345" s="1" t="n">
        <v>44944.54896990741</v>
      </c>
      <c r="C345" s="1" t="n">
        <v>46107</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4421-2024</t>
        </is>
      </c>
      <c r="B346" s="1" t="n">
        <v>45327.45173611111</v>
      </c>
      <c r="C346" s="1" t="n">
        <v>46107</v>
      </c>
      <c r="D346" t="inlineStr">
        <is>
          <t>GOTLANDS LÄN</t>
        </is>
      </c>
      <c r="E346" t="inlineStr">
        <is>
          <t>GOTLAND</t>
        </is>
      </c>
      <c r="G346" t="n">
        <v>5.1</v>
      </c>
      <c r="H346" t="n">
        <v>0</v>
      </c>
      <c r="I346" t="n">
        <v>0</v>
      </c>
      <c r="J346" t="n">
        <v>0</v>
      </c>
      <c r="K346" t="n">
        <v>0</v>
      </c>
      <c r="L346" t="n">
        <v>0</v>
      </c>
      <c r="M346" t="n">
        <v>0</v>
      </c>
      <c r="N346" t="n">
        <v>0</v>
      </c>
      <c r="O346" t="n">
        <v>0</v>
      </c>
      <c r="P346" t="n">
        <v>0</v>
      </c>
      <c r="Q346" t="n">
        <v>0</v>
      </c>
      <c r="R346" s="2" t="inlineStr"/>
    </row>
    <row r="347" ht="15" customHeight="1">
      <c r="A347" t="inlineStr">
        <is>
          <t>A 51782-2023</t>
        </is>
      </c>
      <c r="B347" s="1" t="n">
        <v>45222.80952546297</v>
      </c>
      <c r="C347" s="1" t="n">
        <v>46107</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54268-2022</t>
        </is>
      </c>
      <c r="B348" s="1" t="n">
        <v>44882</v>
      </c>
      <c r="C348" s="1" t="n">
        <v>46107</v>
      </c>
      <c r="D348" t="inlineStr">
        <is>
          <t>GOTLANDS LÄN</t>
        </is>
      </c>
      <c r="E348" t="inlineStr">
        <is>
          <t>GOTLAND</t>
        </is>
      </c>
      <c r="G348" t="n">
        <v>2.7</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46107</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57534-2022</t>
        </is>
      </c>
      <c r="B350" s="1" t="n">
        <v>44896</v>
      </c>
      <c r="C350" s="1" t="n">
        <v>46107</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25866-2022</t>
        </is>
      </c>
      <c r="B351" s="1" t="n">
        <v>44733</v>
      </c>
      <c r="C351" s="1" t="n">
        <v>46107</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43229-2023</t>
        </is>
      </c>
      <c r="B352" s="1" t="n">
        <v>45183.46704861111</v>
      </c>
      <c r="C352" s="1" t="n">
        <v>46107</v>
      </c>
      <c r="D352" t="inlineStr">
        <is>
          <t>GOTLANDS LÄN</t>
        </is>
      </c>
      <c r="E352" t="inlineStr">
        <is>
          <t>GOTLAND</t>
        </is>
      </c>
      <c r="G352" t="n">
        <v>7.1</v>
      </c>
      <c r="H352" t="n">
        <v>0</v>
      </c>
      <c r="I352" t="n">
        <v>0</v>
      </c>
      <c r="J352" t="n">
        <v>0</v>
      </c>
      <c r="K352" t="n">
        <v>0</v>
      </c>
      <c r="L352" t="n">
        <v>0</v>
      </c>
      <c r="M352" t="n">
        <v>0</v>
      </c>
      <c r="N352" t="n">
        <v>0</v>
      </c>
      <c r="O352" t="n">
        <v>0</v>
      </c>
      <c r="P352" t="n">
        <v>0</v>
      </c>
      <c r="Q352" t="n">
        <v>0</v>
      </c>
      <c r="R352" s="2" t="inlineStr"/>
    </row>
    <row r="353" ht="15" customHeight="1">
      <c r="A353" t="inlineStr">
        <is>
          <t>A 1175-2025</t>
        </is>
      </c>
      <c r="B353" s="1" t="n">
        <v>45667.34449074074</v>
      </c>
      <c r="C353" s="1" t="n">
        <v>46107</v>
      </c>
      <c r="D353" t="inlineStr">
        <is>
          <t>GOTLANDS LÄN</t>
        </is>
      </c>
      <c r="E353" t="inlineStr">
        <is>
          <t>GOTLAND</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27095-2022</t>
        </is>
      </c>
      <c r="B354" s="1" t="n">
        <v>44741</v>
      </c>
      <c r="C354" s="1" t="n">
        <v>46107</v>
      </c>
      <c r="D354" t="inlineStr">
        <is>
          <t>GOTLANDS LÄN</t>
        </is>
      </c>
      <c r="E354" t="inlineStr">
        <is>
          <t>GOTLAND</t>
        </is>
      </c>
      <c r="F354" t="inlineStr">
        <is>
          <t>Övriga Aktiebolag</t>
        </is>
      </c>
      <c r="G354" t="n">
        <v>2.9</v>
      </c>
      <c r="H354" t="n">
        <v>0</v>
      </c>
      <c r="I354" t="n">
        <v>0</v>
      </c>
      <c r="J354" t="n">
        <v>0</v>
      </c>
      <c r="K354" t="n">
        <v>0</v>
      </c>
      <c r="L354" t="n">
        <v>0</v>
      </c>
      <c r="M354" t="n">
        <v>0</v>
      </c>
      <c r="N354" t="n">
        <v>0</v>
      </c>
      <c r="O354" t="n">
        <v>0</v>
      </c>
      <c r="P354" t="n">
        <v>0</v>
      </c>
      <c r="Q354" t="n">
        <v>0</v>
      </c>
      <c r="R354" s="2" t="inlineStr"/>
    </row>
    <row r="355" ht="15" customHeight="1">
      <c r="A355" t="inlineStr">
        <is>
          <t>A 22899-2023</t>
        </is>
      </c>
      <c r="B355" s="1" t="n">
        <v>45072</v>
      </c>
      <c r="C355" s="1" t="n">
        <v>46107</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23978-2023</t>
        </is>
      </c>
      <c r="B356" s="1" t="n">
        <v>45078</v>
      </c>
      <c r="C356" s="1" t="n">
        <v>46107</v>
      </c>
      <c r="D356" t="inlineStr">
        <is>
          <t>GOTLANDS LÄN</t>
        </is>
      </c>
      <c r="E356" t="inlineStr">
        <is>
          <t>GOTLAND</t>
        </is>
      </c>
      <c r="F356" t="inlineStr">
        <is>
          <t>Naturvårdsverket</t>
        </is>
      </c>
      <c r="G356" t="n">
        <v>1.7</v>
      </c>
      <c r="H356" t="n">
        <v>0</v>
      </c>
      <c r="I356" t="n">
        <v>0</v>
      </c>
      <c r="J356" t="n">
        <v>0</v>
      </c>
      <c r="K356" t="n">
        <v>0</v>
      </c>
      <c r="L356" t="n">
        <v>0</v>
      </c>
      <c r="M356" t="n">
        <v>0</v>
      </c>
      <c r="N356" t="n">
        <v>0</v>
      </c>
      <c r="O356" t="n">
        <v>0</v>
      </c>
      <c r="P356" t="n">
        <v>0</v>
      </c>
      <c r="Q356" t="n">
        <v>0</v>
      </c>
      <c r="R356" s="2" t="inlineStr"/>
    </row>
    <row r="357" ht="15" customHeight="1">
      <c r="A357" t="inlineStr">
        <is>
          <t>A 34407-2023</t>
        </is>
      </c>
      <c r="B357" s="1" t="n">
        <v>45132</v>
      </c>
      <c r="C357" s="1" t="n">
        <v>46107</v>
      </c>
      <c r="D357" t="inlineStr">
        <is>
          <t>GOTLANDS LÄN</t>
        </is>
      </c>
      <c r="E357" t="inlineStr">
        <is>
          <t>GOTLAND</t>
        </is>
      </c>
      <c r="G357" t="n">
        <v>4.4</v>
      </c>
      <c r="H357" t="n">
        <v>0</v>
      </c>
      <c r="I357" t="n">
        <v>0</v>
      </c>
      <c r="J357" t="n">
        <v>0</v>
      </c>
      <c r="K357" t="n">
        <v>0</v>
      </c>
      <c r="L357" t="n">
        <v>0</v>
      </c>
      <c r="M357" t="n">
        <v>0</v>
      </c>
      <c r="N357" t="n">
        <v>0</v>
      </c>
      <c r="O357" t="n">
        <v>0</v>
      </c>
      <c r="P357" t="n">
        <v>0</v>
      </c>
      <c r="Q357" t="n">
        <v>0</v>
      </c>
      <c r="R357" s="2" t="inlineStr"/>
    </row>
    <row r="358" ht="15" customHeight="1">
      <c r="A358" t="inlineStr">
        <is>
          <t>A 11013-2024</t>
        </is>
      </c>
      <c r="B358" s="1" t="n">
        <v>45370</v>
      </c>
      <c r="C358" s="1" t="n">
        <v>46107</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27694-2024</t>
        </is>
      </c>
      <c r="B359" s="1" t="n">
        <v>45475</v>
      </c>
      <c r="C359" s="1" t="n">
        <v>46107</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17688-2024</t>
        </is>
      </c>
      <c r="B360" s="1" t="n">
        <v>45418.43575231481</v>
      </c>
      <c r="C360" s="1" t="n">
        <v>46107</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15083-2025</t>
        </is>
      </c>
      <c r="B361" s="1" t="n">
        <v>45743</v>
      </c>
      <c r="C361" s="1" t="n">
        <v>46107</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47637-2025</t>
        </is>
      </c>
      <c r="B362" s="1" t="n">
        <v>45931.49753472222</v>
      </c>
      <c r="C362" s="1" t="n">
        <v>46107</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13037-2025</t>
        </is>
      </c>
      <c r="B363" s="1" t="n">
        <v>45734</v>
      </c>
      <c r="C363" s="1" t="n">
        <v>46107</v>
      </c>
      <c r="D363" t="inlineStr">
        <is>
          <t>GOTLANDS LÄN</t>
        </is>
      </c>
      <c r="E363" t="inlineStr">
        <is>
          <t>GOTLAND</t>
        </is>
      </c>
      <c r="G363" t="n">
        <v>9.5</v>
      </c>
      <c r="H363" t="n">
        <v>0</v>
      </c>
      <c r="I363" t="n">
        <v>0</v>
      </c>
      <c r="J363" t="n">
        <v>0</v>
      </c>
      <c r="K363" t="n">
        <v>0</v>
      </c>
      <c r="L363" t="n">
        <v>0</v>
      </c>
      <c r="M363" t="n">
        <v>0</v>
      </c>
      <c r="N363" t="n">
        <v>0</v>
      </c>
      <c r="O363" t="n">
        <v>0</v>
      </c>
      <c r="P363" t="n">
        <v>0</v>
      </c>
      <c r="Q363" t="n">
        <v>0</v>
      </c>
      <c r="R363" s="2" t="inlineStr"/>
    </row>
    <row r="364" ht="15" customHeight="1">
      <c r="A364" t="inlineStr">
        <is>
          <t>A 458-2023</t>
        </is>
      </c>
      <c r="B364" s="1" t="n">
        <v>44929</v>
      </c>
      <c r="C364" s="1" t="n">
        <v>46107</v>
      </c>
      <c r="D364" t="inlineStr">
        <is>
          <t>GOTLANDS LÄN</t>
        </is>
      </c>
      <c r="E364" t="inlineStr">
        <is>
          <t>GOTLAND</t>
        </is>
      </c>
      <c r="G364" t="n">
        <v>3.6</v>
      </c>
      <c r="H364" t="n">
        <v>0</v>
      </c>
      <c r="I364" t="n">
        <v>0</v>
      </c>
      <c r="J364" t="n">
        <v>0</v>
      </c>
      <c r="K364" t="n">
        <v>0</v>
      </c>
      <c r="L364" t="n">
        <v>0</v>
      </c>
      <c r="M364" t="n">
        <v>0</v>
      </c>
      <c r="N364" t="n">
        <v>0</v>
      </c>
      <c r="O364" t="n">
        <v>0</v>
      </c>
      <c r="P364" t="n">
        <v>0</v>
      </c>
      <c r="Q364" t="n">
        <v>0</v>
      </c>
      <c r="R364" s="2" t="inlineStr"/>
    </row>
    <row r="365" ht="15" customHeight="1">
      <c r="A365" t="inlineStr">
        <is>
          <t>A 7837-2024</t>
        </is>
      </c>
      <c r="B365" s="1" t="n">
        <v>45349.83787037037</v>
      </c>
      <c r="C365" s="1" t="n">
        <v>46107</v>
      </c>
      <c r="D365" t="inlineStr">
        <is>
          <t>GOTLANDS LÄN</t>
        </is>
      </c>
      <c r="E365" t="inlineStr">
        <is>
          <t>GOTLAND</t>
        </is>
      </c>
      <c r="G365" t="n">
        <v>5</v>
      </c>
      <c r="H365" t="n">
        <v>0</v>
      </c>
      <c r="I365" t="n">
        <v>0</v>
      </c>
      <c r="J365" t="n">
        <v>0</v>
      </c>
      <c r="K365" t="n">
        <v>0</v>
      </c>
      <c r="L365" t="n">
        <v>0</v>
      </c>
      <c r="M365" t="n">
        <v>0</v>
      </c>
      <c r="N365" t="n">
        <v>0</v>
      </c>
      <c r="O365" t="n">
        <v>0</v>
      </c>
      <c r="P365" t="n">
        <v>0</v>
      </c>
      <c r="Q365" t="n">
        <v>0</v>
      </c>
      <c r="R365" s="2" t="inlineStr"/>
    </row>
    <row r="366" ht="15" customHeight="1">
      <c r="A366" t="inlineStr">
        <is>
          <t>A 44228-2022</t>
        </is>
      </c>
      <c r="B366" s="1" t="n">
        <v>44839.51599537037</v>
      </c>
      <c r="C366" s="1" t="n">
        <v>46107</v>
      </c>
      <c r="D366" t="inlineStr">
        <is>
          <t>GOTLANDS LÄN</t>
        </is>
      </c>
      <c r="E366" t="inlineStr">
        <is>
          <t>GOTLAND</t>
        </is>
      </c>
      <c r="G366" t="n">
        <v>2.1</v>
      </c>
      <c r="H366" t="n">
        <v>0</v>
      </c>
      <c r="I366" t="n">
        <v>0</v>
      </c>
      <c r="J366" t="n">
        <v>0</v>
      </c>
      <c r="K366" t="n">
        <v>0</v>
      </c>
      <c r="L366" t="n">
        <v>0</v>
      </c>
      <c r="M366" t="n">
        <v>0</v>
      </c>
      <c r="N366" t="n">
        <v>0</v>
      </c>
      <c r="O366" t="n">
        <v>0</v>
      </c>
      <c r="P366" t="n">
        <v>0</v>
      </c>
      <c r="Q366" t="n">
        <v>0</v>
      </c>
      <c r="R366" s="2" t="inlineStr"/>
    </row>
    <row r="367" ht="15" customHeight="1">
      <c r="A367" t="inlineStr">
        <is>
          <t>A 32378-2025</t>
        </is>
      </c>
      <c r="B367" s="1" t="n">
        <v>45837</v>
      </c>
      <c r="C367" s="1" t="n">
        <v>46107</v>
      </c>
      <c r="D367" t="inlineStr">
        <is>
          <t>GOTLANDS LÄN</t>
        </is>
      </c>
      <c r="E367" t="inlineStr">
        <is>
          <t>GOTLAND</t>
        </is>
      </c>
      <c r="G367" t="n">
        <v>4.1</v>
      </c>
      <c r="H367" t="n">
        <v>0</v>
      </c>
      <c r="I367" t="n">
        <v>0</v>
      </c>
      <c r="J367" t="n">
        <v>0</v>
      </c>
      <c r="K367" t="n">
        <v>0</v>
      </c>
      <c r="L367" t="n">
        <v>0</v>
      </c>
      <c r="M367" t="n">
        <v>0</v>
      </c>
      <c r="N367" t="n">
        <v>0</v>
      </c>
      <c r="O367" t="n">
        <v>0</v>
      </c>
      <c r="P367" t="n">
        <v>0</v>
      </c>
      <c r="Q367" t="n">
        <v>0</v>
      </c>
      <c r="R367" s="2" t="inlineStr"/>
    </row>
    <row r="368" ht="15" customHeight="1">
      <c r="A368" t="inlineStr">
        <is>
          <t>A 58132-2023</t>
        </is>
      </c>
      <c r="B368" s="1" t="n">
        <v>45250</v>
      </c>
      <c r="C368" s="1" t="n">
        <v>46107</v>
      </c>
      <c r="D368" t="inlineStr">
        <is>
          <t>GOTLANDS LÄN</t>
        </is>
      </c>
      <c r="E368" t="inlineStr">
        <is>
          <t>GOTLAND</t>
        </is>
      </c>
      <c r="G368" t="n">
        <v>3.1</v>
      </c>
      <c r="H368" t="n">
        <v>0</v>
      </c>
      <c r="I368" t="n">
        <v>0</v>
      </c>
      <c r="J368" t="n">
        <v>0</v>
      </c>
      <c r="K368" t="n">
        <v>0</v>
      </c>
      <c r="L368" t="n">
        <v>0</v>
      </c>
      <c r="M368" t="n">
        <v>0</v>
      </c>
      <c r="N368" t="n">
        <v>0</v>
      </c>
      <c r="O368" t="n">
        <v>0</v>
      </c>
      <c r="P368" t="n">
        <v>0</v>
      </c>
      <c r="Q368" t="n">
        <v>0</v>
      </c>
      <c r="R368" s="2" t="inlineStr"/>
    </row>
    <row r="369" ht="15" customHeight="1">
      <c r="A369" t="inlineStr">
        <is>
          <t>A 4568-2025</t>
        </is>
      </c>
      <c r="B369" s="1" t="n">
        <v>45687</v>
      </c>
      <c r="C369" s="1" t="n">
        <v>46107</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35550-2025</t>
        </is>
      </c>
      <c r="B370" s="1" t="n">
        <v>45856.49324074074</v>
      </c>
      <c r="C370" s="1" t="n">
        <v>46107</v>
      </c>
      <c r="D370" t="inlineStr">
        <is>
          <t>GOTLANDS LÄN</t>
        </is>
      </c>
      <c r="E370" t="inlineStr">
        <is>
          <t>GOTLAND</t>
        </is>
      </c>
      <c r="G370" t="n">
        <v>3.2</v>
      </c>
      <c r="H370" t="n">
        <v>0</v>
      </c>
      <c r="I370" t="n">
        <v>0</v>
      </c>
      <c r="J370" t="n">
        <v>0</v>
      </c>
      <c r="K370" t="n">
        <v>0</v>
      </c>
      <c r="L370" t="n">
        <v>0</v>
      </c>
      <c r="M370" t="n">
        <v>0</v>
      </c>
      <c r="N370" t="n">
        <v>0</v>
      </c>
      <c r="O370" t="n">
        <v>0</v>
      </c>
      <c r="P370" t="n">
        <v>0</v>
      </c>
      <c r="Q370" t="n">
        <v>0</v>
      </c>
      <c r="R370" s="2" t="inlineStr"/>
    </row>
    <row r="371" ht="15" customHeight="1">
      <c r="A371" t="inlineStr">
        <is>
          <t>A 49884-2023</t>
        </is>
      </c>
      <c r="B371" s="1" t="n">
        <v>45213</v>
      </c>
      <c r="C371" s="1" t="n">
        <v>46107</v>
      </c>
      <c r="D371" t="inlineStr">
        <is>
          <t>GOTLANDS LÄN</t>
        </is>
      </c>
      <c r="E371" t="inlineStr">
        <is>
          <t>GOTLAND</t>
        </is>
      </c>
      <c r="G371" t="n">
        <v>8.9</v>
      </c>
      <c r="H371" t="n">
        <v>0</v>
      </c>
      <c r="I371" t="n">
        <v>0</v>
      </c>
      <c r="J371" t="n">
        <v>0</v>
      </c>
      <c r="K371" t="n">
        <v>0</v>
      </c>
      <c r="L371" t="n">
        <v>0</v>
      </c>
      <c r="M371" t="n">
        <v>0</v>
      </c>
      <c r="N371" t="n">
        <v>0</v>
      </c>
      <c r="O371" t="n">
        <v>0</v>
      </c>
      <c r="P371" t="n">
        <v>0</v>
      </c>
      <c r="Q371" t="n">
        <v>0</v>
      </c>
      <c r="R371" s="2" t="inlineStr"/>
    </row>
    <row r="372" ht="15" customHeight="1">
      <c r="A372" t="inlineStr">
        <is>
          <t>A 47578-2025</t>
        </is>
      </c>
      <c r="B372" s="1" t="n">
        <v>45931</v>
      </c>
      <c r="C372" s="1" t="n">
        <v>46107</v>
      </c>
      <c r="D372" t="inlineStr">
        <is>
          <t>GOTLANDS LÄN</t>
        </is>
      </c>
      <c r="E372" t="inlineStr">
        <is>
          <t>GOTLAND</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876-2024</t>
        </is>
      </c>
      <c r="B373" s="1" t="n">
        <v>45301</v>
      </c>
      <c r="C373" s="1" t="n">
        <v>46107</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49724-2025</t>
        </is>
      </c>
      <c r="B374" s="1" t="n">
        <v>45939.83730324074</v>
      </c>
      <c r="C374" s="1" t="n">
        <v>46107</v>
      </c>
      <c r="D374" t="inlineStr">
        <is>
          <t>GOTLANDS LÄN</t>
        </is>
      </c>
      <c r="E374" t="inlineStr">
        <is>
          <t>GOTLAND</t>
        </is>
      </c>
      <c r="F374" t="inlineStr">
        <is>
          <t>Kyrkan</t>
        </is>
      </c>
      <c r="G374" t="n">
        <v>3.1</v>
      </c>
      <c r="H374" t="n">
        <v>0</v>
      </c>
      <c r="I374" t="n">
        <v>0</v>
      </c>
      <c r="J374" t="n">
        <v>0</v>
      </c>
      <c r="K374" t="n">
        <v>0</v>
      </c>
      <c r="L374" t="n">
        <v>0</v>
      </c>
      <c r="M374" t="n">
        <v>0</v>
      </c>
      <c r="N374" t="n">
        <v>0</v>
      </c>
      <c r="O374" t="n">
        <v>0</v>
      </c>
      <c r="P374" t="n">
        <v>0</v>
      </c>
      <c r="Q374" t="n">
        <v>0</v>
      </c>
      <c r="R374" s="2" t="inlineStr"/>
    </row>
    <row r="375" ht="15" customHeight="1">
      <c r="A375" t="inlineStr">
        <is>
          <t>A 49730-2025</t>
        </is>
      </c>
      <c r="B375" s="1" t="n">
        <v>45939.87613425926</v>
      </c>
      <c r="C375" s="1" t="n">
        <v>46107</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22704-2023</t>
        </is>
      </c>
      <c r="B376" s="1" t="n">
        <v>45071</v>
      </c>
      <c r="C376" s="1" t="n">
        <v>46107</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28425-2023</t>
        </is>
      </c>
      <c r="B377" s="1" t="n">
        <v>45102</v>
      </c>
      <c r="C377" s="1" t="n">
        <v>46107</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49690-2025</t>
        </is>
      </c>
      <c r="B378" s="1" t="n">
        <v>45939.66730324074</v>
      </c>
      <c r="C378" s="1" t="n">
        <v>46107</v>
      </c>
      <c r="D378" t="inlineStr">
        <is>
          <t>GOTLANDS LÄN</t>
        </is>
      </c>
      <c r="E378" t="inlineStr">
        <is>
          <t>GOTLAND</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58476-2022</t>
        </is>
      </c>
      <c r="B379" s="1" t="n">
        <v>44902</v>
      </c>
      <c r="C379" s="1" t="n">
        <v>46107</v>
      </c>
      <c r="D379" t="inlineStr">
        <is>
          <t>GOTLANDS LÄN</t>
        </is>
      </c>
      <c r="E379" t="inlineStr">
        <is>
          <t>GOTLAND</t>
        </is>
      </c>
      <c r="G379" t="n">
        <v>0.9</v>
      </c>
      <c r="H379" t="n">
        <v>0</v>
      </c>
      <c r="I379" t="n">
        <v>0</v>
      </c>
      <c r="J379" t="n">
        <v>0</v>
      </c>
      <c r="K379" t="n">
        <v>0</v>
      </c>
      <c r="L379" t="n">
        <v>0</v>
      </c>
      <c r="M379" t="n">
        <v>0</v>
      </c>
      <c r="N379" t="n">
        <v>0</v>
      </c>
      <c r="O379" t="n">
        <v>0</v>
      </c>
      <c r="P379" t="n">
        <v>0</v>
      </c>
      <c r="Q379" t="n">
        <v>0</v>
      </c>
      <c r="R379" s="2" t="inlineStr"/>
    </row>
    <row r="380" ht="15" customHeight="1">
      <c r="A380" t="inlineStr">
        <is>
          <t>A 33011-2025</t>
        </is>
      </c>
      <c r="B380" s="1" t="n">
        <v>45840</v>
      </c>
      <c r="C380" s="1" t="n">
        <v>46107</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35512-2023</t>
        </is>
      </c>
      <c r="B381" s="1" t="n">
        <v>45147.25623842593</v>
      </c>
      <c r="C381" s="1" t="n">
        <v>46107</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5905-2024</t>
        </is>
      </c>
      <c r="B382" s="1" t="n">
        <v>45335.88993055555</v>
      </c>
      <c r="C382" s="1" t="n">
        <v>46107</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50421-2025</t>
        </is>
      </c>
      <c r="B383" s="1" t="n">
        <v>45944.66049768519</v>
      </c>
      <c r="C383" s="1" t="n">
        <v>46107</v>
      </c>
      <c r="D383" t="inlineStr">
        <is>
          <t>GOTLANDS LÄN</t>
        </is>
      </c>
      <c r="E383" t="inlineStr">
        <is>
          <t>GOTLAND</t>
        </is>
      </c>
      <c r="G383" t="n">
        <v>3.9</v>
      </c>
      <c r="H383" t="n">
        <v>0</v>
      </c>
      <c r="I383" t="n">
        <v>0</v>
      </c>
      <c r="J383" t="n">
        <v>0</v>
      </c>
      <c r="K383" t="n">
        <v>0</v>
      </c>
      <c r="L383" t="n">
        <v>0</v>
      </c>
      <c r="M383" t="n">
        <v>0</v>
      </c>
      <c r="N383" t="n">
        <v>0</v>
      </c>
      <c r="O383" t="n">
        <v>0</v>
      </c>
      <c r="P383" t="n">
        <v>0</v>
      </c>
      <c r="Q383" t="n">
        <v>0</v>
      </c>
      <c r="R383" s="2" t="inlineStr"/>
    </row>
    <row r="384" ht="15" customHeight="1">
      <c r="A384" t="inlineStr">
        <is>
          <t>A 43200-2023</t>
        </is>
      </c>
      <c r="B384" s="1" t="n">
        <v>45183</v>
      </c>
      <c r="C384" s="1" t="n">
        <v>46107</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43223-2023</t>
        </is>
      </c>
      <c r="B385" s="1" t="n">
        <v>45183.45642361111</v>
      </c>
      <c r="C385" s="1" t="n">
        <v>46107</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12327-2025</t>
        </is>
      </c>
      <c r="B386" s="1" t="n">
        <v>45730</v>
      </c>
      <c r="C386" s="1" t="n">
        <v>46107</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3431-2025</t>
        </is>
      </c>
      <c r="B387" s="1" t="n">
        <v>45680.42935185185</v>
      </c>
      <c r="C387" s="1" t="n">
        <v>46107</v>
      </c>
      <c r="D387" t="inlineStr">
        <is>
          <t>GOTLANDS LÄN</t>
        </is>
      </c>
      <c r="E387" t="inlineStr">
        <is>
          <t>GOTLAND</t>
        </is>
      </c>
      <c r="G387" t="n">
        <v>4.8</v>
      </c>
      <c r="H387" t="n">
        <v>0</v>
      </c>
      <c r="I387" t="n">
        <v>0</v>
      </c>
      <c r="J387" t="n">
        <v>0</v>
      </c>
      <c r="K387" t="n">
        <v>0</v>
      </c>
      <c r="L387" t="n">
        <v>0</v>
      </c>
      <c r="M387" t="n">
        <v>0</v>
      </c>
      <c r="N387" t="n">
        <v>0</v>
      </c>
      <c r="O387" t="n">
        <v>0</v>
      </c>
      <c r="P387" t="n">
        <v>0</v>
      </c>
      <c r="Q387" t="n">
        <v>0</v>
      </c>
      <c r="R387" s="2" t="inlineStr"/>
    </row>
    <row r="388" ht="15" customHeight="1">
      <c r="A388" t="inlineStr">
        <is>
          <t>A 12209-2024</t>
        </is>
      </c>
      <c r="B388" s="1" t="n">
        <v>45378</v>
      </c>
      <c r="C388" s="1" t="n">
        <v>46107</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12210-2024</t>
        </is>
      </c>
      <c r="B389" s="1" t="n">
        <v>45378</v>
      </c>
      <c r="C389" s="1" t="n">
        <v>46107</v>
      </c>
      <c r="D389" t="inlineStr">
        <is>
          <t>GOTLANDS LÄN</t>
        </is>
      </c>
      <c r="E389" t="inlineStr">
        <is>
          <t>GOTLAND</t>
        </is>
      </c>
      <c r="G389" t="n">
        <v>4.1</v>
      </c>
      <c r="H389" t="n">
        <v>0</v>
      </c>
      <c r="I389" t="n">
        <v>0</v>
      </c>
      <c r="J389" t="n">
        <v>0</v>
      </c>
      <c r="K389" t="n">
        <v>0</v>
      </c>
      <c r="L389" t="n">
        <v>0</v>
      </c>
      <c r="M389" t="n">
        <v>0</v>
      </c>
      <c r="N389" t="n">
        <v>0</v>
      </c>
      <c r="O389" t="n">
        <v>0</v>
      </c>
      <c r="P389" t="n">
        <v>0</v>
      </c>
      <c r="Q389" t="n">
        <v>0</v>
      </c>
      <c r="R389" s="2" t="inlineStr"/>
    </row>
    <row r="390" ht="15" customHeight="1">
      <c r="A390" t="inlineStr">
        <is>
          <t>A 50431-2025</t>
        </is>
      </c>
      <c r="B390" s="1" t="n">
        <v>45944.68453703704</v>
      </c>
      <c r="C390" s="1" t="n">
        <v>46107</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1364-2025</t>
        </is>
      </c>
      <c r="B391" s="1" t="n">
        <v>45667.63929398148</v>
      </c>
      <c r="C391" s="1" t="n">
        <v>46107</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1291-2023</t>
        </is>
      </c>
      <c r="B392" s="1" t="n">
        <v>44936.47561342592</v>
      </c>
      <c r="C392" s="1" t="n">
        <v>46107</v>
      </c>
      <c r="D392" t="inlineStr">
        <is>
          <t>GOTLANDS LÄN</t>
        </is>
      </c>
      <c r="E392" t="inlineStr">
        <is>
          <t>GOTLAND</t>
        </is>
      </c>
      <c r="G392" t="n">
        <v>7.4</v>
      </c>
      <c r="H392" t="n">
        <v>0</v>
      </c>
      <c r="I392" t="n">
        <v>0</v>
      </c>
      <c r="J392" t="n">
        <v>0</v>
      </c>
      <c r="K392" t="n">
        <v>0</v>
      </c>
      <c r="L392" t="n">
        <v>0</v>
      </c>
      <c r="M392" t="n">
        <v>0</v>
      </c>
      <c r="N392" t="n">
        <v>0</v>
      </c>
      <c r="O392" t="n">
        <v>0</v>
      </c>
      <c r="P392" t="n">
        <v>0</v>
      </c>
      <c r="Q392" t="n">
        <v>0</v>
      </c>
      <c r="R392" s="2" t="inlineStr"/>
    </row>
    <row r="393" ht="15" customHeight="1">
      <c r="A393" t="inlineStr">
        <is>
          <t>A 15042-2025</t>
        </is>
      </c>
      <c r="B393" s="1" t="n">
        <v>45743</v>
      </c>
      <c r="C393" s="1" t="n">
        <v>46107</v>
      </c>
      <c r="D393" t="inlineStr">
        <is>
          <t>GOTLANDS LÄN</t>
        </is>
      </c>
      <c r="E393" t="inlineStr">
        <is>
          <t>GOTLAND</t>
        </is>
      </c>
      <c r="G393" t="n">
        <v>8.5</v>
      </c>
      <c r="H393" t="n">
        <v>0</v>
      </c>
      <c r="I393" t="n">
        <v>0</v>
      </c>
      <c r="J393" t="n">
        <v>0</v>
      </c>
      <c r="K393" t="n">
        <v>0</v>
      </c>
      <c r="L393" t="n">
        <v>0</v>
      </c>
      <c r="M393" t="n">
        <v>0</v>
      </c>
      <c r="N393" t="n">
        <v>0</v>
      </c>
      <c r="O393" t="n">
        <v>0</v>
      </c>
      <c r="P393" t="n">
        <v>0</v>
      </c>
      <c r="Q393" t="n">
        <v>0</v>
      </c>
      <c r="R393" s="2" t="inlineStr"/>
    </row>
    <row r="394" ht="15" customHeight="1">
      <c r="A394" t="inlineStr">
        <is>
          <t>A 50928-2025</t>
        </is>
      </c>
      <c r="B394" s="1" t="n">
        <v>45946.67896990741</v>
      </c>
      <c r="C394" s="1" t="n">
        <v>46107</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2180-2025</t>
        </is>
      </c>
      <c r="B395" s="1" t="n">
        <v>45673</v>
      </c>
      <c r="C395" s="1" t="n">
        <v>46107</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15436-2025</t>
        </is>
      </c>
      <c r="B396" s="1" t="n">
        <v>45747.47462962963</v>
      </c>
      <c r="C396" s="1" t="n">
        <v>46107</v>
      </c>
      <c r="D396" t="inlineStr">
        <is>
          <t>GOTLANDS LÄN</t>
        </is>
      </c>
      <c r="E396" t="inlineStr">
        <is>
          <t>GOTLAND</t>
        </is>
      </c>
      <c r="G396" t="n">
        <v>4.1</v>
      </c>
      <c r="H396" t="n">
        <v>0</v>
      </c>
      <c r="I396" t="n">
        <v>0</v>
      </c>
      <c r="J396" t="n">
        <v>0</v>
      </c>
      <c r="K396" t="n">
        <v>0</v>
      </c>
      <c r="L396" t="n">
        <v>0</v>
      </c>
      <c r="M396" t="n">
        <v>0</v>
      </c>
      <c r="N396" t="n">
        <v>0</v>
      </c>
      <c r="O396" t="n">
        <v>0</v>
      </c>
      <c r="P396" t="n">
        <v>0</v>
      </c>
      <c r="Q396" t="n">
        <v>0</v>
      </c>
      <c r="R396" s="2" t="inlineStr"/>
    </row>
    <row r="397" ht="15" customHeight="1">
      <c r="A397" t="inlineStr">
        <is>
          <t>A 57652-2023</t>
        </is>
      </c>
      <c r="B397" s="1" t="n">
        <v>45246</v>
      </c>
      <c r="C397" s="1" t="n">
        <v>46107</v>
      </c>
      <c r="D397" t="inlineStr">
        <is>
          <t>GOTLANDS LÄN</t>
        </is>
      </c>
      <c r="E397" t="inlineStr">
        <is>
          <t>GOTLAND</t>
        </is>
      </c>
      <c r="G397" t="n">
        <v>7.2</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46107</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46107</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56115-2023</t>
        </is>
      </c>
      <c r="B400" s="1" t="n">
        <v>45236</v>
      </c>
      <c r="C400" s="1" t="n">
        <v>46107</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51262-2025</t>
        </is>
      </c>
      <c r="B401" s="1" t="n">
        <v>45949.49872685185</v>
      </c>
      <c r="C401" s="1" t="n">
        <v>46107</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49315-2024</t>
        </is>
      </c>
      <c r="B402" s="1" t="n">
        <v>45595</v>
      </c>
      <c r="C402" s="1" t="n">
        <v>46107</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45106-2024</t>
        </is>
      </c>
      <c r="B403" s="1" t="n">
        <v>45575</v>
      </c>
      <c r="C403" s="1" t="n">
        <v>46107</v>
      </c>
      <c r="D403" t="inlineStr">
        <is>
          <t>GOTLANDS LÄN</t>
        </is>
      </c>
      <c r="E403" t="inlineStr">
        <is>
          <t>GOTLAND</t>
        </is>
      </c>
      <c r="G403" t="n">
        <v>10</v>
      </c>
      <c r="H403" t="n">
        <v>0</v>
      </c>
      <c r="I403" t="n">
        <v>0</v>
      </c>
      <c r="J403" t="n">
        <v>0</v>
      </c>
      <c r="K403" t="n">
        <v>0</v>
      </c>
      <c r="L403" t="n">
        <v>0</v>
      </c>
      <c r="M403" t="n">
        <v>0</v>
      </c>
      <c r="N403" t="n">
        <v>0</v>
      </c>
      <c r="O403" t="n">
        <v>0</v>
      </c>
      <c r="P403" t="n">
        <v>0</v>
      </c>
      <c r="Q403" t="n">
        <v>0</v>
      </c>
      <c r="R403" s="2" t="inlineStr"/>
    </row>
    <row r="404" ht="15" customHeight="1">
      <c r="A404" t="inlineStr">
        <is>
          <t>A 45112-2024</t>
        </is>
      </c>
      <c r="B404" s="1" t="n">
        <v>45575</v>
      </c>
      <c r="C404" s="1" t="n">
        <v>46107</v>
      </c>
      <c r="D404" t="inlineStr">
        <is>
          <t>GOTLANDS LÄN</t>
        </is>
      </c>
      <c r="E404" t="inlineStr">
        <is>
          <t>GOTLAND</t>
        </is>
      </c>
      <c r="G404" t="n">
        <v>5.1</v>
      </c>
      <c r="H404" t="n">
        <v>0</v>
      </c>
      <c r="I404" t="n">
        <v>0</v>
      </c>
      <c r="J404" t="n">
        <v>0</v>
      </c>
      <c r="K404" t="n">
        <v>0</v>
      </c>
      <c r="L404" t="n">
        <v>0</v>
      </c>
      <c r="M404" t="n">
        <v>0</v>
      </c>
      <c r="N404" t="n">
        <v>0</v>
      </c>
      <c r="O404" t="n">
        <v>0</v>
      </c>
      <c r="P404" t="n">
        <v>0</v>
      </c>
      <c r="Q404" t="n">
        <v>0</v>
      </c>
      <c r="R404" s="2" t="inlineStr"/>
    </row>
    <row r="405" ht="15" customHeight="1">
      <c r="A405" t="inlineStr">
        <is>
          <t>A 52249-2025</t>
        </is>
      </c>
      <c r="B405" s="1" t="n">
        <v>45953.48637731482</v>
      </c>
      <c r="C405" s="1" t="n">
        <v>46107</v>
      </c>
      <c r="D405" t="inlineStr">
        <is>
          <t>GOTLANDS LÄN</t>
        </is>
      </c>
      <c r="E405" t="inlineStr">
        <is>
          <t>GOTLAND</t>
        </is>
      </c>
      <c r="F405" t="inlineStr">
        <is>
          <t>Övriga Aktiebolag</t>
        </is>
      </c>
      <c r="G405" t="n">
        <v>1</v>
      </c>
      <c r="H405" t="n">
        <v>0</v>
      </c>
      <c r="I405" t="n">
        <v>0</v>
      </c>
      <c r="J405" t="n">
        <v>0</v>
      </c>
      <c r="K405" t="n">
        <v>0</v>
      </c>
      <c r="L405" t="n">
        <v>0</v>
      </c>
      <c r="M405" t="n">
        <v>0</v>
      </c>
      <c r="N405" t="n">
        <v>0</v>
      </c>
      <c r="O405" t="n">
        <v>0</v>
      </c>
      <c r="P405" t="n">
        <v>0</v>
      </c>
      <c r="Q405" t="n">
        <v>0</v>
      </c>
      <c r="R405" s="2" t="inlineStr"/>
    </row>
    <row r="406" ht="15" customHeight="1">
      <c r="A406" t="inlineStr">
        <is>
          <t>A 2774-2024</t>
        </is>
      </c>
      <c r="B406" s="1" t="n">
        <v>45314.62375</v>
      </c>
      <c r="C406" s="1" t="n">
        <v>46107</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2676-2023</t>
        </is>
      </c>
      <c r="B407" s="1" t="n">
        <v>44944</v>
      </c>
      <c r="C407" s="1" t="n">
        <v>46107</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60709-2023</t>
        </is>
      </c>
      <c r="B408" s="1" t="n">
        <v>45260</v>
      </c>
      <c r="C408" s="1" t="n">
        <v>46107</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52637-2025</t>
        </is>
      </c>
      <c r="B409" s="1" t="n">
        <v>45954.75099537037</v>
      </c>
      <c r="C409" s="1" t="n">
        <v>46107</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64208-2021</t>
        </is>
      </c>
      <c r="B410" s="1" t="n">
        <v>44510</v>
      </c>
      <c r="C410" s="1" t="n">
        <v>46107</v>
      </c>
      <c r="D410" t="inlineStr">
        <is>
          <t>GOTLANDS LÄN</t>
        </is>
      </c>
      <c r="E410" t="inlineStr">
        <is>
          <t>GOTLAND</t>
        </is>
      </c>
      <c r="G410" t="n">
        <v>4.7</v>
      </c>
      <c r="H410" t="n">
        <v>0</v>
      </c>
      <c r="I410" t="n">
        <v>0</v>
      </c>
      <c r="J410" t="n">
        <v>0</v>
      </c>
      <c r="K410" t="n">
        <v>0</v>
      </c>
      <c r="L410" t="n">
        <v>0</v>
      </c>
      <c r="M410" t="n">
        <v>0</v>
      </c>
      <c r="N410" t="n">
        <v>0</v>
      </c>
      <c r="O410" t="n">
        <v>0</v>
      </c>
      <c r="P410" t="n">
        <v>0</v>
      </c>
      <c r="Q410" t="n">
        <v>0</v>
      </c>
      <c r="R410" s="2" t="inlineStr"/>
    </row>
    <row r="411" ht="15" customHeight="1">
      <c r="A411" t="inlineStr">
        <is>
          <t>A 39764-2022</t>
        </is>
      </c>
      <c r="B411" s="1" t="n">
        <v>44819</v>
      </c>
      <c r="C411" s="1" t="n">
        <v>46107</v>
      </c>
      <c r="D411" t="inlineStr">
        <is>
          <t>GOTLANDS LÄN</t>
        </is>
      </c>
      <c r="E411" t="inlineStr">
        <is>
          <t>GOTLAND</t>
        </is>
      </c>
      <c r="F411" t="inlineStr">
        <is>
          <t>Kyrkan</t>
        </is>
      </c>
      <c r="G411" t="n">
        <v>3.7</v>
      </c>
      <c r="H411" t="n">
        <v>0</v>
      </c>
      <c r="I411" t="n">
        <v>0</v>
      </c>
      <c r="J411" t="n">
        <v>0</v>
      </c>
      <c r="K411" t="n">
        <v>0</v>
      </c>
      <c r="L411" t="n">
        <v>0</v>
      </c>
      <c r="M411" t="n">
        <v>0</v>
      </c>
      <c r="N411" t="n">
        <v>0</v>
      </c>
      <c r="O411" t="n">
        <v>0</v>
      </c>
      <c r="P411" t="n">
        <v>0</v>
      </c>
      <c r="Q411" t="n">
        <v>0</v>
      </c>
      <c r="R411" s="2" t="inlineStr"/>
    </row>
    <row r="412" ht="15" customHeight="1">
      <c r="A412" t="inlineStr">
        <is>
          <t>A 3150-2025</t>
        </is>
      </c>
      <c r="B412" s="1" t="n">
        <v>45679.28974537037</v>
      </c>
      <c r="C412" s="1" t="n">
        <v>46107</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8484-2025</t>
        </is>
      </c>
      <c r="B413" s="1" t="n">
        <v>45709</v>
      </c>
      <c r="C413" s="1" t="n">
        <v>46107</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7635-2025</t>
        </is>
      </c>
      <c r="B414" s="1" t="n">
        <v>45705</v>
      </c>
      <c r="C414" s="1" t="n">
        <v>46107</v>
      </c>
      <c r="D414" t="inlineStr">
        <is>
          <t>GOTLANDS LÄN</t>
        </is>
      </c>
      <c r="E414" t="inlineStr">
        <is>
          <t>GOTLAND</t>
        </is>
      </c>
      <c r="G414" t="n">
        <v>0.9</v>
      </c>
      <c r="H414" t="n">
        <v>0</v>
      </c>
      <c r="I414" t="n">
        <v>0</v>
      </c>
      <c r="J414" t="n">
        <v>0</v>
      </c>
      <c r="K414" t="n">
        <v>0</v>
      </c>
      <c r="L414" t="n">
        <v>0</v>
      </c>
      <c r="M414" t="n">
        <v>0</v>
      </c>
      <c r="N414" t="n">
        <v>0</v>
      </c>
      <c r="O414" t="n">
        <v>0</v>
      </c>
      <c r="P414" t="n">
        <v>0</v>
      </c>
      <c r="Q414" t="n">
        <v>0</v>
      </c>
      <c r="R414" s="2" t="inlineStr"/>
    </row>
    <row r="415" ht="15" customHeight="1">
      <c r="A415" t="inlineStr">
        <is>
          <t>A 7636-2025</t>
        </is>
      </c>
      <c r="B415" s="1" t="n">
        <v>45705.7687962963</v>
      </c>
      <c r="C415" s="1" t="n">
        <v>46107</v>
      </c>
      <c r="D415" t="inlineStr">
        <is>
          <t>GOTLANDS LÄN</t>
        </is>
      </c>
      <c r="E415" t="inlineStr">
        <is>
          <t>GOTLAND</t>
        </is>
      </c>
      <c r="G415" t="n">
        <v>0.6</v>
      </c>
      <c r="H415" t="n">
        <v>0</v>
      </c>
      <c r="I415" t="n">
        <v>0</v>
      </c>
      <c r="J415" t="n">
        <v>0</v>
      </c>
      <c r="K415" t="n">
        <v>0</v>
      </c>
      <c r="L415" t="n">
        <v>0</v>
      </c>
      <c r="M415" t="n">
        <v>0</v>
      </c>
      <c r="N415" t="n">
        <v>0</v>
      </c>
      <c r="O415" t="n">
        <v>0</v>
      </c>
      <c r="P415" t="n">
        <v>0</v>
      </c>
      <c r="Q415" t="n">
        <v>0</v>
      </c>
      <c r="R415" s="2" t="inlineStr"/>
    </row>
    <row r="416" ht="15" customHeight="1">
      <c r="A416" t="inlineStr">
        <is>
          <t>A 7639-2025</t>
        </is>
      </c>
      <c r="B416" s="1" t="n">
        <v>45705.77465277778</v>
      </c>
      <c r="C416" s="1" t="n">
        <v>46107</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58211-2024</t>
        </is>
      </c>
      <c r="B417" s="1" t="n">
        <v>45632.49292824074</v>
      </c>
      <c r="C417" s="1" t="n">
        <v>46107</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53569-2025</t>
        </is>
      </c>
      <c r="B418" s="1" t="n">
        <v>45960.41155092593</v>
      </c>
      <c r="C418" s="1" t="n">
        <v>46107</v>
      </c>
      <c r="D418" t="inlineStr">
        <is>
          <t>GOTLANDS LÄN</t>
        </is>
      </c>
      <c r="E418" t="inlineStr">
        <is>
          <t>GOTLAND</t>
        </is>
      </c>
      <c r="F418" t="inlineStr">
        <is>
          <t>Övriga Aktiebolag</t>
        </is>
      </c>
      <c r="G418" t="n">
        <v>11.3</v>
      </c>
      <c r="H418" t="n">
        <v>0</v>
      </c>
      <c r="I418" t="n">
        <v>0</v>
      </c>
      <c r="J418" t="n">
        <v>0</v>
      </c>
      <c r="K418" t="n">
        <v>0</v>
      </c>
      <c r="L418" t="n">
        <v>0</v>
      </c>
      <c r="M418" t="n">
        <v>0</v>
      </c>
      <c r="N418" t="n">
        <v>0</v>
      </c>
      <c r="O418" t="n">
        <v>0</v>
      </c>
      <c r="P418" t="n">
        <v>0</v>
      </c>
      <c r="Q418" t="n">
        <v>0</v>
      </c>
      <c r="R418" s="2" t="inlineStr"/>
    </row>
    <row r="419" ht="15" customHeight="1">
      <c r="A419" t="inlineStr">
        <is>
          <t>A 30956-2024</t>
        </is>
      </c>
      <c r="B419" s="1" t="n">
        <v>45499.42527777778</v>
      </c>
      <c r="C419" s="1" t="n">
        <v>46107</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30892-2024</t>
        </is>
      </c>
      <c r="B420" s="1" t="n">
        <v>45491</v>
      </c>
      <c r="C420" s="1" t="n">
        <v>46107</v>
      </c>
      <c r="D420" t="inlineStr">
        <is>
          <t>GOTLANDS LÄN</t>
        </is>
      </c>
      <c r="E420" t="inlineStr">
        <is>
          <t>GOTLAND</t>
        </is>
      </c>
      <c r="G420" t="n">
        <v>6.1</v>
      </c>
      <c r="H420" t="n">
        <v>0</v>
      </c>
      <c r="I420" t="n">
        <v>0</v>
      </c>
      <c r="J420" t="n">
        <v>0</v>
      </c>
      <c r="K420" t="n">
        <v>0</v>
      </c>
      <c r="L420" t="n">
        <v>0</v>
      </c>
      <c r="M420" t="n">
        <v>0</v>
      </c>
      <c r="N420" t="n">
        <v>0</v>
      </c>
      <c r="O420" t="n">
        <v>0</v>
      </c>
      <c r="P420" t="n">
        <v>0</v>
      </c>
      <c r="Q420" t="n">
        <v>0</v>
      </c>
      <c r="R420" s="2" t="inlineStr"/>
    </row>
    <row r="421" ht="15" customHeight="1">
      <c r="A421" t="inlineStr">
        <is>
          <t>A 14635-2023</t>
        </is>
      </c>
      <c r="B421" s="1" t="n">
        <v>45013.69365740741</v>
      </c>
      <c r="C421" s="1" t="n">
        <v>46107</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53577-2025</t>
        </is>
      </c>
      <c r="B422" s="1" t="n">
        <v>45960.42224537037</v>
      </c>
      <c r="C422" s="1" t="n">
        <v>46107</v>
      </c>
      <c r="D422" t="inlineStr">
        <is>
          <t>GOTLANDS LÄN</t>
        </is>
      </c>
      <c r="E422" t="inlineStr">
        <is>
          <t>GOTLAND</t>
        </is>
      </c>
      <c r="F422" t="inlineStr">
        <is>
          <t>Övriga Aktiebolag</t>
        </is>
      </c>
      <c r="G422" t="n">
        <v>3.3</v>
      </c>
      <c r="H422" t="n">
        <v>0</v>
      </c>
      <c r="I422" t="n">
        <v>0</v>
      </c>
      <c r="J422" t="n">
        <v>0</v>
      </c>
      <c r="K422" t="n">
        <v>0</v>
      </c>
      <c r="L422" t="n">
        <v>0</v>
      </c>
      <c r="M422" t="n">
        <v>0</v>
      </c>
      <c r="N422" t="n">
        <v>0</v>
      </c>
      <c r="O422" t="n">
        <v>0</v>
      </c>
      <c r="P422" t="n">
        <v>0</v>
      </c>
      <c r="Q422" t="n">
        <v>0</v>
      </c>
      <c r="R422" s="2" t="inlineStr"/>
    </row>
    <row r="423" ht="15" customHeight="1">
      <c r="A423" t="inlineStr">
        <is>
          <t>A 20356-2022</t>
        </is>
      </c>
      <c r="B423" s="1" t="n">
        <v>44699</v>
      </c>
      <c r="C423" s="1" t="n">
        <v>46107</v>
      </c>
      <c r="D423" t="inlineStr">
        <is>
          <t>GOTLANDS LÄN</t>
        </is>
      </c>
      <c r="E423" t="inlineStr">
        <is>
          <t>GOTLAND</t>
        </is>
      </c>
      <c r="F423" t="inlineStr">
        <is>
          <t>Övriga Aktiebolag</t>
        </is>
      </c>
      <c r="G423" t="n">
        <v>4.4</v>
      </c>
      <c r="H423" t="n">
        <v>0</v>
      </c>
      <c r="I423" t="n">
        <v>0</v>
      </c>
      <c r="J423" t="n">
        <v>0</v>
      </c>
      <c r="K423" t="n">
        <v>0</v>
      </c>
      <c r="L423" t="n">
        <v>0</v>
      </c>
      <c r="M423" t="n">
        <v>0</v>
      </c>
      <c r="N423" t="n">
        <v>0</v>
      </c>
      <c r="O423" t="n">
        <v>0</v>
      </c>
      <c r="P423" t="n">
        <v>0</v>
      </c>
      <c r="Q423" t="n">
        <v>0</v>
      </c>
      <c r="R423" s="2" t="inlineStr"/>
    </row>
    <row r="424" ht="15" customHeight="1">
      <c r="A424" t="inlineStr">
        <is>
          <t>A 48734-2022</t>
        </is>
      </c>
      <c r="B424" s="1" t="n">
        <v>44855</v>
      </c>
      <c r="C424" s="1" t="n">
        <v>46107</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46107</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29809-2022</t>
        </is>
      </c>
      <c r="B426" s="1" t="n">
        <v>44755.8713425926</v>
      </c>
      <c r="C426" s="1" t="n">
        <v>46107</v>
      </c>
      <c r="D426" t="inlineStr">
        <is>
          <t>GOTLANDS LÄN</t>
        </is>
      </c>
      <c r="E426" t="inlineStr">
        <is>
          <t>GOTLAND</t>
        </is>
      </c>
      <c r="G426" t="n">
        <v>11.5</v>
      </c>
      <c r="H426" t="n">
        <v>0</v>
      </c>
      <c r="I426" t="n">
        <v>0</v>
      </c>
      <c r="J426" t="n">
        <v>0</v>
      </c>
      <c r="K426" t="n">
        <v>0</v>
      </c>
      <c r="L426" t="n">
        <v>0</v>
      </c>
      <c r="M426" t="n">
        <v>0</v>
      </c>
      <c r="N426" t="n">
        <v>0</v>
      </c>
      <c r="O426" t="n">
        <v>0</v>
      </c>
      <c r="P426" t="n">
        <v>0</v>
      </c>
      <c r="Q426" t="n">
        <v>0</v>
      </c>
      <c r="R426" s="2" t="inlineStr"/>
    </row>
    <row r="427" ht="15" customHeight="1">
      <c r="A427" t="inlineStr">
        <is>
          <t>A 59469-2024</t>
        </is>
      </c>
      <c r="B427" s="1" t="n">
        <v>45638</v>
      </c>
      <c r="C427" s="1" t="n">
        <v>46107</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7858-2025</t>
        </is>
      </c>
      <c r="B428" s="1" t="n">
        <v>45706.68633101852</v>
      </c>
      <c r="C428" s="1" t="n">
        <v>46107</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53935-2024</t>
        </is>
      </c>
      <c r="B429" s="1" t="n">
        <v>45615</v>
      </c>
      <c r="C429" s="1" t="n">
        <v>46107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18223-2025</t>
        </is>
      </c>
      <c r="B430" s="1" t="n">
        <v>45761</v>
      </c>
      <c r="C430" s="1" t="n">
        <v>46107</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4420-2025</t>
        </is>
      </c>
      <c r="B431" s="1" t="n">
        <v>45686.47157407407</v>
      </c>
      <c r="C431" s="1" t="n">
        <v>46107</v>
      </c>
      <c r="D431" t="inlineStr">
        <is>
          <t>GOTLANDS LÄN</t>
        </is>
      </c>
      <c r="E431" t="inlineStr">
        <is>
          <t>GOTLAND</t>
        </is>
      </c>
      <c r="G431" t="n">
        <v>1.6</v>
      </c>
      <c r="H431" t="n">
        <v>0</v>
      </c>
      <c r="I431" t="n">
        <v>0</v>
      </c>
      <c r="J431" t="n">
        <v>0</v>
      </c>
      <c r="K431" t="n">
        <v>0</v>
      </c>
      <c r="L431" t="n">
        <v>0</v>
      </c>
      <c r="M431" t="n">
        <v>0</v>
      </c>
      <c r="N431" t="n">
        <v>0</v>
      </c>
      <c r="O431" t="n">
        <v>0</v>
      </c>
      <c r="P431" t="n">
        <v>0</v>
      </c>
      <c r="Q431" t="n">
        <v>0</v>
      </c>
      <c r="R431" s="2" t="inlineStr"/>
    </row>
    <row r="432" ht="15" customHeight="1">
      <c r="A432" t="inlineStr">
        <is>
          <t>A 5891-2025</t>
        </is>
      </c>
      <c r="B432" s="1" t="n">
        <v>45695.38327546296</v>
      </c>
      <c r="C432" s="1" t="n">
        <v>46107</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57685-2022</t>
        </is>
      </c>
      <c r="B433" s="1" t="n">
        <v>44897.4777662037</v>
      </c>
      <c r="C433" s="1" t="n">
        <v>46107</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7835-2024</t>
        </is>
      </c>
      <c r="B434" s="1" t="n">
        <v>45349.83138888889</v>
      </c>
      <c r="C434" s="1" t="n">
        <v>46107</v>
      </c>
      <c r="D434" t="inlineStr">
        <is>
          <t>GOTLANDS LÄN</t>
        </is>
      </c>
      <c r="E434" t="inlineStr">
        <is>
          <t>GOTLAND</t>
        </is>
      </c>
      <c r="G434" t="n">
        <v>3.8</v>
      </c>
      <c r="H434" t="n">
        <v>0</v>
      </c>
      <c r="I434" t="n">
        <v>0</v>
      </c>
      <c r="J434" t="n">
        <v>0</v>
      </c>
      <c r="K434" t="n">
        <v>0</v>
      </c>
      <c r="L434" t="n">
        <v>0</v>
      </c>
      <c r="M434" t="n">
        <v>0</v>
      </c>
      <c r="N434" t="n">
        <v>0</v>
      </c>
      <c r="O434" t="n">
        <v>0</v>
      </c>
      <c r="P434" t="n">
        <v>0</v>
      </c>
      <c r="Q434" t="n">
        <v>0</v>
      </c>
      <c r="R434" s="2" t="inlineStr"/>
    </row>
    <row r="435" ht="15" customHeight="1">
      <c r="A435" t="inlineStr">
        <is>
          <t>A 20794-2025</t>
        </is>
      </c>
      <c r="B435" s="1" t="n">
        <v>45776</v>
      </c>
      <c r="C435" s="1" t="n">
        <v>46107</v>
      </c>
      <c r="D435" t="inlineStr">
        <is>
          <t>GOTLANDS LÄN</t>
        </is>
      </c>
      <c r="E435" t="inlineStr">
        <is>
          <t>GOTLAND</t>
        </is>
      </c>
      <c r="G435" t="n">
        <v>6</v>
      </c>
      <c r="H435" t="n">
        <v>0</v>
      </c>
      <c r="I435" t="n">
        <v>0</v>
      </c>
      <c r="J435" t="n">
        <v>0</v>
      </c>
      <c r="K435" t="n">
        <v>0</v>
      </c>
      <c r="L435" t="n">
        <v>0</v>
      </c>
      <c r="M435" t="n">
        <v>0</v>
      </c>
      <c r="N435" t="n">
        <v>0</v>
      </c>
      <c r="O435" t="n">
        <v>0</v>
      </c>
      <c r="P435" t="n">
        <v>0</v>
      </c>
      <c r="Q435" t="n">
        <v>0</v>
      </c>
      <c r="R435" s="2" t="inlineStr"/>
    </row>
    <row r="436" ht="15" customHeight="1">
      <c r="A436" t="inlineStr">
        <is>
          <t>A 20805-2025</t>
        </is>
      </c>
      <c r="B436" s="1" t="n">
        <v>45776</v>
      </c>
      <c r="C436" s="1" t="n">
        <v>46107</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30815-2023</t>
        </is>
      </c>
      <c r="B437" s="1" t="n">
        <v>45112</v>
      </c>
      <c r="C437" s="1" t="n">
        <v>46107</v>
      </c>
      <c r="D437" t="inlineStr">
        <is>
          <t>GOTLANDS LÄN</t>
        </is>
      </c>
      <c r="E437" t="inlineStr">
        <is>
          <t>GOTLAND</t>
        </is>
      </c>
      <c r="G437" t="n">
        <v>6</v>
      </c>
      <c r="H437" t="n">
        <v>0</v>
      </c>
      <c r="I437" t="n">
        <v>0</v>
      </c>
      <c r="J437" t="n">
        <v>0</v>
      </c>
      <c r="K437" t="n">
        <v>0</v>
      </c>
      <c r="L437" t="n">
        <v>0</v>
      </c>
      <c r="M437" t="n">
        <v>0</v>
      </c>
      <c r="N437" t="n">
        <v>0</v>
      </c>
      <c r="O437" t="n">
        <v>0</v>
      </c>
      <c r="P437" t="n">
        <v>0</v>
      </c>
      <c r="Q437" t="n">
        <v>0</v>
      </c>
      <c r="R437" s="2" t="inlineStr"/>
    </row>
    <row r="438" ht="15" customHeight="1">
      <c r="A438" t="inlineStr">
        <is>
          <t>A 21389-2025</t>
        </is>
      </c>
      <c r="B438" s="1" t="n">
        <v>45782</v>
      </c>
      <c r="C438" s="1" t="n">
        <v>46107</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7034-2023</t>
        </is>
      </c>
      <c r="B439" s="1" t="n">
        <v>44968.32108796296</v>
      </c>
      <c r="C439" s="1" t="n">
        <v>46107</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7042-2023</t>
        </is>
      </c>
      <c r="B440" s="1" t="n">
        <v>44968</v>
      </c>
      <c r="C440" s="1" t="n">
        <v>46107</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23516-2023</t>
        </is>
      </c>
      <c r="B441" s="1" t="n">
        <v>45076.93391203704</v>
      </c>
      <c r="C441" s="1" t="n">
        <v>46107</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64660-2023</t>
        </is>
      </c>
      <c r="B442" s="1" t="n">
        <v>45281.60122685185</v>
      </c>
      <c r="C442" s="1" t="n">
        <v>46107</v>
      </c>
      <c r="D442" t="inlineStr">
        <is>
          <t>GOTLANDS LÄN</t>
        </is>
      </c>
      <c r="E442" t="inlineStr">
        <is>
          <t>GOTLAND</t>
        </is>
      </c>
      <c r="G442" t="n">
        <v>6.3</v>
      </c>
      <c r="H442" t="n">
        <v>0</v>
      </c>
      <c r="I442" t="n">
        <v>0</v>
      </c>
      <c r="J442" t="n">
        <v>0</v>
      </c>
      <c r="K442" t="n">
        <v>0</v>
      </c>
      <c r="L442" t="n">
        <v>0</v>
      </c>
      <c r="M442" t="n">
        <v>0</v>
      </c>
      <c r="N442" t="n">
        <v>0</v>
      </c>
      <c r="O442" t="n">
        <v>0</v>
      </c>
      <c r="P442" t="n">
        <v>0</v>
      </c>
      <c r="Q442" t="n">
        <v>0</v>
      </c>
      <c r="R442" s="2" t="inlineStr"/>
    </row>
    <row r="443" ht="15" customHeight="1">
      <c r="A443" t="inlineStr">
        <is>
          <t>A 21651-2025</t>
        </is>
      </c>
      <c r="B443" s="1" t="n">
        <v>45783</v>
      </c>
      <c r="C443" s="1" t="n">
        <v>46107</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63763-2023</t>
        </is>
      </c>
      <c r="B444" s="1" t="n">
        <v>45278.33944444444</v>
      </c>
      <c r="C444" s="1" t="n">
        <v>46107</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56799-2025</t>
        </is>
      </c>
      <c r="B445" s="1" t="n">
        <v>45978.43392361111</v>
      </c>
      <c r="C445" s="1" t="n">
        <v>46107</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56688-2025</t>
        </is>
      </c>
      <c r="B446" s="1" t="n">
        <v>45975.84331018518</v>
      </c>
      <c r="C446" s="1" t="n">
        <v>46107</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63229-2021</t>
        </is>
      </c>
      <c r="B447" s="1" t="n">
        <v>44508.34518518519</v>
      </c>
      <c r="C447" s="1" t="n">
        <v>46107</v>
      </c>
      <c r="D447" t="inlineStr">
        <is>
          <t>GOTLANDS LÄN</t>
        </is>
      </c>
      <c r="E447" t="inlineStr">
        <is>
          <t>GOTLAND</t>
        </is>
      </c>
      <c r="F447" t="inlineStr">
        <is>
          <t>Kyrkan</t>
        </is>
      </c>
      <c r="G447" t="n">
        <v>3.8</v>
      </c>
      <c r="H447" t="n">
        <v>0</v>
      </c>
      <c r="I447" t="n">
        <v>0</v>
      </c>
      <c r="J447" t="n">
        <v>0</v>
      </c>
      <c r="K447" t="n">
        <v>0</v>
      </c>
      <c r="L447" t="n">
        <v>0</v>
      </c>
      <c r="M447" t="n">
        <v>0</v>
      </c>
      <c r="N447" t="n">
        <v>0</v>
      </c>
      <c r="O447" t="n">
        <v>0</v>
      </c>
      <c r="P447" t="n">
        <v>0</v>
      </c>
      <c r="Q447" t="n">
        <v>0</v>
      </c>
      <c r="R447" s="2" t="inlineStr"/>
    </row>
    <row r="448" ht="15" customHeight="1">
      <c r="A448" t="inlineStr">
        <is>
          <t>A 46375-2024</t>
        </is>
      </c>
      <c r="B448" s="1" t="n">
        <v>45582</v>
      </c>
      <c r="C448" s="1" t="n">
        <v>46107</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57356-2023</t>
        </is>
      </c>
      <c r="B449" s="1" t="n">
        <v>45240</v>
      </c>
      <c r="C449" s="1" t="n">
        <v>46107</v>
      </c>
      <c r="D449" t="inlineStr">
        <is>
          <t>GOTLANDS LÄN</t>
        </is>
      </c>
      <c r="E449" t="inlineStr">
        <is>
          <t>GOTLAND</t>
        </is>
      </c>
      <c r="G449" t="n">
        <v>6.4</v>
      </c>
      <c r="H449" t="n">
        <v>0</v>
      </c>
      <c r="I449" t="n">
        <v>0</v>
      </c>
      <c r="J449" t="n">
        <v>0</v>
      </c>
      <c r="K449" t="n">
        <v>0</v>
      </c>
      <c r="L449" t="n">
        <v>0</v>
      </c>
      <c r="M449" t="n">
        <v>0</v>
      </c>
      <c r="N449" t="n">
        <v>0</v>
      </c>
      <c r="O449" t="n">
        <v>0</v>
      </c>
      <c r="P449" t="n">
        <v>0</v>
      </c>
      <c r="Q449" t="n">
        <v>0</v>
      </c>
      <c r="R449" s="2" t="inlineStr"/>
    </row>
    <row r="450" ht="15" customHeight="1">
      <c r="A450" t="inlineStr">
        <is>
          <t>A 10656-2024</t>
        </is>
      </c>
      <c r="B450" s="1" t="n">
        <v>45368</v>
      </c>
      <c r="C450" s="1" t="n">
        <v>46107</v>
      </c>
      <c r="D450" t="inlineStr">
        <is>
          <t>GOTLANDS LÄN</t>
        </is>
      </c>
      <c r="E450" t="inlineStr">
        <is>
          <t>GOTLAND</t>
        </is>
      </c>
      <c r="G450" t="n">
        <v>1.5</v>
      </c>
      <c r="H450" t="n">
        <v>0</v>
      </c>
      <c r="I450" t="n">
        <v>0</v>
      </c>
      <c r="J450" t="n">
        <v>0</v>
      </c>
      <c r="K450" t="n">
        <v>0</v>
      </c>
      <c r="L450" t="n">
        <v>0</v>
      </c>
      <c r="M450" t="n">
        <v>0</v>
      </c>
      <c r="N450" t="n">
        <v>0</v>
      </c>
      <c r="O450" t="n">
        <v>0</v>
      </c>
      <c r="P450" t="n">
        <v>0</v>
      </c>
      <c r="Q450" t="n">
        <v>0</v>
      </c>
      <c r="R450" s="2" t="inlineStr"/>
    </row>
    <row r="451" ht="15" customHeight="1">
      <c r="A451" t="inlineStr">
        <is>
          <t>A 28506-2023</t>
        </is>
      </c>
      <c r="B451" s="1" t="n">
        <v>45103</v>
      </c>
      <c r="C451" s="1" t="n">
        <v>46107</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21420-2024</t>
        </is>
      </c>
      <c r="B452" s="1" t="n">
        <v>45441.38293981482</v>
      </c>
      <c r="C452" s="1" t="n">
        <v>46107</v>
      </c>
      <c r="D452" t="inlineStr">
        <is>
          <t>GOTLANDS LÄN</t>
        </is>
      </c>
      <c r="E452" t="inlineStr">
        <is>
          <t>GOTLAND</t>
        </is>
      </c>
      <c r="G452" t="n">
        <v>4.1</v>
      </c>
      <c r="H452" t="n">
        <v>0</v>
      </c>
      <c r="I452" t="n">
        <v>0</v>
      </c>
      <c r="J452" t="n">
        <v>0</v>
      </c>
      <c r="K452" t="n">
        <v>0</v>
      </c>
      <c r="L452" t="n">
        <v>0</v>
      </c>
      <c r="M452" t="n">
        <v>0</v>
      </c>
      <c r="N452" t="n">
        <v>0</v>
      </c>
      <c r="O452" t="n">
        <v>0</v>
      </c>
      <c r="P452" t="n">
        <v>0</v>
      </c>
      <c r="Q452" t="n">
        <v>0</v>
      </c>
      <c r="R452" s="2" t="inlineStr"/>
    </row>
    <row r="453" ht="15" customHeight="1">
      <c r="A453" t="inlineStr">
        <is>
          <t>A 23188-2025</t>
        </is>
      </c>
      <c r="B453" s="1" t="n">
        <v>45791</v>
      </c>
      <c r="C453" s="1" t="n">
        <v>46107</v>
      </c>
      <c r="D453" t="inlineStr">
        <is>
          <t>GOTLANDS LÄN</t>
        </is>
      </c>
      <c r="E453" t="inlineStr">
        <is>
          <t>GOTLAND</t>
        </is>
      </c>
      <c r="G453" t="n">
        <v>6.2</v>
      </c>
      <c r="H453" t="n">
        <v>0</v>
      </c>
      <c r="I453" t="n">
        <v>0</v>
      </c>
      <c r="J453" t="n">
        <v>0</v>
      </c>
      <c r="K453" t="n">
        <v>0</v>
      </c>
      <c r="L453" t="n">
        <v>0</v>
      </c>
      <c r="M453" t="n">
        <v>0</v>
      </c>
      <c r="N453" t="n">
        <v>0</v>
      </c>
      <c r="O453" t="n">
        <v>0</v>
      </c>
      <c r="P453" t="n">
        <v>0</v>
      </c>
      <c r="Q453" t="n">
        <v>0</v>
      </c>
      <c r="R453" s="2" t="inlineStr"/>
    </row>
    <row r="454" ht="15" customHeight="1">
      <c r="A454" t="inlineStr">
        <is>
          <t>A 23473-2025</t>
        </is>
      </c>
      <c r="B454" s="1" t="n">
        <v>45792</v>
      </c>
      <c r="C454" s="1" t="n">
        <v>46107</v>
      </c>
      <c r="D454" t="inlineStr">
        <is>
          <t>GOTLANDS LÄN</t>
        </is>
      </c>
      <c r="E454" t="inlineStr">
        <is>
          <t>GOTLAND</t>
        </is>
      </c>
      <c r="G454" t="n">
        <v>3.6</v>
      </c>
      <c r="H454" t="n">
        <v>0</v>
      </c>
      <c r="I454" t="n">
        <v>0</v>
      </c>
      <c r="J454" t="n">
        <v>0</v>
      </c>
      <c r="K454" t="n">
        <v>0</v>
      </c>
      <c r="L454" t="n">
        <v>0</v>
      </c>
      <c r="M454" t="n">
        <v>0</v>
      </c>
      <c r="N454" t="n">
        <v>0</v>
      </c>
      <c r="O454" t="n">
        <v>0</v>
      </c>
      <c r="P454" t="n">
        <v>0</v>
      </c>
      <c r="Q454" t="n">
        <v>0</v>
      </c>
      <c r="R454" s="2" t="inlineStr"/>
    </row>
    <row r="455" ht="15" customHeight="1">
      <c r="A455" t="inlineStr">
        <is>
          <t>A 23856-2025</t>
        </is>
      </c>
      <c r="B455" s="1" t="n">
        <v>45793</v>
      </c>
      <c r="C455" s="1" t="n">
        <v>46107</v>
      </c>
      <c r="D455" t="inlineStr">
        <is>
          <t>GOTLANDS LÄN</t>
        </is>
      </c>
      <c r="E455" t="inlineStr">
        <is>
          <t>GOTLAND</t>
        </is>
      </c>
      <c r="G455" t="n">
        <v>4.4</v>
      </c>
      <c r="H455" t="n">
        <v>0</v>
      </c>
      <c r="I455" t="n">
        <v>0</v>
      </c>
      <c r="J455" t="n">
        <v>0</v>
      </c>
      <c r="K455" t="n">
        <v>0</v>
      </c>
      <c r="L455" t="n">
        <v>0</v>
      </c>
      <c r="M455" t="n">
        <v>0</v>
      </c>
      <c r="N455" t="n">
        <v>0</v>
      </c>
      <c r="O455" t="n">
        <v>0</v>
      </c>
      <c r="P455" t="n">
        <v>0</v>
      </c>
      <c r="Q455" t="n">
        <v>0</v>
      </c>
      <c r="R455" s="2" t="inlineStr"/>
    </row>
    <row r="456" ht="15" customHeight="1">
      <c r="A456" t="inlineStr">
        <is>
          <t>A 59197-2025</t>
        </is>
      </c>
      <c r="B456" s="1" t="n">
        <v>45988.59846064815</v>
      </c>
      <c r="C456" s="1" t="n">
        <v>46107</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1734-2025</t>
        </is>
      </c>
      <c r="B457" s="1" t="n">
        <v>45671.3840625</v>
      </c>
      <c r="C457" s="1" t="n">
        <v>46107</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15073-2025</t>
        </is>
      </c>
      <c r="B458" s="1" t="n">
        <v>45743</v>
      </c>
      <c r="C458" s="1" t="n">
        <v>46107</v>
      </c>
      <c r="D458" t="inlineStr">
        <is>
          <t>GOTLANDS LÄN</t>
        </is>
      </c>
      <c r="E458" t="inlineStr">
        <is>
          <t>GOTLAND</t>
        </is>
      </c>
      <c r="G458" t="n">
        <v>12.1</v>
      </c>
      <c r="H458" t="n">
        <v>0</v>
      </c>
      <c r="I458" t="n">
        <v>0</v>
      </c>
      <c r="J458" t="n">
        <v>0</v>
      </c>
      <c r="K458" t="n">
        <v>0</v>
      </c>
      <c r="L458" t="n">
        <v>0</v>
      </c>
      <c r="M458" t="n">
        <v>0</v>
      </c>
      <c r="N458" t="n">
        <v>0</v>
      </c>
      <c r="O458" t="n">
        <v>0</v>
      </c>
      <c r="P458" t="n">
        <v>0</v>
      </c>
      <c r="Q458" t="n">
        <v>0</v>
      </c>
      <c r="R458" s="2" t="inlineStr"/>
    </row>
    <row r="459" ht="15" customHeight="1">
      <c r="A459" t="inlineStr">
        <is>
          <t>A 20993-2023</t>
        </is>
      </c>
      <c r="B459" s="1" t="n">
        <v>45056</v>
      </c>
      <c r="C459" s="1" t="n">
        <v>46107</v>
      </c>
      <c r="D459" t="inlineStr">
        <is>
          <t>GOTLANDS LÄN</t>
        </is>
      </c>
      <c r="E459" t="inlineStr">
        <is>
          <t>GOTLAND</t>
        </is>
      </c>
      <c r="G459" t="n">
        <v>7.1</v>
      </c>
      <c r="H459" t="n">
        <v>0</v>
      </c>
      <c r="I459" t="n">
        <v>0</v>
      </c>
      <c r="J459" t="n">
        <v>0</v>
      </c>
      <c r="K459" t="n">
        <v>0</v>
      </c>
      <c r="L459" t="n">
        <v>0</v>
      </c>
      <c r="M459" t="n">
        <v>0</v>
      </c>
      <c r="N459" t="n">
        <v>0</v>
      </c>
      <c r="O459" t="n">
        <v>0</v>
      </c>
      <c r="P459" t="n">
        <v>0</v>
      </c>
      <c r="Q459" t="n">
        <v>0</v>
      </c>
      <c r="R459" s="2" t="inlineStr"/>
    </row>
    <row r="460" ht="15" customHeight="1">
      <c r="A460" t="inlineStr">
        <is>
          <t>A 6749-2025</t>
        </is>
      </c>
      <c r="B460" s="1" t="n">
        <v>45700</v>
      </c>
      <c r="C460" s="1" t="n">
        <v>46107</v>
      </c>
      <c r="D460" t="inlineStr">
        <is>
          <t>GOTLANDS LÄN</t>
        </is>
      </c>
      <c r="E460" t="inlineStr">
        <is>
          <t>GOTLAND</t>
        </is>
      </c>
      <c r="G460" t="n">
        <v>4.5</v>
      </c>
      <c r="H460" t="n">
        <v>0</v>
      </c>
      <c r="I460" t="n">
        <v>0</v>
      </c>
      <c r="J460" t="n">
        <v>0</v>
      </c>
      <c r="K460" t="n">
        <v>0</v>
      </c>
      <c r="L460" t="n">
        <v>0</v>
      </c>
      <c r="M460" t="n">
        <v>0</v>
      </c>
      <c r="N460" t="n">
        <v>0</v>
      </c>
      <c r="O460" t="n">
        <v>0</v>
      </c>
      <c r="P460" t="n">
        <v>0</v>
      </c>
      <c r="Q460" t="n">
        <v>0</v>
      </c>
      <c r="R460" s="2" t="inlineStr"/>
    </row>
    <row r="461" ht="15" customHeight="1">
      <c r="A461" t="inlineStr">
        <is>
          <t>A 23698-2025</t>
        </is>
      </c>
      <c r="B461" s="1" t="n">
        <v>45793</v>
      </c>
      <c r="C461" s="1" t="n">
        <v>46107</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12596-2023</t>
        </is>
      </c>
      <c r="B462" s="1" t="n">
        <v>45000.43310185185</v>
      </c>
      <c r="C462" s="1" t="n">
        <v>46107</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2125-2025</t>
        </is>
      </c>
      <c r="B463" s="1" t="n">
        <v>45672.64940972222</v>
      </c>
      <c r="C463" s="1" t="n">
        <v>46107</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12155-2023</t>
        </is>
      </c>
      <c r="B464" s="1" t="n">
        <v>44998.49106481481</v>
      </c>
      <c r="C464" s="1" t="n">
        <v>46107</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457-2023</t>
        </is>
      </c>
      <c r="B465" s="1" t="n">
        <v>44929.87238425926</v>
      </c>
      <c r="C465" s="1" t="n">
        <v>46107</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459-2023</t>
        </is>
      </c>
      <c r="B466" s="1" t="n">
        <v>44929.87423611111</v>
      </c>
      <c r="C466" s="1" t="n">
        <v>46107</v>
      </c>
      <c r="D466" t="inlineStr">
        <is>
          <t>GOTLANDS LÄN</t>
        </is>
      </c>
      <c r="E466" t="inlineStr">
        <is>
          <t>GOTLAND</t>
        </is>
      </c>
      <c r="G466" t="n">
        <v>4.2</v>
      </c>
      <c r="H466" t="n">
        <v>0</v>
      </c>
      <c r="I466" t="n">
        <v>0</v>
      </c>
      <c r="J466" t="n">
        <v>0</v>
      </c>
      <c r="K466" t="n">
        <v>0</v>
      </c>
      <c r="L466" t="n">
        <v>0</v>
      </c>
      <c r="M466" t="n">
        <v>0</v>
      </c>
      <c r="N466" t="n">
        <v>0</v>
      </c>
      <c r="O466" t="n">
        <v>0</v>
      </c>
      <c r="P466" t="n">
        <v>0</v>
      </c>
      <c r="Q466" t="n">
        <v>0</v>
      </c>
      <c r="R466" s="2" t="inlineStr"/>
    </row>
    <row r="467" ht="15" customHeight="1">
      <c r="A467" t="inlineStr">
        <is>
          <t>A 36319-2025</t>
        </is>
      </c>
      <c r="B467" s="1" t="n">
        <v>45868</v>
      </c>
      <c r="C467" s="1" t="n">
        <v>46107</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38234-2023</t>
        </is>
      </c>
      <c r="B468" s="1" t="n">
        <v>45161.56663194444</v>
      </c>
      <c r="C468" s="1" t="n">
        <v>46107</v>
      </c>
      <c r="D468" t="inlineStr">
        <is>
          <t>GOTLANDS LÄN</t>
        </is>
      </c>
      <c r="E468" t="inlineStr">
        <is>
          <t>GOTLAND</t>
        </is>
      </c>
      <c r="G468" t="n">
        <v>1.3</v>
      </c>
      <c r="H468" t="n">
        <v>0</v>
      </c>
      <c r="I468" t="n">
        <v>0</v>
      </c>
      <c r="J468" t="n">
        <v>0</v>
      </c>
      <c r="K468" t="n">
        <v>0</v>
      </c>
      <c r="L468" t="n">
        <v>0</v>
      </c>
      <c r="M468" t="n">
        <v>0</v>
      </c>
      <c r="N468" t="n">
        <v>0</v>
      </c>
      <c r="O468" t="n">
        <v>0</v>
      </c>
      <c r="P468" t="n">
        <v>0</v>
      </c>
      <c r="Q468" t="n">
        <v>0</v>
      </c>
      <c r="R468" s="2" t="inlineStr"/>
    </row>
    <row r="469" ht="15" customHeight="1">
      <c r="A469" t="inlineStr">
        <is>
          <t>A 50744-2024</t>
        </is>
      </c>
      <c r="B469" s="1" t="n">
        <v>45602.4187037037</v>
      </c>
      <c r="C469" s="1" t="n">
        <v>46107</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5462-2025</t>
        </is>
      </c>
      <c r="B470" s="1" t="n">
        <v>45693.29331018519</v>
      </c>
      <c r="C470" s="1" t="n">
        <v>46107</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53934-2024</t>
        </is>
      </c>
      <c r="B471" s="1" t="n">
        <v>45615</v>
      </c>
      <c r="C471" s="1" t="n">
        <v>46107</v>
      </c>
      <c r="D471" t="inlineStr">
        <is>
          <t>GOTLANDS LÄN</t>
        </is>
      </c>
      <c r="E471" t="inlineStr">
        <is>
          <t>GOTLAND</t>
        </is>
      </c>
      <c r="G471" t="n">
        <v>5</v>
      </c>
      <c r="H471" t="n">
        <v>0</v>
      </c>
      <c r="I471" t="n">
        <v>0</v>
      </c>
      <c r="J471" t="n">
        <v>0</v>
      </c>
      <c r="K471" t="n">
        <v>0</v>
      </c>
      <c r="L471" t="n">
        <v>0</v>
      </c>
      <c r="M471" t="n">
        <v>0</v>
      </c>
      <c r="N471" t="n">
        <v>0</v>
      </c>
      <c r="O471" t="n">
        <v>0</v>
      </c>
      <c r="P471" t="n">
        <v>0</v>
      </c>
      <c r="Q471" t="n">
        <v>0</v>
      </c>
      <c r="R471" s="2" t="inlineStr"/>
    </row>
    <row r="472" ht="15" customHeight="1">
      <c r="A472" t="inlineStr">
        <is>
          <t>A 25796-2025</t>
        </is>
      </c>
      <c r="B472" s="1" t="n">
        <v>45804.39543981481</v>
      </c>
      <c r="C472" s="1" t="n">
        <v>46107</v>
      </c>
      <c r="D472" t="inlineStr">
        <is>
          <t>GOTLANDS LÄN</t>
        </is>
      </c>
      <c r="E472" t="inlineStr">
        <is>
          <t>GOTLAND</t>
        </is>
      </c>
      <c r="G472" t="n">
        <v>2</v>
      </c>
      <c r="H472" t="n">
        <v>0</v>
      </c>
      <c r="I472" t="n">
        <v>0</v>
      </c>
      <c r="J472" t="n">
        <v>0</v>
      </c>
      <c r="K472" t="n">
        <v>0</v>
      </c>
      <c r="L472" t="n">
        <v>0</v>
      </c>
      <c r="M472" t="n">
        <v>0</v>
      </c>
      <c r="N472" t="n">
        <v>0</v>
      </c>
      <c r="O472" t="n">
        <v>0</v>
      </c>
      <c r="P472" t="n">
        <v>0</v>
      </c>
      <c r="Q472" t="n">
        <v>0</v>
      </c>
      <c r="R472" s="2" t="inlineStr"/>
    </row>
    <row r="473" ht="15" customHeight="1">
      <c r="A473" t="inlineStr">
        <is>
          <t>A 62066-2025</t>
        </is>
      </c>
      <c r="B473" s="1" t="n">
        <v>46006.34738425926</v>
      </c>
      <c r="C473" s="1" t="n">
        <v>46107</v>
      </c>
      <c r="D473" t="inlineStr">
        <is>
          <t>GOTLANDS LÄN</t>
        </is>
      </c>
      <c r="E473" t="inlineStr">
        <is>
          <t>GOTLAND</t>
        </is>
      </c>
      <c r="G473" t="n">
        <v>1.7</v>
      </c>
      <c r="H473" t="n">
        <v>0</v>
      </c>
      <c r="I473" t="n">
        <v>0</v>
      </c>
      <c r="J473" t="n">
        <v>0</v>
      </c>
      <c r="K473" t="n">
        <v>0</v>
      </c>
      <c r="L473" t="n">
        <v>0</v>
      </c>
      <c r="M473" t="n">
        <v>0</v>
      </c>
      <c r="N473" t="n">
        <v>0</v>
      </c>
      <c r="O473" t="n">
        <v>0</v>
      </c>
      <c r="P473" t="n">
        <v>0</v>
      </c>
      <c r="Q473" t="n">
        <v>0</v>
      </c>
      <c r="R473" s="2" t="inlineStr"/>
    </row>
    <row r="474" ht="15" customHeight="1">
      <c r="A474" t="inlineStr">
        <is>
          <t>A 62103-2025</t>
        </is>
      </c>
      <c r="B474" s="1" t="n">
        <v>46006</v>
      </c>
      <c r="C474" s="1" t="n">
        <v>46107</v>
      </c>
      <c r="D474" t="inlineStr">
        <is>
          <t>GOTLANDS LÄN</t>
        </is>
      </c>
      <c r="E474" t="inlineStr">
        <is>
          <t>GOTLAND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47147-2025</t>
        </is>
      </c>
      <c r="B475" s="1" t="n">
        <v>45929</v>
      </c>
      <c r="C475" s="1" t="n">
        <v>46107</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1446-2025</t>
        </is>
      </c>
      <c r="B476" s="1" t="n">
        <v>45669.86035879629</v>
      </c>
      <c r="C476" s="1" t="n">
        <v>46107</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26457-2025</t>
        </is>
      </c>
      <c r="B477" s="1" t="n">
        <v>45807.42773148148</v>
      </c>
      <c r="C477" s="1" t="n">
        <v>46107</v>
      </c>
      <c r="D477" t="inlineStr">
        <is>
          <t>GOTLANDS LÄN</t>
        </is>
      </c>
      <c r="E477" t="inlineStr">
        <is>
          <t>GOTLAND</t>
        </is>
      </c>
      <c r="G477" t="n">
        <v>5.7</v>
      </c>
      <c r="H477" t="n">
        <v>0</v>
      </c>
      <c r="I477" t="n">
        <v>0</v>
      </c>
      <c r="J477" t="n">
        <v>0</v>
      </c>
      <c r="K477" t="n">
        <v>0</v>
      </c>
      <c r="L477" t="n">
        <v>0</v>
      </c>
      <c r="M477" t="n">
        <v>0</v>
      </c>
      <c r="N477" t="n">
        <v>0</v>
      </c>
      <c r="O477" t="n">
        <v>0</v>
      </c>
      <c r="P477" t="n">
        <v>0</v>
      </c>
      <c r="Q477" t="n">
        <v>0</v>
      </c>
      <c r="R477" s="2" t="inlineStr"/>
    </row>
    <row r="478" ht="15" customHeight="1">
      <c r="A478" t="inlineStr">
        <is>
          <t>A 26467-2025</t>
        </is>
      </c>
      <c r="B478" s="1" t="n">
        <v>45807.44640046296</v>
      </c>
      <c r="C478" s="1" t="n">
        <v>46107</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26465-2025</t>
        </is>
      </c>
      <c r="B479" s="1" t="n">
        <v>45807.44377314814</v>
      </c>
      <c r="C479" s="1" t="n">
        <v>46107</v>
      </c>
      <c r="D479" t="inlineStr">
        <is>
          <t>GOTLANDS LÄN</t>
        </is>
      </c>
      <c r="E479" t="inlineStr">
        <is>
          <t>GOTLAND</t>
        </is>
      </c>
      <c r="G479" t="n">
        <v>4.5</v>
      </c>
      <c r="H479" t="n">
        <v>0</v>
      </c>
      <c r="I479" t="n">
        <v>0</v>
      </c>
      <c r="J479" t="n">
        <v>0</v>
      </c>
      <c r="K479" t="n">
        <v>0</v>
      </c>
      <c r="L479" t="n">
        <v>0</v>
      </c>
      <c r="M479" t="n">
        <v>0</v>
      </c>
      <c r="N479" t="n">
        <v>0</v>
      </c>
      <c r="O479" t="n">
        <v>0</v>
      </c>
      <c r="P479" t="n">
        <v>0</v>
      </c>
      <c r="Q479" t="n">
        <v>0</v>
      </c>
      <c r="R479" s="2" t="inlineStr"/>
    </row>
    <row r="480" ht="15" customHeight="1">
      <c r="A480" t="inlineStr">
        <is>
          <t>A 26660-2025</t>
        </is>
      </c>
      <c r="B480" s="1" t="n">
        <v>45810.39737268518</v>
      </c>
      <c r="C480" s="1" t="n">
        <v>46107</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63002-2025</t>
        </is>
      </c>
      <c r="B481" s="1" t="n">
        <v>46009.56564814815</v>
      </c>
      <c r="C481" s="1" t="n">
        <v>46107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31264-2021</t>
        </is>
      </c>
      <c r="B482" s="1" t="n">
        <v>44368</v>
      </c>
      <c r="C482" s="1" t="n">
        <v>46107</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54584-2025</t>
        </is>
      </c>
      <c r="B483" s="1" t="n">
        <v>45965.71788194445</v>
      </c>
      <c r="C483" s="1" t="n">
        <v>46107</v>
      </c>
      <c r="D483" t="inlineStr">
        <is>
          <t>GOTLANDS LÄN</t>
        </is>
      </c>
      <c r="E483" t="inlineStr">
        <is>
          <t>GOTLAND</t>
        </is>
      </c>
      <c r="G483" t="n">
        <v>3.5</v>
      </c>
      <c r="H483" t="n">
        <v>0</v>
      </c>
      <c r="I483" t="n">
        <v>0</v>
      </c>
      <c r="J483" t="n">
        <v>0</v>
      </c>
      <c r="K483" t="n">
        <v>0</v>
      </c>
      <c r="L483" t="n">
        <v>0</v>
      </c>
      <c r="M483" t="n">
        <v>0</v>
      </c>
      <c r="N483" t="n">
        <v>0</v>
      </c>
      <c r="O483" t="n">
        <v>0</v>
      </c>
      <c r="P483" t="n">
        <v>0</v>
      </c>
      <c r="Q483" t="n">
        <v>0</v>
      </c>
      <c r="R483" s="2" t="inlineStr"/>
    </row>
    <row r="484" ht="15" customHeight="1">
      <c r="A484" t="inlineStr">
        <is>
          <t>A 27371-2025</t>
        </is>
      </c>
      <c r="B484" s="1" t="n">
        <v>45812</v>
      </c>
      <c r="C484" s="1" t="n">
        <v>46107</v>
      </c>
      <c r="D484" t="inlineStr">
        <is>
          <t>GOTLANDS LÄN</t>
        </is>
      </c>
      <c r="E484" t="inlineStr">
        <is>
          <t>GOTLAND</t>
        </is>
      </c>
      <c r="G484" t="n">
        <v>8</v>
      </c>
      <c r="H484" t="n">
        <v>0</v>
      </c>
      <c r="I484" t="n">
        <v>0</v>
      </c>
      <c r="J484" t="n">
        <v>0</v>
      </c>
      <c r="K484" t="n">
        <v>0</v>
      </c>
      <c r="L484" t="n">
        <v>0</v>
      </c>
      <c r="M484" t="n">
        <v>0</v>
      </c>
      <c r="N484" t="n">
        <v>0</v>
      </c>
      <c r="O484" t="n">
        <v>0</v>
      </c>
      <c r="P484" t="n">
        <v>0</v>
      </c>
      <c r="Q484" t="n">
        <v>0</v>
      </c>
      <c r="R484" s="2" t="inlineStr"/>
    </row>
    <row r="485" ht="15" customHeight="1">
      <c r="A485" t="inlineStr">
        <is>
          <t>A 27355-2025</t>
        </is>
      </c>
      <c r="B485" s="1" t="n">
        <v>45812</v>
      </c>
      <c r="C485" s="1" t="n">
        <v>46107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43901-2023</t>
        </is>
      </c>
      <c r="B486" s="1" t="n">
        <v>45187</v>
      </c>
      <c r="C486" s="1" t="n">
        <v>46107</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6739-2025</t>
        </is>
      </c>
      <c r="B487" s="1" t="n">
        <v>45700</v>
      </c>
      <c r="C487" s="1" t="n">
        <v>46107</v>
      </c>
      <c r="D487" t="inlineStr">
        <is>
          <t>GOTLANDS LÄN</t>
        </is>
      </c>
      <c r="E487" t="inlineStr">
        <is>
          <t>GOTLAND</t>
        </is>
      </c>
      <c r="G487" t="n">
        <v>4.5</v>
      </c>
      <c r="H487" t="n">
        <v>0</v>
      </c>
      <c r="I487" t="n">
        <v>0</v>
      </c>
      <c r="J487" t="n">
        <v>0</v>
      </c>
      <c r="K487" t="n">
        <v>0</v>
      </c>
      <c r="L487" t="n">
        <v>0</v>
      </c>
      <c r="M487" t="n">
        <v>0</v>
      </c>
      <c r="N487" t="n">
        <v>0</v>
      </c>
      <c r="O487" t="n">
        <v>0</v>
      </c>
      <c r="P487" t="n">
        <v>0</v>
      </c>
      <c r="Q487" t="n">
        <v>0</v>
      </c>
      <c r="R487" s="2" t="inlineStr"/>
    </row>
    <row r="488" ht="15" customHeight="1">
      <c r="A488" t="inlineStr">
        <is>
          <t>A 7850-2025</t>
        </is>
      </c>
      <c r="B488" s="1" t="n">
        <v>45706</v>
      </c>
      <c r="C488" s="1" t="n">
        <v>46107</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38649-2025</t>
        </is>
      </c>
      <c r="B489" s="1" t="n">
        <v>45884</v>
      </c>
      <c r="C489" s="1" t="n">
        <v>46107</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61078-2025</t>
        </is>
      </c>
      <c r="B490" s="1" t="n">
        <v>46000</v>
      </c>
      <c r="C490" s="1" t="n">
        <v>46107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10746-2025</t>
        </is>
      </c>
      <c r="B491" s="1" t="n">
        <v>45722.42766203704</v>
      </c>
      <c r="C491" s="1" t="n">
        <v>46107</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16501-2023</t>
        </is>
      </c>
      <c r="B492" s="1" t="n">
        <v>45029</v>
      </c>
      <c r="C492" s="1" t="n">
        <v>46107</v>
      </c>
      <c r="D492" t="inlineStr">
        <is>
          <t>GOTLANDS LÄN</t>
        </is>
      </c>
      <c r="E492" t="inlineStr">
        <is>
          <t>GOTLAND</t>
        </is>
      </c>
      <c r="G492" t="n">
        <v>3.1</v>
      </c>
      <c r="H492" t="n">
        <v>0</v>
      </c>
      <c r="I492" t="n">
        <v>0</v>
      </c>
      <c r="J492" t="n">
        <v>0</v>
      </c>
      <c r="K492" t="n">
        <v>0</v>
      </c>
      <c r="L492" t="n">
        <v>0</v>
      </c>
      <c r="M492" t="n">
        <v>0</v>
      </c>
      <c r="N492" t="n">
        <v>0</v>
      </c>
      <c r="O492" t="n">
        <v>0</v>
      </c>
      <c r="P492" t="n">
        <v>0</v>
      </c>
      <c r="Q492" t="n">
        <v>0</v>
      </c>
      <c r="R492" s="2" t="inlineStr"/>
    </row>
    <row r="493" ht="15" customHeight="1">
      <c r="A493" t="inlineStr">
        <is>
          <t>A 8444-2025</t>
        </is>
      </c>
      <c r="B493" s="1" t="n">
        <v>45709</v>
      </c>
      <c r="C493" s="1" t="n">
        <v>46107</v>
      </c>
      <c r="D493" t="inlineStr">
        <is>
          <t>GOTLANDS LÄN</t>
        </is>
      </c>
      <c r="E493" t="inlineStr">
        <is>
          <t>GOTLAND</t>
        </is>
      </c>
      <c r="G493" t="n">
        <v>5.2</v>
      </c>
      <c r="H493" t="n">
        <v>0</v>
      </c>
      <c r="I493" t="n">
        <v>0</v>
      </c>
      <c r="J493" t="n">
        <v>0</v>
      </c>
      <c r="K493" t="n">
        <v>0</v>
      </c>
      <c r="L493" t="n">
        <v>0</v>
      </c>
      <c r="M493" t="n">
        <v>0</v>
      </c>
      <c r="N493" t="n">
        <v>0</v>
      </c>
      <c r="O493" t="n">
        <v>0</v>
      </c>
      <c r="P493" t="n">
        <v>0</v>
      </c>
      <c r="Q493" t="n">
        <v>0</v>
      </c>
      <c r="R493" s="2" t="inlineStr"/>
    </row>
    <row r="494" ht="15" customHeight="1">
      <c r="A494" t="inlineStr">
        <is>
          <t>A 36-2026</t>
        </is>
      </c>
      <c r="B494" s="1" t="n">
        <v>46024.38886574074</v>
      </c>
      <c r="C494" s="1" t="n">
        <v>46107</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62674-2025</t>
        </is>
      </c>
      <c r="B495" s="1" t="n">
        <v>46008</v>
      </c>
      <c r="C495" s="1" t="n">
        <v>46107</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19905-2025</t>
        </is>
      </c>
      <c r="B496" s="1" t="n">
        <v>45771</v>
      </c>
      <c r="C496" s="1" t="n">
        <v>46107</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27930-2021</t>
        </is>
      </c>
      <c r="B497" s="1" t="n">
        <v>44354</v>
      </c>
      <c r="C497" s="1" t="n">
        <v>46107</v>
      </c>
      <c r="D497" t="inlineStr">
        <is>
          <t>GOTLANDS LÄN</t>
        </is>
      </c>
      <c r="E497" t="inlineStr">
        <is>
          <t>GOTLAND</t>
        </is>
      </c>
      <c r="G497" t="n">
        <v>2.5</v>
      </c>
      <c r="H497" t="n">
        <v>0</v>
      </c>
      <c r="I497" t="n">
        <v>0</v>
      </c>
      <c r="J497" t="n">
        <v>0</v>
      </c>
      <c r="K497" t="n">
        <v>0</v>
      </c>
      <c r="L497" t="n">
        <v>0</v>
      </c>
      <c r="M497" t="n">
        <v>0</v>
      </c>
      <c r="N497" t="n">
        <v>0</v>
      </c>
      <c r="O497" t="n">
        <v>0</v>
      </c>
      <c r="P497" t="n">
        <v>0</v>
      </c>
      <c r="Q497" t="n">
        <v>0</v>
      </c>
      <c r="R497" s="2" t="inlineStr"/>
    </row>
    <row r="498" ht="15" customHeight="1">
      <c r="A498" t="inlineStr">
        <is>
          <t>A 29196-2025</t>
        </is>
      </c>
      <c r="B498" s="1" t="n">
        <v>45822</v>
      </c>
      <c r="C498" s="1" t="n">
        <v>46107</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9543-2026</t>
        </is>
      </c>
      <c r="B499" s="1" t="n">
        <v>46071.62486111111</v>
      </c>
      <c r="C499" s="1" t="n">
        <v>46107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9521-2026</t>
        </is>
      </c>
      <c r="B500" s="1" t="n">
        <v>46071.59969907408</v>
      </c>
      <c r="C500" s="1" t="n">
        <v>46107</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9524-2026</t>
        </is>
      </c>
      <c r="B501" s="1" t="n">
        <v>46071.60108796296</v>
      </c>
      <c r="C501" s="1" t="n">
        <v>46107</v>
      </c>
      <c r="D501" t="inlineStr">
        <is>
          <t>GOTLANDS LÄN</t>
        </is>
      </c>
      <c r="E501" t="inlineStr">
        <is>
          <t>GOTLAND</t>
        </is>
      </c>
      <c r="G501" t="n">
        <v>2.5</v>
      </c>
      <c r="H501" t="n">
        <v>0</v>
      </c>
      <c r="I501" t="n">
        <v>0</v>
      </c>
      <c r="J501" t="n">
        <v>0</v>
      </c>
      <c r="K501" t="n">
        <v>0</v>
      </c>
      <c r="L501" t="n">
        <v>0</v>
      </c>
      <c r="M501" t="n">
        <v>0</v>
      </c>
      <c r="N501" t="n">
        <v>0</v>
      </c>
      <c r="O501" t="n">
        <v>0</v>
      </c>
      <c r="P501" t="n">
        <v>0</v>
      </c>
      <c r="Q501" t="n">
        <v>0</v>
      </c>
      <c r="R501" s="2" t="inlineStr"/>
    </row>
    <row r="502" ht="15" customHeight="1">
      <c r="A502" t="inlineStr">
        <is>
          <t>A 61962-2024</t>
        </is>
      </c>
      <c r="B502" s="1" t="n">
        <v>45653.54340277778</v>
      </c>
      <c r="C502" s="1" t="n">
        <v>46107</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9518-2026</t>
        </is>
      </c>
      <c r="B503" s="1" t="n">
        <v>46071.59653935185</v>
      </c>
      <c r="C503" s="1" t="n">
        <v>46107</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29207-2025</t>
        </is>
      </c>
      <c r="B504" s="1" t="n">
        <v>45823</v>
      </c>
      <c r="C504" s="1" t="n">
        <v>46107</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9519-2026</t>
        </is>
      </c>
      <c r="B505" s="1" t="n">
        <v>46071.59820601852</v>
      </c>
      <c r="C505" s="1" t="n">
        <v>46107</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9540-2026</t>
        </is>
      </c>
      <c r="B506" s="1" t="n">
        <v>46071.61961805556</v>
      </c>
      <c r="C506" s="1" t="n">
        <v>46107</v>
      </c>
      <c r="D506" t="inlineStr">
        <is>
          <t>GOTLANDS LÄN</t>
        </is>
      </c>
      <c r="E506" t="inlineStr">
        <is>
          <t>GOTLAND</t>
        </is>
      </c>
      <c r="G506" t="n">
        <v>2.8</v>
      </c>
      <c r="H506" t="n">
        <v>0</v>
      </c>
      <c r="I506" t="n">
        <v>0</v>
      </c>
      <c r="J506" t="n">
        <v>0</v>
      </c>
      <c r="K506" t="n">
        <v>0</v>
      </c>
      <c r="L506" t="n">
        <v>0</v>
      </c>
      <c r="M506" t="n">
        <v>0</v>
      </c>
      <c r="N506" t="n">
        <v>0</v>
      </c>
      <c r="O506" t="n">
        <v>0</v>
      </c>
      <c r="P506" t="n">
        <v>0</v>
      </c>
      <c r="Q506" t="n">
        <v>0</v>
      </c>
      <c r="R506" s="2" t="inlineStr"/>
    </row>
    <row r="507" ht="15" customHeight="1">
      <c r="A507" t="inlineStr">
        <is>
          <t>A 9504-2026</t>
        </is>
      </c>
      <c r="B507" s="1" t="n">
        <v>46071.57730324074</v>
      </c>
      <c r="C507" s="1" t="n">
        <v>46107</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63152-2025</t>
        </is>
      </c>
      <c r="B508" s="1" t="n">
        <v>46010</v>
      </c>
      <c r="C508" s="1" t="n">
        <v>46107</v>
      </c>
      <c r="D508" t="inlineStr">
        <is>
          <t>GOTLANDS LÄN</t>
        </is>
      </c>
      <c r="E508" t="inlineStr">
        <is>
          <t>GOTLAND</t>
        </is>
      </c>
      <c r="G508" t="n">
        <v>1.5</v>
      </c>
      <c r="H508" t="n">
        <v>0</v>
      </c>
      <c r="I508" t="n">
        <v>0</v>
      </c>
      <c r="J508" t="n">
        <v>0</v>
      </c>
      <c r="K508" t="n">
        <v>0</v>
      </c>
      <c r="L508" t="n">
        <v>0</v>
      </c>
      <c r="M508" t="n">
        <v>0</v>
      </c>
      <c r="N508" t="n">
        <v>0</v>
      </c>
      <c r="O508" t="n">
        <v>0</v>
      </c>
      <c r="P508" t="n">
        <v>0</v>
      </c>
      <c r="Q508" t="n">
        <v>0</v>
      </c>
      <c r="R508" s="2" t="inlineStr"/>
    </row>
    <row r="509" ht="15" customHeight="1">
      <c r="A509" t="inlineStr">
        <is>
          <t>A 10492-2023</t>
        </is>
      </c>
      <c r="B509" s="1" t="n">
        <v>44987</v>
      </c>
      <c r="C509" s="1" t="n">
        <v>46107</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30061-2025</t>
        </is>
      </c>
      <c r="B510" s="1" t="n">
        <v>45826.61488425926</v>
      </c>
      <c r="C510" s="1" t="n">
        <v>46107</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58160-2024</t>
        </is>
      </c>
      <c r="B511" s="1" t="n">
        <v>45632.44927083333</v>
      </c>
      <c r="C511" s="1" t="n">
        <v>46107</v>
      </c>
      <c r="D511" t="inlineStr">
        <is>
          <t>GOTLANDS LÄN</t>
        </is>
      </c>
      <c r="E511" t="inlineStr">
        <is>
          <t>GOTLAND</t>
        </is>
      </c>
      <c r="G511" t="n">
        <v>5.6</v>
      </c>
      <c r="H511" t="n">
        <v>0</v>
      </c>
      <c r="I511" t="n">
        <v>0</v>
      </c>
      <c r="J511" t="n">
        <v>0</v>
      </c>
      <c r="K511" t="n">
        <v>0</v>
      </c>
      <c r="L511" t="n">
        <v>0</v>
      </c>
      <c r="M511" t="n">
        <v>0</v>
      </c>
      <c r="N511" t="n">
        <v>0</v>
      </c>
      <c r="O511" t="n">
        <v>0</v>
      </c>
      <c r="P511" t="n">
        <v>0</v>
      </c>
      <c r="Q511" t="n">
        <v>0</v>
      </c>
      <c r="R511" s="2" t="inlineStr"/>
    </row>
    <row r="512" ht="15" customHeight="1">
      <c r="A512" t="inlineStr">
        <is>
          <t>A 9901-2026</t>
        </is>
      </c>
      <c r="B512" s="1" t="n">
        <v>46073.40391203704</v>
      </c>
      <c r="C512" s="1" t="n">
        <v>46107</v>
      </c>
      <c r="D512" t="inlineStr">
        <is>
          <t>GOTLANDS LÄN</t>
        </is>
      </c>
      <c r="E512" t="inlineStr">
        <is>
          <t>GOTLAND</t>
        </is>
      </c>
      <c r="F512" t="inlineStr">
        <is>
          <t>Kyrkan</t>
        </is>
      </c>
      <c r="G512" t="n">
        <v>0.9</v>
      </c>
      <c r="H512" t="n">
        <v>0</v>
      </c>
      <c r="I512" t="n">
        <v>0</v>
      </c>
      <c r="J512" t="n">
        <v>0</v>
      </c>
      <c r="K512" t="n">
        <v>0</v>
      </c>
      <c r="L512" t="n">
        <v>0</v>
      </c>
      <c r="M512" t="n">
        <v>0</v>
      </c>
      <c r="N512" t="n">
        <v>0</v>
      </c>
      <c r="O512" t="n">
        <v>0</v>
      </c>
      <c r="P512" t="n">
        <v>0</v>
      </c>
      <c r="Q512" t="n">
        <v>0</v>
      </c>
      <c r="R512" s="2" t="inlineStr"/>
    </row>
    <row r="513" ht="15" customHeight="1">
      <c r="A513" t="inlineStr">
        <is>
          <t>A 5909-2025</t>
        </is>
      </c>
      <c r="B513" s="1" t="n">
        <v>45695.40634259259</v>
      </c>
      <c r="C513" s="1" t="n">
        <v>46107</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10653-2023</t>
        </is>
      </c>
      <c r="B514" s="1" t="n">
        <v>44988.48859953704</v>
      </c>
      <c r="C514" s="1" t="n">
        <v>46107</v>
      </c>
      <c r="D514" t="inlineStr">
        <is>
          <t>GOTLANDS LÄN</t>
        </is>
      </c>
      <c r="E514" t="inlineStr">
        <is>
          <t>GOTLAND</t>
        </is>
      </c>
      <c r="F514" t="inlineStr">
        <is>
          <t>Kyrkan</t>
        </is>
      </c>
      <c r="G514" t="n">
        <v>3</v>
      </c>
      <c r="H514" t="n">
        <v>0</v>
      </c>
      <c r="I514" t="n">
        <v>0</v>
      </c>
      <c r="J514" t="n">
        <v>0</v>
      </c>
      <c r="K514" t="n">
        <v>0</v>
      </c>
      <c r="L514" t="n">
        <v>0</v>
      </c>
      <c r="M514" t="n">
        <v>0</v>
      </c>
      <c r="N514" t="n">
        <v>0</v>
      </c>
      <c r="O514" t="n">
        <v>0</v>
      </c>
      <c r="P514" t="n">
        <v>0</v>
      </c>
      <c r="Q514" t="n">
        <v>0</v>
      </c>
      <c r="R514" s="2" t="inlineStr"/>
    </row>
    <row r="515" ht="15" customHeight="1">
      <c r="A515" t="inlineStr">
        <is>
          <t>A 1355-2026</t>
        </is>
      </c>
      <c r="B515" s="1" t="n">
        <v>46031.59909722222</v>
      </c>
      <c r="C515" s="1" t="n">
        <v>46107</v>
      </c>
      <c r="D515" t="inlineStr">
        <is>
          <t>GOTLANDS LÄN</t>
        </is>
      </c>
      <c r="E515" t="inlineStr">
        <is>
          <t>GOTLAND</t>
        </is>
      </c>
      <c r="G515" t="n">
        <v>3.1</v>
      </c>
      <c r="H515" t="n">
        <v>0</v>
      </c>
      <c r="I515" t="n">
        <v>0</v>
      </c>
      <c r="J515" t="n">
        <v>0</v>
      </c>
      <c r="K515" t="n">
        <v>0</v>
      </c>
      <c r="L515" t="n">
        <v>0</v>
      </c>
      <c r="M515" t="n">
        <v>0</v>
      </c>
      <c r="N515" t="n">
        <v>0</v>
      </c>
      <c r="O515" t="n">
        <v>0</v>
      </c>
      <c r="P515" t="n">
        <v>0</v>
      </c>
      <c r="Q515" t="n">
        <v>0</v>
      </c>
      <c r="R515" s="2" t="inlineStr"/>
    </row>
    <row r="516" ht="15" customHeight="1">
      <c r="A516" t="inlineStr">
        <is>
          <t>A 4990-2025</t>
        </is>
      </c>
      <c r="B516" s="1" t="n">
        <v>45691</v>
      </c>
      <c r="C516" s="1" t="n">
        <v>46107</v>
      </c>
      <c r="D516" t="inlineStr">
        <is>
          <t>GOTLANDS LÄN</t>
        </is>
      </c>
      <c r="E516" t="inlineStr">
        <is>
          <t>GOTLAND</t>
        </is>
      </c>
      <c r="G516" t="n">
        <v>7.7</v>
      </c>
      <c r="H516" t="n">
        <v>0</v>
      </c>
      <c r="I516" t="n">
        <v>0</v>
      </c>
      <c r="J516" t="n">
        <v>0</v>
      </c>
      <c r="K516" t="n">
        <v>0</v>
      </c>
      <c r="L516" t="n">
        <v>0</v>
      </c>
      <c r="M516" t="n">
        <v>0</v>
      </c>
      <c r="N516" t="n">
        <v>0</v>
      </c>
      <c r="O516" t="n">
        <v>0</v>
      </c>
      <c r="P516" t="n">
        <v>0</v>
      </c>
      <c r="Q516" t="n">
        <v>0</v>
      </c>
      <c r="R516" s="2" t="inlineStr"/>
    </row>
    <row r="517" ht="15" customHeight="1">
      <c r="A517" t="inlineStr">
        <is>
          <t>A 10486-2026</t>
        </is>
      </c>
      <c r="B517" s="1" t="n">
        <v>46077.51425925926</v>
      </c>
      <c r="C517" s="1" t="n">
        <v>46107</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10284-2026</t>
        </is>
      </c>
      <c r="B518" s="1" t="n">
        <v>46076</v>
      </c>
      <c r="C518" s="1" t="n">
        <v>46107</v>
      </c>
      <c r="D518" t="inlineStr">
        <is>
          <t>GOTLANDS LÄN</t>
        </is>
      </c>
      <c r="E518" t="inlineStr">
        <is>
          <t>GOTLAND</t>
        </is>
      </c>
      <c r="G518" t="n">
        <v>5.2</v>
      </c>
      <c r="H518" t="n">
        <v>0</v>
      </c>
      <c r="I518" t="n">
        <v>0</v>
      </c>
      <c r="J518" t="n">
        <v>0</v>
      </c>
      <c r="K518" t="n">
        <v>0</v>
      </c>
      <c r="L518" t="n">
        <v>0</v>
      </c>
      <c r="M518" t="n">
        <v>0</v>
      </c>
      <c r="N518" t="n">
        <v>0</v>
      </c>
      <c r="O518" t="n">
        <v>0</v>
      </c>
      <c r="P518" t="n">
        <v>0</v>
      </c>
      <c r="Q518" t="n">
        <v>0</v>
      </c>
      <c r="R518" s="2" t="inlineStr"/>
    </row>
    <row r="519" ht="15" customHeight="1">
      <c r="A519" t="inlineStr">
        <is>
          <t>A 1898-2026</t>
        </is>
      </c>
      <c r="B519" s="1" t="n">
        <v>46035.52024305556</v>
      </c>
      <c r="C519" s="1" t="n">
        <v>46107</v>
      </c>
      <c r="D519" t="inlineStr">
        <is>
          <t>GOTLANDS LÄN</t>
        </is>
      </c>
      <c r="E519" t="inlineStr">
        <is>
          <t>GOTLAND</t>
        </is>
      </c>
      <c r="G519" t="n">
        <v>3.7</v>
      </c>
      <c r="H519" t="n">
        <v>0</v>
      </c>
      <c r="I519" t="n">
        <v>0</v>
      </c>
      <c r="J519" t="n">
        <v>0</v>
      </c>
      <c r="K519" t="n">
        <v>0</v>
      </c>
      <c r="L519" t="n">
        <v>0</v>
      </c>
      <c r="M519" t="n">
        <v>0</v>
      </c>
      <c r="N519" t="n">
        <v>0</v>
      </c>
      <c r="O519" t="n">
        <v>0</v>
      </c>
      <c r="P519" t="n">
        <v>0</v>
      </c>
      <c r="Q519" t="n">
        <v>0</v>
      </c>
      <c r="R519" s="2" t="inlineStr"/>
    </row>
    <row r="520" ht="15" customHeight="1">
      <c r="A520" t="inlineStr">
        <is>
          <t>A 32379-2025</t>
        </is>
      </c>
      <c r="B520" s="1" t="n">
        <v>45837</v>
      </c>
      <c r="C520" s="1" t="n">
        <v>46107</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32467-2025</t>
        </is>
      </c>
      <c r="B521" s="1" t="n">
        <v>45838.42111111111</v>
      </c>
      <c r="C521" s="1" t="n">
        <v>46107</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16109-2025</t>
        </is>
      </c>
      <c r="B522" s="1" t="n">
        <v>45750</v>
      </c>
      <c r="C522" s="1" t="n">
        <v>46107</v>
      </c>
      <c r="D522" t="inlineStr">
        <is>
          <t>GOTLANDS LÄN</t>
        </is>
      </c>
      <c r="E522" t="inlineStr">
        <is>
          <t>GOTLAND</t>
        </is>
      </c>
      <c r="G522" t="n">
        <v>4.9</v>
      </c>
      <c r="H522" t="n">
        <v>0</v>
      </c>
      <c r="I522" t="n">
        <v>0</v>
      </c>
      <c r="J522" t="n">
        <v>0</v>
      </c>
      <c r="K522" t="n">
        <v>0</v>
      </c>
      <c r="L522" t="n">
        <v>0</v>
      </c>
      <c r="M522" t="n">
        <v>0</v>
      </c>
      <c r="N522" t="n">
        <v>0</v>
      </c>
      <c r="O522" t="n">
        <v>0</v>
      </c>
      <c r="P522" t="n">
        <v>0</v>
      </c>
      <c r="Q522" t="n">
        <v>0</v>
      </c>
      <c r="R522" s="2" t="inlineStr"/>
    </row>
    <row r="523" ht="15" customHeight="1">
      <c r="A523" t="inlineStr">
        <is>
          <t>A 43081-2022</t>
        </is>
      </c>
      <c r="B523" s="1" t="n">
        <v>44833</v>
      </c>
      <c r="C523" s="1" t="n">
        <v>46107</v>
      </c>
      <c r="D523" t="inlineStr">
        <is>
          <t>GOTLANDS LÄN</t>
        </is>
      </c>
      <c r="E523" t="inlineStr">
        <is>
          <t>GOTLAND</t>
        </is>
      </c>
      <c r="G523" t="n">
        <v>6.8</v>
      </c>
      <c r="H523" t="n">
        <v>0</v>
      </c>
      <c r="I523" t="n">
        <v>0</v>
      </c>
      <c r="J523" t="n">
        <v>0</v>
      </c>
      <c r="K523" t="n">
        <v>0</v>
      </c>
      <c r="L523" t="n">
        <v>0</v>
      </c>
      <c r="M523" t="n">
        <v>0</v>
      </c>
      <c r="N523" t="n">
        <v>0</v>
      </c>
      <c r="O523" t="n">
        <v>0</v>
      </c>
      <c r="P523" t="n">
        <v>0</v>
      </c>
      <c r="Q523" t="n">
        <v>0</v>
      </c>
      <c r="R523" s="2" t="inlineStr"/>
    </row>
    <row r="524" ht="15" customHeight="1">
      <c r="A524" t="inlineStr">
        <is>
          <t>A 32958-2021</t>
        </is>
      </c>
      <c r="B524" s="1" t="n">
        <v>44376</v>
      </c>
      <c r="C524" s="1" t="n">
        <v>46107</v>
      </c>
      <c r="D524" t="inlineStr">
        <is>
          <t>GOTLANDS LÄN</t>
        </is>
      </c>
      <c r="E524" t="inlineStr">
        <is>
          <t>GOTLAND</t>
        </is>
      </c>
      <c r="G524" t="n">
        <v>2.2</v>
      </c>
      <c r="H524" t="n">
        <v>0</v>
      </c>
      <c r="I524" t="n">
        <v>0</v>
      </c>
      <c r="J524" t="n">
        <v>0</v>
      </c>
      <c r="K524" t="n">
        <v>0</v>
      </c>
      <c r="L524" t="n">
        <v>0</v>
      </c>
      <c r="M524" t="n">
        <v>0</v>
      </c>
      <c r="N524" t="n">
        <v>0</v>
      </c>
      <c r="O524" t="n">
        <v>0</v>
      </c>
      <c r="P524" t="n">
        <v>0</v>
      </c>
      <c r="Q524" t="n">
        <v>0</v>
      </c>
      <c r="R524" s="2" t="inlineStr"/>
    </row>
    <row r="525" ht="15" customHeight="1">
      <c r="A525" t="inlineStr">
        <is>
          <t>A 2415-2026</t>
        </is>
      </c>
      <c r="B525" s="1" t="n">
        <v>46036.76203703704</v>
      </c>
      <c r="C525" s="1" t="n">
        <v>46107</v>
      </c>
      <c r="D525" t="inlineStr">
        <is>
          <t>GOTLANDS LÄN</t>
        </is>
      </c>
      <c r="E525" t="inlineStr">
        <is>
          <t>GOTLAND</t>
        </is>
      </c>
      <c r="G525" t="n">
        <v>6.9</v>
      </c>
      <c r="H525" t="n">
        <v>0</v>
      </c>
      <c r="I525" t="n">
        <v>0</v>
      </c>
      <c r="J525" t="n">
        <v>0</v>
      </c>
      <c r="K525" t="n">
        <v>0</v>
      </c>
      <c r="L525" t="n">
        <v>0</v>
      </c>
      <c r="M525" t="n">
        <v>0</v>
      </c>
      <c r="N525" t="n">
        <v>0</v>
      </c>
      <c r="O525" t="n">
        <v>0</v>
      </c>
      <c r="P525" t="n">
        <v>0</v>
      </c>
      <c r="Q525" t="n">
        <v>0</v>
      </c>
      <c r="R525" s="2" t="inlineStr"/>
    </row>
    <row r="526" ht="15" customHeight="1">
      <c r="A526" t="inlineStr">
        <is>
          <t>A 5884-2025</t>
        </is>
      </c>
      <c r="B526" s="1" t="n">
        <v>45695.37482638889</v>
      </c>
      <c r="C526" s="1" t="n">
        <v>46107</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5897-2025</t>
        </is>
      </c>
      <c r="B527" s="1" t="n">
        <v>45695.39273148148</v>
      </c>
      <c r="C527" s="1" t="n">
        <v>46107</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33007-2025</t>
        </is>
      </c>
      <c r="B528" s="1" t="n">
        <v>45840</v>
      </c>
      <c r="C528" s="1" t="n">
        <v>46107</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11414-2026</t>
        </is>
      </c>
      <c r="B529" s="1" t="n">
        <v>46083.46336805556</v>
      </c>
      <c r="C529" s="1" t="n">
        <v>46107</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49693-2023</t>
        </is>
      </c>
      <c r="B530" s="1" t="n">
        <v>45212.38138888889</v>
      </c>
      <c r="C530" s="1" t="n">
        <v>46107</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49697-2023</t>
        </is>
      </c>
      <c r="B531" s="1" t="n">
        <v>45212.38909722222</v>
      </c>
      <c r="C531" s="1" t="n">
        <v>46107</v>
      </c>
      <c r="D531" t="inlineStr">
        <is>
          <t>GOTLANDS LÄN</t>
        </is>
      </c>
      <c r="E531" t="inlineStr">
        <is>
          <t>GOTLAND</t>
        </is>
      </c>
      <c r="G531" t="n">
        <v>4.4</v>
      </c>
      <c r="H531" t="n">
        <v>0</v>
      </c>
      <c r="I531" t="n">
        <v>0</v>
      </c>
      <c r="J531" t="n">
        <v>0</v>
      </c>
      <c r="K531" t="n">
        <v>0</v>
      </c>
      <c r="L531" t="n">
        <v>0</v>
      </c>
      <c r="M531" t="n">
        <v>0</v>
      </c>
      <c r="N531" t="n">
        <v>0</v>
      </c>
      <c r="O531" t="n">
        <v>0</v>
      </c>
      <c r="P531" t="n">
        <v>0</v>
      </c>
      <c r="Q531" t="n">
        <v>0</v>
      </c>
      <c r="R531" s="2" t="inlineStr"/>
    </row>
    <row r="532" ht="15" customHeight="1">
      <c r="A532" t="inlineStr">
        <is>
          <t>A 11424-2026</t>
        </is>
      </c>
      <c r="B532" s="1" t="n">
        <v>46083.48068287037</v>
      </c>
      <c r="C532" s="1" t="n">
        <v>46107</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53587-2025</t>
        </is>
      </c>
      <c r="B533" s="1" t="n">
        <v>45960.43681712963</v>
      </c>
      <c r="C533" s="1" t="n">
        <v>46107</v>
      </c>
      <c r="D533" t="inlineStr">
        <is>
          <t>GOTLANDS LÄN</t>
        </is>
      </c>
      <c r="E533" t="inlineStr">
        <is>
          <t>GOTLAND</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15413-2025</t>
        </is>
      </c>
      <c r="B534" s="1" t="n">
        <v>45747.451875</v>
      </c>
      <c r="C534" s="1" t="n">
        <v>46107</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35123-2025</t>
        </is>
      </c>
      <c r="B535" s="1" t="n">
        <v>45852.614375</v>
      </c>
      <c r="C535" s="1" t="n">
        <v>46107</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17901-2023</t>
        </is>
      </c>
      <c r="B536" s="1" t="n">
        <v>45039</v>
      </c>
      <c r="C536" s="1" t="n">
        <v>46107</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53561-2025</t>
        </is>
      </c>
      <c r="B537" s="1" t="n">
        <v>45960.4059375</v>
      </c>
      <c r="C537" s="1" t="n">
        <v>46107</v>
      </c>
      <c r="D537" t="inlineStr">
        <is>
          <t>GOTLANDS LÄN</t>
        </is>
      </c>
      <c r="E537" t="inlineStr">
        <is>
          <t>GOTLAND</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3253-2026</t>
        </is>
      </c>
      <c r="B538" s="1" t="n">
        <v>46041.58902777778</v>
      </c>
      <c r="C538" s="1" t="n">
        <v>46107</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35096-2025</t>
        </is>
      </c>
      <c r="B539" s="1" t="n">
        <v>45852.54356481481</v>
      </c>
      <c r="C539" s="1" t="n">
        <v>46107</v>
      </c>
      <c r="D539" t="inlineStr">
        <is>
          <t>GOTLANDS LÄN</t>
        </is>
      </c>
      <c r="E539" t="inlineStr">
        <is>
          <t>GOTLAND</t>
        </is>
      </c>
      <c r="F539" t="inlineStr">
        <is>
          <t>Kyrkan</t>
        </is>
      </c>
      <c r="G539" t="n">
        <v>1</v>
      </c>
      <c r="H539" t="n">
        <v>0</v>
      </c>
      <c r="I539" t="n">
        <v>0</v>
      </c>
      <c r="J539" t="n">
        <v>0</v>
      </c>
      <c r="K539" t="n">
        <v>0</v>
      </c>
      <c r="L539" t="n">
        <v>0</v>
      </c>
      <c r="M539" t="n">
        <v>0</v>
      </c>
      <c r="N539" t="n">
        <v>0</v>
      </c>
      <c r="O539" t="n">
        <v>0</v>
      </c>
      <c r="P539" t="n">
        <v>0</v>
      </c>
      <c r="Q539" t="n">
        <v>0</v>
      </c>
      <c r="R539" s="2" t="inlineStr"/>
    </row>
    <row r="540" ht="15" customHeight="1">
      <c r="A540" t="inlineStr">
        <is>
          <t>A 30104-2025</t>
        </is>
      </c>
      <c r="B540" s="1" t="n">
        <v>45826.68806712963</v>
      </c>
      <c r="C540" s="1" t="n">
        <v>46107</v>
      </c>
      <c r="D540" t="inlineStr">
        <is>
          <t>GOTLANDS LÄN</t>
        </is>
      </c>
      <c r="E540" t="inlineStr">
        <is>
          <t>GOTLAND</t>
        </is>
      </c>
      <c r="G540" t="n">
        <v>15.4</v>
      </c>
      <c r="H540" t="n">
        <v>0</v>
      </c>
      <c r="I540" t="n">
        <v>0</v>
      </c>
      <c r="J540" t="n">
        <v>0</v>
      </c>
      <c r="K540" t="n">
        <v>0</v>
      </c>
      <c r="L540" t="n">
        <v>0</v>
      </c>
      <c r="M540" t="n">
        <v>0</v>
      </c>
      <c r="N540" t="n">
        <v>0</v>
      </c>
      <c r="O540" t="n">
        <v>0</v>
      </c>
      <c r="P540" t="n">
        <v>0</v>
      </c>
      <c r="Q540" t="n">
        <v>0</v>
      </c>
      <c r="R540" s="2" t="inlineStr"/>
    </row>
    <row r="541" ht="15" customHeight="1">
      <c r="A541" t="inlineStr">
        <is>
          <t>A 52892-2021</t>
        </is>
      </c>
      <c r="B541" s="1" t="n">
        <v>44467.49048611111</v>
      </c>
      <c r="C541" s="1" t="n">
        <v>46107</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35290-2025</t>
        </is>
      </c>
      <c r="B542" s="1" t="n">
        <v>45854.38502314815</v>
      </c>
      <c r="C542" s="1" t="n">
        <v>46107</v>
      </c>
      <c r="D542" t="inlineStr">
        <is>
          <t>GOTLANDS LÄN</t>
        </is>
      </c>
      <c r="E542" t="inlineStr">
        <is>
          <t>GOTLAND</t>
        </is>
      </c>
      <c r="G542" t="n">
        <v>5.4</v>
      </c>
      <c r="H542" t="n">
        <v>0</v>
      </c>
      <c r="I542" t="n">
        <v>0</v>
      </c>
      <c r="J542" t="n">
        <v>0</v>
      </c>
      <c r="K542" t="n">
        <v>0</v>
      </c>
      <c r="L542" t="n">
        <v>0</v>
      </c>
      <c r="M542" t="n">
        <v>0</v>
      </c>
      <c r="N542" t="n">
        <v>0</v>
      </c>
      <c r="O542" t="n">
        <v>0</v>
      </c>
      <c r="P542" t="n">
        <v>0</v>
      </c>
      <c r="Q542" t="n">
        <v>0</v>
      </c>
      <c r="R542" s="2" t="inlineStr"/>
    </row>
    <row r="543" ht="15" customHeight="1">
      <c r="A543" t="inlineStr">
        <is>
          <t>A 32669-2024</t>
        </is>
      </c>
      <c r="B543" s="1" t="n">
        <v>45514</v>
      </c>
      <c r="C543" s="1" t="n">
        <v>46107</v>
      </c>
      <c r="D543" t="inlineStr">
        <is>
          <t>GOTLANDS LÄN</t>
        </is>
      </c>
      <c r="E543" t="inlineStr">
        <is>
          <t>GOTLAND</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35537-2025</t>
        </is>
      </c>
      <c r="B544" s="1" t="n">
        <v>45856</v>
      </c>
      <c r="C544" s="1" t="n">
        <v>46107</v>
      </c>
      <c r="D544" t="inlineStr">
        <is>
          <t>GOTLANDS LÄN</t>
        </is>
      </c>
      <c r="E544" t="inlineStr">
        <is>
          <t>GOTLAND</t>
        </is>
      </c>
      <c r="G544" t="n">
        <v>16.8</v>
      </c>
      <c r="H544" t="n">
        <v>0</v>
      </c>
      <c r="I544" t="n">
        <v>0</v>
      </c>
      <c r="J544" t="n">
        <v>0</v>
      </c>
      <c r="K544" t="n">
        <v>0</v>
      </c>
      <c r="L544" t="n">
        <v>0</v>
      </c>
      <c r="M544" t="n">
        <v>0</v>
      </c>
      <c r="N544" t="n">
        <v>0</v>
      </c>
      <c r="O544" t="n">
        <v>0</v>
      </c>
      <c r="P544" t="n">
        <v>0</v>
      </c>
      <c r="Q544" t="n">
        <v>0</v>
      </c>
      <c r="R544" s="2" t="inlineStr"/>
    </row>
    <row r="545" ht="15" customHeight="1">
      <c r="A545" t="inlineStr">
        <is>
          <t>A 46396-2023</t>
        </is>
      </c>
      <c r="B545" s="1" t="n">
        <v>45197</v>
      </c>
      <c r="C545" s="1" t="n">
        <v>46107</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15216-2025</t>
        </is>
      </c>
      <c r="B546" s="1" t="n">
        <v>45744</v>
      </c>
      <c r="C546" s="1" t="n">
        <v>46107</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11982-2026</t>
        </is>
      </c>
      <c r="B547" s="1" t="n">
        <v>46085.6434375</v>
      </c>
      <c r="C547" s="1" t="n">
        <v>46107</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43790-2024</t>
        </is>
      </c>
      <c r="B548" s="1" t="n">
        <v>45571</v>
      </c>
      <c r="C548" s="1" t="n">
        <v>46107</v>
      </c>
      <c r="D548" t="inlineStr">
        <is>
          <t>GOTLANDS LÄN</t>
        </is>
      </c>
      <c r="E548" t="inlineStr">
        <is>
          <t>GOTLAND</t>
        </is>
      </c>
      <c r="G548" t="n">
        <v>3.5</v>
      </c>
      <c r="H548" t="n">
        <v>0</v>
      </c>
      <c r="I548" t="n">
        <v>0</v>
      </c>
      <c r="J548" t="n">
        <v>0</v>
      </c>
      <c r="K548" t="n">
        <v>0</v>
      </c>
      <c r="L548" t="n">
        <v>0</v>
      </c>
      <c r="M548" t="n">
        <v>0</v>
      </c>
      <c r="N548" t="n">
        <v>0</v>
      </c>
      <c r="O548" t="n">
        <v>0</v>
      </c>
      <c r="P548" t="n">
        <v>0</v>
      </c>
      <c r="Q548" t="n">
        <v>0</v>
      </c>
      <c r="R548" s="2" t="inlineStr"/>
    </row>
    <row r="549" ht="15" customHeight="1">
      <c r="A549" t="inlineStr">
        <is>
          <t>A 15001-2025</t>
        </is>
      </c>
      <c r="B549" s="1" t="n">
        <v>45743</v>
      </c>
      <c r="C549" s="1" t="n">
        <v>46107</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30488-2025</t>
        </is>
      </c>
      <c r="B550" s="1" t="n">
        <v>45830</v>
      </c>
      <c r="C550" s="1" t="n">
        <v>46107</v>
      </c>
      <c r="D550" t="inlineStr">
        <is>
          <t>GOTLANDS LÄN</t>
        </is>
      </c>
      <c r="E550" t="inlineStr">
        <is>
          <t>GOTLAND</t>
        </is>
      </c>
      <c r="F550" t="inlineStr">
        <is>
          <t>Kyrkan</t>
        </is>
      </c>
      <c r="G550" t="n">
        <v>3.9</v>
      </c>
      <c r="H550" t="n">
        <v>0</v>
      </c>
      <c r="I550" t="n">
        <v>0</v>
      </c>
      <c r="J550" t="n">
        <v>0</v>
      </c>
      <c r="K550" t="n">
        <v>0</v>
      </c>
      <c r="L550" t="n">
        <v>0</v>
      </c>
      <c r="M550" t="n">
        <v>0</v>
      </c>
      <c r="N550" t="n">
        <v>0</v>
      </c>
      <c r="O550" t="n">
        <v>0</v>
      </c>
      <c r="P550" t="n">
        <v>0</v>
      </c>
      <c r="Q550" t="n">
        <v>0</v>
      </c>
      <c r="R550" s="2" t="inlineStr"/>
    </row>
    <row r="551" ht="15" customHeight="1">
      <c r="A551" t="inlineStr">
        <is>
          <t>A 17847-2025</t>
        </is>
      </c>
      <c r="B551" s="1" t="n">
        <v>45758</v>
      </c>
      <c r="C551" s="1" t="n">
        <v>46107</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18742-2025</t>
        </is>
      </c>
      <c r="B552" s="1" t="n">
        <v>45763</v>
      </c>
      <c r="C552" s="1" t="n">
        <v>46107</v>
      </c>
      <c r="D552" t="inlineStr">
        <is>
          <t>GOTLANDS LÄN</t>
        </is>
      </c>
      <c r="E552" t="inlineStr">
        <is>
          <t>GOTLAND</t>
        </is>
      </c>
      <c r="G552" t="n">
        <v>3.4</v>
      </c>
      <c r="H552" t="n">
        <v>0</v>
      </c>
      <c r="I552" t="n">
        <v>0</v>
      </c>
      <c r="J552" t="n">
        <v>0</v>
      </c>
      <c r="K552" t="n">
        <v>0</v>
      </c>
      <c r="L552" t="n">
        <v>0</v>
      </c>
      <c r="M552" t="n">
        <v>0</v>
      </c>
      <c r="N552" t="n">
        <v>0</v>
      </c>
      <c r="O552" t="n">
        <v>0</v>
      </c>
      <c r="P552" t="n">
        <v>0</v>
      </c>
      <c r="Q552" t="n">
        <v>0</v>
      </c>
      <c r="R552" s="2" t="inlineStr"/>
    </row>
    <row r="553" ht="15" customHeight="1">
      <c r="A553" t="inlineStr">
        <is>
          <t>A 35129-2025</t>
        </is>
      </c>
      <c r="B553" s="1" t="n">
        <v>45852.63224537037</v>
      </c>
      <c r="C553" s="1" t="n">
        <v>46107</v>
      </c>
      <c r="D553" t="inlineStr">
        <is>
          <t>GOTLANDS LÄN</t>
        </is>
      </c>
      <c r="E553" t="inlineStr">
        <is>
          <t>GOTLAND</t>
        </is>
      </c>
      <c r="G553" t="n">
        <v>3.2</v>
      </c>
      <c r="H553" t="n">
        <v>0</v>
      </c>
      <c r="I553" t="n">
        <v>0</v>
      </c>
      <c r="J553" t="n">
        <v>0</v>
      </c>
      <c r="K553" t="n">
        <v>0</v>
      </c>
      <c r="L553" t="n">
        <v>0</v>
      </c>
      <c r="M553" t="n">
        <v>0</v>
      </c>
      <c r="N553" t="n">
        <v>0</v>
      </c>
      <c r="O553" t="n">
        <v>0</v>
      </c>
      <c r="P553" t="n">
        <v>0</v>
      </c>
      <c r="Q553" t="n">
        <v>0</v>
      </c>
      <c r="R553" s="2" t="inlineStr"/>
    </row>
    <row r="554" ht="15" customHeight="1">
      <c r="A554" t="inlineStr">
        <is>
          <t>A 12135-2026</t>
        </is>
      </c>
      <c r="B554" s="1" t="n">
        <v>46086</v>
      </c>
      <c r="C554" s="1" t="n">
        <v>46107</v>
      </c>
      <c r="D554" t="inlineStr">
        <is>
          <t>GOTLANDS LÄN</t>
        </is>
      </c>
      <c r="E554" t="inlineStr">
        <is>
          <t>GOTLAND</t>
        </is>
      </c>
      <c r="G554" t="n">
        <v>3</v>
      </c>
      <c r="H554" t="n">
        <v>0</v>
      </c>
      <c r="I554" t="n">
        <v>0</v>
      </c>
      <c r="J554" t="n">
        <v>0</v>
      </c>
      <c r="K554" t="n">
        <v>0</v>
      </c>
      <c r="L554" t="n">
        <v>0</v>
      </c>
      <c r="M554" t="n">
        <v>0</v>
      </c>
      <c r="N554" t="n">
        <v>0</v>
      </c>
      <c r="O554" t="n">
        <v>0</v>
      </c>
      <c r="P554" t="n">
        <v>0</v>
      </c>
      <c r="Q554" t="n">
        <v>0</v>
      </c>
      <c r="R554" s="2" t="inlineStr"/>
    </row>
    <row r="555" ht="15" customHeight="1">
      <c r="A555" t="inlineStr">
        <is>
          <t>A 4646-2026</t>
        </is>
      </c>
      <c r="B555" s="1" t="n">
        <v>46048.40357638889</v>
      </c>
      <c r="C555" s="1" t="n">
        <v>46107</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63000-2025</t>
        </is>
      </c>
      <c r="B556" s="1" t="n">
        <v>46009</v>
      </c>
      <c r="C556" s="1" t="n">
        <v>46107</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17724-2024</t>
        </is>
      </c>
      <c r="B557" s="1" t="n">
        <v>45418.55096064815</v>
      </c>
      <c r="C557" s="1" t="n">
        <v>46107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4662-2026</t>
        </is>
      </c>
      <c r="B558" s="1" t="n">
        <v>46048.40949074074</v>
      </c>
      <c r="C558" s="1" t="n">
        <v>46107</v>
      </c>
      <c r="D558" t="inlineStr">
        <is>
          <t>GOTLANDS LÄN</t>
        </is>
      </c>
      <c r="E558" t="inlineStr">
        <is>
          <t>GOTLAND</t>
        </is>
      </c>
      <c r="G558" t="n">
        <v>7.6</v>
      </c>
      <c r="H558" t="n">
        <v>0</v>
      </c>
      <c r="I558" t="n">
        <v>0</v>
      </c>
      <c r="J558" t="n">
        <v>0</v>
      </c>
      <c r="K558" t="n">
        <v>0</v>
      </c>
      <c r="L558" t="n">
        <v>0</v>
      </c>
      <c r="M558" t="n">
        <v>0</v>
      </c>
      <c r="N558" t="n">
        <v>0</v>
      </c>
      <c r="O558" t="n">
        <v>0</v>
      </c>
      <c r="P558" t="n">
        <v>0</v>
      </c>
      <c r="Q558" t="n">
        <v>0</v>
      </c>
      <c r="R558" s="2" t="inlineStr"/>
    </row>
    <row r="559" ht="15" customHeight="1">
      <c r="A559" t="inlineStr">
        <is>
          <t>A 62751-2025</t>
        </is>
      </c>
      <c r="B559" s="1" t="n">
        <v>46008</v>
      </c>
      <c r="C559" s="1" t="n">
        <v>46107</v>
      </c>
      <c r="D559" t="inlineStr">
        <is>
          <t>GOTLANDS LÄN</t>
        </is>
      </c>
      <c r="E559" t="inlineStr">
        <is>
          <t>GOTLAND</t>
        </is>
      </c>
      <c r="F559" t="inlineStr">
        <is>
          <t>Övriga Aktiebolag</t>
        </is>
      </c>
      <c r="G559" t="n">
        <v>7.8</v>
      </c>
      <c r="H559" t="n">
        <v>0</v>
      </c>
      <c r="I559" t="n">
        <v>0</v>
      </c>
      <c r="J559" t="n">
        <v>0</v>
      </c>
      <c r="K559" t="n">
        <v>0</v>
      </c>
      <c r="L559" t="n">
        <v>0</v>
      </c>
      <c r="M559" t="n">
        <v>0</v>
      </c>
      <c r="N559" t="n">
        <v>0</v>
      </c>
      <c r="O559" t="n">
        <v>0</v>
      </c>
      <c r="P559" t="n">
        <v>0</v>
      </c>
      <c r="Q559" t="n">
        <v>0</v>
      </c>
      <c r="R559" s="2" t="inlineStr"/>
    </row>
    <row r="560" ht="15" customHeight="1">
      <c r="A560" t="inlineStr">
        <is>
          <t>A 4639-2026</t>
        </is>
      </c>
      <c r="B560" s="1" t="n">
        <v>46048.39880787037</v>
      </c>
      <c r="C560" s="1" t="n">
        <v>46107</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1839-2026</t>
        </is>
      </c>
      <c r="B561" s="1" t="n">
        <v>46035.3942824074</v>
      </c>
      <c r="C561" s="1" t="n">
        <v>46107</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34312-2024</t>
        </is>
      </c>
      <c r="B562" s="1" t="n">
        <v>45524.69703703704</v>
      </c>
      <c r="C562" s="1" t="n">
        <v>46107</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60384-2025</t>
        </is>
      </c>
      <c r="B563" s="1" t="n">
        <v>45995</v>
      </c>
      <c r="C563" s="1" t="n">
        <v>46107</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4634-2026</t>
        </is>
      </c>
      <c r="B564" s="1" t="n">
        <v>46048.39304398148</v>
      </c>
      <c r="C564" s="1" t="n">
        <v>46107</v>
      </c>
      <c r="D564" t="inlineStr">
        <is>
          <t>GOTLANDS LÄN</t>
        </is>
      </c>
      <c r="E564" t="inlineStr">
        <is>
          <t>GOTLAND</t>
        </is>
      </c>
      <c r="G564" t="n">
        <v>7.8</v>
      </c>
      <c r="H564" t="n">
        <v>0</v>
      </c>
      <c r="I564" t="n">
        <v>0</v>
      </c>
      <c r="J564" t="n">
        <v>0</v>
      </c>
      <c r="K564" t="n">
        <v>0</v>
      </c>
      <c r="L564" t="n">
        <v>0</v>
      </c>
      <c r="M564" t="n">
        <v>0</v>
      </c>
      <c r="N564" t="n">
        <v>0</v>
      </c>
      <c r="O564" t="n">
        <v>0</v>
      </c>
      <c r="P564" t="n">
        <v>0</v>
      </c>
      <c r="Q564" t="n">
        <v>0</v>
      </c>
      <c r="R564" s="2" t="inlineStr"/>
    </row>
    <row r="565" ht="15" customHeight="1">
      <c r="A565" t="inlineStr">
        <is>
          <t>A 4670-2026</t>
        </is>
      </c>
      <c r="B565" s="1" t="n">
        <v>46048.41733796296</v>
      </c>
      <c r="C565" s="1" t="n">
        <v>46107</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62754-2025</t>
        </is>
      </c>
      <c r="B566" s="1" t="n">
        <v>46008</v>
      </c>
      <c r="C566" s="1" t="n">
        <v>46107</v>
      </c>
      <c r="D566" t="inlineStr">
        <is>
          <t>GOTLANDS LÄN</t>
        </is>
      </c>
      <c r="E566" t="inlineStr">
        <is>
          <t>GOTLAND</t>
        </is>
      </c>
      <c r="F566" t="inlineStr">
        <is>
          <t>Övriga Aktiebolag</t>
        </is>
      </c>
      <c r="G566" t="n">
        <v>2.9</v>
      </c>
      <c r="H566" t="n">
        <v>0</v>
      </c>
      <c r="I566" t="n">
        <v>0</v>
      </c>
      <c r="J566" t="n">
        <v>0</v>
      </c>
      <c r="K566" t="n">
        <v>0</v>
      </c>
      <c r="L566" t="n">
        <v>0</v>
      </c>
      <c r="M566" t="n">
        <v>0</v>
      </c>
      <c r="N566" t="n">
        <v>0</v>
      </c>
      <c r="O566" t="n">
        <v>0</v>
      </c>
      <c r="P566" t="n">
        <v>0</v>
      </c>
      <c r="Q566" t="n">
        <v>0</v>
      </c>
      <c r="R566" s="2" t="inlineStr"/>
    </row>
    <row r="567" ht="15" customHeight="1">
      <c r="A567" t="inlineStr">
        <is>
          <t>A 6108-2025</t>
        </is>
      </c>
      <c r="B567" s="1" t="n">
        <v>45698.29880787037</v>
      </c>
      <c r="C567" s="1" t="n">
        <v>46107</v>
      </c>
      <c r="D567" t="inlineStr">
        <is>
          <t>GOTLANDS LÄN</t>
        </is>
      </c>
      <c r="E567" t="inlineStr">
        <is>
          <t>GOTLAND</t>
        </is>
      </c>
      <c r="G567" t="n">
        <v>2.8</v>
      </c>
      <c r="H567" t="n">
        <v>0</v>
      </c>
      <c r="I567" t="n">
        <v>0</v>
      </c>
      <c r="J567" t="n">
        <v>0</v>
      </c>
      <c r="K567" t="n">
        <v>0</v>
      </c>
      <c r="L567" t="n">
        <v>0</v>
      </c>
      <c r="M567" t="n">
        <v>0</v>
      </c>
      <c r="N567" t="n">
        <v>0</v>
      </c>
      <c r="O567" t="n">
        <v>0</v>
      </c>
      <c r="P567" t="n">
        <v>0</v>
      </c>
      <c r="Q567" t="n">
        <v>0</v>
      </c>
      <c r="R567" s="2" t="inlineStr"/>
    </row>
    <row r="568" ht="15" customHeight="1">
      <c r="A568" t="inlineStr">
        <is>
          <t>A 21142-2025</t>
        </is>
      </c>
      <c r="B568" s="1" t="n">
        <v>45779</v>
      </c>
      <c r="C568" s="1" t="n">
        <v>46107</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69112-2021</t>
        </is>
      </c>
      <c r="B569" s="1" t="n">
        <v>44530</v>
      </c>
      <c r="C569" s="1" t="n">
        <v>46107</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7638-2025</t>
        </is>
      </c>
      <c r="B570" s="1" t="n">
        <v>45705.77306712963</v>
      </c>
      <c r="C570" s="1" t="n">
        <v>46107</v>
      </c>
      <c r="D570" t="inlineStr">
        <is>
          <t>GOTLANDS LÄN</t>
        </is>
      </c>
      <c r="E570" t="inlineStr">
        <is>
          <t>GOTLAND</t>
        </is>
      </c>
      <c r="G570" t="n">
        <v>2.2</v>
      </c>
      <c r="H570" t="n">
        <v>0</v>
      </c>
      <c r="I570" t="n">
        <v>0</v>
      </c>
      <c r="J570" t="n">
        <v>0</v>
      </c>
      <c r="K570" t="n">
        <v>0</v>
      </c>
      <c r="L570" t="n">
        <v>0</v>
      </c>
      <c r="M570" t="n">
        <v>0</v>
      </c>
      <c r="N570" t="n">
        <v>0</v>
      </c>
      <c r="O570" t="n">
        <v>0</v>
      </c>
      <c r="P570" t="n">
        <v>0</v>
      </c>
      <c r="Q570" t="n">
        <v>0</v>
      </c>
      <c r="R570" s="2" t="inlineStr"/>
    </row>
    <row r="571" ht="15" customHeight="1">
      <c r="A571" t="inlineStr">
        <is>
          <t>A 50482-2024</t>
        </is>
      </c>
      <c r="B571" s="1" t="n">
        <v>45601.48114583334</v>
      </c>
      <c r="C571" s="1" t="n">
        <v>46107</v>
      </c>
      <c r="D571" t="inlineStr">
        <is>
          <t>GOTLANDS LÄN</t>
        </is>
      </c>
      <c r="E571" t="inlineStr">
        <is>
          <t>GOTLAND</t>
        </is>
      </c>
      <c r="G571" t="n">
        <v>2.3</v>
      </c>
      <c r="H571" t="n">
        <v>0</v>
      </c>
      <c r="I571" t="n">
        <v>0</v>
      </c>
      <c r="J571" t="n">
        <v>0</v>
      </c>
      <c r="K571" t="n">
        <v>0</v>
      </c>
      <c r="L571" t="n">
        <v>0</v>
      </c>
      <c r="M571" t="n">
        <v>0</v>
      </c>
      <c r="N571" t="n">
        <v>0</v>
      </c>
      <c r="O571" t="n">
        <v>0</v>
      </c>
      <c r="P571" t="n">
        <v>0</v>
      </c>
      <c r="Q571" t="n">
        <v>0</v>
      </c>
      <c r="R571" s="2" t="inlineStr"/>
    </row>
    <row r="572" ht="15" customHeight="1">
      <c r="A572" t="inlineStr">
        <is>
          <t>A 1854-2026</t>
        </is>
      </c>
      <c r="B572" s="1" t="n">
        <v>46035.4171875</v>
      </c>
      <c r="C572" s="1" t="n">
        <v>46107</v>
      </c>
      <c r="D572" t="inlineStr">
        <is>
          <t>GOTLANDS LÄN</t>
        </is>
      </c>
      <c r="E572" t="inlineStr">
        <is>
          <t>GOTLAND</t>
        </is>
      </c>
      <c r="G572" t="n">
        <v>3</v>
      </c>
      <c r="H572" t="n">
        <v>0</v>
      </c>
      <c r="I572" t="n">
        <v>0</v>
      </c>
      <c r="J572" t="n">
        <v>0</v>
      </c>
      <c r="K572" t="n">
        <v>0</v>
      </c>
      <c r="L572" t="n">
        <v>0</v>
      </c>
      <c r="M572" t="n">
        <v>0</v>
      </c>
      <c r="N572" t="n">
        <v>0</v>
      </c>
      <c r="O572" t="n">
        <v>0</v>
      </c>
      <c r="P572" t="n">
        <v>0</v>
      </c>
      <c r="Q572" t="n">
        <v>0</v>
      </c>
      <c r="R572" s="2" t="inlineStr"/>
    </row>
    <row r="573" ht="15" customHeight="1">
      <c r="A573" t="inlineStr">
        <is>
          <t>A 1394-2023</t>
        </is>
      </c>
      <c r="B573" s="1" t="n">
        <v>44936.72997685185</v>
      </c>
      <c r="C573" s="1" t="n">
        <v>46107</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13482-2026</t>
        </is>
      </c>
      <c r="B574" s="1" t="n">
        <v>46094</v>
      </c>
      <c r="C574" s="1" t="n">
        <v>46107</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58230-2024</t>
        </is>
      </c>
      <c r="B575" s="1" t="n">
        <v>45632.51625</v>
      </c>
      <c r="C575" s="1" t="n">
        <v>46107</v>
      </c>
      <c r="D575" t="inlineStr">
        <is>
          <t>GOTLANDS LÄN</t>
        </is>
      </c>
      <c r="E575" t="inlineStr">
        <is>
          <t>GOTLAND</t>
        </is>
      </c>
      <c r="G575" t="n">
        <v>7.3</v>
      </c>
      <c r="H575" t="n">
        <v>0</v>
      </c>
      <c r="I575" t="n">
        <v>0</v>
      </c>
      <c r="J575" t="n">
        <v>0</v>
      </c>
      <c r="K575" t="n">
        <v>0</v>
      </c>
      <c r="L575" t="n">
        <v>0</v>
      </c>
      <c r="M575" t="n">
        <v>0</v>
      </c>
      <c r="N575" t="n">
        <v>0</v>
      </c>
      <c r="O575" t="n">
        <v>0</v>
      </c>
      <c r="P575" t="n">
        <v>0</v>
      </c>
      <c r="Q575" t="n">
        <v>0</v>
      </c>
      <c r="R575" s="2" t="inlineStr"/>
    </row>
    <row r="576" ht="15" customHeight="1">
      <c r="A576" t="inlineStr">
        <is>
          <t>A 1462-2025</t>
        </is>
      </c>
      <c r="B576" s="1" t="n">
        <v>45670.36319444444</v>
      </c>
      <c r="C576" s="1" t="n">
        <v>46107</v>
      </c>
      <c r="D576" t="inlineStr">
        <is>
          <t>GOTLANDS LÄN</t>
        </is>
      </c>
      <c r="E576" t="inlineStr">
        <is>
          <t>GOTLAND</t>
        </is>
      </c>
      <c r="G576" t="n">
        <v>2.8</v>
      </c>
      <c r="H576" t="n">
        <v>0</v>
      </c>
      <c r="I576" t="n">
        <v>0</v>
      </c>
      <c r="J576" t="n">
        <v>0</v>
      </c>
      <c r="K576" t="n">
        <v>0</v>
      </c>
      <c r="L576" t="n">
        <v>0</v>
      </c>
      <c r="M576" t="n">
        <v>0</v>
      </c>
      <c r="N576" t="n">
        <v>0</v>
      </c>
      <c r="O576" t="n">
        <v>0</v>
      </c>
      <c r="P576" t="n">
        <v>0</v>
      </c>
      <c r="Q576" t="n">
        <v>0</v>
      </c>
      <c r="R576" s="2" t="inlineStr"/>
    </row>
    <row r="577" ht="15" customHeight="1">
      <c r="A577" t="inlineStr">
        <is>
          <t>A 13486-2026</t>
        </is>
      </c>
      <c r="B577" s="1" t="n">
        <v>46094</v>
      </c>
      <c r="C577" s="1" t="n">
        <v>46107</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25129-2023</t>
        </is>
      </c>
      <c r="B578" s="1" t="n">
        <v>45086.44261574074</v>
      </c>
      <c r="C578" s="1" t="n">
        <v>46107</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24192-2023</t>
        </is>
      </c>
      <c r="B579" s="1" t="n">
        <v>45079</v>
      </c>
      <c r="C579" s="1" t="n">
        <v>46107</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3067-2026</t>
        </is>
      </c>
      <c r="B580" s="1" t="n">
        <v>46040.59025462963</v>
      </c>
      <c r="C580" s="1" t="n">
        <v>46107</v>
      </c>
      <c r="D580" t="inlineStr">
        <is>
          <t>GOTLANDS LÄN</t>
        </is>
      </c>
      <c r="E580" t="inlineStr">
        <is>
          <t>GOTLAND</t>
        </is>
      </c>
      <c r="G580" t="n">
        <v>7.8</v>
      </c>
      <c r="H580" t="n">
        <v>0</v>
      </c>
      <c r="I580" t="n">
        <v>0</v>
      </c>
      <c r="J580" t="n">
        <v>0</v>
      </c>
      <c r="K580" t="n">
        <v>0</v>
      </c>
      <c r="L580" t="n">
        <v>0</v>
      </c>
      <c r="M580" t="n">
        <v>0</v>
      </c>
      <c r="N580" t="n">
        <v>0</v>
      </c>
      <c r="O580" t="n">
        <v>0</v>
      </c>
      <c r="P580" t="n">
        <v>0</v>
      </c>
      <c r="Q580" t="n">
        <v>0</v>
      </c>
      <c r="R580" s="2" t="inlineStr"/>
    </row>
    <row r="581" ht="15" customHeight="1">
      <c r="A581" t="inlineStr">
        <is>
          <t>A 6218-2026</t>
        </is>
      </c>
      <c r="B581" s="1" t="n">
        <v>46055.42859953704</v>
      </c>
      <c r="C581" s="1" t="n">
        <v>46107</v>
      </c>
      <c r="D581" t="inlineStr">
        <is>
          <t>GOTLANDS LÄN</t>
        </is>
      </c>
      <c r="E581" t="inlineStr">
        <is>
          <t>GOTLAND</t>
        </is>
      </c>
      <c r="G581" t="n">
        <v>4.3</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46107</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7026-2023</t>
        </is>
      </c>
      <c r="B583" s="1" t="n">
        <v>44968.30340277778</v>
      </c>
      <c r="C583" s="1" t="n">
        <v>46107</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20855-2023</t>
        </is>
      </c>
      <c r="B584" s="1" t="n">
        <v>45058.82172453704</v>
      </c>
      <c r="C584" s="1" t="n">
        <v>46107</v>
      </c>
      <c r="D584" t="inlineStr">
        <is>
          <t>GOTLANDS LÄN</t>
        </is>
      </c>
      <c r="E584" t="inlineStr">
        <is>
          <t>GOTLAND</t>
        </is>
      </c>
      <c r="G584" t="n">
        <v>1.7</v>
      </c>
      <c r="H584" t="n">
        <v>0</v>
      </c>
      <c r="I584" t="n">
        <v>0</v>
      </c>
      <c r="J584" t="n">
        <v>0</v>
      </c>
      <c r="K584" t="n">
        <v>0</v>
      </c>
      <c r="L584" t="n">
        <v>0</v>
      </c>
      <c r="M584" t="n">
        <v>0</v>
      </c>
      <c r="N584" t="n">
        <v>0</v>
      </c>
      <c r="O584" t="n">
        <v>0</v>
      </c>
      <c r="P584" t="n">
        <v>0</v>
      </c>
      <c r="Q584" t="n">
        <v>0</v>
      </c>
      <c r="R584" s="2" t="inlineStr"/>
    </row>
    <row r="585" ht="15" customHeight="1">
      <c r="A585" t="inlineStr">
        <is>
          <t>A 6207-2026</t>
        </is>
      </c>
      <c r="B585" s="1" t="n">
        <v>46055.42083333333</v>
      </c>
      <c r="C585" s="1" t="n">
        <v>46107</v>
      </c>
      <c r="D585" t="inlineStr">
        <is>
          <t>GOTLANDS LÄN</t>
        </is>
      </c>
      <c r="E585" t="inlineStr">
        <is>
          <t>GOTLAND</t>
        </is>
      </c>
      <c r="G585" t="n">
        <v>7.6</v>
      </c>
      <c r="H585" t="n">
        <v>0</v>
      </c>
      <c r="I585" t="n">
        <v>0</v>
      </c>
      <c r="J585" t="n">
        <v>0</v>
      </c>
      <c r="K585" t="n">
        <v>0</v>
      </c>
      <c r="L585" t="n">
        <v>0</v>
      </c>
      <c r="M585" t="n">
        <v>0</v>
      </c>
      <c r="N585" t="n">
        <v>0</v>
      </c>
      <c r="O585" t="n">
        <v>0</v>
      </c>
      <c r="P585" t="n">
        <v>0</v>
      </c>
      <c r="Q585" t="n">
        <v>0</v>
      </c>
      <c r="R585" s="2" t="inlineStr"/>
    </row>
    <row r="586" ht="15" customHeight="1">
      <c r="A586" t="inlineStr">
        <is>
          <t>A 1000-2024</t>
        </is>
      </c>
      <c r="B586" s="1" t="n">
        <v>45301.63371527778</v>
      </c>
      <c r="C586" s="1" t="n">
        <v>46107</v>
      </c>
      <c r="D586" t="inlineStr">
        <is>
          <t>GOTLANDS LÄN</t>
        </is>
      </c>
      <c r="E586" t="inlineStr">
        <is>
          <t>GOTLAND</t>
        </is>
      </c>
      <c r="G586" t="n">
        <v>1</v>
      </c>
      <c r="H586" t="n">
        <v>0</v>
      </c>
      <c r="I586" t="n">
        <v>0</v>
      </c>
      <c r="J586" t="n">
        <v>0</v>
      </c>
      <c r="K586" t="n">
        <v>0</v>
      </c>
      <c r="L586" t="n">
        <v>0</v>
      </c>
      <c r="M586" t="n">
        <v>0</v>
      </c>
      <c r="N586" t="n">
        <v>0</v>
      </c>
      <c r="O586" t="n">
        <v>0</v>
      </c>
      <c r="P586" t="n">
        <v>0</v>
      </c>
      <c r="Q586" t="n">
        <v>0</v>
      </c>
      <c r="R586" s="2" t="inlineStr"/>
    </row>
    <row r="587" ht="15" customHeight="1">
      <c r="A587" t="inlineStr">
        <is>
          <t>A 1010-2024</t>
        </is>
      </c>
      <c r="B587" s="1" t="n">
        <v>45301</v>
      </c>
      <c r="C587" s="1" t="n">
        <v>46107</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6959-2026</t>
        </is>
      </c>
      <c r="B588" s="1" t="n">
        <v>46057.580625</v>
      </c>
      <c r="C588" s="1" t="n">
        <v>46107</v>
      </c>
      <c r="D588" t="inlineStr">
        <is>
          <t>GOTLANDS LÄN</t>
        </is>
      </c>
      <c r="E588" t="inlineStr">
        <is>
          <t>GOTLAND</t>
        </is>
      </c>
      <c r="F588" t="inlineStr">
        <is>
          <t>Kyrkan</t>
        </is>
      </c>
      <c r="G588" t="n">
        <v>1.2</v>
      </c>
      <c r="H588" t="n">
        <v>0</v>
      </c>
      <c r="I588" t="n">
        <v>0</v>
      </c>
      <c r="J588" t="n">
        <v>0</v>
      </c>
      <c r="K588" t="n">
        <v>0</v>
      </c>
      <c r="L588" t="n">
        <v>0</v>
      </c>
      <c r="M588" t="n">
        <v>0</v>
      </c>
      <c r="N588" t="n">
        <v>0</v>
      </c>
      <c r="O588" t="n">
        <v>0</v>
      </c>
      <c r="P588" t="n">
        <v>0</v>
      </c>
      <c r="Q588" t="n">
        <v>0</v>
      </c>
      <c r="R588" s="2" t="inlineStr"/>
    </row>
    <row r="589" ht="15" customHeight="1">
      <c r="A589" t="inlineStr">
        <is>
          <t>A 47762-2023</t>
        </is>
      </c>
      <c r="B589" s="1" t="n">
        <v>45203.86256944444</v>
      </c>
      <c r="C589" s="1" t="n">
        <v>46107</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6960-2026</t>
        </is>
      </c>
      <c r="B590" s="1" t="n">
        <v>46057.58105324074</v>
      </c>
      <c r="C590" s="1" t="n">
        <v>46107</v>
      </c>
      <c r="D590" t="inlineStr">
        <is>
          <t>GOTLANDS LÄN</t>
        </is>
      </c>
      <c r="E590" t="inlineStr">
        <is>
          <t>GOTLAND</t>
        </is>
      </c>
      <c r="F590" t="inlineStr">
        <is>
          <t>Kyrkan</t>
        </is>
      </c>
      <c r="G590" t="n">
        <v>2.4</v>
      </c>
      <c r="H590" t="n">
        <v>0</v>
      </c>
      <c r="I590" t="n">
        <v>0</v>
      </c>
      <c r="J590" t="n">
        <v>0</v>
      </c>
      <c r="K590" t="n">
        <v>0</v>
      </c>
      <c r="L590" t="n">
        <v>0</v>
      </c>
      <c r="M590" t="n">
        <v>0</v>
      </c>
      <c r="N590" t="n">
        <v>0</v>
      </c>
      <c r="O590" t="n">
        <v>0</v>
      </c>
      <c r="P590" t="n">
        <v>0</v>
      </c>
      <c r="Q590" t="n">
        <v>0</v>
      </c>
      <c r="R590" s="2" t="inlineStr"/>
    </row>
    <row r="591" ht="15" customHeight="1">
      <c r="A591" t="inlineStr">
        <is>
          <t>A 46545-2024</t>
        </is>
      </c>
      <c r="B591" s="1" t="n">
        <v>45582.65831018519</v>
      </c>
      <c r="C591" s="1" t="n">
        <v>46107</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60086-2022</t>
        </is>
      </c>
      <c r="B592" s="1" t="n">
        <v>44909</v>
      </c>
      <c r="C592" s="1" t="n">
        <v>46107</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28480-2023</t>
        </is>
      </c>
      <c r="B593" s="1" t="n">
        <v>45103</v>
      </c>
      <c r="C593" s="1" t="n">
        <v>46107</v>
      </c>
      <c r="D593" t="inlineStr">
        <is>
          <t>GOTLANDS LÄN</t>
        </is>
      </c>
      <c r="E593" t="inlineStr">
        <is>
          <t>GOTLAND</t>
        </is>
      </c>
      <c r="G593" t="n">
        <v>5.7</v>
      </c>
      <c r="H593" t="n">
        <v>0</v>
      </c>
      <c r="I593" t="n">
        <v>0</v>
      </c>
      <c r="J593" t="n">
        <v>0</v>
      </c>
      <c r="K593" t="n">
        <v>0</v>
      </c>
      <c r="L593" t="n">
        <v>0</v>
      </c>
      <c r="M593" t="n">
        <v>0</v>
      </c>
      <c r="N593" t="n">
        <v>0</v>
      </c>
      <c r="O593" t="n">
        <v>0</v>
      </c>
      <c r="P593" t="n">
        <v>0</v>
      </c>
      <c r="Q593" t="n">
        <v>0</v>
      </c>
      <c r="R593" s="2" t="inlineStr"/>
    </row>
    <row r="594" ht="15" customHeight="1">
      <c r="A594" t="inlineStr">
        <is>
          <t>A 28485-2023</t>
        </is>
      </c>
      <c r="B594" s="1" t="n">
        <v>45103.43731481482</v>
      </c>
      <c r="C594" s="1" t="n">
        <v>46107</v>
      </c>
      <c r="D594" t="inlineStr">
        <is>
          <t>GOTLANDS LÄN</t>
        </is>
      </c>
      <c r="E594" t="inlineStr">
        <is>
          <t>GOTLAND</t>
        </is>
      </c>
      <c r="G594" t="n">
        <v>2.3</v>
      </c>
      <c r="H594" t="n">
        <v>0</v>
      </c>
      <c r="I594" t="n">
        <v>0</v>
      </c>
      <c r="J594" t="n">
        <v>0</v>
      </c>
      <c r="K594" t="n">
        <v>0</v>
      </c>
      <c r="L594" t="n">
        <v>0</v>
      </c>
      <c r="M594" t="n">
        <v>0</v>
      </c>
      <c r="N594" t="n">
        <v>0</v>
      </c>
      <c r="O594" t="n">
        <v>0</v>
      </c>
      <c r="P594" t="n">
        <v>0</v>
      </c>
      <c r="Q594" t="n">
        <v>0</v>
      </c>
      <c r="R594" s="2" t="inlineStr"/>
    </row>
    <row r="595" ht="15" customHeight="1">
      <c r="A595" t="inlineStr">
        <is>
          <t>A 62915-2021</t>
        </is>
      </c>
      <c r="B595" s="1" t="n">
        <v>44504</v>
      </c>
      <c r="C595" s="1" t="n">
        <v>46107</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14840-2026</t>
        </is>
      </c>
      <c r="B596" s="1" t="n">
        <v>46104.39498842593</v>
      </c>
      <c r="C596" s="1" t="n">
        <v>46107</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44949-2023</t>
        </is>
      </c>
      <c r="B597" s="1" t="n">
        <v>45190.69520833333</v>
      </c>
      <c r="C597" s="1" t="n">
        <v>46107</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7625-2026</t>
        </is>
      </c>
      <c r="B598" s="1" t="n">
        <v>46062.35135416667</v>
      </c>
      <c r="C598" s="1" t="n">
        <v>46107</v>
      </c>
      <c r="D598" t="inlineStr">
        <is>
          <t>GOTLANDS LÄN</t>
        </is>
      </c>
      <c r="E598" t="inlineStr">
        <is>
          <t>GOTLAND</t>
        </is>
      </c>
      <c r="G598" t="n">
        <v>2.1</v>
      </c>
      <c r="H598" t="n">
        <v>0</v>
      </c>
      <c r="I598" t="n">
        <v>0</v>
      </c>
      <c r="J598" t="n">
        <v>0</v>
      </c>
      <c r="K598" t="n">
        <v>0</v>
      </c>
      <c r="L598" t="n">
        <v>0</v>
      </c>
      <c r="M598" t="n">
        <v>0</v>
      </c>
      <c r="N598" t="n">
        <v>0</v>
      </c>
      <c r="O598" t="n">
        <v>0</v>
      </c>
      <c r="P598" t="n">
        <v>0</v>
      </c>
      <c r="Q598" t="n">
        <v>0</v>
      </c>
      <c r="R598" s="2" t="inlineStr"/>
    </row>
    <row r="599" ht="15" customHeight="1">
      <c r="A599" t="inlineStr">
        <is>
          <t>A 37222-2021</t>
        </is>
      </c>
      <c r="B599" s="1" t="n">
        <v>44396</v>
      </c>
      <c r="C599" s="1" t="n">
        <v>46107</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row r="600" ht="15" customHeight="1">
      <c r="A600" t="inlineStr">
        <is>
          <t>A 7627-2026</t>
        </is>
      </c>
      <c r="B600" s="1" t="n">
        <v>46062.35465277778</v>
      </c>
      <c r="C600" s="1" t="n">
        <v>46107</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62836-2025</t>
        </is>
      </c>
      <c r="B601" s="1" t="n">
        <v>46008</v>
      </c>
      <c r="C601" s="1" t="n">
        <v>46107</v>
      </c>
      <c r="D601" t="inlineStr">
        <is>
          <t>GOTLANDS LÄN</t>
        </is>
      </c>
      <c r="E601" t="inlineStr">
        <is>
          <t>GOTLAND</t>
        </is>
      </c>
      <c r="G601" t="n">
        <v>6.5</v>
      </c>
      <c r="H601" t="n">
        <v>0</v>
      </c>
      <c r="I601" t="n">
        <v>0</v>
      </c>
      <c r="J601" t="n">
        <v>0</v>
      </c>
      <c r="K601" t="n">
        <v>0</v>
      </c>
      <c r="L601" t="n">
        <v>0</v>
      </c>
      <c r="M601" t="n">
        <v>0</v>
      </c>
      <c r="N601" t="n">
        <v>0</v>
      </c>
      <c r="O601" t="n">
        <v>0</v>
      </c>
      <c r="P601" t="n">
        <v>0</v>
      </c>
      <c r="Q601" t="n">
        <v>0</v>
      </c>
      <c r="R601" s="2" t="inlineStr"/>
    </row>
    <row r="602" ht="15" customHeight="1">
      <c r="A602" t="inlineStr">
        <is>
          <t>A 63105-2025</t>
        </is>
      </c>
      <c r="B602" s="1" t="n">
        <v>46009</v>
      </c>
      <c r="C602" s="1" t="n">
        <v>46107</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3964-2024</t>
        </is>
      </c>
      <c r="B603" s="1" t="n">
        <v>45322</v>
      </c>
      <c r="C603" s="1" t="n">
        <v>46107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45084-2024</t>
        </is>
      </c>
      <c r="B604" s="1" t="n">
        <v>45575</v>
      </c>
      <c r="C604" s="1" t="n">
        <v>46107</v>
      </c>
      <c r="D604" t="inlineStr">
        <is>
          <t>GOTLANDS LÄN</t>
        </is>
      </c>
      <c r="E604" t="inlineStr">
        <is>
          <t>GOTLAND</t>
        </is>
      </c>
      <c r="G604" t="n">
        <v>6.8</v>
      </c>
      <c r="H604" t="n">
        <v>0</v>
      </c>
      <c r="I604" t="n">
        <v>0</v>
      </c>
      <c r="J604" t="n">
        <v>0</v>
      </c>
      <c r="K604" t="n">
        <v>0</v>
      </c>
      <c r="L604" t="n">
        <v>0</v>
      </c>
      <c r="M604" t="n">
        <v>0</v>
      </c>
      <c r="N604" t="n">
        <v>0</v>
      </c>
      <c r="O604" t="n">
        <v>0</v>
      </c>
      <c r="P604" t="n">
        <v>0</v>
      </c>
      <c r="Q604" t="n">
        <v>0</v>
      </c>
      <c r="R604" s="2" t="inlineStr"/>
    </row>
    <row r="605" ht="15" customHeight="1">
      <c r="A605" t="inlineStr">
        <is>
          <t>A 5217-2023</t>
        </is>
      </c>
      <c r="B605" s="1" t="n">
        <v>44959.39582175926</v>
      </c>
      <c r="C605" s="1" t="n">
        <v>46107</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5863-2026</t>
        </is>
      </c>
      <c r="B606" s="1" t="n">
        <v>46052.36697916667</v>
      </c>
      <c r="C606" s="1" t="n">
        <v>46107</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2135-2026</t>
        </is>
      </c>
      <c r="B607" s="1" t="n">
        <v>46036</v>
      </c>
      <c r="C607" s="1" t="n">
        <v>46107</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1677-2023</t>
        </is>
      </c>
      <c r="B608" s="1" t="n">
        <v>44938</v>
      </c>
      <c r="C608" s="1" t="n">
        <v>46107</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2134-2026</t>
        </is>
      </c>
      <c r="B609" s="1" t="n">
        <v>46036</v>
      </c>
      <c r="C609" s="1" t="n">
        <v>46107</v>
      </c>
      <c r="D609" t="inlineStr">
        <is>
          <t>GOTLANDS LÄN</t>
        </is>
      </c>
      <c r="E609" t="inlineStr">
        <is>
          <t>GOTLAND</t>
        </is>
      </c>
      <c r="G609" t="n">
        <v>1.7</v>
      </c>
      <c r="H609" t="n">
        <v>0</v>
      </c>
      <c r="I609" t="n">
        <v>0</v>
      </c>
      <c r="J609" t="n">
        <v>0</v>
      </c>
      <c r="K609" t="n">
        <v>0</v>
      </c>
      <c r="L609" t="n">
        <v>0</v>
      </c>
      <c r="M609" t="n">
        <v>0</v>
      </c>
      <c r="N609" t="n">
        <v>0</v>
      </c>
      <c r="O609" t="n">
        <v>0</v>
      </c>
      <c r="P609" t="n">
        <v>0</v>
      </c>
      <c r="Q609" t="n">
        <v>0</v>
      </c>
      <c r="R609" s="2" t="inlineStr"/>
    </row>
    <row r="610" ht="15" customHeight="1">
      <c r="A610" t="inlineStr">
        <is>
          <t>A 45244-2024</t>
        </is>
      </c>
      <c r="B610" s="1" t="n">
        <v>45576</v>
      </c>
      <c r="C610" s="1" t="n">
        <v>46107</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44974.61608796296</v>
      </c>
      <c r="C611" s="1" t="n">
        <v>46107</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64969-2023</t>
        </is>
      </c>
      <c r="B612" s="1" t="n">
        <v>45284.54009259259</v>
      </c>
      <c r="C612" s="1" t="n">
        <v>46107</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48843-2024</t>
        </is>
      </c>
      <c r="B613" s="1" t="n">
        <v>45593</v>
      </c>
      <c r="C613" s="1" t="n">
        <v>46107</v>
      </c>
      <c r="D613" t="inlineStr">
        <is>
          <t>GOTLANDS LÄN</t>
        </is>
      </c>
      <c r="E613" t="inlineStr">
        <is>
          <t>GOTLAND</t>
        </is>
      </c>
      <c r="G613" t="n">
        <v>0.5</v>
      </c>
      <c r="H613" t="n">
        <v>0</v>
      </c>
      <c r="I613" t="n">
        <v>0</v>
      </c>
      <c r="J613" t="n">
        <v>0</v>
      </c>
      <c r="K613" t="n">
        <v>0</v>
      </c>
      <c r="L613" t="n">
        <v>0</v>
      </c>
      <c r="M613" t="n">
        <v>0</v>
      </c>
      <c r="N613" t="n">
        <v>0</v>
      </c>
      <c r="O613" t="n">
        <v>0</v>
      </c>
      <c r="P613" t="n">
        <v>0</v>
      </c>
      <c r="Q613" t="n">
        <v>0</v>
      </c>
      <c r="R613" s="2" t="inlineStr"/>
    </row>
    <row r="614" ht="15" customHeight="1">
      <c r="A614" t="inlineStr">
        <is>
          <t>A 17541-2024</t>
        </is>
      </c>
      <c r="B614" s="1" t="n">
        <v>45415</v>
      </c>
      <c r="C614" s="1" t="n">
        <v>46107</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2241-2025</t>
        </is>
      </c>
      <c r="B615" s="1" t="n">
        <v>45673.48710648148</v>
      </c>
      <c r="C615" s="1" t="n">
        <v>46107</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15434-2024</t>
        </is>
      </c>
      <c r="B616" s="1" t="n">
        <v>45401.38836805556</v>
      </c>
      <c r="C616" s="1" t="n">
        <v>46107</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5943-2024</t>
        </is>
      </c>
      <c r="B617" s="1" t="n">
        <v>45336</v>
      </c>
      <c r="C617" s="1" t="n">
        <v>46107</v>
      </c>
      <c r="D617" t="inlineStr">
        <is>
          <t>GOTLANDS LÄN</t>
        </is>
      </c>
      <c r="E617" t="inlineStr">
        <is>
          <t>GOTLAND</t>
        </is>
      </c>
      <c r="G617" t="n">
        <v>4.3</v>
      </c>
      <c r="H617" t="n">
        <v>0</v>
      </c>
      <c r="I617" t="n">
        <v>0</v>
      </c>
      <c r="J617" t="n">
        <v>0</v>
      </c>
      <c r="K617" t="n">
        <v>0</v>
      </c>
      <c r="L617" t="n">
        <v>0</v>
      </c>
      <c r="M617" t="n">
        <v>0</v>
      </c>
      <c r="N617" t="n">
        <v>0</v>
      </c>
      <c r="O617" t="n">
        <v>0</v>
      </c>
      <c r="P617" t="n">
        <v>0</v>
      </c>
      <c r="Q617" t="n">
        <v>0</v>
      </c>
      <c r="R617" s="2" t="inlineStr"/>
    </row>
    <row r="618" ht="15" customHeight="1">
      <c r="A618" t="inlineStr">
        <is>
          <t>A 54073-2022</t>
        </is>
      </c>
      <c r="B618" s="1" t="n">
        <v>44881.50380787037</v>
      </c>
      <c r="C618" s="1" t="n">
        <v>46107</v>
      </c>
      <c r="D618" t="inlineStr">
        <is>
          <t>GOTLANDS LÄN</t>
        </is>
      </c>
      <c r="E618" t="inlineStr">
        <is>
          <t>GOTLAND</t>
        </is>
      </c>
      <c r="G618" t="n">
        <v>3.8</v>
      </c>
      <c r="H618" t="n">
        <v>0</v>
      </c>
      <c r="I618" t="n">
        <v>0</v>
      </c>
      <c r="J618" t="n">
        <v>0</v>
      </c>
      <c r="K618" t="n">
        <v>0</v>
      </c>
      <c r="L618" t="n">
        <v>0</v>
      </c>
      <c r="M618" t="n">
        <v>0</v>
      </c>
      <c r="N618" t="n">
        <v>0</v>
      </c>
      <c r="O618" t="n">
        <v>0</v>
      </c>
      <c r="P618" t="n">
        <v>0</v>
      </c>
      <c r="Q618" t="n">
        <v>0</v>
      </c>
      <c r="R618" s="2" t="inlineStr"/>
    </row>
    <row r="619" ht="15" customHeight="1">
      <c r="A619" t="inlineStr">
        <is>
          <t>A 16361-2024</t>
        </is>
      </c>
      <c r="B619" s="1" t="n">
        <v>45407</v>
      </c>
      <c r="C619" s="1" t="n">
        <v>46107</v>
      </c>
      <c r="D619" t="inlineStr">
        <is>
          <t>GOTLANDS LÄN</t>
        </is>
      </c>
      <c r="E619" t="inlineStr">
        <is>
          <t>GOTLAND</t>
        </is>
      </c>
      <c r="G619" t="n">
        <v>6</v>
      </c>
      <c r="H619" t="n">
        <v>0</v>
      </c>
      <c r="I619" t="n">
        <v>0</v>
      </c>
      <c r="J619" t="n">
        <v>0</v>
      </c>
      <c r="K619" t="n">
        <v>0</v>
      </c>
      <c r="L619" t="n">
        <v>0</v>
      </c>
      <c r="M619" t="n">
        <v>0</v>
      </c>
      <c r="N619" t="n">
        <v>0</v>
      </c>
      <c r="O619" t="n">
        <v>0</v>
      </c>
      <c r="P619" t="n">
        <v>0</v>
      </c>
      <c r="Q619" t="n">
        <v>0</v>
      </c>
      <c r="R619" s="2" t="inlineStr"/>
    </row>
    <row r="620" ht="15" customHeight="1">
      <c r="A620" t="inlineStr">
        <is>
          <t>A 41038-2023</t>
        </is>
      </c>
      <c r="B620" s="1" t="n">
        <v>45173.60959490741</v>
      </c>
      <c r="C620" s="1" t="n">
        <v>46107</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14427-2024</t>
        </is>
      </c>
      <c r="B621" s="1" t="n">
        <v>45394</v>
      </c>
      <c r="C621" s="1" t="n">
        <v>46107</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31802-2024</t>
        </is>
      </c>
      <c r="B622" s="1" t="n">
        <v>45509</v>
      </c>
      <c r="C622" s="1" t="n">
        <v>46107</v>
      </c>
      <c r="D622" t="inlineStr">
        <is>
          <t>GOTLANDS LÄN</t>
        </is>
      </c>
      <c r="E622" t="inlineStr">
        <is>
          <t>GOTLAND</t>
        </is>
      </c>
      <c r="G622" t="n">
        <v>2.8</v>
      </c>
      <c r="H622" t="n">
        <v>0</v>
      </c>
      <c r="I622" t="n">
        <v>0</v>
      </c>
      <c r="J622" t="n">
        <v>0</v>
      </c>
      <c r="K622" t="n">
        <v>0</v>
      </c>
      <c r="L622" t="n">
        <v>0</v>
      </c>
      <c r="M622" t="n">
        <v>0</v>
      </c>
      <c r="N622" t="n">
        <v>0</v>
      </c>
      <c r="O622" t="n">
        <v>0</v>
      </c>
      <c r="P622" t="n">
        <v>0</v>
      </c>
      <c r="Q622" t="n">
        <v>0</v>
      </c>
      <c r="R622" s="2" t="inlineStr"/>
    </row>
    <row r="623" ht="15" customHeight="1">
      <c r="A623" t="inlineStr">
        <is>
          <t>A 8036-2022</t>
        </is>
      </c>
      <c r="B623" s="1" t="n">
        <v>44609.44362268518</v>
      </c>
      <c r="C623" s="1" t="n">
        <v>46107</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12846-2025</t>
        </is>
      </c>
      <c r="B624" s="1" t="n">
        <v>45733.65049768519</v>
      </c>
      <c r="C624" s="1" t="n">
        <v>46107</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46949-2024</t>
        </is>
      </c>
      <c r="B625" s="1" t="n">
        <v>45585</v>
      </c>
      <c r="C625" s="1" t="n">
        <v>46107</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10650-2022</t>
        </is>
      </c>
      <c r="B626" s="1" t="n">
        <v>44624.57945601852</v>
      </c>
      <c r="C626" s="1" t="n">
        <v>46107</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11634-2024</t>
        </is>
      </c>
      <c r="B627" s="1" t="n">
        <v>45373</v>
      </c>
      <c r="C627" s="1" t="n">
        <v>46107</v>
      </c>
      <c r="D627" t="inlineStr">
        <is>
          <t>GOTLANDS LÄN</t>
        </is>
      </c>
      <c r="E627" t="inlineStr">
        <is>
          <t>GOTLAND</t>
        </is>
      </c>
      <c r="G627" t="n">
        <v>3</v>
      </c>
      <c r="H627" t="n">
        <v>0</v>
      </c>
      <c r="I627" t="n">
        <v>0</v>
      </c>
      <c r="J627" t="n">
        <v>0</v>
      </c>
      <c r="K627" t="n">
        <v>0</v>
      </c>
      <c r="L627" t="n">
        <v>0</v>
      </c>
      <c r="M627" t="n">
        <v>0</v>
      </c>
      <c r="N627" t="n">
        <v>0</v>
      </c>
      <c r="O627" t="n">
        <v>0</v>
      </c>
      <c r="P627" t="n">
        <v>0</v>
      </c>
      <c r="Q627" t="n">
        <v>0</v>
      </c>
      <c r="R627" s="2" t="inlineStr"/>
    </row>
    <row r="628" ht="15" customHeight="1">
      <c r="A628" t="inlineStr">
        <is>
          <t>A 1351-2025</t>
        </is>
      </c>
      <c r="B628" s="1" t="n">
        <v>45667.62246527777</v>
      </c>
      <c r="C628" s="1" t="n">
        <v>46107</v>
      </c>
      <c r="D628" t="inlineStr">
        <is>
          <t>GOTLANDS LÄN</t>
        </is>
      </c>
      <c r="E628" t="inlineStr">
        <is>
          <t>GOTLAND</t>
        </is>
      </c>
      <c r="G628" t="n">
        <v>1.3</v>
      </c>
      <c r="H628" t="n">
        <v>0</v>
      </c>
      <c r="I628" t="n">
        <v>0</v>
      </c>
      <c r="J628" t="n">
        <v>0</v>
      </c>
      <c r="K628" t="n">
        <v>0</v>
      </c>
      <c r="L628" t="n">
        <v>0</v>
      </c>
      <c r="M628" t="n">
        <v>0</v>
      </c>
      <c r="N628" t="n">
        <v>0</v>
      </c>
      <c r="O628" t="n">
        <v>0</v>
      </c>
      <c r="P628" t="n">
        <v>0</v>
      </c>
      <c r="Q628" t="n">
        <v>0</v>
      </c>
      <c r="R628" s="2" t="inlineStr"/>
    </row>
    <row r="629" ht="15" customHeight="1">
      <c r="A629" t="inlineStr">
        <is>
          <t>A 39496-2022</t>
        </is>
      </c>
      <c r="B629" s="1" t="n">
        <v>44818</v>
      </c>
      <c r="C629" s="1" t="n">
        <v>46107</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49874-2024</t>
        </is>
      </c>
      <c r="B630" s="1" t="n">
        <v>45597.49274305555</v>
      </c>
      <c r="C630" s="1" t="n">
        <v>46107</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42201-2023</t>
        </is>
      </c>
      <c r="B631" s="1" t="n">
        <v>45179</v>
      </c>
      <c r="C631" s="1" t="n">
        <v>46107</v>
      </c>
      <c r="D631" t="inlineStr">
        <is>
          <t>GOTLANDS LÄN</t>
        </is>
      </c>
      <c r="E631" t="inlineStr">
        <is>
          <t>GOTLAND</t>
        </is>
      </c>
      <c r="G631" t="n">
        <v>11.9</v>
      </c>
      <c r="H631" t="n">
        <v>0</v>
      </c>
      <c r="I631" t="n">
        <v>0</v>
      </c>
      <c r="J631" t="n">
        <v>0</v>
      </c>
      <c r="K631" t="n">
        <v>0</v>
      </c>
      <c r="L631" t="n">
        <v>0</v>
      </c>
      <c r="M631" t="n">
        <v>0</v>
      </c>
      <c r="N631" t="n">
        <v>0</v>
      </c>
      <c r="O631" t="n">
        <v>0</v>
      </c>
      <c r="P631" t="n">
        <v>0</v>
      </c>
      <c r="Q631" t="n">
        <v>0</v>
      </c>
      <c r="R631" s="2" t="inlineStr"/>
    </row>
    <row r="632" ht="15" customHeight="1">
      <c r="A632" t="inlineStr">
        <is>
          <t>A 46400-2023</t>
        </is>
      </c>
      <c r="B632" s="1" t="n">
        <v>45197.49290509259</v>
      </c>
      <c r="C632" s="1" t="n">
        <v>46107</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9875-2025</t>
        </is>
      </c>
      <c r="B633" s="1" t="n">
        <v>45716</v>
      </c>
      <c r="C633" s="1" t="n">
        <v>46107</v>
      </c>
      <c r="D633" t="inlineStr">
        <is>
          <t>GOTLANDS LÄN</t>
        </is>
      </c>
      <c r="E633" t="inlineStr">
        <is>
          <t>GOTLAND</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21164-2024</t>
        </is>
      </c>
      <c r="B634" s="1" t="n">
        <v>45440</v>
      </c>
      <c r="C634" s="1" t="n">
        <v>46107</v>
      </c>
      <c r="D634" t="inlineStr">
        <is>
          <t>GOTLANDS LÄN</t>
        </is>
      </c>
      <c r="E634" t="inlineStr">
        <is>
          <t>GOTLAND</t>
        </is>
      </c>
      <c r="G634" t="n">
        <v>6.3</v>
      </c>
      <c r="H634" t="n">
        <v>0</v>
      </c>
      <c r="I634" t="n">
        <v>0</v>
      </c>
      <c r="J634" t="n">
        <v>0</v>
      </c>
      <c r="K634" t="n">
        <v>0</v>
      </c>
      <c r="L634" t="n">
        <v>0</v>
      </c>
      <c r="M634" t="n">
        <v>0</v>
      </c>
      <c r="N634" t="n">
        <v>0</v>
      </c>
      <c r="O634" t="n">
        <v>0</v>
      </c>
      <c r="P634" t="n">
        <v>0</v>
      </c>
      <c r="Q634" t="n">
        <v>0</v>
      </c>
      <c r="R634" s="2" t="inlineStr"/>
    </row>
    <row r="635" ht="15" customHeight="1">
      <c r="A635" t="inlineStr">
        <is>
          <t>A 8045-2022</t>
        </is>
      </c>
      <c r="B635" s="1" t="n">
        <v>44609</v>
      </c>
      <c r="C635" s="1" t="n">
        <v>46107</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22897-2023</t>
        </is>
      </c>
      <c r="B636" s="1" t="n">
        <v>45072.55239583334</v>
      </c>
      <c r="C636" s="1" t="n">
        <v>46107</v>
      </c>
      <c r="D636" t="inlineStr">
        <is>
          <t>GOTLANDS LÄN</t>
        </is>
      </c>
      <c r="E636" t="inlineStr">
        <is>
          <t>GOTLAND</t>
        </is>
      </c>
      <c r="G636" t="n">
        <v>1.1</v>
      </c>
      <c r="H636" t="n">
        <v>0</v>
      </c>
      <c r="I636" t="n">
        <v>0</v>
      </c>
      <c r="J636" t="n">
        <v>0</v>
      </c>
      <c r="K636" t="n">
        <v>0</v>
      </c>
      <c r="L636" t="n">
        <v>0</v>
      </c>
      <c r="M636" t="n">
        <v>0</v>
      </c>
      <c r="N636" t="n">
        <v>0</v>
      </c>
      <c r="O636" t="n">
        <v>0</v>
      </c>
      <c r="P636" t="n">
        <v>0</v>
      </c>
      <c r="Q636" t="n">
        <v>0</v>
      </c>
      <c r="R636" s="2" t="inlineStr"/>
    </row>
    <row r="637" ht="15" customHeight="1">
      <c r="A637" t="inlineStr">
        <is>
          <t>A 61897-2024</t>
        </is>
      </c>
      <c r="B637" s="1" t="n">
        <v>45652.75685185185</v>
      </c>
      <c r="C637" s="1" t="n">
        <v>46107</v>
      </c>
      <c r="D637" t="inlineStr">
        <is>
          <t>GOTLANDS LÄN</t>
        </is>
      </c>
      <c r="E637" t="inlineStr">
        <is>
          <t>GOTLAND</t>
        </is>
      </c>
      <c r="G637" t="n">
        <v>6.4</v>
      </c>
      <c r="H637" t="n">
        <v>0</v>
      </c>
      <c r="I637" t="n">
        <v>0</v>
      </c>
      <c r="J637" t="n">
        <v>0</v>
      </c>
      <c r="K637" t="n">
        <v>0</v>
      </c>
      <c r="L637" t="n">
        <v>0</v>
      </c>
      <c r="M637" t="n">
        <v>0</v>
      </c>
      <c r="N637" t="n">
        <v>0</v>
      </c>
      <c r="O637" t="n">
        <v>0</v>
      </c>
      <c r="P637" t="n">
        <v>0</v>
      </c>
      <c r="Q637" t="n">
        <v>0</v>
      </c>
      <c r="R637" s="2" t="inlineStr"/>
    </row>
    <row r="638" ht="15" customHeight="1">
      <c r="A638" t="inlineStr">
        <is>
          <t>A 49962-2023</t>
        </is>
      </c>
      <c r="B638" s="1" t="n">
        <v>45215.38775462963</v>
      </c>
      <c r="C638" s="1" t="n">
        <v>46107</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20165-2022</t>
        </is>
      </c>
      <c r="B639" s="1" t="n">
        <v>44698.49854166667</v>
      </c>
      <c r="C639" s="1" t="n">
        <v>46107</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40294-2022</t>
        </is>
      </c>
      <c r="B640" s="1" t="n">
        <v>44821</v>
      </c>
      <c r="C640" s="1" t="n">
        <v>46107</v>
      </c>
      <c r="D640" t="inlineStr">
        <is>
          <t>GOTLANDS LÄN</t>
        </is>
      </c>
      <c r="E640" t="inlineStr">
        <is>
          <t>GOTLAND</t>
        </is>
      </c>
      <c r="G640" t="n">
        <v>1.6</v>
      </c>
      <c r="H640" t="n">
        <v>0</v>
      </c>
      <c r="I640" t="n">
        <v>0</v>
      </c>
      <c r="J640" t="n">
        <v>0</v>
      </c>
      <c r="K640" t="n">
        <v>0</v>
      </c>
      <c r="L640" t="n">
        <v>0</v>
      </c>
      <c r="M640" t="n">
        <v>0</v>
      </c>
      <c r="N640" t="n">
        <v>0</v>
      </c>
      <c r="O640" t="n">
        <v>0</v>
      </c>
      <c r="P640" t="n">
        <v>0</v>
      </c>
      <c r="Q640" t="n">
        <v>0</v>
      </c>
      <c r="R640" s="2" t="inlineStr"/>
    </row>
    <row r="641" ht="15" customHeight="1">
      <c r="A641" t="inlineStr">
        <is>
          <t>A 12032-2025</t>
        </is>
      </c>
      <c r="B641" s="1" t="n">
        <v>45728.64472222222</v>
      </c>
      <c r="C641" s="1" t="n">
        <v>46107</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38787-2023</t>
        </is>
      </c>
      <c r="B642" s="1" t="n">
        <v>45163</v>
      </c>
      <c r="C642" s="1" t="n">
        <v>46107</v>
      </c>
      <c r="D642" t="inlineStr">
        <is>
          <t>GOTLANDS LÄN</t>
        </is>
      </c>
      <c r="E642" t="inlineStr">
        <is>
          <t>GOTLAND</t>
        </is>
      </c>
      <c r="G642" t="n">
        <v>0.4</v>
      </c>
      <c r="H642" t="n">
        <v>0</v>
      </c>
      <c r="I642" t="n">
        <v>0</v>
      </c>
      <c r="J642" t="n">
        <v>0</v>
      </c>
      <c r="K642" t="n">
        <v>0</v>
      </c>
      <c r="L642" t="n">
        <v>0</v>
      </c>
      <c r="M642" t="n">
        <v>0</v>
      </c>
      <c r="N642" t="n">
        <v>0</v>
      </c>
      <c r="O642" t="n">
        <v>0</v>
      </c>
      <c r="P642" t="n">
        <v>0</v>
      </c>
      <c r="Q642" t="n">
        <v>0</v>
      </c>
      <c r="R642" s="2" t="inlineStr"/>
    </row>
    <row r="643" ht="15" customHeight="1">
      <c r="A643" t="inlineStr">
        <is>
          <t>A 43231-2023</t>
        </is>
      </c>
      <c r="B643" s="1" t="n">
        <v>45183.47025462963</v>
      </c>
      <c r="C643" s="1" t="n">
        <v>46107</v>
      </c>
      <c r="D643" t="inlineStr">
        <is>
          <t>GOTLANDS LÄN</t>
        </is>
      </c>
      <c r="E643" t="inlineStr">
        <is>
          <t>GOTLAND</t>
        </is>
      </c>
      <c r="G643" t="n">
        <v>3.6</v>
      </c>
      <c r="H643" t="n">
        <v>0</v>
      </c>
      <c r="I643" t="n">
        <v>0</v>
      </c>
      <c r="J643" t="n">
        <v>0</v>
      </c>
      <c r="K643" t="n">
        <v>0</v>
      </c>
      <c r="L643" t="n">
        <v>0</v>
      </c>
      <c r="M643" t="n">
        <v>0</v>
      </c>
      <c r="N643" t="n">
        <v>0</v>
      </c>
      <c r="O643" t="n">
        <v>0</v>
      </c>
      <c r="P643" t="n">
        <v>0</v>
      </c>
      <c r="Q643" t="n">
        <v>0</v>
      </c>
      <c r="R643" s="2" t="inlineStr"/>
    </row>
    <row r="644" ht="15" customHeight="1">
      <c r="A644" t="inlineStr">
        <is>
          <t>A 17532-2024</t>
        </is>
      </c>
      <c r="B644" s="1" t="n">
        <v>45415</v>
      </c>
      <c r="C644" s="1" t="n">
        <v>46107</v>
      </c>
      <c r="D644" t="inlineStr">
        <is>
          <t>GOTLANDS LÄN</t>
        </is>
      </c>
      <c r="E644" t="inlineStr">
        <is>
          <t>GOTLAND</t>
        </is>
      </c>
      <c r="G644" t="n">
        <v>4.3</v>
      </c>
      <c r="H644" t="n">
        <v>0</v>
      </c>
      <c r="I644" t="n">
        <v>0</v>
      </c>
      <c r="J644" t="n">
        <v>0</v>
      </c>
      <c r="K644" t="n">
        <v>0</v>
      </c>
      <c r="L644" t="n">
        <v>0</v>
      </c>
      <c r="M644" t="n">
        <v>0</v>
      </c>
      <c r="N644" t="n">
        <v>0</v>
      </c>
      <c r="O644" t="n">
        <v>0</v>
      </c>
      <c r="P644" t="n">
        <v>0</v>
      </c>
      <c r="Q644" t="n">
        <v>0</v>
      </c>
      <c r="R644" s="2" t="inlineStr"/>
    </row>
    <row r="645">
      <c r="A645" t="inlineStr">
        <is>
          <t>A 3935-2025</t>
        </is>
      </c>
      <c r="B645" s="1" t="n">
        <v>45684.46070601852</v>
      </c>
      <c r="C645" s="1" t="n">
        <v>46107</v>
      </c>
      <c r="D645" t="inlineStr">
        <is>
          <t>GOTLANDS LÄN</t>
        </is>
      </c>
      <c r="E645" t="inlineStr">
        <is>
          <t>GOTLAND</t>
        </is>
      </c>
      <c r="G645" t="n">
        <v>2.6</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2026-03-26T11:43:21Z</dcterms:created>
  <dcterms:modified xmlns:dcterms="http://purl.org/dc/terms/" xmlns:xsi="http://www.w3.org/2001/XMLSchema-instance" xsi:type="dcterms:W3CDTF">2026-03-26T11:43:22Z</dcterms:modified>
</cp:coreProperties>
</file>