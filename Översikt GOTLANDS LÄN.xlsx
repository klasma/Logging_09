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46130</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46130</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46130</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46130</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46130</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46130</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46130</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46130</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46130</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46130</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46130</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46130</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46130</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46130</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46130</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46130</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46130</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46130</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46130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46130</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46130</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46130</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46130</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46130</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46130</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46130</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46130</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46130</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46130</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46130</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46130</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46130</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46130</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46130</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46130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46130</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1719-2025</t>
        </is>
      </c>
      <c r="B47" s="1" t="n">
        <v>45671</v>
      </c>
      <c r="C47" s="1" t="n">
        <v>46130</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14354-2024</t>
        </is>
      </c>
      <c r="B48" s="1" t="n">
        <v>45393</v>
      </c>
      <c r="C48" s="1" t="n">
        <v>46130</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17766-2024</t>
        </is>
      </c>
      <c r="B49" s="1" t="n">
        <v>45418</v>
      </c>
      <c r="C49" s="1" t="n">
        <v>46130</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46130</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46130</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46130</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46130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46130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46130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46130</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46130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46130</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46130</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46130</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46130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46130</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46130</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46130</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56687-2025</t>
        </is>
      </c>
      <c r="B65" s="1" t="n">
        <v>45975.84065972222</v>
      </c>
      <c r="C65" s="1" t="n">
        <v>46130</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46130</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46130</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46130</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446-2023</t>
        </is>
      </c>
      <c r="B69" s="1" t="n">
        <v>44929</v>
      </c>
      <c r="C69" s="1" t="n">
        <v>46130</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46130</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2085-2023</t>
        </is>
      </c>
      <c r="B71" s="1" t="n">
        <v>44939</v>
      </c>
      <c r="C71" s="1" t="n">
        <v>46130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46130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46130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46130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46130</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46130</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46130</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46130</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46130</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46130</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46130</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52245-2025</t>
        </is>
      </c>
      <c r="B82" s="1" t="n">
        <v>45953.47115740741</v>
      </c>
      <c r="C82" s="1" t="n">
        <v>46130</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39425-2023</t>
        </is>
      </c>
      <c r="B83" s="1" t="n">
        <v>45166</v>
      </c>
      <c r="C83" s="1" t="n">
        <v>46130</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46130</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10274-2026</t>
        </is>
      </c>
      <c r="B85" s="1" t="n">
        <v>46076.58261574074</v>
      </c>
      <c r="C85" s="1" t="n">
        <v>46130</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2213-2023</t>
        </is>
      </c>
      <c r="B86" s="1" t="n">
        <v>44942</v>
      </c>
      <c r="C86" s="1" t="n">
        <v>46130</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46130</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46130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46130</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46130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46130</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46130</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46130</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46130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46130</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57463-2025</t>
        </is>
      </c>
      <c r="B96" s="1" t="n">
        <v>45980.54174768519</v>
      </c>
      <c r="C96" s="1" t="n">
        <v>46130</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46130</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44933-2022</t>
        </is>
      </c>
      <c r="B98" s="1" t="n">
        <v>44841</v>
      </c>
      <c r="C98" s="1" t="n">
        <v>46130</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13203-2026</t>
        </is>
      </c>
      <c r="B99" s="1" t="n">
        <v>46093</v>
      </c>
      <c r="C99" s="1" t="n">
        <v>46130</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6836-2026</t>
        </is>
      </c>
      <c r="B100" s="1" t="n">
        <v>46057.40902777778</v>
      </c>
      <c r="C100" s="1" t="n">
        <v>46130</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2485-2025</t>
        </is>
      </c>
      <c r="B101" s="1" t="n">
        <v>45673</v>
      </c>
      <c r="C101" s="1" t="n">
        <v>46130</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46130</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46130</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46130</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46130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46130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46130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46130</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55334-2024</t>
        </is>
      </c>
      <c r="B109" s="1" t="n">
        <v>45621</v>
      </c>
      <c r="C109" s="1" t="n">
        <v>46130</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30490-2025</t>
        </is>
      </c>
      <c r="B110" s="1" t="n">
        <v>45830</v>
      </c>
      <c r="C110" s="1" t="n">
        <v>46130</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49709-2025</t>
        </is>
      </c>
      <c r="B111" s="1" t="n">
        <v>45939.68228009259</v>
      </c>
      <c r="C111" s="1" t="n">
        <v>46130</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20831-2024</t>
        </is>
      </c>
      <c r="B112" s="1" t="n">
        <v>45439</v>
      </c>
      <c r="C112" s="1" t="n">
        <v>46130</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46130</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46130</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46130</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17982-2023</t>
        </is>
      </c>
      <c r="B116" s="1" t="n">
        <v>45040</v>
      </c>
      <c r="C116" s="1" t="n">
        <v>46130</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46130</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46130</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46130</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46130</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73144-2021</t>
        </is>
      </c>
      <c r="B121" s="1" t="n">
        <v>44550</v>
      </c>
      <c r="C121" s="1" t="n">
        <v>46130</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46130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46130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46130</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46130</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21879-2025</t>
        </is>
      </c>
      <c r="B126" s="1" t="n">
        <v>45784.40533564815</v>
      </c>
      <c r="C126" s="1" t="n">
        <v>46130</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26077-2024</t>
        </is>
      </c>
      <c r="B127" s="1" t="n">
        <v>45467</v>
      </c>
      <c r="C127" s="1" t="n">
        <v>46130</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46130</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46130</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46130</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46130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62760-2025</t>
        </is>
      </c>
      <c r="B132" s="1" t="n">
        <v>46008</v>
      </c>
      <c r="C132" s="1" t="n">
        <v>46130</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63162-2025</t>
        </is>
      </c>
      <c r="B133" s="1" t="n">
        <v>46010.37629629629</v>
      </c>
      <c r="C133" s="1" t="n">
        <v>46130</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16997-2026</t>
        </is>
      </c>
      <c r="B134" s="1" t="n">
        <v>46114.42539351852</v>
      </c>
      <c r="C134" s="1" t="n">
        <v>46130</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43219-2023</t>
        </is>
      </c>
      <c r="B135" s="1" t="n">
        <v>45183</v>
      </c>
      <c r="C135" s="1" t="n">
        <v>46130</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46130</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46130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46130</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46130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46130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46130</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46130</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21466-2025</t>
        </is>
      </c>
      <c r="B143" s="1" t="n">
        <v>45782</v>
      </c>
      <c r="C143" s="1" t="n">
        <v>46130</v>
      </c>
      <c r="D143" t="inlineStr">
        <is>
          <t>GOTLANDS LÄN</t>
        </is>
      </c>
      <c r="E143" t="inlineStr">
        <is>
          <t>GOTLAND</t>
        </is>
      </c>
      <c r="F143" t="inlineStr">
        <is>
          <t>Övriga statliga verk och myndigheter</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HYPERLINK("https://klasma.github.io/Logging_0980/artfynd/A 21466-2025 artfynd.xlsx", "A 21466-2025")</f>
        <v/>
      </c>
      <c r="T143">
        <f>HYPERLINK("https://klasma.github.io/Logging_0980/kartor/A 21466-2025 karta.png", "A 21466-2025")</f>
        <v/>
      </c>
      <c r="V143">
        <f>HYPERLINK("https://klasma.github.io/Logging_0980/klagomål/A 21466-2025 FSC-klagomål.docx", "A 21466-2025")</f>
        <v/>
      </c>
      <c r="W143">
        <f>HYPERLINK("https://klasma.github.io/Logging_0980/klagomålsmail/A 21466-2025 FSC-klagomål mail.docx", "A 21466-2025")</f>
        <v/>
      </c>
      <c r="X143">
        <f>HYPERLINK("https://klasma.github.io/Logging_0980/tillsyn/A 21466-2025 tillsynsbegäran.docx", "A 21466-2025")</f>
        <v/>
      </c>
      <c r="Y143">
        <f>HYPERLINK("https://klasma.github.io/Logging_0980/tillsynsmail/A 21466-2025 tillsynsbegäran mail.docx", "A 21466-2025")</f>
        <v/>
      </c>
    </row>
    <row r="144" ht="15" customHeight="1">
      <c r="A144" t="inlineStr">
        <is>
          <t>A 10440-2024</t>
        </is>
      </c>
      <c r="B144" s="1" t="n">
        <v>45366.32818287037</v>
      </c>
      <c r="C144" s="1" t="n">
        <v>46130</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44304-2021</t>
        </is>
      </c>
      <c r="B145" s="1" t="n">
        <v>44434</v>
      </c>
      <c r="C145" s="1" t="n">
        <v>46130</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39812-2025</t>
        </is>
      </c>
      <c r="B146" s="1" t="n">
        <v>45891</v>
      </c>
      <c r="C146" s="1" t="n">
        <v>46130</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25977-2024</t>
        </is>
      </c>
      <c r="B147" s="1" t="n">
        <v>45467.69356481481</v>
      </c>
      <c r="C147" s="1" t="n">
        <v>46130</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26461-2025</t>
        </is>
      </c>
      <c r="B148" s="1" t="n">
        <v>45807.43337962963</v>
      </c>
      <c r="C148" s="1" t="n">
        <v>46130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65927-2021</t>
        </is>
      </c>
      <c r="B149" s="1" t="n">
        <v>44516</v>
      </c>
      <c r="C149" s="1" t="n">
        <v>46130</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46130</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46130</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61796-2022</t>
        </is>
      </c>
      <c r="B152" s="1" t="n">
        <v>44917</v>
      </c>
      <c r="C152" s="1" t="n">
        <v>46130</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46130</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49726-2025</t>
        </is>
      </c>
      <c r="B154" s="1" t="n">
        <v>45939.84466435185</v>
      </c>
      <c r="C154" s="1" t="n">
        <v>46130</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34141-2024</t>
        </is>
      </c>
      <c r="B155" s="1" t="n">
        <v>45524.36229166666</v>
      </c>
      <c r="C155" s="1" t="n">
        <v>46130</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46130</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2476-2025</t>
        </is>
      </c>
      <c r="B157" s="1" t="n">
        <v>45673</v>
      </c>
      <c r="C157" s="1" t="n">
        <v>46130</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10995-2023</t>
        </is>
      </c>
      <c r="B158" s="1" t="n">
        <v>44986</v>
      </c>
      <c r="C158" s="1" t="n">
        <v>46130</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12924-2025</t>
        </is>
      </c>
      <c r="B159" s="1" t="n">
        <v>45734</v>
      </c>
      <c r="C159" s="1" t="n">
        <v>46130</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62552-2022</t>
        </is>
      </c>
      <c r="B160" s="1" t="n">
        <v>44924</v>
      </c>
      <c r="C160" s="1" t="n">
        <v>46130</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46130</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44308-2021</t>
        </is>
      </c>
      <c r="B162" s="1" t="n">
        <v>44434</v>
      </c>
      <c r="C162" s="1" t="n">
        <v>46130</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46130</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46130</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49304-2024</t>
        </is>
      </c>
      <c r="B165" s="1" t="n">
        <v>45595.54996527778</v>
      </c>
      <c r="C165" s="1" t="n">
        <v>46130</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63576-2021</t>
        </is>
      </c>
      <c r="B166" s="1" t="n">
        <v>44508</v>
      </c>
      <c r="C166" s="1" t="n">
        <v>46130</v>
      </c>
      <c r="D166" t="inlineStr">
        <is>
          <t>GOTLANDS LÄN</t>
        </is>
      </c>
      <c r="E166" t="inlineStr">
        <is>
          <t>GOTLAND</t>
        </is>
      </c>
      <c r="F166" t="inlineStr">
        <is>
          <t>Kyrkan</t>
        </is>
      </c>
      <c r="G166" t="n">
        <v>4.1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63576-2021 artfynd.xlsx", "A 63576-2021")</f>
        <v/>
      </c>
      <c r="T166">
        <f>HYPERLINK("https://klasma.github.io/Logging_0980/kartor/A 63576-2021 karta.png", "A 63576-2021")</f>
        <v/>
      </c>
      <c r="V166">
        <f>HYPERLINK("https://klasma.github.io/Logging_0980/klagomål/A 63576-2021 FSC-klagomål.docx", "A 63576-2021")</f>
        <v/>
      </c>
      <c r="W166">
        <f>HYPERLINK("https://klasma.github.io/Logging_0980/klagomålsmail/A 63576-2021 FSC-klagomål mail.docx", "A 63576-2021")</f>
        <v/>
      </c>
      <c r="X166">
        <f>HYPERLINK("https://klasma.github.io/Logging_0980/tillsyn/A 63576-2021 tillsynsbegäran.docx", "A 63576-2021")</f>
        <v/>
      </c>
      <c r="Y166">
        <f>HYPERLINK("https://klasma.github.io/Logging_0980/tillsynsmail/A 63576-2021 tillsynsbegäran mail.docx", "A 63576-2021")</f>
        <v/>
      </c>
    </row>
    <row r="167" ht="15" customHeight="1">
      <c r="A167" t="inlineStr">
        <is>
          <t>A 64700-2021</t>
        </is>
      </c>
      <c r="B167" s="1" t="n">
        <v>44511</v>
      </c>
      <c r="C167" s="1" t="n">
        <v>46130</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27589-2023</t>
        </is>
      </c>
      <c r="B168" s="1" t="n">
        <v>45097</v>
      </c>
      <c r="C168" s="1" t="n">
        <v>46130</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1477-2024</t>
        </is>
      </c>
      <c r="B169" s="1" t="n">
        <v>45305.37987268518</v>
      </c>
      <c r="C169" s="1" t="n">
        <v>46130</v>
      </c>
      <c r="D169" t="inlineStr">
        <is>
          <t>GOTLANDS LÄN</t>
        </is>
      </c>
      <c r="E169" t="inlineStr">
        <is>
          <t>GOTLAND</t>
        </is>
      </c>
      <c r="G169" t="n">
        <v>6.9</v>
      </c>
      <c r="H169" t="n">
        <v>0</v>
      </c>
      <c r="I169" t="n">
        <v>0</v>
      </c>
      <c r="J169" t="n">
        <v>1</v>
      </c>
      <c r="K169" t="n">
        <v>0</v>
      </c>
      <c r="L169" t="n">
        <v>0</v>
      </c>
      <c r="M169" t="n">
        <v>0</v>
      </c>
      <c r="N169" t="n">
        <v>0</v>
      </c>
      <c r="O169" t="n">
        <v>1</v>
      </c>
      <c r="P169" t="n">
        <v>0</v>
      </c>
      <c r="Q169" t="n">
        <v>1</v>
      </c>
      <c r="R169" s="2" t="inlineStr">
        <is>
          <t>Igelkott</t>
        </is>
      </c>
      <c r="S169">
        <f>HYPERLINK("https://klasma.github.io/Logging_0980/artfynd/A 1477-2024 artfynd.xlsx", "A 1477-2024")</f>
        <v/>
      </c>
      <c r="T169">
        <f>HYPERLINK("https://klasma.github.io/Logging_0980/kartor/A 1477-2024 karta.png", "A 1477-2024")</f>
        <v/>
      </c>
      <c r="V169">
        <f>HYPERLINK("https://klasma.github.io/Logging_0980/klagomål/A 1477-2024 FSC-klagomål.docx", "A 1477-2024")</f>
        <v/>
      </c>
      <c r="W169">
        <f>HYPERLINK("https://klasma.github.io/Logging_0980/klagomålsmail/A 1477-2024 FSC-klagomål mail.docx", "A 1477-2024")</f>
        <v/>
      </c>
      <c r="X169">
        <f>HYPERLINK("https://klasma.github.io/Logging_0980/tillsyn/A 1477-2024 tillsynsbegäran.docx", "A 1477-2024")</f>
        <v/>
      </c>
      <c r="Y169">
        <f>HYPERLINK("https://klasma.github.io/Logging_0980/tillsynsmail/A 1477-2024 tillsynsbegäran mail.docx", "A 1477-2024")</f>
        <v/>
      </c>
    </row>
    <row r="170" ht="15" customHeight="1">
      <c r="A170" t="inlineStr">
        <is>
          <t>A 35574-2024</t>
        </is>
      </c>
      <c r="B170" s="1" t="n">
        <v>45531</v>
      </c>
      <c r="C170" s="1" t="n">
        <v>46130</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7637-2025</t>
        </is>
      </c>
      <c r="B171" s="1" t="n">
        <v>45705.77181712963</v>
      </c>
      <c r="C171" s="1" t="n">
        <v>46130</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13482-2026</t>
        </is>
      </c>
      <c r="B172" s="1" t="n">
        <v>46094</v>
      </c>
      <c r="C172" s="1" t="n">
        <v>46130</v>
      </c>
      <c r="D172" t="inlineStr">
        <is>
          <t>GOTLANDS LÄN</t>
        </is>
      </c>
      <c r="E172" t="inlineStr">
        <is>
          <t>GOTLAND</t>
        </is>
      </c>
      <c r="G172" t="n">
        <v>1.7</v>
      </c>
      <c r="H172" t="n">
        <v>1</v>
      </c>
      <c r="I172" t="n">
        <v>0</v>
      </c>
      <c r="J172" t="n">
        <v>1</v>
      </c>
      <c r="K172" t="n">
        <v>0</v>
      </c>
      <c r="L172" t="n">
        <v>0</v>
      </c>
      <c r="M172" t="n">
        <v>0</v>
      </c>
      <c r="N172" t="n">
        <v>0</v>
      </c>
      <c r="O172" t="n">
        <v>1</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6303-2024</t>
        </is>
      </c>
      <c r="B173" s="1" t="n">
        <v>45338.35376157407</v>
      </c>
      <c r="C173" s="1" t="n">
        <v>46130</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34809-2024</t>
        </is>
      </c>
      <c r="B174" s="1" t="n">
        <v>45526</v>
      </c>
      <c r="C174" s="1" t="n">
        <v>46130</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63149-2025</t>
        </is>
      </c>
      <c r="B175" s="1" t="n">
        <v>46010</v>
      </c>
      <c r="C175" s="1" t="n">
        <v>46130</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Anisspindling</t>
        </is>
      </c>
      <c r="S175">
        <f>HYPERLINK("https://klasma.github.io/Logging_0980/artfynd/A 63149-2025 artfynd.xlsx", "A 63149-2025")</f>
        <v/>
      </c>
      <c r="T175">
        <f>HYPERLINK("https://klasma.github.io/Logging_0980/kartor/A 63149-2025 karta.png", "A 63149-2025")</f>
        <v/>
      </c>
      <c r="V175">
        <f>HYPERLINK("https://klasma.github.io/Logging_0980/klagomål/A 63149-2025 FSC-klagomål.docx", "A 63149-2025")</f>
        <v/>
      </c>
      <c r="W175">
        <f>HYPERLINK("https://klasma.github.io/Logging_0980/klagomålsmail/A 63149-2025 FSC-klagomål mail.docx", "A 63149-2025")</f>
        <v/>
      </c>
      <c r="X175">
        <f>HYPERLINK("https://klasma.github.io/Logging_0980/tillsyn/A 63149-2025 tillsynsbegäran.docx", "A 63149-2025")</f>
        <v/>
      </c>
      <c r="Y175">
        <f>HYPERLINK("https://klasma.github.io/Logging_0980/tillsynsmail/A 63149-2025 tillsynsbegäran mail.docx", "A 63149-2025")</f>
        <v/>
      </c>
    </row>
    <row r="176" ht="15" customHeight="1">
      <c r="A176" t="inlineStr">
        <is>
          <t>A 10013-2026</t>
        </is>
      </c>
      <c r="B176" s="1" t="n">
        <v>46073</v>
      </c>
      <c r="C176" s="1" t="n">
        <v>46130</v>
      </c>
      <c r="D176" t="inlineStr">
        <is>
          <t>GOTLANDS LÄN</t>
        </is>
      </c>
      <c r="E176" t="inlineStr">
        <is>
          <t>GOTLAND</t>
        </is>
      </c>
      <c r="G176" t="n">
        <v>10.5</v>
      </c>
      <c r="H176" t="n">
        <v>0</v>
      </c>
      <c r="I176" t="n">
        <v>0</v>
      </c>
      <c r="J176" t="n">
        <v>0</v>
      </c>
      <c r="K176" t="n">
        <v>1</v>
      </c>
      <c r="L176" t="n">
        <v>0</v>
      </c>
      <c r="M176" t="n">
        <v>0</v>
      </c>
      <c r="N176" t="n">
        <v>0</v>
      </c>
      <c r="O176" t="n">
        <v>1</v>
      </c>
      <c r="P176" t="n">
        <v>1</v>
      </c>
      <c r="Q176" t="n">
        <v>1</v>
      </c>
      <c r="R176" s="2" t="inlineStr">
        <is>
          <t>Skogskorn</t>
        </is>
      </c>
      <c r="S176">
        <f>HYPERLINK("https://klasma.github.io/Logging_0980/artfynd/A 10013-2026 artfynd.xlsx", "A 10013-2026")</f>
        <v/>
      </c>
      <c r="T176">
        <f>HYPERLINK("https://klasma.github.io/Logging_0980/kartor/A 10013-2026 karta.png", "A 10013-2026")</f>
        <v/>
      </c>
      <c r="V176">
        <f>HYPERLINK("https://klasma.github.io/Logging_0980/klagomål/A 10013-2026 FSC-klagomål.docx", "A 10013-2026")</f>
        <v/>
      </c>
      <c r="W176">
        <f>HYPERLINK("https://klasma.github.io/Logging_0980/klagomålsmail/A 10013-2026 FSC-klagomål mail.docx", "A 10013-2026")</f>
        <v/>
      </c>
      <c r="X176">
        <f>HYPERLINK("https://klasma.github.io/Logging_0980/tillsyn/A 10013-2026 tillsynsbegäran.docx", "A 10013-2026")</f>
        <v/>
      </c>
      <c r="Y176">
        <f>HYPERLINK("https://klasma.github.io/Logging_0980/tillsynsmail/A 10013-2026 tillsynsbegäran mail.docx", "A 10013-2026")</f>
        <v/>
      </c>
    </row>
    <row r="177" ht="15" customHeight="1">
      <c r="A177" t="inlineStr">
        <is>
          <t>A 17854-2026</t>
        </is>
      </c>
      <c r="B177" s="1" t="n">
        <v>46121</v>
      </c>
      <c r="C177" s="1" t="n">
        <v>46130</v>
      </c>
      <c r="D177" t="inlineStr">
        <is>
          <t>GOTLANDS LÄN</t>
        </is>
      </c>
      <c r="E177" t="inlineStr">
        <is>
          <t>GOTLAND</t>
        </is>
      </c>
      <c r="G177" t="n">
        <v>6.6</v>
      </c>
      <c r="H177" t="n">
        <v>0</v>
      </c>
      <c r="I177" t="n">
        <v>1</v>
      </c>
      <c r="J177" t="n">
        <v>0</v>
      </c>
      <c r="K177" t="n">
        <v>0</v>
      </c>
      <c r="L177" t="n">
        <v>0</v>
      </c>
      <c r="M177" t="n">
        <v>0</v>
      </c>
      <c r="N177" t="n">
        <v>0</v>
      </c>
      <c r="O177" t="n">
        <v>0</v>
      </c>
      <c r="P177" t="n">
        <v>0</v>
      </c>
      <c r="Q177" t="n">
        <v>1</v>
      </c>
      <c r="R177" s="2" t="inlineStr">
        <is>
          <t>Blå slemspindling</t>
        </is>
      </c>
      <c r="S177">
        <f>HYPERLINK("https://klasma.github.io/Logging_0980/artfynd/A 17854-2026 artfynd.xlsx", "A 17854-2026")</f>
        <v/>
      </c>
      <c r="T177">
        <f>HYPERLINK("https://klasma.github.io/Logging_0980/kartor/A 17854-2026 karta.png", "A 17854-2026")</f>
        <v/>
      </c>
      <c r="V177">
        <f>HYPERLINK("https://klasma.github.io/Logging_0980/klagomål/A 17854-2026 FSC-klagomål.docx", "A 17854-2026")</f>
        <v/>
      </c>
      <c r="W177">
        <f>HYPERLINK("https://klasma.github.io/Logging_0980/klagomålsmail/A 17854-2026 FSC-klagomål mail.docx", "A 17854-2026")</f>
        <v/>
      </c>
      <c r="X177">
        <f>HYPERLINK("https://klasma.github.io/Logging_0980/tillsyn/A 17854-2026 tillsynsbegäran.docx", "A 17854-2026")</f>
        <v/>
      </c>
      <c r="Y177">
        <f>HYPERLINK("https://klasma.github.io/Logging_0980/tillsynsmail/A 17854-2026 tillsynsbegäran mail.docx", "A 17854-2026")</f>
        <v/>
      </c>
    </row>
    <row r="178" ht="15" customHeight="1">
      <c r="A178" t="inlineStr">
        <is>
          <t>A 18036-2026</t>
        </is>
      </c>
      <c r="B178" s="1" t="n">
        <v>46125.39576388889</v>
      </c>
      <c r="C178" s="1" t="n">
        <v>46130</v>
      </c>
      <c r="D178" t="inlineStr">
        <is>
          <t>GOTLANDS LÄN</t>
        </is>
      </c>
      <c r="E178" t="inlineStr">
        <is>
          <t>GOTLAND</t>
        </is>
      </c>
      <c r="G178" t="n">
        <v>1.8</v>
      </c>
      <c r="H178" t="n">
        <v>0</v>
      </c>
      <c r="I178" t="n">
        <v>0</v>
      </c>
      <c r="J178" t="n">
        <v>1</v>
      </c>
      <c r="K178" t="n">
        <v>0</v>
      </c>
      <c r="L178" t="n">
        <v>0</v>
      </c>
      <c r="M178" t="n">
        <v>0</v>
      </c>
      <c r="N178" t="n">
        <v>0</v>
      </c>
      <c r="O178" t="n">
        <v>1</v>
      </c>
      <c r="P178" t="n">
        <v>0</v>
      </c>
      <c r="Q178" t="n">
        <v>1</v>
      </c>
      <c r="R178" s="2" t="inlineStr">
        <is>
          <t>Sommarfibbla</t>
        </is>
      </c>
      <c r="S178">
        <f>HYPERLINK("https://klasma.github.io/Logging_0980/artfynd/A 18036-2026 artfynd.xlsx", "A 18036-2026")</f>
        <v/>
      </c>
      <c r="T178">
        <f>HYPERLINK("https://klasma.github.io/Logging_0980/kartor/A 18036-2026 karta.png", "A 18036-2026")</f>
        <v/>
      </c>
      <c r="V178">
        <f>HYPERLINK("https://klasma.github.io/Logging_0980/klagomål/A 18036-2026 FSC-klagomål.docx", "A 18036-2026")</f>
        <v/>
      </c>
      <c r="W178">
        <f>HYPERLINK("https://klasma.github.io/Logging_0980/klagomålsmail/A 18036-2026 FSC-klagomål mail.docx", "A 18036-2026")</f>
        <v/>
      </c>
      <c r="X178">
        <f>HYPERLINK("https://klasma.github.io/Logging_0980/tillsyn/A 18036-2026 tillsynsbegäran.docx", "A 18036-2026")</f>
        <v/>
      </c>
      <c r="Y178">
        <f>HYPERLINK("https://klasma.github.io/Logging_0980/tillsynsmail/A 18036-2026 tillsynsbegäran mail.docx", "A 18036-2026")</f>
        <v/>
      </c>
    </row>
    <row r="179" ht="15" customHeight="1">
      <c r="A179" t="inlineStr">
        <is>
          <t>A 11708-2026</t>
        </is>
      </c>
      <c r="B179" s="1" t="n">
        <v>46084</v>
      </c>
      <c r="C179" s="1" t="n">
        <v>46130</v>
      </c>
      <c r="D179" t="inlineStr">
        <is>
          <t>GOTLANDS LÄN</t>
        </is>
      </c>
      <c r="E179" t="inlineStr">
        <is>
          <t>GOTLAND</t>
        </is>
      </c>
      <c r="G179" t="n">
        <v>8.4</v>
      </c>
      <c r="H179" t="n">
        <v>1</v>
      </c>
      <c r="I179" t="n">
        <v>0</v>
      </c>
      <c r="J179" t="n">
        <v>1</v>
      </c>
      <c r="K179" t="n">
        <v>0</v>
      </c>
      <c r="L179" t="n">
        <v>0</v>
      </c>
      <c r="M179" t="n">
        <v>0</v>
      </c>
      <c r="N179" t="n">
        <v>0</v>
      </c>
      <c r="O179" t="n">
        <v>1</v>
      </c>
      <c r="P179" t="n">
        <v>0</v>
      </c>
      <c r="Q179" t="n">
        <v>1</v>
      </c>
      <c r="R179" s="2" t="inlineStr">
        <is>
          <t>Bredarun</t>
        </is>
      </c>
      <c r="S179">
        <f>HYPERLINK("https://klasma.github.io/Logging_0980/artfynd/A 11708-2026 artfynd.xlsx", "A 11708-2026")</f>
        <v/>
      </c>
      <c r="T179">
        <f>HYPERLINK("https://klasma.github.io/Logging_0980/kartor/A 11708-2026 karta.png", "A 11708-2026")</f>
        <v/>
      </c>
      <c r="V179">
        <f>HYPERLINK("https://klasma.github.io/Logging_0980/klagomål/A 11708-2026 FSC-klagomål.docx", "A 11708-2026")</f>
        <v/>
      </c>
      <c r="W179">
        <f>HYPERLINK("https://klasma.github.io/Logging_0980/klagomålsmail/A 11708-2026 FSC-klagomål mail.docx", "A 11708-2026")</f>
        <v/>
      </c>
      <c r="X179">
        <f>HYPERLINK("https://klasma.github.io/Logging_0980/tillsyn/A 11708-2026 tillsynsbegäran.docx", "A 11708-2026")</f>
        <v/>
      </c>
      <c r="Y179">
        <f>HYPERLINK("https://klasma.github.io/Logging_0980/tillsynsmail/A 11708-2026 tillsynsbegäran mail.docx", "A 11708-2026")</f>
        <v/>
      </c>
    </row>
    <row r="180" ht="15" customHeight="1">
      <c r="A180" t="inlineStr">
        <is>
          <t>A 61561-2023</t>
        </is>
      </c>
      <c r="B180" s="1" t="n">
        <v>45265</v>
      </c>
      <c r="C180" s="1" t="n">
        <v>46130</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46130</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46130</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46130</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46130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46130</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46130</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46130</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19901-2021</t>
        </is>
      </c>
      <c r="B188" s="1" t="n">
        <v>44312</v>
      </c>
      <c r="C188" s="1" t="n">
        <v>46130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46130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46130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46130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46130</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46130</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46130</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46130</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46130</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46130</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46130</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46130</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46130</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46130</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46130</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46130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46130</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46130</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46130</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46130</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46130</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46130</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46130</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46130</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46130</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46130</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46130</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46130</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46130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46130</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46130</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46130</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46130</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46130</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46130</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46130</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46130</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46130</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46130</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46130</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5751-2024</t>
        </is>
      </c>
      <c r="B228" s="1" t="n">
        <v>45335.32702546296</v>
      </c>
      <c r="C228" s="1" t="n">
        <v>46130</v>
      </c>
      <c r="D228" t="inlineStr">
        <is>
          <t>GOTLANDS LÄN</t>
        </is>
      </c>
      <c r="E228" t="inlineStr">
        <is>
          <t>GOTLAND</t>
        </is>
      </c>
      <c r="G228" t="n">
        <v>4.2</v>
      </c>
      <c r="H228" t="n">
        <v>0</v>
      </c>
      <c r="I228" t="n">
        <v>0</v>
      </c>
      <c r="J228" t="n">
        <v>0</v>
      </c>
      <c r="K228" t="n">
        <v>0</v>
      </c>
      <c r="L228" t="n">
        <v>0</v>
      </c>
      <c r="M228" t="n">
        <v>0</v>
      </c>
      <c r="N228" t="n">
        <v>0</v>
      </c>
      <c r="O228" t="n">
        <v>0</v>
      </c>
      <c r="P228" t="n">
        <v>0</v>
      </c>
      <c r="Q228" t="n">
        <v>0</v>
      </c>
      <c r="R228" s="2" t="inlineStr"/>
    </row>
    <row r="229" ht="15" customHeight="1">
      <c r="A229" t="inlineStr">
        <is>
          <t>A 9613-2025</t>
        </is>
      </c>
      <c r="B229" s="1" t="n">
        <v>45715</v>
      </c>
      <c r="C229" s="1" t="n">
        <v>46130</v>
      </c>
      <c r="D229" t="inlineStr">
        <is>
          <t>GOTLANDS LÄN</t>
        </is>
      </c>
      <c r="E229" t="inlineStr">
        <is>
          <t>GOTLAND</t>
        </is>
      </c>
      <c r="G229" t="n">
        <v>3.5</v>
      </c>
      <c r="H229" t="n">
        <v>0</v>
      </c>
      <c r="I229" t="n">
        <v>0</v>
      </c>
      <c r="J229" t="n">
        <v>0</v>
      </c>
      <c r="K229" t="n">
        <v>0</v>
      </c>
      <c r="L229" t="n">
        <v>0</v>
      </c>
      <c r="M229" t="n">
        <v>0</v>
      </c>
      <c r="N229" t="n">
        <v>0</v>
      </c>
      <c r="O229" t="n">
        <v>0</v>
      </c>
      <c r="P229" t="n">
        <v>0</v>
      </c>
      <c r="Q229" t="n">
        <v>0</v>
      </c>
      <c r="R229" s="2" t="inlineStr"/>
    </row>
    <row r="230" ht="15" customHeight="1">
      <c r="A230" t="inlineStr">
        <is>
          <t>A 15595-2024</t>
        </is>
      </c>
      <c r="B230" s="1" t="n">
        <v>45401.81480324074</v>
      </c>
      <c r="C230" s="1" t="n">
        <v>46130</v>
      </c>
      <c r="D230" t="inlineStr">
        <is>
          <t>GOTLANDS LÄN</t>
        </is>
      </c>
      <c r="E230" t="inlineStr">
        <is>
          <t>GOTLAND</t>
        </is>
      </c>
      <c r="G230" t="n">
        <v>6.4</v>
      </c>
      <c r="H230" t="n">
        <v>0</v>
      </c>
      <c r="I230" t="n">
        <v>0</v>
      </c>
      <c r="J230" t="n">
        <v>0</v>
      </c>
      <c r="K230" t="n">
        <v>0</v>
      </c>
      <c r="L230" t="n">
        <v>0</v>
      </c>
      <c r="M230" t="n">
        <v>0</v>
      </c>
      <c r="N230" t="n">
        <v>0</v>
      </c>
      <c r="O230" t="n">
        <v>0</v>
      </c>
      <c r="P230" t="n">
        <v>0</v>
      </c>
      <c r="Q230" t="n">
        <v>0</v>
      </c>
      <c r="R230" s="2" t="inlineStr"/>
    </row>
    <row r="231" ht="15" customHeight="1">
      <c r="A231" t="inlineStr">
        <is>
          <t>A 24966-2023</t>
        </is>
      </c>
      <c r="B231" s="1" t="n">
        <v>45085</v>
      </c>
      <c r="C231" s="1" t="n">
        <v>46130</v>
      </c>
      <c r="D231" t="inlineStr">
        <is>
          <t>GOTLANDS LÄN</t>
        </is>
      </c>
      <c r="E231" t="inlineStr">
        <is>
          <t>GOTLAND</t>
        </is>
      </c>
      <c r="G231" t="n">
        <v>7</v>
      </c>
      <c r="H231" t="n">
        <v>0</v>
      </c>
      <c r="I231" t="n">
        <v>0</v>
      </c>
      <c r="J231" t="n">
        <v>0</v>
      </c>
      <c r="K231" t="n">
        <v>0</v>
      </c>
      <c r="L231" t="n">
        <v>0</v>
      </c>
      <c r="M231" t="n">
        <v>0</v>
      </c>
      <c r="N231" t="n">
        <v>0</v>
      </c>
      <c r="O231" t="n">
        <v>0</v>
      </c>
      <c r="P231" t="n">
        <v>0</v>
      </c>
      <c r="Q231" t="n">
        <v>0</v>
      </c>
      <c r="R231" s="2" t="inlineStr"/>
    </row>
    <row r="232" ht="15" customHeight="1">
      <c r="A232" t="inlineStr">
        <is>
          <t>A 46189-2022</t>
        </is>
      </c>
      <c r="B232" s="1" t="n">
        <v>44847</v>
      </c>
      <c r="C232" s="1" t="n">
        <v>46130</v>
      </c>
      <c r="D232" t="inlineStr">
        <is>
          <t>GOTLANDS LÄN</t>
        </is>
      </c>
      <c r="E232" t="inlineStr">
        <is>
          <t>GOTLAND</t>
        </is>
      </c>
      <c r="G232" t="n">
        <v>0.4</v>
      </c>
      <c r="H232" t="n">
        <v>0</v>
      </c>
      <c r="I232" t="n">
        <v>0</v>
      </c>
      <c r="J232" t="n">
        <v>0</v>
      </c>
      <c r="K232" t="n">
        <v>0</v>
      </c>
      <c r="L232" t="n">
        <v>0</v>
      </c>
      <c r="M232" t="n">
        <v>0</v>
      </c>
      <c r="N232" t="n">
        <v>0</v>
      </c>
      <c r="O232" t="n">
        <v>0</v>
      </c>
      <c r="P232" t="n">
        <v>0</v>
      </c>
      <c r="Q232" t="n">
        <v>0</v>
      </c>
      <c r="R232" s="2" t="inlineStr"/>
    </row>
    <row r="233" ht="15" customHeight="1">
      <c r="A233" t="inlineStr">
        <is>
          <t>A 21389-2025</t>
        </is>
      </c>
      <c r="B233" s="1" t="n">
        <v>45782</v>
      </c>
      <c r="C233" s="1" t="n">
        <v>46130</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4868-2024</t>
        </is>
      </c>
      <c r="B234" s="1" t="n">
        <v>45329</v>
      </c>
      <c r="C234" s="1" t="n">
        <v>46130</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21651-2025</t>
        </is>
      </c>
      <c r="B235" s="1" t="n">
        <v>45783</v>
      </c>
      <c r="C235" s="1" t="n">
        <v>46130</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46130</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51262-2025</t>
        </is>
      </c>
      <c r="B237" s="1" t="n">
        <v>45949.49872685185</v>
      </c>
      <c r="C237" s="1" t="n">
        <v>46130</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46130</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46130</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46130</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48503-2023</t>
        </is>
      </c>
      <c r="B241" s="1" t="n">
        <v>45207</v>
      </c>
      <c r="C241" s="1" t="n">
        <v>46130</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52249-2025</t>
        </is>
      </c>
      <c r="B242" s="1" t="n">
        <v>45953.48637731482</v>
      </c>
      <c r="C242" s="1" t="n">
        <v>46130</v>
      </c>
      <c r="D242" t="inlineStr">
        <is>
          <t>GOTLANDS LÄN</t>
        </is>
      </c>
      <c r="E242" t="inlineStr">
        <is>
          <t>GOTLAND</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65901-2021</t>
        </is>
      </c>
      <c r="B243" s="1" t="n">
        <v>44516</v>
      </c>
      <c r="C243" s="1" t="n">
        <v>46130</v>
      </c>
      <c r="D243" t="inlineStr">
        <is>
          <t>GOTLANDS LÄN</t>
        </is>
      </c>
      <c r="E243" t="inlineStr">
        <is>
          <t>GOTLAND</t>
        </is>
      </c>
      <c r="G243" t="n">
        <v>4.9</v>
      </c>
      <c r="H243" t="n">
        <v>0</v>
      </c>
      <c r="I243" t="n">
        <v>0</v>
      </c>
      <c r="J243" t="n">
        <v>0</v>
      </c>
      <c r="K243" t="n">
        <v>0</v>
      </c>
      <c r="L243" t="n">
        <v>0</v>
      </c>
      <c r="M243" t="n">
        <v>0</v>
      </c>
      <c r="N243" t="n">
        <v>0</v>
      </c>
      <c r="O243" t="n">
        <v>0</v>
      </c>
      <c r="P243" t="n">
        <v>0</v>
      </c>
      <c r="Q243" t="n">
        <v>0</v>
      </c>
      <c r="R243" s="2" t="inlineStr"/>
    </row>
    <row r="244" ht="15" customHeight="1">
      <c r="A244" t="inlineStr">
        <is>
          <t>A 57356-2023</t>
        </is>
      </c>
      <c r="B244" s="1" t="n">
        <v>45240</v>
      </c>
      <c r="C244" s="1" t="n">
        <v>46130</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10656-2024</t>
        </is>
      </c>
      <c r="B245" s="1" t="n">
        <v>45368</v>
      </c>
      <c r="C245" s="1" t="n">
        <v>46130</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18993-2025</t>
        </is>
      </c>
      <c r="B246" s="1" t="n">
        <v>45764</v>
      </c>
      <c r="C246" s="1" t="n">
        <v>46130</v>
      </c>
      <c r="D246" t="inlineStr">
        <is>
          <t>GOTLANDS LÄN</t>
        </is>
      </c>
      <c r="E246" t="inlineStr">
        <is>
          <t>GOTLAND</t>
        </is>
      </c>
      <c r="G246" t="n">
        <v>3</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46130</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46130</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46130</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30135-2025</t>
        </is>
      </c>
      <c r="B250" s="1" t="n">
        <v>45826</v>
      </c>
      <c r="C250" s="1" t="n">
        <v>46130</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9947-2024</t>
        </is>
      </c>
      <c r="B251" s="1" t="n">
        <v>45363</v>
      </c>
      <c r="C251" s="1" t="n">
        <v>46130</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12599-2025</t>
        </is>
      </c>
      <c r="B252" s="1" t="n">
        <v>45733.29546296296</v>
      </c>
      <c r="C252" s="1" t="n">
        <v>46130</v>
      </c>
      <c r="D252" t="inlineStr">
        <is>
          <t>GOTLANDS LÄN</t>
        </is>
      </c>
      <c r="E252" t="inlineStr">
        <is>
          <t>GOTLAND</t>
        </is>
      </c>
      <c r="G252" t="n">
        <v>4.7</v>
      </c>
      <c r="H252" t="n">
        <v>0</v>
      </c>
      <c r="I252" t="n">
        <v>0</v>
      </c>
      <c r="J252" t="n">
        <v>0</v>
      </c>
      <c r="K252" t="n">
        <v>0</v>
      </c>
      <c r="L252" t="n">
        <v>0</v>
      </c>
      <c r="M252" t="n">
        <v>0</v>
      </c>
      <c r="N252" t="n">
        <v>0</v>
      </c>
      <c r="O252" t="n">
        <v>0</v>
      </c>
      <c r="P252" t="n">
        <v>0</v>
      </c>
      <c r="Q252" t="n">
        <v>0</v>
      </c>
      <c r="R252" s="2" t="inlineStr"/>
    </row>
    <row r="253" ht="15" customHeight="1">
      <c r="A253" t="inlineStr">
        <is>
          <t>A 23188-2025</t>
        </is>
      </c>
      <c r="B253" s="1" t="n">
        <v>45791</v>
      </c>
      <c r="C253" s="1" t="n">
        <v>46130</v>
      </c>
      <c r="D253" t="inlineStr">
        <is>
          <t>GOTLANDS LÄN</t>
        </is>
      </c>
      <c r="E253" t="inlineStr">
        <is>
          <t>GOTLAND</t>
        </is>
      </c>
      <c r="G253" t="n">
        <v>6.2</v>
      </c>
      <c r="H253" t="n">
        <v>0</v>
      </c>
      <c r="I253" t="n">
        <v>0</v>
      </c>
      <c r="J253" t="n">
        <v>0</v>
      </c>
      <c r="K253" t="n">
        <v>0</v>
      </c>
      <c r="L253" t="n">
        <v>0</v>
      </c>
      <c r="M253" t="n">
        <v>0</v>
      </c>
      <c r="N253" t="n">
        <v>0</v>
      </c>
      <c r="O253" t="n">
        <v>0</v>
      </c>
      <c r="P253" t="n">
        <v>0</v>
      </c>
      <c r="Q253" t="n">
        <v>0</v>
      </c>
      <c r="R253" s="2" t="inlineStr"/>
    </row>
    <row r="254" ht="15" customHeight="1">
      <c r="A254" t="inlineStr">
        <is>
          <t>A 35141-2025</t>
        </is>
      </c>
      <c r="B254" s="1" t="n">
        <v>45852.65206018519</v>
      </c>
      <c r="C254" s="1" t="n">
        <v>46130</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46130</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46130</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46130</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46130</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27593-2023</t>
        </is>
      </c>
      <c r="B259" s="1" t="n">
        <v>45097</v>
      </c>
      <c r="C259" s="1" t="n">
        <v>46130</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46130</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39814-2025</t>
        </is>
      </c>
      <c r="B261" s="1" t="n">
        <v>45891.52694444444</v>
      </c>
      <c r="C261" s="1" t="n">
        <v>46130</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46130</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39849-2025</t>
        </is>
      </c>
      <c r="B263" s="1" t="n">
        <v>45891.58502314815</v>
      </c>
      <c r="C263" s="1" t="n">
        <v>46130</v>
      </c>
      <c r="D263" t="inlineStr">
        <is>
          <t>GOTLANDS LÄN</t>
        </is>
      </c>
      <c r="E263" t="inlineStr">
        <is>
          <t>GOTLAND</t>
        </is>
      </c>
      <c r="G263" t="n">
        <v>6.1</v>
      </c>
      <c r="H263" t="n">
        <v>0</v>
      </c>
      <c r="I263" t="n">
        <v>0</v>
      </c>
      <c r="J263" t="n">
        <v>0</v>
      </c>
      <c r="K263" t="n">
        <v>0</v>
      </c>
      <c r="L263" t="n">
        <v>0</v>
      </c>
      <c r="M263" t="n">
        <v>0</v>
      </c>
      <c r="N263" t="n">
        <v>0</v>
      </c>
      <c r="O263" t="n">
        <v>0</v>
      </c>
      <c r="P263" t="n">
        <v>0</v>
      </c>
      <c r="Q263" t="n">
        <v>0</v>
      </c>
      <c r="R263" s="2" t="inlineStr"/>
    </row>
    <row r="264" ht="15" customHeight="1">
      <c r="A264" t="inlineStr">
        <is>
          <t>A 39752-2025</t>
        </is>
      </c>
      <c r="B264" s="1" t="n">
        <v>45891</v>
      </c>
      <c r="C264" s="1" t="n">
        <v>46130</v>
      </c>
      <c r="D264" t="inlineStr">
        <is>
          <t>GOTLANDS LÄN</t>
        </is>
      </c>
      <c r="E264" t="inlineStr">
        <is>
          <t>GOTLAND</t>
        </is>
      </c>
      <c r="G264" t="n">
        <v>5.3</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46130</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63516-2023</t>
        </is>
      </c>
      <c r="B266" s="1" t="n">
        <v>45274</v>
      </c>
      <c r="C266" s="1" t="n">
        <v>46130</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39816-2025</t>
        </is>
      </c>
      <c r="B267" s="1" t="n">
        <v>45891</v>
      </c>
      <c r="C267" s="1" t="n">
        <v>46130</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40103-2025</t>
        </is>
      </c>
      <c r="B268" s="1" t="n">
        <v>45894.4880324074</v>
      </c>
      <c r="C268" s="1" t="n">
        <v>46130</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40373-2025</t>
        </is>
      </c>
      <c r="B269" s="1" t="n">
        <v>45895.51821759259</v>
      </c>
      <c r="C269" s="1" t="n">
        <v>46130</v>
      </c>
      <c r="D269" t="inlineStr">
        <is>
          <t>GOTLANDS LÄN</t>
        </is>
      </c>
      <c r="E269" t="inlineStr">
        <is>
          <t>GOTLAND</t>
        </is>
      </c>
      <c r="G269" t="n">
        <v>0.6</v>
      </c>
      <c r="H269" t="n">
        <v>0</v>
      </c>
      <c r="I269" t="n">
        <v>0</v>
      </c>
      <c r="J269" t="n">
        <v>0</v>
      </c>
      <c r="K269" t="n">
        <v>0</v>
      </c>
      <c r="L269" t="n">
        <v>0</v>
      </c>
      <c r="M269" t="n">
        <v>0</v>
      </c>
      <c r="N269" t="n">
        <v>0</v>
      </c>
      <c r="O269" t="n">
        <v>0</v>
      </c>
      <c r="P269" t="n">
        <v>0</v>
      </c>
      <c r="Q269" t="n">
        <v>0</v>
      </c>
      <c r="R269" s="2" t="inlineStr"/>
    </row>
    <row r="270" ht="15" customHeight="1">
      <c r="A270" t="inlineStr">
        <is>
          <t>A 40499-2025</t>
        </is>
      </c>
      <c r="B270" s="1" t="n">
        <v>45896.32517361111</v>
      </c>
      <c r="C270" s="1" t="n">
        <v>46130</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46130</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6749-2025</t>
        </is>
      </c>
      <c r="B272" s="1" t="n">
        <v>45700</v>
      </c>
      <c r="C272" s="1" t="n">
        <v>46130</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24001-2021</t>
        </is>
      </c>
      <c r="B273" s="1" t="n">
        <v>44335</v>
      </c>
      <c r="C273" s="1" t="n">
        <v>46130</v>
      </c>
      <c r="D273" t="inlineStr">
        <is>
          <t>GOTLANDS LÄN</t>
        </is>
      </c>
      <c r="E273" t="inlineStr">
        <is>
          <t>GOTLAND</t>
        </is>
      </c>
      <c r="G273" t="n">
        <v>3.4</v>
      </c>
      <c r="H273" t="n">
        <v>0</v>
      </c>
      <c r="I273" t="n">
        <v>0</v>
      </c>
      <c r="J273" t="n">
        <v>0</v>
      </c>
      <c r="K273" t="n">
        <v>0</v>
      </c>
      <c r="L273" t="n">
        <v>0</v>
      </c>
      <c r="M273" t="n">
        <v>0</v>
      </c>
      <c r="N273" t="n">
        <v>0</v>
      </c>
      <c r="O273" t="n">
        <v>0</v>
      </c>
      <c r="P273" t="n">
        <v>0</v>
      </c>
      <c r="Q273" t="n">
        <v>0</v>
      </c>
      <c r="R273" s="2" t="inlineStr"/>
    </row>
    <row r="274" ht="15" customHeight="1">
      <c r="A274" t="inlineStr">
        <is>
          <t>A 23698-2025</t>
        </is>
      </c>
      <c r="B274" s="1" t="n">
        <v>45793</v>
      </c>
      <c r="C274" s="1" t="n">
        <v>46130</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46130</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30365-2024</t>
        </is>
      </c>
      <c r="B276" s="1" t="n">
        <v>45491.3716087963</v>
      </c>
      <c r="C276" s="1" t="n">
        <v>46130</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1681-2023</t>
        </is>
      </c>
      <c r="B277" s="1" t="n">
        <v>44938.39715277778</v>
      </c>
      <c r="C277" s="1" t="n">
        <v>46130</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52637-2025</t>
        </is>
      </c>
      <c r="B278" s="1" t="n">
        <v>45954.75099537037</v>
      </c>
      <c r="C278" s="1" t="n">
        <v>46130</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41435-2025</t>
        </is>
      </c>
      <c r="B279" s="1" t="n">
        <v>45901.39974537037</v>
      </c>
      <c r="C279" s="1" t="n">
        <v>46130</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6099-2024</t>
        </is>
      </c>
      <c r="B280" s="1" t="n">
        <v>45337</v>
      </c>
      <c r="C280" s="1" t="n">
        <v>46130</v>
      </c>
      <c r="D280" t="inlineStr">
        <is>
          <t>GOTLANDS LÄN</t>
        </is>
      </c>
      <c r="E280" t="inlineStr">
        <is>
          <t>GOTLAND</t>
        </is>
      </c>
      <c r="G280" t="n">
        <v>12.6</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46130</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46130</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41551-2025</t>
        </is>
      </c>
      <c r="B283" s="1" t="n">
        <v>45901.58854166666</v>
      </c>
      <c r="C283" s="1" t="n">
        <v>46130</v>
      </c>
      <c r="D283" t="inlineStr">
        <is>
          <t>GOTLANDS LÄN</t>
        </is>
      </c>
      <c r="E283" t="inlineStr">
        <is>
          <t>GOTLAND</t>
        </is>
      </c>
      <c r="G283" t="n">
        <v>5.6</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46130</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45692-2023</t>
        </is>
      </c>
      <c r="B285" s="1" t="n">
        <v>45195</v>
      </c>
      <c r="C285" s="1" t="n">
        <v>46130</v>
      </c>
      <c r="D285" t="inlineStr">
        <is>
          <t>GOTLANDS LÄN</t>
        </is>
      </c>
      <c r="E285" t="inlineStr">
        <is>
          <t>GOTLAND</t>
        </is>
      </c>
      <c r="G285" t="n">
        <v>5.3</v>
      </c>
      <c r="H285" t="n">
        <v>0</v>
      </c>
      <c r="I285" t="n">
        <v>0</v>
      </c>
      <c r="J285" t="n">
        <v>0</v>
      </c>
      <c r="K285" t="n">
        <v>0</v>
      </c>
      <c r="L285" t="n">
        <v>0</v>
      </c>
      <c r="M285" t="n">
        <v>0</v>
      </c>
      <c r="N285" t="n">
        <v>0</v>
      </c>
      <c r="O285" t="n">
        <v>0</v>
      </c>
      <c r="P285" t="n">
        <v>0</v>
      </c>
      <c r="Q285" t="n">
        <v>0</v>
      </c>
      <c r="R285" s="2" t="inlineStr"/>
    </row>
    <row r="286" ht="15" customHeight="1">
      <c r="A286" t="inlineStr">
        <is>
          <t>A 33876-2024</t>
        </is>
      </c>
      <c r="B286" s="1" t="n">
        <v>45521.87988425926</v>
      </c>
      <c r="C286" s="1" t="n">
        <v>46130</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46130</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28285-2024</t>
        </is>
      </c>
      <c r="B288" s="1" t="n">
        <v>45477</v>
      </c>
      <c r="C288" s="1" t="n">
        <v>46130</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61100-2022</t>
        </is>
      </c>
      <c r="B289" s="1" t="n">
        <v>44915</v>
      </c>
      <c r="C289" s="1" t="n">
        <v>46130</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61682-2024</t>
        </is>
      </c>
      <c r="B290" s="1" t="n">
        <v>45647.48824074074</v>
      </c>
      <c r="C290" s="1" t="n">
        <v>46130</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42608-2025</t>
        </is>
      </c>
      <c r="B291" s="1" t="n">
        <v>45905</v>
      </c>
      <c r="C291" s="1" t="n">
        <v>46130</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46130</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46130</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46130</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46130</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46130</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58388-2022</t>
        </is>
      </c>
      <c r="B297" s="1" t="n">
        <v>44894</v>
      </c>
      <c r="C297" s="1" t="n">
        <v>46130</v>
      </c>
      <c r="D297" t="inlineStr">
        <is>
          <t>GOTLANDS LÄN</t>
        </is>
      </c>
      <c r="E297" t="inlineStr">
        <is>
          <t>GOTLAND</t>
        </is>
      </c>
      <c r="F297" t="inlineStr">
        <is>
          <t>Övriga statliga verk och myndigheter</t>
        </is>
      </c>
      <c r="G297" t="n">
        <v>3.1</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46130</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53569-2025</t>
        </is>
      </c>
      <c r="B299" s="1" t="n">
        <v>45960.41155092593</v>
      </c>
      <c r="C299" s="1" t="n">
        <v>46130</v>
      </c>
      <c r="D299" t="inlineStr">
        <is>
          <t>GOTLANDS LÄN</t>
        </is>
      </c>
      <c r="E299" t="inlineStr">
        <is>
          <t>GOTLAND</t>
        </is>
      </c>
      <c r="F299" t="inlineStr">
        <is>
          <t>Övriga Aktiebolag</t>
        </is>
      </c>
      <c r="G299" t="n">
        <v>11.3</v>
      </c>
      <c r="H299" t="n">
        <v>0</v>
      </c>
      <c r="I299" t="n">
        <v>0</v>
      </c>
      <c r="J299" t="n">
        <v>0</v>
      </c>
      <c r="K299" t="n">
        <v>0</v>
      </c>
      <c r="L299" t="n">
        <v>0</v>
      </c>
      <c r="M299" t="n">
        <v>0</v>
      </c>
      <c r="N299" t="n">
        <v>0</v>
      </c>
      <c r="O299" t="n">
        <v>0</v>
      </c>
      <c r="P299" t="n">
        <v>0</v>
      </c>
      <c r="Q299" t="n">
        <v>0</v>
      </c>
      <c r="R299" s="2" t="inlineStr"/>
    </row>
    <row r="300" ht="15" customHeight="1">
      <c r="A300" t="inlineStr">
        <is>
          <t>A 53577-2025</t>
        </is>
      </c>
      <c r="B300" s="1" t="n">
        <v>45960.42224537037</v>
      </c>
      <c r="C300" s="1" t="n">
        <v>46130</v>
      </c>
      <c r="D300" t="inlineStr">
        <is>
          <t>GOTLANDS LÄN</t>
        </is>
      </c>
      <c r="E300" t="inlineStr">
        <is>
          <t>GOTLAND</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46130</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46130</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44410-2025</t>
        </is>
      </c>
      <c r="B303" s="1" t="n">
        <v>45916.53699074074</v>
      </c>
      <c r="C303" s="1" t="n">
        <v>46130</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43951-2025</t>
        </is>
      </c>
      <c r="B304" s="1" t="n">
        <v>45915.38119212963</v>
      </c>
      <c r="C304" s="1" t="n">
        <v>46130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44405-2025</t>
        </is>
      </c>
      <c r="B305" s="1" t="n">
        <v>45916.52405092592</v>
      </c>
      <c r="C305" s="1" t="n">
        <v>46130</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27371-2025</t>
        </is>
      </c>
      <c r="B306" s="1" t="n">
        <v>45812</v>
      </c>
      <c r="C306" s="1" t="n">
        <v>46130</v>
      </c>
      <c r="D306" t="inlineStr">
        <is>
          <t>GOTLANDS LÄN</t>
        </is>
      </c>
      <c r="E306" t="inlineStr">
        <is>
          <t>GOTLAND</t>
        </is>
      </c>
      <c r="G306" t="n">
        <v>8</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46130</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6739-2025</t>
        </is>
      </c>
      <c r="B308" s="1" t="n">
        <v>45700</v>
      </c>
      <c r="C308" s="1" t="n">
        <v>46130</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7850-2025</t>
        </is>
      </c>
      <c r="B309" s="1" t="n">
        <v>45706</v>
      </c>
      <c r="C309" s="1" t="n">
        <v>46130</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17688-2024</t>
        </is>
      </c>
      <c r="B310" s="1" t="n">
        <v>45418.43575231481</v>
      </c>
      <c r="C310" s="1" t="n">
        <v>46130</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7837-2024</t>
        </is>
      </c>
      <c r="B311" s="1" t="n">
        <v>45349.83787037037</v>
      </c>
      <c r="C311" s="1" t="n">
        <v>46130</v>
      </c>
      <c r="D311" t="inlineStr">
        <is>
          <t>GOTLANDS LÄN</t>
        </is>
      </c>
      <c r="E311" t="inlineStr">
        <is>
          <t>GOTLAND</t>
        </is>
      </c>
      <c r="G311" t="n">
        <v>5</v>
      </c>
      <c r="H311" t="n">
        <v>0</v>
      </c>
      <c r="I311" t="n">
        <v>0</v>
      </c>
      <c r="J311" t="n">
        <v>0</v>
      </c>
      <c r="K311" t="n">
        <v>0</v>
      </c>
      <c r="L311" t="n">
        <v>0</v>
      </c>
      <c r="M311" t="n">
        <v>0</v>
      </c>
      <c r="N311" t="n">
        <v>0</v>
      </c>
      <c r="O311" t="n">
        <v>0</v>
      </c>
      <c r="P311" t="n">
        <v>0</v>
      </c>
      <c r="Q311" t="n">
        <v>0</v>
      </c>
      <c r="R311" s="2" t="inlineStr"/>
    </row>
    <row r="312" ht="15" customHeight="1">
      <c r="A312" t="inlineStr">
        <is>
          <t>A 8444-2025</t>
        </is>
      </c>
      <c r="B312" s="1" t="n">
        <v>45709</v>
      </c>
      <c r="C312" s="1" t="n">
        <v>46130</v>
      </c>
      <c r="D312" t="inlineStr">
        <is>
          <t>GOTLANDS LÄN</t>
        </is>
      </c>
      <c r="E312" t="inlineStr">
        <is>
          <t>GOTLAND</t>
        </is>
      </c>
      <c r="G312" t="n">
        <v>5.2</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46130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46130</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5905-2024</t>
        </is>
      </c>
      <c r="B315" s="1" t="n">
        <v>45335.88993055555</v>
      </c>
      <c r="C315" s="1" t="n">
        <v>46130</v>
      </c>
      <c r="D315" t="inlineStr">
        <is>
          <t>GOTLANDS LÄN</t>
        </is>
      </c>
      <c r="E315" t="inlineStr">
        <is>
          <t>GOTLAND</t>
        </is>
      </c>
      <c r="G315" t="n">
        <v>3</v>
      </c>
      <c r="H315" t="n">
        <v>0</v>
      </c>
      <c r="I315" t="n">
        <v>0</v>
      </c>
      <c r="J315" t="n">
        <v>0</v>
      </c>
      <c r="K315" t="n">
        <v>0</v>
      </c>
      <c r="L315" t="n">
        <v>0</v>
      </c>
      <c r="M315" t="n">
        <v>0</v>
      </c>
      <c r="N315" t="n">
        <v>0</v>
      </c>
      <c r="O315" t="n">
        <v>0</v>
      </c>
      <c r="P315" t="n">
        <v>0</v>
      </c>
      <c r="Q315" t="n">
        <v>0</v>
      </c>
      <c r="R315" s="2" t="inlineStr"/>
    </row>
    <row r="316" ht="15" customHeight="1">
      <c r="A316" t="inlineStr">
        <is>
          <t>A 26391-2025</t>
        </is>
      </c>
      <c r="B316" s="1" t="n">
        <v>45806</v>
      </c>
      <c r="C316" s="1" t="n">
        <v>46130</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46130</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46130</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1291-2023</t>
        </is>
      </c>
      <c r="B319" s="1" t="n">
        <v>44936.47561342592</v>
      </c>
      <c r="C319" s="1" t="n">
        <v>46130</v>
      </c>
      <c r="D319" t="inlineStr">
        <is>
          <t>GOTLANDS LÄN</t>
        </is>
      </c>
      <c r="E319" t="inlineStr">
        <is>
          <t>GOTLAND</t>
        </is>
      </c>
      <c r="G319" t="n">
        <v>7.4</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46130</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46836-2025</t>
        </is>
      </c>
      <c r="B321" s="1" t="n">
        <v>45928.31511574074</v>
      </c>
      <c r="C321" s="1" t="n">
        <v>46130</v>
      </c>
      <c r="D321" t="inlineStr">
        <is>
          <t>GOTLANDS LÄN</t>
        </is>
      </c>
      <c r="E321" t="inlineStr">
        <is>
          <t>GOTLAND</t>
        </is>
      </c>
      <c r="G321" t="n">
        <v>2.8</v>
      </c>
      <c r="H321" t="n">
        <v>0</v>
      </c>
      <c r="I321" t="n">
        <v>0</v>
      </c>
      <c r="J321" t="n">
        <v>0</v>
      </c>
      <c r="K321" t="n">
        <v>0</v>
      </c>
      <c r="L321" t="n">
        <v>0</v>
      </c>
      <c r="M321" t="n">
        <v>0</v>
      </c>
      <c r="N321" t="n">
        <v>0</v>
      </c>
      <c r="O321" t="n">
        <v>0</v>
      </c>
      <c r="P321" t="n">
        <v>0</v>
      </c>
      <c r="Q321" t="n">
        <v>0</v>
      </c>
      <c r="R321" s="2" t="inlineStr"/>
    </row>
    <row r="322" ht="15" customHeight="1">
      <c r="A322" t="inlineStr">
        <is>
          <t>A 57652-2023</t>
        </is>
      </c>
      <c r="B322" s="1" t="n">
        <v>45246</v>
      </c>
      <c r="C322" s="1" t="n">
        <v>46130</v>
      </c>
      <c r="D322" t="inlineStr">
        <is>
          <t>GOTLANDS LÄN</t>
        </is>
      </c>
      <c r="E322" t="inlineStr">
        <is>
          <t>GOTLAND</t>
        </is>
      </c>
      <c r="G322" t="n">
        <v>7.2</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46130</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30061-2025</t>
        </is>
      </c>
      <c r="B324" s="1" t="n">
        <v>45826.61488425926</v>
      </c>
      <c r="C324" s="1" t="n">
        <v>46130</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45106-2024</t>
        </is>
      </c>
      <c r="B325" s="1" t="n">
        <v>45575</v>
      </c>
      <c r="C325" s="1" t="n">
        <v>46130</v>
      </c>
      <c r="D325" t="inlineStr">
        <is>
          <t>GOTLANDS LÄN</t>
        </is>
      </c>
      <c r="E325" t="inlineStr">
        <is>
          <t>GOTLAND</t>
        </is>
      </c>
      <c r="G325" t="n">
        <v>10</v>
      </c>
      <c r="H325" t="n">
        <v>0</v>
      </c>
      <c r="I325" t="n">
        <v>0</v>
      </c>
      <c r="J325" t="n">
        <v>0</v>
      </c>
      <c r="K325" t="n">
        <v>0</v>
      </c>
      <c r="L325" t="n">
        <v>0</v>
      </c>
      <c r="M325" t="n">
        <v>0</v>
      </c>
      <c r="N325" t="n">
        <v>0</v>
      </c>
      <c r="O325" t="n">
        <v>0</v>
      </c>
      <c r="P325" t="n">
        <v>0</v>
      </c>
      <c r="Q325" t="n">
        <v>0</v>
      </c>
      <c r="R325" s="2" t="inlineStr"/>
    </row>
    <row r="326" ht="15" customHeight="1">
      <c r="A326" t="inlineStr">
        <is>
          <t>A 45112-2024</t>
        </is>
      </c>
      <c r="B326" s="1" t="n">
        <v>45575</v>
      </c>
      <c r="C326" s="1" t="n">
        <v>46130</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2676-2023</t>
        </is>
      </c>
      <c r="B327" s="1" t="n">
        <v>44944</v>
      </c>
      <c r="C327" s="1" t="n">
        <v>46130</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46130</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3150-2025</t>
        </is>
      </c>
      <c r="B329" s="1" t="n">
        <v>45679.28974537037</v>
      </c>
      <c r="C329" s="1" t="n">
        <v>46130</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8484-2025</t>
        </is>
      </c>
      <c r="B330" s="1" t="n">
        <v>45709</v>
      </c>
      <c r="C330" s="1" t="n">
        <v>46130</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47637-2025</t>
        </is>
      </c>
      <c r="B331" s="1" t="n">
        <v>45931.49753472222</v>
      </c>
      <c r="C331" s="1" t="n">
        <v>46130</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7635-2025</t>
        </is>
      </c>
      <c r="B332" s="1" t="n">
        <v>45705</v>
      </c>
      <c r="C332" s="1" t="n">
        <v>46130</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7636-2025</t>
        </is>
      </c>
      <c r="B333" s="1" t="n">
        <v>45705.7687962963</v>
      </c>
      <c r="C333" s="1" t="n">
        <v>46130</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7639-2025</t>
        </is>
      </c>
      <c r="B334" s="1" t="n">
        <v>45705.77465277778</v>
      </c>
      <c r="C334" s="1" t="n">
        <v>46130</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46130</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48734-2022</t>
        </is>
      </c>
      <c r="B336" s="1" t="n">
        <v>44855</v>
      </c>
      <c r="C336" s="1" t="n">
        <v>46130</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14141-2024</t>
        </is>
      </c>
      <c r="B337" s="1" t="n">
        <v>45392.85193287037</v>
      </c>
      <c r="C337" s="1" t="n">
        <v>46130</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29809-2022</t>
        </is>
      </c>
      <c r="B338" s="1" t="n">
        <v>44755.8713425926</v>
      </c>
      <c r="C338" s="1" t="n">
        <v>46130</v>
      </c>
      <c r="D338" t="inlineStr">
        <is>
          <t>GOTLANDS LÄN</t>
        </is>
      </c>
      <c r="E338" t="inlineStr">
        <is>
          <t>GOTLAND</t>
        </is>
      </c>
      <c r="G338" t="n">
        <v>11.5</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46130</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35550-2025</t>
        </is>
      </c>
      <c r="B340" s="1" t="n">
        <v>45856.49324074074</v>
      </c>
      <c r="C340" s="1" t="n">
        <v>46130</v>
      </c>
      <c r="D340" t="inlineStr">
        <is>
          <t>GOTLANDS LÄN</t>
        </is>
      </c>
      <c r="E340" t="inlineStr">
        <is>
          <t>GOTLAND</t>
        </is>
      </c>
      <c r="G340" t="n">
        <v>3.2</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46130</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47578-2025</t>
        </is>
      </c>
      <c r="B342" s="1" t="n">
        <v>45931</v>
      </c>
      <c r="C342" s="1" t="n">
        <v>46130</v>
      </c>
      <c r="D342" t="inlineStr">
        <is>
          <t>GOTLANDS LÄN</t>
        </is>
      </c>
      <c r="E342" t="inlineStr">
        <is>
          <t>GOTLAND</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30815-2023</t>
        </is>
      </c>
      <c r="B343" s="1" t="n">
        <v>45112</v>
      </c>
      <c r="C343" s="1" t="n">
        <v>46130</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46130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49724-2025</t>
        </is>
      </c>
      <c r="B345" s="1" t="n">
        <v>45939.83730324074</v>
      </c>
      <c r="C345" s="1" t="n">
        <v>46130</v>
      </c>
      <c r="D345" t="inlineStr">
        <is>
          <t>GOTLANDS LÄN</t>
        </is>
      </c>
      <c r="E345" t="inlineStr">
        <is>
          <t>GOTLAND</t>
        </is>
      </c>
      <c r="F345" t="inlineStr">
        <is>
          <t>Kyrkan</t>
        </is>
      </c>
      <c r="G345" t="n">
        <v>3.1</v>
      </c>
      <c r="H345" t="n">
        <v>0</v>
      </c>
      <c r="I345" t="n">
        <v>0</v>
      </c>
      <c r="J345" t="n">
        <v>0</v>
      </c>
      <c r="K345" t="n">
        <v>0</v>
      </c>
      <c r="L345" t="n">
        <v>0</v>
      </c>
      <c r="M345" t="n">
        <v>0</v>
      </c>
      <c r="N345" t="n">
        <v>0</v>
      </c>
      <c r="O345" t="n">
        <v>0</v>
      </c>
      <c r="P345" t="n">
        <v>0</v>
      </c>
      <c r="Q345" t="n">
        <v>0</v>
      </c>
      <c r="R345" s="2" t="inlineStr"/>
    </row>
    <row r="346" ht="15" customHeight="1">
      <c r="A346" t="inlineStr">
        <is>
          <t>A 49730-2025</t>
        </is>
      </c>
      <c r="B346" s="1" t="n">
        <v>45939.87613425926</v>
      </c>
      <c r="C346" s="1" t="n">
        <v>46130</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49690-2025</t>
        </is>
      </c>
      <c r="B347" s="1" t="n">
        <v>45939.66730324074</v>
      </c>
      <c r="C347" s="1" t="n">
        <v>46130</v>
      </c>
      <c r="D347" t="inlineStr">
        <is>
          <t>GOTLANDS LÄN</t>
        </is>
      </c>
      <c r="E347" t="inlineStr">
        <is>
          <t>GOTLAND</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32467-2025</t>
        </is>
      </c>
      <c r="B348" s="1" t="n">
        <v>45838.42111111111</v>
      </c>
      <c r="C348" s="1" t="n">
        <v>46130</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33011-2025</t>
        </is>
      </c>
      <c r="B349" s="1" t="n">
        <v>45840</v>
      </c>
      <c r="C349" s="1" t="n">
        <v>46130</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46130</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46130</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23516-2023</t>
        </is>
      </c>
      <c r="B352" s="1" t="n">
        <v>45076.93391203704</v>
      </c>
      <c r="C352" s="1" t="n">
        <v>46130</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16109-2025</t>
        </is>
      </c>
      <c r="B353" s="1" t="n">
        <v>45750</v>
      </c>
      <c r="C353" s="1" t="n">
        <v>46130</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64660-2023</t>
        </is>
      </c>
      <c r="B354" s="1" t="n">
        <v>45281.60122685185</v>
      </c>
      <c r="C354" s="1" t="n">
        <v>46130</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50421-2025</t>
        </is>
      </c>
      <c r="B355" s="1" t="n">
        <v>45944.66049768519</v>
      </c>
      <c r="C355" s="1" t="n">
        <v>46130</v>
      </c>
      <c r="D355" t="inlineStr">
        <is>
          <t>GOTLANDS LÄN</t>
        </is>
      </c>
      <c r="E355" t="inlineStr">
        <is>
          <t>GOTLAND</t>
        </is>
      </c>
      <c r="G355" t="n">
        <v>3.9</v>
      </c>
      <c r="H355" t="n">
        <v>0</v>
      </c>
      <c r="I355" t="n">
        <v>0</v>
      </c>
      <c r="J355" t="n">
        <v>0</v>
      </c>
      <c r="K355" t="n">
        <v>0</v>
      </c>
      <c r="L355" t="n">
        <v>0</v>
      </c>
      <c r="M355" t="n">
        <v>0</v>
      </c>
      <c r="N355" t="n">
        <v>0</v>
      </c>
      <c r="O355" t="n">
        <v>0</v>
      </c>
      <c r="P355" t="n">
        <v>0</v>
      </c>
      <c r="Q355" t="n">
        <v>0</v>
      </c>
      <c r="R355" s="2" t="inlineStr"/>
    </row>
    <row r="356" ht="15" customHeight="1">
      <c r="A356" t="inlineStr">
        <is>
          <t>A 63763-2023</t>
        </is>
      </c>
      <c r="B356" s="1" t="n">
        <v>45278.33944444444</v>
      </c>
      <c r="C356" s="1" t="n">
        <v>46130</v>
      </c>
      <c r="D356" t="inlineStr">
        <is>
          <t>GOTLANDS LÄN</t>
        </is>
      </c>
      <c r="E356" t="inlineStr">
        <is>
          <t>GOTLAND</t>
        </is>
      </c>
      <c r="G356" t="n">
        <v>0.5</v>
      </c>
      <c r="H356" t="n">
        <v>0</v>
      </c>
      <c r="I356" t="n">
        <v>0</v>
      </c>
      <c r="J356" t="n">
        <v>0</v>
      </c>
      <c r="K356" t="n">
        <v>0</v>
      </c>
      <c r="L356" t="n">
        <v>0</v>
      </c>
      <c r="M356" t="n">
        <v>0</v>
      </c>
      <c r="N356" t="n">
        <v>0</v>
      </c>
      <c r="O356" t="n">
        <v>0</v>
      </c>
      <c r="P356" t="n">
        <v>0</v>
      </c>
      <c r="Q356" t="n">
        <v>0</v>
      </c>
      <c r="R356" s="2" t="inlineStr"/>
    </row>
    <row r="357" ht="15" customHeight="1">
      <c r="A357" t="inlineStr">
        <is>
          <t>A 50431-2025</t>
        </is>
      </c>
      <c r="B357" s="1" t="n">
        <v>45944.68453703704</v>
      </c>
      <c r="C357" s="1" t="n">
        <v>46130</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46130</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63229-2021</t>
        </is>
      </c>
      <c r="B359" s="1" t="n">
        <v>44508.34518518519</v>
      </c>
      <c r="C359" s="1" t="n">
        <v>46130</v>
      </c>
      <c r="D359" t="inlineStr">
        <is>
          <t>GOTLANDS LÄN</t>
        </is>
      </c>
      <c r="E359" t="inlineStr">
        <is>
          <t>GOTLAND</t>
        </is>
      </c>
      <c r="F359" t="inlineStr">
        <is>
          <t>Kyrkan</t>
        </is>
      </c>
      <c r="G359" t="n">
        <v>3.8</v>
      </c>
      <c r="H359" t="n">
        <v>0</v>
      </c>
      <c r="I359" t="n">
        <v>0</v>
      </c>
      <c r="J359" t="n">
        <v>0</v>
      </c>
      <c r="K359" t="n">
        <v>0</v>
      </c>
      <c r="L359" t="n">
        <v>0</v>
      </c>
      <c r="M359" t="n">
        <v>0</v>
      </c>
      <c r="N359" t="n">
        <v>0</v>
      </c>
      <c r="O359" t="n">
        <v>0</v>
      </c>
      <c r="P359" t="n">
        <v>0</v>
      </c>
      <c r="Q359" t="n">
        <v>0</v>
      </c>
      <c r="R359" s="2" t="inlineStr"/>
    </row>
    <row r="360" ht="15" customHeight="1">
      <c r="A360" t="inlineStr">
        <is>
          <t>A 46375-2024</t>
        </is>
      </c>
      <c r="B360" s="1" t="n">
        <v>45582</v>
      </c>
      <c r="C360" s="1" t="n">
        <v>46130</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50928-2025</t>
        </is>
      </c>
      <c r="B361" s="1" t="n">
        <v>45946.67896990741</v>
      </c>
      <c r="C361" s="1" t="n">
        <v>46130</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1734-2025</t>
        </is>
      </c>
      <c r="B362" s="1" t="n">
        <v>45671.3840625</v>
      </c>
      <c r="C362" s="1" t="n">
        <v>46130</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20993-2023</t>
        </is>
      </c>
      <c r="B363" s="1" t="n">
        <v>45056</v>
      </c>
      <c r="C363" s="1" t="n">
        <v>46130</v>
      </c>
      <c r="D363" t="inlineStr">
        <is>
          <t>GOTLANDS LÄN</t>
        </is>
      </c>
      <c r="E363" t="inlineStr">
        <is>
          <t>GOTLAND</t>
        </is>
      </c>
      <c r="G363" t="n">
        <v>7.1</v>
      </c>
      <c r="H363" t="n">
        <v>0</v>
      </c>
      <c r="I363" t="n">
        <v>0</v>
      </c>
      <c r="J363" t="n">
        <v>0</v>
      </c>
      <c r="K363" t="n">
        <v>0</v>
      </c>
      <c r="L363" t="n">
        <v>0</v>
      </c>
      <c r="M363" t="n">
        <v>0</v>
      </c>
      <c r="N363" t="n">
        <v>0</v>
      </c>
      <c r="O363" t="n">
        <v>0</v>
      </c>
      <c r="P363" t="n">
        <v>0</v>
      </c>
      <c r="Q363" t="n">
        <v>0</v>
      </c>
      <c r="R363" s="2" t="inlineStr"/>
    </row>
    <row r="364" ht="15" customHeight="1">
      <c r="A364" t="inlineStr">
        <is>
          <t>A 56799-2025</t>
        </is>
      </c>
      <c r="B364" s="1" t="n">
        <v>45978.43392361111</v>
      </c>
      <c r="C364" s="1" t="n">
        <v>46130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46130</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35123-2025</t>
        </is>
      </c>
      <c r="B366" s="1" t="n">
        <v>45852.614375</v>
      </c>
      <c r="C366" s="1" t="n">
        <v>46130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35096-2025</t>
        </is>
      </c>
      <c r="B367" s="1" t="n">
        <v>45852.54356481481</v>
      </c>
      <c r="C367" s="1" t="n">
        <v>46130</v>
      </c>
      <c r="D367" t="inlineStr">
        <is>
          <t>GOTLANDS LÄN</t>
        </is>
      </c>
      <c r="E367" t="inlineStr">
        <is>
          <t>GOTLAND</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46130</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46130</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46130</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30104-2025</t>
        </is>
      </c>
      <c r="B371" s="1" t="n">
        <v>45826.68806712963</v>
      </c>
      <c r="C371" s="1" t="n">
        <v>46130</v>
      </c>
      <c r="D371" t="inlineStr">
        <is>
          <t>GOTLANDS LÄN</t>
        </is>
      </c>
      <c r="E371" t="inlineStr">
        <is>
          <t>GOTLAND</t>
        </is>
      </c>
      <c r="G371" t="n">
        <v>15.4</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46130</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46130</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46130</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46130</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46130</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46130</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46130</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50744-2024</t>
        </is>
      </c>
      <c r="B379" s="1" t="n">
        <v>45602.4187037037</v>
      </c>
      <c r="C379" s="1" t="n">
        <v>46130</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53934-2024</t>
        </is>
      </c>
      <c r="B380" s="1" t="n">
        <v>45615</v>
      </c>
      <c r="C380" s="1" t="n">
        <v>46130</v>
      </c>
      <c r="D380" t="inlineStr">
        <is>
          <t>GOTLANDS LÄN</t>
        </is>
      </c>
      <c r="E380" t="inlineStr">
        <is>
          <t>GOTLAND</t>
        </is>
      </c>
      <c r="G380" t="n">
        <v>5</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46130</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46130</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15001-2025</t>
        </is>
      </c>
      <c r="B383" s="1" t="n">
        <v>45743</v>
      </c>
      <c r="C383" s="1" t="n">
        <v>46130</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30488-2025</t>
        </is>
      </c>
      <c r="B384" s="1" t="n">
        <v>45830</v>
      </c>
      <c r="C384" s="1" t="n">
        <v>46130</v>
      </c>
      <c r="D384" t="inlineStr">
        <is>
          <t>GOTLANDS LÄN</t>
        </is>
      </c>
      <c r="E384" t="inlineStr">
        <is>
          <t>GOTLAND</t>
        </is>
      </c>
      <c r="F384" t="inlineStr">
        <is>
          <t>Kyrkan</t>
        </is>
      </c>
      <c r="G384" t="n">
        <v>3.9</v>
      </c>
      <c r="H384" t="n">
        <v>0</v>
      </c>
      <c r="I384" t="n">
        <v>0</v>
      </c>
      <c r="J384" t="n">
        <v>0</v>
      </c>
      <c r="K384" t="n">
        <v>0</v>
      </c>
      <c r="L384" t="n">
        <v>0</v>
      </c>
      <c r="M384" t="n">
        <v>0</v>
      </c>
      <c r="N384" t="n">
        <v>0</v>
      </c>
      <c r="O384" t="n">
        <v>0</v>
      </c>
      <c r="P384" t="n">
        <v>0</v>
      </c>
      <c r="Q384" t="n">
        <v>0</v>
      </c>
      <c r="R384" s="2" t="inlineStr"/>
    </row>
    <row r="385" ht="15" customHeight="1">
      <c r="A385" t="inlineStr">
        <is>
          <t>A 17847-2025</t>
        </is>
      </c>
      <c r="B385" s="1" t="n">
        <v>45758</v>
      </c>
      <c r="C385" s="1" t="n">
        <v>46130</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46130</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46130</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46130</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46130</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46130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46130</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16501-2023</t>
        </is>
      </c>
      <c r="B392" s="1" t="n">
        <v>45029</v>
      </c>
      <c r="C392" s="1" t="n">
        <v>46130</v>
      </c>
      <c r="D392" t="inlineStr">
        <is>
          <t>GOTLANDS LÄN</t>
        </is>
      </c>
      <c r="E392" t="inlineStr">
        <is>
          <t>GOTLAND</t>
        </is>
      </c>
      <c r="G392" t="n">
        <v>3.1</v>
      </c>
      <c r="H392" t="n">
        <v>0</v>
      </c>
      <c r="I392" t="n">
        <v>0</v>
      </c>
      <c r="J392" t="n">
        <v>0</v>
      </c>
      <c r="K392" t="n">
        <v>0</v>
      </c>
      <c r="L392" t="n">
        <v>0</v>
      </c>
      <c r="M392" t="n">
        <v>0</v>
      </c>
      <c r="N392" t="n">
        <v>0</v>
      </c>
      <c r="O392" t="n">
        <v>0</v>
      </c>
      <c r="P392" t="n">
        <v>0</v>
      </c>
      <c r="Q392" t="n">
        <v>0</v>
      </c>
      <c r="R392" s="2" t="inlineStr"/>
    </row>
    <row r="393" ht="15" customHeight="1">
      <c r="A393" t="inlineStr">
        <is>
          <t>A 27930-2021</t>
        </is>
      </c>
      <c r="B393" s="1" t="n">
        <v>44354</v>
      </c>
      <c r="C393" s="1" t="n">
        <v>46130</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61962-2024</t>
        </is>
      </c>
      <c r="B394" s="1" t="n">
        <v>45653.54340277778</v>
      </c>
      <c r="C394" s="1" t="n">
        <v>46130</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6108-2025</t>
        </is>
      </c>
      <c r="B395" s="1" t="n">
        <v>45698.29880787037</v>
      </c>
      <c r="C395" s="1" t="n">
        <v>46130</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21142-2025</t>
        </is>
      </c>
      <c r="B396" s="1" t="n">
        <v>45779</v>
      </c>
      <c r="C396" s="1" t="n">
        <v>46130</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10492-2023</t>
        </is>
      </c>
      <c r="B397" s="1" t="n">
        <v>44987</v>
      </c>
      <c r="C397" s="1" t="n">
        <v>46130</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46130</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46130</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5909-2025</t>
        </is>
      </c>
      <c r="B400" s="1" t="n">
        <v>45695.40634259259</v>
      </c>
      <c r="C400" s="1" t="n">
        <v>46130</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30489-2025</t>
        </is>
      </c>
      <c r="B401" s="1" t="n">
        <v>45830</v>
      </c>
      <c r="C401" s="1" t="n">
        <v>46130</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20307-2025</t>
        </is>
      </c>
      <c r="B402" s="1" t="n">
        <v>45774.95546296296</v>
      </c>
      <c r="C402" s="1" t="n">
        <v>46130</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59197-2025</t>
        </is>
      </c>
      <c r="B403" s="1" t="n">
        <v>45988.59846064815</v>
      </c>
      <c r="C403" s="1" t="n">
        <v>46130</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46130</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4990-2025</t>
        </is>
      </c>
      <c r="B405" s="1" t="n">
        <v>45691</v>
      </c>
      <c r="C405" s="1" t="n">
        <v>46130</v>
      </c>
      <c r="D405" t="inlineStr">
        <is>
          <t>GOTLANDS LÄN</t>
        </is>
      </c>
      <c r="E405" t="inlineStr">
        <is>
          <t>GOTLAND</t>
        </is>
      </c>
      <c r="G405" t="n">
        <v>7.7</v>
      </c>
      <c r="H405" t="n">
        <v>0</v>
      </c>
      <c r="I405" t="n">
        <v>0</v>
      </c>
      <c r="J405" t="n">
        <v>0</v>
      </c>
      <c r="K405" t="n">
        <v>0</v>
      </c>
      <c r="L405" t="n">
        <v>0</v>
      </c>
      <c r="M405" t="n">
        <v>0</v>
      </c>
      <c r="N405" t="n">
        <v>0</v>
      </c>
      <c r="O405" t="n">
        <v>0</v>
      </c>
      <c r="P405" t="n">
        <v>0</v>
      </c>
      <c r="Q405" t="n">
        <v>0</v>
      </c>
      <c r="R405" s="2" t="inlineStr"/>
    </row>
    <row r="406" ht="15" customHeight="1">
      <c r="A406" t="inlineStr">
        <is>
          <t>A 36319-2025</t>
        </is>
      </c>
      <c r="B406" s="1" t="n">
        <v>45868</v>
      </c>
      <c r="C406" s="1" t="n">
        <v>46130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46130</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32958-2021</t>
        </is>
      </c>
      <c r="B408" s="1" t="n">
        <v>44376</v>
      </c>
      <c r="C408" s="1" t="n">
        <v>46130</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5884-2025</t>
        </is>
      </c>
      <c r="B409" s="1" t="n">
        <v>45695.37482638889</v>
      </c>
      <c r="C409" s="1" t="n">
        <v>46130</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5897-2025</t>
        </is>
      </c>
      <c r="B410" s="1" t="n">
        <v>45695.39273148148</v>
      </c>
      <c r="C410" s="1" t="n">
        <v>46130</v>
      </c>
      <c r="D410" t="inlineStr">
        <is>
          <t>GOTLANDS LÄN</t>
        </is>
      </c>
      <c r="E410" t="inlineStr">
        <is>
          <t>GOTLAND</t>
        </is>
      </c>
      <c r="G410" t="n">
        <v>3.7</v>
      </c>
      <c r="H410" t="n">
        <v>0</v>
      </c>
      <c r="I410" t="n">
        <v>0</v>
      </c>
      <c r="J410" t="n">
        <v>0</v>
      </c>
      <c r="K410" t="n">
        <v>0</v>
      </c>
      <c r="L410" t="n">
        <v>0</v>
      </c>
      <c r="M410" t="n">
        <v>0</v>
      </c>
      <c r="N410" t="n">
        <v>0</v>
      </c>
      <c r="O410" t="n">
        <v>0</v>
      </c>
      <c r="P410" t="n">
        <v>0</v>
      </c>
      <c r="Q410" t="n">
        <v>0</v>
      </c>
      <c r="R410" s="2" t="inlineStr"/>
    </row>
    <row r="411" ht="15" customHeight="1">
      <c r="A411" t="inlineStr">
        <is>
          <t>A 49693-2023</t>
        </is>
      </c>
      <c r="B411" s="1" t="n">
        <v>45212.38138888889</v>
      </c>
      <c r="C411" s="1" t="n">
        <v>46130</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49697-2023</t>
        </is>
      </c>
      <c r="B412" s="1" t="n">
        <v>45212.38909722222</v>
      </c>
      <c r="C412" s="1" t="n">
        <v>46130</v>
      </c>
      <c r="D412" t="inlineStr">
        <is>
          <t>GOTLANDS LÄN</t>
        </is>
      </c>
      <c r="E412" t="inlineStr">
        <is>
          <t>GOTLAND</t>
        </is>
      </c>
      <c r="G412" t="n">
        <v>4.4</v>
      </c>
      <c r="H412" t="n">
        <v>0</v>
      </c>
      <c r="I412" t="n">
        <v>0</v>
      </c>
      <c r="J412" t="n">
        <v>0</v>
      </c>
      <c r="K412" t="n">
        <v>0</v>
      </c>
      <c r="L412" t="n">
        <v>0</v>
      </c>
      <c r="M412" t="n">
        <v>0</v>
      </c>
      <c r="N412" t="n">
        <v>0</v>
      </c>
      <c r="O412" t="n">
        <v>0</v>
      </c>
      <c r="P412" t="n">
        <v>0</v>
      </c>
      <c r="Q412" t="n">
        <v>0</v>
      </c>
      <c r="R412" s="2" t="inlineStr"/>
    </row>
    <row r="413" ht="15" customHeight="1">
      <c r="A413" t="inlineStr">
        <is>
          <t>A 17901-2023</t>
        </is>
      </c>
      <c r="B413" s="1" t="n">
        <v>45039</v>
      </c>
      <c r="C413" s="1" t="n">
        <v>46130</v>
      </c>
      <c r="D413" t="inlineStr">
        <is>
          <t>GOTLANDS LÄN</t>
        </is>
      </c>
      <c r="E413" t="inlineStr">
        <is>
          <t>GOTLAND</t>
        </is>
      </c>
      <c r="F413" t="inlineStr">
        <is>
          <t>Kyrkan</t>
        </is>
      </c>
      <c r="G413" t="n">
        <v>0.6</v>
      </c>
      <c r="H413" t="n">
        <v>0</v>
      </c>
      <c r="I413" t="n">
        <v>0</v>
      </c>
      <c r="J413" t="n">
        <v>0</v>
      </c>
      <c r="K413" t="n">
        <v>0</v>
      </c>
      <c r="L413" t="n">
        <v>0</v>
      </c>
      <c r="M413" t="n">
        <v>0</v>
      </c>
      <c r="N413" t="n">
        <v>0</v>
      </c>
      <c r="O413" t="n">
        <v>0</v>
      </c>
      <c r="P413" t="n">
        <v>0</v>
      </c>
      <c r="Q413" t="n">
        <v>0</v>
      </c>
      <c r="R413" s="2" t="inlineStr"/>
    </row>
    <row r="414" ht="15" customHeight="1">
      <c r="A414" t="inlineStr">
        <is>
          <t>A 52892-2021</t>
        </is>
      </c>
      <c r="B414" s="1" t="n">
        <v>44467.49048611111</v>
      </c>
      <c r="C414" s="1" t="n">
        <v>46130</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46396-2023</t>
        </is>
      </c>
      <c r="B415" s="1" t="n">
        <v>45197</v>
      </c>
      <c r="C415" s="1" t="n">
        <v>46130</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46130</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34312-2024</t>
        </is>
      </c>
      <c r="B417" s="1" t="n">
        <v>45524.69703703704</v>
      </c>
      <c r="C417" s="1" t="n">
        <v>46130</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62066-2025</t>
        </is>
      </c>
      <c r="B418" s="1" t="n">
        <v>46006.34738425926</v>
      </c>
      <c r="C418" s="1" t="n">
        <v>46130</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62103-2025</t>
        </is>
      </c>
      <c r="B419" s="1" t="n">
        <v>46006</v>
      </c>
      <c r="C419" s="1" t="n">
        <v>46130</v>
      </c>
      <c r="D419" t="inlineStr">
        <is>
          <t>GOTLANDS LÄN</t>
        </is>
      </c>
      <c r="E419" t="inlineStr">
        <is>
          <t>GOTLAND</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46130</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7638-2025</t>
        </is>
      </c>
      <c r="B421" s="1" t="n">
        <v>45705.77306712963</v>
      </c>
      <c r="C421" s="1" t="n">
        <v>46130</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50482-2024</t>
        </is>
      </c>
      <c r="B422" s="1" t="n">
        <v>45601.48114583334</v>
      </c>
      <c r="C422" s="1" t="n">
        <v>46130</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1394-2023</t>
        </is>
      </c>
      <c r="B423" s="1" t="n">
        <v>44936.72997685185</v>
      </c>
      <c r="C423" s="1" t="n">
        <v>46130</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58230-2024</t>
        </is>
      </c>
      <c r="B424" s="1" t="n">
        <v>45632.51625</v>
      </c>
      <c r="C424" s="1" t="n">
        <v>46130</v>
      </c>
      <c r="D424" t="inlineStr">
        <is>
          <t>GOTLANDS LÄN</t>
        </is>
      </c>
      <c r="E424" t="inlineStr">
        <is>
          <t>GOTLAND</t>
        </is>
      </c>
      <c r="G424" t="n">
        <v>7.3</v>
      </c>
      <c r="H424" t="n">
        <v>0</v>
      </c>
      <c r="I424" t="n">
        <v>0</v>
      </c>
      <c r="J424" t="n">
        <v>0</v>
      </c>
      <c r="K424" t="n">
        <v>0</v>
      </c>
      <c r="L424" t="n">
        <v>0</v>
      </c>
      <c r="M424" t="n">
        <v>0</v>
      </c>
      <c r="N424" t="n">
        <v>0</v>
      </c>
      <c r="O424" t="n">
        <v>0</v>
      </c>
      <c r="P424" t="n">
        <v>0</v>
      </c>
      <c r="Q424" t="n">
        <v>0</v>
      </c>
      <c r="R424" s="2" t="inlineStr"/>
    </row>
    <row r="425" ht="15" customHeight="1">
      <c r="A425" t="inlineStr">
        <is>
          <t>A 1462-2025</t>
        </is>
      </c>
      <c r="B425" s="1" t="n">
        <v>45670.36319444444</v>
      </c>
      <c r="C425" s="1" t="n">
        <v>46130</v>
      </c>
      <c r="D425" t="inlineStr">
        <is>
          <t>GOTLANDS LÄN</t>
        </is>
      </c>
      <c r="E425" t="inlineStr">
        <is>
          <t>GOTLAND</t>
        </is>
      </c>
      <c r="G425" t="n">
        <v>2.8</v>
      </c>
      <c r="H425" t="n">
        <v>0</v>
      </c>
      <c r="I425" t="n">
        <v>0</v>
      </c>
      <c r="J425" t="n">
        <v>0</v>
      </c>
      <c r="K425" t="n">
        <v>0</v>
      </c>
      <c r="L425" t="n">
        <v>0</v>
      </c>
      <c r="M425" t="n">
        <v>0</v>
      </c>
      <c r="N425" t="n">
        <v>0</v>
      </c>
      <c r="O425" t="n">
        <v>0</v>
      </c>
      <c r="P425" t="n">
        <v>0</v>
      </c>
      <c r="Q425" t="n">
        <v>0</v>
      </c>
      <c r="R425" s="2" t="inlineStr"/>
    </row>
    <row r="426" ht="15" customHeight="1">
      <c r="A426" t="inlineStr">
        <is>
          <t>A 63002-2025</t>
        </is>
      </c>
      <c r="B426" s="1" t="n">
        <v>46009.56564814815</v>
      </c>
      <c r="C426" s="1" t="n">
        <v>46130</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25129-2023</t>
        </is>
      </c>
      <c r="B427" s="1" t="n">
        <v>45086.44261574074</v>
      </c>
      <c r="C427" s="1" t="n">
        <v>46130</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24192-2023</t>
        </is>
      </c>
      <c r="B428" s="1" t="n">
        <v>45079</v>
      </c>
      <c r="C428" s="1" t="n">
        <v>46130</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5386-2023</t>
        </is>
      </c>
      <c r="B429" s="1" t="n">
        <v>44959</v>
      </c>
      <c r="C429" s="1" t="n">
        <v>46130</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38649-2025</t>
        </is>
      </c>
      <c r="B430" s="1" t="n">
        <v>45884</v>
      </c>
      <c r="C430" s="1" t="n">
        <v>46130</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7026-2023</t>
        </is>
      </c>
      <c r="B431" s="1" t="n">
        <v>44968.30340277778</v>
      </c>
      <c r="C431" s="1" t="n">
        <v>46130</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20855-2023</t>
        </is>
      </c>
      <c r="B432" s="1" t="n">
        <v>45058.82172453704</v>
      </c>
      <c r="C432" s="1" t="n">
        <v>46130</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61078-2025</t>
        </is>
      </c>
      <c r="B433" s="1" t="n">
        <v>46000</v>
      </c>
      <c r="C433" s="1" t="n">
        <v>46130</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1000-2024</t>
        </is>
      </c>
      <c r="B434" s="1" t="n">
        <v>45301.63371527778</v>
      </c>
      <c r="C434" s="1" t="n">
        <v>46130</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1010-2024</t>
        </is>
      </c>
      <c r="B435" s="1" t="n">
        <v>45301</v>
      </c>
      <c r="C435" s="1" t="n">
        <v>46130</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36-2026</t>
        </is>
      </c>
      <c r="B436" s="1" t="n">
        <v>46024.38886574074</v>
      </c>
      <c r="C436" s="1" t="n">
        <v>46130</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62674-2025</t>
        </is>
      </c>
      <c r="B437" s="1" t="n">
        <v>46008</v>
      </c>
      <c r="C437" s="1" t="n">
        <v>46130</v>
      </c>
      <c r="D437" t="inlineStr">
        <is>
          <t>GOTLANDS LÄN</t>
        </is>
      </c>
      <c r="E437" t="inlineStr">
        <is>
          <t>GOTLAND</t>
        </is>
      </c>
      <c r="G437" t="n">
        <v>5</v>
      </c>
      <c r="H437" t="n">
        <v>0</v>
      </c>
      <c r="I437" t="n">
        <v>0</v>
      </c>
      <c r="J437" t="n">
        <v>0</v>
      </c>
      <c r="K437" t="n">
        <v>0</v>
      </c>
      <c r="L437" t="n">
        <v>0</v>
      </c>
      <c r="M437" t="n">
        <v>0</v>
      </c>
      <c r="N437" t="n">
        <v>0</v>
      </c>
      <c r="O437" t="n">
        <v>0</v>
      </c>
      <c r="P437" t="n">
        <v>0</v>
      </c>
      <c r="Q437" t="n">
        <v>0</v>
      </c>
      <c r="R437" s="2" t="inlineStr"/>
    </row>
    <row r="438" ht="15" customHeight="1">
      <c r="A438" t="inlineStr">
        <is>
          <t>A 47762-2023</t>
        </is>
      </c>
      <c r="B438" s="1" t="n">
        <v>45203.86256944444</v>
      </c>
      <c r="C438" s="1" t="n">
        <v>46130</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46545-2024</t>
        </is>
      </c>
      <c r="B439" s="1" t="n">
        <v>45582.65831018519</v>
      </c>
      <c r="C439" s="1" t="n">
        <v>46130</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60086-2022</t>
        </is>
      </c>
      <c r="B440" s="1" t="n">
        <v>44909</v>
      </c>
      <c r="C440" s="1" t="n">
        <v>46130</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28480-2023</t>
        </is>
      </c>
      <c r="B441" s="1" t="n">
        <v>45103</v>
      </c>
      <c r="C441" s="1" t="n">
        <v>46130</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28485-2023</t>
        </is>
      </c>
      <c r="B442" s="1" t="n">
        <v>45103.43731481482</v>
      </c>
      <c r="C442" s="1" t="n">
        <v>46130</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62915-2021</t>
        </is>
      </c>
      <c r="B443" s="1" t="n">
        <v>44504</v>
      </c>
      <c r="C443" s="1" t="n">
        <v>46130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44949-2023</t>
        </is>
      </c>
      <c r="B444" s="1" t="n">
        <v>45190.69520833333</v>
      </c>
      <c r="C444" s="1" t="n">
        <v>46130</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1355-2026</t>
        </is>
      </c>
      <c r="B445" s="1" t="n">
        <v>46031.59909722222</v>
      </c>
      <c r="C445" s="1" t="n">
        <v>46130</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46130</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1898-2026</t>
        </is>
      </c>
      <c r="B447" s="1" t="n">
        <v>46035.52024305556</v>
      </c>
      <c r="C447" s="1" t="n">
        <v>46130</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3964-2024</t>
        </is>
      </c>
      <c r="B448" s="1" t="n">
        <v>45322</v>
      </c>
      <c r="C448" s="1" t="n">
        <v>46130</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45084-2024</t>
        </is>
      </c>
      <c r="B449" s="1" t="n">
        <v>45575</v>
      </c>
      <c r="C449" s="1" t="n">
        <v>46130</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2415-2026</t>
        </is>
      </c>
      <c r="B450" s="1" t="n">
        <v>46036.76203703704</v>
      </c>
      <c r="C450" s="1" t="n">
        <v>46130</v>
      </c>
      <c r="D450" t="inlineStr">
        <is>
          <t>GOTLANDS LÄN</t>
        </is>
      </c>
      <c r="E450" t="inlineStr">
        <is>
          <t>GOTLAND</t>
        </is>
      </c>
      <c r="G450" t="n">
        <v>6.9</v>
      </c>
      <c r="H450" t="n">
        <v>0</v>
      </c>
      <c r="I450" t="n">
        <v>0</v>
      </c>
      <c r="J450" t="n">
        <v>0</v>
      </c>
      <c r="K450" t="n">
        <v>0</v>
      </c>
      <c r="L450" t="n">
        <v>0</v>
      </c>
      <c r="M450" t="n">
        <v>0</v>
      </c>
      <c r="N450" t="n">
        <v>0</v>
      </c>
      <c r="O450" t="n">
        <v>0</v>
      </c>
      <c r="P450" t="n">
        <v>0</v>
      </c>
      <c r="Q450" t="n">
        <v>0</v>
      </c>
      <c r="R450" s="2" t="inlineStr"/>
    </row>
    <row r="451" ht="15" customHeight="1">
      <c r="A451" t="inlineStr">
        <is>
          <t>A 5217-2023</t>
        </is>
      </c>
      <c r="B451" s="1" t="n">
        <v>44959.39582175926</v>
      </c>
      <c r="C451" s="1" t="n">
        <v>46130</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3253-2026</t>
        </is>
      </c>
      <c r="B452" s="1" t="n">
        <v>46041.58902777778</v>
      </c>
      <c r="C452" s="1" t="n">
        <v>46130</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1677-2023</t>
        </is>
      </c>
      <c r="B453" s="1" t="n">
        <v>44938</v>
      </c>
      <c r="C453" s="1" t="n">
        <v>46130</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45244-2024</t>
        </is>
      </c>
      <c r="B454" s="1" t="n">
        <v>45576</v>
      </c>
      <c r="C454" s="1" t="n">
        <v>46130</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8260-2023</t>
        </is>
      </c>
      <c r="B455" s="1" t="n">
        <v>44974.61608796296</v>
      </c>
      <c r="C455" s="1" t="n">
        <v>46130</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4646-2026</t>
        </is>
      </c>
      <c r="B456" s="1" t="n">
        <v>46048.40357638889</v>
      </c>
      <c r="C456" s="1" t="n">
        <v>46130</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64969-2023</t>
        </is>
      </c>
      <c r="B457" s="1" t="n">
        <v>45284.54009259259</v>
      </c>
      <c r="C457" s="1" t="n">
        <v>46130</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4662-2026</t>
        </is>
      </c>
      <c r="B458" s="1" t="n">
        <v>46048.40949074074</v>
      </c>
      <c r="C458" s="1" t="n">
        <v>46130</v>
      </c>
      <c r="D458" t="inlineStr">
        <is>
          <t>GOTLANDS LÄN</t>
        </is>
      </c>
      <c r="E458" t="inlineStr">
        <is>
          <t>GOTLAND</t>
        </is>
      </c>
      <c r="G458" t="n">
        <v>7.6</v>
      </c>
      <c r="H458" t="n">
        <v>0</v>
      </c>
      <c r="I458" t="n">
        <v>0</v>
      </c>
      <c r="J458" t="n">
        <v>0</v>
      </c>
      <c r="K458" t="n">
        <v>0</v>
      </c>
      <c r="L458" t="n">
        <v>0</v>
      </c>
      <c r="M458" t="n">
        <v>0</v>
      </c>
      <c r="N458" t="n">
        <v>0</v>
      </c>
      <c r="O458" t="n">
        <v>0</v>
      </c>
      <c r="P458" t="n">
        <v>0</v>
      </c>
      <c r="Q458" t="n">
        <v>0</v>
      </c>
      <c r="R458" s="2" t="inlineStr"/>
    </row>
    <row r="459" ht="15" customHeight="1">
      <c r="A459" t="inlineStr">
        <is>
          <t>A 48843-2024</t>
        </is>
      </c>
      <c r="B459" s="1" t="n">
        <v>45593</v>
      </c>
      <c r="C459" s="1" t="n">
        <v>46130</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17541-2024</t>
        </is>
      </c>
      <c r="B460" s="1" t="n">
        <v>45415</v>
      </c>
      <c r="C460" s="1" t="n">
        <v>46130</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4639-2026</t>
        </is>
      </c>
      <c r="B461" s="1" t="n">
        <v>46048.39880787037</v>
      </c>
      <c r="C461" s="1" t="n">
        <v>46130</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1839-2026</t>
        </is>
      </c>
      <c r="B462" s="1" t="n">
        <v>46035.3942824074</v>
      </c>
      <c r="C462" s="1" t="n">
        <v>46130</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4634-2026</t>
        </is>
      </c>
      <c r="B463" s="1" t="n">
        <v>46048.39304398148</v>
      </c>
      <c r="C463" s="1" t="n">
        <v>46130</v>
      </c>
      <c r="D463" t="inlineStr">
        <is>
          <t>GOTLANDS LÄN</t>
        </is>
      </c>
      <c r="E463" t="inlineStr">
        <is>
          <t>GOTLAND</t>
        </is>
      </c>
      <c r="G463" t="n">
        <v>7.8</v>
      </c>
      <c r="H463" t="n">
        <v>0</v>
      </c>
      <c r="I463" t="n">
        <v>0</v>
      </c>
      <c r="J463" t="n">
        <v>0</v>
      </c>
      <c r="K463" t="n">
        <v>0</v>
      </c>
      <c r="L463" t="n">
        <v>0</v>
      </c>
      <c r="M463" t="n">
        <v>0</v>
      </c>
      <c r="N463" t="n">
        <v>0</v>
      </c>
      <c r="O463" t="n">
        <v>0</v>
      </c>
      <c r="P463" t="n">
        <v>0</v>
      </c>
      <c r="Q463" t="n">
        <v>0</v>
      </c>
      <c r="R463" s="2" t="inlineStr"/>
    </row>
    <row r="464" ht="15" customHeight="1">
      <c r="A464" t="inlineStr">
        <is>
          <t>A 2241-2025</t>
        </is>
      </c>
      <c r="B464" s="1" t="n">
        <v>45673.48710648148</v>
      </c>
      <c r="C464" s="1" t="n">
        <v>46130</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4670-2026</t>
        </is>
      </c>
      <c r="B465" s="1" t="n">
        <v>46048.41733796296</v>
      </c>
      <c r="C465" s="1" t="n">
        <v>46130</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15434-2024</t>
        </is>
      </c>
      <c r="B466" s="1" t="n">
        <v>45401.38836805556</v>
      </c>
      <c r="C466" s="1" t="n">
        <v>46130</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1854-2026</t>
        </is>
      </c>
      <c r="B467" s="1" t="n">
        <v>46035.4171875</v>
      </c>
      <c r="C467" s="1" t="n">
        <v>46130</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46130</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54073-2022</t>
        </is>
      </c>
      <c r="B469" s="1" t="n">
        <v>44881.50380787037</v>
      </c>
      <c r="C469" s="1" t="n">
        <v>46130</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46130</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13486-2026</t>
        </is>
      </c>
      <c r="B471" s="1" t="n">
        <v>46094</v>
      </c>
      <c r="C471" s="1" t="n">
        <v>46130</v>
      </c>
      <c r="D471" t="inlineStr">
        <is>
          <t>GOTLANDS LÄN</t>
        </is>
      </c>
      <c r="E471" t="inlineStr">
        <is>
          <t>GOTLAND</t>
        </is>
      </c>
      <c r="G471" t="n">
        <v>1.6</v>
      </c>
      <c r="H471" t="n">
        <v>0</v>
      </c>
      <c r="I471" t="n">
        <v>0</v>
      </c>
      <c r="J471" t="n">
        <v>0</v>
      </c>
      <c r="K471" t="n">
        <v>0</v>
      </c>
      <c r="L471" t="n">
        <v>0</v>
      </c>
      <c r="M471" t="n">
        <v>0</v>
      </c>
      <c r="N471" t="n">
        <v>0</v>
      </c>
      <c r="O471" t="n">
        <v>0</v>
      </c>
      <c r="P471" t="n">
        <v>0</v>
      </c>
      <c r="Q471" t="n">
        <v>0</v>
      </c>
      <c r="R471" s="2" t="inlineStr"/>
    </row>
    <row r="472" ht="15" customHeight="1">
      <c r="A472" t="inlineStr">
        <is>
          <t>A 41038-2023</t>
        </is>
      </c>
      <c r="B472" s="1" t="n">
        <v>45173.60959490741</v>
      </c>
      <c r="C472" s="1" t="n">
        <v>46130</v>
      </c>
      <c r="D472" t="inlineStr">
        <is>
          <t>GOTLANDS LÄN</t>
        </is>
      </c>
      <c r="E472" t="inlineStr">
        <is>
          <t>GOTLAND</t>
        </is>
      </c>
      <c r="G472" t="n">
        <v>2.7</v>
      </c>
      <c r="H472" t="n">
        <v>0</v>
      </c>
      <c r="I472" t="n">
        <v>0</v>
      </c>
      <c r="J472" t="n">
        <v>0</v>
      </c>
      <c r="K472" t="n">
        <v>0</v>
      </c>
      <c r="L472" t="n">
        <v>0</v>
      </c>
      <c r="M472" t="n">
        <v>0</v>
      </c>
      <c r="N472" t="n">
        <v>0</v>
      </c>
      <c r="O472" t="n">
        <v>0</v>
      </c>
      <c r="P472" t="n">
        <v>0</v>
      </c>
      <c r="Q472" t="n">
        <v>0</v>
      </c>
      <c r="R472" s="2" t="inlineStr"/>
    </row>
    <row r="473" ht="15" customHeight="1">
      <c r="A473" t="inlineStr">
        <is>
          <t>A 6218-2026</t>
        </is>
      </c>
      <c r="B473" s="1" t="n">
        <v>46055.42859953704</v>
      </c>
      <c r="C473" s="1" t="n">
        <v>46130</v>
      </c>
      <c r="D473" t="inlineStr">
        <is>
          <t>GOTLANDS LÄN</t>
        </is>
      </c>
      <c r="E473" t="inlineStr">
        <is>
          <t>GOTLAND</t>
        </is>
      </c>
      <c r="G473" t="n">
        <v>4.3</v>
      </c>
      <c r="H473" t="n">
        <v>0</v>
      </c>
      <c r="I473" t="n">
        <v>0</v>
      </c>
      <c r="J473" t="n">
        <v>0</v>
      </c>
      <c r="K473" t="n">
        <v>0</v>
      </c>
      <c r="L473" t="n">
        <v>0</v>
      </c>
      <c r="M473" t="n">
        <v>0</v>
      </c>
      <c r="N473" t="n">
        <v>0</v>
      </c>
      <c r="O473" t="n">
        <v>0</v>
      </c>
      <c r="P473" t="n">
        <v>0</v>
      </c>
      <c r="Q473" t="n">
        <v>0</v>
      </c>
      <c r="R473" s="2" t="inlineStr"/>
    </row>
    <row r="474" ht="15" customHeight="1">
      <c r="A474" t="inlineStr">
        <is>
          <t>A 14427-2024</t>
        </is>
      </c>
      <c r="B474" s="1" t="n">
        <v>45394</v>
      </c>
      <c r="C474" s="1" t="n">
        <v>46130</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6207-2026</t>
        </is>
      </c>
      <c r="B475" s="1" t="n">
        <v>46055.42083333333</v>
      </c>
      <c r="C475" s="1" t="n">
        <v>46130</v>
      </c>
      <c r="D475" t="inlineStr">
        <is>
          <t>GOTLANDS LÄN</t>
        </is>
      </c>
      <c r="E475" t="inlineStr">
        <is>
          <t>GOTLAND</t>
        </is>
      </c>
      <c r="G475" t="n">
        <v>7.6</v>
      </c>
      <c r="H475" t="n">
        <v>0</v>
      </c>
      <c r="I475" t="n">
        <v>0</v>
      </c>
      <c r="J475" t="n">
        <v>0</v>
      </c>
      <c r="K475" t="n">
        <v>0</v>
      </c>
      <c r="L475" t="n">
        <v>0</v>
      </c>
      <c r="M475" t="n">
        <v>0</v>
      </c>
      <c r="N475" t="n">
        <v>0</v>
      </c>
      <c r="O475" t="n">
        <v>0</v>
      </c>
      <c r="P475" t="n">
        <v>0</v>
      </c>
      <c r="Q475" t="n">
        <v>0</v>
      </c>
      <c r="R475" s="2" t="inlineStr"/>
    </row>
    <row r="476" ht="15" customHeight="1">
      <c r="A476" t="inlineStr">
        <is>
          <t>A 31802-2024</t>
        </is>
      </c>
      <c r="B476" s="1" t="n">
        <v>45509</v>
      </c>
      <c r="C476" s="1" t="n">
        <v>46130</v>
      </c>
      <c r="D476" t="inlineStr">
        <is>
          <t>GOTLANDS LÄN</t>
        </is>
      </c>
      <c r="E476" t="inlineStr">
        <is>
          <t>GOTLAND</t>
        </is>
      </c>
      <c r="G476" t="n">
        <v>2.8</v>
      </c>
      <c r="H476" t="n">
        <v>0</v>
      </c>
      <c r="I476" t="n">
        <v>0</v>
      </c>
      <c r="J476" t="n">
        <v>0</v>
      </c>
      <c r="K476" t="n">
        <v>0</v>
      </c>
      <c r="L476" t="n">
        <v>0</v>
      </c>
      <c r="M476" t="n">
        <v>0</v>
      </c>
      <c r="N476" t="n">
        <v>0</v>
      </c>
      <c r="O476" t="n">
        <v>0</v>
      </c>
      <c r="P476" t="n">
        <v>0</v>
      </c>
      <c r="Q476" t="n">
        <v>0</v>
      </c>
      <c r="R476" s="2" t="inlineStr"/>
    </row>
    <row r="477" ht="15" customHeight="1">
      <c r="A477" t="inlineStr">
        <is>
          <t>A 6959-2026</t>
        </is>
      </c>
      <c r="B477" s="1" t="n">
        <v>46057.580625</v>
      </c>
      <c r="C477" s="1" t="n">
        <v>46130</v>
      </c>
      <c r="D477" t="inlineStr">
        <is>
          <t>GOTLANDS LÄN</t>
        </is>
      </c>
      <c r="E477" t="inlineStr">
        <is>
          <t>GOTLAND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46130</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46130</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6960-2026</t>
        </is>
      </c>
      <c r="B480" s="1" t="n">
        <v>46057.58105324074</v>
      </c>
      <c r="C480" s="1" t="n">
        <v>46130</v>
      </c>
      <c r="D480" t="inlineStr">
        <is>
          <t>GOTLANDS LÄN</t>
        </is>
      </c>
      <c r="E480" t="inlineStr">
        <is>
          <t>GOTLAND</t>
        </is>
      </c>
      <c r="F480" t="inlineStr">
        <is>
          <t>Kyrkan</t>
        </is>
      </c>
      <c r="G480" t="n">
        <v>2.4</v>
      </c>
      <c r="H480" t="n">
        <v>0</v>
      </c>
      <c r="I480" t="n">
        <v>0</v>
      </c>
      <c r="J480" t="n">
        <v>0</v>
      </c>
      <c r="K480" t="n">
        <v>0</v>
      </c>
      <c r="L480" t="n">
        <v>0</v>
      </c>
      <c r="M480" t="n">
        <v>0</v>
      </c>
      <c r="N480" t="n">
        <v>0</v>
      </c>
      <c r="O480" t="n">
        <v>0</v>
      </c>
      <c r="P480" t="n">
        <v>0</v>
      </c>
      <c r="Q480" t="n">
        <v>0</v>
      </c>
      <c r="R480" s="2" t="inlineStr"/>
    </row>
    <row r="481" ht="15" customHeight="1">
      <c r="A481" t="inlineStr">
        <is>
          <t>A 46949-2024</t>
        </is>
      </c>
      <c r="B481" s="1" t="n">
        <v>45585</v>
      </c>
      <c r="C481" s="1" t="n">
        <v>46130</v>
      </c>
      <c r="D481" t="inlineStr">
        <is>
          <t>GOTLANDS LÄN</t>
        </is>
      </c>
      <c r="E481" t="inlineStr">
        <is>
          <t>GOTLAND</t>
        </is>
      </c>
      <c r="G481" t="n">
        <v>0.6</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46130</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14840-2026</t>
        </is>
      </c>
      <c r="B483" s="1" t="n">
        <v>46104.39498842593</v>
      </c>
      <c r="C483" s="1" t="n">
        <v>46130</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7625-2026</t>
        </is>
      </c>
      <c r="B484" s="1" t="n">
        <v>46062.35135416667</v>
      </c>
      <c r="C484" s="1" t="n">
        <v>46130</v>
      </c>
      <c r="D484" t="inlineStr">
        <is>
          <t>GOTLANDS LÄN</t>
        </is>
      </c>
      <c r="E484" t="inlineStr">
        <is>
          <t>GOTLAND</t>
        </is>
      </c>
      <c r="G484" t="n">
        <v>2.1</v>
      </c>
      <c r="H484" t="n">
        <v>0</v>
      </c>
      <c r="I484" t="n">
        <v>0</v>
      </c>
      <c r="J484" t="n">
        <v>0</v>
      </c>
      <c r="K484" t="n">
        <v>0</v>
      </c>
      <c r="L484" t="n">
        <v>0</v>
      </c>
      <c r="M484" t="n">
        <v>0</v>
      </c>
      <c r="N484" t="n">
        <v>0</v>
      </c>
      <c r="O484" t="n">
        <v>0</v>
      </c>
      <c r="P484" t="n">
        <v>0</v>
      </c>
      <c r="Q484" t="n">
        <v>0</v>
      </c>
      <c r="R484" s="2" t="inlineStr"/>
    </row>
    <row r="485" ht="15" customHeight="1">
      <c r="A485" t="inlineStr">
        <is>
          <t>A 7627-2026</t>
        </is>
      </c>
      <c r="B485" s="1" t="n">
        <v>46062.35465277778</v>
      </c>
      <c r="C485" s="1" t="n">
        <v>46130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62836-2025</t>
        </is>
      </c>
      <c r="B486" s="1" t="n">
        <v>46008</v>
      </c>
      <c r="C486" s="1" t="n">
        <v>46130</v>
      </c>
      <c r="D486" t="inlineStr">
        <is>
          <t>GOTLANDS LÄN</t>
        </is>
      </c>
      <c r="E486" t="inlineStr">
        <is>
          <t>GOTLAND</t>
        </is>
      </c>
      <c r="G486" t="n">
        <v>6.5</v>
      </c>
      <c r="H486" t="n">
        <v>0</v>
      </c>
      <c r="I486" t="n">
        <v>0</v>
      </c>
      <c r="J486" t="n">
        <v>0</v>
      </c>
      <c r="K486" t="n">
        <v>0</v>
      </c>
      <c r="L486" t="n">
        <v>0</v>
      </c>
      <c r="M486" t="n">
        <v>0</v>
      </c>
      <c r="N486" t="n">
        <v>0</v>
      </c>
      <c r="O486" t="n">
        <v>0</v>
      </c>
      <c r="P486" t="n">
        <v>0</v>
      </c>
      <c r="Q486" t="n">
        <v>0</v>
      </c>
      <c r="R486" s="2" t="inlineStr"/>
    </row>
    <row r="487" ht="15" customHeight="1">
      <c r="A487" t="inlineStr">
        <is>
          <t>A 63105-2025</t>
        </is>
      </c>
      <c r="B487" s="1" t="n">
        <v>46009</v>
      </c>
      <c r="C487" s="1" t="n">
        <v>46130</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11634-2024</t>
        </is>
      </c>
      <c r="B488" s="1" t="n">
        <v>45373</v>
      </c>
      <c r="C488" s="1" t="n">
        <v>46130</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1351-2025</t>
        </is>
      </c>
      <c r="B489" s="1" t="n">
        <v>45667.62246527777</v>
      </c>
      <c r="C489" s="1" t="n">
        <v>46130</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39496-2022</t>
        </is>
      </c>
      <c r="B490" s="1" t="n">
        <v>44818</v>
      </c>
      <c r="C490" s="1" t="n">
        <v>46130</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5863-2026</t>
        </is>
      </c>
      <c r="B491" s="1" t="n">
        <v>46052.36697916667</v>
      </c>
      <c r="C491" s="1" t="n">
        <v>46130</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49874-2024</t>
        </is>
      </c>
      <c r="B492" s="1" t="n">
        <v>45597.49274305555</v>
      </c>
      <c r="C492" s="1" t="n">
        <v>46130</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2135-2026</t>
        </is>
      </c>
      <c r="B493" s="1" t="n">
        <v>46036</v>
      </c>
      <c r="C493" s="1" t="n">
        <v>46130</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46130</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2134-2026</t>
        </is>
      </c>
      <c r="B495" s="1" t="n">
        <v>46036</v>
      </c>
      <c r="C495" s="1" t="n">
        <v>46130</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46130</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46130</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46130</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46130</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63000-2025</t>
        </is>
      </c>
      <c r="B500" s="1" t="n">
        <v>46009</v>
      </c>
      <c r="C500" s="1" t="n">
        <v>46130</v>
      </c>
      <c r="D500" t="inlineStr">
        <is>
          <t>GOTLANDS LÄN</t>
        </is>
      </c>
      <c r="E500" t="inlineStr">
        <is>
          <t>GOTLAND</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22897-2023</t>
        </is>
      </c>
      <c r="B501" s="1" t="n">
        <v>45072.55239583334</v>
      </c>
      <c r="C501" s="1" t="n">
        <v>46130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61897-2024</t>
        </is>
      </c>
      <c r="B502" s="1" t="n">
        <v>45652.75685185185</v>
      </c>
      <c r="C502" s="1" t="n">
        <v>46130</v>
      </c>
      <c r="D502" t="inlineStr">
        <is>
          <t>GOTLANDS LÄN</t>
        </is>
      </c>
      <c r="E502" t="inlineStr">
        <is>
          <t>GOTLAND</t>
        </is>
      </c>
      <c r="G502" t="n">
        <v>6.4</v>
      </c>
      <c r="H502" t="n">
        <v>0</v>
      </c>
      <c r="I502" t="n">
        <v>0</v>
      </c>
      <c r="J502" t="n">
        <v>0</v>
      </c>
      <c r="K502" t="n">
        <v>0</v>
      </c>
      <c r="L502" t="n">
        <v>0</v>
      </c>
      <c r="M502" t="n">
        <v>0</v>
      </c>
      <c r="N502" t="n">
        <v>0</v>
      </c>
      <c r="O502" t="n">
        <v>0</v>
      </c>
      <c r="P502" t="n">
        <v>0</v>
      </c>
      <c r="Q502" t="n">
        <v>0</v>
      </c>
      <c r="R502" s="2" t="inlineStr"/>
    </row>
    <row r="503" ht="15" customHeight="1">
      <c r="A503" t="inlineStr">
        <is>
          <t>A 53561-2025</t>
        </is>
      </c>
      <c r="B503" s="1" t="n">
        <v>45960.4059375</v>
      </c>
      <c r="C503" s="1" t="n">
        <v>46130</v>
      </c>
      <c r="D503" t="inlineStr">
        <is>
          <t>GOTLANDS LÄN</t>
        </is>
      </c>
      <c r="E503" t="inlineStr">
        <is>
          <t>GOTLAND</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49962-2023</t>
        </is>
      </c>
      <c r="B504" s="1" t="n">
        <v>45215.38775462963</v>
      </c>
      <c r="C504" s="1" t="n">
        <v>46130</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62751-2025</t>
        </is>
      </c>
      <c r="B505" s="1" t="n">
        <v>46008</v>
      </c>
      <c r="C505" s="1" t="n">
        <v>46130</v>
      </c>
      <c r="D505" t="inlineStr">
        <is>
          <t>GOTLANDS LÄN</t>
        </is>
      </c>
      <c r="E505" t="inlineStr">
        <is>
          <t>GOTLAND</t>
        </is>
      </c>
      <c r="F505" t="inlineStr">
        <is>
          <t>Övriga Aktiebolag</t>
        </is>
      </c>
      <c r="G505" t="n">
        <v>7.8</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46130</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53587-2025</t>
        </is>
      </c>
      <c r="B507" s="1" t="n">
        <v>45960.43681712963</v>
      </c>
      <c r="C507" s="1" t="n">
        <v>46130</v>
      </c>
      <c r="D507" t="inlineStr">
        <is>
          <t>GOTLANDS LÄN</t>
        </is>
      </c>
      <c r="E507" t="inlineStr">
        <is>
          <t>GOTLAND</t>
        </is>
      </c>
      <c r="F507" t="inlineStr">
        <is>
          <t>Övriga Aktiebolag</t>
        </is>
      </c>
      <c r="G507" t="n">
        <v>1.7</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44698.49854166667</v>
      </c>
      <c r="C508" s="1" t="n">
        <v>46130</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46130</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9504-2026</t>
        </is>
      </c>
      <c r="B510" s="1" t="n">
        <v>46071.57730324074</v>
      </c>
      <c r="C510" s="1" t="n">
        <v>46130</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9518-2026</t>
        </is>
      </c>
      <c r="B511" s="1" t="n">
        <v>46071.59653935185</v>
      </c>
      <c r="C511" s="1" t="n">
        <v>46130</v>
      </c>
      <c r="D511" t="inlineStr">
        <is>
          <t>GOTLANDS LÄN</t>
        </is>
      </c>
      <c r="E511" t="inlineStr">
        <is>
          <t>GOTLAND</t>
        </is>
      </c>
      <c r="G511" t="n">
        <v>6.2</v>
      </c>
      <c r="H511" t="n">
        <v>0</v>
      </c>
      <c r="I511" t="n">
        <v>0</v>
      </c>
      <c r="J511" t="n">
        <v>0</v>
      </c>
      <c r="K511" t="n">
        <v>0</v>
      </c>
      <c r="L511" t="n">
        <v>0</v>
      </c>
      <c r="M511" t="n">
        <v>0</v>
      </c>
      <c r="N511" t="n">
        <v>0</v>
      </c>
      <c r="O511" t="n">
        <v>0</v>
      </c>
      <c r="P511" t="n">
        <v>0</v>
      </c>
      <c r="Q511" t="n">
        <v>0</v>
      </c>
      <c r="R511" s="2" t="inlineStr"/>
    </row>
    <row r="512" ht="15" customHeight="1">
      <c r="A512" t="inlineStr">
        <is>
          <t>A 9519-2026</t>
        </is>
      </c>
      <c r="B512" s="1" t="n">
        <v>46071.59820601852</v>
      </c>
      <c r="C512" s="1" t="n">
        <v>46130</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12032-2025</t>
        </is>
      </c>
      <c r="B513" s="1" t="n">
        <v>45728.64472222222</v>
      </c>
      <c r="C513" s="1" t="n">
        <v>46130</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38787-2023</t>
        </is>
      </c>
      <c r="B514" s="1" t="n">
        <v>45163</v>
      </c>
      <c r="C514" s="1" t="n">
        <v>46130</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9540-2026</t>
        </is>
      </c>
      <c r="B515" s="1" t="n">
        <v>46071.61961805556</v>
      </c>
      <c r="C515" s="1" t="n">
        <v>46130</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46130</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46130</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9543-2026</t>
        </is>
      </c>
      <c r="B518" s="1" t="n">
        <v>46071.62486111111</v>
      </c>
      <c r="C518" s="1" t="n">
        <v>46130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16993-2026</t>
        </is>
      </c>
      <c r="B519" s="1" t="n">
        <v>46114.41918981481</v>
      </c>
      <c r="C519" s="1" t="n">
        <v>46130</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17000-2026</t>
        </is>
      </c>
      <c r="B520" s="1" t="n">
        <v>46114.42690972222</v>
      </c>
      <c r="C520" s="1" t="n">
        <v>46130</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45183.47025462963</v>
      </c>
      <c r="C521" s="1" t="n">
        <v>46130</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17532-2024</t>
        </is>
      </c>
      <c r="B522" s="1" t="n">
        <v>45415</v>
      </c>
      <c r="C522" s="1" t="n">
        <v>46130</v>
      </c>
      <c r="D522" t="inlineStr">
        <is>
          <t>GOTLANDS LÄN</t>
        </is>
      </c>
      <c r="E522" t="inlineStr">
        <is>
          <t>GOTLAND</t>
        </is>
      </c>
      <c r="G522" t="n">
        <v>4.3</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46130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63152-2025</t>
        </is>
      </c>
      <c r="B524" s="1" t="n">
        <v>46010</v>
      </c>
      <c r="C524" s="1" t="n">
        <v>46130</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10486-2026</t>
        </is>
      </c>
      <c r="B525" s="1" t="n">
        <v>46077.51425925926</v>
      </c>
      <c r="C525" s="1" t="n">
        <v>46130</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9901-2026</t>
        </is>
      </c>
      <c r="B526" s="1" t="n">
        <v>46073.40391203704</v>
      </c>
      <c r="C526" s="1" t="n">
        <v>46130</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17328-2026</t>
        </is>
      </c>
      <c r="B527" s="1" t="n">
        <v>46119.61216435185</v>
      </c>
      <c r="C527" s="1" t="n">
        <v>46130</v>
      </c>
      <c r="D527" t="inlineStr">
        <is>
          <t>GOTLANDS LÄN</t>
        </is>
      </c>
      <c r="E527" t="inlineStr">
        <is>
          <t>GOTLAND</t>
        </is>
      </c>
      <c r="F527" t="inlineStr">
        <is>
          <t>Kyrkan</t>
        </is>
      </c>
      <c r="G527" t="n">
        <v>4</v>
      </c>
      <c r="H527" t="n">
        <v>0</v>
      </c>
      <c r="I527" t="n">
        <v>0</v>
      </c>
      <c r="J527" t="n">
        <v>0</v>
      </c>
      <c r="K527" t="n">
        <v>0</v>
      </c>
      <c r="L527" t="n">
        <v>0</v>
      </c>
      <c r="M527" t="n">
        <v>0</v>
      </c>
      <c r="N527" t="n">
        <v>0</v>
      </c>
      <c r="O527" t="n">
        <v>0</v>
      </c>
      <c r="P527" t="n">
        <v>0</v>
      </c>
      <c r="Q527" t="n">
        <v>0</v>
      </c>
      <c r="R527" s="2" t="inlineStr"/>
    </row>
    <row r="528" ht="15" customHeight="1">
      <c r="A528" t="inlineStr">
        <is>
          <t>A 10284-2026</t>
        </is>
      </c>
      <c r="B528" s="1" t="n">
        <v>46076</v>
      </c>
      <c r="C528" s="1" t="n">
        <v>46130</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46130</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46130</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60384-2025</t>
        </is>
      </c>
      <c r="B531" s="1" t="n">
        <v>45995</v>
      </c>
      <c r="C531" s="1" t="n">
        <v>46130</v>
      </c>
      <c r="D531" t="inlineStr">
        <is>
          <t>GOTLANDS LÄN</t>
        </is>
      </c>
      <c r="E531" t="inlineStr">
        <is>
          <t>GOTLAND</t>
        </is>
      </c>
      <c r="G531" t="n">
        <v>2.5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46130</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46130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56009-2024</t>
        </is>
      </c>
      <c r="B534" s="1" t="n">
        <v>45623.80864583333</v>
      </c>
      <c r="C534" s="1" t="n">
        <v>46130</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42338-2023</t>
        </is>
      </c>
      <c r="B535" s="1" t="n">
        <v>45180</v>
      </c>
      <c r="C535" s="1" t="n">
        <v>46130</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17935-2026</t>
        </is>
      </c>
      <c r="B536" s="1" t="n">
        <v>46122</v>
      </c>
      <c r="C536" s="1" t="n">
        <v>46130</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11424-2026</t>
        </is>
      </c>
      <c r="B537" s="1" t="n">
        <v>46083.48068287037</v>
      </c>
      <c r="C537" s="1" t="n">
        <v>46130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11414-2026</t>
        </is>
      </c>
      <c r="B538" s="1" t="n">
        <v>46083.46336805556</v>
      </c>
      <c r="C538" s="1" t="n">
        <v>46130</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17943-2026</t>
        </is>
      </c>
      <c r="B539" s="1" t="n">
        <v>46122</v>
      </c>
      <c r="C539" s="1" t="n">
        <v>46130</v>
      </c>
      <c r="D539" t="inlineStr">
        <is>
          <t>GOTLANDS LÄN</t>
        </is>
      </c>
      <c r="E539" t="inlineStr">
        <is>
          <t>GOTLAND</t>
        </is>
      </c>
      <c r="G539" t="n">
        <v>2.8</v>
      </c>
      <c r="H539" t="n">
        <v>0</v>
      </c>
      <c r="I539" t="n">
        <v>0</v>
      </c>
      <c r="J539" t="n">
        <v>0</v>
      </c>
      <c r="K539" t="n">
        <v>0</v>
      </c>
      <c r="L539" t="n">
        <v>0</v>
      </c>
      <c r="M539" t="n">
        <v>0</v>
      </c>
      <c r="N539" t="n">
        <v>0</v>
      </c>
      <c r="O539" t="n">
        <v>0</v>
      </c>
      <c r="P539" t="n">
        <v>0</v>
      </c>
      <c r="Q539" t="n">
        <v>0</v>
      </c>
      <c r="R539" s="2" t="inlineStr"/>
    </row>
    <row r="540" ht="15" customHeight="1">
      <c r="A540" t="inlineStr">
        <is>
          <t>A 54584-2025</t>
        </is>
      </c>
      <c r="B540" s="1" t="n">
        <v>45965.71788194445</v>
      </c>
      <c r="C540" s="1" t="n">
        <v>46130</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3067-2026</t>
        </is>
      </c>
      <c r="B541" s="1" t="n">
        <v>46040.59025462963</v>
      </c>
      <c r="C541" s="1" t="n">
        <v>46130</v>
      </c>
      <c r="D541" t="inlineStr">
        <is>
          <t>GOTLANDS LÄN</t>
        </is>
      </c>
      <c r="E541" t="inlineStr">
        <is>
          <t>GOTLAND</t>
        </is>
      </c>
      <c r="G541" t="n">
        <v>7.8</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46130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46130</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46130</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46130</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46130</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46130</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11982-2026</t>
        </is>
      </c>
      <c r="B548" s="1" t="n">
        <v>46085.6434375</v>
      </c>
      <c r="C548" s="1" t="n">
        <v>46130</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14797-2024</t>
        </is>
      </c>
      <c r="B549" s="1" t="n">
        <v>45397.87030092593</v>
      </c>
      <c r="C549" s="1" t="n">
        <v>46130</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999-2024</t>
        </is>
      </c>
      <c r="B550" s="1" t="n">
        <v>45301</v>
      </c>
      <c r="C550" s="1" t="n">
        <v>46130</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61596-2023</t>
        </is>
      </c>
      <c r="B551" s="1" t="n">
        <v>45265</v>
      </c>
      <c r="C551" s="1" t="n">
        <v>46130</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14638-2025</t>
        </is>
      </c>
      <c r="B552" s="1" t="n">
        <v>45742</v>
      </c>
      <c r="C552" s="1" t="n">
        <v>46130</v>
      </c>
      <c r="D552" t="inlineStr">
        <is>
          <t>GOTLANDS LÄN</t>
        </is>
      </c>
      <c r="E552" t="inlineStr">
        <is>
          <t>GOTLAND</t>
        </is>
      </c>
      <c r="G552" t="n">
        <v>13.4</v>
      </c>
      <c r="H552" t="n">
        <v>0</v>
      </c>
      <c r="I552" t="n">
        <v>0</v>
      </c>
      <c r="J552" t="n">
        <v>0</v>
      </c>
      <c r="K552" t="n">
        <v>0</v>
      </c>
      <c r="L552" t="n">
        <v>0</v>
      </c>
      <c r="M552" t="n">
        <v>0</v>
      </c>
      <c r="N552" t="n">
        <v>0</v>
      </c>
      <c r="O552" t="n">
        <v>0</v>
      </c>
      <c r="P552" t="n">
        <v>0</v>
      </c>
      <c r="Q552" t="n">
        <v>0</v>
      </c>
      <c r="R552" s="2" t="inlineStr"/>
    </row>
    <row r="553" ht="15" customHeight="1">
      <c r="A553" t="inlineStr">
        <is>
          <t>A 60675-2021</t>
        </is>
      </c>
      <c r="B553" s="1" t="n">
        <v>44496.64855324074</v>
      </c>
      <c r="C553" s="1" t="n">
        <v>46130</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18804-2026</t>
        </is>
      </c>
      <c r="B554" s="1" t="n">
        <v>46128.62366898148</v>
      </c>
      <c r="C554" s="1" t="n">
        <v>46130</v>
      </c>
      <c r="D554" t="inlineStr">
        <is>
          <t>GOTLANDS LÄN</t>
        </is>
      </c>
      <c r="E554" t="inlineStr">
        <is>
          <t>GOTLAND</t>
        </is>
      </c>
      <c r="F554" t="inlineStr">
        <is>
          <t>Kyrkan</t>
        </is>
      </c>
      <c r="G554" t="n">
        <v>2.6</v>
      </c>
      <c r="H554" t="n">
        <v>0</v>
      </c>
      <c r="I554" t="n">
        <v>0</v>
      </c>
      <c r="J554" t="n">
        <v>0</v>
      </c>
      <c r="K554" t="n">
        <v>0</v>
      </c>
      <c r="L554" t="n">
        <v>0</v>
      </c>
      <c r="M554" t="n">
        <v>0</v>
      </c>
      <c r="N554" t="n">
        <v>0</v>
      </c>
      <c r="O554" t="n">
        <v>0</v>
      </c>
      <c r="P554" t="n">
        <v>0</v>
      </c>
      <c r="Q554" t="n">
        <v>0</v>
      </c>
      <c r="R554" s="2" t="inlineStr"/>
    </row>
    <row r="555" ht="15" customHeight="1">
      <c r="A555" t="inlineStr">
        <is>
          <t>A 37728-2024</t>
        </is>
      </c>
      <c r="B555" s="1" t="n">
        <v>45541</v>
      </c>
      <c r="C555" s="1" t="n">
        <v>46130</v>
      </c>
      <c r="D555" t="inlineStr">
        <is>
          <t>GOTLANDS LÄN</t>
        </is>
      </c>
      <c r="E555" t="inlineStr">
        <is>
          <t>GOTLAND</t>
        </is>
      </c>
      <c r="G555" t="n">
        <v>0.4</v>
      </c>
      <c r="H555" t="n">
        <v>0</v>
      </c>
      <c r="I555" t="n">
        <v>0</v>
      </c>
      <c r="J555" t="n">
        <v>0</v>
      </c>
      <c r="K555" t="n">
        <v>0</v>
      </c>
      <c r="L555" t="n">
        <v>0</v>
      </c>
      <c r="M555" t="n">
        <v>0</v>
      </c>
      <c r="N555" t="n">
        <v>0</v>
      </c>
      <c r="O555" t="n">
        <v>0</v>
      </c>
      <c r="P555" t="n">
        <v>0</v>
      </c>
      <c r="Q555" t="n">
        <v>0</v>
      </c>
      <c r="R555" s="2" t="inlineStr"/>
    </row>
    <row r="556" ht="15" customHeight="1">
      <c r="A556" t="inlineStr">
        <is>
          <t>A 12135-2026</t>
        </is>
      </c>
      <c r="B556" s="1" t="n">
        <v>46086</v>
      </c>
      <c r="C556" s="1" t="n">
        <v>46130</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22287-2022</t>
        </is>
      </c>
      <c r="B557" s="1" t="n">
        <v>44712</v>
      </c>
      <c r="C557" s="1" t="n">
        <v>46130</v>
      </c>
      <c r="D557" t="inlineStr">
        <is>
          <t>GOTLANDS LÄN</t>
        </is>
      </c>
      <c r="E557" t="inlineStr">
        <is>
          <t>GOTLAND</t>
        </is>
      </c>
      <c r="G557" t="n">
        <v>6.1</v>
      </c>
      <c r="H557" t="n">
        <v>0</v>
      </c>
      <c r="I557" t="n">
        <v>0</v>
      </c>
      <c r="J557" t="n">
        <v>0</v>
      </c>
      <c r="K557" t="n">
        <v>0</v>
      </c>
      <c r="L557" t="n">
        <v>0</v>
      </c>
      <c r="M557" t="n">
        <v>0</v>
      </c>
      <c r="N557" t="n">
        <v>0</v>
      </c>
      <c r="O557" t="n">
        <v>0</v>
      </c>
      <c r="P557" t="n">
        <v>0</v>
      </c>
      <c r="Q557" t="n">
        <v>0</v>
      </c>
      <c r="R557" s="2" t="inlineStr"/>
    </row>
    <row r="558" ht="15" customHeight="1">
      <c r="A558" t="inlineStr">
        <is>
          <t>A 54074-2022</t>
        </is>
      </c>
      <c r="B558" s="1" t="n">
        <v>44881</v>
      </c>
      <c r="C558" s="1" t="n">
        <v>46130</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65249-2023</t>
        </is>
      </c>
      <c r="B559" s="1" t="n">
        <v>45290</v>
      </c>
      <c r="C559" s="1" t="n">
        <v>46130</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13910-2025</t>
        </is>
      </c>
      <c r="B560" s="1" t="n">
        <v>45737</v>
      </c>
      <c r="C560" s="1" t="n">
        <v>46130</v>
      </c>
      <c r="D560" t="inlineStr">
        <is>
          <t>GOTLANDS LÄN</t>
        </is>
      </c>
      <c r="E560" t="inlineStr">
        <is>
          <t>GOTLAND</t>
        </is>
      </c>
      <c r="F560" t="inlineStr">
        <is>
          <t>Kommuner</t>
        </is>
      </c>
      <c r="G560" t="n">
        <v>3.2</v>
      </c>
      <c r="H560" t="n">
        <v>0</v>
      </c>
      <c r="I560" t="n">
        <v>0</v>
      </c>
      <c r="J560" t="n">
        <v>0</v>
      </c>
      <c r="K560" t="n">
        <v>0</v>
      </c>
      <c r="L560" t="n">
        <v>0</v>
      </c>
      <c r="M560" t="n">
        <v>0</v>
      </c>
      <c r="N560" t="n">
        <v>0</v>
      </c>
      <c r="O560" t="n">
        <v>0</v>
      </c>
      <c r="P560" t="n">
        <v>0</v>
      </c>
      <c r="Q560" t="n">
        <v>0</v>
      </c>
      <c r="R560" s="2" t="inlineStr"/>
    </row>
    <row r="561" ht="15" customHeight="1">
      <c r="A561" t="inlineStr">
        <is>
          <t>A 17780-2022</t>
        </is>
      </c>
      <c r="B561" s="1" t="n">
        <v>44682.82622685185</v>
      </c>
      <c r="C561" s="1" t="n">
        <v>46130</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46130</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46130</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42041-2024</t>
        </is>
      </c>
      <c r="B564" s="1" t="n">
        <v>45561</v>
      </c>
      <c r="C564" s="1" t="n">
        <v>46130</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46130</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46130</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46130</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46130</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27602-2023</t>
        </is>
      </c>
      <c r="B569" s="1" t="n">
        <v>45097</v>
      </c>
      <c r="C569" s="1" t="n">
        <v>46130</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46130</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4387-2023</t>
        </is>
      </c>
      <c r="B571" s="1" t="n">
        <v>44955.73359953704</v>
      </c>
      <c r="C571" s="1" t="n">
        <v>46130</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39479-2022</t>
        </is>
      </c>
      <c r="B572" s="1" t="n">
        <v>44818</v>
      </c>
      <c r="C572" s="1" t="n">
        <v>46130</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46130</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811-2023</t>
        </is>
      </c>
      <c r="B574" s="1" t="n">
        <v>44931</v>
      </c>
      <c r="C574" s="1" t="n">
        <v>46130</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46389-2021</t>
        </is>
      </c>
      <c r="B575" s="1" t="n">
        <v>44443</v>
      </c>
      <c r="C575" s="1" t="n">
        <v>46130</v>
      </c>
      <c r="D575" t="inlineStr">
        <is>
          <t>GOTLANDS LÄN</t>
        </is>
      </c>
      <c r="E575" t="inlineStr">
        <is>
          <t>GOTLAND</t>
        </is>
      </c>
      <c r="F575" t="inlineStr">
        <is>
          <t>Kyrkan</t>
        </is>
      </c>
      <c r="G575" t="n">
        <v>2.1</v>
      </c>
      <c r="H575" t="n">
        <v>0</v>
      </c>
      <c r="I575" t="n">
        <v>0</v>
      </c>
      <c r="J575" t="n">
        <v>0</v>
      </c>
      <c r="K575" t="n">
        <v>0</v>
      </c>
      <c r="L575" t="n">
        <v>0</v>
      </c>
      <c r="M575" t="n">
        <v>0</v>
      </c>
      <c r="N575" t="n">
        <v>0</v>
      </c>
      <c r="O575" t="n">
        <v>0</v>
      </c>
      <c r="P575" t="n">
        <v>0</v>
      </c>
      <c r="Q575" t="n">
        <v>0</v>
      </c>
      <c r="R575" s="2" t="inlineStr"/>
    </row>
    <row r="576" ht="15" customHeight="1">
      <c r="A576" t="inlineStr">
        <is>
          <t>A 26810-2021</t>
        </is>
      </c>
      <c r="B576" s="1" t="n">
        <v>44349.55087962963</v>
      </c>
      <c r="C576" s="1" t="n">
        <v>46130</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5923-2023</t>
        </is>
      </c>
      <c r="B577" s="1" t="n">
        <v>44963.69503472222</v>
      </c>
      <c r="C577" s="1" t="n">
        <v>46130</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33853-2024</t>
        </is>
      </c>
      <c r="B578" s="1" t="n">
        <v>45520.64298611111</v>
      </c>
      <c r="C578" s="1" t="n">
        <v>46130</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18918-2025</t>
        </is>
      </c>
      <c r="B579" s="1" t="n">
        <v>45764</v>
      </c>
      <c r="C579" s="1" t="n">
        <v>46130</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46130</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10655-2023</t>
        </is>
      </c>
      <c r="B581" s="1" t="n">
        <v>44988.49543981482</v>
      </c>
      <c r="C581" s="1" t="n">
        <v>46130</v>
      </c>
      <c r="D581" t="inlineStr">
        <is>
          <t>GOTLANDS LÄN</t>
        </is>
      </c>
      <c r="E581" t="inlineStr">
        <is>
          <t>GOTLAND</t>
        </is>
      </c>
      <c r="F581" t="inlineStr">
        <is>
          <t>Kyrkan</t>
        </is>
      </c>
      <c r="G581" t="n">
        <v>2</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44944.55361111111</v>
      </c>
      <c r="C582" s="1" t="n">
        <v>46130</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26891-2024</t>
        </is>
      </c>
      <c r="B583" s="1" t="n">
        <v>45470.65540509259</v>
      </c>
      <c r="C583" s="1" t="n">
        <v>46130</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42007-2023</t>
        </is>
      </c>
      <c r="B584" s="1" t="n">
        <v>45177</v>
      </c>
      <c r="C584" s="1" t="n">
        <v>46130</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9887-2025</t>
        </is>
      </c>
      <c r="B585" s="1" t="n">
        <v>45716</v>
      </c>
      <c r="C585" s="1" t="n">
        <v>46130</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38165-2023</t>
        </is>
      </c>
      <c r="B586" s="1" t="n">
        <v>45161</v>
      </c>
      <c r="C586" s="1" t="n">
        <v>46130</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46130</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24825-2024</t>
        </is>
      </c>
      <c r="B588" s="1" t="n">
        <v>45461</v>
      </c>
      <c r="C588" s="1" t="n">
        <v>46130</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6696-2023</t>
        </is>
      </c>
      <c r="B589" s="1" t="n">
        <v>44966.66425925926</v>
      </c>
      <c r="C589" s="1" t="n">
        <v>46130</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21247-2022</t>
        </is>
      </c>
      <c r="B590" s="1" t="n">
        <v>44705.38832175926</v>
      </c>
      <c r="C590" s="1" t="n">
        <v>46130</v>
      </c>
      <c r="D590" t="inlineStr">
        <is>
          <t>GOTLANDS LÄN</t>
        </is>
      </c>
      <c r="E590" t="inlineStr">
        <is>
          <t>GOTLAND</t>
        </is>
      </c>
      <c r="G590" t="n">
        <v>16.2</v>
      </c>
      <c r="H590" t="n">
        <v>0</v>
      </c>
      <c r="I590" t="n">
        <v>0</v>
      </c>
      <c r="J590" t="n">
        <v>0</v>
      </c>
      <c r="K590" t="n">
        <v>0</v>
      </c>
      <c r="L590" t="n">
        <v>0</v>
      </c>
      <c r="M590" t="n">
        <v>0</v>
      </c>
      <c r="N590" t="n">
        <v>0</v>
      </c>
      <c r="O590" t="n">
        <v>0</v>
      </c>
      <c r="P590" t="n">
        <v>0</v>
      </c>
      <c r="Q590" t="n">
        <v>0</v>
      </c>
      <c r="R590" s="2" t="inlineStr"/>
    </row>
    <row r="591" ht="15" customHeight="1">
      <c r="A591" t="inlineStr">
        <is>
          <t>A 456-2023</t>
        </is>
      </c>
      <c r="B591" s="1" t="n">
        <v>44929.87122685185</v>
      </c>
      <c r="C591" s="1" t="n">
        <v>46130</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46130</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4421-2024</t>
        </is>
      </c>
      <c r="B593" s="1" t="n">
        <v>45327.45173611111</v>
      </c>
      <c r="C593" s="1" t="n">
        <v>46130</v>
      </c>
      <c r="D593" t="inlineStr">
        <is>
          <t>GOTLANDS LÄN</t>
        </is>
      </c>
      <c r="E593" t="inlineStr">
        <is>
          <t>GOTLAND</t>
        </is>
      </c>
      <c r="G593" t="n">
        <v>5.1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46130</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46130</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46130</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25866-2022</t>
        </is>
      </c>
      <c r="B597" s="1" t="n">
        <v>44733</v>
      </c>
      <c r="C597" s="1" t="n">
        <v>46130</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46130</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1175-2025</t>
        </is>
      </c>
      <c r="B599" s="1" t="n">
        <v>45667.34449074074</v>
      </c>
      <c r="C599" s="1" t="n">
        <v>46130</v>
      </c>
      <c r="D599" t="inlineStr">
        <is>
          <t>GOTLANDS LÄN</t>
        </is>
      </c>
      <c r="E599" t="inlineStr">
        <is>
          <t>GOTLAND</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27095-2022</t>
        </is>
      </c>
      <c r="B600" s="1" t="n">
        <v>44741</v>
      </c>
      <c r="C600" s="1" t="n">
        <v>46130</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46130</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23978-2023</t>
        </is>
      </c>
      <c r="B602" s="1" t="n">
        <v>45078</v>
      </c>
      <c r="C602" s="1" t="n">
        <v>46130</v>
      </c>
      <c r="D602" t="inlineStr">
        <is>
          <t>GOTLANDS LÄN</t>
        </is>
      </c>
      <c r="E602" t="inlineStr">
        <is>
          <t>GOTLAND</t>
        </is>
      </c>
      <c r="F602" t="inlineStr">
        <is>
          <t>Naturvårdsverket</t>
        </is>
      </c>
      <c r="G602" t="n">
        <v>1.7</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46130</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11013-2024</t>
        </is>
      </c>
      <c r="B604" s="1" t="n">
        <v>45370</v>
      </c>
      <c r="C604" s="1" t="n">
        <v>46130</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27694-2024</t>
        </is>
      </c>
      <c r="B605" s="1" t="n">
        <v>45475</v>
      </c>
      <c r="C605" s="1" t="n">
        <v>46130</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15083-2025</t>
        </is>
      </c>
      <c r="B606" s="1" t="n">
        <v>45743</v>
      </c>
      <c r="C606" s="1" t="n">
        <v>46130</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13037-2025</t>
        </is>
      </c>
      <c r="B607" s="1" t="n">
        <v>45734</v>
      </c>
      <c r="C607" s="1" t="n">
        <v>46130</v>
      </c>
      <c r="D607" t="inlineStr">
        <is>
          <t>GOTLANDS LÄN</t>
        </is>
      </c>
      <c r="E607" t="inlineStr">
        <is>
          <t>GOTLAND</t>
        </is>
      </c>
      <c r="G607" t="n">
        <v>9.5</v>
      </c>
      <c r="H607" t="n">
        <v>0</v>
      </c>
      <c r="I607" t="n">
        <v>0</v>
      </c>
      <c r="J607" t="n">
        <v>0</v>
      </c>
      <c r="K607" t="n">
        <v>0</v>
      </c>
      <c r="L607" t="n">
        <v>0</v>
      </c>
      <c r="M607" t="n">
        <v>0</v>
      </c>
      <c r="N607" t="n">
        <v>0</v>
      </c>
      <c r="O607" t="n">
        <v>0</v>
      </c>
      <c r="P607" t="n">
        <v>0</v>
      </c>
      <c r="Q607" t="n">
        <v>0</v>
      </c>
      <c r="R607" s="2" t="inlineStr"/>
    </row>
    <row r="608" ht="15" customHeight="1">
      <c r="A608" t="inlineStr">
        <is>
          <t>A 458-2023</t>
        </is>
      </c>
      <c r="B608" s="1" t="n">
        <v>44929</v>
      </c>
      <c r="C608" s="1" t="n">
        <v>46130</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44228-2022</t>
        </is>
      </c>
      <c r="B609" s="1" t="n">
        <v>44839.51599537037</v>
      </c>
      <c r="C609" s="1" t="n">
        <v>46130</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46130</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49884-2023</t>
        </is>
      </c>
      <c r="B611" s="1" t="n">
        <v>45213</v>
      </c>
      <c r="C611" s="1" t="n">
        <v>46130</v>
      </c>
      <c r="D611" t="inlineStr">
        <is>
          <t>GOTLANDS LÄN</t>
        </is>
      </c>
      <c r="E611" t="inlineStr">
        <is>
          <t>GOTLAND</t>
        </is>
      </c>
      <c r="G611" t="n">
        <v>8.9</v>
      </c>
      <c r="H611" t="n">
        <v>0</v>
      </c>
      <c r="I611" t="n">
        <v>0</v>
      </c>
      <c r="J611" t="n">
        <v>0</v>
      </c>
      <c r="K611" t="n">
        <v>0</v>
      </c>
      <c r="L611" t="n">
        <v>0</v>
      </c>
      <c r="M611" t="n">
        <v>0</v>
      </c>
      <c r="N611" t="n">
        <v>0</v>
      </c>
      <c r="O611" t="n">
        <v>0</v>
      </c>
      <c r="P611" t="n">
        <v>0</v>
      </c>
      <c r="Q611" t="n">
        <v>0</v>
      </c>
      <c r="R611" s="2" t="inlineStr"/>
    </row>
    <row r="612" ht="15" customHeight="1">
      <c r="A612" t="inlineStr">
        <is>
          <t>A 876-2024</t>
        </is>
      </c>
      <c r="B612" s="1" t="n">
        <v>45301</v>
      </c>
      <c r="C612" s="1" t="n">
        <v>46130</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22704-2023</t>
        </is>
      </c>
      <c r="B613" s="1" t="n">
        <v>45071</v>
      </c>
      <c r="C613" s="1" t="n">
        <v>46130</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28425-2023</t>
        </is>
      </c>
      <c r="B614" s="1" t="n">
        <v>45102</v>
      </c>
      <c r="C614" s="1" t="n">
        <v>46130</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58476-2022</t>
        </is>
      </c>
      <c r="B615" s="1" t="n">
        <v>44902</v>
      </c>
      <c r="C615" s="1" t="n">
        <v>46130</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43200-2023</t>
        </is>
      </c>
      <c r="B616" s="1" t="n">
        <v>45183</v>
      </c>
      <c r="C616" s="1" t="n">
        <v>46130</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43223-2023</t>
        </is>
      </c>
      <c r="B617" s="1" t="n">
        <v>45183.45642361111</v>
      </c>
      <c r="C617" s="1" t="n">
        <v>46130</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46130</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3431-2025</t>
        </is>
      </c>
      <c r="B619" s="1" t="n">
        <v>45680.42935185185</v>
      </c>
      <c r="C619" s="1" t="n">
        <v>46130</v>
      </c>
      <c r="D619" t="inlineStr">
        <is>
          <t>GOTLANDS LÄN</t>
        </is>
      </c>
      <c r="E619" t="inlineStr">
        <is>
          <t>GOTLAND</t>
        </is>
      </c>
      <c r="G619" t="n">
        <v>4.8</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46130</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46130</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1364-2025</t>
        </is>
      </c>
      <c r="B622" s="1" t="n">
        <v>45667.63929398148</v>
      </c>
      <c r="C622" s="1" t="n">
        <v>46130</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15042-2025</t>
        </is>
      </c>
      <c r="B623" s="1" t="n">
        <v>45743</v>
      </c>
      <c r="C623" s="1" t="n">
        <v>46130</v>
      </c>
      <c r="D623" t="inlineStr">
        <is>
          <t>GOTLANDS LÄN</t>
        </is>
      </c>
      <c r="E623" t="inlineStr">
        <is>
          <t>GOTLAND</t>
        </is>
      </c>
      <c r="G623" t="n">
        <v>8.5</v>
      </c>
      <c r="H623" t="n">
        <v>0</v>
      </c>
      <c r="I623" t="n">
        <v>0</v>
      </c>
      <c r="J623" t="n">
        <v>0</v>
      </c>
      <c r="K623" t="n">
        <v>0</v>
      </c>
      <c r="L623" t="n">
        <v>0</v>
      </c>
      <c r="M623" t="n">
        <v>0</v>
      </c>
      <c r="N623" t="n">
        <v>0</v>
      </c>
      <c r="O623" t="n">
        <v>0</v>
      </c>
      <c r="P623" t="n">
        <v>0</v>
      </c>
      <c r="Q623" t="n">
        <v>0</v>
      </c>
      <c r="R623" s="2" t="inlineStr"/>
    </row>
    <row r="624" ht="15" customHeight="1">
      <c r="A624" t="inlineStr">
        <is>
          <t>A 2180-2025</t>
        </is>
      </c>
      <c r="B624" s="1" t="n">
        <v>45673</v>
      </c>
      <c r="C624" s="1" t="n">
        <v>46130</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15436-2025</t>
        </is>
      </c>
      <c r="B625" s="1" t="n">
        <v>45747.47462962963</v>
      </c>
      <c r="C625" s="1" t="n">
        <v>46130</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49257-2024</t>
        </is>
      </c>
      <c r="B626" s="1" t="n">
        <v>45595.47627314815</v>
      </c>
      <c r="C626" s="1" t="n">
        <v>46130</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37202-2024</t>
        </is>
      </c>
      <c r="B627" s="1" t="n">
        <v>45539.67310185185</v>
      </c>
      <c r="C627" s="1" t="n">
        <v>46130</v>
      </c>
      <c r="D627" t="inlineStr">
        <is>
          <t>GOTLANDS LÄN</t>
        </is>
      </c>
      <c r="E627" t="inlineStr">
        <is>
          <t>GOTLAND</t>
        </is>
      </c>
      <c r="G627" t="n">
        <v>0.3</v>
      </c>
      <c r="H627" t="n">
        <v>0</v>
      </c>
      <c r="I627" t="n">
        <v>0</v>
      </c>
      <c r="J627" t="n">
        <v>0</v>
      </c>
      <c r="K627" t="n">
        <v>0</v>
      </c>
      <c r="L627" t="n">
        <v>0</v>
      </c>
      <c r="M627" t="n">
        <v>0</v>
      </c>
      <c r="N627" t="n">
        <v>0</v>
      </c>
      <c r="O627" t="n">
        <v>0</v>
      </c>
      <c r="P627" t="n">
        <v>0</v>
      </c>
      <c r="Q627" t="n">
        <v>0</v>
      </c>
      <c r="R627" s="2" t="inlineStr"/>
    </row>
    <row r="628" ht="15" customHeight="1">
      <c r="A628" t="inlineStr">
        <is>
          <t>A 56115-2023</t>
        </is>
      </c>
      <c r="B628" s="1" t="n">
        <v>45236</v>
      </c>
      <c r="C628" s="1" t="n">
        <v>46130</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2774-2024</t>
        </is>
      </c>
      <c r="B629" s="1" t="n">
        <v>45314.62375</v>
      </c>
      <c r="C629" s="1" t="n">
        <v>46130</v>
      </c>
      <c r="D629" t="inlineStr">
        <is>
          <t>GOTLANDS LÄN</t>
        </is>
      </c>
      <c r="E629" t="inlineStr">
        <is>
          <t>GOTLAND</t>
        </is>
      </c>
      <c r="G629" t="n">
        <v>1</v>
      </c>
      <c r="H629" t="n">
        <v>0</v>
      </c>
      <c r="I629" t="n">
        <v>0</v>
      </c>
      <c r="J629" t="n">
        <v>0</v>
      </c>
      <c r="K629" t="n">
        <v>0</v>
      </c>
      <c r="L629" t="n">
        <v>0</v>
      </c>
      <c r="M629" t="n">
        <v>0</v>
      </c>
      <c r="N629" t="n">
        <v>0</v>
      </c>
      <c r="O629" t="n">
        <v>0</v>
      </c>
      <c r="P629" t="n">
        <v>0</v>
      </c>
      <c r="Q629" t="n">
        <v>0</v>
      </c>
      <c r="R629" s="2" t="inlineStr"/>
    </row>
    <row r="630" ht="15" customHeight="1">
      <c r="A630" t="inlineStr">
        <is>
          <t>A 60709-2023</t>
        </is>
      </c>
      <c r="B630" s="1" t="n">
        <v>45260</v>
      </c>
      <c r="C630" s="1" t="n">
        <v>46130</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64208-2021</t>
        </is>
      </c>
      <c r="B631" s="1" t="n">
        <v>44510</v>
      </c>
      <c r="C631" s="1" t="n">
        <v>46130</v>
      </c>
      <c r="D631" t="inlineStr">
        <is>
          <t>GOTLANDS LÄN</t>
        </is>
      </c>
      <c r="E631" t="inlineStr">
        <is>
          <t>GOTLAND</t>
        </is>
      </c>
      <c r="G631" t="n">
        <v>4.7</v>
      </c>
      <c r="H631" t="n">
        <v>0</v>
      </c>
      <c r="I631" t="n">
        <v>0</v>
      </c>
      <c r="J631" t="n">
        <v>0</v>
      </c>
      <c r="K631" t="n">
        <v>0</v>
      </c>
      <c r="L631" t="n">
        <v>0</v>
      </c>
      <c r="M631" t="n">
        <v>0</v>
      </c>
      <c r="N631" t="n">
        <v>0</v>
      </c>
      <c r="O631" t="n">
        <v>0</v>
      </c>
      <c r="P631" t="n">
        <v>0</v>
      </c>
      <c r="Q631" t="n">
        <v>0</v>
      </c>
      <c r="R631" s="2" t="inlineStr"/>
    </row>
    <row r="632" ht="15" customHeight="1">
      <c r="A632" t="inlineStr">
        <is>
          <t>A 39764-2022</t>
        </is>
      </c>
      <c r="B632" s="1" t="n">
        <v>44819</v>
      </c>
      <c r="C632" s="1" t="n">
        <v>46130</v>
      </c>
      <c r="D632" t="inlineStr">
        <is>
          <t>GOTLANDS LÄN</t>
        </is>
      </c>
      <c r="E632" t="inlineStr">
        <is>
          <t>GOTLAND</t>
        </is>
      </c>
      <c r="F632" t="inlineStr">
        <is>
          <t>Kyrkan</t>
        </is>
      </c>
      <c r="G632" t="n">
        <v>3.7</v>
      </c>
      <c r="H632" t="n">
        <v>0</v>
      </c>
      <c r="I632" t="n">
        <v>0</v>
      </c>
      <c r="J632" t="n">
        <v>0</v>
      </c>
      <c r="K632" t="n">
        <v>0</v>
      </c>
      <c r="L632" t="n">
        <v>0</v>
      </c>
      <c r="M632" t="n">
        <v>0</v>
      </c>
      <c r="N632" t="n">
        <v>0</v>
      </c>
      <c r="O632" t="n">
        <v>0</v>
      </c>
      <c r="P632" t="n">
        <v>0</v>
      </c>
      <c r="Q632" t="n">
        <v>0</v>
      </c>
      <c r="R632" s="2" t="inlineStr"/>
    </row>
    <row r="633" ht="15" customHeight="1">
      <c r="A633" t="inlineStr">
        <is>
          <t>A 58211-2024</t>
        </is>
      </c>
      <c r="B633" s="1" t="n">
        <v>45632.49292824074</v>
      </c>
      <c r="C633" s="1" t="n">
        <v>46130</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30956-2024</t>
        </is>
      </c>
      <c r="B634" s="1" t="n">
        <v>45499.42527777778</v>
      </c>
      <c r="C634" s="1" t="n">
        <v>46130</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30892-2024</t>
        </is>
      </c>
      <c r="B635" s="1" t="n">
        <v>45491</v>
      </c>
      <c r="C635" s="1" t="n">
        <v>46130</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14635-2023</t>
        </is>
      </c>
      <c r="B636" s="1" t="n">
        <v>45013.69365740741</v>
      </c>
      <c r="C636" s="1" t="n">
        <v>46130</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59469-2024</t>
        </is>
      </c>
      <c r="B637" s="1" t="n">
        <v>45638</v>
      </c>
      <c r="C637" s="1" t="n">
        <v>46130</v>
      </c>
      <c r="D637" t="inlineStr">
        <is>
          <t>GOTLANDS LÄN</t>
        </is>
      </c>
      <c r="E637" t="inlineStr">
        <is>
          <t>GOTLAND</t>
        </is>
      </c>
      <c r="G637" t="n">
        <v>0.4</v>
      </c>
      <c r="H637" t="n">
        <v>0</v>
      </c>
      <c r="I637" t="n">
        <v>0</v>
      </c>
      <c r="J637" t="n">
        <v>0</v>
      </c>
      <c r="K637" t="n">
        <v>0</v>
      </c>
      <c r="L637" t="n">
        <v>0</v>
      </c>
      <c r="M637" t="n">
        <v>0</v>
      </c>
      <c r="N637" t="n">
        <v>0</v>
      </c>
      <c r="O637" t="n">
        <v>0</v>
      </c>
      <c r="P637" t="n">
        <v>0</v>
      </c>
      <c r="Q637" t="n">
        <v>0</v>
      </c>
      <c r="R637" s="2" t="inlineStr"/>
    </row>
    <row r="638" ht="15" customHeight="1">
      <c r="A638" t="inlineStr">
        <is>
          <t>A 7858-2025</t>
        </is>
      </c>
      <c r="B638" s="1" t="n">
        <v>45706.68633101852</v>
      </c>
      <c r="C638" s="1" t="n">
        <v>46130</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53935-2024</t>
        </is>
      </c>
      <c r="B639" s="1" t="n">
        <v>45615</v>
      </c>
      <c r="C639" s="1" t="n">
        <v>46130</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18223-2025</t>
        </is>
      </c>
      <c r="B640" s="1" t="n">
        <v>45761</v>
      </c>
      <c r="C640" s="1" t="n">
        <v>46130</v>
      </c>
      <c r="D640" t="inlineStr">
        <is>
          <t>GOTLANDS LÄN</t>
        </is>
      </c>
      <c r="E640" t="inlineStr">
        <is>
          <t>GOTLAND</t>
        </is>
      </c>
      <c r="G640" t="n">
        <v>0.7</v>
      </c>
      <c r="H640" t="n">
        <v>0</v>
      </c>
      <c r="I640" t="n">
        <v>0</v>
      </c>
      <c r="J640" t="n">
        <v>0</v>
      </c>
      <c r="K640" t="n">
        <v>0</v>
      </c>
      <c r="L640" t="n">
        <v>0</v>
      </c>
      <c r="M640" t="n">
        <v>0</v>
      </c>
      <c r="N640" t="n">
        <v>0</v>
      </c>
      <c r="O640" t="n">
        <v>0</v>
      </c>
      <c r="P640" t="n">
        <v>0</v>
      </c>
      <c r="Q640" t="n">
        <v>0</v>
      </c>
      <c r="R640" s="2" t="inlineStr"/>
    </row>
    <row r="641" ht="15" customHeight="1">
      <c r="A641" t="inlineStr">
        <is>
          <t>A 4420-2025</t>
        </is>
      </c>
      <c r="B641" s="1" t="n">
        <v>45686.47157407407</v>
      </c>
      <c r="C641" s="1" t="n">
        <v>46130</v>
      </c>
      <c r="D641" t="inlineStr">
        <is>
          <t>GOTLANDS LÄN</t>
        </is>
      </c>
      <c r="E641" t="inlineStr">
        <is>
          <t>GOTLAND</t>
        </is>
      </c>
      <c r="G641" t="n">
        <v>1.6</v>
      </c>
      <c r="H641" t="n">
        <v>0</v>
      </c>
      <c r="I641" t="n">
        <v>0</v>
      </c>
      <c r="J641" t="n">
        <v>0</v>
      </c>
      <c r="K641" t="n">
        <v>0</v>
      </c>
      <c r="L641" t="n">
        <v>0</v>
      </c>
      <c r="M641" t="n">
        <v>0</v>
      </c>
      <c r="N641" t="n">
        <v>0</v>
      </c>
      <c r="O641" t="n">
        <v>0</v>
      </c>
      <c r="P641" t="n">
        <v>0</v>
      </c>
      <c r="Q641" t="n">
        <v>0</v>
      </c>
      <c r="R641" s="2" t="inlineStr"/>
    </row>
    <row r="642" ht="15" customHeight="1">
      <c r="A642" t="inlineStr">
        <is>
          <t>A 5891-2025</t>
        </is>
      </c>
      <c r="B642" s="1" t="n">
        <v>45695.38327546296</v>
      </c>
      <c r="C642" s="1" t="n">
        <v>46130</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7835-2024</t>
        </is>
      </c>
      <c r="B643" s="1" t="n">
        <v>45349.83138888889</v>
      </c>
      <c r="C643" s="1" t="n">
        <v>46130</v>
      </c>
      <c r="D643" t="inlineStr">
        <is>
          <t>GOTLANDS LÄN</t>
        </is>
      </c>
      <c r="E643" t="inlineStr">
        <is>
          <t>GOTLAND</t>
        </is>
      </c>
      <c r="G643" t="n">
        <v>3.8</v>
      </c>
      <c r="H643" t="n">
        <v>0</v>
      </c>
      <c r="I643" t="n">
        <v>0</v>
      </c>
      <c r="J643" t="n">
        <v>0</v>
      </c>
      <c r="K643" t="n">
        <v>0</v>
      </c>
      <c r="L643" t="n">
        <v>0</v>
      </c>
      <c r="M643" t="n">
        <v>0</v>
      </c>
      <c r="N643" t="n">
        <v>0</v>
      </c>
      <c r="O643" t="n">
        <v>0</v>
      </c>
      <c r="P643" t="n">
        <v>0</v>
      </c>
      <c r="Q643" t="n">
        <v>0</v>
      </c>
      <c r="R643" s="2" t="inlineStr"/>
    </row>
    <row r="644" ht="15" customHeight="1">
      <c r="A644" t="inlineStr">
        <is>
          <t>A 20794-2025</t>
        </is>
      </c>
      <c r="B644" s="1" t="n">
        <v>45776</v>
      </c>
      <c r="C644" s="1" t="n">
        <v>46130</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c r="A645" t="inlineStr">
        <is>
          <t>A 20805-2025</t>
        </is>
      </c>
      <c r="B645" s="1" t="n">
        <v>45776</v>
      </c>
      <c r="C645" s="1" t="n">
        <v>46130</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2026-04-18T10:26:48Z</dcterms:created>
  <dcterms:modified xmlns:dcterms="http://purl.org/dc/terms/" xmlns:xsi="http://www.w3.org/2001/XMLSchema-instance" xsi:type="dcterms:W3CDTF">2026-04-18T10:26:49Z</dcterms:modified>
</cp:coreProperties>
</file>