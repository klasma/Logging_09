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45935</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33728-2025</t>
        </is>
      </c>
      <c r="B9" s="1" t="n">
        <v>45842.29344907407</v>
      </c>
      <c r="C9" s="1" t="n">
        <v>45935</v>
      </c>
      <c r="D9" t="inlineStr">
        <is>
          <t>GOTLANDS LÄN</t>
        </is>
      </c>
      <c r="E9" t="inlineStr">
        <is>
          <t>GOTLAND</t>
        </is>
      </c>
      <c r="G9" t="n">
        <v>9.5</v>
      </c>
      <c r="H9" t="n">
        <v>3</v>
      </c>
      <c r="I9" t="n">
        <v>11</v>
      </c>
      <c r="J9" t="n">
        <v>11</v>
      </c>
      <c r="K9" t="n">
        <v>7</v>
      </c>
      <c r="L9" t="n">
        <v>2</v>
      </c>
      <c r="M9" t="n">
        <v>0</v>
      </c>
      <c r="N9" t="n">
        <v>0</v>
      </c>
      <c r="O9" t="n">
        <v>20</v>
      </c>
      <c r="P9" t="n">
        <v>9</v>
      </c>
      <c r="Q9" t="n">
        <v>31</v>
      </c>
      <c r="R9" s="2" t="inlineStr">
        <is>
          <t>Ask
Sienamusseron
Gotlandsmåra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Skarp dropptaggsvamp
Skogsknipprot
Strimspindling
Svavelriska
Tjockfotad fingersvamp
Trådticka</t>
        </is>
      </c>
      <c r="S9">
        <f>HYPERLINK("https://klasma.github.io/Logging_0980/artfynd/A 33728-2025 artfynd.xlsx", "A 33728-2025")</f>
        <v/>
      </c>
      <c r="T9">
        <f>HYPERLINK("https://klasma.github.io/Logging_0980/kartor/A 33728-2025 karta.png", "A 33728-2025")</f>
        <v/>
      </c>
      <c r="V9">
        <f>HYPERLINK("https://klasma.github.io/Logging_0980/klagomål/A 33728-2025 FSC-klagomål.docx", "A 33728-2025")</f>
        <v/>
      </c>
      <c r="W9">
        <f>HYPERLINK("https://klasma.github.io/Logging_0980/klagomålsmail/A 33728-2025 FSC-klagomål mail.docx", "A 33728-2025")</f>
        <v/>
      </c>
      <c r="X9">
        <f>HYPERLINK("https://klasma.github.io/Logging_0980/tillsyn/A 33728-2025 tillsynsbegäran.docx", "A 33728-2025")</f>
        <v/>
      </c>
      <c r="Y9">
        <f>HYPERLINK("https://klasma.github.io/Logging_0980/tillsynsmail/A 33728-2025 tillsynsbegäran mail.docx", "A 33728-2025")</f>
        <v/>
      </c>
      <c r="Z9">
        <f>HYPERLINK("https://klasma.github.io/Logging_0980/fåglar/A 33728-2025 prioriterade fågelarter.docx", "A 33728-2025")</f>
        <v/>
      </c>
    </row>
    <row r="10" ht="15" customHeight="1">
      <c r="A10" t="inlineStr">
        <is>
          <t>A 43785-2024</t>
        </is>
      </c>
      <c r="B10" s="1" t="n">
        <v>45570</v>
      </c>
      <c r="C10" s="1" t="n">
        <v>45935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45935</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45935</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45935</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45935</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45894.74005787037</v>
      </c>
      <c r="C17" s="1" t="n">
        <v>45935</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45935</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45935</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45935</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45935</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45935</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45935</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45935</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45935</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45935</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61697-2023</t>
        </is>
      </c>
      <c r="B27" s="1" t="n">
        <v>45265</v>
      </c>
      <c r="C27" s="1" t="n">
        <v>45935</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45935</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15629-2024</t>
        </is>
      </c>
      <c r="B29" s="1" t="n">
        <v>45402.78372685185</v>
      </c>
      <c r="C29" s="1" t="n">
        <v>45935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45935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45935</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24309-2025</t>
        </is>
      </c>
      <c r="B32" s="1" t="n">
        <v>45797</v>
      </c>
      <c r="C32" s="1" t="n">
        <v>45935</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25779-2022</t>
        </is>
      </c>
      <c r="B33" s="1" t="n">
        <v>44733</v>
      </c>
      <c r="C33" s="1" t="n">
        <v>45935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45935</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45935</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30542-2025</t>
        </is>
      </c>
      <c r="B43" s="1" t="n">
        <v>45831</v>
      </c>
      <c r="C43" s="1" t="n">
        <v>45935</v>
      </c>
      <c r="D43" t="inlineStr">
        <is>
          <t>GOTLANDS LÄN</t>
        </is>
      </c>
      <c r="E43" t="inlineStr">
        <is>
          <t>GOTLAND</t>
        </is>
      </c>
      <c r="G43" t="n">
        <v>8.300000000000001</v>
      </c>
      <c r="H43" t="n">
        <v>5</v>
      </c>
      <c r="I43" t="n">
        <v>3</v>
      </c>
      <c r="J43" t="n">
        <v>6</v>
      </c>
      <c r="K43" t="n">
        <v>0</v>
      </c>
      <c r="L43" t="n">
        <v>1</v>
      </c>
      <c r="M43" t="n">
        <v>0</v>
      </c>
      <c r="N43" t="n">
        <v>0</v>
      </c>
      <c r="O43" t="n">
        <v>7</v>
      </c>
      <c r="P43" t="n">
        <v>1</v>
      </c>
      <c r="Q43" t="n">
        <v>12</v>
      </c>
      <c r="R43" s="2" t="inlineStr">
        <is>
          <t>Ask
Backtimjan
Dårgräsfjäril
Jordtistel
Solvända
Svinrot
Ängsstarr
Blåmossa
Skogsknipprot
Tvåblad
Brudsporre
Fläcknycklar</t>
        </is>
      </c>
      <c r="S43">
        <f>HYPERLINK("https://klasma.github.io/Logging_0980/artfynd/A 30542-2025 artfynd.xlsx", "A 30542-2025")</f>
        <v/>
      </c>
      <c r="T43">
        <f>HYPERLINK("https://klasma.github.io/Logging_0980/kartor/A 30542-2025 karta.png", "A 30542-2025")</f>
        <v/>
      </c>
      <c r="V43">
        <f>HYPERLINK("https://klasma.github.io/Logging_0980/klagomål/A 30542-2025 FSC-klagomål.docx", "A 30542-2025")</f>
        <v/>
      </c>
      <c r="W43">
        <f>HYPERLINK("https://klasma.github.io/Logging_0980/klagomålsmail/A 30542-2025 FSC-klagomål mail.docx", "A 30542-2025")</f>
        <v/>
      </c>
      <c r="X43">
        <f>HYPERLINK("https://klasma.github.io/Logging_0980/tillsyn/A 30542-2025 tillsynsbegäran.docx", "A 30542-2025")</f>
        <v/>
      </c>
      <c r="Y43">
        <f>HYPERLINK("https://klasma.github.io/Logging_0980/tillsynsmail/A 30542-2025 tillsynsbegäran mail.docx", "A 30542-2025")</f>
        <v/>
      </c>
    </row>
    <row r="44" ht="15" customHeight="1">
      <c r="A44" t="inlineStr">
        <is>
          <t>A 6052-2024</t>
        </is>
      </c>
      <c r="B44" s="1" t="n">
        <v>45336</v>
      </c>
      <c r="C44" s="1" t="n">
        <v>45935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45935</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45935</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45935</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45935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45935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45935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45935</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45935</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45935</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6960-2025</t>
        </is>
      </c>
      <c r="B59" s="1" t="n">
        <v>45701.49409722222</v>
      </c>
      <c r="C59" s="1" t="n">
        <v>45935</v>
      </c>
      <c r="D59" t="inlineStr">
        <is>
          <t>GOTLANDS LÄN</t>
        </is>
      </c>
      <c r="E59" t="inlineStr">
        <is>
          <t>GOTLAND</t>
        </is>
      </c>
      <c r="G59" t="n">
        <v>4</v>
      </c>
      <c r="H59" t="n">
        <v>4</v>
      </c>
      <c r="I59" t="n">
        <v>1</v>
      </c>
      <c r="J59" t="n">
        <v>4</v>
      </c>
      <c r="K59" t="n">
        <v>0</v>
      </c>
      <c r="L59" t="n">
        <v>0</v>
      </c>
      <c r="M59" t="n">
        <v>0</v>
      </c>
      <c r="N59" t="n">
        <v>0</v>
      </c>
      <c r="O59" t="n">
        <v>4</v>
      </c>
      <c r="P59" t="n">
        <v>0</v>
      </c>
      <c r="Q59" t="n">
        <v>7</v>
      </c>
      <c r="R59" s="2" t="inlineStr">
        <is>
          <t>Majviva
Spillkråka
Svinrot
Ängsstarr
Skogsknipprot
Dactylorhiza incarnata subsp. incarnata
Nattviol</t>
        </is>
      </c>
      <c r="S59">
        <f>HYPERLINK("https://klasma.github.io/Logging_0980/artfynd/A 6960-2025 artfynd.xlsx", "A 6960-2025")</f>
        <v/>
      </c>
      <c r="T59">
        <f>HYPERLINK("https://klasma.github.io/Logging_0980/kartor/A 6960-2025 karta.png", "A 6960-2025")</f>
        <v/>
      </c>
      <c r="U59">
        <f>HYPERLINK("https://klasma.github.io/Logging_0980/knärot/A 6960-2025 karta knärot.png", "A 6960-2025")</f>
        <v/>
      </c>
      <c r="V59">
        <f>HYPERLINK("https://klasma.github.io/Logging_0980/klagomål/A 6960-2025 FSC-klagomål.docx", "A 6960-2025")</f>
        <v/>
      </c>
      <c r="W59">
        <f>HYPERLINK("https://klasma.github.io/Logging_0980/klagomålsmail/A 6960-2025 FSC-klagomål mail.docx", "A 6960-2025")</f>
        <v/>
      </c>
      <c r="X59">
        <f>HYPERLINK("https://klasma.github.io/Logging_0980/tillsyn/A 6960-2025 tillsynsbegäran.docx", "A 6960-2025")</f>
        <v/>
      </c>
      <c r="Y59">
        <f>HYPERLINK("https://klasma.github.io/Logging_0980/tillsynsmail/A 6960-2025 tillsynsbegäran mail.docx", "A 6960-2025")</f>
        <v/>
      </c>
      <c r="Z59">
        <f>HYPERLINK("https://klasma.github.io/Logging_0980/fåglar/A 6960-2025 prioriterade fågelarter.docx", "A 6960-2025")</f>
        <v/>
      </c>
    </row>
    <row r="60" ht="15" customHeight="1">
      <c r="A60" t="inlineStr">
        <is>
          <t>A 45248-2024</t>
        </is>
      </c>
      <c r="B60" s="1" t="n">
        <v>45576</v>
      </c>
      <c r="C60" s="1" t="n">
        <v>45935</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18541-2024</t>
        </is>
      </c>
      <c r="B61" s="1" t="n">
        <v>45425</v>
      </c>
      <c r="C61" s="1" t="n">
        <v>45935</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45935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45935</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45935</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25205-2021</t>
        </is>
      </c>
      <c r="B65" s="1" t="n">
        <v>44342</v>
      </c>
      <c r="C65" s="1" t="n">
        <v>45935</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45935</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65819-2020</t>
        </is>
      </c>
      <c r="B67" s="1" t="n">
        <v>44174</v>
      </c>
      <c r="C67" s="1" t="n">
        <v>45935</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7038-2023</t>
        </is>
      </c>
      <c r="B68" s="1" t="n">
        <v>44968</v>
      </c>
      <c r="C68" s="1" t="n">
        <v>45935</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45935</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45935</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45935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45935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66091-2021</t>
        </is>
      </c>
      <c r="B73" s="1" t="n">
        <v>44517</v>
      </c>
      <c r="C73" s="1" t="n">
        <v>45935</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32326-2024</t>
        </is>
      </c>
      <c r="B74" s="1" t="n">
        <v>45512</v>
      </c>
      <c r="C74" s="1" t="n">
        <v>45935</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45935</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45935</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16375-2025</t>
        </is>
      </c>
      <c r="B77" s="1" t="n">
        <v>45751.41064814815</v>
      </c>
      <c r="C77" s="1" t="n">
        <v>45935</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2213-2023</t>
        </is>
      </c>
      <c r="B78" s="1" t="n">
        <v>44942</v>
      </c>
      <c r="C78" s="1" t="n">
        <v>45935</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42936-2024</t>
        </is>
      </c>
      <c r="B79" s="1" t="n">
        <v>45567</v>
      </c>
      <c r="C79" s="1" t="n">
        <v>45935</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35293-2025</t>
        </is>
      </c>
      <c r="B80" s="1" t="n">
        <v>45854.39438657407</v>
      </c>
      <c r="C80" s="1" t="n">
        <v>45935</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54055-2022</t>
        </is>
      </c>
      <c r="B81" s="1" t="n">
        <v>44881</v>
      </c>
      <c r="C81" s="1" t="n">
        <v>45935</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29331-2021</t>
        </is>
      </c>
      <c r="B82" s="1" t="n">
        <v>44361</v>
      </c>
      <c r="C82" s="1" t="n">
        <v>45935</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20833-2024</t>
        </is>
      </c>
      <c r="B83" s="1" t="n">
        <v>45439</v>
      </c>
      <c r="C83" s="1" t="n">
        <v>45935</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8265-2023</t>
        </is>
      </c>
      <c r="B84" s="1" t="n">
        <v>44974</v>
      </c>
      <c r="C84" s="1" t="n">
        <v>45935</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54523-2023</t>
        </is>
      </c>
      <c r="B85" s="1" t="n">
        <v>45233</v>
      </c>
      <c r="C85" s="1" t="n">
        <v>45935</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2485-2025</t>
        </is>
      </c>
      <c r="B86" s="1" t="n">
        <v>45673</v>
      </c>
      <c r="C86" s="1" t="n">
        <v>45935</v>
      </c>
      <c r="D86" t="inlineStr">
        <is>
          <t>GOTLANDS LÄN</t>
        </is>
      </c>
      <c r="E86" t="inlineStr">
        <is>
          <t>GOTLAND</t>
        </is>
      </c>
      <c r="G86" t="n">
        <v>5</v>
      </c>
      <c r="H86" t="n">
        <v>2</v>
      </c>
      <c r="I86" t="n">
        <v>2</v>
      </c>
      <c r="J86" t="n">
        <v>0</v>
      </c>
      <c r="K86" t="n">
        <v>2</v>
      </c>
      <c r="L86" t="n">
        <v>0</v>
      </c>
      <c r="M86" t="n">
        <v>0</v>
      </c>
      <c r="N86" t="n">
        <v>0</v>
      </c>
      <c r="O86" t="n">
        <v>2</v>
      </c>
      <c r="P86" t="n">
        <v>2</v>
      </c>
      <c r="Q86" t="n">
        <v>4</v>
      </c>
      <c r="R86" s="2" t="inlineStr">
        <is>
          <t>Gotlandsmåra
Skogskorn
Nästrot
Skogsknipprot</t>
        </is>
      </c>
      <c r="S86">
        <f>HYPERLINK("https://klasma.github.io/Logging_0980/artfynd/A 2485-2025 artfynd.xlsx", "A 2485-2025")</f>
        <v/>
      </c>
      <c r="T86">
        <f>HYPERLINK("https://klasma.github.io/Logging_0980/kartor/A 2485-2025 karta.png", "A 2485-2025")</f>
        <v/>
      </c>
      <c r="V86">
        <f>HYPERLINK("https://klasma.github.io/Logging_0980/klagomål/A 2485-2025 FSC-klagomål.docx", "A 2485-2025")</f>
        <v/>
      </c>
      <c r="W86">
        <f>HYPERLINK("https://klasma.github.io/Logging_0980/klagomålsmail/A 2485-2025 FSC-klagomål mail.docx", "A 2485-2025")</f>
        <v/>
      </c>
      <c r="X86">
        <f>HYPERLINK("https://klasma.github.io/Logging_0980/tillsyn/A 2485-2025 tillsynsbegäran.docx", "A 2485-2025")</f>
        <v/>
      </c>
      <c r="Y86">
        <f>HYPERLINK("https://klasma.github.io/Logging_0980/tillsynsmail/A 2485-2025 tillsynsbegäran mail.docx", "A 2485-2025")</f>
        <v/>
      </c>
    </row>
    <row r="87" ht="15" customHeight="1">
      <c r="A87" t="inlineStr">
        <is>
          <t>A 44933-2022</t>
        </is>
      </c>
      <c r="B87" s="1" t="n">
        <v>44841</v>
      </c>
      <c r="C87" s="1" t="n">
        <v>45935</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6159-2023</t>
        </is>
      </c>
      <c r="B88" s="1" t="n">
        <v>44964</v>
      </c>
      <c r="C88" s="1" t="n">
        <v>45935</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45935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43197-2023</t>
        </is>
      </c>
      <c r="B90" s="1" t="n">
        <v>45183</v>
      </c>
      <c r="C90" s="1" t="n">
        <v>45935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45935</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64378-2020</t>
        </is>
      </c>
      <c r="B92" s="1" t="n">
        <v>44168</v>
      </c>
      <c r="C92" s="1" t="n">
        <v>45935</v>
      </c>
      <c r="D92" t="inlineStr">
        <is>
          <t>GOTLANDS LÄN</t>
        </is>
      </c>
      <c r="E92" t="inlineStr">
        <is>
          <t>GOTLAND</t>
        </is>
      </c>
      <c r="G92" t="n">
        <v>2.1</v>
      </c>
      <c r="H92" t="n">
        <v>0</v>
      </c>
      <c r="I92" t="n">
        <v>1</v>
      </c>
      <c r="J92" t="n">
        <v>0</v>
      </c>
      <c r="K92" t="n">
        <v>2</v>
      </c>
      <c r="L92" t="n">
        <v>1</v>
      </c>
      <c r="M92" t="n">
        <v>0</v>
      </c>
      <c r="N92" t="n">
        <v>0</v>
      </c>
      <c r="O92" t="n">
        <v>3</v>
      </c>
      <c r="P92" t="n">
        <v>3</v>
      </c>
      <c r="Q92" t="n">
        <v>4</v>
      </c>
      <c r="R92" s="2" t="inlineStr">
        <is>
          <t>Sienamusseron
Bitter taggsvamp
Duvspindling
Fjällig taggsvamp s.str.</t>
        </is>
      </c>
      <c r="S92">
        <f>HYPERLINK("https://klasma.github.io/Logging_0980/artfynd/A 64378-2020 artfynd.xlsx", "A 64378-2020")</f>
        <v/>
      </c>
      <c r="T92">
        <f>HYPERLINK("https://klasma.github.io/Logging_0980/kartor/A 64378-2020 karta.png", "A 64378-2020")</f>
        <v/>
      </c>
      <c r="V92">
        <f>HYPERLINK("https://klasma.github.io/Logging_0980/klagomål/A 64378-2020 FSC-klagomål.docx", "A 64378-2020")</f>
        <v/>
      </c>
      <c r="W92">
        <f>HYPERLINK("https://klasma.github.io/Logging_0980/klagomålsmail/A 64378-2020 FSC-klagomål mail.docx", "A 64378-2020")</f>
        <v/>
      </c>
      <c r="X92">
        <f>HYPERLINK("https://klasma.github.io/Logging_0980/tillsyn/A 64378-2020 tillsynsbegäran.docx", "A 64378-2020")</f>
        <v/>
      </c>
      <c r="Y92">
        <f>HYPERLINK("https://klasma.github.io/Logging_0980/tillsynsmail/A 64378-2020 tillsynsbegäran mail.docx", "A 64378-2020")</f>
        <v/>
      </c>
    </row>
    <row r="93" ht="15" customHeight="1">
      <c r="A93" t="inlineStr">
        <is>
          <t>A 1971-2023</t>
        </is>
      </c>
      <c r="B93" s="1" t="n">
        <v>44939</v>
      </c>
      <c r="C93" s="1" t="n">
        <v>45935</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186-2023</t>
        </is>
      </c>
      <c r="B94" s="1" t="n">
        <v>44928</v>
      </c>
      <c r="C94" s="1" t="n">
        <v>45935</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40099-2025</t>
        </is>
      </c>
      <c r="B95" s="1" t="n">
        <v>45894.48462962963</v>
      </c>
      <c r="C95" s="1" t="n">
        <v>45935</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55029-2020</t>
        </is>
      </c>
      <c r="B96" s="1" t="n">
        <v>44130</v>
      </c>
      <c r="C96" s="1" t="n">
        <v>45935</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45935</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45935</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45935</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45935</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2332-2021</t>
        </is>
      </c>
      <c r="B101" s="1" t="n">
        <v>44214</v>
      </c>
      <c r="C101" s="1" t="n">
        <v>45935</v>
      </c>
      <c r="D101" t="inlineStr">
        <is>
          <t>GOTLANDS LÄN</t>
        </is>
      </c>
      <c r="E101" t="inlineStr">
        <is>
          <t>GOTLAND</t>
        </is>
      </c>
      <c r="G101" t="n">
        <v>2.3</v>
      </c>
      <c r="H101" t="n">
        <v>2</v>
      </c>
      <c r="I101" t="n">
        <v>0</v>
      </c>
      <c r="J101" t="n">
        <v>1</v>
      </c>
      <c r="K101" t="n">
        <v>0</v>
      </c>
      <c r="L101" t="n">
        <v>0</v>
      </c>
      <c r="M101" t="n">
        <v>0</v>
      </c>
      <c r="N101" t="n">
        <v>0</v>
      </c>
      <c r="O101" t="n">
        <v>1</v>
      </c>
      <c r="P101" t="n">
        <v>0</v>
      </c>
      <c r="Q101" t="n">
        <v>3</v>
      </c>
      <c r="R101" s="2" t="inlineStr">
        <is>
          <t>Korpnopping
Sankt pers nycklar
Blåsippa</t>
        </is>
      </c>
      <c r="S101">
        <f>HYPERLINK("https://klasma.github.io/Logging_0980/artfynd/A 2332-2021 artfynd.xlsx", "A 2332-2021")</f>
        <v/>
      </c>
      <c r="T101">
        <f>HYPERLINK("https://klasma.github.io/Logging_0980/kartor/A 2332-2021 karta.png", "A 2332-2021")</f>
        <v/>
      </c>
      <c r="V101">
        <f>HYPERLINK("https://klasma.github.io/Logging_0980/klagomål/A 2332-2021 FSC-klagomål.docx", "A 2332-2021")</f>
        <v/>
      </c>
      <c r="W101">
        <f>HYPERLINK("https://klasma.github.io/Logging_0980/klagomålsmail/A 2332-2021 FSC-klagomål mail.docx", "A 2332-2021")</f>
        <v/>
      </c>
      <c r="X101">
        <f>HYPERLINK("https://klasma.github.io/Logging_0980/tillsyn/A 2332-2021 tillsynsbegäran.docx", "A 2332-2021")</f>
        <v/>
      </c>
      <c r="Y101">
        <f>HYPERLINK("https://klasma.github.io/Logging_0980/tillsynsmail/A 2332-2021 tillsynsbegäran mail.docx", "A 2332-2021")</f>
        <v/>
      </c>
    </row>
    <row r="102" ht="15" customHeight="1">
      <c r="A102" t="inlineStr">
        <is>
          <t>A 43013-2022</t>
        </is>
      </c>
      <c r="B102" s="1" t="n">
        <v>44833</v>
      </c>
      <c r="C102" s="1" t="n">
        <v>45935</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73144-2021</t>
        </is>
      </c>
      <c r="B103" s="1" t="n">
        <v>44550</v>
      </c>
      <c r="C103" s="1" t="n">
        <v>45935</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32718-2021</t>
        </is>
      </c>
      <c r="B104" s="1" t="n">
        <v>44375</v>
      </c>
      <c r="C104" s="1" t="n">
        <v>45935</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20831-2024</t>
        </is>
      </c>
      <c r="B105" s="1" t="n">
        <v>45439</v>
      </c>
      <c r="C105" s="1" t="n">
        <v>45935</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13499-2022</t>
        </is>
      </c>
      <c r="B106" s="1" t="n">
        <v>44647.79203703703</v>
      </c>
      <c r="C106" s="1" t="n">
        <v>45935</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5235-2025</t>
        </is>
      </c>
      <c r="B107" s="1" t="n">
        <v>45692.26797453704</v>
      </c>
      <c r="C107" s="1" t="n">
        <v>45935</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17975-2024</t>
        </is>
      </c>
      <c r="B108" s="1" t="n">
        <v>45419.85546296297</v>
      </c>
      <c r="C108" s="1" t="n">
        <v>45935</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62326-2020</t>
        </is>
      </c>
      <c r="B109" s="1" t="n">
        <v>44160</v>
      </c>
      <c r="C109" s="1" t="n">
        <v>45935</v>
      </c>
      <c r="D109" t="inlineStr">
        <is>
          <t>GOTLANDS LÄN</t>
        </is>
      </c>
      <c r="E109" t="inlineStr">
        <is>
          <t>GOTLAND</t>
        </is>
      </c>
      <c r="G109" t="n">
        <v>7.4</v>
      </c>
      <c r="H109" t="n">
        <v>1</v>
      </c>
      <c r="I109" t="n">
        <v>3</v>
      </c>
      <c r="J109" t="n">
        <v>0</v>
      </c>
      <c r="K109" t="n">
        <v>0</v>
      </c>
      <c r="L109" t="n">
        <v>0</v>
      </c>
      <c r="M109" t="n">
        <v>0</v>
      </c>
      <c r="N109" t="n">
        <v>0</v>
      </c>
      <c r="O109" t="n">
        <v>0</v>
      </c>
      <c r="P109" t="n">
        <v>0</v>
      </c>
      <c r="Q109" t="n">
        <v>3</v>
      </c>
      <c r="R109" s="2" t="inlineStr">
        <is>
          <t>Anisspindling
Blåmossa
Skogsknipprot</t>
        </is>
      </c>
      <c r="S109">
        <f>HYPERLINK("https://klasma.github.io/Logging_0980/artfynd/A 62326-2020 artfynd.xlsx", "A 62326-2020")</f>
        <v/>
      </c>
      <c r="T109">
        <f>HYPERLINK("https://klasma.github.io/Logging_0980/kartor/A 62326-2020 karta.png", "A 62326-2020")</f>
        <v/>
      </c>
      <c r="V109">
        <f>HYPERLINK("https://klasma.github.io/Logging_0980/klagomål/A 62326-2020 FSC-klagomål.docx", "A 62326-2020")</f>
        <v/>
      </c>
      <c r="W109">
        <f>HYPERLINK("https://klasma.github.io/Logging_0980/klagomålsmail/A 62326-2020 FSC-klagomål mail.docx", "A 62326-2020")</f>
        <v/>
      </c>
      <c r="X109">
        <f>HYPERLINK("https://klasma.github.io/Logging_0980/tillsyn/A 62326-2020 tillsynsbegäran.docx", "A 62326-2020")</f>
        <v/>
      </c>
      <c r="Y109">
        <f>HYPERLINK("https://klasma.github.io/Logging_0980/tillsynsmail/A 62326-2020 tillsynsbegäran mail.docx", "A 62326-2020")</f>
        <v/>
      </c>
    </row>
    <row r="110" ht="15" customHeight="1">
      <c r="A110" t="inlineStr">
        <is>
          <t>A 48126-2022</t>
        </is>
      </c>
      <c r="B110" s="1" t="n">
        <v>44857</v>
      </c>
      <c r="C110" s="1" t="n">
        <v>45935</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17982-2023</t>
        </is>
      </c>
      <c r="B111" s="1" t="n">
        <v>45040</v>
      </c>
      <c r="C111" s="1" t="n">
        <v>45935</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45935</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45935</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45935</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45935</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29870-2021</t>
        </is>
      </c>
      <c r="B116" s="1" t="n">
        <v>44362</v>
      </c>
      <c r="C116" s="1" t="n">
        <v>45935</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45935</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45935</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45935</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45935</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20218-2022</t>
        </is>
      </c>
      <c r="B121" s="1" t="n">
        <v>44698</v>
      </c>
      <c r="C121" s="1" t="n">
        <v>45935</v>
      </c>
      <c r="D121" t="inlineStr">
        <is>
          <t>GOTLANDS LÄN</t>
        </is>
      </c>
      <c r="E121" t="inlineStr">
        <is>
          <t>GOTLAND</t>
        </is>
      </c>
      <c r="G121" t="n">
        <v>4.3</v>
      </c>
      <c r="H121" t="n">
        <v>0</v>
      </c>
      <c r="I121" t="n">
        <v>1</v>
      </c>
      <c r="J121" t="n">
        <v>1</v>
      </c>
      <c r="K121" t="n">
        <v>0</v>
      </c>
      <c r="L121" t="n">
        <v>0</v>
      </c>
      <c r="M121" t="n">
        <v>0</v>
      </c>
      <c r="N121" t="n">
        <v>0</v>
      </c>
      <c r="O121" t="n">
        <v>1</v>
      </c>
      <c r="P121" t="n">
        <v>0</v>
      </c>
      <c r="Q121" t="n">
        <v>2</v>
      </c>
      <c r="R121" s="2" t="inlineStr">
        <is>
          <t>Flattoppad klubbsvamp
Rödgul trumpetsvamp</t>
        </is>
      </c>
      <c r="S121">
        <f>HYPERLINK("https://klasma.github.io/Logging_0980/artfynd/A 20218-2022 artfynd.xlsx", "A 20218-2022")</f>
        <v/>
      </c>
      <c r="T121">
        <f>HYPERLINK("https://klasma.github.io/Logging_0980/kartor/A 20218-2022 karta.png", "A 20218-2022")</f>
        <v/>
      </c>
      <c r="V121">
        <f>HYPERLINK("https://klasma.github.io/Logging_0980/klagomål/A 20218-2022 FSC-klagomål.docx", "A 20218-2022")</f>
        <v/>
      </c>
      <c r="W121">
        <f>HYPERLINK("https://klasma.github.io/Logging_0980/klagomålsmail/A 20218-2022 FSC-klagomål mail.docx", "A 20218-2022")</f>
        <v/>
      </c>
      <c r="X121">
        <f>HYPERLINK("https://klasma.github.io/Logging_0980/tillsyn/A 20218-2022 tillsynsbegäran.docx", "A 20218-2022")</f>
        <v/>
      </c>
      <c r="Y121">
        <f>HYPERLINK("https://klasma.github.io/Logging_0980/tillsynsmail/A 20218-2022 tillsynsbegäran mail.docx", "A 20218-2022")</f>
        <v/>
      </c>
    </row>
    <row r="122" ht="15" customHeight="1">
      <c r="A122" t="inlineStr">
        <is>
          <t>A 28261-2024</t>
        </is>
      </c>
      <c r="B122" s="1" t="n">
        <v>45477</v>
      </c>
      <c r="C122" s="1" t="n">
        <v>45935</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60665-2021</t>
        </is>
      </c>
      <c r="B123" s="1" t="n">
        <v>44496</v>
      </c>
      <c r="C123" s="1" t="n">
        <v>45935</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64263-2020</t>
        </is>
      </c>
      <c r="B124" s="1" t="n">
        <v>44168</v>
      </c>
      <c r="C124" s="1" t="n">
        <v>45935</v>
      </c>
      <c r="D124" t="inlineStr">
        <is>
          <t>GOTLANDS LÄN</t>
        </is>
      </c>
      <c r="E124" t="inlineStr">
        <is>
          <t>GOTLAND</t>
        </is>
      </c>
      <c r="G124" t="n">
        <v>10.9</v>
      </c>
      <c r="H124" t="n">
        <v>1</v>
      </c>
      <c r="I124" t="n">
        <v>0</v>
      </c>
      <c r="J124" t="n">
        <v>2</v>
      </c>
      <c r="K124" t="n">
        <v>0</v>
      </c>
      <c r="L124" t="n">
        <v>0</v>
      </c>
      <c r="M124" t="n">
        <v>0</v>
      </c>
      <c r="N124" t="n">
        <v>0</v>
      </c>
      <c r="O124" t="n">
        <v>2</v>
      </c>
      <c r="P124" t="n">
        <v>0</v>
      </c>
      <c r="Q124" t="n">
        <v>2</v>
      </c>
      <c r="R124" s="2" t="inlineStr">
        <is>
          <t>Mindre hackspett
Ullticka</t>
        </is>
      </c>
      <c r="S124">
        <f>HYPERLINK("https://klasma.github.io/Logging_0980/artfynd/A 64263-2020 artfynd.xlsx", "A 64263-2020")</f>
        <v/>
      </c>
      <c r="T124">
        <f>HYPERLINK("https://klasma.github.io/Logging_0980/kartor/A 64263-2020 karta.png", "A 64263-2020")</f>
        <v/>
      </c>
      <c r="V124">
        <f>HYPERLINK("https://klasma.github.io/Logging_0980/klagomål/A 64263-2020 FSC-klagomål.docx", "A 64263-2020")</f>
        <v/>
      </c>
      <c r="W124">
        <f>HYPERLINK("https://klasma.github.io/Logging_0980/klagomålsmail/A 64263-2020 FSC-klagomål mail.docx", "A 64263-2020")</f>
        <v/>
      </c>
      <c r="X124">
        <f>HYPERLINK("https://klasma.github.io/Logging_0980/tillsyn/A 64263-2020 tillsynsbegäran.docx", "A 64263-2020")</f>
        <v/>
      </c>
      <c r="Y124">
        <f>HYPERLINK("https://klasma.github.io/Logging_0980/tillsynsmail/A 64263-2020 tillsynsbegäran mail.docx", "A 64263-2020")</f>
        <v/>
      </c>
      <c r="Z124">
        <f>HYPERLINK("https://klasma.github.io/Logging_0980/fåglar/A 64263-2020 prioriterade fågelarter.docx", "A 64263-2020")</f>
        <v/>
      </c>
    </row>
    <row r="125" ht="15" customHeight="1">
      <c r="A125" t="inlineStr">
        <is>
          <t>A 55649-2024</t>
        </is>
      </c>
      <c r="B125" s="1" t="n">
        <v>45622.63053240741</v>
      </c>
      <c r="C125" s="1" t="n">
        <v>45935</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12914-2025</t>
        </is>
      </c>
      <c r="B126" s="1" t="n">
        <v>45733</v>
      </c>
      <c r="C126" s="1" t="n">
        <v>45935</v>
      </c>
      <c r="D126" t="inlineStr">
        <is>
          <t>GOTLANDS LÄN</t>
        </is>
      </c>
      <c r="E126" t="inlineStr">
        <is>
          <t>GOTLAND</t>
        </is>
      </c>
      <c r="G126" t="n">
        <v>24.8</v>
      </c>
      <c r="H126" t="n">
        <v>2</v>
      </c>
      <c r="I126" t="n">
        <v>1</v>
      </c>
      <c r="J126" t="n">
        <v>0</v>
      </c>
      <c r="K126" t="n">
        <v>0</v>
      </c>
      <c r="L126" t="n">
        <v>0</v>
      </c>
      <c r="M126" t="n">
        <v>0</v>
      </c>
      <c r="N126" t="n">
        <v>0</v>
      </c>
      <c r="O126" t="n">
        <v>0</v>
      </c>
      <c r="P126" t="n">
        <v>0</v>
      </c>
      <c r="Q126" t="n">
        <v>2</v>
      </c>
      <c r="R126" s="2" t="inlineStr">
        <is>
          <t>Purpurknipprot
Brudsporre</t>
        </is>
      </c>
      <c r="S126">
        <f>HYPERLINK("https://klasma.github.io/Logging_0980/artfynd/A 12914-2025 artfynd.xlsx", "A 12914-2025")</f>
        <v/>
      </c>
      <c r="T126">
        <f>HYPERLINK("https://klasma.github.io/Logging_0980/kartor/A 12914-2025 karta.png", "A 12914-2025")</f>
        <v/>
      </c>
      <c r="V126">
        <f>HYPERLINK("https://klasma.github.io/Logging_0980/klagomål/A 12914-2025 FSC-klagomål.docx", "A 12914-2025")</f>
        <v/>
      </c>
      <c r="W126">
        <f>HYPERLINK("https://klasma.github.io/Logging_0980/klagomålsmail/A 12914-2025 FSC-klagomål mail.docx", "A 12914-2025")</f>
        <v/>
      </c>
      <c r="X126">
        <f>HYPERLINK("https://klasma.github.io/Logging_0980/tillsyn/A 12914-2025 tillsynsbegäran.docx", "A 12914-2025")</f>
        <v/>
      </c>
      <c r="Y126">
        <f>HYPERLINK("https://klasma.github.io/Logging_0980/tillsynsmail/A 12914-2025 tillsynsbegäran mail.docx", "A 12914-2025")</f>
        <v/>
      </c>
    </row>
    <row r="127" ht="15" customHeight="1">
      <c r="A127" t="inlineStr">
        <is>
          <t>A 43219-2023</t>
        </is>
      </c>
      <c r="B127" s="1" t="n">
        <v>45183</v>
      </c>
      <c r="C127" s="1" t="n">
        <v>45935</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13627-2023</t>
        </is>
      </c>
      <c r="B128" s="1" t="n">
        <v>45006</v>
      </c>
      <c r="C128" s="1" t="n">
        <v>45935</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28276-2024</t>
        </is>
      </c>
      <c r="B129" s="1" t="n">
        <v>45477</v>
      </c>
      <c r="C129" s="1" t="n">
        <v>45935</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28276-2024 artfynd.xlsx", "A 28276-2024")</f>
        <v/>
      </c>
      <c r="T129">
        <f>HYPERLINK("https://klasma.github.io/Logging_0980/kartor/A 28276-2024 karta.png", "A 28276-2024")</f>
        <v/>
      </c>
      <c r="V129">
        <f>HYPERLINK("https://klasma.github.io/Logging_0980/klagomål/A 28276-2024 FSC-klagomål.docx", "A 28276-2024")</f>
        <v/>
      </c>
      <c r="W129">
        <f>HYPERLINK("https://klasma.github.io/Logging_0980/klagomålsmail/A 28276-2024 FSC-klagomål mail.docx", "A 28276-2024")</f>
        <v/>
      </c>
      <c r="X129">
        <f>HYPERLINK("https://klasma.github.io/Logging_0980/tillsyn/A 28276-2024 tillsynsbegäran.docx", "A 28276-2024")</f>
        <v/>
      </c>
      <c r="Y129">
        <f>HYPERLINK("https://klasma.github.io/Logging_0980/tillsynsmail/A 28276-2024 tillsynsbegäran mail.docx", "A 28276-2024")</f>
        <v/>
      </c>
    </row>
    <row r="130" ht="15" customHeight="1">
      <c r="A130" t="inlineStr">
        <is>
          <t>A 58701-2020</t>
        </is>
      </c>
      <c r="B130" s="1" t="n">
        <v>44146</v>
      </c>
      <c r="C130" s="1" t="n">
        <v>45935</v>
      </c>
      <c r="D130" t="inlineStr">
        <is>
          <t>GOTLANDS LÄN</t>
        </is>
      </c>
      <c r="E130" t="inlineStr">
        <is>
          <t>GOTLAND</t>
        </is>
      </c>
      <c r="G130" t="n">
        <v>5.5</v>
      </c>
      <c r="H130" t="n">
        <v>0</v>
      </c>
      <c r="I130" t="n">
        <v>0</v>
      </c>
      <c r="J130" t="n">
        <v>1</v>
      </c>
      <c r="K130" t="n">
        <v>1</v>
      </c>
      <c r="L130" t="n">
        <v>0</v>
      </c>
      <c r="M130" t="n">
        <v>0</v>
      </c>
      <c r="N130" t="n">
        <v>0</v>
      </c>
      <c r="O130" t="n">
        <v>2</v>
      </c>
      <c r="P130" t="n">
        <v>1</v>
      </c>
      <c r="Q130" t="n">
        <v>2</v>
      </c>
      <c r="R130" s="2" t="inlineStr">
        <is>
          <t>Vit taggsvamp
Odörspindling</t>
        </is>
      </c>
      <c r="S130">
        <f>HYPERLINK("https://klasma.github.io/Logging_0980/artfynd/A 58701-2020 artfynd.xlsx", "A 58701-2020")</f>
        <v/>
      </c>
      <c r="T130">
        <f>HYPERLINK("https://klasma.github.io/Logging_0980/kartor/A 58701-2020 karta.png", "A 58701-2020")</f>
        <v/>
      </c>
      <c r="V130">
        <f>HYPERLINK("https://klasma.github.io/Logging_0980/klagomål/A 58701-2020 FSC-klagomål.docx", "A 58701-2020")</f>
        <v/>
      </c>
      <c r="W130">
        <f>HYPERLINK("https://klasma.github.io/Logging_0980/klagomålsmail/A 58701-2020 FSC-klagomål mail.docx", "A 58701-2020")</f>
        <v/>
      </c>
      <c r="X130">
        <f>HYPERLINK("https://klasma.github.io/Logging_0980/tillsyn/A 58701-2020 tillsynsbegäran.docx", "A 58701-2020")</f>
        <v/>
      </c>
      <c r="Y130">
        <f>HYPERLINK("https://klasma.github.io/Logging_0980/tillsynsmail/A 58701-2020 tillsynsbegäran mail.docx", "A 58701-2020")</f>
        <v/>
      </c>
    </row>
    <row r="131" ht="15" customHeight="1">
      <c r="A131" t="inlineStr">
        <is>
          <t>A 54357-2024</t>
        </is>
      </c>
      <c r="B131" s="1" t="n">
        <v>45617.40662037037</v>
      </c>
      <c r="C131" s="1" t="n">
        <v>45935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45935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20838-2024</t>
        </is>
      </c>
      <c r="B133" s="1" t="n">
        <v>45439</v>
      </c>
      <c r="C133" s="1" t="n">
        <v>45935</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21879-2025</t>
        </is>
      </c>
      <c r="B134" s="1" t="n">
        <v>45784.40533564815</v>
      </c>
      <c r="C134" s="1" t="n">
        <v>45935</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26077-2024</t>
        </is>
      </c>
      <c r="B135" s="1" t="n">
        <v>45467</v>
      </c>
      <c r="C135" s="1" t="n">
        <v>45935</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41238-2025</t>
        </is>
      </c>
      <c r="B136" s="1" t="n">
        <v>45898</v>
      </c>
      <c r="C136" s="1" t="n">
        <v>45935</v>
      </c>
      <c r="D136" t="inlineStr">
        <is>
          <t>GOTLANDS LÄN</t>
        </is>
      </c>
      <c r="E136" t="inlineStr">
        <is>
          <t>GOTLAND</t>
        </is>
      </c>
      <c r="G136" t="n">
        <v>7.1</v>
      </c>
      <c r="H136" t="n">
        <v>1</v>
      </c>
      <c r="I136" t="n">
        <v>2</v>
      </c>
      <c r="J136" t="n">
        <v>0</v>
      </c>
      <c r="K136" t="n">
        <v>0</v>
      </c>
      <c r="L136" t="n">
        <v>0</v>
      </c>
      <c r="M136" t="n">
        <v>0</v>
      </c>
      <c r="N136" t="n">
        <v>0</v>
      </c>
      <c r="O136" t="n">
        <v>0</v>
      </c>
      <c r="P136" t="n">
        <v>0</v>
      </c>
      <c r="Q136" t="n">
        <v>2</v>
      </c>
      <c r="R136" s="2" t="inlineStr">
        <is>
          <t>Granbarkgnagare
Skogsknipprot</t>
        </is>
      </c>
      <c r="S136">
        <f>HYPERLINK("https://klasma.github.io/Logging_0980/artfynd/A 41238-2025 artfynd.xlsx", "A 41238-2025")</f>
        <v/>
      </c>
      <c r="T136">
        <f>HYPERLINK("https://klasma.github.io/Logging_0980/kartor/A 41238-2025 karta.png", "A 41238-2025")</f>
        <v/>
      </c>
      <c r="V136">
        <f>HYPERLINK("https://klasma.github.io/Logging_0980/klagomål/A 41238-2025 FSC-klagomål.docx", "A 41238-2025")</f>
        <v/>
      </c>
      <c r="W136">
        <f>HYPERLINK("https://klasma.github.io/Logging_0980/klagomålsmail/A 41238-2025 FSC-klagomål mail.docx", "A 41238-2025")</f>
        <v/>
      </c>
      <c r="X136">
        <f>HYPERLINK("https://klasma.github.io/Logging_0980/tillsyn/A 41238-2025 tillsynsbegäran.docx", "A 41238-2025")</f>
        <v/>
      </c>
      <c r="Y136">
        <f>HYPERLINK("https://klasma.github.io/Logging_0980/tillsynsmail/A 41238-2025 tillsynsbegäran mail.docx", "A 41238-2025")</f>
        <v/>
      </c>
    </row>
    <row r="137" ht="15" customHeight="1">
      <c r="A137" t="inlineStr">
        <is>
          <t>A 24-2021</t>
        </is>
      </c>
      <c r="B137" s="1" t="n">
        <v>44197</v>
      </c>
      <c r="C137" s="1" t="n">
        <v>45935</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45935</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45935</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45935</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45935</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45935</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24245-2022</t>
        </is>
      </c>
      <c r="B143" s="1" t="n">
        <v>44725</v>
      </c>
      <c r="C143" s="1" t="n">
        <v>45935</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45935</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12379-2024</t>
        </is>
      </c>
      <c r="B145" s="1" t="n">
        <v>45379.28155092592</v>
      </c>
      <c r="C145" s="1" t="n">
        <v>45935</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64700-2021</t>
        </is>
      </c>
      <c r="B146" s="1" t="n">
        <v>44511</v>
      </c>
      <c r="C146" s="1" t="n">
        <v>45935</v>
      </c>
      <c r="D146" t="inlineStr">
        <is>
          <t>GOTLANDS LÄN</t>
        </is>
      </c>
      <c r="E146" t="inlineStr">
        <is>
          <t>GOTLAND</t>
        </is>
      </c>
      <c r="F146" t="inlineStr">
        <is>
          <t>Naturvårdsverket</t>
        </is>
      </c>
      <c r="G146" t="n">
        <v>2.4</v>
      </c>
      <c r="H146" t="n">
        <v>1</v>
      </c>
      <c r="I146" t="n">
        <v>0</v>
      </c>
      <c r="J146" t="n">
        <v>0</v>
      </c>
      <c r="K146" t="n">
        <v>1</v>
      </c>
      <c r="L146" t="n">
        <v>0</v>
      </c>
      <c r="M146" t="n">
        <v>0</v>
      </c>
      <c r="N146" t="n">
        <v>0</v>
      </c>
      <c r="O146" t="n">
        <v>1</v>
      </c>
      <c r="P146" t="n">
        <v>1</v>
      </c>
      <c r="Q146" t="n">
        <v>1</v>
      </c>
      <c r="R146" s="2" t="inlineStr">
        <is>
          <t>Kalkdån</t>
        </is>
      </c>
      <c r="S146">
        <f>HYPERLINK("https://klasma.github.io/Logging_0980/artfynd/A 64700-2021 artfynd.xlsx", "A 64700-2021")</f>
        <v/>
      </c>
      <c r="T146">
        <f>HYPERLINK("https://klasma.github.io/Logging_0980/kartor/A 64700-2021 karta.png", "A 64700-2021")</f>
        <v/>
      </c>
      <c r="V146">
        <f>HYPERLINK("https://klasma.github.io/Logging_0980/klagomål/A 64700-2021 FSC-klagomål.docx", "A 64700-2021")</f>
        <v/>
      </c>
      <c r="W146">
        <f>HYPERLINK("https://klasma.github.io/Logging_0980/klagomålsmail/A 64700-2021 FSC-klagomål mail.docx", "A 64700-2021")</f>
        <v/>
      </c>
      <c r="X146">
        <f>HYPERLINK("https://klasma.github.io/Logging_0980/tillsyn/A 64700-2021 tillsynsbegäran.docx", "A 64700-2021")</f>
        <v/>
      </c>
      <c r="Y146">
        <f>HYPERLINK("https://klasma.github.io/Logging_0980/tillsynsmail/A 64700-2021 tillsynsbegäran mail.docx", "A 64700-2021")</f>
        <v/>
      </c>
    </row>
    <row r="147" ht="15" customHeight="1">
      <c r="A147" t="inlineStr">
        <is>
          <t>A 65927-2021</t>
        </is>
      </c>
      <c r="B147" s="1" t="n">
        <v>44516</v>
      </c>
      <c r="C147" s="1" t="n">
        <v>45935</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35574-2024</t>
        </is>
      </c>
      <c r="B148" s="1" t="n">
        <v>45531</v>
      </c>
      <c r="C148" s="1" t="n">
        <v>45935</v>
      </c>
      <c r="D148" t="inlineStr">
        <is>
          <t>GOTLANDS LÄN</t>
        </is>
      </c>
      <c r="E148" t="inlineStr">
        <is>
          <t>GOTLAND</t>
        </is>
      </c>
      <c r="G148" t="n">
        <v>5.7</v>
      </c>
      <c r="H148" t="n">
        <v>0</v>
      </c>
      <c r="I148" t="n">
        <v>1</v>
      </c>
      <c r="J148" t="n">
        <v>0</v>
      </c>
      <c r="K148" t="n">
        <v>0</v>
      </c>
      <c r="L148" t="n">
        <v>0</v>
      </c>
      <c r="M148" t="n">
        <v>0</v>
      </c>
      <c r="N148" t="n">
        <v>0</v>
      </c>
      <c r="O148" t="n">
        <v>0</v>
      </c>
      <c r="P148" t="n">
        <v>0</v>
      </c>
      <c r="Q148" t="n">
        <v>1</v>
      </c>
      <c r="R148" s="2" t="inlineStr">
        <is>
          <t>Murgröna</t>
        </is>
      </c>
      <c r="S148">
        <f>HYPERLINK("https://klasma.github.io/Logging_0980/artfynd/A 35574-2024 artfynd.xlsx", "A 35574-2024")</f>
        <v/>
      </c>
      <c r="T148">
        <f>HYPERLINK("https://klasma.github.io/Logging_0980/kartor/A 35574-2024 karta.png", "A 35574-2024")</f>
        <v/>
      </c>
      <c r="V148">
        <f>HYPERLINK("https://klasma.github.io/Logging_0980/klagomål/A 35574-2024 FSC-klagomål.docx", "A 35574-2024")</f>
        <v/>
      </c>
      <c r="W148">
        <f>HYPERLINK("https://klasma.github.io/Logging_0980/klagomålsmail/A 35574-2024 FSC-klagomål mail.docx", "A 35574-2024")</f>
        <v/>
      </c>
      <c r="X148">
        <f>HYPERLINK("https://klasma.github.io/Logging_0980/tillsyn/A 35574-2024 tillsynsbegäran.docx", "A 35574-2024")</f>
        <v/>
      </c>
      <c r="Y148">
        <f>HYPERLINK("https://klasma.github.io/Logging_0980/tillsynsmail/A 35574-2024 tillsynsbegäran mail.docx", "A 35574-2024")</f>
        <v/>
      </c>
    </row>
    <row r="149" ht="15" customHeight="1">
      <c r="A149" t="inlineStr">
        <is>
          <t>A 947-2023</t>
        </is>
      </c>
      <c r="B149" s="1" t="n">
        <v>44934</v>
      </c>
      <c r="C149" s="1" t="n">
        <v>45935</v>
      </c>
      <c r="D149" t="inlineStr">
        <is>
          <t>GOTLANDS LÄN</t>
        </is>
      </c>
      <c r="E149" t="inlineStr">
        <is>
          <t>GOTLAND</t>
        </is>
      </c>
      <c r="G149" t="n">
        <v>0.7</v>
      </c>
      <c r="H149" t="n">
        <v>1</v>
      </c>
      <c r="I149" t="n">
        <v>0</v>
      </c>
      <c r="J149" t="n">
        <v>0</v>
      </c>
      <c r="K149" t="n">
        <v>1</v>
      </c>
      <c r="L149" t="n">
        <v>0</v>
      </c>
      <c r="M149" t="n">
        <v>0</v>
      </c>
      <c r="N149" t="n">
        <v>0</v>
      </c>
      <c r="O149" t="n">
        <v>1</v>
      </c>
      <c r="P149" t="n">
        <v>1</v>
      </c>
      <c r="Q149" t="n">
        <v>1</v>
      </c>
      <c r="R149" s="2" t="inlineStr">
        <is>
          <t>Garderönn</t>
        </is>
      </c>
      <c r="S149">
        <f>HYPERLINK("https://klasma.github.io/Logging_0980/artfynd/A 947-2023 artfynd.xlsx", "A 947-2023")</f>
        <v/>
      </c>
      <c r="T149">
        <f>HYPERLINK("https://klasma.github.io/Logging_0980/kartor/A 947-2023 karta.png", "A 947-2023")</f>
        <v/>
      </c>
      <c r="V149">
        <f>HYPERLINK("https://klasma.github.io/Logging_0980/klagomål/A 947-2023 FSC-klagomål.docx", "A 947-2023")</f>
        <v/>
      </c>
      <c r="W149">
        <f>HYPERLINK("https://klasma.github.io/Logging_0980/klagomålsmail/A 947-2023 FSC-klagomål mail.docx", "A 947-2023")</f>
        <v/>
      </c>
      <c r="X149">
        <f>HYPERLINK("https://klasma.github.io/Logging_0980/tillsyn/A 947-2023 tillsynsbegäran.docx", "A 947-2023")</f>
        <v/>
      </c>
      <c r="Y149">
        <f>HYPERLINK("https://klasma.github.io/Logging_0980/tillsynsmail/A 947-2023 tillsynsbegäran mail.docx", "A 947-2023")</f>
        <v/>
      </c>
    </row>
    <row r="150" ht="15" customHeight="1">
      <c r="A150" t="inlineStr">
        <is>
          <t>A 37591-2023</t>
        </is>
      </c>
      <c r="B150" s="1" t="n">
        <v>45159</v>
      </c>
      <c r="C150" s="1" t="n">
        <v>45935</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15637-2024</t>
        </is>
      </c>
      <c r="B151" s="1" t="n">
        <v>45403.6684837963</v>
      </c>
      <c r="C151" s="1" t="n">
        <v>45935</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34142-2024</t>
        </is>
      </c>
      <c r="B152" s="1" t="n">
        <v>45524.36521990741</v>
      </c>
      <c r="C152" s="1" t="n">
        <v>45935</v>
      </c>
      <c r="D152" t="inlineStr">
        <is>
          <t>GOTLANDS LÄN</t>
        </is>
      </c>
      <c r="E152" t="inlineStr">
        <is>
          <t>GOTLAND</t>
        </is>
      </c>
      <c r="G152" t="n">
        <v>6</v>
      </c>
      <c r="H152" t="n">
        <v>0</v>
      </c>
      <c r="I152" t="n">
        <v>0</v>
      </c>
      <c r="J152" t="n">
        <v>1</v>
      </c>
      <c r="K152" t="n">
        <v>0</v>
      </c>
      <c r="L152" t="n">
        <v>0</v>
      </c>
      <c r="M152" t="n">
        <v>0</v>
      </c>
      <c r="N152" t="n">
        <v>0</v>
      </c>
      <c r="O152" t="n">
        <v>1</v>
      </c>
      <c r="P152" t="n">
        <v>0</v>
      </c>
      <c r="Q152" t="n">
        <v>1</v>
      </c>
      <c r="R152" s="2" t="inlineStr">
        <is>
          <t>Igelkott</t>
        </is>
      </c>
      <c r="S152">
        <f>HYPERLINK("https://klasma.github.io/Logging_0980/artfynd/A 34142-2024 artfynd.xlsx", "A 34142-2024")</f>
        <v/>
      </c>
      <c r="T152">
        <f>HYPERLINK("https://klasma.github.io/Logging_0980/kartor/A 34142-2024 karta.png", "A 34142-2024")</f>
        <v/>
      </c>
      <c r="V152">
        <f>HYPERLINK("https://klasma.github.io/Logging_0980/klagomål/A 34142-2024 FSC-klagomål.docx", "A 34142-2024")</f>
        <v/>
      </c>
      <c r="W152">
        <f>HYPERLINK("https://klasma.github.io/Logging_0980/klagomålsmail/A 34142-2024 FSC-klagomål mail.docx", "A 34142-2024")</f>
        <v/>
      </c>
      <c r="X152">
        <f>HYPERLINK("https://klasma.github.io/Logging_0980/tillsyn/A 34142-2024 tillsynsbegäran.docx", "A 34142-2024")</f>
        <v/>
      </c>
      <c r="Y152">
        <f>HYPERLINK("https://klasma.github.io/Logging_0980/tillsynsmail/A 34142-2024 tillsynsbegäran mail.docx", "A 34142-2024")</f>
        <v/>
      </c>
    </row>
    <row r="153" ht="15" customHeight="1">
      <c r="A153" t="inlineStr">
        <is>
          <t>A 44619-2025</t>
        </is>
      </c>
      <c r="B153" s="1" t="n">
        <v>45917</v>
      </c>
      <c r="C153" s="1" t="n">
        <v>45935</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12924-2025</t>
        </is>
      </c>
      <c r="B154" s="1" t="n">
        <v>45734</v>
      </c>
      <c r="C154" s="1" t="n">
        <v>45935</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45935</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63299-2020</t>
        </is>
      </c>
      <c r="B156" s="1" t="n">
        <v>44165</v>
      </c>
      <c r="C156" s="1" t="n">
        <v>45935</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44308-2021</t>
        </is>
      </c>
      <c r="B157" s="1" t="n">
        <v>44434</v>
      </c>
      <c r="C157" s="1" t="n">
        <v>45935</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49847-2023</t>
        </is>
      </c>
      <c r="B158" s="1" t="n">
        <v>45212</v>
      </c>
      <c r="C158" s="1" t="n">
        <v>45935</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13939-2021</t>
        </is>
      </c>
      <c r="B159" s="1" t="n">
        <v>44277</v>
      </c>
      <c r="C159" s="1" t="n">
        <v>45935</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46527-2023</t>
        </is>
      </c>
      <c r="B160" s="1" t="n">
        <v>45197</v>
      </c>
      <c r="C160" s="1" t="n">
        <v>45935</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45935</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17723-2021</t>
        </is>
      </c>
      <c r="B162" s="1" t="n">
        <v>44300</v>
      </c>
      <c r="C162" s="1" t="n">
        <v>45935</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20429-2025</t>
        </is>
      </c>
      <c r="B163" s="1" t="n">
        <v>45775.47728009259</v>
      </c>
      <c r="C163" s="1" t="n">
        <v>45935</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2476-2025</t>
        </is>
      </c>
      <c r="B164" s="1" t="n">
        <v>45673</v>
      </c>
      <c r="C164" s="1" t="n">
        <v>45935</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6303-2024</t>
        </is>
      </c>
      <c r="B165" s="1" t="n">
        <v>45338.35376157407</v>
      </c>
      <c r="C165" s="1" t="n">
        <v>45935</v>
      </c>
      <c r="D165" t="inlineStr">
        <is>
          <t>GOTLANDS LÄN</t>
        </is>
      </c>
      <c r="E165" t="inlineStr">
        <is>
          <t>GOTLAND</t>
        </is>
      </c>
      <c r="G165" t="n">
        <v>0.6</v>
      </c>
      <c r="H165" t="n">
        <v>0</v>
      </c>
      <c r="I165" t="n">
        <v>1</v>
      </c>
      <c r="J165" t="n">
        <v>0</v>
      </c>
      <c r="K165" t="n">
        <v>0</v>
      </c>
      <c r="L165" t="n">
        <v>0</v>
      </c>
      <c r="M165" t="n">
        <v>0</v>
      </c>
      <c r="N165" t="n">
        <v>0</v>
      </c>
      <c r="O165" t="n">
        <v>0</v>
      </c>
      <c r="P165" t="n">
        <v>0</v>
      </c>
      <c r="Q165" t="n">
        <v>1</v>
      </c>
      <c r="R165" s="2" t="inlineStr">
        <is>
          <t>Strävlosta</t>
        </is>
      </c>
      <c r="S165">
        <f>HYPERLINK("https://klasma.github.io/Logging_0980/artfynd/A 6303-2024 artfynd.xlsx", "A 6303-2024")</f>
        <v/>
      </c>
      <c r="T165">
        <f>HYPERLINK("https://klasma.github.io/Logging_0980/kartor/A 6303-2024 karta.png", "A 6303-2024")</f>
        <v/>
      </c>
      <c r="V165">
        <f>HYPERLINK("https://klasma.github.io/Logging_0980/klagomål/A 6303-2024 FSC-klagomål.docx", "A 6303-2024")</f>
        <v/>
      </c>
      <c r="W165">
        <f>HYPERLINK("https://klasma.github.io/Logging_0980/klagomålsmail/A 6303-2024 FSC-klagomål mail.docx", "A 6303-2024")</f>
        <v/>
      </c>
      <c r="X165">
        <f>HYPERLINK("https://klasma.github.io/Logging_0980/tillsyn/A 6303-2024 tillsynsbegäran.docx", "A 6303-2024")</f>
        <v/>
      </c>
      <c r="Y165">
        <f>HYPERLINK("https://klasma.github.io/Logging_0980/tillsynsmail/A 6303-2024 tillsynsbegäran mail.docx", "A 6303-2024")</f>
        <v/>
      </c>
    </row>
    <row r="166" ht="15" customHeight="1">
      <c r="A166" t="inlineStr">
        <is>
          <t>A 62552-2022</t>
        </is>
      </c>
      <c r="B166" s="1" t="n">
        <v>44924</v>
      </c>
      <c r="C166" s="1" t="n">
        <v>45935</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27168-2022</t>
        </is>
      </c>
      <c r="B167" s="1" t="n">
        <v>44741</v>
      </c>
      <c r="C167" s="1" t="n">
        <v>45935</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10995-2023</t>
        </is>
      </c>
      <c r="B168" s="1" t="n">
        <v>44986</v>
      </c>
      <c r="C168" s="1" t="n">
        <v>45935</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25977-2024</t>
        </is>
      </c>
      <c r="B169" s="1" t="n">
        <v>45467.69356481481</v>
      </c>
      <c r="C169" s="1" t="n">
        <v>45935</v>
      </c>
      <c r="D169" t="inlineStr">
        <is>
          <t>GOTLANDS LÄN</t>
        </is>
      </c>
      <c r="E169" t="inlineStr">
        <is>
          <t>GOTLAND</t>
        </is>
      </c>
      <c r="G169" t="n">
        <v>3</v>
      </c>
      <c r="H169" t="n">
        <v>1</v>
      </c>
      <c r="I169" t="n">
        <v>0</v>
      </c>
      <c r="J169" t="n">
        <v>0</v>
      </c>
      <c r="K169" t="n">
        <v>0</v>
      </c>
      <c r="L169" t="n">
        <v>0</v>
      </c>
      <c r="M169" t="n">
        <v>0</v>
      </c>
      <c r="N169" t="n">
        <v>0</v>
      </c>
      <c r="O169" t="n">
        <v>0</v>
      </c>
      <c r="P169" t="n">
        <v>0</v>
      </c>
      <c r="Q169" t="n">
        <v>1</v>
      </c>
      <c r="R169" s="2" t="inlineStr">
        <is>
          <t>Nattviol</t>
        </is>
      </c>
      <c r="S169">
        <f>HYPERLINK("https://klasma.github.io/Logging_0980/artfynd/A 25977-2024 artfynd.xlsx", "A 25977-2024")</f>
        <v/>
      </c>
      <c r="T169">
        <f>HYPERLINK("https://klasma.github.io/Logging_0980/kartor/A 25977-2024 karta.png", "A 25977-2024")</f>
        <v/>
      </c>
      <c r="V169">
        <f>HYPERLINK("https://klasma.github.io/Logging_0980/klagomål/A 25977-2024 FSC-klagomål.docx", "A 25977-2024")</f>
        <v/>
      </c>
      <c r="W169">
        <f>HYPERLINK("https://klasma.github.io/Logging_0980/klagomålsmail/A 25977-2024 FSC-klagomål mail.docx", "A 25977-2024")</f>
        <v/>
      </c>
      <c r="X169">
        <f>HYPERLINK("https://klasma.github.io/Logging_0980/tillsyn/A 25977-2024 tillsynsbegäran.docx", "A 25977-2024")</f>
        <v/>
      </c>
      <c r="Y169">
        <f>HYPERLINK("https://klasma.github.io/Logging_0980/tillsynsmail/A 25977-2024 tillsynsbegäran mail.docx", "A 25977-2024")</f>
        <v/>
      </c>
    </row>
    <row r="170" ht="15" customHeight="1">
      <c r="A170" t="inlineStr">
        <is>
          <t>A 63576-2021</t>
        </is>
      </c>
      <c r="B170" s="1" t="n">
        <v>44508</v>
      </c>
      <c r="C170" s="1" t="n">
        <v>45935</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27589-2023</t>
        </is>
      </c>
      <c r="B171" s="1" t="n">
        <v>45097</v>
      </c>
      <c r="C171" s="1" t="n">
        <v>45935</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21466-2025</t>
        </is>
      </c>
      <c r="B172" s="1" t="n">
        <v>45782</v>
      </c>
      <c r="C172" s="1" t="n">
        <v>45935</v>
      </c>
      <c r="D172" t="inlineStr">
        <is>
          <t>GOTLANDS LÄN</t>
        </is>
      </c>
      <c r="E172" t="inlineStr">
        <is>
          <t>GOTLAND</t>
        </is>
      </c>
      <c r="F172" t="inlineStr">
        <is>
          <t>Övriga statliga verk och myndigheter</t>
        </is>
      </c>
      <c r="G172" t="n">
        <v>1.7</v>
      </c>
      <c r="H172" t="n">
        <v>1</v>
      </c>
      <c r="I172" t="n">
        <v>0</v>
      </c>
      <c r="J172" t="n">
        <v>0</v>
      </c>
      <c r="K172" t="n">
        <v>0</v>
      </c>
      <c r="L172" t="n">
        <v>0</v>
      </c>
      <c r="M172" t="n">
        <v>0</v>
      </c>
      <c r="N172" t="n">
        <v>0</v>
      </c>
      <c r="O172" t="n">
        <v>0</v>
      </c>
      <c r="P172" t="n">
        <v>0</v>
      </c>
      <c r="Q172" t="n">
        <v>1</v>
      </c>
      <c r="R172" s="2" t="inlineStr">
        <is>
          <t>Blåsippa</t>
        </is>
      </c>
      <c r="S172">
        <f>HYPERLINK("https://klasma.github.io/Logging_0980/artfynd/A 21466-2025 artfynd.xlsx", "A 21466-2025")</f>
        <v/>
      </c>
      <c r="T172">
        <f>HYPERLINK("https://klasma.github.io/Logging_0980/kartor/A 21466-2025 karta.png", "A 21466-2025")</f>
        <v/>
      </c>
      <c r="V172">
        <f>HYPERLINK("https://klasma.github.io/Logging_0980/klagomål/A 21466-2025 FSC-klagomål.docx", "A 21466-2025")</f>
        <v/>
      </c>
      <c r="W172">
        <f>HYPERLINK("https://klasma.github.io/Logging_0980/klagomålsmail/A 21466-2025 FSC-klagomål mail.docx", "A 21466-2025")</f>
        <v/>
      </c>
      <c r="X172">
        <f>HYPERLINK("https://klasma.github.io/Logging_0980/tillsyn/A 21466-2025 tillsynsbegäran.docx", "A 21466-2025")</f>
        <v/>
      </c>
      <c r="Y172">
        <f>HYPERLINK("https://klasma.github.io/Logging_0980/tillsynsmail/A 21466-2025 tillsynsbegäran mail.docx", "A 21466-2025")</f>
        <v/>
      </c>
    </row>
    <row r="173" ht="15" customHeight="1">
      <c r="A173" t="inlineStr">
        <is>
          <t>A 447-2023</t>
        </is>
      </c>
      <c r="B173" s="1" t="n">
        <v>44929</v>
      </c>
      <c r="C173" s="1" t="n">
        <v>45935</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39812-2025</t>
        </is>
      </c>
      <c r="B174" s="1" t="n">
        <v>45891</v>
      </c>
      <c r="C174" s="1" t="n">
        <v>45935</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10440-2024</t>
        </is>
      </c>
      <c r="B175" s="1" t="n">
        <v>45366.32818287037</v>
      </c>
      <c r="C175" s="1" t="n">
        <v>45935</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34809-2024</t>
        </is>
      </c>
      <c r="B176" s="1" t="n">
        <v>45526</v>
      </c>
      <c r="C176" s="1" t="n">
        <v>45935</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49304-2024</t>
        </is>
      </c>
      <c r="B177" s="1" t="n">
        <v>45595.54996527778</v>
      </c>
      <c r="C177" s="1" t="n">
        <v>45935</v>
      </c>
      <c r="D177" t="inlineStr">
        <is>
          <t>GOTLANDS LÄN</t>
        </is>
      </c>
      <c r="E177" t="inlineStr">
        <is>
          <t>GOTLAND</t>
        </is>
      </c>
      <c r="G177" t="n">
        <v>10.8</v>
      </c>
      <c r="H177" t="n">
        <v>0</v>
      </c>
      <c r="I177" t="n">
        <v>0</v>
      </c>
      <c r="J177" t="n">
        <v>1</v>
      </c>
      <c r="K177" t="n">
        <v>0</v>
      </c>
      <c r="L177" t="n">
        <v>0</v>
      </c>
      <c r="M177" t="n">
        <v>0</v>
      </c>
      <c r="N177" t="n">
        <v>0</v>
      </c>
      <c r="O177" t="n">
        <v>1</v>
      </c>
      <c r="P177" t="n">
        <v>0</v>
      </c>
      <c r="Q177" t="n">
        <v>1</v>
      </c>
      <c r="R177" s="2" t="inlineStr">
        <is>
          <t>Åkerranunkel</t>
        </is>
      </c>
      <c r="S177">
        <f>HYPERLINK("https://klasma.github.io/Logging_0980/artfynd/A 49304-2024 artfynd.xlsx", "A 49304-2024")</f>
        <v/>
      </c>
      <c r="T177">
        <f>HYPERLINK("https://klasma.github.io/Logging_0980/kartor/A 49304-2024 karta.png", "A 49304-2024")</f>
        <v/>
      </c>
      <c r="V177">
        <f>HYPERLINK("https://klasma.github.io/Logging_0980/klagomål/A 49304-2024 FSC-klagomål.docx", "A 49304-2024")</f>
        <v/>
      </c>
      <c r="W177">
        <f>HYPERLINK("https://klasma.github.io/Logging_0980/klagomålsmail/A 49304-2024 FSC-klagomål mail.docx", "A 49304-2024")</f>
        <v/>
      </c>
      <c r="X177">
        <f>HYPERLINK("https://klasma.github.io/Logging_0980/tillsyn/A 49304-2024 tillsynsbegäran.docx", "A 49304-2024")</f>
        <v/>
      </c>
      <c r="Y177">
        <f>HYPERLINK("https://klasma.github.io/Logging_0980/tillsynsmail/A 49304-2024 tillsynsbegäran mail.docx", "A 49304-2024")</f>
        <v/>
      </c>
    </row>
    <row r="178" ht="15" customHeight="1">
      <c r="A178" t="inlineStr">
        <is>
          <t>A 22782-2023</t>
        </is>
      </c>
      <c r="B178" s="1" t="n">
        <v>45072</v>
      </c>
      <c r="C178" s="1" t="n">
        <v>45935</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44088-2022</t>
        </is>
      </c>
      <c r="B179" s="1" t="n">
        <v>44839</v>
      </c>
      <c r="C179" s="1" t="n">
        <v>45935</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26461-2025</t>
        </is>
      </c>
      <c r="B180" s="1" t="n">
        <v>45807.43337962963</v>
      </c>
      <c r="C180" s="1" t="n">
        <v>45935</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1477-2024</t>
        </is>
      </c>
      <c r="B181" s="1" t="n">
        <v>45305.37987268518</v>
      </c>
      <c r="C181" s="1" t="n">
        <v>45935</v>
      </c>
      <c r="D181" t="inlineStr">
        <is>
          <t>GOTLANDS LÄN</t>
        </is>
      </c>
      <c r="E181" t="inlineStr">
        <is>
          <t>GOTLAND</t>
        </is>
      </c>
      <c r="G181" t="n">
        <v>6.9</v>
      </c>
      <c r="H181" t="n">
        <v>0</v>
      </c>
      <c r="I181" t="n">
        <v>0</v>
      </c>
      <c r="J181" t="n">
        <v>1</v>
      </c>
      <c r="K181" t="n">
        <v>0</v>
      </c>
      <c r="L181" t="n">
        <v>0</v>
      </c>
      <c r="M181" t="n">
        <v>0</v>
      </c>
      <c r="N181" t="n">
        <v>0</v>
      </c>
      <c r="O181" t="n">
        <v>1</v>
      </c>
      <c r="P181" t="n">
        <v>0</v>
      </c>
      <c r="Q181" t="n">
        <v>1</v>
      </c>
      <c r="R181" s="2" t="inlineStr">
        <is>
          <t>Igelkott</t>
        </is>
      </c>
      <c r="S181">
        <f>HYPERLINK("https://klasma.github.io/Logging_0980/artfynd/A 1477-2024 artfynd.xlsx", "A 1477-2024")</f>
        <v/>
      </c>
      <c r="T181">
        <f>HYPERLINK("https://klasma.github.io/Logging_0980/kartor/A 1477-2024 karta.png", "A 1477-2024")</f>
        <v/>
      </c>
      <c r="V181">
        <f>HYPERLINK("https://klasma.github.io/Logging_0980/klagomål/A 1477-2024 FSC-klagomål.docx", "A 1477-2024")</f>
        <v/>
      </c>
      <c r="W181">
        <f>HYPERLINK("https://klasma.github.io/Logging_0980/klagomålsmail/A 1477-2024 FSC-klagomål mail.docx", "A 1477-2024")</f>
        <v/>
      </c>
      <c r="X181">
        <f>HYPERLINK("https://klasma.github.io/Logging_0980/tillsyn/A 1477-2024 tillsynsbegäran.docx", "A 1477-2024")</f>
        <v/>
      </c>
      <c r="Y181">
        <f>HYPERLINK("https://klasma.github.io/Logging_0980/tillsynsmail/A 1477-2024 tillsynsbegäran mail.docx", "A 1477-2024")</f>
        <v/>
      </c>
    </row>
    <row r="182" ht="15" customHeight="1">
      <c r="A182" t="inlineStr">
        <is>
          <t>A 9862-2024</t>
        </is>
      </c>
      <c r="B182" s="1" t="n">
        <v>45363</v>
      </c>
      <c r="C182" s="1" t="n">
        <v>45935</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45935</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7637-2025</t>
        </is>
      </c>
      <c r="B184" s="1" t="n">
        <v>45705.77181712963</v>
      </c>
      <c r="C184" s="1" t="n">
        <v>45935</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61796-2022</t>
        </is>
      </c>
      <c r="B185" s="1" t="n">
        <v>44917</v>
      </c>
      <c r="C185" s="1" t="n">
        <v>45935</v>
      </c>
      <c r="D185" t="inlineStr">
        <is>
          <t>GOTLANDS LÄN</t>
        </is>
      </c>
      <c r="E185" t="inlineStr">
        <is>
          <t>GOTLAND</t>
        </is>
      </c>
      <c r="G185" t="n">
        <v>1.5</v>
      </c>
      <c r="H185" t="n">
        <v>1</v>
      </c>
      <c r="I185" t="n">
        <v>0</v>
      </c>
      <c r="J185" t="n">
        <v>0</v>
      </c>
      <c r="K185" t="n">
        <v>0</v>
      </c>
      <c r="L185" t="n">
        <v>0</v>
      </c>
      <c r="M185" t="n">
        <v>0</v>
      </c>
      <c r="N185" t="n">
        <v>0</v>
      </c>
      <c r="O185" t="n">
        <v>0</v>
      </c>
      <c r="P185" t="n">
        <v>0</v>
      </c>
      <c r="Q185" t="n">
        <v>1</v>
      </c>
      <c r="R185" s="2" t="inlineStr">
        <is>
          <t>Skogsduva</t>
        </is>
      </c>
      <c r="S185">
        <f>HYPERLINK("https://klasma.github.io/Logging_0980/artfynd/A 61796-2022 artfynd.xlsx", "A 61796-2022")</f>
        <v/>
      </c>
      <c r="T185">
        <f>HYPERLINK("https://klasma.github.io/Logging_0980/kartor/A 61796-2022 karta.png", "A 61796-2022")</f>
        <v/>
      </c>
      <c r="V185">
        <f>HYPERLINK("https://klasma.github.io/Logging_0980/klagomål/A 61796-2022 FSC-klagomål.docx", "A 61796-2022")</f>
        <v/>
      </c>
      <c r="W185">
        <f>HYPERLINK("https://klasma.github.io/Logging_0980/klagomålsmail/A 61796-2022 FSC-klagomål mail.docx", "A 61796-2022")</f>
        <v/>
      </c>
      <c r="X185">
        <f>HYPERLINK("https://klasma.github.io/Logging_0980/tillsyn/A 61796-2022 tillsynsbegäran.docx", "A 61796-2022")</f>
        <v/>
      </c>
      <c r="Y185">
        <f>HYPERLINK("https://klasma.github.io/Logging_0980/tillsynsmail/A 61796-2022 tillsynsbegäran mail.docx", "A 61796-2022")</f>
        <v/>
      </c>
      <c r="Z185">
        <f>HYPERLINK("https://klasma.github.io/Logging_0980/fåglar/A 61796-2022 prioriterade fågelarter.docx", "A 61796-2022")</f>
        <v/>
      </c>
    </row>
    <row r="186" ht="15" customHeight="1">
      <c r="A186" t="inlineStr">
        <is>
          <t>A 14915-2025</t>
        </is>
      </c>
      <c r="B186" s="1" t="n">
        <v>45743.53121527778</v>
      </c>
      <c r="C186" s="1" t="n">
        <v>45935</v>
      </c>
      <c r="D186" t="inlineStr">
        <is>
          <t>GOTLANDS LÄN</t>
        </is>
      </c>
      <c r="E186" t="inlineStr">
        <is>
          <t>GOTLAND</t>
        </is>
      </c>
      <c r="G186" t="n">
        <v>5.9</v>
      </c>
      <c r="H186" t="n">
        <v>0</v>
      </c>
      <c r="I186" t="n">
        <v>0</v>
      </c>
      <c r="J186" t="n">
        <v>1</v>
      </c>
      <c r="K186" t="n">
        <v>0</v>
      </c>
      <c r="L186" t="n">
        <v>0</v>
      </c>
      <c r="M186" t="n">
        <v>0</v>
      </c>
      <c r="N186" t="n">
        <v>0</v>
      </c>
      <c r="O186" t="n">
        <v>1</v>
      </c>
      <c r="P186" t="n">
        <v>0</v>
      </c>
      <c r="Q186" t="n">
        <v>1</v>
      </c>
      <c r="R186" s="2" t="inlineStr">
        <is>
          <t>Igelkott</t>
        </is>
      </c>
      <c r="S186">
        <f>HYPERLINK("https://klasma.github.io/Logging_0980/artfynd/A 14915-2025 artfynd.xlsx", "A 14915-2025")</f>
        <v/>
      </c>
      <c r="T186">
        <f>HYPERLINK("https://klasma.github.io/Logging_0980/kartor/A 14915-2025 karta.png", "A 14915-2025")</f>
        <v/>
      </c>
      <c r="V186">
        <f>HYPERLINK("https://klasma.github.io/Logging_0980/klagomål/A 14915-2025 FSC-klagomål.docx", "A 14915-2025")</f>
        <v/>
      </c>
      <c r="W186">
        <f>HYPERLINK("https://klasma.github.io/Logging_0980/klagomålsmail/A 14915-2025 FSC-klagomål mail.docx", "A 14915-2025")</f>
        <v/>
      </c>
      <c r="X186">
        <f>HYPERLINK("https://klasma.github.io/Logging_0980/tillsyn/A 14915-2025 tillsynsbegäran.docx", "A 14915-2025")</f>
        <v/>
      </c>
      <c r="Y186">
        <f>HYPERLINK("https://klasma.github.io/Logging_0980/tillsynsmail/A 14915-2025 tillsynsbegäran mail.docx", "A 14915-2025")</f>
        <v/>
      </c>
    </row>
    <row r="187" ht="15" customHeight="1">
      <c r="A187" t="inlineStr">
        <is>
          <t>A 19901-2021</t>
        </is>
      </c>
      <c r="B187" s="1" t="n">
        <v>44312</v>
      </c>
      <c r="C187" s="1" t="n">
        <v>45935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45935</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45935</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45935</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45935</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45935</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45935</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45935</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45935</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45935</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45935</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45935</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45935</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45935</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45935</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45935</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45935</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45935</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45935</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45935</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45935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45935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45935</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45935</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45935</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45935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45935</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45935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45935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45935</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45935</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45935</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71010-2021</t>
        </is>
      </c>
      <c r="B231" s="1" t="n">
        <v>44538.63775462963</v>
      </c>
      <c r="C231" s="1" t="n">
        <v>45935</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45935</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45935</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45935</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45935</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45935</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45935</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45935</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45935</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37037-2021</t>
        </is>
      </c>
      <c r="B240" s="1" t="n">
        <v>44393.84688657407</v>
      </c>
      <c r="C240" s="1" t="n">
        <v>45935</v>
      </c>
      <c r="D240" t="inlineStr">
        <is>
          <t>GOTLANDS LÄN</t>
        </is>
      </c>
      <c r="E240" t="inlineStr">
        <is>
          <t>GOTLAND</t>
        </is>
      </c>
      <c r="G240" t="n">
        <v>10.2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45935</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45935</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45935</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62120-2020</t>
        </is>
      </c>
      <c r="B244" s="1" t="n">
        <v>44158</v>
      </c>
      <c r="C244" s="1" t="n">
        <v>45935</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40294-2022</t>
        </is>
      </c>
      <c r="B245" s="1" t="n">
        <v>44821</v>
      </c>
      <c r="C245" s="1" t="n">
        <v>45935</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27602-2023</t>
        </is>
      </c>
      <c r="B246" s="1" t="n">
        <v>45097</v>
      </c>
      <c r="C246" s="1" t="n">
        <v>45935</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45635.84113425926</v>
      </c>
      <c r="C247" s="1" t="n">
        <v>45935</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12322-2025</t>
        </is>
      </c>
      <c r="B248" s="1" t="n">
        <v>45730</v>
      </c>
      <c r="C248" s="1" t="n">
        <v>45935</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53225-2022</t>
        </is>
      </c>
      <c r="B249" s="1" t="n">
        <v>44876</v>
      </c>
      <c r="C249" s="1" t="n">
        <v>45935</v>
      </c>
      <c r="D249" t="inlineStr">
        <is>
          <t>GOTLANDS LÄN</t>
        </is>
      </c>
      <c r="E249" t="inlineStr">
        <is>
          <t>GOTLAND</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3271-2021</t>
        </is>
      </c>
      <c r="B250" s="1" t="n">
        <v>44217</v>
      </c>
      <c r="C250" s="1" t="n">
        <v>45935</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45935</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61596-2023</t>
        </is>
      </c>
      <c r="B252" s="1" t="n">
        <v>45265</v>
      </c>
      <c r="C252" s="1" t="n">
        <v>45935</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30055-2021</t>
        </is>
      </c>
      <c r="B253" s="1" t="n">
        <v>44363</v>
      </c>
      <c r="C253" s="1" t="n">
        <v>45935</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873-2024</t>
        </is>
      </c>
      <c r="B254" s="1" t="n">
        <v>45301</v>
      </c>
      <c r="C254" s="1" t="n">
        <v>45935</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44228-2022</t>
        </is>
      </c>
      <c r="B255" s="1" t="n">
        <v>44839.51599537037</v>
      </c>
      <c r="C255" s="1" t="n">
        <v>45935</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45935</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45935</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24192-2023</t>
        </is>
      </c>
      <c r="B258" s="1" t="n">
        <v>45079</v>
      </c>
      <c r="C258" s="1" t="n">
        <v>45935</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45935</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45935</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44649-2021</t>
        </is>
      </c>
      <c r="B261" s="1" t="n">
        <v>44437</v>
      </c>
      <c r="C261" s="1" t="n">
        <v>45935</v>
      </c>
      <c r="D261" t="inlineStr">
        <is>
          <t>GOTLANDS LÄN</t>
        </is>
      </c>
      <c r="E261" t="inlineStr">
        <is>
          <t>GOTLAND</t>
        </is>
      </c>
      <c r="G261" t="n">
        <v>8.1</v>
      </c>
      <c r="H261" t="n">
        <v>0</v>
      </c>
      <c r="I261" t="n">
        <v>0</v>
      </c>
      <c r="J261" t="n">
        <v>0</v>
      </c>
      <c r="K261" t="n">
        <v>0</v>
      </c>
      <c r="L261" t="n">
        <v>0</v>
      </c>
      <c r="M261" t="n">
        <v>0</v>
      </c>
      <c r="N261" t="n">
        <v>0</v>
      </c>
      <c r="O261" t="n">
        <v>0</v>
      </c>
      <c r="P261" t="n">
        <v>0</v>
      </c>
      <c r="Q261" t="n">
        <v>0</v>
      </c>
      <c r="R261" s="2" t="inlineStr"/>
    </row>
    <row r="262" ht="15" customHeight="1">
      <c r="A262" t="inlineStr">
        <is>
          <t>A 65393-2021</t>
        </is>
      </c>
      <c r="B262" s="1" t="n">
        <v>44515</v>
      </c>
      <c r="C262" s="1" t="n">
        <v>45935</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10650-2022</t>
        </is>
      </c>
      <c r="B263" s="1" t="n">
        <v>44624.57945601852</v>
      </c>
      <c r="C263" s="1" t="n">
        <v>45935</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8484-2025</t>
        </is>
      </c>
      <c r="B264" s="1" t="n">
        <v>45709</v>
      </c>
      <c r="C264" s="1" t="n">
        <v>45935</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27593-2023</t>
        </is>
      </c>
      <c r="B265" s="1" t="n">
        <v>45097</v>
      </c>
      <c r="C265" s="1" t="n">
        <v>45935</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45935</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26810-2021</t>
        </is>
      </c>
      <c r="B267" s="1" t="n">
        <v>44349.55087962963</v>
      </c>
      <c r="C267" s="1" t="n">
        <v>45935</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45935</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28425-2023</t>
        </is>
      </c>
      <c r="B269" s="1" t="n">
        <v>45102</v>
      </c>
      <c r="C269" s="1" t="n">
        <v>45935</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43911-2025</t>
        </is>
      </c>
      <c r="B270" s="1" t="n">
        <v>45914.3881712963</v>
      </c>
      <c r="C270" s="1" t="n">
        <v>45935</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49962-2023</t>
        </is>
      </c>
      <c r="B271" s="1" t="n">
        <v>45215.38775462963</v>
      </c>
      <c r="C271" s="1" t="n">
        <v>45935</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13037-2025</t>
        </is>
      </c>
      <c r="B272" s="1" t="n">
        <v>45734</v>
      </c>
      <c r="C272" s="1" t="n">
        <v>45935</v>
      </c>
      <c r="D272" t="inlineStr">
        <is>
          <t>GOTLANDS LÄN</t>
        </is>
      </c>
      <c r="E272" t="inlineStr">
        <is>
          <t>GOTLAND</t>
        </is>
      </c>
      <c r="G272" t="n">
        <v>9.5</v>
      </c>
      <c r="H272" t="n">
        <v>0</v>
      </c>
      <c r="I272" t="n">
        <v>0</v>
      </c>
      <c r="J272" t="n">
        <v>0</v>
      </c>
      <c r="K272" t="n">
        <v>0</v>
      </c>
      <c r="L272" t="n">
        <v>0</v>
      </c>
      <c r="M272" t="n">
        <v>0</v>
      </c>
      <c r="N272" t="n">
        <v>0</v>
      </c>
      <c r="O272" t="n">
        <v>0</v>
      </c>
      <c r="P272" t="n">
        <v>0</v>
      </c>
      <c r="Q272" t="n">
        <v>0</v>
      </c>
      <c r="R272" s="2" t="inlineStr"/>
    </row>
    <row r="273" ht="15" customHeight="1">
      <c r="A273" t="inlineStr">
        <is>
          <t>A 50744-2024</t>
        </is>
      </c>
      <c r="B273" s="1" t="n">
        <v>45602.4187037037</v>
      </c>
      <c r="C273" s="1" t="n">
        <v>45935</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45244-2024</t>
        </is>
      </c>
      <c r="B274" s="1" t="n">
        <v>45576</v>
      </c>
      <c r="C274" s="1" t="n">
        <v>45935</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38787-2023</t>
        </is>
      </c>
      <c r="B275" s="1" t="n">
        <v>45163</v>
      </c>
      <c r="C275" s="1" t="n">
        <v>45935</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44405-2025</t>
        </is>
      </c>
      <c r="B276" s="1" t="n">
        <v>45916.52405092592</v>
      </c>
      <c r="C276" s="1" t="n">
        <v>45935</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45935</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2714-2023</t>
        </is>
      </c>
      <c r="B278" s="1" t="n">
        <v>44944.54896990741</v>
      </c>
      <c r="C278" s="1" t="n">
        <v>45935</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45935</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22897-2023</t>
        </is>
      </c>
      <c r="B280" s="1" t="n">
        <v>45072.55239583334</v>
      </c>
      <c r="C280" s="1" t="n">
        <v>45935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4568-2025</t>
        </is>
      </c>
      <c r="B281" s="1" t="n">
        <v>45687</v>
      </c>
      <c r="C281" s="1" t="n">
        <v>45935</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1681-2023</t>
        </is>
      </c>
      <c r="B282" s="1" t="n">
        <v>44938.39715277778</v>
      </c>
      <c r="C282" s="1" t="n">
        <v>45935</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3964-2024</t>
        </is>
      </c>
      <c r="B283" s="1" t="n">
        <v>45322</v>
      </c>
      <c r="C283" s="1" t="n">
        <v>45935</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44410-2025</t>
        </is>
      </c>
      <c r="B284" s="1" t="n">
        <v>45916.53699074074</v>
      </c>
      <c r="C284" s="1" t="n">
        <v>45935</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42338-2023</t>
        </is>
      </c>
      <c r="B285" s="1" t="n">
        <v>45180</v>
      </c>
      <c r="C285" s="1" t="n">
        <v>45935</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18918-2025</t>
        </is>
      </c>
      <c r="B286" s="1" t="n">
        <v>45764</v>
      </c>
      <c r="C286" s="1" t="n">
        <v>45935</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45935</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10746-2025</t>
        </is>
      </c>
      <c r="B288" s="1" t="n">
        <v>45722.42766203704</v>
      </c>
      <c r="C288" s="1" t="n">
        <v>45935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45106-2024</t>
        </is>
      </c>
      <c r="B289" s="1" t="n">
        <v>45575</v>
      </c>
      <c r="C289" s="1" t="n">
        <v>45935</v>
      </c>
      <c r="D289" t="inlineStr">
        <is>
          <t>GOTLANDS LÄN</t>
        </is>
      </c>
      <c r="E289" t="inlineStr">
        <is>
          <t>GOTLAND</t>
        </is>
      </c>
      <c r="G289" t="n">
        <v>10</v>
      </c>
      <c r="H289" t="n">
        <v>0</v>
      </c>
      <c r="I289" t="n">
        <v>0</v>
      </c>
      <c r="J289" t="n">
        <v>0</v>
      </c>
      <c r="K289" t="n">
        <v>0</v>
      </c>
      <c r="L289" t="n">
        <v>0</v>
      </c>
      <c r="M289" t="n">
        <v>0</v>
      </c>
      <c r="N289" t="n">
        <v>0</v>
      </c>
      <c r="O289" t="n">
        <v>0</v>
      </c>
      <c r="P289" t="n">
        <v>0</v>
      </c>
      <c r="Q289" t="n">
        <v>0</v>
      </c>
      <c r="R289" s="2" t="inlineStr"/>
    </row>
    <row r="290" ht="15" customHeight="1">
      <c r="A290" t="inlineStr">
        <is>
          <t>A 45112-2024</t>
        </is>
      </c>
      <c r="B290" s="1" t="n">
        <v>45575</v>
      </c>
      <c r="C290" s="1" t="n">
        <v>45935</v>
      </c>
      <c r="D290" t="inlineStr">
        <is>
          <t>GOTLANDS LÄN</t>
        </is>
      </c>
      <c r="E290" t="inlineStr">
        <is>
          <t>GOTLAND</t>
        </is>
      </c>
      <c r="G290" t="n">
        <v>5.1</v>
      </c>
      <c r="H290" t="n">
        <v>0</v>
      </c>
      <c r="I290" t="n">
        <v>0</v>
      </c>
      <c r="J290" t="n">
        <v>0</v>
      </c>
      <c r="K290" t="n">
        <v>0</v>
      </c>
      <c r="L290" t="n">
        <v>0</v>
      </c>
      <c r="M290" t="n">
        <v>0</v>
      </c>
      <c r="N290" t="n">
        <v>0</v>
      </c>
      <c r="O290" t="n">
        <v>0</v>
      </c>
      <c r="P290" t="n">
        <v>0</v>
      </c>
      <c r="Q290" t="n">
        <v>0</v>
      </c>
      <c r="R290" s="2" t="inlineStr"/>
    </row>
    <row r="291" ht="15" customHeight="1">
      <c r="A291" t="inlineStr">
        <is>
          <t>A 45084-2024</t>
        </is>
      </c>
      <c r="B291" s="1" t="n">
        <v>45575</v>
      </c>
      <c r="C291" s="1" t="n">
        <v>45935</v>
      </c>
      <c r="D291" t="inlineStr">
        <is>
          <t>GOTLANDS LÄN</t>
        </is>
      </c>
      <c r="E291" t="inlineStr">
        <is>
          <t>GOTLAND</t>
        </is>
      </c>
      <c r="G291" t="n">
        <v>6.8</v>
      </c>
      <c r="H291" t="n">
        <v>0</v>
      </c>
      <c r="I291" t="n">
        <v>0</v>
      </c>
      <c r="J291" t="n">
        <v>0</v>
      </c>
      <c r="K291" t="n">
        <v>0</v>
      </c>
      <c r="L291" t="n">
        <v>0</v>
      </c>
      <c r="M291" t="n">
        <v>0</v>
      </c>
      <c r="N291" t="n">
        <v>0</v>
      </c>
      <c r="O291" t="n">
        <v>0</v>
      </c>
      <c r="P291" t="n">
        <v>0</v>
      </c>
      <c r="Q291" t="n">
        <v>0</v>
      </c>
      <c r="R291" s="2" t="inlineStr"/>
    </row>
    <row r="292" ht="15" customHeight="1">
      <c r="A292" t="inlineStr">
        <is>
          <t>A 10158-2025</t>
        </is>
      </c>
      <c r="B292" s="1" t="n">
        <v>45719</v>
      </c>
      <c r="C292" s="1" t="n">
        <v>45935</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45935</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45935</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4868-2024</t>
        </is>
      </c>
      <c r="B295" s="1" t="n">
        <v>45329</v>
      </c>
      <c r="C295" s="1" t="n">
        <v>45935</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45935</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30489-2025</t>
        </is>
      </c>
      <c r="B297" s="1" t="n">
        <v>45830</v>
      </c>
      <c r="C297" s="1" t="n">
        <v>45935</v>
      </c>
      <c r="D297" t="inlineStr">
        <is>
          <t>GOTLANDS LÄN</t>
        </is>
      </c>
      <c r="E297" t="inlineStr">
        <is>
          <t>GOTLAND</t>
        </is>
      </c>
      <c r="G297" t="n">
        <v>4.6</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45935</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45935</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45935</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45935</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6108-2025</t>
        </is>
      </c>
      <c r="B302" s="1" t="n">
        <v>45698.29880787037</v>
      </c>
      <c r="C302" s="1" t="n">
        <v>45935</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45935</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45935</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58211-2024</t>
        </is>
      </c>
      <c r="B305" s="1" t="n">
        <v>45632.49292824074</v>
      </c>
      <c r="C305" s="1" t="n">
        <v>45935</v>
      </c>
      <c r="D305" t="inlineStr">
        <is>
          <t>GOTLANDS LÄN</t>
        </is>
      </c>
      <c r="E305" t="inlineStr">
        <is>
          <t>GOTLAND</t>
        </is>
      </c>
      <c r="G305" t="n">
        <v>5.4</v>
      </c>
      <c r="H305" t="n">
        <v>0</v>
      </c>
      <c r="I305" t="n">
        <v>0</v>
      </c>
      <c r="J305" t="n">
        <v>0</v>
      </c>
      <c r="K305" t="n">
        <v>0</v>
      </c>
      <c r="L305" t="n">
        <v>0</v>
      </c>
      <c r="M305" t="n">
        <v>0</v>
      </c>
      <c r="N305" t="n">
        <v>0</v>
      </c>
      <c r="O305" t="n">
        <v>0</v>
      </c>
      <c r="P305" t="n">
        <v>0</v>
      </c>
      <c r="Q305" t="n">
        <v>0</v>
      </c>
      <c r="R305" s="2" t="inlineStr"/>
    </row>
    <row r="306" ht="15" customHeight="1">
      <c r="A306" t="inlineStr">
        <is>
          <t>A 41038-2023</t>
        </is>
      </c>
      <c r="B306" s="1" t="n">
        <v>45173.60959490741</v>
      </c>
      <c r="C306" s="1" t="n">
        <v>45935</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11634-2024</t>
        </is>
      </c>
      <c r="B307" s="1" t="n">
        <v>45373</v>
      </c>
      <c r="C307" s="1" t="n">
        <v>45935</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5884-2025</t>
        </is>
      </c>
      <c r="B308" s="1" t="n">
        <v>45695.37482638889</v>
      </c>
      <c r="C308" s="1" t="n">
        <v>45935</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5897-2025</t>
        </is>
      </c>
      <c r="B309" s="1" t="n">
        <v>45695.39273148148</v>
      </c>
      <c r="C309" s="1" t="n">
        <v>45935</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5909-2025</t>
        </is>
      </c>
      <c r="B310" s="1" t="n">
        <v>45695.40634259259</v>
      </c>
      <c r="C310" s="1" t="n">
        <v>45935</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17343-2025</t>
        </is>
      </c>
      <c r="B311" s="1" t="n">
        <v>45756.6687037037</v>
      </c>
      <c r="C311" s="1" t="n">
        <v>45935</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60086-2022</t>
        </is>
      </c>
      <c r="B312" s="1" t="n">
        <v>44909</v>
      </c>
      <c r="C312" s="1" t="n">
        <v>45935</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22704-2023</t>
        </is>
      </c>
      <c r="B313" s="1" t="n">
        <v>45071</v>
      </c>
      <c r="C313" s="1" t="n">
        <v>45935</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45935</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51782-2023</t>
        </is>
      </c>
      <c r="B315" s="1" t="n">
        <v>45222.80952546297</v>
      </c>
      <c r="C315" s="1" t="n">
        <v>45935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45935</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60675-2021</t>
        </is>
      </c>
      <c r="B317" s="1" t="n">
        <v>44496.64855324074</v>
      </c>
      <c r="C317" s="1" t="n">
        <v>45935</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24966-2023</t>
        </is>
      </c>
      <c r="B318" s="1" t="n">
        <v>45085</v>
      </c>
      <c r="C318" s="1" t="n">
        <v>45935</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45935</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46189-2022</t>
        </is>
      </c>
      <c r="B320" s="1" t="n">
        <v>44847</v>
      </c>
      <c r="C320" s="1" t="n">
        <v>45935</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5217-2023</t>
        </is>
      </c>
      <c r="B321" s="1" t="n">
        <v>44959.39582175926</v>
      </c>
      <c r="C321" s="1" t="n">
        <v>45935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45935</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25866-2022</t>
        </is>
      </c>
      <c r="B323" s="1" t="n">
        <v>44733</v>
      </c>
      <c r="C323" s="1" t="n">
        <v>45935</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57522-2022</t>
        </is>
      </c>
      <c r="B324" s="1" t="n">
        <v>44896</v>
      </c>
      <c r="C324" s="1" t="n">
        <v>45935</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45935</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4421-2024</t>
        </is>
      </c>
      <c r="B326" s="1" t="n">
        <v>45327.45173611111</v>
      </c>
      <c r="C326" s="1" t="n">
        <v>45935</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7837-2024</t>
        </is>
      </c>
      <c r="B327" s="1" t="n">
        <v>45349.83787037037</v>
      </c>
      <c r="C327" s="1" t="n">
        <v>45935</v>
      </c>
      <c r="D327" t="inlineStr">
        <is>
          <t>GOTLANDS LÄN</t>
        </is>
      </c>
      <c r="E327" t="inlineStr">
        <is>
          <t>GOTLAND</t>
        </is>
      </c>
      <c r="G327" t="n">
        <v>5</v>
      </c>
      <c r="H327" t="n">
        <v>0</v>
      </c>
      <c r="I327" t="n">
        <v>0</v>
      </c>
      <c r="J327" t="n">
        <v>0</v>
      </c>
      <c r="K327" t="n">
        <v>0</v>
      </c>
      <c r="L327" t="n">
        <v>0</v>
      </c>
      <c r="M327" t="n">
        <v>0</v>
      </c>
      <c r="N327" t="n">
        <v>0</v>
      </c>
      <c r="O327" t="n">
        <v>0</v>
      </c>
      <c r="P327" t="n">
        <v>0</v>
      </c>
      <c r="Q327" t="n">
        <v>0</v>
      </c>
      <c r="R327" s="2" t="inlineStr"/>
    </row>
    <row r="328" ht="15" customHeight="1">
      <c r="A328" t="inlineStr">
        <is>
          <t>A 20165-2022</t>
        </is>
      </c>
      <c r="B328" s="1" t="n">
        <v>44698.49854166667</v>
      </c>
      <c r="C328" s="1" t="n">
        <v>45935</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45935</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12209-2024</t>
        </is>
      </c>
      <c r="B330" s="1" t="n">
        <v>45378</v>
      </c>
      <c r="C330" s="1" t="n">
        <v>45935</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12210-2024</t>
        </is>
      </c>
      <c r="B331" s="1" t="n">
        <v>45378</v>
      </c>
      <c r="C331" s="1" t="n">
        <v>45935</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1394-2023</t>
        </is>
      </c>
      <c r="B332" s="1" t="n">
        <v>44936.72997685185</v>
      </c>
      <c r="C332" s="1" t="n">
        <v>45935</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45935</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45935</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45935</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45935</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49411-2023</t>
        </is>
      </c>
      <c r="B337" s="1" t="n">
        <v>45205</v>
      </c>
      <c r="C337" s="1" t="n">
        <v>45935</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37728-2024</t>
        </is>
      </c>
      <c r="B338" s="1" t="n">
        <v>45541</v>
      </c>
      <c r="C338" s="1" t="n">
        <v>45935</v>
      </c>
      <c r="D338" t="inlineStr">
        <is>
          <t>GOTLANDS LÄN</t>
        </is>
      </c>
      <c r="E338" t="inlineStr">
        <is>
          <t>GOTLAND</t>
        </is>
      </c>
      <c r="G338" t="n">
        <v>0.4</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45935</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45935</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45935</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18993-2025</t>
        </is>
      </c>
      <c r="B342" s="1" t="n">
        <v>45764</v>
      </c>
      <c r="C342" s="1" t="n">
        <v>45935</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30135-2025</t>
        </is>
      </c>
      <c r="B343" s="1" t="n">
        <v>45826</v>
      </c>
      <c r="C343" s="1" t="n">
        <v>45935</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43223-2023</t>
        </is>
      </c>
      <c r="B344" s="1" t="n">
        <v>45183.45642361111</v>
      </c>
      <c r="C344" s="1" t="n">
        <v>45935</v>
      </c>
      <c r="D344" t="inlineStr">
        <is>
          <t>GOTLANDS LÄN</t>
        </is>
      </c>
      <c r="E344" t="inlineStr">
        <is>
          <t>GOTLAND</t>
        </is>
      </c>
      <c r="G344" t="n">
        <v>1.8</v>
      </c>
      <c r="H344" t="n">
        <v>0</v>
      </c>
      <c r="I344" t="n">
        <v>0</v>
      </c>
      <c r="J344" t="n">
        <v>0</v>
      </c>
      <c r="K344" t="n">
        <v>0</v>
      </c>
      <c r="L344" t="n">
        <v>0</v>
      </c>
      <c r="M344" t="n">
        <v>0</v>
      </c>
      <c r="N344" t="n">
        <v>0</v>
      </c>
      <c r="O344" t="n">
        <v>0</v>
      </c>
      <c r="P344" t="n">
        <v>0</v>
      </c>
      <c r="Q344" t="n">
        <v>0</v>
      </c>
      <c r="R344" s="2" t="inlineStr"/>
    </row>
    <row r="345" ht="15" customHeight="1">
      <c r="A345" t="inlineStr">
        <is>
          <t>A 61962-2024</t>
        </is>
      </c>
      <c r="B345" s="1" t="n">
        <v>45653.54340277778</v>
      </c>
      <c r="C345" s="1" t="n">
        <v>45935</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31802-2024</t>
        </is>
      </c>
      <c r="B346" s="1" t="n">
        <v>45509</v>
      </c>
      <c r="C346" s="1" t="n">
        <v>45935</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45935</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15042-2025</t>
        </is>
      </c>
      <c r="B348" s="1" t="n">
        <v>45743</v>
      </c>
      <c r="C348" s="1" t="n">
        <v>45935</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45935</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27930-2021</t>
        </is>
      </c>
      <c r="B350" s="1" t="n">
        <v>44354</v>
      </c>
      <c r="C350" s="1" t="n">
        <v>45935</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59469-2024</t>
        </is>
      </c>
      <c r="B351" s="1" t="n">
        <v>45638</v>
      </c>
      <c r="C351" s="1" t="n">
        <v>45935</v>
      </c>
      <c r="D351" t="inlineStr">
        <is>
          <t>GOTLANDS LÄN</t>
        </is>
      </c>
      <c r="E351" t="inlineStr">
        <is>
          <t>GOTLAND</t>
        </is>
      </c>
      <c r="G351" t="n">
        <v>0.4</v>
      </c>
      <c r="H351" t="n">
        <v>0</v>
      </c>
      <c r="I351" t="n">
        <v>0</v>
      </c>
      <c r="J351" t="n">
        <v>0</v>
      </c>
      <c r="K351" t="n">
        <v>0</v>
      </c>
      <c r="L351" t="n">
        <v>0</v>
      </c>
      <c r="M351" t="n">
        <v>0</v>
      </c>
      <c r="N351" t="n">
        <v>0</v>
      </c>
      <c r="O351" t="n">
        <v>0</v>
      </c>
      <c r="P351" t="n">
        <v>0</v>
      </c>
      <c r="Q351" t="n">
        <v>0</v>
      </c>
      <c r="R351" s="2" t="inlineStr"/>
    </row>
    <row r="352" ht="15" customHeight="1">
      <c r="A352" t="inlineStr">
        <is>
          <t>A 12327-2025</t>
        </is>
      </c>
      <c r="B352" s="1" t="n">
        <v>45730</v>
      </c>
      <c r="C352" s="1" t="n">
        <v>45935</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4420-2025</t>
        </is>
      </c>
      <c r="B353" s="1" t="n">
        <v>45686.47157407407</v>
      </c>
      <c r="C353" s="1" t="n">
        <v>45935</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5751-2024</t>
        </is>
      </c>
      <c r="B354" s="1" t="n">
        <v>45335.32702546296</v>
      </c>
      <c r="C354" s="1" t="n">
        <v>45935</v>
      </c>
      <c r="D354" t="inlineStr">
        <is>
          <t>GOTLANDS LÄN</t>
        </is>
      </c>
      <c r="E354" t="inlineStr">
        <is>
          <t>GOTLAND</t>
        </is>
      </c>
      <c r="G354" t="n">
        <v>4.2</v>
      </c>
      <c r="H354" t="n">
        <v>0</v>
      </c>
      <c r="I354" t="n">
        <v>0</v>
      </c>
      <c r="J354" t="n">
        <v>0</v>
      </c>
      <c r="K354" t="n">
        <v>0</v>
      </c>
      <c r="L354" t="n">
        <v>0</v>
      </c>
      <c r="M354" t="n">
        <v>0</v>
      </c>
      <c r="N354" t="n">
        <v>0</v>
      </c>
      <c r="O354" t="n">
        <v>0</v>
      </c>
      <c r="P354" t="n">
        <v>0</v>
      </c>
      <c r="Q354" t="n">
        <v>0</v>
      </c>
      <c r="R354" s="2" t="inlineStr"/>
    </row>
    <row r="355" ht="15" customHeight="1">
      <c r="A355" t="inlineStr">
        <is>
          <t>A 6696-2023</t>
        </is>
      </c>
      <c r="B355" s="1" t="n">
        <v>44966.66425925926</v>
      </c>
      <c r="C355" s="1" t="n">
        <v>45935</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45935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28480-2023</t>
        </is>
      </c>
      <c r="B357" s="1" t="n">
        <v>45103</v>
      </c>
      <c r="C357" s="1" t="n">
        <v>45935</v>
      </c>
      <c r="D357" t="inlineStr">
        <is>
          <t>GOTLANDS LÄN</t>
        </is>
      </c>
      <c r="E357" t="inlineStr">
        <is>
          <t>GOTLAND</t>
        </is>
      </c>
      <c r="G357" t="n">
        <v>5.7</v>
      </c>
      <c r="H357" t="n">
        <v>0</v>
      </c>
      <c r="I357" t="n">
        <v>0</v>
      </c>
      <c r="J357" t="n">
        <v>0</v>
      </c>
      <c r="K357" t="n">
        <v>0</v>
      </c>
      <c r="L357" t="n">
        <v>0</v>
      </c>
      <c r="M357" t="n">
        <v>0</v>
      </c>
      <c r="N357" t="n">
        <v>0</v>
      </c>
      <c r="O357" t="n">
        <v>0</v>
      </c>
      <c r="P357" t="n">
        <v>0</v>
      </c>
      <c r="Q357" t="n">
        <v>0</v>
      </c>
      <c r="R357" s="2" t="inlineStr"/>
    </row>
    <row r="358" ht="15" customHeight="1">
      <c r="A358" t="inlineStr">
        <is>
          <t>A 28485-2023</t>
        </is>
      </c>
      <c r="B358" s="1" t="n">
        <v>45103.43731481482</v>
      </c>
      <c r="C358" s="1" t="n">
        <v>45935</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4990-2025</t>
        </is>
      </c>
      <c r="B359" s="1" t="n">
        <v>45691</v>
      </c>
      <c r="C359" s="1" t="n">
        <v>45935</v>
      </c>
      <c r="D359" t="inlineStr">
        <is>
          <t>GOTLANDS LÄN</t>
        </is>
      </c>
      <c r="E359" t="inlineStr">
        <is>
          <t>GOTLAND</t>
        </is>
      </c>
      <c r="G359" t="n">
        <v>7.7</v>
      </c>
      <c r="H359" t="n">
        <v>0</v>
      </c>
      <c r="I359" t="n">
        <v>0</v>
      </c>
      <c r="J359" t="n">
        <v>0</v>
      </c>
      <c r="K359" t="n">
        <v>0</v>
      </c>
      <c r="L359" t="n">
        <v>0</v>
      </c>
      <c r="M359" t="n">
        <v>0</v>
      </c>
      <c r="N359" t="n">
        <v>0</v>
      </c>
      <c r="O359" t="n">
        <v>0</v>
      </c>
      <c r="P359" t="n">
        <v>0</v>
      </c>
      <c r="Q359" t="n">
        <v>0</v>
      </c>
      <c r="R359" s="2" t="inlineStr"/>
    </row>
    <row r="360" ht="15" customHeight="1">
      <c r="A360" t="inlineStr">
        <is>
          <t>A 12599-2025</t>
        </is>
      </c>
      <c r="B360" s="1" t="n">
        <v>45733.29546296296</v>
      </c>
      <c r="C360" s="1" t="n">
        <v>45935</v>
      </c>
      <c r="D360" t="inlineStr">
        <is>
          <t>GOTLANDS LÄN</t>
        </is>
      </c>
      <c r="E360" t="inlineStr">
        <is>
          <t>GOTLAND</t>
        </is>
      </c>
      <c r="G360" t="n">
        <v>4.7</v>
      </c>
      <c r="H360" t="n">
        <v>0</v>
      </c>
      <c r="I360" t="n">
        <v>0</v>
      </c>
      <c r="J360" t="n">
        <v>0</v>
      </c>
      <c r="K360" t="n">
        <v>0</v>
      </c>
      <c r="L360" t="n">
        <v>0</v>
      </c>
      <c r="M360" t="n">
        <v>0</v>
      </c>
      <c r="N360" t="n">
        <v>0</v>
      </c>
      <c r="O360" t="n">
        <v>0</v>
      </c>
      <c r="P360" t="n">
        <v>0</v>
      </c>
      <c r="Q360" t="n">
        <v>0</v>
      </c>
      <c r="R360" s="2" t="inlineStr"/>
    </row>
    <row r="361" ht="15" customHeight="1">
      <c r="A361" t="inlineStr">
        <is>
          <t>A 38165-2023</t>
        </is>
      </c>
      <c r="B361" s="1" t="n">
        <v>45161</v>
      </c>
      <c r="C361" s="1" t="n">
        <v>45935</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49257-2024</t>
        </is>
      </c>
      <c r="B362" s="1" t="n">
        <v>45595.47627314815</v>
      </c>
      <c r="C362" s="1" t="n">
        <v>45935</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45935</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49315-2024</t>
        </is>
      </c>
      <c r="B364" s="1" t="n">
        <v>45595</v>
      </c>
      <c r="C364" s="1" t="n">
        <v>45935</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45935</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45935</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45935</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45935</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45935</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45935</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45935</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49693-2023</t>
        </is>
      </c>
      <c r="B372" s="1" t="n">
        <v>45212.38138888889</v>
      </c>
      <c r="C372" s="1" t="n">
        <v>45935</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49697-2023</t>
        </is>
      </c>
      <c r="B373" s="1" t="n">
        <v>45212.38909722222</v>
      </c>
      <c r="C373" s="1" t="n">
        <v>45935</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7034-2023</t>
        </is>
      </c>
      <c r="B374" s="1" t="n">
        <v>44968.32108796296</v>
      </c>
      <c r="C374" s="1" t="n">
        <v>45935</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7042-2023</t>
        </is>
      </c>
      <c r="B375" s="1" t="n">
        <v>44968</v>
      </c>
      <c r="C375" s="1" t="n">
        <v>45935</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45935</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45935</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27596-2023</t>
        </is>
      </c>
      <c r="B378" s="1" t="n">
        <v>45097</v>
      </c>
      <c r="C378" s="1" t="n">
        <v>45935</v>
      </c>
      <c r="D378" t="inlineStr">
        <is>
          <t>GOTLANDS LÄN</t>
        </is>
      </c>
      <c r="E378" t="inlineStr">
        <is>
          <t>GOTLAND</t>
        </is>
      </c>
      <c r="G378" t="n">
        <v>3.6</v>
      </c>
      <c r="H378" t="n">
        <v>0</v>
      </c>
      <c r="I378" t="n">
        <v>0</v>
      </c>
      <c r="J378" t="n">
        <v>0</v>
      </c>
      <c r="K378" t="n">
        <v>0</v>
      </c>
      <c r="L378" t="n">
        <v>0</v>
      </c>
      <c r="M378" t="n">
        <v>0</v>
      </c>
      <c r="N378" t="n">
        <v>0</v>
      </c>
      <c r="O378" t="n">
        <v>0</v>
      </c>
      <c r="P378" t="n">
        <v>0</v>
      </c>
      <c r="Q378" t="n">
        <v>0</v>
      </c>
      <c r="R378" s="2" t="inlineStr"/>
    </row>
    <row r="379" ht="15" customHeight="1">
      <c r="A379" t="inlineStr">
        <is>
          <t>A 48503-2023</t>
        </is>
      </c>
      <c r="B379" s="1" t="n">
        <v>45207</v>
      </c>
      <c r="C379" s="1" t="n">
        <v>45935</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45935</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64969-2023</t>
        </is>
      </c>
      <c r="B381" s="1" t="n">
        <v>45284.54009259259</v>
      </c>
      <c r="C381" s="1" t="n">
        <v>45935</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33853-2024</t>
        </is>
      </c>
      <c r="B382" s="1" t="n">
        <v>45520.64298611111</v>
      </c>
      <c r="C382" s="1" t="n">
        <v>45935</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54074-2022</t>
        </is>
      </c>
      <c r="B383" s="1" t="n">
        <v>44881</v>
      </c>
      <c r="C383" s="1" t="n">
        <v>45935</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24825-2024</t>
        </is>
      </c>
      <c r="B384" s="1" t="n">
        <v>45461</v>
      </c>
      <c r="C384" s="1" t="n">
        <v>45935</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61694-2023</t>
        </is>
      </c>
      <c r="B385" s="1" t="n">
        <v>45264</v>
      </c>
      <c r="C385" s="1" t="n">
        <v>45935</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45935</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18223-2025</t>
        </is>
      </c>
      <c r="B387" s="1" t="n">
        <v>45761</v>
      </c>
      <c r="C387" s="1" t="n">
        <v>45935</v>
      </c>
      <c r="D387" t="inlineStr">
        <is>
          <t>GOTLANDS LÄN</t>
        </is>
      </c>
      <c r="E387" t="inlineStr">
        <is>
          <t>GOTLAND</t>
        </is>
      </c>
      <c r="G387" t="n">
        <v>0.7</v>
      </c>
      <c r="H387" t="n">
        <v>0</v>
      </c>
      <c r="I387" t="n">
        <v>0</v>
      </c>
      <c r="J387" t="n">
        <v>0</v>
      </c>
      <c r="K387" t="n">
        <v>0</v>
      </c>
      <c r="L387" t="n">
        <v>0</v>
      </c>
      <c r="M387" t="n">
        <v>0</v>
      </c>
      <c r="N387" t="n">
        <v>0</v>
      </c>
      <c r="O387" t="n">
        <v>0</v>
      </c>
      <c r="P387" t="n">
        <v>0</v>
      </c>
      <c r="Q387" t="n">
        <v>0</v>
      </c>
      <c r="R387" s="2" t="inlineStr"/>
    </row>
    <row r="388" ht="15" customHeight="1">
      <c r="A388" t="inlineStr">
        <is>
          <t>A 64208-2021</t>
        </is>
      </c>
      <c r="B388" s="1" t="n">
        <v>44510</v>
      </c>
      <c r="C388" s="1" t="n">
        <v>45935</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46949-2024</t>
        </is>
      </c>
      <c r="B389" s="1" t="n">
        <v>45585</v>
      </c>
      <c r="C389" s="1" t="n">
        <v>45935</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45935</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22031-2024</t>
        </is>
      </c>
      <c r="B391" s="1" t="n">
        <v>45443.60075231481</v>
      </c>
      <c r="C391" s="1" t="n">
        <v>45935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17688-2024</t>
        </is>
      </c>
      <c r="B392" s="1" t="n">
        <v>45418.43575231481</v>
      </c>
      <c r="C392" s="1" t="n">
        <v>45935</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1446-2025</t>
        </is>
      </c>
      <c r="B393" s="1" t="n">
        <v>45669.86035879629</v>
      </c>
      <c r="C393" s="1" t="n">
        <v>45935</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1462-2025</t>
        </is>
      </c>
      <c r="B394" s="1" t="n">
        <v>45670.36319444444</v>
      </c>
      <c r="C394" s="1" t="n">
        <v>45935</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57685-2022</t>
        </is>
      </c>
      <c r="B395" s="1" t="n">
        <v>44897.4777662037</v>
      </c>
      <c r="C395" s="1" t="n">
        <v>45935</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45935</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24001-2021</t>
        </is>
      </c>
      <c r="B397" s="1" t="n">
        <v>44335</v>
      </c>
      <c r="C397" s="1" t="n">
        <v>45935</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39479-2022</t>
        </is>
      </c>
      <c r="B398" s="1" t="n">
        <v>44818</v>
      </c>
      <c r="C398" s="1" t="n">
        <v>45935</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45935</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45935</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35142-2025</t>
        </is>
      </c>
      <c r="B401" s="1" t="n">
        <v>45852.65532407408</v>
      </c>
      <c r="C401" s="1" t="n">
        <v>45935</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45935</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5905-2024</t>
        </is>
      </c>
      <c r="B403" s="1" t="n">
        <v>45335.88993055555</v>
      </c>
      <c r="C403" s="1" t="n">
        <v>45935</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3431-2025</t>
        </is>
      </c>
      <c r="B404" s="1" t="n">
        <v>45680.42935185185</v>
      </c>
      <c r="C404" s="1" t="n">
        <v>45935</v>
      </c>
      <c r="D404" t="inlineStr">
        <is>
          <t>GOTLANDS LÄN</t>
        </is>
      </c>
      <c r="E404" t="inlineStr">
        <is>
          <t>GOTLAND</t>
        </is>
      </c>
      <c r="G404" t="n">
        <v>4.8</v>
      </c>
      <c r="H404" t="n">
        <v>0</v>
      </c>
      <c r="I404" t="n">
        <v>0</v>
      </c>
      <c r="J404" t="n">
        <v>0</v>
      </c>
      <c r="K404" t="n">
        <v>0</v>
      </c>
      <c r="L404" t="n">
        <v>0</v>
      </c>
      <c r="M404" t="n">
        <v>0</v>
      </c>
      <c r="N404" t="n">
        <v>0</v>
      </c>
      <c r="O404" t="n">
        <v>0</v>
      </c>
      <c r="P404" t="n">
        <v>0</v>
      </c>
      <c r="Q404" t="n">
        <v>0</v>
      </c>
      <c r="R404" s="2" t="inlineStr"/>
    </row>
    <row r="405" ht="15" customHeight="1">
      <c r="A405" t="inlineStr">
        <is>
          <t>A 35141-2025</t>
        </is>
      </c>
      <c r="B405" s="1" t="n">
        <v>45852.65206018519</v>
      </c>
      <c r="C405" s="1" t="n">
        <v>45935</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39764-2022</t>
        </is>
      </c>
      <c r="B406" s="1" t="n">
        <v>44819</v>
      </c>
      <c r="C406" s="1" t="n">
        <v>45935</v>
      </c>
      <c r="D406" t="inlineStr">
        <is>
          <t>GOTLANDS LÄN</t>
        </is>
      </c>
      <c r="E406" t="inlineStr">
        <is>
          <t>GOTLAND</t>
        </is>
      </c>
      <c r="F406" t="inlineStr">
        <is>
          <t>Kyrkan</t>
        </is>
      </c>
      <c r="G406" t="n">
        <v>3.7</v>
      </c>
      <c r="H406" t="n">
        <v>0</v>
      </c>
      <c r="I406" t="n">
        <v>0</v>
      </c>
      <c r="J406" t="n">
        <v>0</v>
      </c>
      <c r="K406" t="n">
        <v>0</v>
      </c>
      <c r="L406" t="n">
        <v>0</v>
      </c>
      <c r="M406" t="n">
        <v>0</v>
      </c>
      <c r="N406" t="n">
        <v>0</v>
      </c>
      <c r="O406" t="n">
        <v>0</v>
      </c>
      <c r="P406" t="n">
        <v>0</v>
      </c>
      <c r="Q406" t="n">
        <v>0</v>
      </c>
      <c r="R406" s="2" t="inlineStr"/>
    </row>
    <row r="407" ht="15" customHeight="1">
      <c r="A407" t="inlineStr">
        <is>
          <t>A 34407-2023</t>
        </is>
      </c>
      <c r="B407" s="1" t="n">
        <v>45132</v>
      </c>
      <c r="C407" s="1" t="n">
        <v>45935</v>
      </c>
      <c r="D407" t="inlineStr">
        <is>
          <t>GOTLANDS LÄN</t>
        </is>
      </c>
      <c r="E407" t="inlineStr">
        <is>
          <t>GOTLAND</t>
        </is>
      </c>
      <c r="G407" t="n">
        <v>4.4</v>
      </c>
      <c r="H407" t="n">
        <v>0</v>
      </c>
      <c r="I407" t="n">
        <v>0</v>
      </c>
      <c r="J407" t="n">
        <v>0</v>
      </c>
      <c r="K407" t="n">
        <v>0</v>
      </c>
      <c r="L407" t="n">
        <v>0</v>
      </c>
      <c r="M407" t="n">
        <v>0</v>
      </c>
      <c r="N407" t="n">
        <v>0</v>
      </c>
      <c r="O407" t="n">
        <v>0</v>
      </c>
      <c r="P407" t="n">
        <v>0</v>
      </c>
      <c r="Q407" t="n">
        <v>0</v>
      </c>
      <c r="R407" s="2" t="inlineStr"/>
    </row>
    <row r="408" ht="15" customHeight="1">
      <c r="A408" t="inlineStr">
        <is>
          <t>A 30892-2024</t>
        </is>
      </c>
      <c r="B408" s="1" t="n">
        <v>45491</v>
      </c>
      <c r="C408" s="1" t="n">
        <v>45935</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46389-2021</t>
        </is>
      </c>
      <c r="B409" s="1" t="n">
        <v>44443</v>
      </c>
      <c r="C409" s="1" t="n">
        <v>45935</v>
      </c>
      <c r="D409" t="inlineStr">
        <is>
          <t>GOTLANDS LÄN</t>
        </is>
      </c>
      <c r="E409" t="inlineStr">
        <is>
          <t>GOTLAND</t>
        </is>
      </c>
      <c r="F409" t="inlineStr">
        <is>
          <t>Kyrkan</t>
        </is>
      </c>
      <c r="G409" t="n">
        <v>2.1</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45935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6099-2024</t>
        </is>
      </c>
      <c r="B411" s="1" t="n">
        <v>45337</v>
      </c>
      <c r="C411" s="1" t="n">
        <v>45935</v>
      </c>
      <c r="D411" t="inlineStr">
        <is>
          <t>GOTLANDS LÄN</t>
        </is>
      </c>
      <c r="E411" t="inlineStr">
        <is>
          <t>GOTLAND</t>
        </is>
      </c>
      <c r="G411" t="n">
        <v>12.6</v>
      </c>
      <c r="H411" t="n">
        <v>0</v>
      </c>
      <c r="I411" t="n">
        <v>0</v>
      </c>
      <c r="J411" t="n">
        <v>0</v>
      </c>
      <c r="K411" t="n">
        <v>0</v>
      </c>
      <c r="L411" t="n">
        <v>0</v>
      </c>
      <c r="M411" t="n">
        <v>0</v>
      </c>
      <c r="N411" t="n">
        <v>0</v>
      </c>
      <c r="O411" t="n">
        <v>0</v>
      </c>
      <c r="P411" t="n">
        <v>0</v>
      </c>
      <c r="Q411" t="n">
        <v>0</v>
      </c>
      <c r="R411" s="2" t="inlineStr"/>
    </row>
    <row r="412" ht="15" customHeight="1">
      <c r="A412" t="inlineStr">
        <is>
          <t>A 8260-2023</t>
        </is>
      </c>
      <c r="B412" s="1" t="n">
        <v>44974.61608796296</v>
      </c>
      <c r="C412" s="1" t="n">
        <v>45935</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45935</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45935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45935</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999-2023</t>
        </is>
      </c>
      <c r="B416" s="1" t="n">
        <v>44935</v>
      </c>
      <c r="C416" s="1" t="n">
        <v>45935</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22287-2022</t>
        </is>
      </c>
      <c r="B417" s="1" t="n">
        <v>44712</v>
      </c>
      <c r="C417" s="1" t="n">
        <v>45935</v>
      </c>
      <c r="D417" t="inlineStr">
        <is>
          <t>GOTLANDS LÄN</t>
        </is>
      </c>
      <c r="E417" t="inlineStr">
        <is>
          <t>GOTLAND</t>
        </is>
      </c>
      <c r="G417" t="n">
        <v>6.1</v>
      </c>
      <c r="H417" t="n">
        <v>0</v>
      </c>
      <c r="I417" t="n">
        <v>0</v>
      </c>
      <c r="J417" t="n">
        <v>0</v>
      </c>
      <c r="K417" t="n">
        <v>0</v>
      </c>
      <c r="L417" t="n">
        <v>0</v>
      </c>
      <c r="M417" t="n">
        <v>0</v>
      </c>
      <c r="N417" t="n">
        <v>0</v>
      </c>
      <c r="O417" t="n">
        <v>0</v>
      </c>
      <c r="P417" t="n">
        <v>0</v>
      </c>
      <c r="Q417" t="n">
        <v>0</v>
      </c>
      <c r="R417" s="2" t="inlineStr"/>
    </row>
    <row r="418" ht="15" customHeight="1">
      <c r="A418" t="inlineStr">
        <is>
          <t>A 1364-2025</t>
        </is>
      </c>
      <c r="B418" s="1" t="n">
        <v>45667.63929398148</v>
      </c>
      <c r="C418" s="1" t="n">
        <v>45935</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45935</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57534-2022</t>
        </is>
      </c>
      <c r="B420" s="1" t="n">
        <v>44896</v>
      </c>
      <c r="C420" s="1" t="n">
        <v>45935</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8684-2025</t>
        </is>
      </c>
      <c r="B421" s="1" t="n">
        <v>45712.45605324074</v>
      </c>
      <c r="C421" s="1" t="n">
        <v>45935</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17682-2024</t>
        </is>
      </c>
      <c r="B422" s="1" t="n">
        <v>45418.42966435185</v>
      </c>
      <c r="C422" s="1" t="n">
        <v>45935</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61897-2024</t>
        </is>
      </c>
      <c r="B423" s="1" t="n">
        <v>45652.75685185185</v>
      </c>
      <c r="C423" s="1" t="n">
        <v>45935</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12032-2025</t>
        </is>
      </c>
      <c r="B424" s="1" t="n">
        <v>45728.64472222222</v>
      </c>
      <c r="C424" s="1" t="n">
        <v>45935</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45935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15595-2024</t>
        </is>
      </c>
      <c r="B426" s="1" t="n">
        <v>45401.81480324074</v>
      </c>
      <c r="C426" s="1" t="n">
        <v>45935</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45935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64660-2023</t>
        </is>
      </c>
      <c r="B428" s="1" t="n">
        <v>45281.60122685185</v>
      </c>
      <c r="C428" s="1" t="n">
        <v>45935</v>
      </c>
      <c r="D428" t="inlineStr">
        <is>
          <t>GOTLANDS LÄN</t>
        </is>
      </c>
      <c r="E428" t="inlineStr">
        <is>
          <t>GOTLAND</t>
        </is>
      </c>
      <c r="G428" t="n">
        <v>6.3</v>
      </c>
      <c r="H428" t="n">
        <v>0</v>
      </c>
      <c r="I428" t="n">
        <v>0</v>
      </c>
      <c r="J428" t="n">
        <v>0</v>
      </c>
      <c r="K428" t="n">
        <v>0</v>
      </c>
      <c r="L428" t="n">
        <v>0</v>
      </c>
      <c r="M428" t="n">
        <v>0</v>
      </c>
      <c r="N428" t="n">
        <v>0</v>
      </c>
      <c r="O428" t="n">
        <v>0</v>
      </c>
      <c r="P428" t="n">
        <v>0</v>
      </c>
      <c r="Q428" t="n">
        <v>0</v>
      </c>
      <c r="R428" s="2" t="inlineStr"/>
    </row>
    <row r="429" ht="15" customHeight="1">
      <c r="A429" t="inlineStr">
        <is>
          <t>A 2774-2024</t>
        </is>
      </c>
      <c r="B429" s="1" t="n">
        <v>45314.62375</v>
      </c>
      <c r="C429" s="1" t="n">
        <v>45935</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47637-2025</t>
        </is>
      </c>
      <c r="B430" s="1" t="n">
        <v>45931.49753472222</v>
      </c>
      <c r="C430" s="1" t="n">
        <v>45935</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9947-2024</t>
        </is>
      </c>
      <c r="B431" s="1" t="n">
        <v>45363</v>
      </c>
      <c r="C431" s="1" t="n">
        <v>45935</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42007-2023</t>
        </is>
      </c>
      <c r="B432" s="1" t="n">
        <v>45177</v>
      </c>
      <c r="C432" s="1" t="n">
        <v>45935</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47147-2025</t>
        </is>
      </c>
      <c r="B433" s="1" t="n">
        <v>45929.71716435185</v>
      </c>
      <c r="C433" s="1" t="n">
        <v>45935</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45935</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17541-2024</t>
        </is>
      </c>
      <c r="B435" s="1" t="n">
        <v>45415</v>
      </c>
      <c r="C435" s="1" t="n">
        <v>45935</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45935</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45935</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39278-2025</t>
        </is>
      </c>
      <c r="B438" s="1" t="n">
        <v>45889</v>
      </c>
      <c r="C438" s="1" t="n">
        <v>45935</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13910-2025</t>
        </is>
      </c>
      <c r="B439" s="1" t="n">
        <v>45737</v>
      </c>
      <c r="C439" s="1" t="n">
        <v>45935</v>
      </c>
      <c r="D439" t="inlineStr">
        <is>
          <t>GOTLANDS LÄN</t>
        </is>
      </c>
      <c r="E439" t="inlineStr">
        <is>
          <t>GOTLAND</t>
        </is>
      </c>
      <c r="F439" t="inlineStr">
        <is>
          <t>Kommuner</t>
        </is>
      </c>
      <c r="G439" t="n">
        <v>3.2</v>
      </c>
      <c r="H439" t="n">
        <v>0</v>
      </c>
      <c r="I439" t="n">
        <v>0</v>
      </c>
      <c r="J439" t="n">
        <v>0</v>
      </c>
      <c r="K439" t="n">
        <v>0</v>
      </c>
      <c r="L439" t="n">
        <v>0</v>
      </c>
      <c r="M439" t="n">
        <v>0</v>
      </c>
      <c r="N439" t="n">
        <v>0</v>
      </c>
      <c r="O439" t="n">
        <v>0</v>
      </c>
      <c r="P439" t="n">
        <v>0</v>
      </c>
      <c r="Q439" t="n">
        <v>0</v>
      </c>
      <c r="R439" s="2" t="inlineStr"/>
    </row>
    <row r="440" ht="15" customHeight="1">
      <c r="A440" t="inlineStr">
        <is>
          <t>A 39849-2025</t>
        </is>
      </c>
      <c r="B440" s="1" t="n">
        <v>45891.58502314815</v>
      </c>
      <c r="C440" s="1" t="n">
        <v>45935</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38649-2025</t>
        </is>
      </c>
      <c r="B441" s="1" t="n">
        <v>45884</v>
      </c>
      <c r="C441" s="1" t="n">
        <v>45935</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45935</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20794-2025</t>
        </is>
      </c>
      <c r="B443" s="1" t="n">
        <v>45776</v>
      </c>
      <c r="C443" s="1" t="n">
        <v>45935</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60709-2023</t>
        </is>
      </c>
      <c r="B444" s="1" t="n">
        <v>45260</v>
      </c>
      <c r="C444" s="1" t="n">
        <v>45935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45935</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45935</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65249-2023</t>
        </is>
      </c>
      <c r="B447" s="1" t="n">
        <v>45290</v>
      </c>
      <c r="C447" s="1" t="n">
        <v>45935</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45935</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15083-2025</t>
        </is>
      </c>
      <c r="B449" s="1" t="n">
        <v>45743</v>
      </c>
      <c r="C449" s="1" t="n">
        <v>45935</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45935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39814-2025</t>
        </is>
      </c>
      <c r="B451" s="1" t="n">
        <v>45891.52694444444</v>
      </c>
      <c r="C451" s="1" t="n">
        <v>45935</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30956-2024</t>
        </is>
      </c>
      <c r="B452" s="1" t="n">
        <v>45499.42527777778</v>
      </c>
      <c r="C452" s="1" t="n">
        <v>45935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12596-2023</t>
        </is>
      </c>
      <c r="B453" s="1" t="n">
        <v>45000.43310185185</v>
      </c>
      <c r="C453" s="1" t="n">
        <v>45935</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45935</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45935</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45935</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47578-2025</t>
        </is>
      </c>
      <c r="B457" s="1" t="n">
        <v>45931</v>
      </c>
      <c r="C457" s="1" t="n">
        <v>45935</v>
      </c>
      <c r="D457" t="inlineStr">
        <is>
          <t>GOTLANDS LÄN</t>
        </is>
      </c>
      <c r="E457" t="inlineStr">
        <is>
          <t>GOTLAND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39752-2025</t>
        </is>
      </c>
      <c r="B458" s="1" t="n">
        <v>45891</v>
      </c>
      <c r="C458" s="1" t="n">
        <v>45935</v>
      </c>
      <c r="D458" t="inlineStr">
        <is>
          <t>GOTLANDS LÄN</t>
        </is>
      </c>
      <c r="E458" t="inlineStr">
        <is>
          <t>GOTLAND</t>
        </is>
      </c>
      <c r="G458" t="n">
        <v>5.3</v>
      </c>
      <c r="H458" t="n">
        <v>0</v>
      </c>
      <c r="I458" t="n">
        <v>0</v>
      </c>
      <c r="J458" t="n">
        <v>0</v>
      </c>
      <c r="K458" t="n">
        <v>0</v>
      </c>
      <c r="L458" t="n">
        <v>0</v>
      </c>
      <c r="M458" t="n">
        <v>0</v>
      </c>
      <c r="N458" t="n">
        <v>0</v>
      </c>
      <c r="O458" t="n">
        <v>0</v>
      </c>
      <c r="P458" t="n">
        <v>0</v>
      </c>
      <c r="Q458" t="n">
        <v>0</v>
      </c>
      <c r="R458" s="2" t="inlineStr"/>
    </row>
    <row r="459" ht="15" customHeight="1">
      <c r="A459" t="inlineStr">
        <is>
          <t>A 39816-2025</t>
        </is>
      </c>
      <c r="B459" s="1" t="n">
        <v>45891</v>
      </c>
      <c r="C459" s="1" t="n">
        <v>45935</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999-2024</t>
        </is>
      </c>
      <c r="B460" s="1" t="n">
        <v>45301</v>
      </c>
      <c r="C460" s="1" t="n">
        <v>45935</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45935</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45935</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1066-2024</t>
        </is>
      </c>
      <c r="B463" s="1" t="n">
        <v>45302.285</v>
      </c>
      <c r="C463" s="1" t="n">
        <v>45935</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37202-2024</t>
        </is>
      </c>
      <c r="B464" s="1" t="n">
        <v>45539.67310185185</v>
      </c>
      <c r="C464" s="1" t="n">
        <v>45935</v>
      </c>
      <c r="D464" t="inlineStr">
        <is>
          <t>GOTLANDS LÄN</t>
        </is>
      </c>
      <c r="E464" t="inlineStr">
        <is>
          <t>GOTLAND</t>
        </is>
      </c>
      <c r="G464" t="n">
        <v>0.3</v>
      </c>
      <c r="H464" t="n">
        <v>0</v>
      </c>
      <c r="I464" t="n">
        <v>0</v>
      </c>
      <c r="J464" t="n">
        <v>0</v>
      </c>
      <c r="K464" t="n">
        <v>0</v>
      </c>
      <c r="L464" t="n">
        <v>0</v>
      </c>
      <c r="M464" t="n">
        <v>0</v>
      </c>
      <c r="N464" t="n">
        <v>0</v>
      </c>
      <c r="O464" t="n">
        <v>0</v>
      </c>
      <c r="P464" t="n">
        <v>0</v>
      </c>
      <c r="Q464" t="n">
        <v>0</v>
      </c>
      <c r="R464" s="2" t="inlineStr"/>
    </row>
    <row r="465" ht="15" customHeight="1">
      <c r="A465" t="inlineStr">
        <is>
          <t>A 30815-2023</t>
        </is>
      </c>
      <c r="B465" s="1" t="n">
        <v>45112</v>
      </c>
      <c r="C465" s="1" t="n">
        <v>45935</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45935</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10656-2024</t>
        </is>
      </c>
      <c r="B467" s="1" t="n">
        <v>45368</v>
      </c>
      <c r="C467" s="1" t="n">
        <v>45935</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57356-2023</t>
        </is>
      </c>
      <c r="B468" s="1" t="n">
        <v>45240</v>
      </c>
      <c r="C468" s="1" t="n">
        <v>45935</v>
      </c>
      <c r="D468" t="inlineStr">
        <is>
          <t>GOTLANDS LÄN</t>
        </is>
      </c>
      <c r="E468" t="inlineStr">
        <is>
          <t>GOTLAND</t>
        </is>
      </c>
      <c r="G468" t="n">
        <v>6.4</v>
      </c>
      <c r="H468" t="n">
        <v>0</v>
      </c>
      <c r="I468" t="n">
        <v>0</v>
      </c>
      <c r="J468" t="n">
        <v>0</v>
      </c>
      <c r="K468" t="n">
        <v>0</v>
      </c>
      <c r="L468" t="n">
        <v>0</v>
      </c>
      <c r="M468" t="n">
        <v>0</v>
      </c>
      <c r="N468" t="n">
        <v>0</v>
      </c>
      <c r="O468" t="n">
        <v>0</v>
      </c>
      <c r="P468" t="n">
        <v>0</v>
      </c>
      <c r="Q468" t="n">
        <v>0</v>
      </c>
      <c r="R468" s="2" t="inlineStr"/>
    </row>
    <row r="469" ht="15" customHeight="1">
      <c r="A469" t="inlineStr">
        <is>
          <t>A 28506-2023</t>
        </is>
      </c>
      <c r="B469" s="1" t="n">
        <v>45103</v>
      </c>
      <c r="C469" s="1" t="n">
        <v>45935</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23188-2025</t>
        </is>
      </c>
      <c r="B470" s="1" t="n">
        <v>45791</v>
      </c>
      <c r="C470" s="1" t="n">
        <v>45935</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45935</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45935</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45935</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45935</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23856-2025</t>
        </is>
      </c>
      <c r="B475" s="1" t="n">
        <v>45793</v>
      </c>
      <c r="C475" s="1" t="n">
        <v>45935</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23473-2025</t>
        </is>
      </c>
      <c r="B476" s="1" t="n">
        <v>45792</v>
      </c>
      <c r="C476" s="1" t="n">
        <v>45935</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45935</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45935</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45935</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45935</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45935</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32330-2024</t>
        </is>
      </c>
      <c r="B482" s="1" t="n">
        <v>45512</v>
      </c>
      <c r="C482" s="1" t="n">
        <v>45935</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45935</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6749-2025</t>
        </is>
      </c>
      <c r="B484" s="1" t="n">
        <v>45700</v>
      </c>
      <c r="C484" s="1" t="n">
        <v>45935</v>
      </c>
      <c r="D484" t="inlineStr">
        <is>
          <t>GOTLANDS LÄN</t>
        </is>
      </c>
      <c r="E484" t="inlineStr">
        <is>
          <t>GOTLAND</t>
        </is>
      </c>
      <c r="G484" t="n">
        <v>4.5</v>
      </c>
      <c r="H484" t="n">
        <v>0</v>
      </c>
      <c r="I484" t="n">
        <v>0</v>
      </c>
      <c r="J484" t="n">
        <v>0</v>
      </c>
      <c r="K484" t="n">
        <v>0</v>
      </c>
      <c r="L484" t="n">
        <v>0</v>
      </c>
      <c r="M484" t="n">
        <v>0</v>
      </c>
      <c r="N484" t="n">
        <v>0</v>
      </c>
      <c r="O484" t="n">
        <v>0</v>
      </c>
      <c r="P484" t="n">
        <v>0</v>
      </c>
      <c r="Q484" t="n">
        <v>0</v>
      </c>
      <c r="R484" s="2" t="inlineStr"/>
    </row>
    <row r="485" ht="15" customHeight="1">
      <c r="A485" t="inlineStr">
        <is>
          <t>A 14804-2021</t>
        </is>
      </c>
      <c r="B485" s="1" t="n">
        <v>44280</v>
      </c>
      <c r="C485" s="1" t="n">
        <v>45935</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45935</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45935</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45935</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45935</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45935</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5462-2025</t>
        </is>
      </c>
      <c r="B491" s="1" t="n">
        <v>45693.29331018519</v>
      </c>
      <c r="C491" s="1" t="n">
        <v>45935</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45935</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43081-2022</t>
        </is>
      </c>
      <c r="B493" s="1" t="n">
        <v>44833</v>
      </c>
      <c r="C493" s="1" t="n">
        <v>45935</v>
      </c>
      <c r="D493" t="inlineStr">
        <is>
          <t>GOTLANDS LÄN</t>
        </is>
      </c>
      <c r="E493" t="inlineStr">
        <is>
          <t>GOTLAND</t>
        </is>
      </c>
      <c r="G493" t="n">
        <v>6.8</v>
      </c>
      <c r="H493" t="n">
        <v>0</v>
      </c>
      <c r="I493" t="n">
        <v>0</v>
      </c>
      <c r="J493" t="n">
        <v>0</v>
      </c>
      <c r="K493" t="n">
        <v>0</v>
      </c>
      <c r="L493" t="n">
        <v>0</v>
      </c>
      <c r="M493" t="n">
        <v>0</v>
      </c>
      <c r="N493" t="n">
        <v>0</v>
      </c>
      <c r="O493" t="n">
        <v>0</v>
      </c>
      <c r="P493" t="n">
        <v>0</v>
      </c>
      <c r="Q493" t="n">
        <v>0</v>
      </c>
      <c r="R493" s="2" t="inlineStr"/>
    </row>
    <row r="494" ht="15" customHeight="1">
      <c r="A494" t="inlineStr">
        <is>
          <t>A 1175-2025</t>
        </is>
      </c>
      <c r="B494" s="1" t="n">
        <v>45667.34449074074</v>
      </c>
      <c r="C494" s="1" t="n">
        <v>45935</v>
      </c>
      <c r="D494" t="inlineStr">
        <is>
          <t>GOTLANDS LÄN</t>
        </is>
      </c>
      <c r="E494" t="inlineStr">
        <is>
          <t>GOTLAND</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45935</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3150-2025</t>
        </is>
      </c>
      <c r="B496" s="1" t="n">
        <v>45679.28974537037</v>
      </c>
      <c r="C496" s="1" t="n">
        <v>45935</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45935</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25796-2025</t>
        </is>
      </c>
      <c r="B498" s="1" t="n">
        <v>45804.39543981481</v>
      </c>
      <c r="C498" s="1" t="n">
        <v>45935</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45935</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45935</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26391-2025</t>
        </is>
      </c>
      <c r="B501" s="1" t="n">
        <v>45806</v>
      </c>
      <c r="C501" s="1" t="n">
        <v>45935</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26465-2025</t>
        </is>
      </c>
      <c r="B502" s="1" t="n">
        <v>45807.44377314814</v>
      </c>
      <c r="C502" s="1" t="n">
        <v>45935</v>
      </c>
      <c r="D502" t="inlineStr">
        <is>
          <t>GOTLANDS LÄN</t>
        </is>
      </c>
      <c r="E502" t="inlineStr">
        <is>
          <t>GOTLAND</t>
        </is>
      </c>
      <c r="G502" t="n">
        <v>4.5</v>
      </c>
      <c r="H502" t="n">
        <v>0</v>
      </c>
      <c r="I502" t="n">
        <v>0</v>
      </c>
      <c r="J502" t="n">
        <v>0</v>
      </c>
      <c r="K502" t="n">
        <v>0</v>
      </c>
      <c r="L502" t="n">
        <v>0</v>
      </c>
      <c r="M502" t="n">
        <v>0</v>
      </c>
      <c r="N502" t="n">
        <v>0</v>
      </c>
      <c r="O502" t="n">
        <v>0</v>
      </c>
      <c r="P502" t="n">
        <v>0</v>
      </c>
      <c r="Q502" t="n">
        <v>0</v>
      </c>
      <c r="R502" s="2" t="inlineStr"/>
    </row>
    <row r="503" ht="15" customHeight="1">
      <c r="A503" t="inlineStr">
        <is>
          <t>A 26457-2025</t>
        </is>
      </c>
      <c r="B503" s="1" t="n">
        <v>45807.42773148148</v>
      </c>
      <c r="C503" s="1" t="n">
        <v>45935</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26467-2025</t>
        </is>
      </c>
      <c r="B504" s="1" t="n">
        <v>45807.44640046296</v>
      </c>
      <c r="C504" s="1" t="n">
        <v>45935</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45935</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45935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26660-2025</t>
        </is>
      </c>
      <c r="B507" s="1" t="n">
        <v>45810.39737268518</v>
      </c>
      <c r="C507" s="1" t="n">
        <v>45935</v>
      </c>
      <c r="D507" t="inlineStr">
        <is>
          <t>GOTLANDS LÄN</t>
        </is>
      </c>
      <c r="E507" t="inlineStr">
        <is>
          <t>GOTLAND</t>
        </is>
      </c>
      <c r="G507" t="n">
        <v>1.8</v>
      </c>
      <c r="H507" t="n">
        <v>0</v>
      </c>
      <c r="I507" t="n">
        <v>0</v>
      </c>
      <c r="J507" t="n">
        <v>0</v>
      </c>
      <c r="K507" t="n">
        <v>0</v>
      </c>
      <c r="L507" t="n">
        <v>0</v>
      </c>
      <c r="M507" t="n">
        <v>0</v>
      </c>
      <c r="N507" t="n">
        <v>0</v>
      </c>
      <c r="O507" t="n">
        <v>0</v>
      </c>
      <c r="P507" t="n">
        <v>0</v>
      </c>
      <c r="Q507" t="n">
        <v>0</v>
      </c>
      <c r="R507" s="2" t="inlineStr"/>
    </row>
    <row r="508" ht="15" customHeight="1">
      <c r="A508" t="inlineStr">
        <is>
          <t>A 27355-2025</t>
        </is>
      </c>
      <c r="B508" s="1" t="n">
        <v>45812</v>
      </c>
      <c r="C508" s="1" t="n">
        <v>45935</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45935</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45935</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45935</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48734-2022</t>
        </is>
      </c>
      <c r="B512" s="1" t="n">
        <v>44855</v>
      </c>
      <c r="C512" s="1" t="n">
        <v>45935</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45935</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45935</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7850-2025</t>
        </is>
      </c>
      <c r="B515" s="1" t="n">
        <v>45706</v>
      </c>
      <c r="C515" s="1" t="n">
        <v>45935</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45935</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45935</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45935</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45935</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45935</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8444-2025</t>
        </is>
      </c>
      <c r="B521" s="1" t="n">
        <v>45709</v>
      </c>
      <c r="C521" s="1" t="n">
        <v>45935</v>
      </c>
      <c r="D521" t="inlineStr">
        <is>
          <t>GOTLANDS LÄN</t>
        </is>
      </c>
      <c r="E521" t="inlineStr">
        <is>
          <t>GOTLAND</t>
        </is>
      </c>
      <c r="G521" t="n">
        <v>5.2</v>
      </c>
      <c r="H521" t="n">
        <v>0</v>
      </c>
      <c r="I521" t="n">
        <v>0</v>
      </c>
      <c r="J521" t="n">
        <v>0</v>
      </c>
      <c r="K521" t="n">
        <v>0</v>
      </c>
      <c r="L521" t="n">
        <v>0</v>
      </c>
      <c r="M521" t="n">
        <v>0</v>
      </c>
      <c r="N521" t="n">
        <v>0</v>
      </c>
      <c r="O521" t="n">
        <v>0</v>
      </c>
      <c r="P521" t="n">
        <v>0</v>
      </c>
      <c r="Q521" t="n">
        <v>0</v>
      </c>
      <c r="R521" s="2" t="inlineStr"/>
    </row>
    <row r="522" ht="15" customHeight="1">
      <c r="A522" t="inlineStr">
        <is>
          <t>A 19905-2025</t>
        </is>
      </c>
      <c r="B522" s="1" t="n">
        <v>45771</v>
      </c>
      <c r="C522" s="1" t="n">
        <v>45935</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6796-2025</t>
        </is>
      </c>
      <c r="B523" s="1" t="n">
        <v>45700.66559027778</v>
      </c>
      <c r="C523" s="1" t="n">
        <v>45935</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45935</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45935</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45935</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45935</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29207-2025</t>
        </is>
      </c>
      <c r="B528" s="1" t="n">
        <v>45823</v>
      </c>
      <c r="C528" s="1" t="n">
        <v>45935</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45935</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29196-2025</t>
        </is>
      </c>
      <c r="B530" s="1" t="n">
        <v>45822</v>
      </c>
      <c r="C530" s="1" t="n">
        <v>45935</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5943-2024</t>
        </is>
      </c>
      <c r="B531" s="1" t="n">
        <v>45336</v>
      </c>
      <c r="C531" s="1" t="n">
        <v>45935</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38234-2023</t>
        </is>
      </c>
      <c r="B532" s="1" t="n">
        <v>45161.56663194444</v>
      </c>
      <c r="C532" s="1" t="n">
        <v>45935</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45935</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30061-2025</t>
        </is>
      </c>
      <c r="B534" s="1" t="n">
        <v>45826.61488425926</v>
      </c>
      <c r="C534" s="1" t="n">
        <v>45935</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58160-2024</t>
        </is>
      </c>
      <c r="B535" s="1" t="n">
        <v>45632.44927083333</v>
      </c>
      <c r="C535" s="1" t="n">
        <v>45935</v>
      </c>
      <c r="D535" t="inlineStr">
        <is>
          <t>GOTLANDS LÄN</t>
        </is>
      </c>
      <c r="E535" t="inlineStr">
        <is>
          <t>GOTLAND</t>
        </is>
      </c>
      <c r="G535" t="n">
        <v>5.6</v>
      </c>
      <c r="H535" t="n">
        <v>0</v>
      </c>
      <c r="I535" t="n">
        <v>0</v>
      </c>
      <c r="J535" t="n">
        <v>0</v>
      </c>
      <c r="K535" t="n">
        <v>0</v>
      </c>
      <c r="L535" t="n">
        <v>0</v>
      </c>
      <c r="M535" t="n">
        <v>0</v>
      </c>
      <c r="N535" t="n">
        <v>0</v>
      </c>
      <c r="O535" t="n">
        <v>0</v>
      </c>
      <c r="P535" t="n">
        <v>0</v>
      </c>
      <c r="Q535" t="n">
        <v>0</v>
      </c>
      <c r="R535" s="2" t="inlineStr"/>
    </row>
    <row r="536" ht="15" customHeight="1">
      <c r="A536" t="inlineStr">
        <is>
          <t>A 17724-2024</t>
        </is>
      </c>
      <c r="B536" s="1" t="n">
        <v>45418.55096064815</v>
      </c>
      <c r="C536" s="1" t="n">
        <v>45935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45935</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49884-2023</t>
        </is>
      </c>
      <c r="B538" s="1" t="n">
        <v>45213</v>
      </c>
      <c r="C538" s="1" t="n">
        <v>45935</v>
      </c>
      <c r="D538" t="inlineStr">
        <is>
          <t>GOTLANDS LÄN</t>
        </is>
      </c>
      <c r="E538" t="inlineStr">
        <is>
          <t>GOTLAND</t>
        </is>
      </c>
      <c r="G538" t="n">
        <v>8.9</v>
      </c>
      <c r="H538" t="n">
        <v>0</v>
      </c>
      <c r="I538" t="n">
        <v>0</v>
      </c>
      <c r="J538" t="n">
        <v>0</v>
      </c>
      <c r="K538" t="n">
        <v>0</v>
      </c>
      <c r="L538" t="n">
        <v>0</v>
      </c>
      <c r="M538" t="n">
        <v>0</v>
      </c>
      <c r="N538" t="n">
        <v>0</v>
      </c>
      <c r="O538" t="n">
        <v>0</v>
      </c>
      <c r="P538" t="n">
        <v>0</v>
      </c>
      <c r="Q538" t="n">
        <v>0</v>
      </c>
      <c r="R538" s="2" t="inlineStr"/>
    </row>
    <row r="539" ht="15" customHeight="1">
      <c r="A539" t="inlineStr">
        <is>
          <t>A 12846-2025</t>
        </is>
      </c>
      <c r="B539" s="1" t="n">
        <v>45733.65049768519</v>
      </c>
      <c r="C539" s="1" t="n">
        <v>45935</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43200-2023</t>
        </is>
      </c>
      <c r="B540" s="1" t="n">
        <v>45183</v>
      </c>
      <c r="C540" s="1" t="n">
        <v>45935</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3935-2025</t>
        </is>
      </c>
      <c r="B541" s="1" t="n">
        <v>45684.46070601852</v>
      </c>
      <c r="C541" s="1" t="n">
        <v>45935</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16109-2025</t>
        </is>
      </c>
      <c r="B542" s="1" t="n">
        <v>45750</v>
      </c>
      <c r="C542" s="1" t="n">
        <v>45935</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32467-2025</t>
        </is>
      </c>
      <c r="B543" s="1" t="n">
        <v>45838.42111111111</v>
      </c>
      <c r="C543" s="1" t="n">
        <v>45935</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32378-2025</t>
        </is>
      </c>
      <c r="B544" s="1" t="n">
        <v>45837</v>
      </c>
      <c r="C544" s="1" t="n">
        <v>45935</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45935</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32379-2025</t>
        </is>
      </c>
      <c r="B546" s="1" t="n">
        <v>45837</v>
      </c>
      <c r="C546" s="1" t="n">
        <v>45935</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45935</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33007-2025</t>
        </is>
      </c>
      <c r="B548" s="1" t="n">
        <v>45840</v>
      </c>
      <c r="C548" s="1" t="n">
        <v>45935</v>
      </c>
      <c r="D548" t="inlineStr">
        <is>
          <t>GOTLANDS LÄN</t>
        </is>
      </c>
      <c r="E548" t="inlineStr">
        <is>
          <t>GOTLAND</t>
        </is>
      </c>
      <c r="G548" t="n">
        <v>4.9</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45935</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48843-2024</t>
        </is>
      </c>
      <c r="B550" s="1" t="n">
        <v>45593</v>
      </c>
      <c r="C550" s="1" t="n">
        <v>45935</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10653-2023</t>
        </is>
      </c>
      <c r="B551" s="1" t="n">
        <v>44988.48859953704</v>
      </c>
      <c r="C551" s="1" t="n">
        <v>45935</v>
      </c>
      <c r="D551" t="inlineStr">
        <is>
          <t>GOTLANDS LÄN</t>
        </is>
      </c>
      <c r="E551" t="inlineStr">
        <is>
          <t>GOTLAND</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45935</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11874-2024</t>
        </is>
      </c>
      <c r="B553" s="1" t="n">
        <v>45376.46956018519</v>
      </c>
      <c r="C553" s="1" t="n">
        <v>45935</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20225-2025</t>
        </is>
      </c>
      <c r="B554" s="1" t="n">
        <v>45772.65802083333</v>
      </c>
      <c r="C554" s="1" t="n">
        <v>45935</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45935</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64831-2023</t>
        </is>
      </c>
      <c r="B556" s="1" t="n">
        <v>45282.44924768519</v>
      </c>
      <c r="C556" s="1" t="n">
        <v>45935</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45935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45935</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8036-2022</t>
        </is>
      </c>
      <c r="B559" s="1" t="n">
        <v>44609.44362268518</v>
      </c>
      <c r="C559" s="1" t="n">
        <v>45935</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45935</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46375-2024</t>
        </is>
      </c>
      <c r="B561" s="1" t="n">
        <v>45582</v>
      </c>
      <c r="C561" s="1" t="n">
        <v>45935</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62915-2021</t>
        </is>
      </c>
      <c r="B562" s="1" t="n">
        <v>44504</v>
      </c>
      <c r="C562" s="1" t="n">
        <v>45935</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40372-2025</t>
        </is>
      </c>
      <c r="B563" s="1" t="n">
        <v>45895.5162037037</v>
      </c>
      <c r="C563" s="1" t="n">
        <v>45935</v>
      </c>
      <c r="D563" t="inlineStr">
        <is>
          <t>GOTLANDS LÄN</t>
        </is>
      </c>
      <c r="E563" t="inlineStr">
        <is>
          <t>GOTLAND</t>
        </is>
      </c>
      <c r="G563" t="n">
        <v>3.3</v>
      </c>
      <c r="H563" t="n">
        <v>0</v>
      </c>
      <c r="I563" t="n">
        <v>0</v>
      </c>
      <c r="J563" t="n">
        <v>0</v>
      </c>
      <c r="K563" t="n">
        <v>0</v>
      </c>
      <c r="L563" t="n">
        <v>0</v>
      </c>
      <c r="M563" t="n">
        <v>0</v>
      </c>
      <c r="N563" t="n">
        <v>0</v>
      </c>
      <c r="O563" t="n">
        <v>0</v>
      </c>
      <c r="P563" t="n">
        <v>0</v>
      </c>
      <c r="Q563" t="n">
        <v>0</v>
      </c>
      <c r="R563" s="2" t="inlineStr"/>
    </row>
    <row r="564" ht="15" customHeight="1">
      <c r="A564" t="inlineStr">
        <is>
          <t>A 40373-2025</t>
        </is>
      </c>
      <c r="B564" s="1" t="n">
        <v>45895.51821759259</v>
      </c>
      <c r="C564" s="1" t="n">
        <v>45935</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40103-2025</t>
        </is>
      </c>
      <c r="B565" s="1" t="n">
        <v>45894.4880324074</v>
      </c>
      <c r="C565" s="1" t="n">
        <v>45935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45935</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35290-2025</t>
        </is>
      </c>
      <c r="B567" s="1" t="n">
        <v>45854.38502314815</v>
      </c>
      <c r="C567" s="1" t="n">
        <v>45935</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45935</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45935</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45935</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45935</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30104-2025</t>
        </is>
      </c>
      <c r="B572" s="1" t="n">
        <v>45826.68806712963</v>
      </c>
      <c r="C572" s="1" t="n">
        <v>45935</v>
      </c>
      <c r="D572" t="inlineStr">
        <is>
          <t>GOTLANDS LÄN</t>
        </is>
      </c>
      <c r="E572" t="inlineStr">
        <is>
          <t>GOTLAND</t>
        </is>
      </c>
      <c r="G572" t="n">
        <v>15.4</v>
      </c>
      <c r="H572" t="n">
        <v>0</v>
      </c>
      <c r="I572" t="n">
        <v>0</v>
      </c>
      <c r="J572" t="n">
        <v>0</v>
      </c>
      <c r="K572" t="n">
        <v>0</v>
      </c>
      <c r="L572" t="n">
        <v>0</v>
      </c>
      <c r="M572" t="n">
        <v>0</v>
      </c>
      <c r="N572" t="n">
        <v>0</v>
      </c>
      <c r="O572" t="n">
        <v>0</v>
      </c>
      <c r="P572" t="n">
        <v>0</v>
      </c>
      <c r="Q572" t="n">
        <v>0</v>
      </c>
      <c r="R572" s="2" t="inlineStr"/>
    </row>
    <row r="573" ht="15" customHeight="1">
      <c r="A573" t="inlineStr">
        <is>
          <t>A 40499-2025</t>
        </is>
      </c>
      <c r="B573" s="1" t="n">
        <v>45896.32517361111</v>
      </c>
      <c r="C573" s="1" t="n">
        <v>45935</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32669-2024</t>
        </is>
      </c>
      <c r="B574" s="1" t="n">
        <v>45514</v>
      </c>
      <c r="C574" s="1" t="n">
        <v>45935</v>
      </c>
      <c r="D574" t="inlineStr">
        <is>
          <t>GOTLANDS LÄN</t>
        </is>
      </c>
      <c r="E574" t="inlineStr">
        <is>
          <t>GOTLAND</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37222-2021</t>
        </is>
      </c>
      <c r="B575" s="1" t="n">
        <v>44396</v>
      </c>
      <c r="C575" s="1" t="n">
        <v>45935</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41551-2025</t>
        </is>
      </c>
      <c r="B576" s="1" t="n">
        <v>45901.58854166666</v>
      </c>
      <c r="C576" s="1" t="n">
        <v>45935</v>
      </c>
      <c r="D576" t="inlineStr">
        <is>
          <t>GOTLANDS LÄN</t>
        </is>
      </c>
      <c r="E576" t="inlineStr">
        <is>
          <t>GOTLAND</t>
        </is>
      </c>
      <c r="G576" t="n">
        <v>5.6</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45935</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46396-2023</t>
        </is>
      </c>
      <c r="B578" s="1" t="n">
        <v>45197</v>
      </c>
      <c r="C578" s="1" t="n">
        <v>45935</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58388-2022</t>
        </is>
      </c>
      <c r="B579" s="1" t="n">
        <v>44894</v>
      </c>
      <c r="C579" s="1" t="n">
        <v>45935</v>
      </c>
      <c r="D579" t="inlineStr">
        <is>
          <t>GOTLANDS LÄN</t>
        </is>
      </c>
      <c r="E579" t="inlineStr">
        <is>
          <t>GOTLAND</t>
        </is>
      </c>
      <c r="F579" t="inlineStr">
        <is>
          <t>Övriga statliga verk och myndigheter</t>
        </is>
      </c>
      <c r="G579" t="n">
        <v>3.1</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45935</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41435-2025</t>
        </is>
      </c>
      <c r="B581" s="1" t="n">
        <v>45901.39974537037</v>
      </c>
      <c r="C581" s="1" t="n">
        <v>45935</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42608-2025</t>
        </is>
      </c>
      <c r="B582" s="1" t="n">
        <v>45905</v>
      </c>
      <c r="C582" s="1" t="n">
        <v>45935</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53934-2024</t>
        </is>
      </c>
      <c r="B583" s="1" t="n">
        <v>45615</v>
      </c>
      <c r="C583" s="1" t="n">
        <v>45935</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58132-2023</t>
        </is>
      </c>
      <c r="B584" s="1" t="n">
        <v>45250</v>
      </c>
      <c r="C584" s="1" t="n">
        <v>45935</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45935</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28285-2024</t>
        </is>
      </c>
      <c r="B586" s="1" t="n">
        <v>45477</v>
      </c>
      <c r="C586" s="1" t="n">
        <v>45935</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51963-2024</t>
        </is>
      </c>
      <c r="B587" s="1" t="n">
        <v>45607.64833333333</v>
      </c>
      <c r="C587" s="1" t="n">
        <v>45935</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30488-2025</t>
        </is>
      </c>
      <c r="B588" s="1" t="n">
        <v>45830</v>
      </c>
      <c r="C588" s="1" t="n">
        <v>45935</v>
      </c>
      <c r="D588" t="inlineStr">
        <is>
          <t>GOTLANDS LÄN</t>
        </is>
      </c>
      <c r="E588" t="inlineStr">
        <is>
          <t>GOTLAND</t>
        </is>
      </c>
      <c r="F588" t="inlineStr">
        <is>
          <t>Kyrkan</t>
        </is>
      </c>
      <c r="G588" t="n">
        <v>3.9</v>
      </c>
      <c r="H588" t="n">
        <v>0</v>
      </c>
      <c r="I588" t="n">
        <v>0</v>
      </c>
      <c r="J588" t="n">
        <v>0</v>
      </c>
      <c r="K588" t="n">
        <v>0</v>
      </c>
      <c r="L588" t="n">
        <v>0</v>
      </c>
      <c r="M588" t="n">
        <v>0</v>
      </c>
      <c r="N588" t="n">
        <v>0</v>
      </c>
      <c r="O588" t="n">
        <v>0</v>
      </c>
      <c r="P588" t="n">
        <v>0</v>
      </c>
      <c r="Q588" t="n">
        <v>0</v>
      </c>
      <c r="R588" s="2" t="inlineStr"/>
    </row>
    <row r="589" ht="15" customHeight="1">
      <c r="A589" t="inlineStr">
        <is>
          <t>A 15216-2025</t>
        </is>
      </c>
      <c r="B589" s="1" t="n">
        <v>45744</v>
      </c>
      <c r="C589" s="1" t="n">
        <v>45935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45935</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43790-2024</t>
        </is>
      </c>
      <c r="B591" s="1" t="n">
        <v>45571</v>
      </c>
      <c r="C591" s="1" t="n">
        <v>45935</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45935</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45935</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1734-2025</t>
        </is>
      </c>
      <c r="B594" s="1" t="n">
        <v>45671.3840625</v>
      </c>
      <c r="C594" s="1" t="n">
        <v>45935</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45935</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30365-2024</t>
        </is>
      </c>
      <c r="B596" s="1" t="n">
        <v>45491.3716087963</v>
      </c>
      <c r="C596" s="1" t="n">
        <v>45935</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35129-2025</t>
        </is>
      </c>
      <c r="B597" s="1" t="n">
        <v>45852.63224537037</v>
      </c>
      <c r="C597" s="1" t="n">
        <v>45935</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2674-2023</t>
        </is>
      </c>
      <c r="B598" s="1" t="n">
        <v>44944</v>
      </c>
      <c r="C598" s="1" t="n">
        <v>45935</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61100-2022</t>
        </is>
      </c>
      <c r="B599" s="1" t="n">
        <v>44915</v>
      </c>
      <c r="C599" s="1" t="n">
        <v>45935</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c r="A600" t="inlineStr">
        <is>
          <t>A 581-2023</t>
        </is>
      </c>
      <c r="B600" s="1" t="n">
        <v>44930</v>
      </c>
      <c r="C600" s="1" t="n">
        <v>45935</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2025-10-05T12:41:25Z</dcterms:created>
  <dcterms:modified xmlns:dcterms="http://purl.org/dc/terms/" xmlns:xsi="http://www.w3.org/2001/XMLSchema-instance" xsi:type="dcterms:W3CDTF">2025-10-05T12:41:25Z</dcterms:modified>
</cp:coreProperties>
</file>